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eader Dashboard" sheetId="2" state="visible" r:id="rId2"/>
    <sheet xmlns:r="http://schemas.openxmlformats.org/officeDocument/2006/relationships" name="Chart Database" sheetId="3" state="visible" r:id="rId3"/>
    <sheet xmlns:r="http://schemas.openxmlformats.org/officeDocument/2006/relationships" name="Category Dictionary" sheetId="4" state="visible" r:id="rId4"/>
    <sheet xmlns:r="http://schemas.openxmlformats.org/officeDocument/2006/relationships" name="Audit Versions" sheetId="5" state="visible" r:id="rId5"/>
    <sheet xmlns:r="http://schemas.openxmlformats.org/officeDocument/2006/relationships" name="Assignment Builder" sheetId="6" state="visible" r:id="rId6"/>
    <sheet xmlns:r="http://schemas.openxmlformats.org/officeDocument/2006/relationships" name="Specialty Overview" sheetId="7" state="visible" r:id="rId7"/>
    <sheet xmlns:r="http://schemas.openxmlformats.org/officeDocument/2006/relationships" name="Monthly Trend" sheetId="8" state="visible" r:id="rId8"/>
    <sheet xmlns:r="http://schemas.openxmlformats.org/officeDocument/2006/relationships" name="Recent Activity" sheetId="9" state="visible" r:id="rId9"/>
    <sheet xmlns:r="http://schemas.openxmlformats.org/officeDocument/2006/relationships" name="Field Conventions" sheetId="10" state="visible" r:id="rId10"/>
    <sheet xmlns:r="http://schemas.openxmlformats.org/officeDocument/2006/relationships" name="Lists" sheetId="11" state="visible" r:id="rId11"/>
  </sheets>
  <definedNames>
    <definedName name="_xlnm._FilterDatabase" localSheetId="2" hidden="1">'Chart Database'!$A$5:$V$4005</definedName>
    <definedName name="_xlnm._FilterDatabase" localSheetId="3" hidden="1">'Category Dictionary'!$A$4:$L$135</definedName>
    <definedName name="_xlnm._FilterDatabase" localSheetId="4" hidden="1">'Audit Versions'!$A$5:$O$605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0" fontId="4" fillId="4" borderId="1" applyAlignment="1" pivotButton="0" quotePrefix="0" xfId="0">
      <alignment vertical="top"/>
    </xf>
    <xf numFmtId="0" fontId="5" fillId="0"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4">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9C6500"/>
        <sz val="9"/>
      </font>
      <fill>
        <patternFill patternType="solid">
          <fgColor rgb="00FFF4D6"/>
        </patternFill>
      </fill>
    </dxf>
    <dxf>
      <font>
        <b val="1"/>
        <color rgb="00A4262C"/>
        <sz val="9"/>
      </font>
      <fill>
        <patternFill patternType="solid">
          <fgColor rgb="00FCE8E6"/>
        </patternFill>
      </fill>
    </dxf>
    <dxf>
      <fill>
        <patternFill patternType="solid">
          <fgColor rgb="00FFF4D6"/>
        </patternFill>
      </fill>
    </dxf>
    <dxf>
      <font>
        <b val="1"/>
        <color rgb="009C6500"/>
        <sz val="10"/>
      </font>
      <fill>
        <patternFill patternType="solid">
          <fgColor rgb="00FFF4D6"/>
        </patternFill>
      </fill>
    </dxf>
    <dxf>
      <font>
        <b val="1"/>
        <color rgb="001F5C99"/>
        <sz val="10"/>
      </font>
      <fill>
        <patternFill patternType="solid">
          <fgColor rgb="00E7F0FA"/>
        </patternFill>
      </fill>
    </dxf>
    <dxf>
      <font>
        <b val="1"/>
        <color rgb="001B6B3A"/>
        <sz val="10"/>
      </font>
      <fill>
        <patternFill patternType="solid">
          <fgColor rgb="00E6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4" t="inlineStr">
        <is>
          <t>What this is</t>
        </is>
      </c>
    </row>
    <row r="6" ht="26" customHeight="1">
      <c r="B6" s="5" t="inlineStr">
        <is>
          <t>The training team's working view of the live chart pool. It answers four questions: what do we have, where are the holes, is the build keeping up, and which charts should this cohort get.</t>
        </is>
      </c>
    </row>
    <row r="7" ht="39" customHeight="1">
      <c r="B7" s="5"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4" t="inlineStr">
        <is>
          <t>The sheets, in the order you need them</t>
        </is>
      </c>
    </row>
    <row r="10" ht="26" customHeight="1">
      <c r="B10" s="6" t="inlineStr">
        <is>
          <t>Leader Dashboard</t>
        </is>
      </c>
      <c r="C10" s="5" t="inlineStr">
        <is>
          <t>Twelve figures, the specialty table, and a list of where to look next. Read-only, all formulas. Start here.</t>
        </is>
      </c>
    </row>
    <row r="11" ht="13" customHeight="1">
      <c r="B11" s="6" t="inlineStr">
        <is>
          <t>Chart Database</t>
        </is>
      </c>
      <c r="C11" s="5" t="inlineStr">
        <is>
          <t>Where the work is recorded. One row per chart. The only sheet most people type into.</t>
        </is>
      </c>
    </row>
    <row r="12" ht="26" customHeight="1">
      <c r="B12" s="6" t="inlineStr">
        <is>
          <t>Category Dictionary</t>
        </is>
      </c>
      <c r="C12" s="5" t="inlineStr">
        <is>
          <t>The 111 topics and — the point of the sheet — the SHORT NAME to type in the application. Live counts and gaps beside each.</t>
        </is>
      </c>
    </row>
    <row r="13" ht="13" customHeight="1">
      <c r="B13" s="6" t="inlineStr">
        <is>
          <t>Assignment Builder</t>
        </is>
      </c>
      <c r="C13" s="5" t="inlineStr">
        <is>
          <t>Set filters, read the count, filter the database. This is the selective-practice tool.</t>
        </is>
      </c>
    </row>
    <row r="14" ht="13" customHeight="1">
      <c r="B14" s="6" t="inlineStr">
        <is>
          <t>Specialty Overview</t>
        </is>
      </c>
      <c r="C14" s="5" t="inlineStr">
        <is>
          <t>A headcount of charts per specialty, with the difficulty split.</t>
        </is>
      </c>
    </row>
    <row r="15" ht="13" customHeight="1">
      <c r="B15" s="6" t="inlineStr">
        <is>
          <t>Monthly Trend</t>
        </is>
      </c>
      <c r="C15" s="5" t="inlineStr">
        <is>
          <t>Uploads by month and specialty, 24 months from an editable start.</t>
        </is>
      </c>
    </row>
    <row r="16" ht="13" customHeight="1">
      <c r="B16" s="6" t="inlineStr">
        <is>
          <t>Recent Activity</t>
        </is>
      </c>
      <c r="C16" s="5" t="inlineStr">
        <is>
          <t>7, 30 and 90 day windows, plus uploads by trainer.</t>
        </is>
      </c>
    </row>
    <row r="17" ht="13" customHeight="1">
      <c r="B17" s="6" t="inlineStr">
        <is>
          <t>Field Conventions</t>
        </is>
      </c>
      <c r="C17" s="5" t="inlineStr">
        <is>
          <t>What goes in category and alias, and why. Read before briefing a trainer.</t>
        </is>
      </c>
    </row>
    <row r="18" ht="13" customHeight="1">
      <c r="B18" s="6" t="inlineStr">
        <is>
          <t>Lists</t>
        </is>
      </c>
      <c r="C18" s="5" t="inlineStr">
        <is>
          <t>The source of every dropdown. Add a value here, never straight into a cell.</t>
        </is>
      </c>
    </row>
    <row r="20">
      <c r="B20" s="4" t="inlineStr">
        <is>
          <t>The one thing to understand about counting</t>
        </is>
      </c>
    </row>
    <row r="21" ht="26" customHeight="1">
      <c r="B21" s="5" t="inlineStr">
        <is>
          <t>A chart may carry several topics in one comma-separated category string, because that is how the application works. Two sheets therefore count two different things, and both are right:</t>
        </is>
      </c>
    </row>
    <row r="22" ht="13" customHeight="1">
      <c r="B22" s="6" t="inlineStr">
        <is>
          <t>Specialty Overview counts CHARTS</t>
        </is>
      </c>
      <c r="C22" s="5" t="inlineStr">
        <is>
          <t>A chart filed as `Sepsis, AKI` counts once. Use it for a headcount and for % of target.</t>
        </is>
      </c>
    </row>
    <row r="23" ht="26" customHeight="1">
      <c r="B23" s="6" t="inlineStr">
        <is>
          <t>Category Dictionary counts TOPIC COVERAGE</t>
        </is>
      </c>
      <c r="C23" s="5" t="inlineStr">
        <is>
          <t>The same chart counts under Sepsis AND under AKI, because it teaches both. Its total is therefore larger than the number of charts. Use it for gaps.</t>
        </is>
      </c>
    </row>
    <row r="24" ht="39" customHeight="1">
      <c r="B24" s="5"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4" t="inlineStr">
        <is>
          <t>Keeping it honest</t>
        </is>
      </c>
    </row>
    <row r="27" ht="26" customHeight="1">
      <c r="B27" s="6" t="inlineStr">
        <is>
          <t>After every batch</t>
        </is>
      </c>
      <c r="C27" s="5" t="inlineStr">
        <is>
          <t>Add 1 to Times assigned and set Last assigned on the rows you used. Nothing else keeps the never-assigned reserve meaningful.</t>
        </is>
      </c>
    </row>
    <row r="28" ht="26" customHeight="1">
      <c r="B28" s="6" t="inlineStr">
        <is>
          <t>Answer key</t>
        </is>
      </c>
      <c r="C28" s="5" t="inlineStr">
        <is>
          <t>Set it Yes once a key exists. An Active chart marked No can reach a batch and then fail to score, which is the one error this file is best placed to catch.</t>
        </is>
      </c>
    </row>
    <row r="29" ht="26" customHeight="1">
      <c r="B29" s="6" t="inlineStr">
        <is>
          <t>Retiring</t>
        </is>
      </c>
      <c r="C29" s="5" t="inlineStr">
        <is>
          <t>Set status to Retired. Keep the row — deleting it loses the history of what left the pool and when.</t>
        </is>
      </c>
    </row>
    <row r="30" ht="26" customHeight="1">
      <c r="B30" s="6" t="inlineStr">
        <is>
          <t>Capacity</t>
        </is>
      </c>
      <c r="C30" s="5" t="inlineStr">
        <is>
          <t>Formulas cover database rows 6 to 4005, about a third again over the 2,942-chart target. Paste past row 4005 and the dashboard quietly stops counting the overflow.</t>
        </is>
      </c>
    </row>
    <row r="32">
      <c r="B32" s="4" t="inlineStr">
        <is>
          <t>Its relationship to the other two workbooks</t>
        </is>
      </c>
    </row>
    <row r="33" ht="26" customHeight="1">
      <c r="B33" s="6" t="inlineStr">
        <is>
          <t>Chart Composition Taxonomy</t>
        </is>
      </c>
      <c r="C33" s="5" t="inlineStr">
        <is>
          <t>The standard: what the pool SHOULD contain, topic by topic, with weights and targets. This file's targets come from there.</t>
        </is>
      </c>
    </row>
    <row r="34" ht="26" customHeight="1">
      <c r="B34" s="6" t="inlineStr">
        <is>
          <t>Chart Inventory Tracker</t>
        </is>
      </c>
      <c r="C34" s="5" t="inlineStr">
        <is>
          <t>The build programme: expected dates, FTE, slippage, issues. Deliberately a separate file, because it answers to a different audience on a different cadence.</t>
        </is>
      </c>
    </row>
    <row r="35" ht="26" customHeight="1">
      <c r="B35" s="6" t="inlineStr">
        <is>
          <t>This file</t>
        </is>
      </c>
      <c r="C35" s="5" t="inlineStr">
        <is>
          <t>The live pool and day-to-day assignment, for the whole training team. All three import one topic module, so the taxonomy cannot differ between them.</t>
        </is>
      </c>
    </row>
    <row r="37">
      <c r="B37" s="4" t="inlineStr">
        <is>
          <t>What it cannot do</t>
        </is>
      </c>
    </row>
    <row r="38" ht="39" customHeight="1">
      <c r="B38" s="5"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5"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I39"/>
  <sheetViews>
    <sheetView showGridLines="0" zoomScale="90" workbookViewId="0">
      <selection activeCell="A1" sqref="A1"/>
    </sheetView>
  </sheetViews>
  <sheetFormatPr baseColWidth="8" defaultRowHeight="15"/>
  <cols>
    <col width="30" customWidth="1" min="1" max="1"/>
    <col width="13" customWidth="1" min="2" max="2"/>
    <col width="13" customWidth="1" min="3" max="3"/>
    <col width="4" customWidth="1" min="4" max="4"/>
    <col width="13" customWidth="1" min="5" max="5"/>
    <col width="13" customWidth="1" min="6" max="6"/>
    <col width="13" customWidth="1" min="7" max="7"/>
    <col width="4" customWidth="1" min="8" max="8"/>
    <col width="46" customWidth="1" min="9" max="9"/>
  </cols>
  <sheetData>
    <row r="1" ht="26" customHeight="1">
      <c r="A1" s="1" t="inlineStr">
        <is>
          <t>Chart pool — leader dashboard</t>
        </is>
      </c>
    </row>
    <row r="2">
      <c r="A2" s="2" t="inlineStr">
        <is>
          <t>Everything is a formula over the Chart Database. Nothing on this sheet is typed. Built 21 October 2026.</t>
        </is>
      </c>
    </row>
    <row r="3" ht="3" customHeight="1">
      <c r="A3" s="3" t="n"/>
      <c r="B3" s="3" t="n"/>
      <c r="C3" s="3" t="n"/>
      <c r="D3" s="3" t="n"/>
      <c r="E3" s="3" t="n"/>
      <c r="F3" s="3" t="n"/>
      <c r="G3" s="3" t="n"/>
      <c r="H3" s="3" t="n"/>
      <c r="I3" s="3" t="n"/>
    </row>
    <row r="4" ht="20" customHeight="1">
      <c r="A4" s="7" t="inlineStr">
        <is>
          <t xml:space="preserve">  THE POOL</t>
        </is>
      </c>
    </row>
    <row r="5" ht="20" customHeight="1">
      <c r="A5" s="8" t="inlineStr">
        <is>
          <t>Charts in the pool</t>
        </is>
      </c>
      <c r="B5" s="9">
        <f>COUNTIF('Chart Database'!$F$6:$F$4005,"Active")</f>
        <v/>
      </c>
      <c r="C5" s="10" t="inlineStr">
        <is>
          <t>Active charts available to a batch right now.</t>
        </is>
      </c>
      <c r="I5" s="11" t="n"/>
    </row>
    <row r="6" ht="20" customHeight="1">
      <c r="A6" s="8" t="inlineStr">
        <is>
          <t>Target pool</t>
        </is>
      </c>
      <c r="B6" s="9">
        <f>'Specialty Overview'!$C$12</f>
        <v/>
      </c>
      <c r="C6" s="10" t="inlineStr">
        <is>
          <t>The sum of the seven specialty targets from the composition taxonomy.</t>
        </is>
      </c>
      <c r="I6" s="11" t="n"/>
    </row>
    <row r="7" ht="20" customHeight="1">
      <c r="A7" s="8" t="inlineStr">
        <is>
          <t>Pool complete</t>
        </is>
      </c>
      <c r="B7" s="12">
        <f>IF(B6=0,"NA",B5/B6)</f>
        <v/>
      </c>
      <c r="C7" s="10" t="inlineStr">
        <is>
          <t>Active against target. Reads NA before a target exists.</t>
        </is>
      </c>
      <c r="I7" s="11" t="n"/>
    </row>
    <row r="8" ht="20" customHeight="1">
      <c r="A8" s="8" t="inlineStr">
        <is>
          <t>Retired</t>
        </is>
      </c>
      <c r="B8" s="9">
        <f>COUNTIF('Chart Database'!$F$6:$F$4005,"Retired")</f>
        <v/>
      </c>
      <c r="C8" s="10" t="inlineStr">
        <is>
          <t>Kept as rows, not deleted, so the history of what left the pool survives.</t>
        </is>
      </c>
      <c r="I8" s="11" t="n"/>
    </row>
    <row r="9" ht="20" customHeight="1">
      <c r="A9" s="8" t="inlineStr">
        <is>
          <t>Cannot be graded</t>
        </is>
      </c>
      <c r="B9" s="9">
        <f>COUNTIFS('Chart Database'!$O$6:$O$4005,"No",'Chart Database'!$F$6:$F$4005,"Active")</f>
        <v/>
      </c>
      <c r="C9" s="10" t="inlineStr">
        <is>
          <t>Active charts with no answer key. These can reach a batch and then cannot be scored.</t>
        </is>
      </c>
      <c r="I9" s="11" t="n"/>
    </row>
    <row r="10" ht="20" customHeight="1">
      <c r="A10" s="8" t="inlineStr">
        <is>
          <t>Multi-topic charts</t>
        </is>
      </c>
      <c r="B10" s="9">
        <f>COUNTIFS('Chart Database'!$J$6:$J$4005,"&gt;=2",'Chart Database'!$F$6:$F$4005,"Active")</f>
        <v/>
      </c>
      <c r="C10" s="10" t="inlineStr">
        <is>
          <t>Carrying more than one category, so they cover more ground per chart.</t>
        </is>
      </c>
      <c r="I10" s="11" t="n"/>
    </row>
    <row r="11" ht="20" customHeight="1">
      <c r="A11" s="8" t="inlineStr">
        <is>
          <t>Never assigned</t>
        </is>
      </c>
      <c r="B11" s="9">
        <f>COUNTIFS('Chart Database'!$S$6:$S$4005,0,'Chart Database'!$F$6:$F$4005,"Active")</f>
        <v/>
      </c>
      <c r="C11" s="10" t="inlineStr">
        <is>
          <t>Unseen by anyone — the reserve for assessments and reassessments.</t>
        </is>
      </c>
      <c r="I11" s="11" t="n"/>
    </row>
    <row r="12" ht="24" customHeight="1">
      <c r="A12" s="8" t="inlineStr">
        <is>
          <t>Charts with an off-list category</t>
        </is>
      </c>
      <c r="B12" s="9">
        <f>SUMPRODUCT(--('Chart Database'!$A$6:$A$4005&lt;&gt;""),--(N('Chart Database'!$K$6:$K$4005)&lt;N('Chart Database'!$J$6:$J$4005)))</f>
        <v/>
      </c>
      <c r="C12" s="10" t="inlineStr">
        <is>
          <t>Charts carrying a category name that is in no dictionary row. They count as charts but toward no topic's coverage, so they are invisible until registered.</t>
        </is>
      </c>
      <c r="I12" s="11" t="n"/>
    </row>
    <row r="13" ht="24" customHeight="1">
      <c r="A13" s="8" t="inlineStr">
        <is>
          <t>Name clashes in the dictionary</t>
        </is>
      </c>
      <c r="B13" s="9">
        <f>COUNTIF('Category Dictionary'!$K$5:$K$135,"CLASH*")</f>
        <v/>
      </c>
      <c r="C13" s="10" t="inlineStr">
        <is>
          <t>A short name that contains or sits inside another in the same specialty. Both of their counts are wrong until it is renamed.</t>
        </is>
      </c>
      <c r="I13" s="11" t="n"/>
    </row>
    <row r="14" ht="20" customHeight="1">
      <c r="A14" s="8" t="inlineStr">
        <is>
          <t>Topics with nothing at all</t>
        </is>
      </c>
      <c r="B14" s="9">
        <f>COUNTIFS('Category Dictionary'!$H$5:$H$135,0,'Category Dictionary'!$D$5:$D$135,"&lt;&gt;")</f>
        <v/>
      </c>
      <c r="C14" s="10" t="inlineStr">
        <is>
          <t>Of 111 topics, how many have no chart. The sourcing list, in one number.</t>
        </is>
      </c>
      <c r="I14" s="11" t="n"/>
    </row>
    <row r="15" ht="20" customHeight="1">
      <c r="A15" s="8" t="inlineStr">
        <is>
          <t>Topics below target</t>
        </is>
      </c>
      <c r="B15" s="9">
        <f>COUNTIFS('Category Dictionary'!$J$5:$J$135,"&gt;0",'Category Dictionary'!$D$5:$D$135,"&lt;&gt;")</f>
        <v/>
      </c>
      <c r="C15" s="10" t="inlineStr">
        <is>
          <t>Topics with a gap of one chart or more.</t>
        </is>
      </c>
      <c r="I15" s="11" t="n"/>
    </row>
    <row r="16" ht="20" customHeight="1">
      <c r="A16" s="8" t="inlineStr">
        <is>
          <t>Uploaded this month</t>
        </is>
      </c>
      <c r="B16" s="9">
        <f>COUNTIFS('Chart Database'!$H$6:$H$4005,"&gt;="&amp;DATE(YEAR(TODAY()),MONTH(TODAY()),1),'Chart Database'!$H$6:$H$4005,"&lt;="&amp;TODAY())</f>
        <v/>
      </c>
      <c r="C16" s="10" t="inlineStr">
        <is>
          <t>The build rate, measured rather than assumed.</t>
        </is>
      </c>
      <c r="I16" s="11" t="n"/>
    </row>
    <row r="17" ht="20" customHeight="1">
      <c r="A17" s="8" t="inlineStr">
        <is>
          <t>Uploaded last 90 days</t>
        </is>
      </c>
      <c r="B17" s="9">
        <f>COUNTIFS('Chart Database'!$H$6:$H$4005,"&gt;="&amp;TODAY()-90,'Chart Database'!$H$6:$H$4005,"&lt;="&amp;TODAY())</f>
        <v/>
      </c>
      <c r="C17" s="10" t="inlineStr">
        <is>
          <t>A steadier read than one month, which one trainer's backlog can distort.</t>
        </is>
      </c>
      <c r="I17" s="11" t="n"/>
    </row>
    <row r="18" ht="20" customHeight="1">
      <c r="A18" s="8" t="inlineStr">
        <is>
          <t>Oldest active chart, days</t>
        </is>
      </c>
      <c r="B18" s="9">
        <f>SUMPRODUCT(MAX(('Chart Database'!$F$6:$F$4005="Active")*('Chart Database'!$H$6:$H$4005&lt;&gt;"")*(TODAY()-'Chart Database'!$H$6:$H$4005)))</f>
        <v/>
      </c>
      <c r="C18" s="10" t="inlineStr">
        <is>
          <t>Days since the oldest chart was uploaded. Past about 540 it predates a code-set year.</t>
        </is>
      </c>
      <c r="I18" s="11" t="n"/>
    </row>
    <row r="20" ht="20" customHeight="1">
      <c r="A20" s="7" t="inlineStr">
        <is>
          <t xml:space="preserve">  BY SPECIALTY</t>
        </is>
      </c>
    </row>
    <row r="21" ht="30" customHeight="1">
      <c r="A21" s="13" t="inlineStr">
        <is>
          <t>Specialty</t>
        </is>
      </c>
      <c r="B21" s="13" t="inlineStr">
        <is>
          <t>Target</t>
        </is>
      </c>
      <c r="C21" s="13" t="inlineStr">
        <is>
          <t>Active</t>
        </is>
      </c>
      <c r="D21" s="13" t="inlineStr">
        <is>
          <t>% of target</t>
        </is>
      </c>
      <c r="E21" s="13" t="inlineStr">
        <is>
          <t>Beginner</t>
        </is>
      </c>
      <c r="F21" s="13" t="inlineStr">
        <is>
          <t>Intermediate</t>
        </is>
      </c>
      <c r="G21" s="13" t="inlineStr">
        <is>
          <t>Advanced</t>
        </is>
      </c>
      <c r="H21" s="13" t="inlineStr">
        <is>
          <t>No key</t>
        </is>
      </c>
      <c r="I21" s="13" t="inlineStr">
        <is>
          <t>Status</t>
        </is>
      </c>
    </row>
    <row r="22" ht="22" customHeight="1">
      <c r="A22" s="14" t="inlineStr">
        <is>
          <t>IP-DRG</t>
        </is>
      </c>
      <c r="B22" s="15">
        <f>'Specialty Overview'!$C$5</f>
        <v/>
      </c>
      <c r="C22" s="15">
        <f>'Specialty Overview'!$D$5</f>
        <v/>
      </c>
      <c r="D22" s="16">
        <f>'Specialty Overview'!$G$5</f>
        <v/>
      </c>
      <c r="E22" s="15">
        <f>'Specialty Overview'!$H$5</f>
        <v/>
      </c>
      <c r="F22" s="15">
        <f>'Specialty Overview'!$I$5</f>
        <v/>
      </c>
      <c r="G22" s="15">
        <f>'Specialty Overview'!$J$5</f>
        <v/>
      </c>
      <c r="H22" s="15">
        <f>'Specialty Overview'!$K$5</f>
        <v/>
      </c>
      <c r="I22" s="17">
        <f>'Specialty Overview'!$N$5</f>
        <v/>
      </c>
    </row>
    <row r="23" ht="22" customHeight="1">
      <c r="A23" s="14" t="inlineStr">
        <is>
          <t>ED Facility</t>
        </is>
      </c>
      <c r="B23" s="15">
        <f>'Specialty Overview'!$C$6</f>
        <v/>
      </c>
      <c r="C23" s="15">
        <f>'Specialty Overview'!$D$6</f>
        <v/>
      </c>
      <c r="D23" s="16">
        <f>'Specialty Overview'!$G$6</f>
        <v/>
      </c>
      <c r="E23" s="15">
        <f>'Specialty Overview'!$H$6</f>
        <v/>
      </c>
      <c r="F23" s="15">
        <f>'Specialty Overview'!$I$6</f>
        <v/>
      </c>
      <c r="G23" s="15">
        <f>'Specialty Overview'!$J$6</f>
        <v/>
      </c>
      <c r="H23" s="15">
        <f>'Specialty Overview'!$K$6</f>
        <v/>
      </c>
      <c r="I23" s="17">
        <f>'Specialty Overview'!$N$6</f>
        <v/>
      </c>
    </row>
    <row r="24" ht="22" customHeight="1">
      <c r="A24" s="14" t="inlineStr">
        <is>
          <t>ED Profee</t>
        </is>
      </c>
      <c r="B24" s="15">
        <f>'Specialty Overview'!$C$7</f>
        <v/>
      </c>
      <c r="C24" s="15">
        <f>'Specialty Overview'!$D$7</f>
        <v/>
      </c>
      <c r="D24" s="16">
        <f>'Specialty Overview'!$G$7</f>
        <v/>
      </c>
      <c r="E24" s="15">
        <f>'Specialty Overview'!$H$7</f>
        <v/>
      </c>
      <c r="F24" s="15">
        <f>'Specialty Overview'!$I$7</f>
        <v/>
      </c>
      <c r="G24" s="15">
        <f>'Specialty Overview'!$J$7</f>
        <v/>
      </c>
      <c r="H24" s="15">
        <f>'Specialty Overview'!$K$7</f>
        <v/>
      </c>
      <c r="I24" s="17">
        <f>'Specialty Overview'!$N$7</f>
        <v/>
      </c>
    </row>
    <row r="25" ht="22" customHeight="1">
      <c r="A25" s="14" t="inlineStr">
        <is>
          <t>E/M</t>
        </is>
      </c>
      <c r="B25" s="15">
        <f>'Specialty Overview'!$C$8</f>
        <v/>
      </c>
      <c r="C25" s="15">
        <f>'Specialty Overview'!$D$8</f>
        <v/>
      </c>
      <c r="D25" s="16">
        <f>'Specialty Overview'!$G$8</f>
        <v/>
      </c>
      <c r="E25" s="15">
        <f>'Specialty Overview'!$H$8</f>
        <v/>
      </c>
      <c r="F25" s="15">
        <f>'Specialty Overview'!$I$8</f>
        <v/>
      </c>
      <c r="G25" s="15">
        <f>'Specialty Overview'!$J$8</f>
        <v/>
      </c>
      <c r="H25" s="15">
        <f>'Specialty Overview'!$K$8</f>
        <v/>
      </c>
      <c r="I25" s="17">
        <f>'Specialty Overview'!$N$8</f>
        <v/>
      </c>
    </row>
    <row r="26" ht="22" customHeight="1">
      <c r="A26" s="14" t="inlineStr">
        <is>
          <t>SDS</t>
        </is>
      </c>
      <c r="B26" s="15">
        <f>'Specialty Overview'!$C$9</f>
        <v/>
      </c>
      <c r="C26" s="15">
        <f>'Specialty Overview'!$D$9</f>
        <v/>
      </c>
      <c r="D26" s="16">
        <f>'Specialty Overview'!$G$9</f>
        <v/>
      </c>
      <c r="E26" s="15">
        <f>'Specialty Overview'!$H$9</f>
        <v/>
      </c>
      <c r="F26" s="15">
        <f>'Specialty Overview'!$I$9</f>
        <v/>
      </c>
      <c r="G26" s="15">
        <f>'Specialty Overview'!$J$9</f>
        <v/>
      </c>
      <c r="H26" s="15">
        <f>'Specialty Overview'!$K$9</f>
        <v/>
      </c>
      <c r="I26" s="17">
        <f>'Specialty Overview'!$N$9</f>
        <v/>
      </c>
    </row>
    <row r="27" ht="22" customHeight="1">
      <c r="A27" s="14" t="inlineStr">
        <is>
          <t>Surgery</t>
        </is>
      </c>
      <c r="B27" s="15">
        <f>'Specialty Overview'!$C$10</f>
        <v/>
      </c>
      <c r="C27" s="15">
        <f>'Specialty Overview'!$D$10</f>
        <v/>
      </c>
      <c r="D27" s="16">
        <f>'Specialty Overview'!$G$10</f>
        <v/>
      </c>
      <c r="E27" s="15">
        <f>'Specialty Overview'!$H$10</f>
        <v/>
      </c>
      <c r="F27" s="15">
        <f>'Specialty Overview'!$I$10</f>
        <v/>
      </c>
      <c r="G27" s="15">
        <f>'Specialty Overview'!$J$10</f>
        <v/>
      </c>
      <c r="H27" s="15">
        <f>'Specialty Overview'!$K$10</f>
        <v/>
      </c>
      <c r="I27" s="17">
        <f>'Specialty Overview'!$N$10</f>
        <v/>
      </c>
    </row>
    <row r="28" ht="22" customHeight="1">
      <c r="A28" s="14" t="inlineStr">
        <is>
          <t>ED Single Path</t>
        </is>
      </c>
      <c r="B28" s="15">
        <f>'Specialty Overview'!$C$11</f>
        <v/>
      </c>
      <c r="C28" s="15">
        <f>'Specialty Overview'!$D$11</f>
        <v/>
      </c>
      <c r="D28" s="16">
        <f>'Specialty Overview'!$G$11</f>
        <v/>
      </c>
      <c r="E28" s="15">
        <f>'Specialty Overview'!$H$11</f>
        <v/>
      </c>
      <c r="F28" s="15">
        <f>'Specialty Overview'!$I$11</f>
        <v/>
      </c>
      <c r="G28" s="15">
        <f>'Specialty Overview'!$J$11</f>
        <v/>
      </c>
      <c r="H28" s="15">
        <f>'Specialty Overview'!$K$11</f>
        <v/>
      </c>
      <c r="I28" s="17">
        <f>'Specialty Overview'!$N$11</f>
        <v/>
      </c>
    </row>
    <row r="30" ht="20" customHeight="1">
      <c r="A30" s="7" t="inlineStr">
        <is>
          <t xml:space="preserve">  WHERE TO LOOK NEXT</t>
        </is>
      </c>
    </row>
    <row r="31" ht="17" customHeight="1">
      <c r="A31" s="5" t="inlineStr">
        <is>
          <t>Topics with nothing at all  →  Category Dictionary, filter the In pool column to 0. That is the sourcing list.</t>
        </is>
      </c>
    </row>
    <row r="32" ht="17" customHeight="1">
      <c r="A32" s="5" t="inlineStr">
        <is>
          <t>Charts that cannot be graded  →  Chart Database, filter Answer key to No. Each one can reach a batch and then fail to score.</t>
        </is>
      </c>
    </row>
    <row r="33" ht="17" customHeight="1">
      <c r="A33" s="5" t="inlineStr">
        <is>
          <t>Who should practise what  →  Assignment Builder. Set the filters, then filter the database by Matches filter.</t>
        </is>
      </c>
    </row>
    <row r="34" ht="17" customHeight="1">
      <c r="A34" s="5" t="inlineStr">
        <is>
          <t>Is the build keeping up  →  Monthly Trend. The data bar in the Total column is the rate.</t>
        </is>
      </c>
    </row>
    <row r="35" ht="17" customHeight="1">
      <c r="A35" s="5" t="inlineStr">
        <is>
          <t>What changed lately  →  Recent Activity, by 7, 30 and 90 day windows and by trainer.</t>
        </is>
      </c>
    </row>
    <row r="36" ht="17" customHeight="1">
      <c r="A36" s="5" t="inlineStr">
        <is>
          <t>What a trainer should type  →  Category Dictionary, the SHORT NAME column. That is the whole vocabulary.</t>
        </is>
      </c>
    </row>
    <row r="38" ht="26" customHeight="1">
      <c r="A38" s="18" t="inlineStr">
        <is>
          <t>Pool complete divides ACTIVE charts by the taxonomy target. It is a headcount: a chart carrying three topics still counts once here, and three times on the Category Dictionary, which is why that sheet's total is larger.</t>
        </is>
      </c>
    </row>
    <row r="39" ht="26" customHeight="1">
      <c r="A39" s="19" t="inlineStr">
        <is>
          <t>Every figure on this sheet reads Chart Database rows 6 to 4005. Paste beyond row 4005 and the dashboard silently stops counting the overflow, so extend the formulas rather than typing past the end.</t>
        </is>
      </c>
    </row>
  </sheetData>
  <mergeCells count="27">
    <mergeCell ref="C17:I17"/>
    <mergeCell ref="C8:I8"/>
    <mergeCell ref="C7:I7"/>
    <mergeCell ref="C13:I13"/>
    <mergeCell ref="A2:I2"/>
    <mergeCell ref="C18:I18"/>
    <mergeCell ref="A33:I33"/>
    <mergeCell ref="A32:I32"/>
    <mergeCell ref="C6:I6"/>
    <mergeCell ref="C15:I15"/>
    <mergeCell ref="A35:I35"/>
    <mergeCell ref="A4:I4"/>
    <mergeCell ref="A20:I20"/>
    <mergeCell ref="C5:I5"/>
    <mergeCell ref="A38:I38"/>
    <mergeCell ref="C14:I14"/>
    <mergeCell ref="A31:I31"/>
    <mergeCell ref="C10:I10"/>
    <mergeCell ref="C16:I16"/>
    <mergeCell ref="A39:I39"/>
    <mergeCell ref="A34:I34"/>
    <mergeCell ref="A30:I30"/>
    <mergeCell ref="C9:I9"/>
    <mergeCell ref="A36:I36"/>
    <mergeCell ref="A1:I1"/>
    <mergeCell ref="C12:I12"/>
    <mergeCell ref="C11:I11"/>
  </mergeCells>
  <conditionalFormatting sqref="B9">
    <cfRule type="cellIs" priority="1" operator="greaterThan" dxfId="0">
      <formula>0</formula>
    </cfRule>
  </conditionalFormatting>
  <conditionalFormatting sqref="B10">
    <cfRule type="cellIs" priority="2" operator="greaterThan" dxfId="1">
      <formula>0</formula>
    </cfRule>
  </conditionalFormatting>
  <conditionalFormatting sqref="B11">
    <cfRule type="cellIs" priority="3" operator="greaterThan" dxfId="1">
      <formula>0</formula>
    </cfRule>
  </conditionalFormatting>
  <conditionalFormatting sqref="B12">
    <cfRule type="cellIs" priority="4" operator="greaterThan" dxfId="0">
      <formula>0</formula>
    </cfRule>
  </conditionalFormatting>
  <conditionalFormatting sqref="B13">
    <cfRule type="cellIs" priority="5" operator="greaterThan" dxfId="0">
      <formula>0</formula>
    </cfRule>
  </conditionalFormatting>
  <conditionalFormatting sqref="B14">
    <cfRule type="cellIs" priority="6" operator="greaterThan" dxfId="0">
      <formula>0</formula>
    </cfRule>
  </conditionalFormatting>
  <conditionalFormatting sqref="B15">
    <cfRule type="cellIs" priority="7" operator="greaterThan" dxfId="2">
      <formula>0</formula>
    </cfRule>
  </conditionalFormatting>
  <conditionalFormatting sqref="B16">
    <cfRule type="cellIs" priority="8" operator="greaterThan" dxfId="1">
      <formula>0</formula>
    </cfRule>
  </conditionalFormatting>
  <conditionalFormatting sqref="B18">
    <cfRule type="cellIs" priority="9" operator="greaterThan" dxfId="2">
      <formula>0</formula>
    </cfRule>
  </conditionalFormatting>
  <conditionalFormatting sqref="B7">
    <cfRule type="cellIs" priority="10" operator="greaterThanOrEqual" dxfId="1">
      <formula>0.8</formula>
    </cfRule>
  </conditionalFormatting>
  <conditionalFormatting sqref="D22:D28">
    <cfRule type="dataBar" priority="11">
      <dataBar showValue="1">
        <cfvo type="num" val="0"/>
        <cfvo type="num" val="1"/>
        <color rgb="002E75B6"/>
      </dataBar>
    </cfRule>
  </conditionalFormatting>
  <conditionalFormatting sqref="H22:H28">
    <cfRule type="cellIs" priority="12" operator="greaterThan" dxfId="3">
      <formula>0</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V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10" customWidth="1" min="16" max="16"/>
    <col width="9" customWidth="1" min="17" max="17"/>
    <col width="11" customWidth="1" min="18" max="18"/>
    <col width="9" customWidth="1" min="19" max="19"/>
    <col width="11" customWidth="1" min="20" max="20"/>
    <col width="12" customWidth="1" min="21" max="21"/>
    <col width="30" customWidth="1" min="22" max="22"/>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13" customHeight="1">
      <c r="A4" s="20" t="inlineStr">
        <is>
          <t>FROM THE APP</t>
        </is>
      </c>
      <c r="B4" s="20" t="inlineStr">
        <is>
          <t>FROM THE APP</t>
        </is>
      </c>
      <c r="C4" s="20" t="inlineStr">
        <is>
          <t>FROM THE APP</t>
        </is>
      </c>
      <c r="D4" s="20" t="inlineStr">
        <is>
          <t>FROM THE APP</t>
        </is>
      </c>
      <c r="E4" s="20" t="inlineStr">
        <is>
          <t>FROM THE APP</t>
        </is>
      </c>
      <c r="F4" s="20" t="inlineStr">
        <is>
          <t>FROM THE APP</t>
        </is>
      </c>
      <c r="G4" s="20" t="inlineStr">
        <is>
          <t>FROM THE APP</t>
        </is>
      </c>
      <c r="H4" s="20" t="inlineStr">
        <is>
          <t>FROM THE APP</t>
        </is>
      </c>
      <c r="I4" s="20" t="inlineStr">
        <is>
          <t>FROM THE APP</t>
        </is>
      </c>
      <c r="J4" s="21" t="inlineStr">
        <is>
          <t>AUTO</t>
        </is>
      </c>
      <c r="K4" s="21" t="inlineStr">
        <is>
          <t>AUTO</t>
        </is>
      </c>
      <c r="L4" s="21" t="inlineStr">
        <is>
          <t>AUTO</t>
        </is>
      </c>
      <c r="M4" s="21" t="inlineStr">
        <is>
          <t>AUTO</t>
        </is>
      </c>
      <c r="N4" s="21" t="inlineStr">
        <is>
          <t>AUTO</t>
        </is>
      </c>
      <c r="O4" s="22" t="inlineStr">
        <is>
          <t>WE MAINTAIN</t>
        </is>
      </c>
      <c r="P4" s="21" t="inlineStr">
        <is>
          <t>AUTO</t>
        </is>
      </c>
      <c r="Q4" s="22" t="inlineStr">
        <is>
          <t>WE MAINTAIN</t>
        </is>
      </c>
      <c r="R4" s="21" t="inlineStr">
        <is>
          <t>AUTO</t>
        </is>
      </c>
      <c r="S4" s="22" t="inlineStr">
        <is>
          <t>WE MAINTAIN</t>
        </is>
      </c>
      <c r="T4" s="22" t="inlineStr">
        <is>
          <t>WE MAINTAIN</t>
        </is>
      </c>
      <c r="U4" s="21" t="inlineStr">
        <is>
          <t>AUTO</t>
        </is>
      </c>
      <c r="V4" s="22" t="inlineStr">
        <is>
          <t>WE MAINTAIN</t>
        </is>
      </c>
    </row>
    <row r="5" ht="40" customHeight="1">
      <c r="A5" s="13" t="inlineStr">
        <is>
          <t>chart_number</t>
        </is>
      </c>
      <c r="B5" s="13" t="inlineStr">
        <is>
          <t>specialty</t>
        </is>
      </c>
      <c r="C5" s="13" t="inlineStr">
        <is>
          <t>category</t>
        </is>
      </c>
      <c r="D5" s="13" t="inlineStr">
        <is>
          <t>difficulty</t>
        </is>
      </c>
      <c r="E5" s="13" t="inlineStr">
        <is>
          <t>alias</t>
        </is>
      </c>
      <c r="F5" s="13" t="inlineStr">
        <is>
          <t>status</t>
        </is>
      </c>
      <c r="G5" s="13" t="inlineStr">
        <is>
          <t>uploaded_by</t>
        </is>
      </c>
      <c r="H5" s="13" t="inlineStr">
        <is>
          <t>created_at</t>
        </is>
      </c>
      <c r="I5" s="13" t="inlineStr">
        <is>
          <t>view_count</t>
        </is>
      </c>
      <c r="J5" s="13" t="inlineStr">
        <is>
          <t>Topics on chart
(auto)</t>
        </is>
      </c>
      <c r="K5" s="13" t="inlineStr">
        <is>
          <t>Recognised
(auto)</t>
        </is>
      </c>
      <c r="L5" s="13" t="inlineStr">
        <is>
          <t>Primary topic
(auto)</t>
        </is>
      </c>
      <c r="M5" s="13" t="inlineStr">
        <is>
          <t>Upload month
(auto)</t>
        </is>
      </c>
      <c r="N5" s="13" t="inlineStr">
        <is>
          <t>Days in pool
(auto)</t>
        </is>
      </c>
      <c r="O5" s="13" t="inlineStr">
        <is>
          <t>Answer key</t>
        </is>
      </c>
      <c r="P5" s="13" t="inlineStr">
        <is>
          <t>Audit versions
(auto)</t>
        </is>
      </c>
      <c r="Q5" s="13" t="inlineStr">
        <is>
          <t>Audit cycles
used</t>
        </is>
      </c>
      <c r="R5" s="13" t="inlineStr">
        <is>
          <t>Next version
(auto)</t>
        </is>
      </c>
      <c r="S5" s="13" t="inlineStr">
        <is>
          <t>Times
assigned</t>
        </is>
      </c>
      <c r="T5" s="13" t="inlineStr">
        <is>
          <t>Last assigned</t>
        </is>
      </c>
      <c r="U5" s="13" t="inlineStr">
        <is>
          <t>Matches filter
(auto)</t>
        </is>
      </c>
      <c r="V5" s="13" t="inlineStr">
        <is>
          <t>Notes</t>
        </is>
      </c>
    </row>
    <row r="6">
      <c r="A6" s="23" t="n"/>
      <c r="B6" s="23" t="n"/>
      <c r="C6" s="24" t="n"/>
      <c r="D6" s="15" t="n"/>
      <c r="E6" s="23" t="n"/>
      <c r="F6" s="15" t="n"/>
      <c r="G6" s="23" t="n"/>
      <c r="H6" s="25" t="n"/>
      <c r="I6" s="15" t="n"/>
      <c r="J6" s="26">
        <f>IF($A6="","",LEN($C6)-LEN(SUBSTITUTE($C6,",",""))+1)</f>
        <v/>
      </c>
      <c r="K6" s="26">
        <f>IF($A6="","",SUMPRODUCT(--ISNUMBER(SEARCH('Category Dictionary'!$D$5:$D$135&amp;"",$C6)),--('Category Dictionary'!$D$5:$D$135&lt;&gt;"")))</f>
        <v/>
      </c>
      <c r="L6" s="27">
        <f>IF($A6="","",TRIM(IF(ISERROR(FIND(",",$C6)),$C6,LEFT($C6,FIND(",",$C6)-1))))</f>
        <v/>
      </c>
      <c r="M6" s="28">
        <f>IF($H6="","",DATE(YEAR($H6),MONTH($H6),1))</f>
        <v/>
      </c>
      <c r="N6" s="26">
        <f>IF($H6="","",TODAY()-$H6)</f>
        <v/>
      </c>
      <c r="O6" s="15" t="n"/>
      <c r="P6" s="26">
        <f>IF($A6="","",COUNTIFS('Audit Versions'!$A$6:$A$605,$A6,'Audit Versions'!$L$6:$L$605,"Active"))</f>
        <v/>
      </c>
      <c r="Q6" s="15" t="n"/>
      <c r="R6" s="26">
        <f>IF(OR($A6="",$P6=0),"",MOD(N($Q6),$P6)+1)</f>
        <v/>
      </c>
      <c r="S6" s="15" t="n"/>
      <c r="T6" s="25" t="n"/>
      <c r="U6" s="26">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Builder'!$B$12="",N($S6)&lt;='Assignment Builder'!$B$12)))</f>
        <v/>
      </c>
      <c r="V6" s="23" t="n"/>
    </row>
    <row r="7">
      <c r="A7" s="23" t="n"/>
      <c r="B7" s="23" t="n"/>
      <c r="C7" s="24" t="n"/>
      <c r="D7" s="15" t="n"/>
      <c r="E7" s="23" t="n"/>
      <c r="F7" s="15" t="n"/>
      <c r="G7" s="23" t="n"/>
      <c r="H7" s="25" t="n"/>
      <c r="I7" s="15" t="n"/>
      <c r="J7" s="26">
        <f>IF($A7="","",LEN($C7)-LEN(SUBSTITUTE($C7,",",""))+1)</f>
        <v/>
      </c>
      <c r="K7" s="26">
        <f>IF($A7="","",SUMPRODUCT(--ISNUMBER(SEARCH('Category Dictionary'!$D$5:$D$135&amp;"",$C7)),--('Category Dictionary'!$D$5:$D$135&lt;&gt;"")))</f>
        <v/>
      </c>
      <c r="L7" s="27">
        <f>IF($A7="","",TRIM(IF(ISERROR(FIND(",",$C7)),$C7,LEFT($C7,FIND(",",$C7)-1))))</f>
        <v/>
      </c>
      <c r="M7" s="28">
        <f>IF($H7="","",DATE(YEAR($H7),MONTH($H7),1))</f>
        <v/>
      </c>
      <c r="N7" s="26">
        <f>IF($H7="","",TODAY()-$H7)</f>
        <v/>
      </c>
      <c r="O7" s="15" t="n"/>
      <c r="P7" s="26">
        <f>IF($A7="","",COUNTIFS('Audit Versions'!$A$6:$A$605,$A7,'Audit Versions'!$L$6:$L$605,"Active"))</f>
        <v/>
      </c>
      <c r="Q7" s="15" t="n"/>
      <c r="R7" s="26">
        <f>IF(OR($A7="",$P7=0),"",MOD(N($Q7),$P7)+1)</f>
        <v/>
      </c>
      <c r="S7" s="15" t="n"/>
      <c r="T7" s="25" t="n"/>
      <c r="U7" s="26">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Builder'!$B$12="",N($S7)&lt;='Assignment Builder'!$B$12)))</f>
        <v/>
      </c>
      <c r="V7" s="23" t="n"/>
    </row>
    <row r="8">
      <c r="A8" s="23" t="n"/>
      <c r="B8" s="23" t="n"/>
      <c r="C8" s="24" t="n"/>
      <c r="D8" s="15" t="n"/>
      <c r="E8" s="23" t="n"/>
      <c r="F8" s="15" t="n"/>
      <c r="G8" s="23" t="n"/>
      <c r="H8" s="25" t="n"/>
      <c r="I8" s="15" t="n"/>
      <c r="J8" s="26">
        <f>IF($A8="","",LEN($C8)-LEN(SUBSTITUTE($C8,",",""))+1)</f>
        <v/>
      </c>
      <c r="K8" s="26">
        <f>IF($A8="","",SUMPRODUCT(--ISNUMBER(SEARCH('Category Dictionary'!$D$5:$D$135&amp;"",$C8)),--('Category Dictionary'!$D$5:$D$135&lt;&gt;"")))</f>
        <v/>
      </c>
      <c r="L8" s="27">
        <f>IF($A8="","",TRIM(IF(ISERROR(FIND(",",$C8)),$C8,LEFT($C8,FIND(",",$C8)-1))))</f>
        <v/>
      </c>
      <c r="M8" s="28">
        <f>IF($H8="","",DATE(YEAR($H8),MONTH($H8),1))</f>
        <v/>
      </c>
      <c r="N8" s="26">
        <f>IF($H8="","",TODAY()-$H8)</f>
        <v/>
      </c>
      <c r="O8" s="15" t="n"/>
      <c r="P8" s="26">
        <f>IF($A8="","",COUNTIFS('Audit Versions'!$A$6:$A$605,$A8,'Audit Versions'!$L$6:$L$605,"Active"))</f>
        <v/>
      </c>
      <c r="Q8" s="15" t="n"/>
      <c r="R8" s="26">
        <f>IF(OR($A8="",$P8=0),"",MOD(N($Q8),$P8)+1)</f>
        <v/>
      </c>
      <c r="S8" s="15" t="n"/>
      <c r="T8" s="25" t="n"/>
      <c r="U8" s="26">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Builder'!$B$12="",N($S8)&lt;='Assignment Builder'!$B$12)))</f>
        <v/>
      </c>
      <c r="V8" s="23" t="n"/>
    </row>
    <row r="9">
      <c r="A9" s="23" t="n"/>
      <c r="B9" s="23" t="n"/>
      <c r="C9" s="24" t="n"/>
      <c r="D9" s="15" t="n"/>
      <c r="E9" s="23" t="n"/>
      <c r="F9" s="15" t="n"/>
      <c r="G9" s="23" t="n"/>
      <c r="H9" s="25" t="n"/>
      <c r="I9" s="15" t="n"/>
      <c r="J9" s="26">
        <f>IF($A9="","",LEN($C9)-LEN(SUBSTITUTE($C9,",",""))+1)</f>
        <v/>
      </c>
      <c r="K9" s="26">
        <f>IF($A9="","",SUMPRODUCT(--ISNUMBER(SEARCH('Category Dictionary'!$D$5:$D$135&amp;"",$C9)),--('Category Dictionary'!$D$5:$D$135&lt;&gt;"")))</f>
        <v/>
      </c>
      <c r="L9" s="27">
        <f>IF($A9="","",TRIM(IF(ISERROR(FIND(",",$C9)),$C9,LEFT($C9,FIND(",",$C9)-1))))</f>
        <v/>
      </c>
      <c r="M9" s="28">
        <f>IF($H9="","",DATE(YEAR($H9),MONTH($H9),1))</f>
        <v/>
      </c>
      <c r="N9" s="26">
        <f>IF($H9="","",TODAY()-$H9)</f>
        <v/>
      </c>
      <c r="O9" s="15" t="n"/>
      <c r="P9" s="26">
        <f>IF($A9="","",COUNTIFS('Audit Versions'!$A$6:$A$605,$A9,'Audit Versions'!$L$6:$L$605,"Active"))</f>
        <v/>
      </c>
      <c r="Q9" s="15" t="n"/>
      <c r="R9" s="26">
        <f>IF(OR($A9="",$P9=0),"",MOD(N($Q9),$P9)+1)</f>
        <v/>
      </c>
      <c r="S9" s="15" t="n"/>
      <c r="T9" s="25" t="n"/>
      <c r="U9" s="26">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Builder'!$B$12="",N($S9)&lt;='Assignment Builder'!$B$12)))</f>
        <v/>
      </c>
      <c r="V9" s="23" t="n"/>
    </row>
    <row r="10">
      <c r="A10" s="23" t="n"/>
      <c r="B10" s="23" t="n"/>
      <c r="C10" s="24" t="n"/>
      <c r="D10" s="15" t="n"/>
      <c r="E10" s="23" t="n"/>
      <c r="F10" s="15" t="n"/>
      <c r="G10" s="23" t="n"/>
      <c r="H10" s="25" t="n"/>
      <c r="I10" s="15" t="n"/>
      <c r="J10" s="26">
        <f>IF($A10="","",LEN($C10)-LEN(SUBSTITUTE($C10,",",""))+1)</f>
        <v/>
      </c>
      <c r="K10" s="26">
        <f>IF($A10="","",SUMPRODUCT(--ISNUMBER(SEARCH('Category Dictionary'!$D$5:$D$135&amp;"",$C10)),--('Category Dictionary'!$D$5:$D$135&lt;&gt;"")))</f>
        <v/>
      </c>
      <c r="L10" s="27">
        <f>IF($A10="","",TRIM(IF(ISERROR(FIND(",",$C10)),$C10,LEFT($C10,FIND(",",$C10)-1))))</f>
        <v/>
      </c>
      <c r="M10" s="28">
        <f>IF($H10="","",DATE(YEAR($H10),MONTH($H10),1))</f>
        <v/>
      </c>
      <c r="N10" s="26">
        <f>IF($H10="","",TODAY()-$H10)</f>
        <v/>
      </c>
      <c r="O10" s="15" t="n"/>
      <c r="P10" s="26">
        <f>IF($A10="","",COUNTIFS('Audit Versions'!$A$6:$A$605,$A10,'Audit Versions'!$L$6:$L$605,"Active"))</f>
        <v/>
      </c>
      <c r="Q10" s="15" t="n"/>
      <c r="R10" s="26">
        <f>IF(OR($A10="",$P10=0),"",MOD(N($Q10),$P10)+1)</f>
        <v/>
      </c>
      <c r="S10" s="15" t="n"/>
      <c r="T10" s="25" t="n"/>
      <c r="U10" s="26">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Builder'!$B$12="",N($S10)&lt;='Assignment Builder'!$B$12)))</f>
        <v/>
      </c>
      <c r="V10" s="23" t="n"/>
    </row>
    <row r="11">
      <c r="A11" s="23" t="n"/>
      <c r="B11" s="23" t="n"/>
      <c r="C11" s="24" t="n"/>
      <c r="D11" s="15" t="n"/>
      <c r="E11" s="23" t="n"/>
      <c r="F11" s="15" t="n"/>
      <c r="G11" s="23" t="n"/>
      <c r="H11" s="25" t="n"/>
      <c r="I11" s="15" t="n"/>
      <c r="J11" s="26">
        <f>IF($A11="","",LEN($C11)-LEN(SUBSTITUTE($C11,",",""))+1)</f>
        <v/>
      </c>
      <c r="K11" s="26">
        <f>IF($A11="","",SUMPRODUCT(--ISNUMBER(SEARCH('Category Dictionary'!$D$5:$D$135&amp;"",$C11)),--('Category Dictionary'!$D$5:$D$135&lt;&gt;"")))</f>
        <v/>
      </c>
      <c r="L11" s="27">
        <f>IF($A11="","",TRIM(IF(ISERROR(FIND(",",$C11)),$C11,LEFT($C11,FIND(",",$C11)-1))))</f>
        <v/>
      </c>
      <c r="M11" s="28">
        <f>IF($H11="","",DATE(YEAR($H11),MONTH($H11),1))</f>
        <v/>
      </c>
      <c r="N11" s="26">
        <f>IF($H11="","",TODAY()-$H11)</f>
        <v/>
      </c>
      <c r="O11" s="15" t="n"/>
      <c r="P11" s="26">
        <f>IF($A11="","",COUNTIFS('Audit Versions'!$A$6:$A$605,$A11,'Audit Versions'!$L$6:$L$605,"Active"))</f>
        <v/>
      </c>
      <c r="Q11" s="15" t="n"/>
      <c r="R11" s="26">
        <f>IF(OR($A11="",$P11=0),"",MOD(N($Q11),$P11)+1)</f>
        <v/>
      </c>
      <c r="S11" s="15" t="n"/>
      <c r="T11" s="25" t="n"/>
      <c r="U11" s="26">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Builder'!$B$12="",N($S11)&lt;='Assignment Builder'!$B$12)))</f>
        <v/>
      </c>
      <c r="V11" s="23" t="n"/>
    </row>
    <row r="12">
      <c r="A12" s="23" t="n"/>
      <c r="B12" s="23" t="n"/>
      <c r="C12" s="24" t="n"/>
      <c r="D12" s="15" t="n"/>
      <c r="E12" s="23" t="n"/>
      <c r="F12" s="15" t="n"/>
      <c r="G12" s="23" t="n"/>
      <c r="H12" s="25" t="n"/>
      <c r="I12" s="15" t="n"/>
      <c r="J12" s="26">
        <f>IF($A12="","",LEN($C12)-LEN(SUBSTITUTE($C12,",",""))+1)</f>
        <v/>
      </c>
      <c r="K12" s="26">
        <f>IF($A12="","",SUMPRODUCT(--ISNUMBER(SEARCH('Category Dictionary'!$D$5:$D$135&amp;"",$C12)),--('Category Dictionary'!$D$5:$D$135&lt;&gt;"")))</f>
        <v/>
      </c>
      <c r="L12" s="27">
        <f>IF($A12="","",TRIM(IF(ISERROR(FIND(",",$C12)),$C12,LEFT($C12,FIND(",",$C12)-1))))</f>
        <v/>
      </c>
      <c r="M12" s="28">
        <f>IF($H12="","",DATE(YEAR($H12),MONTH($H12),1))</f>
        <v/>
      </c>
      <c r="N12" s="26">
        <f>IF($H12="","",TODAY()-$H12)</f>
        <v/>
      </c>
      <c r="O12" s="15" t="n"/>
      <c r="P12" s="26">
        <f>IF($A12="","",COUNTIFS('Audit Versions'!$A$6:$A$605,$A12,'Audit Versions'!$L$6:$L$605,"Active"))</f>
        <v/>
      </c>
      <c r="Q12" s="15" t="n"/>
      <c r="R12" s="26">
        <f>IF(OR($A12="",$P12=0),"",MOD(N($Q12),$P12)+1)</f>
        <v/>
      </c>
      <c r="S12" s="15" t="n"/>
      <c r="T12" s="25" t="n"/>
      <c r="U12" s="26">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Builder'!$B$12="",N($S12)&lt;='Assignment Builder'!$B$12)))</f>
        <v/>
      </c>
      <c r="V12" s="23" t="n"/>
    </row>
    <row r="13">
      <c r="A13" s="23" t="n"/>
      <c r="B13" s="23" t="n"/>
      <c r="C13" s="24" t="n"/>
      <c r="D13" s="15" t="n"/>
      <c r="E13" s="23" t="n"/>
      <c r="F13" s="15" t="n"/>
      <c r="G13" s="23" t="n"/>
      <c r="H13" s="25" t="n"/>
      <c r="I13" s="15" t="n"/>
      <c r="J13" s="26">
        <f>IF($A13="","",LEN($C13)-LEN(SUBSTITUTE($C13,",",""))+1)</f>
        <v/>
      </c>
      <c r="K13" s="26">
        <f>IF($A13="","",SUMPRODUCT(--ISNUMBER(SEARCH('Category Dictionary'!$D$5:$D$135&amp;"",$C13)),--('Category Dictionary'!$D$5:$D$135&lt;&gt;"")))</f>
        <v/>
      </c>
      <c r="L13" s="27">
        <f>IF($A13="","",TRIM(IF(ISERROR(FIND(",",$C13)),$C13,LEFT($C13,FIND(",",$C13)-1))))</f>
        <v/>
      </c>
      <c r="M13" s="28">
        <f>IF($H13="","",DATE(YEAR($H13),MONTH($H13),1))</f>
        <v/>
      </c>
      <c r="N13" s="26">
        <f>IF($H13="","",TODAY()-$H13)</f>
        <v/>
      </c>
      <c r="O13" s="15" t="n"/>
      <c r="P13" s="26">
        <f>IF($A13="","",COUNTIFS('Audit Versions'!$A$6:$A$605,$A13,'Audit Versions'!$L$6:$L$605,"Active"))</f>
        <v/>
      </c>
      <c r="Q13" s="15" t="n"/>
      <c r="R13" s="26">
        <f>IF(OR($A13="",$P13=0),"",MOD(N($Q13),$P13)+1)</f>
        <v/>
      </c>
      <c r="S13" s="15" t="n"/>
      <c r="T13" s="25" t="n"/>
      <c r="U13" s="26">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Builder'!$B$12="",N($S13)&lt;='Assignment Builder'!$B$12)))</f>
        <v/>
      </c>
      <c r="V13" s="23" t="n"/>
    </row>
    <row r="14">
      <c r="A14" s="23" t="n"/>
      <c r="B14" s="23" t="n"/>
      <c r="C14" s="24" t="n"/>
      <c r="D14" s="15" t="n"/>
      <c r="E14" s="23" t="n"/>
      <c r="F14" s="15" t="n"/>
      <c r="G14" s="23" t="n"/>
      <c r="H14" s="25" t="n"/>
      <c r="I14" s="15" t="n"/>
      <c r="J14" s="26">
        <f>IF($A14="","",LEN($C14)-LEN(SUBSTITUTE($C14,",",""))+1)</f>
        <v/>
      </c>
      <c r="K14" s="26">
        <f>IF($A14="","",SUMPRODUCT(--ISNUMBER(SEARCH('Category Dictionary'!$D$5:$D$135&amp;"",$C14)),--('Category Dictionary'!$D$5:$D$135&lt;&gt;"")))</f>
        <v/>
      </c>
      <c r="L14" s="27">
        <f>IF($A14="","",TRIM(IF(ISERROR(FIND(",",$C14)),$C14,LEFT($C14,FIND(",",$C14)-1))))</f>
        <v/>
      </c>
      <c r="M14" s="28">
        <f>IF($H14="","",DATE(YEAR($H14),MONTH($H14),1))</f>
        <v/>
      </c>
      <c r="N14" s="26">
        <f>IF($H14="","",TODAY()-$H14)</f>
        <v/>
      </c>
      <c r="O14" s="15" t="n"/>
      <c r="P14" s="26">
        <f>IF($A14="","",COUNTIFS('Audit Versions'!$A$6:$A$605,$A14,'Audit Versions'!$L$6:$L$605,"Active"))</f>
        <v/>
      </c>
      <c r="Q14" s="15" t="n"/>
      <c r="R14" s="26">
        <f>IF(OR($A14="",$P14=0),"",MOD(N($Q14),$P14)+1)</f>
        <v/>
      </c>
      <c r="S14" s="15" t="n"/>
      <c r="T14" s="25" t="n"/>
      <c r="U14" s="26">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Builder'!$B$12="",N($S14)&lt;='Assignment Builder'!$B$12)))</f>
        <v/>
      </c>
      <c r="V14" s="23" t="n"/>
    </row>
    <row r="15">
      <c r="A15" s="23" t="n"/>
      <c r="B15" s="23" t="n"/>
      <c r="C15" s="24" t="n"/>
      <c r="D15" s="15" t="n"/>
      <c r="E15" s="23" t="n"/>
      <c r="F15" s="15" t="n"/>
      <c r="G15" s="23" t="n"/>
      <c r="H15" s="25" t="n"/>
      <c r="I15" s="15" t="n"/>
      <c r="J15" s="26">
        <f>IF($A15="","",LEN($C15)-LEN(SUBSTITUTE($C15,",",""))+1)</f>
        <v/>
      </c>
      <c r="K15" s="26">
        <f>IF($A15="","",SUMPRODUCT(--ISNUMBER(SEARCH('Category Dictionary'!$D$5:$D$135&amp;"",$C15)),--('Category Dictionary'!$D$5:$D$135&lt;&gt;"")))</f>
        <v/>
      </c>
      <c r="L15" s="27">
        <f>IF($A15="","",TRIM(IF(ISERROR(FIND(",",$C15)),$C15,LEFT($C15,FIND(",",$C15)-1))))</f>
        <v/>
      </c>
      <c r="M15" s="28">
        <f>IF($H15="","",DATE(YEAR($H15),MONTH($H15),1))</f>
        <v/>
      </c>
      <c r="N15" s="26">
        <f>IF($H15="","",TODAY()-$H15)</f>
        <v/>
      </c>
      <c r="O15" s="15" t="n"/>
      <c r="P15" s="26">
        <f>IF($A15="","",COUNTIFS('Audit Versions'!$A$6:$A$605,$A15,'Audit Versions'!$L$6:$L$605,"Active"))</f>
        <v/>
      </c>
      <c r="Q15" s="15" t="n"/>
      <c r="R15" s="26">
        <f>IF(OR($A15="",$P15=0),"",MOD(N($Q15),$P15)+1)</f>
        <v/>
      </c>
      <c r="S15" s="15" t="n"/>
      <c r="T15" s="25" t="n"/>
      <c r="U15" s="26">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Builder'!$B$12="",N($S15)&lt;='Assignment Builder'!$B$12)))</f>
        <v/>
      </c>
      <c r="V15" s="23" t="n"/>
    </row>
    <row r="16">
      <c r="A16" s="23" t="n"/>
      <c r="B16" s="23" t="n"/>
      <c r="C16" s="24" t="n"/>
      <c r="D16" s="15" t="n"/>
      <c r="E16" s="23" t="n"/>
      <c r="F16" s="15" t="n"/>
      <c r="G16" s="23" t="n"/>
      <c r="H16" s="25" t="n"/>
      <c r="I16" s="15" t="n"/>
      <c r="J16" s="26">
        <f>IF($A16="","",LEN($C16)-LEN(SUBSTITUTE($C16,",",""))+1)</f>
        <v/>
      </c>
      <c r="K16" s="26">
        <f>IF($A16="","",SUMPRODUCT(--ISNUMBER(SEARCH('Category Dictionary'!$D$5:$D$135&amp;"",$C16)),--('Category Dictionary'!$D$5:$D$135&lt;&gt;"")))</f>
        <v/>
      </c>
      <c r="L16" s="27">
        <f>IF($A16="","",TRIM(IF(ISERROR(FIND(",",$C16)),$C16,LEFT($C16,FIND(",",$C16)-1))))</f>
        <v/>
      </c>
      <c r="M16" s="28">
        <f>IF($H16="","",DATE(YEAR($H16),MONTH($H16),1))</f>
        <v/>
      </c>
      <c r="N16" s="26">
        <f>IF($H16="","",TODAY()-$H16)</f>
        <v/>
      </c>
      <c r="O16" s="15" t="n"/>
      <c r="P16" s="26">
        <f>IF($A16="","",COUNTIFS('Audit Versions'!$A$6:$A$605,$A16,'Audit Versions'!$L$6:$L$605,"Active"))</f>
        <v/>
      </c>
      <c r="Q16" s="15" t="n"/>
      <c r="R16" s="26">
        <f>IF(OR($A16="",$P16=0),"",MOD(N($Q16),$P16)+1)</f>
        <v/>
      </c>
      <c r="S16" s="15" t="n"/>
      <c r="T16" s="25" t="n"/>
      <c r="U16" s="26">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Builder'!$B$12="",N($S16)&lt;='Assignment Builder'!$B$12)))</f>
        <v/>
      </c>
      <c r="V16" s="23" t="n"/>
    </row>
    <row r="17">
      <c r="A17" s="23" t="n"/>
      <c r="B17" s="23" t="n"/>
      <c r="C17" s="24" t="n"/>
      <c r="D17" s="15" t="n"/>
      <c r="E17" s="23" t="n"/>
      <c r="F17" s="15" t="n"/>
      <c r="G17" s="23" t="n"/>
      <c r="H17" s="25" t="n"/>
      <c r="I17" s="15" t="n"/>
      <c r="J17" s="26">
        <f>IF($A17="","",LEN($C17)-LEN(SUBSTITUTE($C17,",",""))+1)</f>
        <v/>
      </c>
      <c r="K17" s="26">
        <f>IF($A17="","",SUMPRODUCT(--ISNUMBER(SEARCH('Category Dictionary'!$D$5:$D$135&amp;"",$C17)),--('Category Dictionary'!$D$5:$D$135&lt;&gt;"")))</f>
        <v/>
      </c>
      <c r="L17" s="27">
        <f>IF($A17="","",TRIM(IF(ISERROR(FIND(",",$C17)),$C17,LEFT($C17,FIND(",",$C17)-1))))</f>
        <v/>
      </c>
      <c r="M17" s="28">
        <f>IF($H17="","",DATE(YEAR($H17),MONTH($H17),1))</f>
        <v/>
      </c>
      <c r="N17" s="26">
        <f>IF($H17="","",TODAY()-$H17)</f>
        <v/>
      </c>
      <c r="O17" s="15" t="n"/>
      <c r="P17" s="26">
        <f>IF($A17="","",COUNTIFS('Audit Versions'!$A$6:$A$605,$A17,'Audit Versions'!$L$6:$L$605,"Active"))</f>
        <v/>
      </c>
      <c r="Q17" s="15" t="n"/>
      <c r="R17" s="26">
        <f>IF(OR($A17="",$P17=0),"",MOD(N($Q17),$P17)+1)</f>
        <v/>
      </c>
      <c r="S17" s="15" t="n"/>
      <c r="T17" s="25" t="n"/>
      <c r="U17" s="26">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Builder'!$B$12="",N($S17)&lt;='Assignment Builder'!$B$12)))</f>
        <v/>
      </c>
      <c r="V17" s="23" t="n"/>
    </row>
    <row r="18">
      <c r="A18" s="23" t="n"/>
      <c r="B18" s="23" t="n"/>
      <c r="C18" s="24" t="n"/>
      <c r="D18" s="15" t="n"/>
      <c r="E18" s="23" t="n"/>
      <c r="F18" s="15" t="n"/>
      <c r="G18" s="23" t="n"/>
      <c r="H18" s="25" t="n"/>
      <c r="I18" s="15" t="n"/>
      <c r="J18" s="26">
        <f>IF($A18="","",LEN($C18)-LEN(SUBSTITUTE($C18,",",""))+1)</f>
        <v/>
      </c>
      <c r="K18" s="26">
        <f>IF($A18="","",SUMPRODUCT(--ISNUMBER(SEARCH('Category Dictionary'!$D$5:$D$135&amp;"",$C18)),--('Category Dictionary'!$D$5:$D$135&lt;&gt;"")))</f>
        <v/>
      </c>
      <c r="L18" s="27">
        <f>IF($A18="","",TRIM(IF(ISERROR(FIND(",",$C18)),$C18,LEFT($C18,FIND(",",$C18)-1))))</f>
        <v/>
      </c>
      <c r="M18" s="28">
        <f>IF($H18="","",DATE(YEAR($H18),MONTH($H18),1))</f>
        <v/>
      </c>
      <c r="N18" s="26">
        <f>IF($H18="","",TODAY()-$H18)</f>
        <v/>
      </c>
      <c r="O18" s="15" t="n"/>
      <c r="P18" s="26">
        <f>IF($A18="","",COUNTIFS('Audit Versions'!$A$6:$A$605,$A18,'Audit Versions'!$L$6:$L$605,"Active"))</f>
        <v/>
      </c>
      <c r="Q18" s="15" t="n"/>
      <c r="R18" s="26">
        <f>IF(OR($A18="",$P18=0),"",MOD(N($Q18),$P18)+1)</f>
        <v/>
      </c>
      <c r="S18" s="15" t="n"/>
      <c r="T18" s="25" t="n"/>
      <c r="U18" s="26">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Builder'!$B$12="",N($S18)&lt;='Assignment Builder'!$B$12)))</f>
        <v/>
      </c>
      <c r="V18" s="23" t="n"/>
    </row>
    <row r="19">
      <c r="A19" s="23" t="n"/>
      <c r="B19" s="23" t="n"/>
      <c r="C19" s="24" t="n"/>
      <c r="D19" s="15" t="n"/>
      <c r="E19" s="23" t="n"/>
      <c r="F19" s="15" t="n"/>
      <c r="G19" s="23" t="n"/>
      <c r="H19" s="25" t="n"/>
      <c r="I19" s="15" t="n"/>
      <c r="J19" s="26">
        <f>IF($A19="","",LEN($C19)-LEN(SUBSTITUTE($C19,",",""))+1)</f>
        <v/>
      </c>
      <c r="K19" s="26">
        <f>IF($A19="","",SUMPRODUCT(--ISNUMBER(SEARCH('Category Dictionary'!$D$5:$D$135&amp;"",$C19)),--('Category Dictionary'!$D$5:$D$135&lt;&gt;"")))</f>
        <v/>
      </c>
      <c r="L19" s="27">
        <f>IF($A19="","",TRIM(IF(ISERROR(FIND(",",$C19)),$C19,LEFT($C19,FIND(",",$C19)-1))))</f>
        <v/>
      </c>
      <c r="M19" s="28">
        <f>IF($H19="","",DATE(YEAR($H19),MONTH($H19),1))</f>
        <v/>
      </c>
      <c r="N19" s="26">
        <f>IF($H19="","",TODAY()-$H19)</f>
        <v/>
      </c>
      <c r="O19" s="15" t="n"/>
      <c r="P19" s="26">
        <f>IF($A19="","",COUNTIFS('Audit Versions'!$A$6:$A$605,$A19,'Audit Versions'!$L$6:$L$605,"Active"))</f>
        <v/>
      </c>
      <c r="Q19" s="15" t="n"/>
      <c r="R19" s="26">
        <f>IF(OR($A19="",$P19=0),"",MOD(N($Q19),$P19)+1)</f>
        <v/>
      </c>
      <c r="S19" s="15" t="n"/>
      <c r="T19" s="25" t="n"/>
      <c r="U19" s="26">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Builder'!$B$12="",N($S19)&lt;='Assignment Builder'!$B$12)))</f>
        <v/>
      </c>
      <c r="V19" s="23" t="n"/>
    </row>
    <row r="20">
      <c r="A20" s="23" t="n"/>
      <c r="B20" s="23" t="n"/>
      <c r="C20" s="24" t="n"/>
      <c r="D20" s="15" t="n"/>
      <c r="E20" s="23" t="n"/>
      <c r="F20" s="15" t="n"/>
      <c r="G20" s="23" t="n"/>
      <c r="H20" s="25" t="n"/>
      <c r="I20" s="15" t="n"/>
      <c r="J20" s="26">
        <f>IF($A20="","",LEN($C20)-LEN(SUBSTITUTE($C20,",",""))+1)</f>
        <v/>
      </c>
      <c r="K20" s="26">
        <f>IF($A20="","",SUMPRODUCT(--ISNUMBER(SEARCH('Category Dictionary'!$D$5:$D$135&amp;"",$C20)),--('Category Dictionary'!$D$5:$D$135&lt;&gt;"")))</f>
        <v/>
      </c>
      <c r="L20" s="27">
        <f>IF($A20="","",TRIM(IF(ISERROR(FIND(",",$C20)),$C20,LEFT($C20,FIND(",",$C20)-1))))</f>
        <v/>
      </c>
      <c r="M20" s="28">
        <f>IF($H20="","",DATE(YEAR($H20),MONTH($H20),1))</f>
        <v/>
      </c>
      <c r="N20" s="26">
        <f>IF($H20="","",TODAY()-$H20)</f>
        <v/>
      </c>
      <c r="O20" s="15" t="n"/>
      <c r="P20" s="26">
        <f>IF($A20="","",COUNTIFS('Audit Versions'!$A$6:$A$605,$A20,'Audit Versions'!$L$6:$L$605,"Active"))</f>
        <v/>
      </c>
      <c r="Q20" s="15" t="n"/>
      <c r="R20" s="26">
        <f>IF(OR($A20="",$P20=0),"",MOD(N($Q20),$P20)+1)</f>
        <v/>
      </c>
      <c r="S20" s="15" t="n"/>
      <c r="T20" s="25" t="n"/>
      <c r="U20" s="26">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Builder'!$B$12="",N($S20)&lt;='Assignment Builder'!$B$12)))</f>
        <v/>
      </c>
      <c r="V20" s="23" t="n"/>
    </row>
    <row r="21">
      <c r="A21" s="23" t="n"/>
      <c r="B21" s="23" t="n"/>
      <c r="C21" s="24" t="n"/>
      <c r="D21" s="15" t="n"/>
      <c r="E21" s="23" t="n"/>
      <c r="F21" s="15" t="n"/>
      <c r="G21" s="23" t="n"/>
      <c r="H21" s="25" t="n"/>
      <c r="I21" s="15" t="n"/>
      <c r="J21" s="26">
        <f>IF($A21="","",LEN($C21)-LEN(SUBSTITUTE($C21,",",""))+1)</f>
        <v/>
      </c>
      <c r="K21" s="26">
        <f>IF($A21="","",SUMPRODUCT(--ISNUMBER(SEARCH('Category Dictionary'!$D$5:$D$135&amp;"",$C21)),--('Category Dictionary'!$D$5:$D$135&lt;&gt;"")))</f>
        <v/>
      </c>
      <c r="L21" s="27">
        <f>IF($A21="","",TRIM(IF(ISERROR(FIND(",",$C21)),$C21,LEFT($C21,FIND(",",$C21)-1))))</f>
        <v/>
      </c>
      <c r="M21" s="28">
        <f>IF($H21="","",DATE(YEAR($H21),MONTH($H21),1))</f>
        <v/>
      </c>
      <c r="N21" s="26">
        <f>IF($H21="","",TODAY()-$H21)</f>
        <v/>
      </c>
      <c r="O21" s="15" t="n"/>
      <c r="P21" s="26">
        <f>IF($A21="","",COUNTIFS('Audit Versions'!$A$6:$A$605,$A21,'Audit Versions'!$L$6:$L$605,"Active"))</f>
        <v/>
      </c>
      <c r="Q21" s="15" t="n"/>
      <c r="R21" s="26">
        <f>IF(OR($A21="",$P21=0),"",MOD(N($Q21),$P21)+1)</f>
        <v/>
      </c>
      <c r="S21" s="15" t="n"/>
      <c r="T21" s="25" t="n"/>
      <c r="U21" s="26">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Builder'!$B$12="",N($S21)&lt;='Assignment Builder'!$B$12)))</f>
        <v/>
      </c>
      <c r="V21" s="23" t="n"/>
    </row>
    <row r="22">
      <c r="A22" s="23" t="n"/>
      <c r="B22" s="23" t="n"/>
      <c r="C22" s="24" t="n"/>
      <c r="D22" s="15" t="n"/>
      <c r="E22" s="23" t="n"/>
      <c r="F22" s="15" t="n"/>
      <c r="G22" s="23" t="n"/>
      <c r="H22" s="25" t="n"/>
      <c r="I22" s="15" t="n"/>
      <c r="J22" s="26">
        <f>IF($A22="","",LEN($C22)-LEN(SUBSTITUTE($C22,",",""))+1)</f>
        <v/>
      </c>
      <c r="K22" s="26">
        <f>IF($A22="","",SUMPRODUCT(--ISNUMBER(SEARCH('Category Dictionary'!$D$5:$D$135&amp;"",$C22)),--('Category Dictionary'!$D$5:$D$135&lt;&gt;"")))</f>
        <v/>
      </c>
      <c r="L22" s="27">
        <f>IF($A22="","",TRIM(IF(ISERROR(FIND(",",$C22)),$C22,LEFT($C22,FIND(",",$C22)-1))))</f>
        <v/>
      </c>
      <c r="M22" s="28">
        <f>IF($H22="","",DATE(YEAR($H22),MONTH($H22),1))</f>
        <v/>
      </c>
      <c r="N22" s="26">
        <f>IF($H22="","",TODAY()-$H22)</f>
        <v/>
      </c>
      <c r="O22" s="15" t="n"/>
      <c r="P22" s="26">
        <f>IF($A22="","",COUNTIFS('Audit Versions'!$A$6:$A$605,$A22,'Audit Versions'!$L$6:$L$605,"Active"))</f>
        <v/>
      </c>
      <c r="Q22" s="15" t="n"/>
      <c r="R22" s="26">
        <f>IF(OR($A22="",$P22=0),"",MOD(N($Q22),$P22)+1)</f>
        <v/>
      </c>
      <c r="S22" s="15" t="n"/>
      <c r="T22" s="25" t="n"/>
      <c r="U22" s="26">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Builder'!$B$12="",N($S22)&lt;='Assignment Builder'!$B$12)))</f>
        <v/>
      </c>
      <c r="V22" s="23" t="n"/>
    </row>
    <row r="23">
      <c r="A23" s="23" t="n"/>
      <c r="B23" s="23" t="n"/>
      <c r="C23" s="24" t="n"/>
      <c r="D23" s="15" t="n"/>
      <c r="E23" s="23" t="n"/>
      <c r="F23" s="15" t="n"/>
      <c r="G23" s="23" t="n"/>
      <c r="H23" s="25" t="n"/>
      <c r="I23" s="15" t="n"/>
      <c r="J23" s="26">
        <f>IF($A23="","",LEN($C23)-LEN(SUBSTITUTE($C23,",",""))+1)</f>
        <v/>
      </c>
      <c r="K23" s="26">
        <f>IF($A23="","",SUMPRODUCT(--ISNUMBER(SEARCH('Category Dictionary'!$D$5:$D$135&amp;"",$C23)),--('Category Dictionary'!$D$5:$D$135&lt;&gt;"")))</f>
        <v/>
      </c>
      <c r="L23" s="27">
        <f>IF($A23="","",TRIM(IF(ISERROR(FIND(",",$C23)),$C23,LEFT($C23,FIND(",",$C23)-1))))</f>
        <v/>
      </c>
      <c r="M23" s="28">
        <f>IF($H23="","",DATE(YEAR($H23),MONTH($H23),1))</f>
        <v/>
      </c>
      <c r="N23" s="26">
        <f>IF($H23="","",TODAY()-$H23)</f>
        <v/>
      </c>
      <c r="O23" s="15" t="n"/>
      <c r="P23" s="26">
        <f>IF($A23="","",COUNTIFS('Audit Versions'!$A$6:$A$605,$A23,'Audit Versions'!$L$6:$L$605,"Active"))</f>
        <v/>
      </c>
      <c r="Q23" s="15" t="n"/>
      <c r="R23" s="26">
        <f>IF(OR($A23="",$P23=0),"",MOD(N($Q23),$P23)+1)</f>
        <v/>
      </c>
      <c r="S23" s="15" t="n"/>
      <c r="T23" s="25" t="n"/>
      <c r="U23" s="26">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Builder'!$B$12="",N($S23)&lt;='Assignment Builder'!$B$12)))</f>
        <v/>
      </c>
      <c r="V23" s="23" t="n"/>
    </row>
    <row r="24">
      <c r="A24" s="23" t="n"/>
      <c r="B24" s="23" t="n"/>
      <c r="C24" s="24" t="n"/>
      <c r="D24" s="15" t="n"/>
      <c r="E24" s="23" t="n"/>
      <c r="F24" s="15" t="n"/>
      <c r="G24" s="23" t="n"/>
      <c r="H24" s="25" t="n"/>
      <c r="I24" s="15" t="n"/>
      <c r="J24" s="26">
        <f>IF($A24="","",LEN($C24)-LEN(SUBSTITUTE($C24,",",""))+1)</f>
        <v/>
      </c>
      <c r="K24" s="26">
        <f>IF($A24="","",SUMPRODUCT(--ISNUMBER(SEARCH('Category Dictionary'!$D$5:$D$135&amp;"",$C24)),--('Category Dictionary'!$D$5:$D$135&lt;&gt;"")))</f>
        <v/>
      </c>
      <c r="L24" s="27">
        <f>IF($A24="","",TRIM(IF(ISERROR(FIND(",",$C24)),$C24,LEFT($C24,FIND(",",$C24)-1))))</f>
        <v/>
      </c>
      <c r="M24" s="28">
        <f>IF($H24="","",DATE(YEAR($H24),MONTH($H24),1))</f>
        <v/>
      </c>
      <c r="N24" s="26">
        <f>IF($H24="","",TODAY()-$H24)</f>
        <v/>
      </c>
      <c r="O24" s="15" t="n"/>
      <c r="P24" s="26">
        <f>IF($A24="","",COUNTIFS('Audit Versions'!$A$6:$A$605,$A24,'Audit Versions'!$L$6:$L$605,"Active"))</f>
        <v/>
      </c>
      <c r="Q24" s="15" t="n"/>
      <c r="R24" s="26">
        <f>IF(OR($A24="",$P24=0),"",MOD(N($Q24),$P24)+1)</f>
        <v/>
      </c>
      <c r="S24" s="15" t="n"/>
      <c r="T24" s="25" t="n"/>
      <c r="U24" s="26">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Builder'!$B$12="",N($S24)&lt;='Assignment Builder'!$B$12)))</f>
        <v/>
      </c>
      <c r="V24" s="23" t="n"/>
    </row>
    <row r="25">
      <c r="A25" s="23" t="n"/>
      <c r="B25" s="23" t="n"/>
      <c r="C25" s="24" t="n"/>
      <c r="D25" s="15" t="n"/>
      <c r="E25" s="23" t="n"/>
      <c r="F25" s="15" t="n"/>
      <c r="G25" s="23" t="n"/>
      <c r="H25" s="25" t="n"/>
      <c r="I25" s="15" t="n"/>
      <c r="J25" s="26">
        <f>IF($A25="","",LEN($C25)-LEN(SUBSTITUTE($C25,",",""))+1)</f>
        <v/>
      </c>
      <c r="K25" s="26">
        <f>IF($A25="","",SUMPRODUCT(--ISNUMBER(SEARCH('Category Dictionary'!$D$5:$D$135&amp;"",$C25)),--('Category Dictionary'!$D$5:$D$135&lt;&gt;"")))</f>
        <v/>
      </c>
      <c r="L25" s="27">
        <f>IF($A25="","",TRIM(IF(ISERROR(FIND(",",$C25)),$C25,LEFT($C25,FIND(",",$C25)-1))))</f>
        <v/>
      </c>
      <c r="M25" s="28">
        <f>IF($H25="","",DATE(YEAR($H25),MONTH($H25),1))</f>
        <v/>
      </c>
      <c r="N25" s="26">
        <f>IF($H25="","",TODAY()-$H25)</f>
        <v/>
      </c>
      <c r="O25" s="15" t="n"/>
      <c r="P25" s="26">
        <f>IF($A25="","",COUNTIFS('Audit Versions'!$A$6:$A$605,$A25,'Audit Versions'!$L$6:$L$605,"Active"))</f>
        <v/>
      </c>
      <c r="Q25" s="15" t="n"/>
      <c r="R25" s="26">
        <f>IF(OR($A25="",$P25=0),"",MOD(N($Q25),$P25)+1)</f>
        <v/>
      </c>
      <c r="S25" s="15" t="n"/>
      <c r="T25" s="25" t="n"/>
      <c r="U25" s="26">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Builder'!$B$12="",N($S25)&lt;='Assignment Builder'!$B$12)))</f>
        <v/>
      </c>
      <c r="V25" s="23" t="n"/>
    </row>
    <row r="26">
      <c r="A26" s="23" t="n"/>
      <c r="B26" s="23" t="n"/>
      <c r="C26" s="24" t="n"/>
      <c r="D26" s="15" t="n"/>
      <c r="E26" s="23" t="n"/>
      <c r="F26" s="15" t="n"/>
      <c r="G26" s="23" t="n"/>
      <c r="H26" s="25" t="n"/>
      <c r="I26" s="15" t="n"/>
      <c r="J26" s="26">
        <f>IF($A26="","",LEN($C26)-LEN(SUBSTITUTE($C26,",",""))+1)</f>
        <v/>
      </c>
      <c r="K26" s="26">
        <f>IF($A26="","",SUMPRODUCT(--ISNUMBER(SEARCH('Category Dictionary'!$D$5:$D$135&amp;"",$C26)),--('Category Dictionary'!$D$5:$D$135&lt;&gt;"")))</f>
        <v/>
      </c>
      <c r="L26" s="27">
        <f>IF($A26="","",TRIM(IF(ISERROR(FIND(",",$C26)),$C26,LEFT($C26,FIND(",",$C26)-1))))</f>
        <v/>
      </c>
      <c r="M26" s="28">
        <f>IF($H26="","",DATE(YEAR($H26),MONTH($H26),1))</f>
        <v/>
      </c>
      <c r="N26" s="26">
        <f>IF($H26="","",TODAY()-$H26)</f>
        <v/>
      </c>
      <c r="O26" s="15" t="n"/>
      <c r="P26" s="26">
        <f>IF($A26="","",COUNTIFS('Audit Versions'!$A$6:$A$605,$A26,'Audit Versions'!$L$6:$L$605,"Active"))</f>
        <v/>
      </c>
      <c r="Q26" s="15" t="n"/>
      <c r="R26" s="26">
        <f>IF(OR($A26="",$P26=0),"",MOD(N($Q26),$P26)+1)</f>
        <v/>
      </c>
      <c r="S26" s="15" t="n"/>
      <c r="T26" s="25" t="n"/>
      <c r="U26" s="26">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Builder'!$B$12="",N($S26)&lt;='Assignment Builder'!$B$12)))</f>
        <v/>
      </c>
      <c r="V26" s="23" t="n"/>
    </row>
    <row r="27">
      <c r="A27" s="23" t="n"/>
      <c r="B27" s="23" t="n"/>
      <c r="C27" s="24" t="n"/>
      <c r="D27" s="15" t="n"/>
      <c r="E27" s="23" t="n"/>
      <c r="F27" s="15" t="n"/>
      <c r="G27" s="23" t="n"/>
      <c r="H27" s="25" t="n"/>
      <c r="I27" s="15" t="n"/>
      <c r="J27" s="26">
        <f>IF($A27="","",LEN($C27)-LEN(SUBSTITUTE($C27,",",""))+1)</f>
        <v/>
      </c>
      <c r="K27" s="26">
        <f>IF($A27="","",SUMPRODUCT(--ISNUMBER(SEARCH('Category Dictionary'!$D$5:$D$135&amp;"",$C27)),--('Category Dictionary'!$D$5:$D$135&lt;&gt;"")))</f>
        <v/>
      </c>
      <c r="L27" s="27">
        <f>IF($A27="","",TRIM(IF(ISERROR(FIND(",",$C27)),$C27,LEFT($C27,FIND(",",$C27)-1))))</f>
        <v/>
      </c>
      <c r="M27" s="28">
        <f>IF($H27="","",DATE(YEAR($H27),MONTH($H27),1))</f>
        <v/>
      </c>
      <c r="N27" s="26">
        <f>IF($H27="","",TODAY()-$H27)</f>
        <v/>
      </c>
      <c r="O27" s="15" t="n"/>
      <c r="P27" s="26">
        <f>IF($A27="","",COUNTIFS('Audit Versions'!$A$6:$A$605,$A27,'Audit Versions'!$L$6:$L$605,"Active"))</f>
        <v/>
      </c>
      <c r="Q27" s="15" t="n"/>
      <c r="R27" s="26">
        <f>IF(OR($A27="",$P27=0),"",MOD(N($Q27),$P27)+1)</f>
        <v/>
      </c>
      <c r="S27" s="15" t="n"/>
      <c r="T27" s="25" t="n"/>
      <c r="U27" s="26">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Builder'!$B$12="",N($S27)&lt;='Assignment Builder'!$B$12)))</f>
        <v/>
      </c>
      <c r="V27" s="23" t="n"/>
    </row>
    <row r="28">
      <c r="A28" s="23" t="n"/>
      <c r="B28" s="23" t="n"/>
      <c r="C28" s="24" t="n"/>
      <c r="D28" s="15" t="n"/>
      <c r="E28" s="23" t="n"/>
      <c r="F28" s="15" t="n"/>
      <c r="G28" s="23" t="n"/>
      <c r="H28" s="25" t="n"/>
      <c r="I28" s="15" t="n"/>
      <c r="J28" s="26">
        <f>IF($A28="","",LEN($C28)-LEN(SUBSTITUTE($C28,",",""))+1)</f>
        <v/>
      </c>
      <c r="K28" s="26">
        <f>IF($A28="","",SUMPRODUCT(--ISNUMBER(SEARCH('Category Dictionary'!$D$5:$D$135&amp;"",$C28)),--('Category Dictionary'!$D$5:$D$135&lt;&gt;"")))</f>
        <v/>
      </c>
      <c r="L28" s="27">
        <f>IF($A28="","",TRIM(IF(ISERROR(FIND(",",$C28)),$C28,LEFT($C28,FIND(",",$C28)-1))))</f>
        <v/>
      </c>
      <c r="M28" s="28">
        <f>IF($H28="","",DATE(YEAR($H28),MONTH($H28),1))</f>
        <v/>
      </c>
      <c r="N28" s="26">
        <f>IF($H28="","",TODAY()-$H28)</f>
        <v/>
      </c>
      <c r="O28" s="15" t="n"/>
      <c r="P28" s="26">
        <f>IF($A28="","",COUNTIFS('Audit Versions'!$A$6:$A$605,$A28,'Audit Versions'!$L$6:$L$605,"Active"))</f>
        <v/>
      </c>
      <c r="Q28" s="15" t="n"/>
      <c r="R28" s="26">
        <f>IF(OR($A28="",$P28=0),"",MOD(N($Q28),$P28)+1)</f>
        <v/>
      </c>
      <c r="S28" s="15" t="n"/>
      <c r="T28" s="25" t="n"/>
      <c r="U28" s="26">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Builder'!$B$12="",N($S28)&lt;='Assignment Builder'!$B$12)))</f>
        <v/>
      </c>
      <c r="V28" s="23" t="n"/>
    </row>
    <row r="29">
      <c r="A29" s="23" t="n"/>
      <c r="B29" s="23" t="n"/>
      <c r="C29" s="24" t="n"/>
      <c r="D29" s="15" t="n"/>
      <c r="E29" s="23" t="n"/>
      <c r="F29" s="15" t="n"/>
      <c r="G29" s="23" t="n"/>
      <c r="H29" s="25" t="n"/>
      <c r="I29" s="15" t="n"/>
      <c r="J29" s="26">
        <f>IF($A29="","",LEN($C29)-LEN(SUBSTITUTE($C29,",",""))+1)</f>
        <v/>
      </c>
      <c r="K29" s="26">
        <f>IF($A29="","",SUMPRODUCT(--ISNUMBER(SEARCH('Category Dictionary'!$D$5:$D$135&amp;"",$C29)),--('Category Dictionary'!$D$5:$D$135&lt;&gt;"")))</f>
        <v/>
      </c>
      <c r="L29" s="27">
        <f>IF($A29="","",TRIM(IF(ISERROR(FIND(",",$C29)),$C29,LEFT($C29,FIND(",",$C29)-1))))</f>
        <v/>
      </c>
      <c r="M29" s="28">
        <f>IF($H29="","",DATE(YEAR($H29),MONTH($H29),1))</f>
        <v/>
      </c>
      <c r="N29" s="26">
        <f>IF($H29="","",TODAY()-$H29)</f>
        <v/>
      </c>
      <c r="O29" s="15" t="n"/>
      <c r="P29" s="26">
        <f>IF($A29="","",COUNTIFS('Audit Versions'!$A$6:$A$605,$A29,'Audit Versions'!$L$6:$L$605,"Active"))</f>
        <v/>
      </c>
      <c r="Q29" s="15" t="n"/>
      <c r="R29" s="26">
        <f>IF(OR($A29="",$P29=0),"",MOD(N($Q29),$P29)+1)</f>
        <v/>
      </c>
      <c r="S29" s="15" t="n"/>
      <c r="T29" s="25" t="n"/>
      <c r="U29" s="26">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Builder'!$B$12="",N($S29)&lt;='Assignment Builder'!$B$12)))</f>
        <v/>
      </c>
      <c r="V29" s="23" t="n"/>
    </row>
    <row r="30">
      <c r="A30" s="23" t="n"/>
      <c r="B30" s="23" t="n"/>
      <c r="C30" s="24" t="n"/>
      <c r="D30" s="15" t="n"/>
      <c r="E30" s="23" t="n"/>
      <c r="F30" s="15" t="n"/>
      <c r="G30" s="23" t="n"/>
      <c r="H30" s="25" t="n"/>
      <c r="I30" s="15" t="n"/>
      <c r="J30" s="26">
        <f>IF($A30="","",LEN($C30)-LEN(SUBSTITUTE($C30,",",""))+1)</f>
        <v/>
      </c>
      <c r="K30" s="26">
        <f>IF($A30="","",SUMPRODUCT(--ISNUMBER(SEARCH('Category Dictionary'!$D$5:$D$135&amp;"",$C30)),--('Category Dictionary'!$D$5:$D$135&lt;&gt;"")))</f>
        <v/>
      </c>
      <c r="L30" s="27">
        <f>IF($A30="","",TRIM(IF(ISERROR(FIND(",",$C30)),$C30,LEFT($C30,FIND(",",$C30)-1))))</f>
        <v/>
      </c>
      <c r="M30" s="28">
        <f>IF($H30="","",DATE(YEAR($H30),MONTH($H30),1))</f>
        <v/>
      </c>
      <c r="N30" s="26">
        <f>IF($H30="","",TODAY()-$H30)</f>
        <v/>
      </c>
      <c r="O30" s="15" t="n"/>
      <c r="P30" s="26">
        <f>IF($A30="","",COUNTIFS('Audit Versions'!$A$6:$A$605,$A30,'Audit Versions'!$L$6:$L$605,"Active"))</f>
        <v/>
      </c>
      <c r="Q30" s="15" t="n"/>
      <c r="R30" s="26">
        <f>IF(OR($A30="",$P30=0),"",MOD(N($Q30),$P30)+1)</f>
        <v/>
      </c>
      <c r="S30" s="15" t="n"/>
      <c r="T30" s="25" t="n"/>
      <c r="U30" s="26">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Builder'!$B$12="",N($S30)&lt;='Assignment Builder'!$B$12)))</f>
        <v/>
      </c>
      <c r="V30" s="23" t="n"/>
    </row>
    <row r="31">
      <c r="A31" s="23" t="n"/>
      <c r="B31" s="23" t="n"/>
      <c r="C31" s="24" t="n"/>
      <c r="D31" s="15" t="n"/>
      <c r="E31" s="23" t="n"/>
      <c r="F31" s="15" t="n"/>
      <c r="G31" s="23" t="n"/>
      <c r="H31" s="25" t="n"/>
      <c r="I31" s="15" t="n"/>
      <c r="J31" s="26">
        <f>IF($A31="","",LEN($C31)-LEN(SUBSTITUTE($C31,",",""))+1)</f>
        <v/>
      </c>
      <c r="K31" s="26">
        <f>IF($A31="","",SUMPRODUCT(--ISNUMBER(SEARCH('Category Dictionary'!$D$5:$D$135&amp;"",$C31)),--('Category Dictionary'!$D$5:$D$135&lt;&gt;"")))</f>
        <v/>
      </c>
      <c r="L31" s="27">
        <f>IF($A31="","",TRIM(IF(ISERROR(FIND(",",$C31)),$C31,LEFT($C31,FIND(",",$C31)-1))))</f>
        <v/>
      </c>
      <c r="M31" s="28">
        <f>IF($H31="","",DATE(YEAR($H31),MONTH($H31),1))</f>
        <v/>
      </c>
      <c r="N31" s="26">
        <f>IF($H31="","",TODAY()-$H31)</f>
        <v/>
      </c>
      <c r="O31" s="15" t="n"/>
      <c r="P31" s="26">
        <f>IF($A31="","",COUNTIFS('Audit Versions'!$A$6:$A$605,$A31,'Audit Versions'!$L$6:$L$605,"Active"))</f>
        <v/>
      </c>
      <c r="Q31" s="15" t="n"/>
      <c r="R31" s="26">
        <f>IF(OR($A31="",$P31=0),"",MOD(N($Q31),$P31)+1)</f>
        <v/>
      </c>
      <c r="S31" s="15" t="n"/>
      <c r="T31" s="25" t="n"/>
      <c r="U31" s="26">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Builder'!$B$12="",N($S31)&lt;='Assignment Builder'!$B$12)))</f>
        <v/>
      </c>
      <c r="V31" s="23" t="n"/>
    </row>
    <row r="32">
      <c r="A32" s="23" t="n"/>
      <c r="B32" s="23" t="n"/>
      <c r="C32" s="24" t="n"/>
      <c r="D32" s="15" t="n"/>
      <c r="E32" s="23" t="n"/>
      <c r="F32" s="15" t="n"/>
      <c r="G32" s="23" t="n"/>
      <c r="H32" s="25" t="n"/>
      <c r="I32" s="15" t="n"/>
      <c r="J32" s="26">
        <f>IF($A32="","",LEN($C32)-LEN(SUBSTITUTE($C32,",",""))+1)</f>
        <v/>
      </c>
      <c r="K32" s="26">
        <f>IF($A32="","",SUMPRODUCT(--ISNUMBER(SEARCH('Category Dictionary'!$D$5:$D$135&amp;"",$C32)),--('Category Dictionary'!$D$5:$D$135&lt;&gt;"")))</f>
        <v/>
      </c>
      <c r="L32" s="27">
        <f>IF($A32="","",TRIM(IF(ISERROR(FIND(",",$C32)),$C32,LEFT($C32,FIND(",",$C32)-1))))</f>
        <v/>
      </c>
      <c r="M32" s="28">
        <f>IF($H32="","",DATE(YEAR($H32),MONTH($H32),1))</f>
        <v/>
      </c>
      <c r="N32" s="26">
        <f>IF($H32="","",TODAY()-$H32)</f>
        <v/>
      </c>
      <c r="O32" s="15" t="n"/>
      <c r="P32" s="26">
        <f>IF($A32="","",COUNTIFS('Audit Versions'!$A$6:$A$605,$A32,'Audit Versions'!$L$6:$L$605,"Active"))</f>
        <v/>
      </c>
      <c r="Q32" s="15" t="n"/>
      <c r="R32" s="26">
        <f>IF(OR($A32="",$P32=0),"",MOD(N($Q32),$P32)+1)</f>
        <v/>
      </c>
      <c r="S32" s="15" t="n"/>
      <c r="T32" s="25" t="n"/>
      <c r="U32" s="26">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Builder'!$B$12="",N($S32)&lt;='Assignment Builder'!$B$12)))</f>
        <v/>
      </c>
      <c r="V32" s="23" t="n"/>
    </row>
    <row r="33">
      <c r="A33" s="23" t="n"/>
      <c r="B33" s="23" t="n"/>
      <c r="C33" s="24" t="n"/>
      <c r="D33" s="15" t="n"/>
      <c r="E33" s="23" t="n"/>
      <c r="F33" s="15" t="n"/>
      <c r="G33" s="23" t="n"/>
      <c r="H33" s="25" t="n"/>
      <c r="I33" s="15" t="n"/>
      <c r="J33" s="26">
        <f>IF($A33="","",LEN($C33)-LEN(SUBSTITUTE($C33,",",""))+1)</f>
        <v/>
      </c>
      <c r="K33" s="26">
        <f>IF($A33="","",SUMPRODUCT(--ISNUMBER(SEARCH('Category Dictionary'!$D$5:$D$135&amp;"",$C33)),--('Category Dictionary'!$D$5:$D$135&lt;&gt;"")))</f>
        <v/>
      </c>
      <c r="L33" s="27">
        <f>IF($A33="","",TRIM(IF(ISERROR(FIND(",",$C33)),$C33,LEFT($C33,FIND(",",$C33)-1))))</f>
        <v/>
      </c>
      <c r="M33" s="28">
        <f>IF($H33="","",DATE(YEAR($H33),MONTH($H33),1))</f>
        <v/>
      </c>
      <c r="N33" s="26">
        <f>IF($H33="","",TODAY()-$H33)</f>
        <v/>
      </c>
      <c r="O33" s="15" t="n"/>
      <c r="P33" s="26">
        <f>IF($A33="","",COUNTIFS('Audit Versions'!$A$6:$A$605,$A33,'Audit Versions'!$L$6:$L$605,"Active"))</f>
        <v/>
      </c>
      <c r="Q33" s="15" t="n"/>
      <c r="R33" s="26">
        <f>IF(OR($A33="",$P33=0),"",MOD(N($Q33),$P33)+1)</f>
        <v/>
      </c>
      <c r="S33" s="15" t="n"/>
      <c r="T33" s="25" t="n"/>
      <c r="U33" s="26">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Builder'!$B$12="",N($S33)&lt;='Assignment Builder'!$B$12)))</f>
        <v/>
      </c>
      <c r="V33" s="23" t="n"/>
    </row>
    <row r="34">
      <c r="A34" s="23" t="n"/>
      <c r="B34" s="23" t="n"/>
      <c r="C34" s="24" t="n"/>
      <c r="D34" s="15" t="n"/>
      <c r="E34" s="23" t="n"/>
      <c r="F34" s="15" t="n"/>
      <c r="G34" s="23" t="n"/>
      <c r="H34" s="25" t="n"/>
      <c r="I34" s="15" t="n"/>
      <c r="J34" s="26">
        <f>IF($A34="","",LEN($C34)-LEN(SUBSTITUTE($C34,",",""))+1)</f>
        <v/>
      </c>
      <c r="K34" s="26">
        <f>IF($A34="","",SUMPRODUCT(--ISNUMBER(SEARCH('Category Dictionary'!$D$5:$D$135&amp;"",$C34)),--('Category Dictionary'!$D$5:$D$135&lt;&gt;"")))</f>
        <v/>
      </c>
      <c r="L34" s="27">
        <f>IF($A34="","",TRIM(IF(ISERROR(FIND(",",$C34)),$C34,LEFT($C34,FIND(",",$C34)-1))))</f>
        <v/>
      </c>
      <c r="M34" s="28">
        <f>IF($H34="","",DATE(YEAR($H34),MONTH($H34),1))</f>
        <v/>
      </c>
      <c r="N34" s="26">
        <f>IF($H34="","",TODAY()-$H34)</f>
        <v/>
      </c>
      <c r="O34" s="15" t="n"/>
      <c r="P34" s="26">
        <f>IF($A34="","",COUNTIFS('Audit Versions'!$A$6:$A$605,$A34,'Audit Versions'!$L$6:$L$605,"Active"))</f>
        <v/>
      </c>
      <c r="Q34" s="15" t="n"/>
      <c r="R34" s="26">
        <f>IF(OR($A34="",$P34=0),"",MOD(N($Q34),$P34)+1)</f>
        <v/>
      </c>
      <c r="S34" s="15" t="n"/>
      <c r="T34" s="25" t="n"/>
      <c r="U34" s="26">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Builder'!$B$12="",N($S34)&lt;='Assignment Builder'!$B$12)))</f>
        <v/>
      </c>
      <c r="V34" s="23" t="n"/>
    </row>
    <row r="35">
      <c r="A35" s="23" t="n"/>
      <c r="B35" s="23" t="n"/>
      <c r="C35" s="24" t="n"/>
      <c r="D35" s="15" t="n"/>
      <c r="E35" s="23" t="n"/>
      <c r="F35" s="15" t="n"/>
      <c r="G35" s="23" t="n"/>
      <c r="H35" s="25" t="n"/>
      <c r="I35" s="15" t="n"/>
      <c r="J35" s="26">
        <f>IF($A35="","",LEN($C35)-LEN(SUBSTITUTE($C35,",",""))+1)</f>
        <v/>
      </c>
      <c r="K35" s="26">
        <f>IF($A35="","",SUMPRODUCT(--ISNUMBER(SEARCH('Category Dictionary'!$D$5:$D$135&amp;"",$C35)),--('Category Dictionary'!$D$5:$D$135&lt;&gt;"")))</f>
        <v/>
      </c>
      <c r="L35" s="27">
        <f>IF($A35="","",TRIM(IF(ISERROR(FIND(",",$C35)),$C35,LEFT($C35,FIND(",",$C35)-1))))</f>
        <v/>
      </c>
      <c r="M35" s="28">
        <f>IF($H35="","",DATE(YEAR($H35),MONTH($H35),1))</f>
        <v/>
      </c>
      <c r="N35" s="26">
        <f>IF($H35="","",TODAY()-$H35)</f>
        <v/>
      </c>
      <c r="O35" s="15" t="n"/>
      <c r="P35" s="26">
        <f>IF($A35="","",COUNTIFS('Audit Versions'!$A$6:$A$605,$A35,'Audit Versions'!$L$6:$L$605,"Active"))</f>
        <v/>
      </c>
      <c r="Q35" s="15" t="n"/>
      <c r="R35" s="26">
        <f>IF(OR($A35="",$P35=0),"",MOD(N($Q35),$P35)+1)</f>
        <v/>
      </c>
      <c r="S35" s="15" t="n"/>
      <c r="T35" s="25" t="n"/>
      <c r="U35" s="26">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Builder'!$B$12="",N($S35)&lt;='Assignment Builder'!$B$12)))</f>
        <v/>
      </c>
      <c r="V35" s="23" t="n"/>
    </row>
    <row r="36">
      <c r="A36" s="23" t="n"/>
      <c r="B36" s="23" t="n"/>
      <c r="C36" s="24" t="n"/>
      <c r="D36" s="15" t="n"/>
      <c r="E36" s="23" t="n"/>
      <c r="F36" s="15" t="n"/>
      <c r="G36" s="23" t="n"/>
      <c r="H36" s="25" t="n"/>
      <c r="I36" s="15" t="n"/>
      <c r="J36" s="26">
        <f>IF($A36="","",LEN($C36)-LEN(SUBSTITUTE($C36,",",""))+1)</f>
        <v/>
      </c>
      <c r="K36" s="26">
        <f>IF($A36="","",SUMPRODUCT(--ISNUMBER(SEARCH('Category Dictionary'!$D$5:$D$135&amp;"",$C36)),--('Category Dictionary'!$D$5:$D$135&lt;&gt;"")))</f>
        <v/>
      </c>
      <c r="L36" s="27">
        <f>IF($A36="","",TRIM(IF(ISERROR(FIND(",",$C36)),$C36,LEFT($C36,FIND(",",$C36)-1))))</f>
        <v/>
      </c>
      <c r="M36" s="28">
        <f>IF($H36="","",DATE(YEAR($H36),MONTH($H36),1))</f>
        <v/>
      </c>
      <c r="N36" s="26">
        <f>IF($H36="","",TODAY()-$H36)</f>
        <v/>
      </c>
      <c r="O36" s="15" t="n"/>
      <c r="P36" s="26">
        <f>IF($A36="","",COUNTIFS('Audit Versions'!$A$6:$A$605,$A36,'Audit Versions'!$L$6:$L$605,"Active"))</f>
        <v/>
      </c>
      <c r="Q36" s="15" t="n"/>
      <c r="R36" s="26">
        <f>IF(OR($A36="",$P36=0),"",MOD(N($Q36),$P36)+1)</f>
        <v/>
      </c>
      <c r="S36" s="15" t="n"/>
      <c r="T36" s="25" t="n"/>
      <c r="U36" s="26">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Builder'!$B$12="",N($S36)&lt;='Assignment Builder'!$B$12)))</f>
        <v/>
      </c>
      <c r="V36" s="23" t="n"/>
    </row>
    <row r="37">
      <c r="A37" s="23" t="n"/>
      <c r="B37" s="23" t="n"/>
      <c r="C37" s="24" t="n"/>
      <c r="D37" s="15" t="n"/>
      <c r="E37" s="23" t="n"/>
      <c r="F37" s="15" t="n"/>
      <c r="G37" s="23" t="n"/>
      <c r="H37" s="25" t="n"/>
      <c r="I37" s="15" t="n"/>
      <c r="J37" s="26">
        <f>IF($A37="","",LEN($C37)-LEN(SUBSTITUTE($C37,",",""))+1)</f>
        <v/>
      </c>
      <c r="K37" s="26">
        <f>IF($A37="","",SUMPRODUCT(--ISNUMBER(SEARCH('Category Dictionary'!$D$5:$D$135&amp;"",$C37)),--('Category Dictionary'!$D$5:$D$135&lt;&gt;"")))</f>
        <v/>
      </c>
      <c r="L37" s="27">
        <f>IF($A37="","",TRIM(IF(ISERROR(FIND(",",$C37)),$C37,LEFT($C37,FIND(",",$C37)-1))))</f>
        <v/>
      </c>
      <c r="M37" s="28">
        <f>IF($H37="","",DATE(YEAR($H37),MONTH($H37),1))</f>
        <v/>
      </c>
      <c r="N37" s="26">
        <f>IF($H37="","",TODAY()-$H37)</f>
        <v/>
      </c>
      <c r="O37" s="15" t="n"/>
      <c r="P37" s="26">
        <f>IF($A37="","",COUNTIFS('Audit Versions'!$A$6:$A$605,$A37,'Audit Versions'!$L$6:$L$605,"Active"))</f>
        <v/>
      </c>
      <c r="Q37" s="15" t="n"/>
      <c r="R37" s="26">
        <f>IF(OR($A37="",$P37=0),"",MOD(N($Q37),$P37)+1)</f>
        <v/>
      </c>
      <c r="S37" s="15" t="n"/>
      <c r="T37" s="25" t="n"/>
      <c r="U37" s="26">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Builder'!$B$12="",N($S37)&lt;='Assignment Builder'!$B$12)))</f>
        <v/>
      </c>
      <c r="V37" s="23" t="n"/>
    </row>
    <row r="38">
      <c r="A38" s="23" t="n"/>
      <c r="B38" s="23" t="n"/>
      <c r="C38" s="24" t="n"/>
      <c r="D38" s="15" t="n"/>
      <c r="E38" s="23" t="n"/>
      <c r="F38" s="15" t="n"/>
      <c r="G38" s="23" t="n"/>
      <c r="H38" s="25" t="n"/>
      <c r="I38" s="15" t="n"/>
      <c r="J38" s="26">
        <f>IF($A38="","",LEN($C38)-LEN(SUBSTITUTE($C38,",",""))+1)</f>
        <v/>
      </c>
      <c r="K38" s="26">
        <f>IF($A38="","",SUMPRODUCT(--ISNUMBER(SEARCH('Category Dictionary'!$D$5:$D$135&amp;"",$C38)),--('Category Dictionary'!$D$5:$D$135&lt;&gt;"")))</f>
        <v/>
      </c>
      <c r="L38" s="27">
        <f>IF($A38="","",TRIM(IF(ISERROR(FIND(",",$C38)),$C38,LEFT($C38,FIND(",",$C38)-1))))</f>
        <v/>
      </c>
      <c r="M38" s="28">
        <f>IF($H38="","",DATE(YEAR($H38),MONTH($H38),1))</f>
        <v/>
      </c>
      <c r="N38" s="26">
        <f>IF($H38="","",TODAY()-$H38)</f>
        <v/>
      </c>
      <c r="O38" s="15" t="n"/>
      <c r="P38" s="26">
        <f>IF($A38="","",COUNTIFS('Audit Versions'!$A$6:$A$605,$A38,'Audit Versions'!$L$6:$L$605,"Active"))</f>
        <v/>
      </c>
      <c r="Q38" s="15" t="n"/>
      <c r="R38" s="26">
        <f>IF(OR($A38="",$P38=0),"",MOD(N($Q38),$P38)+1)</f>
        <v/>
      </c>
      <c r="S38" s="15" t="n"/>
      <c r="T38" s="25" t="n"/>
      <c r="U38" s="26">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Builder'!$B$12="",N($S38)&lt;='Assignment Builder'!$B$12)))</f>
        <v/>
      </c>
      <c r="V38" s="23" t="n"/>
    </row>
    <row r="39">
      <c r="A39" s="23" t="n"/>
      <c r="B39" s="23" t="n"/>
      <c r="C39" s="24" t="n"/>
      <c r="D39" s="15" t="n"/>
      <c r="E39" s="23" t="n"/>
      <c r="F39" s="15" t="n"/>
      <c r="G39" s="23" t="n"/>
      <c r="H39" s="25" t="n"/>
      <c r="I39" s="15" t="n"/>
      <c r="J39" s="26">
        <f>IF($A39="","",LEN($C39)-LEN(SUBSTITUTE($C39,",",""))+1)</f>
        <v/>
      </c>
      <c r="K39" s="26">
        <f>IF($A39="","",SUMPRODUCT(--ISNUMBER(SEARCH('Category Dictionary'!$D$5:$D$135&amp;"",$C39)),--('Category Dictionary'!$D$5:$D$135&lt;&gt;"")))</f>
        <v/>
      </c>
      <c r="L39" s="27">
        <f>IF($A39="","",TRIM(IF(ISERROR(FIND(",",$C39)),$C39,LEFT($C39,FIND(",",$C39)-1))))</f>
        <v/>
      </c>
      <c r="M39" s="28">
        <f>IF($H39="","",DATE(YEAR($H39),MONTH($H39),1))</f>
        <v/>
      </c>
      <c r="N39" s="26">
        <f>IF($H39="","",TODAY()-$H39)</f>
        <v/>
      </c>
      <c r="O39" s="15" t="n"/>
      <c r="P39" s="26">
        <f>IF($A39="","",COUNTIFS('Audit Versions'!$A$6:$A$605,$A39,'Audit Versions'!$L$6:$L$605,"Active"))</f>
        <v/>
      </c>
      <c r="Q39" s="15" t="n"/>
      <c r="R39" s="26">
        <f>IF(OR($A39="",$P39=0),"",MOD(N($Q39),$P39)+1)</f>
        <v/>
      </c>
      <c r="S39" s="15" t="n"/>
      <c r="T39" s="25" t="n"/>
      <c r="U39" s="26">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Builder'!$B$12="",N($S39)&lt;='Assignment Builder'!$B$12)))</f>
        <v/>
      </c>
      <c r="V39" s="23" t="n"/>
    </row>
    <row r="40">
      <c r="A40" s="23" t="n"/>
      <c r="B40" s="23" t="n"/>
      <c r="C40" s="24" t="n"/>
      <c r="D40" s="15" t="n"/>
      <c r="E40" s="23" t="n"/>
      <c r="F40" s="15" t="n"/>
      <c r="G40" s="23" t="n"/>
      <c r="H40" s="25" t="n"/>
      <c r="I40" s="15" t="n"/>
      <c r="J40" s="26">
        <f>IF($A40="","",LEN($C40)-LEN(SUBSTITUTE($C40,",",""))+1)</f>
        <v/>
      </c>
      <c r="K40" s="26">
        <f>IF($A40="","",SUMPRODUCT(--ISNUMBER(SEARCH('Category Dictionary'!$D$5:$D$135&amp;"",$C40)),--('Category Dictionary'!$D$5:$D$135&lt;&gt;"")))</f>
        <v/>
      </c>
      <c r="L40" s="27">
        <f>IF($A40="","",TRIM(IF(ISERROR(FIND(",",$C40)),$C40,LEFT($C40,FIND(",",$C40)-1))))</f>
        <v/>
      </c>
      <c r="M40" s="28">
        <f>IF($H40="","",DATE(YEAR($H40),MONTH($H40),1))</f>
        <v/>
      </c>
      <c r="N40" s="26">
        <f>IF($H40="","",TODAY()-$H40)</f>
        <v/>
      </c>
      <c r="O40" s="15" t="n"/>
      <c r="P40" s="26">
        <f>IF($A40="","",COUNTIFS('Audit Versions'!$A$6:$A$605,$A40,'Audit Versions'!$L$6:$L$605,"Active"))</f>
        <v/>
      </c>
      <c r="Q40" s="15" t="n"/>
      <c r="R40" s="26">
        <f>IF(OR($A40="",$P40=0),"",MOD(N($Q40),$P40)+1)</f>
        <v/>
      </c>
      <c r="S40" s="15" t="n"/>
      <c r="T40" s="25" t="n"/>
      <c r="U40" s="26">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Builder'!$B$12="",N($S40)&lt;='Assignment Builder'!$B$12)))</f>
        <v/>
      </c>
      <c r="V40" s="23" t="n"/>
    </row>
    <row r="41">
      <c r="A41" s="23" t="n"/>
      <c r="B41" s="23" t="n"/>
      <c r="C41" s="24" t="n"/>
      <c r="D41" s="15" t="n"/>
      <c r="E41" s="23" t="n"/>
      <c r="F41" s="15" t="n"/>
      <c r="G41" s="23" t="n"/>
      <c r="H41" s="25" t="n"/>
      <c r="I41" s="15" t="n"/>
      <c r="J41" s="26">
        <f>IF($A41="","",LEN($C41)-LEN(SUBSTITUTE($C41,",",""))+1)</f>
        <v/>
      </c>
      <c r="K41" s="26">
        <f>IF($A41="","",SUMPRODUCT(--ISNUMBER(SEARCH('Category Dictionary'!$D$5:$D$135&amp;"",$C41)),--('Category Dictionary'!$D$5:$D$135&lt;&gt;"")))</f>
        <v/>
      </c>
      <c r="L41" s="27">
        <f>IF($A41="","",TRIM(IF(ISERROR(FIND(",",$C41)),$C41,LEFT($C41,FIND(",",$C41)-1))))</f>
        <v/>
      </c>
      <c r="M41" s="28">
        <f>IF($H41="","",DATE(YEAR($H41),MONTH($H41),1))</f>
        <v/>
      </c>
      <c r="N41" s="26">
        <f>IF($H41="","",TODAY()-$H41)</f>
        <v/>
      </c>
      <c r="O41" s="15" t="n"/>
      <c r="P41" s="26">
        <f>IF($A41="","",COUNTIFS('Audit Versions'!$A$6:$A$605,$A41,'Audit Versions'!$L$6:$L$605,"Active"))</f>
        <v/>
      </c>
      <c r="Q41" s="15" t="n"/>
      <c r="R41" s="26">
        <f>IF(OR($A41="",$P41=0),"",MOD(N($Q41),$P41)+1)</f>
        <v/>
      </c>
      <c r="S41" s="15" t="n"/>
      <c r="T41" s="25" t="n"/>
      <c r="U41" s="26">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Builder'!$B$12="",N($S41)&lt;='Assignment Builder'!$B$12)))</f>
        <v/>
      </c>
      <c r="V41" s="23" t="n"/>
    </row>
    <row r="42">
      <c r="A42" s="23" t="n"/>
      <c r="B42" s="23" t="n"/>
      <c r="C42" s="24" t="n"/>
      <c r="D42" s="15" t="n"/>
      <c r="E42" s="23" t="n"/>
      <c r="F42" s="15" t="n"/>
      <c r="G42" s="23" t="n"/>
      <c r="H42" s="25" t="n"/>
      <c r="I42" s="15" t="n"/>
      <c r="J42" s="26">
        <f>IF($A42="","",LEN($C42)-LEN(SUBSTITUTE($C42,",",""))+1)</f>
        <v/>
      </c>
      <c r="K42" s="26">
        <f>IF($A42="","",SUMPRODUCT(--ISNUMBER(SEARCH('Category Dictionary'!$D$5:$D$135&amp;"",$C42)),--('Category Dictionary'!$D$5:$D$135&lt;&gt;"")))</f>
        <v/>
      </c>
      <c r="L42" s="27">
        <f>IF($A42="","",TRIM(IF(ISERROR(FIND(",",$C42)),$C42,LEFT($C42,FIND(",",$C42)-1))))</f>
        <v/>
      </c>
      <c r="M42" s="28">
        <f>IF($H42="","",DATE(YEAR($H42),MONTH($H42),1))</f>
        <v/>
      </c>
      <c r="N42" s="26">
        <f>IF($H42="","",TODAY()-$H42)</f>
        <v/>
      </c>
      <c r="O42" s="15" t="n"/>
      <c r="P42" s="26">
        <f>IF($A42="","",COUNTIFS('Audit Versions'!$A$6:$A$605,$A42,'Audit Versions'!$L$6:$L$605,"Active"))</f>
        <v/>
      </c>
      <c r="Q42" s="15" t="n"/>
      <c r="R42" s="26">
        <f>IF(OR($A42="",$P42=0),"",MOD(N($Q42),$P42)+1)</f>
        <v/>
      </c>
      <c r="S42" s="15" t="n"/>
      <c r="T42" s="25" t="n"/>
      <c r="U42" s="26">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Builder'!$B$12="",N($S42)&lt;='Assignment Builder'!$B$12)))</f>
        <v/>
      </c>
      <c r="V42" s="23" t="n"/>
    </row>
    <row r="43">
      <c r="A43" s="23" t="n"/>
      <c r="B43" s="23" t="n"/>
      <c r="C43" s="24" t="n"/>
      <c r="D43" s="15" t="n"/>
      <c r="E43" s="23" t="n"/>
      <c r="F43" s="15" t="n"/>
      <c r="G43" s="23" t="n"/>
      <c r="H43" s="25" t="n"/>
      <c r="I43" s="15" t="n"/>
      <c r="J43" s="26">
        <f>IF($A43="","",LEN($C43)-LEN(SUBSTITUTE($C43,",",""))+1)</f>
        <v/>
      </c>
      <c r="K43" s="26">
        <f>IF($A43="","",SUMPRODUCT(--ISNUMBER(SEARCH('Category Dictionary'!$D$5:$D$135&amp;"",$C43)),--('Category Dictionary'!$D$5:$D$135&lt;&gt;"")))</f>
        <v/>
      </c>
      <c r="L43" s="27">
        <f>IF($A43="","",TRIM(IF(ISERROR(FIND(",",$C43)),$C43,LEFT($C43,FIND(",",$C43)-1))))</f>
        <v/>
      </c>
      <c r="M43" s="28">
        <f>IF($H43="","",DATE(YEAR($H43),MONTH($H43),1))</f>
        <v/>
      </c>
      <c r="N43" s="26">
        <f>IF($H43="","",TODAY()-$H43)</f>
        <v/>
      </c>
      <c r="O43" s="15" t="n"/>
      <c r="P43" s="26">
        <f>IF($A43="","",COUNTIFS('Audit Versions'!$A$6:$A$605,$A43,'Audit Versions'!$L$6:$L$605,"Active"))</f>
        <v/>
      </c>
      <c r="Q43" s="15" t="n"/>
      <c r="R43" s="26">
        <f>IF(OR($A43="",$P43=0),"",MOD(N($Q43),$P43)+1)</f>
        <v/>
      </c>
      <c r="S43" s="15" t="n"/>
      <c r="T43" s="25" t="n"/>
      <c r="U43" s="26">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Builder'!$B$12="",N($S43)&lt;='Assignment Builder'!$B$12)))</f>
        <v/>
      </c>
      <c r="V43" s="23" t="n"/>
    </row>
    <row r="44">
      <c r="A44" s="23" t="n"/>
      <c r="B44" s="23" t="n"/>
      <c r="C44" s="24" t="n"/>
      <c r="D44" s="15" t="n"/>
      <c r="E44" s="23" t="n"/>
      <c r="F44" s="15" t="n"/>
      <c r="G44" s="23" t="n"/>
      <c r="H44" s="25" t="n"/>
      <c r="I44" s="15" t="n"/>
      <c r="J44" s="26">
        <f>IF($A44="","",LEN($C44)-LEN(SUBSTITUTE($C44,",",""))+1)</f>
        <v/>
      </c>
      <c r="K44" s="26">
        <f>IF($A44="","",SUMPRODUCT(--ISNUMBER(SEARCH('Category Dictionary'!$D$5:$D$135&amp;"",$C44)),--('Category Dictionary'!$D$5:$D$135&lt;&gt;"")))</f>
        <v/>
      </c>
      <c r="L44" s="27">
        <f>IF($A44="","",TRIM(IF(ISERROR(FIND(",",$C44)),$C44,LEFT($C44,FIND(",",$C44)-1))))</f>
        <v/>
      </c>
      <c r="M44" s="28">
        <f>IF($H44="","",DATE(YEAR($H44),MONTH($H44),1))</f>
        <v/>
      </c>
      <c r="N44" s="26">
        <f>IF($H44="","",TODAY()-$H44)</f>
        <v/>
      </c>
      <c r="O44" s="15" t="n"/>
      <c r="P44" s="26">
        <f>IF($A44="","",COUNTIFS('Audit Versions'!$A$6:$A$605,$A44,'Audit Versions'!$L$6:$L$605,"Active"))</f>
        <v/>
      </c>
      <c r="Q44" s="15" t="n"/>
      <c r="R44" s="26">
        <f>IF(OR($A44="",$P44=0),"",MOD(N($Q44),$P44)+1)</f>
        <v/>
      </c>
      <c r="S44" s="15" t="n"/>
      <c r="T44" s="25" t="n"/>
      <c r="U44" s="26">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Builder'!$B$12="",N($S44)&lt;='Assignment Builder'!$B$12)))</f>
        <v/>
      </c>
      <c r="V44" s="23" t="n"/>
    </row>
    <row r="45">
      <c r="A45" s="23" t="n"/>
      <c r="B45" s="23" t="n"/>
      <c r="C45" s="24" t="n"/>
      <c r="D45" s="15" t="n"/>
      <c r="E45" s="23" t="n"/>
      <c r="F45" s="15" t="n"/>
      <c r="G45" s="23" t="n"/>
      <c r="H45" s="25" t="n"/>
      <c r="I45" s="15" t="n"/>
      <c r="J45" s="26">
        <f>IF($A45="","",LEN($C45)-LEN(SUBSTITUTE($C45,",",""))+1)</f>
        <v/>
      </c>
      <c r="K45" s="26">
        <f>IF($A45="","",SUMPRODUCT(--ISNUMBER(SEARCH('Category Dictionary'!$D$5:$D$135&amp;"",$C45)),--('Category Dictionary'!$D$5:$D$135&lt;&gt;"")))</f>
        <v/>
      </c>
      <c r="L45" s="27">
        <f>IF($A45="","",TRIM(IF(ISERROR(FIND(",",$C45)),$C45,LEFT($C45,FIND(",",$C45)-1))))</f>
        <v/>
      </c>
      <c r="M45" s="28">
        <f>IF($H45="","",DATE(YEAR($H45),MONTH($H45),1))</f>
        <v/>
      </c>
      <c r="N45" s="26">
        <f>IF($H45="","",TODAY()-$H45)</f>
        <v/>
      </c>
      <c r="O45" s="15" t="n"/>
      <c r="P45" s="26">
        <f>IF($A45="","",COUNTIFS('Audit Versions'!$A$6:$A$605,$A45,'Audit Versions'!$L$6:$L$605,"Active"))</f>
        <v/>
      </c>
      <c r="Q45" s="15" t="n"/>
      <c r="R45" s="26">
        <f>IF(OR($A45="",$P45=0),"",MOD(N($Q45),$P45)+1)</f>
        <v/>
      </c>
      <c r="S45" s="15" t="n"/>
      <c r="T45" s="25" t="n"/>
      <c r="U45" s="26">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Builder'!$B$12="",N($S45)&lt;='Assignment Builder'!$B$12)))</f>
        <v/>
      </c>
      <c r="V45" s="23" t="n"/>
    </row>
    <row r="46">
      <c r="A46" s="23" t="n"/>
      <c r="B46" s="23" t="n"/>
      <c r="C46" s="24" t="n"/>
      <c r="D46" s="15" t="n"/>
      <c r="E46" s="23" t="n"/>
      <c r="F46" s="15" t="n"/>
      <c r="G46" s="23" t="n"/>
      <c r="H46" s="25" t="n"/>
      <c r="I46" s="15" t="n"/>
      <c r="J46" s="26">
        <f>IF($A46="","",LEN($C46)-LEN(SUBSTITUTE($C46,",",""))+1)</f>
        <v/>
      </c>
      <c r="K46" s="26">
        <f>IF($A46="","",SUMPRODUCT(--ISNUMBER(SEARCH('Category Dictionary'!$D$5:$D$135&amp;"",$C46)),--('Category Dictionary'!$D$5:$D$135&lt;&gt;"")))</f>
        <v/>
      </c>
      <c r="L46" s="27">
        <f>IF($A46="","",TRIM(IF(ISERROR(FIND(",",$C46)),$C46,LEFT($C46,FIND(",",$C46)-1))))</f>
        <v/>
      </c>
      <c r="M46" s="28">
        <f>IF($H46="","",DATE(YEAR($H46),MONTH($H46),1))</f>
        <v/>
      </c>
      <c r="N46" s="26">
        <f>IF($H46="","",TODAY()-$H46)</f>
        <v/>
      </c>
      <c r="O46" s="15" t="n"/>
      <c r="P46" s="26">
        <f>IF($A46="","",COUNTIFS('Audit Versions'!$A$6:$A$605,$A46,'Audit Versions'!$L$6:$L$605,"Active"))</f>
        <v/>
      </c>
      <c r="Q46" s="15" t="n"/>
      <c r="R46" s="26">
        <f>IF(OR($A46="",$P46=0),"",MOD(N($Q46),$P46)+1)</f>
        <v/>
      </c>
      <c r="S46" s="15" t="n"/>
      <c r="T46" s="25" t="n"/>
      <c r="U46" s="26">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Builder'!$B$12="",N($S46)&lt;='Assignment Builder'!$B$12)))</f>
        <v/>
      </c>
      <c r="V46" s="23" t="n"/>
    </row>
    <row r="47">
      <c r="A47" s="23" t="n"/>
      <c r="B47" s="23" t="n"/>
      <c r="C47" s="24" t="n"/>
      <c r="D47" s="15" t="n"/>
      <c r="E47" s="23" t="n"/>
      <c r="F47" s="15" t="n"/>
      <c r="G47" s="23" t="n"/>
      <c r="H47" s="25" t="n"/>
      <c r="I47" s="15" t="n"/>
      <c r="J47" s="26">
        <f>IF($A47="","",LEN($C47)-LEN(SUBSTITUTE($C47,",",""))+1)</f>
        <v/>
      </c>
      <c r="K47" s="26">
        <f>IF($A47="","",SUMPRODUCT(--ISNUMBER(SEARCH('Category Dictionary'!$D$5:$D$135&amp;"",$C47)),--('Category Dictionary'!$D$5:$D$135&lt;&gt;"")))</f>
        <v/>
      </c>
      <c r="L47" s="27">
        <f>IF($A47="","",TRIM(IF(ISERROR(FIND(",",$C47)),$C47,LEFT($C47,FIND(",",$C47)-1))))</f>
        <v/>
      </c>
      <c r="M47" s="28">
        <f>IF($H47="","",DATE(YEAR($H47),MONTH($H47),1))</f>
        <v/>
      </c>
      <c r="N47" s="26">
        <f>IF($H47="","",TODAY()-$H47)</f>
        <v/>
      </c>
      <c r="O47" s="15" t="n"/>
      <c r="P47" s="26">
        <f>IF($A47="","",COUNTIFS('Audit Versions'!$A$6:$A$605,$A47,'Audit Versions'!$L$6:$L$605,"Active"))</f>
        <v/>
      </c>
      <c r="Q47" s="15" t="n"/>
      <c r="R47" s="26">
        <f>IF(OR($A47="",$P47=0),"",MOD(N($Q47),$P47)+1)</f>
        <v/>
      </c>
      <c r="S47" s="15" t="n"/>
      <c r="T47" s="25" t="n"/>
      <c r="U47" s="26">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Builder'!$B$12="",N($S47)&lt;='Assignment Builder'!$B$12)))</f>
        <v/>
      </c>
      <c r="V47" s="23" t="n"/>
    </row>
    <row r="48">
      <c r="A48" s="23" t="n"/>
      <c r="B48" s="23" t="n"/>
      <c r="C48" s="24" t="n"/>
      <c r="D48" s="15" t="n"/>
      <c r="E48" s="23" t="n"/>
      <c r="F48" s="15" t="n"/>
      <c r="G48" s="23" t="n"/>
      <c r="H48" s="25" t="n"/>
      <c r="I48" s="15" t="n"/>
      <c r="J48" s="26">
        <f>IF($A48="","",LEN($C48)-LEN(SUBSTITUTE($C48,",",""))+1)</f>
        <v/>
      </c>
      <c r="K48" s="26">
        <f>IF($A48="","",SUMPRODUCT(--ISNUMBER(SEARCH('Category Dictionary'!$D$5:$D$135&amp;"",$C48)),--('Category Dictionary'!$D$5:$D$135&lt;&gt;"")))</f>
        <v/>
      </c>
      <c r="L48" s="27">
        <f>IF($A48="","",TRIM(IF(ISERROR(FIND(",",$C48)),$C48,LEFT($C48,FIND(",",$C48)-1))))</f>
        <v/>
      </c>
      <c r="M48" s="28">
        <f>IF($H48="","",DATE(YEAR($H48),MONTH($H48),1))</f>
        <v/>
      </c>
      <c r="N48" s="26">
        <f>IF($H48="","",TODAY()-$H48)</f>
        <v/>
      </c>
      <c r="O48" s="15" t="n"/>
      <c r="P48" s="26">
        <f>IF($A48="","",COUNTIFS('Audit Versions'!$A$6:$A$605,$A48,'Audit Versions'!$L$6:$L$605,"Active"))</f>
        <v/>
      </c>
      <c r="Q48" s="15" t="n"/>
      <c r="R48" s="26">
        <f>IF(OR($A48="",$P48=0),"",MOD(N($Q48),$P48)+1)</f>
        <v/>
      </c>
      <c r="S48" s="15" t="n"/>
      <c r="T48" s="25" t="n"/>
      <c r="U48" s="26">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Builder'!$B$12="",N($S48)&lt;='Assignment Builder'!$B$12)))</f>
        <v/>
      </c>
      <c r="V48" s="23" t="n"/>
    </row>
    <row r="49">
      <c r="A49" s="23" t="n"/>
      <c r="B49" s="23" t="n"/>
      <c r="C49" s="24" t="n"/>
      <c r="D49" s="15" t="n"/>
      <c r="E49" s="23" t="n"/>
      <c r="F49" s="15" t="n"/>
      <c r="G49" s="23" t="n"/>
      <c r="H49" s="25" t="n"/>
      <c r="I49" s="15" t="n"/>
      <c r="J49" s="26">
        <f>IF($A49="","",LEN($C49)-LEN(SUBSTITUTE($C49,",",""))+1)</f>
        <v/>
      </c>
      <c r="K49" s="26">
        <f>IF($A49="","",SUMPRODUCT(--ISNUMBER(SEARCH('Category Dictionary'!$D$5:$D$135&amp;"",$C49)),--('Category Dictionary'!$D$5:$D$135&lt;&gt;"")))</f>
        <v/>
      </c>
      <c r="L49" s="27">
        <f>IF($A49="","",TRIM(IF(ISERROR(FIND(",",$C49)),$C49,LEFT($C49,FIND(",",$C49)-1))))</f>
        <v/>
      </c>
      <c r="M49" s="28">
        <f>IF($H49="","",DATE(YEAR($H49),MONTH($H49),1))</f>
        <v/>
      </c>
      <c r="N49" s="26">
        <f>IF($H49="","",TODAY()-$H49)</f>
        <v/>
      </c>
      <c r="O49" s="15" t="n"/>
      <c r="P49" s="26">
        <f>IF($A49="","",COUNTIFS('Audit Versions'!$A$6:$A$605,$A49,'Audit Versions'!$L$6:$L$605,"Active"))</f>
        <v/>
      </c>
      <c r="Q49" s="15" t="n"/>
      <c r="R49" s="26">
        <f>IF(OR($A49="",$P49=0),"",MOD(N($Q49),$P49)+1)</f>
        <v/>
      </c>
      <c r="S49" s="15" t="n"/>
      <c r="T49" s="25" t="n"/>
      <c r="U49" s="26">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Builder'!$B$12="",N($S49)&lt;='Assignment Builder'!$B$12)))</f>
        <v/>
      </c>
      <c r="V49" s="23" t="n"/>
    </row>
    <row r="50">
      <c r="A50" s="23" t="n"/>
      <c r="B50" s="23" t="n"/>
      <c r="C50" s="24" t="n"/>
      <c r="D50" s="15" t="n"/>
      <c r="E50" s="23" t="n"/>
      <c r="F50" s="15" t="n"/>
      <c r="G50" s="23" t="n"/>
      <c r="H50" s="25" t="n"/>
      <c r="I50" s="15" t="n"/>
      <c r="J50" s="26">
        <f>IF($A50="","",LEN($C50)-LEN(SUBSTITUTE($C50,",",""))+1)</f>
        <v/>
      </c>
      <c r="K50" s="26">
        <f>IF($A50="","",SUMPRODUCT(--ISNUMBER(SEARCH('Category Dictionary'!$D$5:$D$135&amp;"",$C50)),--('Category Dictionary'!$D$5:$D$135&lt;&gt;"")))</f>
        <v/>
      </c>
      <c r="L50" s="27">
        <f>IF($A50="","",TRIM(IF(ISERROR(FIND(",",$C50)),$C50,LEFT($C50,FIND(",",$C50)-1))))</f>
        <v/>
      </c>
      <c r="M50" s="28">
        <f>IF($H50="","",DATE(YEAR($H50),MONTH($H50),1))</f>
        <v/>
      </c>
      <c r="N50" s="26">
        <f>IF($H50="","",TODAY()-$H50)</f>
        <v/>
      </c>
      <c r="O50" s="15" t="n"/>
      <c r="P50" s="26">
        <f>IF($A50="","",COUNTIFS('Audit Versions'!$A$6:$A$605,$A50,'Audit Versions'!$L$6:$L$605,"Active"))</f>
        <v/>
      </c>
      <c r="Q50" s="15" t="n"/>
      <c r="R50" s="26">
        <f>IF(OR($A50="",$P50=0),"",MOD(N($Q50),$P50)+1)</f>
        <v/>
      </c>
      <c r="S50" s="15" t="n"/>
      <c r="T50" s="25" t="n"/>
      <c r="U50" s="26">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Builder'!$B$12="",N($S50)&lt;='Assignment Builder'!$B$12)))</f>
        <v/>
      </c>
      <c r="V50" s="23" t="n"/>
    </row>
    <row r="51">
      <c r="A51" s="23" t="n"/>
      <c r="B51" s="23" t="n"/>
      <c r="C51" s="24" t="n"/>
      <c r="D51" s="15" t="n"/>
      <c r="E51" s="23" t="n"/>
      <c r="F51" s="15" t="n"/>
      <c r="G51" s="23" t="n"/>
      <c r="H51" s="25" t="n"/>
      <c r="I51" s="15" t="n"/>
      <c r="J51" s="26">
        <f>IF($A51="","",LEN($C51)-LEN(SUBSTITUTE($C51,",",""))+1)</f>
        <v/>
      </c>
      <c r="K51" s="26">
        <f>IF($A51="","",SUMPRODUCT(--ISNUMBER(SEARCH('Category Dictionary'!$D$5:$D$135&amp;"",$C51)),--('Category Dictionary'!$D$5:$D$135&lt;&gt;"")))</f>
        <v/>
      </c>
      <c r="L51" s="27">
        <f>IF($A51="","",TRIM(IF(ISERROR(FIND(",",$C51)),$C51,LEFT($C51,FIND(",",$C51)-1))))</f>
        <v/>
      </c>
      <c r="M51" s="28">
        <f>IF($H51="","",DATE(YEAR($H51),MONTH($H51),1))</f>
        <v/>
      </c>
      <c r="N51" s="26">
        <f>IF($H51="","",TODAY()-$H51)</f>
        <v/>
      </c>
      <c r="O51" s="15" t="n"/>
      <c r="P51" s="26">
        <f>IF($A51="","",COUNTIFS('Audit Versions'!$A$6:$A$605,$A51,'Audit Versions'!$L$6:$L$605,"Active"))</f>
        <v/>
      </c>
      <c r="Q51" s="15" t="n"/>
      <c r="R51" s="26">
        <f>IF(OR($A51="",$P51=0),"",MOD(N($Q51),$P51)+1)</f>
        <v/>
      </c>
      <c r="S51" s="15" t="n"/>
      <c r="T51" s="25" t="n"/>
      <c r="U51" s="26">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Builder'!$B$12="",N($S51)&lt;='Assignment Builder'!$B$12)))</f>
        <v/>
      </c>
      <c r="V51" s="23" t="n"/>
    </row>
    <row r="52">
      <c r="A52" s="23" t="n"/>
      <c r="B52" s="23" t="n"/>
      <c r="C52" s="24" t="n"/>
      <c r="D52" s="15" t="n"/>
      <c r="E52" s="23" t="n"/>
      <c r="F52" s="15" t="n"/>
      <c r="G52" s="23" t="n"/>
      <c r="H52" s="25" t="n"/>
      <c r="I52" s="15" t="n"/>
      <c r="J52" s="26">
        <f>IF($A52="","",LEN($C52)-LEN(SUBSTITUTE($C52,",",""))+1)</f>
        <v/>
      </c>
      <c r="K52" s="26">
        <f>IF($A52="","",SUMPRODUCT(--ISNUMBER(SEARCH('Category Dictionary'!$D$5:$D$135&amp;"",$C52)),--('Category Dictionary'!$D$5:$D$135&lt;&gt;"")))</f>
        <v/>
      </c>
      <c r="L52" s="27">
        <f>IF($A52="","",TRIM(IF(ISERROR(FIND(",",$C52)),$C52,LEFT($C52,FIND(",",$C52)-1))))</f>
        <v/>
      </c>
      <c r="M52" s="28">
        <f>IF($H52="","",DATE(YEAR($H52),MONTH($H52),1))</f>
        <v/>
      </c>
      <c r="N52" s="26">
        <f>IF($H52="","",TODAY()-$H52)</f>
        <v/>
      </c>
      <c r="O52" s="15" t="n"/>
      <c r="P52" s="26">
        <f>IF($A52="","",COUNTIFS('Audit Versions'!$A$6:$A$605,$A52,'Audit Versions'!$L$6:$L$605,"Active"))</f>
        <v/>
      </c>
      <c r="Q52" s="15" t="n"/>
      <c r="R52" s="26">
        <f>IF(OR($A52="",$P52=0),"",MOD(N($Q52),$P52)+1)</f>
        <v/>
      </c>
      <c r="S52" s="15" t="n"/>
      <c r="T52" s="25" t="n"/>
      <c r="U52" s="26">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Builder'!$B$12="",N($S52)&lt;='Assignment Builder'!$B$12)))</f>
        <v/>
      </c>
      <c r="V52" s="23" t="n"/>
    </row>
    <row r="53">
      <c r="A53" s="23" t="n"/>
      <c r="B53" s="23" t="n"/>
      <c r="C53" s="24" t="n"/>
      <c r="D53" s="15" t="n"/>
      <c r="E53" s="23" t="n"/>
      <c r="F53" s="15" t="n"/>
      <c r="G53" s="23" t="n"/>
      <c r="H53" s="25" t="n"/>
      <c r="I53" s="15" t="n"/>
      <c r="J53" s="26">
        <f>IF($A53="","",LEN($C53)-LEN(SUBSTITUTE($C53,",",""))+1)</f>
        <v/>
      </c>
      <c r="K53" s="26">
        <f>IF($A53="","",SUMPRODUCT(--ISNUMBER(SEARCH('Category Dictionary'!$D$5:$D$135&amp;"",$C53)),--('Category Dictionary'!$D$5:$D$135&lt;&gt;"")))</f>
        <v/>
      </c>
      <c r="L53" s="27">
        <f>IF($A53="","",TRIM(IF(ISERROR(FIND(",",$C53)),$C53,LEFT($C53,FIND(",",$C53)-1))))</f>
        <v/>
      </c>
      <c r="M53" s="28">
        <f>IF($H53="","",DATE(YEAR($H53),MONTH($H53),1))</f>
        <v/>
      </c>
      <c r="N53" s="26">
        <f>IF($H53="","",TODAY()-$H53)</f>
        <v/>
      </c>
      <c r="O53" s="15" t="n"/>
      <c r="P53" s="26">
        <f>IF($A53="","",COUNTIFS('Audit Versions'!$A$6:$A$605,$A53,'Audit Versions'!$L$6:$L$605,"Active"))</f>
        <v/>
      </c>
      <c r="Q53" s="15" t="n"/>
      <c r="R53" s="26">
        <f>IF(OR($A53="",$P53=0),"",MOD(N($Q53),$P53)+1)</f>
        <v/>
      </c>
      <c r="S53" s="15" t="n"/>
      <c r="T53" s="25" t="n"/>
      <c r="U53" s="26">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Builder'!$B$12="",N($S53)&lt;='Assignment Builder'!$B$12)))</f>
        <v/>
      </c>
      <c r="V53" s="23" t="n"/>
    </row>
    <row r="54">
      <c r="A54" s="23" t="n"/>
      <c r="B54" s="23" t="n"/>
      <c r="C54" s="24" t="n"/>
      <c r="D54" s="15" t="n"/>
      <c r="E54" s="23" t="n"/>
      <c r="F54" s="15" t="n"/>
      <c r="G54" s="23" t="n"/>
      <c r="H54" s="25" t="n"/>
      <c r="I54" s="15" t="n"/>
      <c r="J54" s="26">
        <f>IF($A54="","",LEN($C54)-LEN(SUBSTITUTE($C54,",",""))+1)</f>
        <v/>
      </c>
      <c r="K54" s="26">
        <f>IF($A54="","",SUMPRODUCT(--ISNUMBER(SEARCH('Category Dictionary'!$D$5:$D$135&amp;"",$C54)),--('Category Dictionary'!$D$5:$D$135&lt;&gt;"")))</f>
        <v/>
      </c>
      <c r="L54" s="27">
        <f>IF($A54="","",TRIM(IF(ISERROR(FIND(",",$C54)),$C54,LEFT($C54,FIND(",",$C54)-1))))</f>
        <v/>
      </c>
      <c r="M54" s="28">
        <f>IF($H54="","",DATE(YEAR($H54),MONTH($H54),1))</f>
        <v/>
      </c>
      <c r="N54" s="26">
        <f>IF($H54="","",TODAY()-$H54)</f>
        <v/>
      </c>
      <c r="O54" s="15" t="n"/>
      <c r="P54" s="26">
        <f>IF($A54="","",COUNTIFS('Audit Versions'!$A$6:$A$605,$A54,'Audit Versions'!$L$6:$L$605,"Active"))</f>
        <v/>
      </c>
      <c r="Q54" s="15" t="n"/>
      <c r="R54" s="26">
        <f>IF(OR($A54="",$P54=0),"",MOD(N($Q54),$P54)+1)</f>
        <v/>
      </c>
      <c r="S54" s="15" t="n"/>
      <c r="T54" s="25" t="n"/>
      <c r="U54" s="26">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Builder'!$B$12="",N($S54)&lt;='Assignment Builder'!$B$12)))</f>
        <v/>
      </c>
      <c r="V54" s="23" t="n"/>
    </row>
    <row r="55">
      <c r="A55" s="23" t="n"/>
      <c r="B55" s="23" t="n"/>
      <c r="C55" s="24" t="n"/>
      <c r="D55" s="15" t="n"/>
      <c r="E55" s="23" t="n"/>
      <c r="F55" s="15" t="n"/>
      <c r="G55" s="23" t="n"/>
      <c r="H55" s="25" t="n"/>
      <c r="I55" s="15" t="n"/>
      <c r="J55" s="26">
        <f>IF($A55="","",LEN($C55)-LEN(SUBSTITUTE($C55,",",""))+1)</f>
        <v/>
      </c>
      <c r="K55" s="26">
        <f>IF($A55="","",SUMPRODUCT(--ISNUMBER(SEARCH('Category Dictionary'!$D$5:$D$135&amp;"",$C55)),--('Category Dictionary'!$D$5:$D$135&lt;&gt;"")))</f>
        <v/>
      </c>
      <c r="L55" s="27">
        <f>IF($A55="","",TRIM(IF(ISERROR(FIND(",",$C55)),$C55,LEFT($C55,FIND(",",$C55)-1))))</f>
        <v/>
      </c>
      <c r="M55" s="28">
        <f>IF($H55="","",DATE(YEAR($H55),MONTH($H55),1))</f>
        <v/>
      </c>
      <c r="N55" s="26">
        <f>IF($H55="","",TODAY()-$H55)</f>
        <v/>
      </c>
      <c r="O55" s="15" t="n"/>
      <c r="P55" s="26">
        <f>IF($A55="","",COUNTIFS('Audit Versions'!$A$6:$A$605,$A55,'Audit Versions'!$L$6:$L$605,"Active"))</f>
        <v/>
      </c>
      <c r="Q55" s="15" t="n"/>
      <c r="R55" s="26">
        <f>IF(OR($A55="",$P55=0),"",MOD(N($Q55),$P55)+1)</f>
        <v/>
      </c>
      <c r="S55" s="15" t="n"/>
      <c r="T55" s="25" t="n"/>
      <c r="U55" s="26">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Builder'!$B$12="",N($S55)&lt;='Assignment Builder'!$B$12)))</f>
        <v/>
      </c>
      <c r="V55" s="23" t="n"/>
    </row>
    <row r="56">
      <c r="A56" s="23" t="n"/>
      <c r="B56" s="23" t="n"/>
      <c r="C56" s="24" t="n"/>
      <c r="D56" s="15" t="n"/>
      <c r="E56" s="23" t="n"/>
      <c r="F56" s="15" t="n"/>
      <c r="G56" s="23" t="n"/>
      <c r="H56" s="25" t="n"/>
      <c r="I56" s="15" t="n"/>
      <c r="J56" s="26">
        <f>IF($A56="","",LEN($C56)-LEN(SUBSTITUTE($C56,",",""))+1)</f>
        <v/>
      </c>
      <c r="K56" s="26">
        <f>IF($A56="","",SUMPRODUCT(--ISNUMBER(SEARCH('Category Dictionary'!$D$5:$D$135&amp;"",$C56)),--('Category Dictionary'!$D$5:$D$135&lt;&gt;"")))</f>
        <v/>
      </c>
      <c r="L56" s="27">
        <f>IF($A56="","",TRIM(IF(ISERROR(FIND(",",$C56)),$C56,LEFT($C56,FIND(",",$C56)-1))))</f>
        <v/>
      </c>
      <c r="M56" s="28">
        <f>IF($H56="","",DATE(YEAR($H56),MONTH($H56),1))</f>
        <v/>
      </c>
      <c r="N56" s="26">
        <f>IF($H56="","",TODAY()-$H56)</f>
        <v/>
      </c>
      <c r="O56" s="15" t="n"/>
      <c r="P56" s="26">
        <f>IF($A56="","",COUNTIFS('Audit Versions'!$A$6:$A$605,$A56,'Audit Versions'!$L$6:$L$605,"Active"))</f>
        <v/>
      </c>
      <c r="Q56" s="15" t="n"/>
      <c r="R56" s="26">
        <f>IF(OR($A56="",$P56=0),"",MOD(N($Q56),$P56)+1)</f>
        <v/>
      </c>
      <c r="S56" s="15" t="n"/>
      <c r="T56" s="25" t="n"/>
      <c r="U56" s="26">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Builder'!$B$12="",N($S56)&lt;='Assignment Builder'!$B$12)))</f>
        <v/>
      </c>
      <c r="V56" s="23" t="n"/>
    </row>
    <row r="57">
      <c r="A57" s="23" t="n"/>
      <c r="B57" s="23" t="n"/>
      <c r="C57" s="24" t="n"/>
      <c r="D57" s="15" t="n"/>
      <c r="E57" s="23" t="n"/>
      <c r="F57" s="15" t="n"/>
      <c r="G57" s="23" t="n"/>
      <c r="H57" s="25" t="n"/>
      <c r="I57" s="15" t="n"/>
      <c r="J57" s="26">
        <f>IF($A57="","",LEN($C57)-LEN(SUBSTITUTE($C57,",",""))+1)</f>
        <v/>
      </c>
      <c r="K57" s="26">
        <f>IF($A57="","",SUMPRODUCT(--ISNUMBER(SEARCH('Category Dictionary'!$D$5:$D$135&amp;"",$C57)),--('Category Dictionary'!$D$5:$D$135&lt;&gt;"")))</f>
        <v/>
      </c>
      <c r="L57" s="27">
        <f>IF($A57="","",TRIM(IF(ISERROR(FIND(",",$C57)),$C57,LEFT($C57,FIND(",",$C57)-1))))</f>
        <v/>
      </c>
      <c r="M57" s="28">
        <f>IF($H57="","",DATE(YEAR($H57),MONTH($H57),1))</f>
        <v/>
      </c>
      <c r="N57" s="26">
        <f>IF($H57="","",TODAY()-$H57)</f>
        <v/>
      </c>
      <c r="O57" s="15" t="n"/>
      <c r="P57" s="26">
        <f>IF($A57="","",COUNTIFS('Audit Versions'!$A$6:$A$605,$A57,'Audit Versions'!$L$6:$L$605,"Active"))</f>
        <v/>
      </c>
      <c r="Q57" s="15" t="n"/>
      <c r="R57" s="26">
        <f>IF(OR($A57="",$P57=0),"",MOD(N($Q57),$P57)+1)</f>
        <v/>
      </c>
      <c r="S57" s="15" t="n"/>
      <c r="T57" s="25" t="n"/>
      <c r="U57" s="26">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Builder'!$B$12="",N($S57)&lt;='Assignment Builder'!$B$12)))</f>
        <v/>
      </c>
      <c r="V57" s="23" t="n"/>
    </row>
    <row r="58">
      <c r="A58" s="23" t="n"/>
      <c r="B58" s="23" t="n"/>
      <c r="C58" s="24" t="n"/>
      <c r="D58" s="15" t="n"/>
      <c r="E58" s="23" t="n"/>
      <c r="F58" s="15" t="n"/>
      <c r="G58" s="23" t="n"/>
      <c r="H58" s="25" t="n"/>
      <c r="I58" s="15" t="n"/>
      <c r="J58" s="26">
        <f>IF($A58="","",LEN($C58)-LEN(SUBSTITUTE($C58,",",""))+1)</f>
        <v/>
      </c>
      <c r="K58" s="26">
        <f>IF($A58="","",SUMPRODUCT(--ISNUMBER(SEARCH('Category Dictionary'!$D$5:$D$135&amp;"",$C58)),--('Category Dictionary'!$D$5:$D$135&lt;&gt;"")))</f>
        <v/>
      </c>
      <c r="L58" s="27">
        <f>IF($A58="","",TRIM(IF(ISERROR(FIND(",",$C58)),$C58,LEFT($C58,FIND(",",$C58)-1))))</f>
        <v/>
      </c>
      <c r="M58" s="28">
        <f>IF($H58="","",DATE(YEAR($H58),MONTH($H58),1))</f>
        <v/>
      </c>
      <c r="N58" s="26">
        <f>IF($H58="","",TODAY()-$H58)</f>
        <v/>
      </c>
      <c r="O58" s="15" t="n"/>
      <c r="P58" s="26">
        <f>IF($A58="","",COUNTIFS('Audit Versions'!$A$6:$A$605,$A58,'Audit Versions'!$L$6:$L$605,"Active"))</f>
        <v/>
      </c>
      <c r="Q58" s="15" t="n"/>
      <c r="R58" s="26">
        <f>IF(OR($A58="",$P58=0),"",MOD(N($Q58),$P58)+1)</f>
        <v/>
      </c>
      <c r="S58" s="15" t="n"/>
      <c r="T58" s="25" t="n"/>
      <c r="U58" s="26">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Builder'!$B$12="",N($S58)&lt;='Assignment Builder'!$B$12)))</f>
        <v/>
      </c>
      <c r="V58" s="23" t="n"/>
    </row>
    <row r="59">
      <c r="A59" s="23" t="n"/>
      <c r="B59" s="23" t="n"/>
      <c r="C59" s="24" t="n"/>
      <c r="D59" s="15" t="n"/>
      <c r="E59" s="23" t="n"/>
      <c r="F59" s="15" t="n"/>
      <c r="G59" s="23" t="n"/>
      <c r="H59" s="25" t="n"/>
      <c r="I59" s="15" t="n"/>
      <c r="J59" s="26">
        <f>IF($A59="","",LEN($C59)-LEN(SUBSTITUTE($C59,",",""))+1)</f>
        <v/>
      </c>
      <c r="K59" s="26">
        <f>IF($A59="","",SUMPRODUCT(--ISNUMBER(SEARCH('Category Dictionary'!$D$5:$D$135&amp;"",$C59)),--('Category Dictionary'!$D$5:$D$135&lt;&gt;"")))</f>
        <v/>
      </c>
      <c r="L59" s="27">
        <f>IF($A59="","",TRIM(IF(ISERROR(FIND(",",$C59)),$C59,LEFT($C59,FIND(",",$C59)-1))))</f>
        <v/>
      </c>
      <c r="M59" s="28">
        <f>IF($H59="","",DATE(YEAR($H59),MONTH($H59),1))</f>
        <v/>
      </c>
      <c r="N59" s="26">
        <f>IF($H59="","",TODAY()-$H59)</f>
        <v/>
      </c>
      <c r="O59" s="15" t="n"/>
      <c r="P59" s="26">
        <f>IF($A59="","",COUNTIFS('Audit Versions'!$A$6:$A$605,$A59,'Audit Versions'!$L$6:$L$605,"Active"))</f>
        <v/>
      </c>
      <c r="Q59" s="15" t="n"/>
      <c r="R59" s="26">
        <f>IF(OR($A59="",$P59=0),"",MOD(N($Q59),$P59)+1)</f>
        <v/>
      </c>
      <c r="S59" s="15" t="n"/>
      <c r="T59" s="25" t="n"/>
      <c r="U59" s="26">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Builder'!$B$12="",N($S59)&lt;='Assignment Builder'!$B$12)))</f>
        <v/>
      </c>
      <c r="V59" s="23" t="n"/>
    </row>
    <row r="60">
      <c r="A60" s="23" t="n"/>
      <c r="B60" s="23" t="n"/>
      <c r="C60" s="24" t="n"/>
      <c r="D60" s="15" t="n"/>
      <c r="E60" s="23" t="n"/>
      <c r="F60" s="15" t="n"/>
      <c r="G60" s="23" t="n"/>
      <c r="H60" s="25" t="n"/>
      <c r="I60" s="15" t="n"/>
      <c r="J60" s="26">
        <f>IF($A60="","",LEN($C60)-LEN(SUBSTITUTE($C60,",",""))+1)</f>
        <v/>
      </c>
      <c r="K60" s="26">
        <f>IF($A60="","",SUMPRODUCT(--ISNUMBER(SEARCH('Category Dictionary'!$D$5:$D$135&amp;"",$C60)),--('Category Dictionary'!$D$5:$D$135&lt;&gt;"")))</f>
        <v/>
      </c>
      <c r="L60" s="27">
        <f>IF($A60="","",TRIM(IF(ISERROR(FIND(",",$C60)),$C60,LEFT($C60,FIND(",",$C60)-1))))</f>
        <v/>
      </c>
      <c r="M60" s="28">
        <f>IF($H60="","",DATE(YEAR($H60),MONTH($H60),1))</f>
        <v/>
      </c>
      <c r="N60" s="26">
        <f>IF($H60="","",TODAY()-$H60)</f>
        <v/>
      </c>
      <c r="O60" s="15" t="n"/>
      <c r="P60" s="26">
        <f>IF($A60="","",COUNTIFS('Audit Versions'!$A$6:$A$605,$A60,'Audit Versions'!$L$6:$L$605,"Active"))</f>
        <v/>
      </c>
      <c r="Q60" s="15" t="n"/>
      <c r="R60" s="26">
        <f>IF(OR($A60="",$P60=0),"",MOD(N($Q60),$P60)+1)</f>
        <v/>
      </c>
      <c r="S60" s="15" t="n"/>
      <c r="T60" s="25" t="n"/>
      <c r="U60" s="26">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Builder'!$B$12="",N($S60)&lt;='Assignment Builder'!$B$12)))</f>
        <v/>
      </c>
      <c r="V60" s="23" t="n"/>
    </row>
    <row r="61">
      <c r="A61" s="23" t="n"/>
      <c r="B61" s="23" t="n"/>
      <c r="C61" s="24" t="n"/>
      <c r="D61" s="15" t="n"/>
      <c r="E61" s="23" t="n"/>
      <c r="F61" s="15" t="n"/>
      <c r="G61" s="23" t="n"/>
      <c r="H61" s="25" t="n"/>
      <c r="I61" s="15" t="n"/>
      <c r="J61" s="26">
        <f>IF($A61="","",LEN($C61)-LEN(SUBSTITUTE($C61,",",""))+1)</f>
        <v/>
      </c>
      <c r="K61" s="26">
        <f>IF($A61="","",SUMPRODUCT(--ISNUMBER(SEARCH('Category Dictionary'!$D$5:$D$135&amp;"",$C61)),--('Category Dictionary'!$D$5:$D$135&lt;&gt;"")))</f>
        <v/>
      </c>
      <c r="L61" s="27">
        <f>IF($A61="","",TRIM(IF(ISERROR(FIND(",",$C61)),$C61,LEFT($C61,FIND(",",$C61)-1))))</f>
        <v/>
      </c>
      <c r="M61" s="28">
        <f>IF($H61="","",DATE(YEAR($H61),MONTH($H61),1))</f>
        <v/>
      </c>
      <c r="N61" s="26">
        <f>IF($H61="","",TODAY()-$H61)</f>
        <v/>
      </c>
      <c r="O61" s="15" t="n"/>
      <c r="P61" s="26">
        <f>IF($A61="","",COUNTIFS('Audit Versions'!$A$6:$A$605,$A61,'Audit Versions'!$L$6:$L$605,"Active"))</f>
        <v/>
      </c>
      <c r="Q61" s="15" t="n"/>
      <c r="R61" s="26">
        <f>IF(OR($A61="",$P61=0),"",MOD(N($Q61),$P61)+1)</f>
        <v/>
      </c>
      <c r="S61" s="15" t="n"/>
      <c r="T61" s="25" t="n"/>
      <c r="U61" s="26">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Builder'!$B$12="",N($S61)&lt;='Assignment Builder'!$B$12)))</f>
        <v/>
      </c>
      <c r="V61" s="23" t="n"/>
    </row>
    <row r="62">
      <c r="A62" s="23" t="n"/>
      <c r="B62" s="23" t="n"/>
      <c r="C62" s="24" t="n"/>
      <c r="D62" s="15" t="n"/>
      <c r="E62" s="23" t="n"/>
      <c r="F62" s="15" t="n"/>
      <c r="G62" s="23" t="n"/>
      <c r="H62" s="25" t="n"/>
      <c r="I62" s="15" t="n"/>
      <c r="J62" s="26">
        <f>IF($A62="","",LEN($C62)-LEN(SUBSTITUTE($C62,",",""))+1)</f>
        <v/>
      </c>
      <c r="K62" s="26">
        <f>IF($A62="","",SUMPRODUCT(--ISNUMBER(SEARCH('Category Dictionary'!$D$5:$D$135&amp;"",$C62)),--('Category Dictionary'!$D$5:$D$135&lt;&gt;"")))</f>
        <v/>
      </c>
      <c r="L62" s="27">
        <f>IF($A62="","",TRIM(IF(ISERROR(FIND(",",$C62)),$C62,LEFT($C62,FIND(",",$C62)-1))))</f>
        <v/>
      </c>
      <c r="M62" s="28">
        <f>IF($H62="","",DATE(YEAR($H62),MONTH($H62),1))</f>
        <v/>
      </c>
      <c r="N62" s="26">
        <f>IF($H62="","",TODAY()-$H62)</f>
        <v/>
      </c>
      <c r="O62" s="15" t="n"/>
      <c r="P62" s="26">
        <f>IF($A62="","",COUNTIFS('Audit Versions'!$A$6:$A$605,$A62,'Audit Versions'!$L$6:$L$605,"Active"))</f>
        <v/>
      </c>
      <c r="Q62" s="15" t="n"/>
      <c r="R62" s="26">
        <f>IF(OR($A62="",$P62=0),"",MOD(N($Q62),$P62)+1)</f>
        <v/>
      </c>
      <c r="S62" s="15" t="n"/>
      <c r="T62" s="25" t="n"/>
      <c r="U62" s="26">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Builder'!$B$12="",N($S62)&lt;='Assignment Builder'!$B$12)))</f>
        <v/>
      </c>
      <c r="V62" s="23" t="n"/>
    </row>
    <row r="63">
      <c r="A63" s="23" t="n"/>
      <c r="B63" s="23" t="n"/>
      <c r="C63" s="24" t="n"/>
      <c r="D63" s="15" t="n"/>
      <c r="E63" s="23" t="n"/>
      <c r="F63" s="15" t="n"/>
      <c r="G63" s="23" t="n"/>
      <c r="H63" s="25" t="n"/>
      <c r="I63" s="15" t="n"/>
      <c r="J63" s="26">
        <f>IF($A63="","",LEN($C63)-LEN(SUBSTITUTE($C63,",",""))+1)</f>
        <v/>
      </c>
      <c r="K63" s="26">
        <f>IF($A63="","",SUMPRODUCT(--ISNUMBER(SEARCH('Category Dictionary'!$D$5:$D$135&amp;"",$C63)),--('Category Dictionary'!$D$5:$D$135&lt;&gt;"")))</f>
        <v/>
      </c>
      <c r="L63" s="27">
        <f>IF($A63="","",TRIM(IF(ISERROR(FIND(",",$C63)),$C63,LEFT($C63,FIND(",",$C63)-1))))</f>
        <v/>
      </c>
      <c r="M63" s="28">
        <f>IF($H63="","",DATE(YEAR($H63),MONTH($H63),1))</f>
        <v/>
      </c>
      <c r="N63" s="26">
        <f>IF($H63="","",TODAY()-$H63)</f>
        <v/>
      </c>
      <c r="O63" s="15" t="n"/>
      <c r="P63" s="26">
        <f>IF($A63="","",COUNTIFS('Audit Versions'!$A$6:$A$605,$A63,'Audit Versions'!$L$6:$L$605,"Active"))</f>
        <v/>
      </c>
      <c r="Q63" s="15" t="n"/>
      <c r="R63" s="26">
        <f>IF(OR($A63="",$P63=0),"",MOD(N($Q63),$P63)+1)</f>
        <v/>
      </c>
      <c r="S63" s="15" t="n"/>
      <c r="T63" s="25" t="n"/>
      <c r="U63" s="26">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Builder'!$B$12="",N($S63)&lt;='Assignment Builder'!$B$12)))</f>
        <v/>
      </c>
      <c r="V63" s="23" t="n"/>
    </row>
    <row r="64">
      <c r="A64" s="23" t="n"/>
      <c r="B64" s="23" t="n"/>
      <c r="C64" s="24" t="n"/>
      <c r="D64" s="15" t="n"/>
      <c r="E64" s="23" t="n"/>
      <c r="F64" s="15" t="n"/>
      <c r="G64" s="23" t="n"/>
      <c r="H64" s="25" t="n"/>
      <c r="I64" s="15" t="n"/>
      <c r="J64" s="26">
        <f>IF($A64="","",LEN($C64)-LEN(SUBSTITUTE($C64,",",""))+1)</f>
        <v/>
      </c>
      <c r="K64" s="26">
        <f>IF($A64="","",SUMPRODUCT(--ISNUMBER(SEARCH('Category Dictionary'!$D$5:$D$135&amp;"",$C64)),--('Category Dictionary'!$D$5:$D$135&lt;&gt;"")))</f>
        <v/>
      </c>
      <c r="L64" s="27">
        <f>IF($A64="","",TRIM(IF(ISERROR(FIND(",",$C64)),$C64,LEFT($C64,FIND(",",$C64)-1))))</f>
        <v/>
      </c>
      <c r="M64" s="28">
        <f>IF($H64="","",DATE(YEAR($H64),MONTH($H64),1))</f>
        <v/>
      </c>
      <c r="N64" s="26">
        <f>IF($H64="","",TODAY()-$H64)</f>
        <v/>
      </c>
      <c r="O64" s="15" t="n"/>
      <c r="P64" s="26">
        <f>IF($A64="","",COUNTIFS('Audit Versions'!$A$6:$A$605,$A64,'Audit Versions'!$L$6:$L$605,"Active"))</f>
        <v/>
      </c>
      <c r="Q64" s="15" t="n"/>
      <c r="R64" s="26">
        <f>IF(OR($A64="",$P64=0),"",MOD(N($Q64),$P64)+1)</f>
        <v/>
      </c>
      <c r="S64" s="15" t="n"/>
      <c r="T64" s="25" t="n"/>
      <c r="U64" s="26">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Builder'!$B$12="",N($S64)&lt;='Assignment Builder'!$B$12)))</f>
        <v/>
      </c>
      <c r="V64" s="23" t="n"/>
    </row>
    <row r="65">
      <c r="A65" s="23" t="n"/>
      <c r="B65" s="23" t="n"/>
      <c r="C65" s="24" t="n"/>
      <c r="D65" s="15" t="n"/>
      <c r="E65" s="23" t="n"/>
      <c r="F65" s="15" t="n"/>
      <c r="G65" s="23" t="n"/>
      <c r="H65" s="25" t="n"/>
      <c r="I65" s="15" t="n"/>
      <c r="J65" s="26">
        <f>IF($A65="","",LEN($C65)-LEN(SUBSTITUTE($C65,",",""))+1)</f>
        <v/>
      </c>
      <c r="K65" s="26">
        <f>IF($A65="","",SUMPRODUCT(--ISNUMBER(SEARCH('Category Dictionary'!$D$5:$D$135&amp;"",$C65)),--('Category Dictionary'!$D$5:$D$135&lt;&gt;"")))</f>
        <v/>
      </c>
      <c r="L65" s="27">
        <f>IF($A65="","",TRIM(IF(ISERROR(FIND(",",$C65)),$C65,LEFT($C65,FIND(",",$C65)-1))))</f>
        <v/>
      </c>
      <c r="M65" s="28">
        <f>IF($H65="","",DATE(YEAR($H65),MONTH($H65),1))</f>
        <v/>
      </c>
      <c r="N65" s="26">
        <f>IF($H65="","",TODAY()-$H65)</f>
        <v/>
      </c>
      <c r="O65" s="15" t="n"/>
      <c r="P65" s="26">
        <f>IF($A65="","",COUNTIFS('Audit Versions'!$A$6:$A$605,$A65,'Audit Versions'!$L$6:$L$605,"Active"))</f>
        <v/>
      </c>
      <c r="Q65" s="15" t="n"/>
      <c r="R65" s="26">
        <f>IF(OR($A65="",$P65=0),"",MOD(N($Q65),$P65)+1)</f>
        <v/>
      </c>
      <c r="S65" s="15" t="n"/>
      <c r="T65" s="25" t="n"/>
      <c r="U65" s="26">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Builder'!$B$12="",N($S65)&lt;='Assignment Builder'!$B$12)))</f>
        <v/>
      </c>
      <c r="V65" s="23" t="n"/>
    </row>
    <row r="66">
      <c r="A66" s="23" t="n"/>
      <c r="B66" s="23" t="n"/>
      <c r="C66" s="24" t="n"/>
      <c r="D66" s="15" t="n"/>
      <c r="E66" s="23" t="n"/>
      <c r="F66" s="15" t="n"/>
      <c r="G66" s="23" t="n"/>
      <c r="H66" s="25" t="n"/>
      <c r="I66" s="15" t="n"/>
      <c r="J66" s="26">
        <f>IF($A66="","",LEN($C66)-LEN(SUBSTITUTE($C66,",",""))+1)</f>
        <v/>
      </c>
      <c r="K66" s="26">
        <f>IF($A66="","",SUMPRODUCT(--ISNUMBER(SEARCH('Category Dictionary'!$D$5:$D$135&amp;"",$C66)),--('Category Dictionary'!$D$5:$D$135&lt;&gt;"")))</f>
        <v/>
      </c>
      <c r="L66" s="27">
        <f>IF($A66="","",TRIM(IF(ISERROR(FIND(",",$C66)),$C66,LEFT($C66,FIND(",",$C66)-1))))</f>
        <v/>
      </c>
      <c r="M66" s="28">
        <f>IF($H66="","",DATE(YEAR($H66),MONTH($H66),1))</f>
        <v/>
      </c>
      <c r="N66" s="26">
        <f>IF($H66="","",TODAY()-$H66)</f>
        <v/>
      </c>
      <c r="O66" s="15" t="n"/>
      <c r="P66" s="26">
        <f>IF($A66="","",COUNTIFS('Audit Versions'!$A$6:$A$605,$A66,'Audit Versions'!$L$6:$L$605,"Active"))</f>
        <v/>
      </c>
      <c r="Q66" s="15" t="n"/>
      <c r="R66" s="26">
        <f>IF(OR($A66="",$P66=0),"",MOD(N($Q66),$P66)+1)</f>
        <v/>
      </c>
      <c r="S66" s="15" t="n"/>
      <c r="T66" s="25" t="n"/>
      <c r="U66" s="26">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Builder'!$B$12="",N($S66)&lt;='Assignment Builder'!$B$12)))</f>
        <v/>
      </c>
      <c r="V66" s="23" t="n"/>
    </row>
    <row r="67">
      <c r="A67" s="23" t="n"/>
      <c r="B67" s="23" t="n"/>
      <c r="C67" s="24" t="n"/>
      <c r="D67" s="15" t="n"/>
      <c r="E67" s="23" t="n"/>
      <c r="F67" s="15" t="n"/>
      <c r="G67" s="23" t="n"/>
      <c r="H67" s="25" t="n"/>
      <c r="I67" s="15" t="n"/>
      <c r="J67" s="26">
        <f>IF($A67="","",LEN($C67)-LEN(SUBSTITUTE($C67,",",""))+1)</f>
        <v/>
      </c>
      <c r="K67" s="26">
        <f>IF($A67="","",SUMPRODUCT(--ISNUMBER(SEARCH('Category Dictionary'!$D$5:$D$135&amp;"",$C67)),--('Category Dictionary'!$D$5:$D$135&lt;&gt;"")))</f>
        <v/>
      </c>
      <c r="L67" s="27">
        <f>IF($A67="","",TRIM(IF(ISERROR(FIND(",",$C67)),$C67,LEFT($C67,FIND(",",$C67)-1))))</f>
        <v/>
      </c>
      <c r="M67" s="28">
        <f>IF($H67="","",DATE(YEAR($H67),MONTH($H67),1))</f>
        <v/>
      </c>
      <c r="N67" s="26">
        <f>IF($H67="","",TODAY()-$H67)</f>
        <v/>
      </c>
      <c r="O67" s="15" t="n"/>
      <c r="P67" s="26">
        <f>IF($A67="","",COUNTIFS('Audit Versions'!$A$6:$A$605,$A67,'Audit Versions'!$L$6:$L$605,"Active"))</f>
        <v/>
      </c>
      <c r="Q67" s="15" t="n"/>
      <c r="R67" s="26">
        <f>IF(OR($A67="",$P67=0),"",MOD(N($Q67),$P67)+1)</f>
        <v/>
      </c>
      <c r="S67" s="15" t="n"/>
      <c r="T67" s="25" t="n"/>
      <c r="U67" s="26">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Builder'!$B$12="",N($S67)&lt;='Assignment Builder'!$B$12)))</f>
        <v/>
      </c>
      <c r="V67" s="23" t="n"/>
    </row>
    <row r="68">
      <c r="A68" s="23" t="n"/>
      <c r="B68" s="23" t="n"/>
      <c r="C68" s="24" t="n"/>
      <c r="D68" s="15" t="n"/>
      <c r="E68" s="23" t="n"/>
      <c r="F68" s="15" t="n"/>
      <c r="G68" s="23" t="n"/>
      <c r="H68" s="25" t="n"/>
      <c r="I68" s="15" t="n"/>
      <c r="J68" s="26">
        <f>IF($A68="","",LEN($C68)-LEN(SUBSTITUTE($C68,",",""))+1)</f>
        <v/>
      </c>
      <c r="K68" s="26">
        <f>IF($A68="","",SUMPRODUCT(--ISNUMBER(SEARCH('Category Dictionary'!$D$5:$D$135&amp;"",$C68)),--('Category Dictionary'!$D$5:$D$135&lt;&gt;"")))</f>
        <v/>
      </c>
      <c r="L68" s="27">
        <f>IF($A68="","",TRIM(IF(ISERROR(FIND(",",$C68)),$C68,LEFT($C68,FIND(",",$C68)-1))))</f>
        <v/>
      </c>
      <c r="M68" s="28">
        <f>IF($H68="","",DATE(YEAR($H68),MONTH($H68),1))</f>
        <v/>
      </c>
      <c r="N68" s="26">
        <f>IF($H68="","",TODAY()-$H68)</f>
        <v/>
      </c>
      <c r="O68" s="15" t="n"/>
      <c r="P68" s="26">
        <f>IF($A68="","",COUNTIFS('Audit Versions'!$A$6:$A$605,$A68,'Audit Versions'!$L$6:$L$605,"Active"))</f>
        <v/>
      </c>
      <c r="Q68" s="15" t="n"/>
      <c r="R68" s="26">
        <f>IF(OR($A68="",$P68=0),"",MOD(N($Q68),$P68)+1)</f>
        <v/>
      </c>
      <c r="S68" s="15" t="n"/>
      <c r="T68" s="25" t="n"/>
      <c r="U68" s="26">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Builder'!$B$12="",N($S68)&lt;='Assignment Builder'!$B$12)))</f>
        <v/>
      </c>
      <c r="V68" s="23" t="n"/>
    </row>
    <row r="69">
      <c r="A69" s="23" t="n"/>
      <c r="B69" s="23" t="n"/>
      <c r="C69" s="24" t="n"/>
      <c r="D69" s="15" t="n"/>
      <c r="E69" s="23" t="n"/>
      <c r="F69" s="15" t="n"/>
      <c r="G69" s="23" t="n"/>
      <c r="H69" s="25" t="n"/>
      <c r="I69" s="15" t="n"/>
      <c r="J69" s="26">
        <f>IF($A69="","",LEN($C69)-LEN(SUBSTITUTE($C69,",",""))+1)</f>
        <v/>
      </c>
      <c r="K69" s="26">
        <f>IF($A69="","",SUMPRODUCT(--ISNUMBER(SEARCH('Category Dictionary'!$D$5:$D$135&amp;"",$C69)),--('Category Dictionary'!$D$5:$D$135&lt;&gt;"")))</f>
        <v/>
      </c>
      <c r="L69" s="27">
        <f>IF($A69="","",TRIM(IF(ISERROR(FIND(",",$C69)),$C69,LEFT($C69,FIND(",",$C69)-1))))</f>
        <v/>
      </c>
      <c r="M69" s="28">
        <f>IF($H69="","",DATE(YEAR($H69),MONTH($H69),1))</f>
        <v/>
      </c>
      <c r="N69" s="26">
        <f>IF($H69="","",TODAY()-$H69)</f>
        <v/>
      </c>
      <c r="O69" s="15" t="n"/>
      <c r="P69" s="26">
        <f>IF($A69="","",COUNTIFS('Audit Versions'!$A$6:$A$605,$A69,'Audit Versions'!$L$6:$L$605,"Active"))</f>
        <v/>
      </c>
      <c r="Q69" s="15" t="n"/>
      <c r="R69" s="26">
        <f>IF(OR($A69="",$P69=0),"",MOD(N($Q69),$P69)+1)</f>
        <v/>
      </c>
      <c r="S69" s="15" t="n"/>
      <c r="T69" s="25" t="n"/>
      <c r="U69" s="26">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Builder'!$B$12="",N($S69)&lt;='Assignment Builder'!$B$12)))</f>
        <v/>
      </c>
      <c r="V69" s="23" t="n"/>
    </row>
    <row r="70">
      <c r="A70" s="23" t="n"/>
      <c r="B70" s="23" t="n"/>
      <c r="C70" s="24" t="n"/>
      <c r="D70" s="15" t="n"/>
      <c r="E70" s="23" t="n"/>
      <c r="F70" s="15" t="n"/>
      <c r="G70" s="23" t="n"/>
      <c r="H70" s="25" t="n"/>
      <c r="I70" s="15" t="n"/>
      <c r="J70" s="26">
        <f>IF($A70="","",LEN($C70)-LEN(SUBSTITUTE($C70,",",""))+1)</f>
        <v/>
      </c>
      <c r="K70" s="26">
        <f>IF($A70="","",SUMPRODUCT(--ISNUMBER(SEARCH('Category Dictionary'!$D$5:$D$135&amp;"",$C70)),--('Category Dictionary'!$D$5:$D$135&lt;&gt;"")))</f>
        <v/>
      </c>
      <c r="L70" s="27">
        <f>IF($A70="","",TRIM(IF(ISERROR(FIND(",",$C70)),$C70,LEFT($C70,FIND(",",$C70)-1))))</f>
        <v/>
      </c>
      <c r="M70" s="28">
        <f>IF($H70="","",DATE(YEAR($H70),MONTH($H70),1))</f>
        <v/>
      </c>
      <c r="N70" s="26">
        <f>IF($H70="","",TODAY()-$H70)</f>
        <v/>
      </c>
      <c r="O70" s="15" t="n"/>
      <c r="P70" s="26">
        <f>IF($A70="","",COUNTIFS('Audit Versions'!$A$6:$A$605,$A70,'Audit Versions'!$L$6:$L$605,"Active"))</f>
        <v/>
      </c>
      <c r="Q70" s="15" t="n"/>
      <c r="R70" s="26">
        <f>IF(OR($A70="",$P70=0),"",MOD(N($Q70),$P70)+1)</f>
        <v/>
      </c>
      <c r="S70" s="15" t="n"/>
      <c r="T70" s="25" t="n"/>
      <c r="U70" s="26">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Builder'!$B$12="",N($S70)&lt;='Assignment Builder'!$B$12)))</f>
        <v/>
      </c>
      <c r="V70" s="23" t="n"/>
    </row>
    <row r="71">
      <c r="A71" s="23" t="n"/>
      <c r="B71" s="23" t="n"/>
      <c r="C71" s="24" t="n"/>
      <c r="D71" s="15" t="n"/>
      <c r="E71" s="23" t="n"/>
      <c r="F71" s="15" t="n"/>
      <c r="G71" s="23" t="n"/>
      <c r="H71" s="25" t="n"/>
      <c r="I71" s="15" t="n"/>
      <c r="J71" s="26">
        <f>IF($A71="","",LEN($C71)-LEN(SUBSTITUTE($C71,",",""))+1)</f>
        <v/>
      </c>
      <c r="K71" s="26">
        <f>IF($A71="","",SUMPRODUCT(--ISNUMBER(SEARCH('Category Dictionary'!$D$5:$D$135&amp;"",$C71)),--('Category Dictionary'!$D$5:$D$135&lt;&gt;"")))</f>
        <v/>
      </c>
      <c r="L71" s="27">
        <f>IF($A71="","",TRIM(IF(ISERROR(FIND(",",$C71)),$C71,LEFT($C71,FIND(",",$C71)-1))))</f>
        <v/>
      </c>
      <c r="M71" s="28">
        <f>IF($H71="","",DATE(YEAR($H71),MONTH($H71),1))</f>
        <v/>
      </c>
      <c r="N71" s="26">
        <f>IF($H71="","",TODAY()-$H71)</f>
        <v/>
      </c>
      <c r="O71" s="15" t="n"/>
      <c r="P71" s="26">
        <f>IF($A71="","",COUNTIFS('Audit Versions'!$A$6:$A$605,$A71,'Audit Versions'!$L$6:$L$605,"Active"))</f>
        <v/>
      </c>
      <c r="Q71" s="15" t="n"/>
      <c r="R71" s="26">
        <f>IF(OR($A71="",$P71=0),"",MOD(N($Q71),$P71)+1)</f>
        <v/>
      </c>
      <c r="S71" s="15" t="n"/>
      <c r="T71" s="25" t="n"/>
      <c r="U71" s="26">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Builder'!$B$12="",N($S71)&lt;='Assignment Builder'!$B$12)))</f>
        <v/>
      </c>
      <c r="V71" s="23" t="n"/>
    </row>
    <row r="72">
      <c r="A72" s="23" t="n"/>
      <c r="B72" s="23" t="n"/>
      <c r="C72" s="24" t="n"/>
      <c r="D72" s="15" t="n"/>
      <c r="E72" s="23" t="n"/>
      <c r="F72" s="15" t="n"/>
      <c r="G72" s="23" t="n"/>
      <c r="H72" s="25" t="n"/>
      <c r="I72" s="15" t="n"/>
      <c r="J72" s="26">
        <f>IF($A72="","",LEN($C72)-LEN(SUBSTITUTE($C72,",",""))+1)</f>
        <v/>
      </c>
      <c r="K72" s="26">
        <f>IF($A72="","",SUMPRODUCT(--ISNUMBER(SEARCH('Category Dictionary'!$D$5:$D$135&amp;"",$C72)),--('Category Dictionary'!$D$5:$D$135&lt;&gt;"")))</f>
        <v/>
      </c>
      <c r="L72" s="27">
        <f>IF($A72="","",TRIM(IF(ISERROR(FIND(",",$C72)),$C72,LEFT($C72,FIND(",",$C72)-1))))</f>
        <v/>
      </c>
      <c r="M72" s="28">
        <f>IF($H72="","",DATE(YEAR($H72),MONTH($H72),1))</f>
        <v/>
      </c>
      <c r="N72" s="26">
        <f>IF($H72="","",TODAY()-$H72)</f>
        <v/>
      </c>
      <c r="O72" s="15" t="n"/>
      <c r="P72" s="26">
        <f>IF($A72="","",COUNTIFS('Audit Versions'!$A$6:$A$605,$A72,'Audit Versions'!$L$6:$L$605,"Active"))</f>
        <v/>
      </c>
      <c r="Q72" s="15" t="n"/>
      <c r="R72" s="26">
        <f>IF(OR($A72="",$P72=0),"",MOD(N($Q72),$P72)+1)</f>
        <v/>
      </c>
      <c r="S72" s="15" t="n"/>
      <c r="T72" s="25" t="n"/>
      <c r="U72" s="26">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Builder'!$B$12="",N($S72)&lt;='Assignment Builder'!$B$12)))</f>
        <v/>
      </c>
      <c r="V72" s="23" t="n"/>
    </row>
    <row r="73">
      <c r="A73" s="23" t="n"/>
      <c r="B73" s="23" t="n"/>
      <c r="C73" s="24" t="n"/>
      <c r="D73" s="15" t="n"/>
      <c r="E73" s="23" t="n"/>
      <c r="F73" s="15" t="n"/>
      <c r="G73" s="23" t="n"/>
      <c r="H73" s="25" t="n"/>
      <c r="I73" s="15" t="n"/>
      <c r="J73" s="26">
        <f>IF($A73="","",LEN($C73)-LEN(SUBSTITUTE($C73,",",""))+1)</f>
        <v/>
      </c>
      <c r="K73" s="26">
        <f>IF($A73="","",SUMPRODUCT(--ISNUMBER(SEARCH('Category Dictionary'!$D$5:$D$135&amp;"",$C73)),--('Category Dictionary'!$D$5:$D$135&lt;&gt;"")))</f>
        <v/>
      </c>
      <c r="L73" s="27">
        <f>IF($A73="","",TRIM(IF(ISERROR(FIND(",",$C73)),$C73,LEFT($C73,FIND(",",$C73)-1))))</f>
        <v/>
      </c>
      <c r="M73" s="28">
        <f>IF($H73="","",DATE(YEAR($H73),MONTH($H73),1))</f>
        <v/>
      </c>
      <c r="N73" s="26">
        <f>IF($H73="","",TODAY()-$H73)</f>
        <v/>
      </c>
      <c r="O73" s="15" t="n"/>
      <c r="P73" s="26">
        <f>IF($A73="","",COUNTIFS('Audit Versions'!$A$6:$A$605,$A73,'Audit Versions'!$L$6:$L$605,"Active"))</f>
        <v/>
      </c>
      <c r="Q73" s="15" t="n"/>
      <c r="R73" s="26">
        <f>IF(OR($A73="",$P73=0),"",MOD(N($Q73),$P73)+1)</f>
        <v/>
      </c>
      <c r="S73" s="15" t="n"/>
      <c r="T73" s="25" t="n"/>
      <c r="U73" s="26">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Builder'!$B$12="",N($S73)&lt;='Assignment Builder'!$B$12)))</f>
        <v/>
      </c>
      <c r="V73" s="23" t="n"/>
    </row>
    <row r="74">
      <c r="A74" s="23" t="n"/>
      <c r="B74" s="23" t="n"/>
      <c r="C74" s="24" t="n"/>
      <c r="D74" s="15" t="n"/>
      <c r="E74" s="23" t="n"/>
      <c r="F74" s="15" t="n"/>
      <c r="G74" s="23" t="n"/>
      <c r="H74" s="25" t="n"/>
      <c r="I74" s="15" t="n"/>
      <c r="J74" s="26">
        <f>IF($A74="","",LEN($C74)-LEN(SUBSTITUTE($C74,",",""))+1)</f>
        <v/>
      </c>
      <c r="K74" s="26">
        <f>IF($A74="","",SUMPRODUCT(--ISNUMBER(SEARCH('Category Dictionary'!$D$5:$D$135&amp;"",$C74)),--('Category Dictionary'!$D$5:$D$135&lt;&gt;"")))</f>
        <v/>
      </c>
      <c r="L74" s="27">
        <f>IF($A74="","",TRIM(IF(ISERROR(FIND(",",$C74)),$C74,LEFT($C74,FIND(",",$C74)-1))))</f>
        <v/>
      </c>
      <c r="M74" s="28">
        <f>IF($H74="","",DATE(YEAR($H74),MONTH($H74),1))</f>
        <v/>
      </c>
      <c r="N74" s="26">
        <f>IF($H74="","",TODAY()-$H74)</f>
        <v/>
      </c>
      <c r="O74" s="15" t="n"/>
      <c r="P74" s="26">
        <f>IF($A74="","",COUNTIFS('Audit Versions'!$A$6:$A$605,$A74,'Audit Versions'!$L$6:$L$605,"Active"))</f>
        <v/>
      </c>
      <c r="Q74" s="15" t="n"/>
      <c r="R74" s="26">
        <f>IF(OR($A74="",$P74=0),"",MOD(N($Q74),$P74)+1)</f>
        <v/>
      </c>
      <c r="S74" s="15" t="n"/>
      <c r="T74" s="25" t="n"/>
      <c r="U74" s="26">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Builder'!$B$12="",N($S74)&lt;='Assignment Builder'!$B$12)))</f>
        <v/>
      </c>
      <c r="V74" s="23" t="n"/>
    </row>
    <row r="75">
      <c r="A75" s="23" t="n"/>
      <c r="B75" s="23" t="n"/>
      <c r="C75" s="24" t="n"/>
      <c r="D75" s="15" t="n"/>
      <c r="E75" s="23" t="n"/>
      <c r="F75" s="15" t="n"/>
      <c r="G75" s="23" t="n"/>
      <c r="H75" s="25" t="n"/>
      <c r="I75" s="15" t="n"/>
      <c r="J75" s="26">
        <f>IF($A75="","",LEN($C75)-LEN(SUBSTITUTE($C75,",",""))+1)</f>
        <v/>
      </c>
      <c r="K75" s="26">
        <f>IF($A75="","",SUMPRODUCT(--ISNUMBER(SEARCH('Category Dictionary'!$D$5:$D$135&amp;"",$C75)),--('Category Dictionary'!$D$5:$D$135&lt;&gt;"")))</f>
        <v/>
      </c>
      <c r="L75" s="27">
        <f>IF($A75="","",TRIM(IF(ISERROR(FIND(",",$C75)),$C75,LEFT($C75,FIND(",",$C75)-1))))</f>
        <v/>
      </c>
      <c r="M75" s="28">
        <f>IF($H75="","",DATE(YEAR($H75),MONTH($H75),1))</f>
        <v/>
      </c>
      <c r="N75" s="26">
        <f>IF($H75="","",TODAY()-$H75)</f>
        <v/>
      </c>
      <c r="O75" s="15" t="n"/>
      <c r="P75" s="26">
        <f>IF($A75="","",COUNTIFS('Audit Versions'!$A$6:$A$605,$A75,'Audit Versions'!$L$6:$L$605,"Active"))</f>
        <v/>
      </c>
      <c r="Q75" s="15" t="n"/>
      <c r="R75" s="26">
        <f>IF(OR($A75="",$P75=0),"",MOD(N($Q75),$P75)+1)</f>
        <v/>
      </c>
      <c r="S75" s="15" t="n"/>
      <c r="T75" s="25" t="n"/>
      <c r="U75" s="26">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Builder'!$B$12="",N($S75)&lt;='Assignment Builder'!$B$12)))</f>
        <v/>
      </c>
      <c r="V75" s="23" t="n"/>
    </row>
    <row r="76">
      <c r="A76" s="23" t="n"/>
      <c r="B76" s="23" t="n"/>
      <c r="C76" s="24" t="n"/>
      <c r="D76" s="15" t="n"/>
      <c r="E76" s="23" t="n"/>
      <c r="F76" s="15" t="n"/>
      <c r="G76" s="23" t="n"/>
      <c r="H76" s="25" t="n"/>
      <c r="I76" s="15" t="n"/>
      <c r="J76" s="26">
        <f>IF($A76="","",LEN($C76)-LEN(SUBSTITUTE($C76,",",""))+1)</f>
        <v/>
      </c>
      <c r="K76" s="26">
        <f>IF($A76="","",SUMPRODUCT(--ISNUMBER(SEARCH('Category Dictionary'!$D$5:$D$135&amp;"",$C76)),--('Category Dictionary'!$D$5:$D$135&lt;&gt;"")))</f>
        <v/>
      </c>
      <c r="L76" s="27">
        <f>IF($A76="","",TRIM(IF(ISERROR(FIND(",",$C76)),$C76,LEFT($C76,FIND(",",$C76)-1))))</f>
        <v/>
      </c>
      <c r="M76" s="28">
        <f>IF($H76="","",DATE(YEAR($H76),MONTH($H76),1))</f>
        <v/>
      </c>
      <c r="N76" s="26">
        <f>IF($H76="","",TODAY()-$H76)</f>
        <v/>
      </c>
      <c r="O76" s="15" t="n"/>
      <c r="P76" s="26">
        <f>IF($A76="","",COUNTIFS('Audit Versions'!$A$6:$A$605,$A76,'Audit Versions'!$L$6:$L$605,"Active"))</f>
        <v/>
      </c>
      <c r="Q76" s="15" t="n"/>
      <c r="R76" s="26">
        <f>IF(OR($A76="",$P76=0),"",MOD(N($Q76),$P76)+1)</f>
        <v/>
      </c>
      <c r="S76" s="15" t="n"/>
      <c r="T76" s="25" t="n"/>
      <c r="U76" s="26">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Builder'!$B$12="",N($S76)&lt;='Assignment Builder'!$B$12)))</f>
        <v/>
      </c>
      <c r="V76" s="23" t="n"/>
    </row>
    <row r="77">
      <c r="A77" s="23" t="n"/>
      <c r="B77" s="23" t="n"/>
      <c r="C77" s="24" t="n"/>
      <c r="D77" s="15" t="n"/>
      <c r="E77" s="23" t="n"/>
      <c r="F77" s="15" t="n"/>
      <c r="G77" s="23" t="n"/>
      <c r="H77" s="25" t="n"/>
      <c r="I77" s="15" t="n"/>
      <c r="J77" s="26">
        <f>IF($A77="","",LEN($C77)-LEN(SUBSTITUTE($C77,",",""))+1)</f>
        <v/>
      </c>
      <c r="K77" s="26">
        <f>IF($A77="","",SUMPRODUCT(--ISNUMBER(SEARCH('Category Dictionary'!$D$5:$D$135&amp;"",$C77)),--('Category Dictionary'!$D$5:$D$135&lt;&gt;"")))</f>
        <v/>
      </c>
      <c r="L77" s="27">
        <f>IF($A77="","",TRIM(IF(ISERROR(FIND(",",$C77)),$C77,LEFT($C77,FIND(",",$C77)-1))))</f>
        <v/>
      </c>
      <c r="M77" s="28">
        <f>IF($H77="","",DATE(YEAR($H77),MONTH($H77),1))</f>
        <v/>
      </c>
      <c r="N77" s="26">
        <f>IF($H77="","",TODAY()-$H77)</f>
        <v/>
      </c>
      <c r="O77" s="15" t="n"/>
      <c r="P77" s="26">
        <f>IF($A77="","",COUNTIFS('Audit Versions'!$A$6:$A$605,$A77,'Audit Versions'!$L$6:$L$605,"Active"))</f>
        <v/>
      </c>
      <c r="Q77" s="15" t="n"/>
      <c r="R77" s="26">
        <f>IF(OR($A77="",$P77=0),"",MOD(N($Q77),$P77)+1)</f>
        <v/>
      </c>
      <c r="S77" s="15" t="n"/>
      <c r="T77" s="25" t="n"/>
      <c r="U77" s="26">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Builder'!$B$12="",N($S77)&lt;='Assignment Builder'!$B$12)))</f>
        <v/>
      </c>
      <c r="V77" s="23" t="n"/>
    </row>
    <row r="78">
      <c r="A78" s="23" t="n"/>
      <c r="B78" s="23" t="n"/>
      <c r="C78" s="24" t="n"/>
      <c r="D78" s="15" t="n"/>
      <c r="E78" s="23" t="n"/>
      <c r="F78" s="15" t="n"/>
      <c r="G78" s="23" t="n"/>
      <c r="H78" s="25" t="n"/>
      <c r="I78" s="15" t="n"/>
      <c r="J78" s="26">
        <f>IF($A78="","",LEN($C78)-LEN(SUBSTITUTE($C78,",",""))+1)</f>
        <v/>
      </c>
      <c r="K78" s="26">
        <f>IF($A78="","",SUMPRODUCT(--ISNUMBER(SEARCH('Category Dictionary'!$D$5:$D$135&amp;"",$C78)),--('Category Dictionary'!$D$5:$D$135&lt;&gt;"")))</f>
        <v/>
      </c>
      <c r="L78" s="27">
        <f>IF($A78="","",TRIM(IF(ISERROR(FIND(",",$C78)),$C78,LEFT($C78,FIND(",",$C78)-1))))</f>
        <v/>
      </c>
      <c r="M78" s="28">
        <f>IF($H78="","",DATE(YEAR($H78),MONTH($H78),1))</f>
        <v/>
      </c>
      <c r="N78" s="26">
        <f>IF($H78="","",TODAY()-$H78)</f>
        <v/>
      </c>
      <c r="O78" s="15" t="n"/>
      <c r="P78" s="26">
        <f>IF($A78="","",COUNTIFS('Audit Versions'!$A$6:$A$605,$A78,'Audit Versions'!$L$6:$L$605,"Active"))</f>
        <v/>
      </c>
      <c r="Q78" s="15" t="n"/>
      <c r="R78" s="26">
        <f>IF(OR($A78="",$P78=0),"",MOD(N($Q78),$P78)+1)</f>
        <v/>
      </c>
      <c r="S78" s="15" t="n"/>
      <c r="T78" s="25" t="n"/>
      <c r="U78" s="26">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Builder'!$B$12="",N($S78)&lt;='Assignment Builder'!$B$12)))</f>
        <v/>
      </c>
      <c r="V78" s="23" t="n"/>
    </row>
    <row r="79">
      <c r="A79" s="23" t="n"/>
      <c r="B79" s="23" t="n"/>
      <c r="C79" s="24" t="n"/>
      <c r="D79" s="15" t="n"/>
      <c r="E79" s="23" t="n"/>
      <c r="F79" s="15" t="n"/>
      <c r="G79" s="23" t="n"/>
      <c r="H79" s="25" t="n"/>
      <c r="I79" s="15" t="n"/>
      <c r="J79" s="26">
        <f>IF($A79="","",LEN($C79)-LEN(SUBSTITUTE($C79,",",""))+1)</f>
        <v/>
      </c>
      <c r="K79" s="26">
        <f>IF($A79="","",SUMPRODUCT(--ISNUMBER(SEARCH('Category Dictionary'!$D$5:$D$135&amp;"",$C79)),--('Category Dictionary'!$D$5:$D$135&lt;&gt;"")))</f>
        <v/>
      </c>
      <c r="L79" s="27">
        <f>IF($A79="","",TRIM(IF(ISERROR(FIND(",",$C79)),$C79,LEFT($C79,FIND(",",$C79)-1))))</f>
        <v/>
      </c>
      <c r="M79" s="28">
        <f>IF($H79="","",DATE(YEAR($H79),MONTH($H79),1))</f>
        <v/>
      </c>
      <c r="N79" s="26">
        <f>IF($H79="","",TODAY()-$H79)</f>
        <v/>
      </c>
      <c r="O79" s="15" t="n"/>
      <c r="P79" s="26">
        <f>IF($A79="","",COUNTIFS('Audit Versions'!$A$6:$A$605,$A79,'Audit Versions'!$L$6:$L$605,"Active"))</f>
        <v/>
      </c>
      <c r="Q79" s="15" t="n"/>
      <c r="R79" s="26">
        <f>IF(OR($A79="",$P79=0),"",MOD(N($Q79),$P79)+1)</f>
        <v/>
      </c>
      <c r="S79" s="15" t="n"/>
      <c r="T79" s="25" t="n"/>
      <c r="U79" s="26">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Builder'!$B$12="",N($S79)&lt;='Assignment Builder'!$B$12)))</f>
        <v/>
      </c>
      <c r="V79" s="23" t="n"/>
    </row>
    <row r="80">
      <c r="A80" s="23" t="n"/>
      <c r="B80" s="23" t="n"/>
      <c r="C80" s="24" t="n"/>
      <c r="D80" s="15" t="n"/>
      <c r="E80" s="23" t="n"/>
      <c r="F80" s="15" t="n"/>
      <c r="G80" s="23" t="n"/>
      <c r="H80" s="25" t="n"/>
      <c r="I80" s="15" t="n"/>
      <c r="J80" s="26">
        <f>IF($A80="","",LEN($C80)-LEN(SUBSTITUTE($C80,",",""))+1)</f>
        <v/>
      </c>
      <c r="K80" s="26">
        <f>IF($A80="","",SUMPRODUCT(--ISNUMBER(SEARCH('Category Dictionary'!$D$5:$D$135&amp;"",$C80)),--('Category Dictionary'!$D$5:$D$135&lt;&gt;"")))</f>
        <v/>
      </c>
      <c r="L80" s="27">
        <f>IF($A80="","",TRIM(IF(ISERROR(FIND(",",$C80)),$C80,LEFT($C80,FIND(",",$C80)-1))))</f>
        <v/>
      </c>
      <c r="M80" s="28">
        <f>IF($H80="","",DATE(YEAR($H80),MONTH($H80),1))</f>
        <v/>
      </c>
      <c r="N80" s="26">
        <f>IF($H80="","",TODAY()-$H80)</f>
        <v/>
      </c>
      <c r="O80" s="15" t="n"/>
      <c r="P80" s="26">
        <f>IF($A80="","",COUNTIFS('Audit Versions'!$A$6:$A$605,$A80,'Audit Versions'!$L$6:$L$605,"Active"))</f>
        <v/>
      </c>
      <c r="Q80" s="15" t="n"/>
      <c r="R80" s="26">
        <f>IF(OR($A80="",$P80=0),"",MOD(N($Q80),$P80)+1)</f>
        <v/>
      </c>
      <c r="S80" s="15" t="n"/>
      <c r="T80" s="25" t="n"/>
      <c r="U80" s="26">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Builder'!$B$12="",N($S80)&lt;='Assignment Builder'!$B$12)))</f>
        <v/>
      </c>
      <c r="V80" s="23" t="n"/>
    </row>
    <row r="81">
      <c r="A81" s="23" t="n"/>
      <c r="B81" s="23" t="n"/>
      <c r="C81" s="24" t="n"/>
      <c r="D81" s="15" t="n"/>
      <c r="E81" s="23" t="n"/>
      <c r="F81" s="15" t="n"/>
      <c r="G81" s="23" t="n"/>
      <c r="H81" s="25" t="n"/>
      <c r="I81" s="15" t="n"/>
      <c r="J81" s="26">
        <f>IF($A81="","",LEN($C81)-LEN(SUBSTITUTE($C81,",",""))+1)</f>
        <v/>
      </c>
      <c r="K81" s="26">
        <f>IF($A81="","",SUMPRODUCT(--ISNUMBER(SEARCH('Category Dictionary'!$D$5:$D$135&amp;"",$C81)),--('Category Dictionary'!$D$5:$D$135&lt;&gt;"")))</f>
        <v/>
      </c>
      <c r="L81" s="27">
        <f>IF($A81="","",TRIM(IF(ISERROR(FIND(",",$C81)),$C81,LEFT($C81,FIND(",",$C81)-1))))</f>
        <v/>
      </c>
      <c r="M81" s="28">
        <f>IF($H81="","",DATE(YEAR($H81),MONTH($H81),1))</f>
        <v/>
      </c>
      <c r="N81" s="26">
        <f>IF($H81="","",TODAY()-$H81)</f>
        <v/>
      </c>
      <c r="O81" s="15" t="n"/>
      <c r="P81" s="26">
        <f>IF($A81="","",COUNTIFS('Audit Versions'!$A$6:$A$605,$A81,'Audit Versions'!$L$6:$L$605,"Active"))</f>
        <v/>
      </c>
      <c r="Q81" s="15" t="n"/>
      <c r="R81" s="26">
        <f>IF(OR($A81="",$P81=0),"",MOD(N($Q81),$P81)+1)</f>
        <v/>
      </c>
      <c r="S81" s="15" t="n"/>
      <c r="T81" s="25" t="n"/>
      <c r="U81" s="26">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Builder'!$B$12="",N($S81)&lt;='Assignment Builder'!$B$12)))</f>
        <v/>
      </c>
      <c r="V81" s="23" t="n"/>
    </row>
    <row r="82">
      <c r="A82" s="23" t="n"/>
      <c r="B82" s="23" t="n"/>
      <c r="C82" s="24" t="n"/>
      <c r="D82" s="15" t="n"/>
      <c r="E82" s="23" t="n"/>
      <c r="F82" s="15" t="n"/>
      <c r="G82" s="23" t="n"/>
      <c r="H82" s="25" t="n"/>
      <c r="I82" s="15" t="n"/>
      <c r="J82" s="26">
        <f>IF($A82="","",LEN($C82)-LEN(SUBSTITUTE($C82,",",""))+1)</f>
        <v/>
      </c>
      <c r="K82" s="26">
        <f>IF($A82="","",SUMPRODUCT(--ISNUMBER(SEARCH('Category Dictionary'!$D$5:$D$135&amp;"",$C82)),--('Category Dictionary'!$D$5:$D$135&lt;&gt;"")))</f>
        <v/>
      </c>
      <c r="L82" s="27">
        <f>IF($A82="","",TRIM(IF(ISERROR(FIND(",",$C82)),$C82,LEFT($C82,FIND(",",$C82)-1))))</f>
        <v/>
      </c>
      <c r="M82" s="28">
        <f>IF($H82="","",DATE(YEAR($H82),MONTH($H82),1))</f>
        <v/>
      </c>
      <c r="N82" s="26">
        <f>IF($H82="","",TODAY()-$H82)</f>
        <v/>
      </c>
      <c r="O82" s="15" t="n"/>
      <c r="P82" s="26">
        <f>IF($A82="","",COUNTIFS('Audit Versions'!$A$6:$A$605,$A82,'Audit Versions'!$L$6:$L$605,"Active"))</f>
        <v/>
      </c>
      <c r="Q82" s="15" t="n"/>
      <c r="R82" s="26">
        <f>IF(OR($A82="",$P82=0),"",MOD(N($Q82),$P82)+1)</f>
        <v/>
      </c>
      <c r="S82" s="15" t="n"/>
      <c r="T82" s="25" t="n"/>
      <c r="U82" s="26">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Builder'!$B$12="",N($S82)&lt;='Assignment Builder'!$B$12)))</f>
        <v/>
      </c>
      <c r="V82" s="23" t="n"/>
    </row>
    <row r="83">
      <c r="A83" s="23" t="n"/>
      <c r="B83" s="23" t="n"/>
      <c r="C83" s="24" t="n"/>
      <c r="D83" s="15" t="n"/>
      <c r="E83" s="23" t="n"/>
      <c r="F83" s="15" t="n"/>
      <c r="G83" s="23" t="n"/>
      <c r="H83" s="25" t="n"/>
      <c r="I83" s="15" t="n"/>
      <c r="J83" s="26">
        <f>IF($A83="","",LEN($C83)-LEN(SUBSTITUTE($C83,",",""))+1)</f>
        <v/>
      </c>
      <c r="K83" s="26">
        <f>IF($A83="","",SUMPRODUCT(--ISNUMBER(SEARCH('Category Dictionary'!$D$5:$D$135&amp;"",$C83)),--('Category Dictionary'!$D$5:$D$135&lt;&gt;"")))</f>
        <v/>
      </c>
      <c r="L83" s="27">
        <f>IF($A83="","",TRIM(IF(ISERROR(FIND(",",$C83)),$C83,LEFT($C83,FIND(",",$C83)-1))))</f>
        <v/>
      </c>
      <c r="M83" s="28">
        <f>IF($H83="","",DATE(YEAR($H83),MONTH($H83),1))</f>
        <v/>
      </c>
      <c r="N83" s="26">
        <f>IF($H83="","",TODAY()-$H83)</f>
        <v/>
      </c>
      <c r="O83" s="15" t="n"/>
      <c r="P83" s="26">
        <f>IF($A83="","",COUNTIFS('Audit Versions'!$A$6:$A$605,$A83,'Audit Versions'!$L$6:$L$605,"Active"))</f>
        <v/>
      </c>
      <c r="Q83" s="15" t="n"/>
      <c r="R83" s="26">
        <f>IF(OR($A83="",$P83=0),"",MOD(N($Q83),$P83)+1)</f>
        <v/>
      </c>
      <c r="S83" s="15" t="n"/>
      <c r="T83" s="25" t="n"/>
      <c r="U83" s="26">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Builder'!$B$12="",N($S83)&lt;='Assignment Builder'!$B$12)))</f>
        <v/>
      </c>
      <c r="V83" s="23" t="n"/>
    </row>
    <row r="84">
      <c r="A84" s="23" t="n"/>
      <c r="B84" s="23" t="n"/>
      <c r="C84" s="24" t="n"/>
      <c r="D84" s="15" t="n"/>
      <c r="E84" s="23" t="n"/>
      <c r="F84" s="15" t="n"/>
      <c r="G84" s="23" t="n"/>
      <c r="H84" s="25" t="n"/>
      <c r="I84" s="15" t="n"/>
      <c r="J84" s="26">
        <f>IF($A84="","",LEN($C84)-LEN(SUBSTITUTE($C84,",",""))+1)</f>
        <v/>
      </c>
      <c r="K84" s="26">
        <f>IF($A84="","",SUMPRODUCT(--ISNUMBER(SEARCH('Category Dictionary'!$D$5:$D$135&amp;"",$C84)),--('Category Dictionary'!$D$5:$D$135&lt;&gt;"")))</f>
        <v/>
      </c>
      <c r="L84" s="27">
        <f>IF($A84="","",TRIM(IF(ISERROR(FIND(",",$C84)),$C84,LEFT($C84,FIND(",",$C84)-1))))</f>
        <v/>
      </c>
      <c r="M84" s="28">
        <f>IF($H84="","",DATE(YEAR($H84),MONTH($H84),1))</f>
        <v/>
      </c>
      <c r="N84" s="26">
        <f>IF($H84="","",TODAY()-$H84)</f>
        <v/>
      </c>
      <c r="O84" s="15" t="n"/>
      <c r="P84" s="26">
        <f>IF($A84="","",COUNTIFS('Audit Versions'!$A$6:$A$605,$A84,'Audit Versions'!$L$6:$L$605,"Active"))</f>
        <v/>
      </c>
      <c r="Q84" s="15" t="n"/>
      <c r="R84" s="26">
        <f>IF(OR($A84="",$P84=0),"",MOD(N($Q84),$P84)+1)</f>
        <v/>
      </c>
      <c r="S84" s="15" t="n"/>
      <c r="T84" s="25" t="n"/>
      <c r="U84" s="26">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Builder'!$B$12="",N($S84)&lt;='Assignment Builder'!$B$12)))</f>
        <v/>
      </c>
      <c r="V84" s="23" t="n"/>
    </row>
    <row r="85">
      <c r="A85" s="23" t="n"/>
      <c r="B85" s="23" t="n"/>
      <c r="C85" s="24" t="n"/>
      <c r="D85" s="15" t="n"/>
      <c r="E85" s="23" t="n"/>
      <c r="F85" s="15" t="n"/>
      <c r="G85" s="23" t="n"/>
      <c r="H85" s="25" t="n"/>
      <c r="I85" s="15" t="n"/>
      <c r="J85" s="26">
        <f>IF($A85="","",LEN($C85)-LEN(SUBSTITUTE($C85,",",""))+1)</f>
        <v/>
      </c>
      <c r="K85" s="26">
        <f>IF($A85="","",SUMPRODUCT(--ISNUMBER(SEARCH('Category Dictionary'!$D$5:$D$135&amp;"",$C85)),--('Category Dictionary'!$D$5:$D$135&lt;&gt;"")))</f>
        <v/>
      </c>
      <c r="L85" s="27">
        <f>IF($A85="","",TRIM(IF(ISERROR(FIND(",",$C85)),$C85,LEFT($C85,FIND(",",$C85)-1))))</f>
        <v/>
      </c>
      <c r="M85" s="28">
        <f>IF($H85="","",DATE(YEAR($H85),MONTH($H85),1))</f>
        <v/>
      </c>
      <c r="N85" s="26">
        <f>IF($H85="","",TODAY()-$H85)</f>
        <v/>
      </c>
      <c r="O85" s="15" t="n"/>
      <c r="P85" s="26">
        <f>IF($A85="","",COUNTIFS('Audit Versions'!$A$6:$A$605,$A85,'Audit Versions'!$L$6:$L$605,"Active"))</f>
        <v/>
      </c>
      <c r="Q85" s="15" t="n"/>
      <c r="R85" s="26">
        <f>IF(OR($A85="",$P85=0),"",MOD(N($Q85),$P85)+1)</f>
        <v/>
      </c>
      <c r="S85" s="15" t="n"/>
      <c r="T85" s="25" t="n"/>
      <c r="U85" s="26">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Builder'!$B$12="",N($S85)&lt;='Assignment Builder'!$B$12)))</f>
        <v/>
      </c>
      <c r="V85" s="23" t="n"/>
    </row>
    <row r="86">
      <c r="A86" s="23" t="n"/>
      <c r="B86" s="23" t="n"/>
      <c r="C86" s="24" t="n"/>
      <c r="D86" s="15" t="n"/>
      <c r="E86" s="23" t="n"/>
      <c r="F86" s="15" t="n"/>
      <c r="G86" s="23" t="n"/>
      <c r="H86" s="25" t="n"/>
      <c r="I86" s="15" t="n"/>
      <c r="J86" s="26">
        <f>IF($A86="","",LEN($C86)-LEN(SUBSTITUTE($C86,",",""))+1)</f>
        <v/>
      </c>
      <c r="K86" s="26">
        <f>IF($A86="","",SUMPRODUCT(--ISNUMBER(SEARCH('Category Dictionary'!$D$5:$D$135&amp;"",$C86)),--('Category Dictionary'!$D$5:$D$135&lt;&gt;"")))</f>
        <v/>
      </c>
      <c r="L86" s="27">
        <f>IF($A86="","",TRIM(IF(ISERROR(FIND(",",$C86)),$C86,LEFT($C86,FIND(",",$C86)-1))))</f>
        <v/>
      </c>
      <c r="M86" s="28">
        <f>IF($H86="","",DATE(YEAR($H86),MONTH($H86),1))</f>
        <v/>
      </c>
      <c r="N86" s="26">
        <f>IF($H86="","",TODAY()-$H86)</f>
        <v/>
      </c>
      <c r="O86" s="15" t="n"/>
      <c r="P86" s="26">
        <f>IF($A86="","",COUNTIFS('Audit Versions'!$A$6:$A$605,$A86,'Audit Versions'!$L$6:$L$605,"Active"))</f>
        <v/>
      </c>
      <c r="Q86" s="15" t="n"/>
      <c r="R86" s="26">
        <f>IF(OR($A86="",$P86=0),"",MOD(N($Q86),$P86)+1)</f>
        <v/>
      </c>
      <c r="S86" s="15" t="n"/>
      <c r="T86" s="25" t="n"/>
      <c r="U86" s="26">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Builder'!$B$12="",N($S86)&lt;='Assignment Builder'!$B$12)))</f>
        <v/>
      </c>
      <c r="V86" s="23" t="n"/>
    </row>
    <row r="87">
      <c r="A87" s="23" t="n"/>
      <c r="B87" s="23" t="n"/>
      <c r="C87" s="24" t="n"/>
      <c r="D87" s="15" t="n"/>
      <c r="E87" s="23" t="n"/>
      <c r="F87" s="15" t="n"/>
      <c r="G87" s="23" t="n"/>
      <c r="H87" s="25" t="n"/>
      <c r="I87" s="15" t="n"/>
      <c r="J87" s="26">
        <f>IF($A87="","",LEN($C87)-LEN(SUBSTITUTE($C87,",",""))+1)</f>
        <v/>
      </c>
      <c r="K87" s="26">
        <f>IF($A87="","",SUMPRODUCT(--ISNUMBER(SEARCH('Category Dictionary'!$D$5:$D$135&amp;"",$C87)),--('Category Dictionary'!$D$5:$D$135&lt;&gt;"")))</f>
        <v/>
      </c>
      <c r="L87" s="27">
        <f>IF($A87="","",TRIM(IF(ISERROR(FIND(",",$C87)),$C87,LEFT($C87,FIND(",",$C87)-1))))</f>
        <v/>
      </c>
      <c r="M87" s="28">
        <f>IF($H87="","",DATE(YEAR($H87),MONTH($H87),1))</f>
        <v/>
      </c>
      <c r="N87" s="26">
        <f>IF($H87="","",TODAY()-$H87)</f>
        <v/>
      </c>
      <c r="O87" s="15" t="n"/>
      <c r="P87" s="26">
        <f>IF($A87="","",COUNTIFS('Audit Versions'!$A$6:$A$605,$A87,'Audit Versions'!$L$6:$L$605,"Active"))</f>
        <v/>
      </c>
      <c r="Q87" s="15" t="n"/>
      <c r="R87" s="26">
        <f>IF(OR($A87="",$P87=0),"",MOD(N($Q87),$P87)+1)</f>
        <v/>
      </c>
      <c r="S87" s="15" t="n"/>
      <c r="T87" s="25" t="n"/>
      <c r="U87" s="26">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Builder'!$B$12="",N($S87)&lt;='Assignment Builder'!$B$12)))</f>
        <v/>
      </c>
      <c r="V87" s="23" t="n"/>
    </row>
    <row r="88">
      <c r="A88" s="23" t="n"/>
      <c r="B88" s="23" t="n"/>
      <c r="C88" s="24" t="n"/>
      <c r="D88" s="15" t="n"/>
      <c r="E88" s="23" t="n"/>
      <c r="F88" s="15" t="n"/>
      <c r="G88" s="23" t="n"/>
      <c r="H88" s="25" t="n"/>
      <c r="I88" s="15" t="n"/>
      <c r="J88" s="26">
        <f>IF($A88="","",LEN($C88)-LEN(SUBSTITUTE($C88,",",""))+1)</f>
        <v/>
      </c>
      <c r="K88" s="26">
        <f>IF($A88="","",SUMPRODUCT(--ISNUMBER(SEARCH('Category Dictionary'!$D$5:$D$135&amp;"",$C88)),--('Category Dictionary'!$D$5:$D$135&lt;&gt;"")))</f>
        <v/>
      </c>
      <c r="L88" s="27">
        <f>IF($A88="","",TRIM(IF(ISERROR(FIND(",",$C88)),$C88,LEFT($C88,FIND(",",$C88)-1))))</f>
        <v/>
      </c>
      <c r="M88" s="28">
        <f>IF($H88="","",DATE(YEAR($H88),MONTH($H88),1))</f>
        <v/>
      </c>
      <c r="N88" s="26">
        <f>IF($H88="","",TODAY()-$H88)</f>
        <v/>
      </c>
      <c r="O88" s="15" t="n"/>
      <c r="P88" s="26">
        <f>IF($A88="","",COUNTIFS('Audit Versions'!$A$6:$A$605,$A88,'Audit Versions'!$L$6:$L$605,"Active"))</f>
        <v/>
      </c>
      <c r="Q88" s="15" t="n"/>
      <c r="R88" s="26">
        <f>IF(OR($A88="",$P88=0),"",MOD(N($Q88),$P88)+1)</f>
        <v/>
      </c>
      <c r="S88" s="15" t="n"/>
      <c r="T88" s="25" t="n"/>
      <c r="U88" s="26">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Builder'!$B$12="",N($S88)&lt;='Assignment Builder'!$B$12)))</f>
        <v/>
      </c>
      <c r="V88" s="23" t="n"/>
    </row>
    <row r="89">
      <c r="A89" s="23" t="n"/>
      <c r="B89" s="23" t="n"/>
      <c r="C89" s="24" t="n"/>
      <c r="D89" s="15" t="n"/>
      <c r="E89" s="23" t="n"/>
      <c r="F89" s="15" t="n"/>
      <c r="G89" s="23" t="n"/>
      <c r="H89" s="25" t="n"/>
      <c r="I89" s="15" t="n"/>
      <c r="J89" s="26">
        <f>IF($A89="","",LEN($C89)-LEN(SUBSTITUTE($C89,",",""))+1)</f>
        <v/>
      </c>
      <c r="K89" s="26">
        <f>IF($A89="","",SUMPRODUCT(--ISNUMBER(SEARCH('Category Dictionary'!$D$5:$D$135&amp;"",$C89)),--('Category Dictionary'!$D$5:$D$135&lt;&gt;"")))</f>
        <v/>
      </c>
      <c r="L89" s="27">
        <f>IF($A89="","",TRIM(IF(ISERROR(FIND(",",$C89)),$C89,LEFT($C89,FIND(",",$C89)-1))))</f>
        <v/>
      </c>
      <c r="M89" s="28">
        <f>IF($H89="","",DATE(YEAR($H89),MONTH($H89),1))</f>
        <v/>
      </c>
      <c r="N89" s="26">
        <f>IF($H89="","",TODAY()-$H89)</f>
        <v/>
      </c>
      <c r="O89" s="15" t="n"/>
      <c r="P89" s="26">
        <f>IF($A89="","",COUNTIFS('Audit Versions'!$A$6:$A$605,$A89,'Audit Versions'!$L$6:$L$605,"Active"))</f>
        <v/>
      </c>
      <c r="Q89" s="15" t="n"/>
      <c r="R89" s="26">
        <f>IF(OR($A89="",$P89=0),"",MOD(N($Q89),$P89)+1)</f>
        <v/>
      </c>
      <c r="S89" s="15" t="n"/>
      <c r="T89" s="25" t="n"/>
      <c r="U89" s="26">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Builder'!$B$12="",N($S89)&lt;='Assignment Builder'!$B$12)))</f>
        <v/>
      </c>
      <c r="V89" s="23" t="n"/>
    </row>
    <row r="90">
      <c r="A90" s="23" t="n"/>
      <c r="B90" s="23" t="n"/>
      <c r="C90" s="24" t="n"/>
      <c r="D90" s="15" t="n"/>
      <c r="E90" s="23" t="n"/>
      <c r="F90" s="15" t="n"/>
      <c r="G90" s="23" t="n"/>
      <c r="H90" s="25" t="n"/>
      <c r="I90" s="15" t="n"/>
      <c r="J90" s="26">
        <f>IF($A90="","",LEN($C90)-LEN(SUBSTITUTE($C90,",",""))+1)</f>
        <v/>
      </c>
      <c r="K90" s="26">
        <f>IF($A90="","",SUMPRODUCT(--ISNUMBER(SEARCH('Category Dictionary'!$D$5:$D$135&amp;"",$C90)),--('Category Dictionary'!$D$5:$D$135&lt;&gt;"")))</f>
        <v/>
      </c>
      <c r="L90" s="27">
        <f>IF($A90="","",TRIM(IF(ISERROR(FIND(",",$C90)),$C90,LEFT($C90,FIND(",",$C90)-1))))</f>
        <v/>
      </c>
      <c r="M90" s="28">
        <f>IF($H90="","",DATE(YEAR($H90),MONTH($H90),1))</f>
        <v/>
      </c>
      <c r="N90" s="26">
        <f>IF($H90="","",TODAY()-$H90)</f>
        <v/>
      </c>
      <c r="O90" s="15" t="n"/>
      <c r="P90" s="26">
        <f>IF($A90="","",COUNTIFS('Audit Versions'!$A$6:$A$605,$A90,'Audit Versions'!$L$6:$L$605,"Active"))</f>
        <v/>
      </c>
      <c r="Q90" s="15" t="n"/>
      <c r="R90" s="26">
        <f>IF(OR($A90="",$P90=0),"",MOD(N($Q90),$P90)+1)</f>
        <v/>
      </c>
      <c r="S90" s="15" t="n"/>
      <c r="T90" s="25" t="n"/>
      <c r="U90" s="26">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Builder'!$B$12="",N($S90)&lt;='Assignment Builder'!$B$12)))</f>
        <v/>
      </c>
      <c r="V90" s="23" t="n"/>
    </row>
    <row r="91">
      <c r="A91" s="23" t="n"/>
      <c r="B91" s="23" t="n"/>
      <c r="C91" s="24" t="n"/>
      <c r="D91" s="15" t="n"/>
      <c r="E91" s="23" t="n"/>
      <c r="F91" s="15" t="n"/>
      <c r="G91" s="23" t="n"/>
      <c r="H91" s="25" t="n"/>
      <c r="I91" s="15" t="n"/>
      <c r="J91" s="26">
        <f>IF($A91="","",LEN($C91)-LEN(SUBSTITUTE($C91,",",""))+1)</f>
        <v/>
      </c>
      <c r="K91" s="26">
        <f>IF($A91="","",SUMPRODUCT(--ISNUMBER(SEARCH('Category Dictionary'!$D$5:$D$135&amp;"",$C91)),--('Category Dictionary'!$D$5:$D$135&lt;&gt;"")))</f>
        <v/>
      </c>
      <c r="L91" s="27">
        <f>IF($A91="","",TRIM(IF(ISERROR(FIND(",",$C91)),$C91,LEFT($C91,FIND(",",$C91)-1))))</f>
        <v/>
      </c>
      <c r="M91" s="28">
        <f>IF($H91="","",DATE(YEAR($H91),MONTH($H91),1))</f>
        <v/>
      </c>
      <c r="N91" s="26">
        <f>IF($H91="","",TODAY()-$H91)</f>
        <v/>
      </c>
      <c r="O91" s="15" t="n"/>
      <c r="P91" s="26">
        <f>IF($A91="","",COUNTIFS('Audit Versions'!$A$6:$A$605,$A91,'Audit Versions'!$L$6:$L$605,"Active"))</f>
        <v/>
      </c>
      <c r="Q91" s="15" t="n"/>
      <c r="R91" s="26">
        <f>IF(OR($A91="",$P91=0),"",MOD(N($Q91),$P91)+1)</f>
        <v/>
      </c>
      <c r="S91" s="15" t="n"/>
      <c r="T91" s="25" t="n"/>
      <c r="U91" s="26">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Builder'!$B$12="",N($S91)&lt;='Assignment Builder'!$B$12)))</f>
        <v/>
      </c>
      <c r="V91" s="23" t="n"/>
    </row>
    <row r="92">
      <c r="A92" s="23" t="n"/>
      <c r="B92" s="23" t="n"/>
      <c r="C92" s="24" t="n"/>
      <c r="D92" s="15" t="n"/>
      <c r="E92" s="23" t="n"/>
      <c r="F92" s="15" t="n"/>
      <c r="G92" s="23" t="n"/>
      <c r="H92" s="25" t="n"/>
      <c r="I92" s="15" t="n"/>
      <c r="J92" s="26">
        <f>IF($A92="","",LEN($C92)-LEN(SUBSTITUTE($C92,",",""))+1)</f>
        <v/>
      </c>
      <c r="K92" s="26">
        <f>IF($A92="","",SUMPRODUCT(--ISNUMBER(SEARCH('Category Dictionary'!$D$5:$D$135&amp;"",$C92)),--('Category Dictionary'!$D$5:$D$135&lt;&gt;"")))</f>
        <v/>
      </c>
      <c r="L92" s="27">
        <f>IF($A92="","",TRIM(IF(ISERROR(FIND(",",$C92)),$C92,LEFT($C92,FIND(",",$C92)-1))))</f>
        <v/>
      </c>
      <c r="M92" s="28">
        <f>IF($H92="","",DATE(YEAR($H92),MONTH($H92),1))</f>
        <v/>
      </c>
      <c r="N92" s="26">
        <f>IF($H92="","",TODAY()-$H92)</f>
        <v/>
      </c>
      <c r="O92" s="15" t="n"/>
      <c r="P92" s="26">
        <f>IF($A92="","",COUNTIFS('Audit Versions'!$A$6:$A$605,$A92,'Audit Versions'!$L$6:$L$605,"Active"))</f>
        <v/>
      </c>
      <c r="Q92" s="15" t="n"/>
      <c r="R92" s="26">
        <f>IF(OR($A92="",$P92=0),"",MOD(N($Q92),$P92)+1)</f>
        <v/>
      </c>
      <c r="S92" s="15" t="n"/>
      <c r="T92" s="25" t="n"/>
      <c r="U92" s="26">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Builder'!$B$12="",N($S92)&lt;='Assignment Builder'!$B$12)))</f>
        <v/>
      </c>
      <c r="V92" s="23" t="n"/>
    </row>
    <row r="93">
      <c r="A93" s="23" t="n"/>
      <c r="B93" s="23" t="n"/>
      <c r="C93" s="24" t="n"/>
      <c r="D93" s="15" t="n"/>
      <c r="E93" s="23" t="n"/>
      <c r="F93" s="15" t="n"/>
      <c r="G93" s="23" t="n"/>
      <c r="H93" s="25" t="n"/>
      <c r="I93" s="15" t="n"/>
      <c r="J93" s="26">
        <f>IF($A93="","",LEN($C93)-LEN(SUBSTITUTE($C93,",",""))+1)</f>
        <v/>
      </c>
      <c r="K93" s="26">
        <f>IF($A93="","",SUMPRODUCT(--ISNUMBER(SEARCH('Category Dictionary'!$D$5:$D$135&amp;"",$C93)),--('Category Dictionary'!$D$5:$D$135&lt;&gt;"")))</f>
        <v/>
      </c>
      <c r="L93" s="27">
        <f>IF($A93="","",TRIM(IF(ISERROR(FIND(",",$C93)),$C93,LEFT($C93,FIND(",",$C93)-1))))</f>
        <v/>
      </c>
      <c r="M93" s="28">
        <f>IF($H93="","",DATE(YEAR($H93),MONTH($H93),1))</f>
        <v/>
      </c>
      <c r="N93" s="26">
        <f>IF($H93="","",TODAY()-$H93)</f>
        <v/>
      </c>
      <c r="O93" s="15" t="n"/>
      <c r="P93" s="26">
        <f>IF($A93="","",COUNTIFS('Audit Versions'!$A$6:$A$605,$A93,'Audit Versions'!$L$6:$L$605,"Active"))</f>
        <v/>
      </c>
      <c r="Q93" s="15" t="n"/>
      <c r="R93" s="26">
        <f>IF(OR($A93="",$P93=0),"",MOD(N($Q93),$P93)+1)</f>
        <v/>
      </c>
      <c r="S93" s="15" t="n"/>
      <c r="T93" s="25" t="n"/>
      <c r="U93" s="26">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Builder'!$B$12="",N($S93)&lt;='Assignment Builder'!$B$12)))</f>
        <v/>
      </c>
      <c r="V93" s="23" t="n"/>
    </row>
    <row r="94">
      <c r="A94" s="23" t="n"/>
      <c r="B94" s="23" t="n"/>
      <c r="C94" s="24" t="n"/>
      <c r="D94" s="15" t="n"/>
      <c r="E94" s="23" t="n"/>
      <c r="F94" s="15" t="n"/>
      <c r="G94" s="23" t="n"/>
      <c r="H94" s="25" t="n"/>
      <c r="I94" s="15" t="n"/>
      <c r="J94" s="26">
        <f>IF($A94="","",LEN($C94)-LEN(SUBSTITUTE($C94,",",""))+1)</f>
        <v/>
      </c>
      <c r="K94" s="26">
        <f>IF($A94="","",SUMPRODUCT(--ISNUMBER(SEARCH('Category Dictionary'!$D$5:$D$135&amp;"",$C94)),--('Category Dictionary'!$D$5:$D$135&lt;&gt;"")))</f>
        <v/>
      </c>
      <c r="L94" s="27">
        <f>IF($A94="","",TRIM(IF(ISERROR(FIND(",",$C94)),$C94,LEFT($C94,FIND(",",$C94)-1))))</f>
        <v/>
      </c>
      <c r="M94" s="28">
        <f>IF($H94="","",DATE(YEAR($H94),MONTH($H94),1))</f>
        <v/>
      </c>
      <c r="N94" s="26">
        <f>IF($H94="","",TODAY()-$H94)</f>
        <v/>
      </c>
      <c r="O94" s="15" t="n"/>
      <c r="P94" s="26">
        <f>IF($A94="","",COUNTIFS('Audit Versions'!$A$6:$A$605,$A94,'Audit Versions'!$L$6:$L$605,"Active"))</f>
        <v/>
      </c>
      <c r="Q94" s="15" t="n"/>
      <c r="R94" s="26">
        <f>IF(OR($A94="",$P94=0),"",MOD(N($Q94),$P94)+1)</f>
        <v/>
      </c>
      <c r="S94" s="15" t="n"/>
      <c r="T94" s="25" t="n"/>
      <c r="U94" s="26">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Builder'!$B$12="",N($S94)&lt;='Assignment Builder'!$B$12)))</f>
        <v/>
      </c>
      <c r="V94" s="23" t="n"/>
    </row>
    <row r="95">
      <c r="A95" s="23" t="n"/>
      <c r="B95" s="23" t="n"/>
      <c r="C95" s="24" t="n"/>
      <c r="D95" s="15" t="n"/>
      <c r="E95" s="23" t="n"/>
      <c r="F95" s="15" t="n"/>
      <c r="G95" s="23" t="n"/>
      <c r="H95" s="25" t="n"/>
      <c r="I95" s="15" t="n"/>
      <c r="J95" s="26">
        <f>IF($A95="","",LEN($C95)-LEN(SUBSTITUTE($C95,",",""))+1)</f>
        <v/>
      </c>
      <c r="K95" s="26">
        <f>IF($A95="","",SUMPRODUCT(--ISNUMBER(SEARCH('Category Dictionary'!$D$5:$D$135&amp;"",$C95)),--('Category Dictionary'!$D$5:$D$135&lt;&gt;"")))</f>
        <v/>
      </c>
      <c r="L95" s="27">
        <f>IF($A95="","",TRIM(IF(ISERROR(FIND(",",$C95)),$C95,LEFT($C95,FIND(",",$C95)-1))))</f>
        <v/>
      </c>
      <c r="M95" s="28">
        <f>IF($H95="","",DATE(YEAR($H95),MONTH($H95),1))</f>
        <v/>
      </c>
      <c r="N95" s="26">
        <f>IF($H95="","",TODAY()-$H95)</f>
        <v/>
      </c>
      <c r="O95" s="15" t="n"/>
      <c r="P95" s="26">
        <f>IF($A95="","",COUNTIFS('Audit Versions'!$A$6:$A$605,$A95,'Audit Versions'!$L$6:$L$605,"Active"))</f>
        <v/>
      </c>
      <c r="Q95" s="15" t="n"/>
      <c r="R95" s="26">
        <f>IF(OR($A95="",$P95=0),"",MOD(N($Q95),$P95)+1)</f>
        <v/>
      </c>
      <c r="S95" s="15" t="n"/>
      <c r="T95" s="25" t="n"/>
      <c r="U95" s="26">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Builder'!$B$12="",N($S95)&lt;='Assignment Builder'!$B$12)))</f>
        <v/>
      </c>
      <c r="V95" s="23" t="n"/>
    </row>
    <row r="96">
      <c r="A96" s="23" t="n"/>
      <c r="B96" s="23" t="n"/>
      <c r="C96" s="24" t="n"/>
      <c r="D96" s="15" t="n"/>
      <c r="E96" s="23" t="n"/>
      <c r="F96" s="15" t="n"/>
      <c r="G96" s="23" t="n"/>
      <c r="H96" s="25" t="n"/>
      <c r="I96" s="15" t="n"/>
      <c r="J96" s="26">
        <f>IF($A96="","",LEN($C96)-LEN(SUBSTITUTE($C96,",",""))+1)</f>
        <v/>
      </c>
      <c r="K96" s="26">
        <f>IF($A96="","",SUMPRODUCT(--ISNUMBER(SEARCH('Category Dictionary'!$D$5:$D$135&amp;"",$C96)),--('Category Dictionary'!$D$5:$D$135&lt;&gt;"")))</f>
        <v/>
      </c>
      <c r="L96" s="27">
        <f>IF($A96="","",TRIM(IF(ISERROR(FIND(",",$C96)),$C96,LEFT($C96,FIND(",",$C96)-1))))</f>
        <v/>
      </c>
      <c r="M96" s="28">
        <f>IF($H96="","",DATE(YEAR($H96),MONTH($H96),1))</f>
        <v/>
      </c>
      <c r="N96" s="26">
        <f>IF($H96="","",TODAY()-$H96)</f>
        <v/>
      </c>
      <c r="O96" s="15" t="n"/>
      <c r="P96" s="26">
        <f>IF($A96="","",COUNTIFS('Audit Versions'!$A$6:$A$605,$A96,'Audit Versions'!$L$6:$L$605,"Active"))</f>
        <v/>
      </c>
      <c r="Q96" s="15" t="n"/>
      <c r="R96" s="26">
        <f>IF(OR($A96="",$P96=0),"",MOD(N($Q96),$P96)+1)</f>
        <v/>
      </c>
      <c r="S96" s="15" t="n"/>
      <c r="T96" s="25" t="n"/>
      <c r="U96" s="26">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Builder'!$B$12="",N($S96)&lt;='Assignment Builder'!$B$12)))</f>
        <v/>
      </c>
      <c r="V96" s="23" t="n"/>
    </row>
    <row r="97">
      <c r="A97" s="23" t="n"/>
      <c r="B97" s="23" t="n"/>
      <c r="C97" s="24" t="n"/>
      <c r="D97" s="15" t="n"/>
      <c r="E97" s="23" t="n"/>
      <c r="F97" s="15" t="n"/>
      <c r="G97" s="23" t="n"/>
      <c r="H97" s="25" t="n"/>
      <c r="I97" s="15" t="n"/>
      <c r="J97" s="26">
        <f>IF($A97="","",LEN($C97)-LEN(SUBSTITUTE($C97,",",""))+1)</f>
        <v/>
      </c>
      <c r="K97" s="26">
        <f>IF($A97="","",SUMPRODUCT(--ISNUMBER(SEARCH('Category Dictionary'!$D$5:$D$135&amp;"",$C97)),--('Category Dictionary'!$D$5:$D$135&lt;&gt;"")))</f>
        <v/>
      </c>
      <c r="L97" s="27">
        <f>IF($A97="","",TRIM(IF(ISERROR(FIND(",",$C97)),$C97,LEFT($C97,FIND(",",$C97)-1))))</f>
        <v/>
      </c>
      <c r="M97" s="28">
        <f>IF($H97="","",DATE(YEAR($H97),MONTH($H97),1))</f>
        <v/>
      </c>
      <c r="N97" s="26">
        <f>IF($H97="","",TODAY()-$H97)</f>
        <v/>
      </c>
      <c r="O97" s="15" t="n"/>
      <c r="P97" s="26">
        <f>IF($A97="","",COUNTIFS('Audit Versions'!$A$6:$A$605,$A97,'Audit Versions'!$L$6:$L$605,"Active"))</f>
        <v/>
      </c>
      <c r="Q97" s="15" t="n"/>
      <c r="R97" s="26">
        <f>IF(OR($A97="",$P97=0),"",MOD(N($Q97),$P97)+1)</f>
        <v/>
      </c>
      <c r="S97" s="15" t="n"/>
      <c r="T97" s="25" t="n"/>
      <c r="U97" s="26">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Builder'!$B$12="",N($S97)&lt;='Assignment Builder'!$B$12)))</f>
        <v/>
      </c>
      <c r="V97" s="23" t="n"/>
    </row>
    <row r="98">
      <c r="A98" s="23" t="n"/>
      <c r="B98" s="23" t="n"/>
      <c r="C98" s="24" t="n"/>
      <c r="D98" s="15" t="n"/>
      <c r="E98" s="23" t="n"/>
      <c r="F98" s="15" t="n"/>
      <c r="G98" s="23" t="n"/>
      <c r="H98" s="25" t="n"/>
      <c r="I98" s="15" t="n"/>
      <c r="J98" s="26">
        <f>IF($A98="","",LEN($C98)-LEN(SUBSTITUTE($C98,",",""))+1)</f>
        <v/>
      </c>
      <c r="K98" s="26">
        <f>IF($A98="","",SUMPRODUCT(--ISNUMBER(SEARCH('Category Dictionary'!$D$5:$D$135&amp;"",$C98)),--('Category Dictionary'!$D$5:$D$135&lt;&gt;"")))</f>
        <v/>
      </c>
      <c r="L98" s="27">
        <f>IF($A98="","",TRIM(IF(ISERROR(FIND(",",$C98)),$C98,LEFT($C98,FIND(",",$C98)-1))))</f>
        <v/>
      </c>
      <c r="M98" s="28">
        <f>IF($H98="","",DATE(YEAR($H98),MONTH($H98),1))</f>
        <v/>
      </c>
      <c r="N98" s="26">
        <f>IF($H98="","",TODAY()-$H98)</f>
        <v/>
      </c>
      <c r="O98" s="15" t="n"/>
      <c r="P98" s="26">
        <f>IF($A98="","",COUNTIFS('Audit Versions'!$A$6:$A$605,$A98,'Audit Versions'!$L$6:$L$605,"Active"))</f>
        <v/>
      </c>
      <c r="Q98" s="15" t="n"/>
      <c r="R98" s="26">
        <f>IF(OR($A98="",$P98=0),"",MOD(N($Q98),$P98)+1)</f>
        <v/>
      </c>
      <c r="S98" s="15" t="n"/>
      <c r="T98" s="25" t="n"/>
      <c r="U98" s="26">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Builder'!$B$12="",N($S98)&lt;='Assignment Builder'!$B$12)))</f>
        <v/>
      </c>
      <c r="V98" s="23" t="n"/>
    </row>
    <row r="99">
      <c r="A99" s="23" t="n"/>
      <c r="B99" s="23" t="n"/>
      <c r="C99" s="24" t="n"/>
      <c r="D99" s="15" t="n"/>
      <c r="E99" s="23" t="n"/>
      <c r="F99" s="15" t="n"/>
      <c r="G99" s="23" t="n"/>
      <c r="H99" s="25" t="n"/>
      <c r="I99" s="15" t="n"/>
      <c r="J99" s="26">
        <f>IF($A99="","",LEN($C99)-LEN(SUBSTITUTE($C99,",",""))+1)</f>
        <v/>
      </c>
      <c r="K99" s="26">
        <f>IF($A99="","",SUMPRODUCT(--ISNUMBER(SEARCH('Category Dictionary'!$D$5:$D$135&amp;"",$C99)),--('Category Dictionary'!$D$5:$D$135&lt;&gt;"")))</f>
        <v/>
      </c>
      <c r="L99" s="27">
        <f>IF($A99="","",TRIM(IF(ISERROR(FIND(",",$C99)),$C99,LEFT($C99,FIND(",",$C99)-1))))</f>
        <v/>
      </c>
      <c r="M99" s="28">
        <f>IF($H99="","",DATE(YEAR($H99),MONTH($H99),1))</f>
        <v/>
      </c>
      <c r="N99" s="26">
        <f>IF($H99="","",TODAY()-$H99)</f>
        <v/>
      </c>
      <c r="O99" s="15" t="n"/>
      <c r="P99" s="26">
        <f>IF($A99="","",COUNTIFS('Audit Versions'!$A$6:$A$605,$A99,'Audit Versions'!$L$6:$L$605,"Active"))</f>
        <v/>
      </c>
      <c r="Q99" s="15" t="n"/>
      <c r="R99" s="26">
        <f>IF(OR($A99="",$P99=0),"",MOD(N($Q99),$P99)+1)</f>
        <v/>
      </c>
      <c r="S99" s="15" t="n"/>
      <c r="T99" s="25" t="n"/>
      <c r="U99" s="26">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Builder'!$B$12="",N($S99)&lt;='Assignment Builder'!$B$12)))</f>
        <v/>
      </c>
      <c r="V99" s="23" t="n"/>
    </row>
    <row r="100">
      <c r="A100" s="23" t="n"/>
      <c r="B100" s="23" t="n"/>
      <c r="C100" s="24" t="n"/>
      <c r="D100" s="15" t="n"/>
      <c r="E100" s="23" t="n"/>
      <c r="F100" s="15" t="n"/>
      <c r="G100" s="23" t="n"/>
      <c r="H100" s="25" t="n"/>
      <c r="I100" s="15" t="n"/>
      <c r="J100" s="26">
        <f>IF($A100="","",LEN($C100)-LEN(SUBSTITUTE($C100,",",""))+1)</f>
        <v/>
      </c>
      <c r="K100" s="26">
        <f>IF($A100="","",SUMPRODUCT(--ISNUMBER(SEARCH('Category Dictionary'!$D$5:$D$135&amp;"",$C100)),--('Category Dictionary'!$D$5:$D$135&lt;&gt;"")))</f>
        <v/>
      </c>
      <c r="L100" s="27">
        <f>IF($A100="","",TRIM(IF(ISERROR(FIND(",",$C100)),$C100,LEFT($C100,FIND(",",$C100)-1))))</f>
        <v/>
      </c>
      <c r="M100" s="28">
        <f>IF($H100="","",DATE(YEAR($H100),MONTH($H100),1))</f>
        <v/>
      </c>
      <c r="N100" s="26">
        <f>IF($H100="","",TODAY()-$H100)</f>
        <v/>
      </c>
      <c r="O100" s="15" t="n"/>
      <c r="P100" s="26">
        <f>IF($A100="","",COUNTIFS('Audit Versions'!$A$6:$A$605,$A100,'Audit Versions'!$L$6:$L$605,"Active"))</f>
        <v/>
      </c>
      <c r="Q100" s="15" t="n"/>
      <c r="R100" s="26">
        <f>IF(OR($A100="",$P100=0),"",MOD(N($Q100),$P100)+1)</f>
        <v/>
      </c>
      <c r="S100" s="15" t="n"/>
      <c r="T100" s="25" t="n"/>
      <c r="U100" s="26">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Builder'!$B$12="",N($S100)&lt;='Assignment Builder'!$B$12)))</f>
        <v/>
      </c>
      <c r="V100" s="23" t="n"/>
    </row>
    <row r="101">
      <c r="A101" s="23" t="n"/>
      <c r="B101" s="23" t="n"/>
      <c r="C101" s="24" t="n"/>
      <c r="D101" s="15" t="n"/>
      <c r="E101" s="23" t="n"/>
      <c r="F101" s="15" t="n"/>
      <c r="G101" s="23" t="n"/>
      <c r="H101" s="25" t="n"/>
      <c r="I101" s="15" t="n"/>
      <c r="J101" s="26">
        <f>IF($A101="","",LEN($C101)-LEN(SUBSTITUTE($C101,",",""))+1)</f>
        <v/>
      </c>
      <c r="K101" s="26">
        <f>IF($A101="","",SUMPRODUCT(--ISNUMBER(SEARCH('Category Dictionary'!$D$5:$D$135&amp;"",$C101)),--('Category Dictionary'!$D$5:$D$135&lt;&gt;"")))</f>
        <v/>
      </c>
      <c r="L101" s="27">
        <f>IF($A101="","",TRIM(IF(ISERROR(FIND(",",$C101)),$C101,LEFT($C101,FIND(",",$C101)-1))))</f>
        <v/>
      </c>
      <c r="M101" s="28">
        <f>IF($H101="","",DATE(YEAR($H101),MONTH($H101),1))</f>
        <v/>
      </c>
      <c r="N101" s="26">
        <f>IF($H101="","",TODAY()-$H101)</f>
        <v/>
      </c>
      <c r="O101" s="15" t="n"/>
      <c r="P101" s="26">
        <f>IF($A101="","",COUNTIFS('Audit Versions'!$A$6:$A$605,$A101,'Audit Versions'!$L$6:$L$605,"Active"))</f>
        <v/>
      </c>
      <c r="Q101" s="15" t="n"/>
      <c r="R101" s="26">
        <f>IF(OR($A101="",$P101=0),"",MOD(N($Q101),$P101)+1)</f>
        <v/>
      </c>
      <c r="S101" s="15" t="n"/>
      <c r="T101" s="25" t="n"/>
      <c r="U101" s="26">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Builder'!$B$12="",N($S101)&lt;='Assignment Builder'!$B$12)))</f>
        <v/>
      </c>
      <c r="V101" s="23" t="n"/>
    </row>
    <row r="102">
      <c r="A102" s="23" t="n"/>
      <c r="B102" s="23" t="n"/>
      <c r="C102" s="24" t="n"/>
      <c r="D102" s="15" t="n"/>
      <c r="E102" s="23" t="n"/>
      <c r="F102" s="15" t="n"/>
      <c r="G102" s="23" t="n"/>
      <c r="H102" s="25" t="n"/>
      <c r="I102" s="15" t="n"/>
      <c r="J102" s="26">
        <f>IF($A102="","",LEN($C102)-LEN(SUBSTITUTE($C102,",",""))+1)</f>
        <v/>
      </c>
      <c r="K102" s="26">
        <f>IF($A102="","",SUMPRODUCT(--ISNUMBER(SEARCH('Category Dictionary'!$D$5:$D$135&amp;"",$C102)),--('Category Dictionary'!$D$5:$D$135&lt;&gt;"")))</f>
        <v/>
      </c>
      <c r="L102" s="27">
        <f>IF($A102="","",TRIM(IF(ISERROR(FIND(",",$C102)),$C102,LEFT($C102,FIND(",",$C102)-1))))</f>
        <v/>
      </c>
      <c r="M102" s="28">
        <f>IF($H102="","",DATE(YEAR($H102),MONTH($H102),1))</f>
        <v/>
      </c>
      <c r="N102" s="26">
        <f>IF($H102="","",TODAY()-$H102)</f>
        <v/>
      </c>
      <c r="O102" s="15" t="n"/>
      <c r="P102" s="26">
        <f>IF($A102="","",COUNTIFS('Audit Versions'!$A$6:$A$605,$A102,'Audit Versions'!$L$6:$L$605,"Active"))</f>
        <v/>
      </c>
      <c r="Q102" s="15" t="n"/>
      <c r="R102" s="26">
        <f>IF(OR($A102="",$P102=0),"",MOD(N($Q102),$P102)+1)</f>
        <v/>
      </c>
      <c r="S102" s="15" t="n"/>
      <c r="T102" s="25" t="n"/>
      <c r="U102" s="26">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Builder'!$B$12="",N($S102)&lt;='Assignment Builder'!$B$12)))</f>
        <v/>
      </c>
      <c r="V102" s="23" t="n"/>
    </row>
    <row r="103">
      <c r="A103" s="23" t="n"/>
      <c r="B103" s="23" t="n"/>
      <c r="C103" s="24" t="n"/>
      <c r="D103" s="15" t="n"/>
      <c r="E103" s="23" t="n"/>
      <c r="F103" s="15" t="n"/>
      <c r="G103" s="23" t="n"/>
      <c r="H103" s="25" t="n"/>
      <c r="I103" s="15" t="n"/>
      <c r="J103" s="26">
        <f>IF($A103="","",LEN($C103)-LEN(SUBSTITUTE($C103,",",""))+1)</f>
        <v/>
      </c>
      <c r="K103" s="26">
        <f>IF($A103="","",SUMPRODUCT(--ISNUMBER(SEARCH('Category Dictionary'!$D$5:$D$135&amp;"",$C103)),--('Category Dictionary'!$D$5:$D$135&lt;&gt;"")))</f>
        <v/>
      </c>
      <c r="L103" s="27">
        <f>IF($A103="","",TRIM(IF(ISERROR(FIND(",",$C103)),$C103,LEFT($C103,FIND(",",$C103)-1))))</f>
        <v/>
      </c>
      <c r="M103" s="28">
        <f>IF($H103="","",DATE(YEAR($H103),MONTH($H103),1))</f>
        <v/>
      </c>
      <c r="N103" s="26">
        <f>IF($H103="","",TODAY()-$H103)</f>
        <v/>
      </c>
      <c r="O103" s="15" t="n"/>
      <c r="P103" s="26">
        <f>IF($A103="","",COUNTIFS('Audit Versions'!$A$6:$A$605,$A103,'Audit Versions'!$L$6:$L$605,"Active"))</f>
        <v/>
      </c>
      <c r="Q103" s="15" t="n"/>
      <c r="R103" s="26">
        <f>IF(OR($A103="",$P103=0),"",MOD(N($Q103),$P103)+1)</f>
        <v/>
      </c>
      <c r="S103" s="15" t="n"/>
      <c r="T103" s="25" t="n"/>
      <c r="U103" s="26">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Builder'!$B$12="",N($S103)&lt;='Assignment Builder'!$B$12)))</f>
        <v/>
      </c>
      <c r="V103" s="23" t="n"/>
    </row>
    <row r="104">
      <c r="A104" s="23" t="n"/>
      <c r="B104" s="23" t="n"/>
      <c r="C104" s="24" t="n"/>
      <c r="D104" s="15" t="n"/>
      <c r="E104" s="23" t="n"/>
      <c r="F104" s="15" t="n"/>
      <c r="G104" s="23" t="n"/>
      <c r="H104" s="25" t="n"/>
      <c r="I104" s="15" t="n"/>
      <c r="J104" s="26">
        <f>IF($A104="","",LEN($C104)-LEN(SUBSTITUTE($C104,",",""))+1)</f>
        <v/>
      </c>
      <c r="K104" s="26">
        <f>IF($A104="","",SUMPRODUCT(--ISNUMBER(SEARCH('Category Dictionary'!$D$5:$D$135&amp;"",$C104)),--('Category Dictionary'!$D$5:$D$135&lt;&gt;"")))</f>
        <v/>
      </c>
      <c r="L104" s="27">
        <f>IF($A104="","",TRIM(IF(ISERROR(FIND(",",$C104)),$C104,LEFT($C104,FIND(",",$C104)-1))))</f>
        <v/>
      </c>
      <c r="M104" s="28">
        <f>IF($H104="","",DATE(YEAR($H104),MONTH($H104),1))</f>
        <v/>
      </c>
      <c r="N104" s="26">
        <f>IF($H104="","",TODAY()-$H104)</f>
        <v/>
      </c>
      <c r="O104" s="15" t="n"/>
      <c r="P104" s="26">
        <f>IF($A104="","",COUNTIFS('Audit Versions'!$A$6:$A$605,$A104,'Audit Versions'!$L$6:$L$605,"Active"))</f>
        <v/>
      </c>
      <c r="Q104" s="15" t="n"/>
      <c r="R104" s="26">
        <f>IF(OR($A104="",$P104=0),"",MOD(N($Q104),$P104)+1)</f>
        <v/>
      </c>
      <c r="S104" s="15" t="n"/>
      <c r="T104" s="25" t="n"/>
      <c r="U104" s="26">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Builder'!$B$12="",N($S104)&lt;='Assignment Builder'!$B$12)))</f>
        <v/>
      </c>
      <c r="V104" s="23" t="n"/>
    </row>
    <row r="105">
      <c r="A105" s="23" t="n"/>
      <c r="B105" s="23" t="n"/>
      <c r="C105" s="24" t="n"/>
      <c r="D105" s="15" t="n"/>
      <c r="E105" s="23" t="n"/>
      <c r="F105" s="15" t="n"/>
      <c r="G105" s="23" t="n"/>
      <c r="H105" s="25" t="n"/>
      <c r="I105" s="15" t="n"/>
      <c r="J105" s="26">
        <f>IF($A105="","",LEN($C105)-LEN(SUBSTITUTE($C105,",",""))+1)</f>
        <v/>
      </c>
      <c r="K105" s="26">
        <f>IF($A105="","",SUMPRODUCT(--ISNUMBER(SEARCH('Category Dictionary'!$D$5:$D$135&amp;"",$C105)),--('Category Dictionary'!$D$5:$D$135&lt;&gt;"")))</f>
        <v/>
      </c>
      <c r="L105" s="27">
        <f>IF($A105="","",TRIM(IF(ISERROR(FIND(",",$C105)),$C105,LEFT($C105,FIND(",",$C105)-1))))</f>
        <v/>
      </c>
      <c r="M105" s="28">
        <f>IF($H105="","",DATE(YEAR($H105),MONTH($H105),1))</f>
        <v/>
      </c>
      <c r="N105" s="26">
        <f>IF($H105="","",TODAY()-$H105)</f>
        <v/>
      </c>
      <c r="O105" s="15" t="n"/>
      <c r="P105" s="26">
        <f>IF($A105="","",COUNTIFS('Audit Versions'!$A$6:$A$605,$A105,'Audit Versions'!$L$6:$L$605,"Active"))</f>
        <v/>
      </c>
      <c r="Q105" s="15" t="n"/>
      <c r="R105" s="26">
        <f>IF(OR($A105="",$P105=0),"",MOD(N($Q105),$P105)+1)</f>
        <v/>
      </c>
      <c r="S105" s="15" t="n"/>
      <c r="T105" s="25" t="n"/>
      <c r="U105" s="26">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Builder'!$B$12="",N($S105)&lt;='Assignment Builder'!$B$12)))</f>
        <v/>
      </c>
      <c r="V105" s="23" t="n"/>
    </row>
    <row r="106">
      <c r="A106" s="23" t="n"/>
      <c r="B106" s="23" t="n"/>
      <c r="C106" s="24" t="n"/>
      <c r="D106" s="15" t="n"/>
      <c r="E106" s="23" t="n"/>
      <c r="F106" s="15" t="n"/>
      <c r="G106" s="23" t="n"/>
      <c r="H106" s="25" t="n"/>
      <c r="I106" s="15" t="n"/>
      <c r="J106" s="26">
        <f>IF($A106="","",LEN($C106)-LEN(SUBSTITUTE($C106,",",""))+1)</f>
        <v/>
      </c>
      <c r="K106" s="26">
        <f>IF($A106="","",SUMPRODUCT(--ISNUMBER(SEARCH('Category Dictionary'!$D$5:$D$135&amp;"",$C106)),--('Category Dictionary'!$D$5:$D$135&lt;&gt;"")))</f>
        <v/>
      </c>
      <c r="L106" s="27">
        <f>IF($A106="","",TRIM(IF(ISERROR(FIND(",",$C106)),$C106,LEFT($C106,FIND(",",$C106)-1))))</f>
        <v/>
      </c>
      <c r="M106" s="28">
        <f>IF($H106="","",DATE(YEAR($H106),MONTH($H106),1))</f>
        <v/>
      </c>
      <c r="N106" s="26">
        <f>IF($H106="","",TODAY()-$H106)</f>
        <v/>
      </c>
      <c r="O106" s="15" t="n"/>
      <c r="P106" s="26">
        <f>IF($A106="","",COUNTIFS('Audit Versions'!$A$6:$A$605,$A106,'Audit Versions'!$L$6:$L$605,"Active"))</f>
        <v/>
      </c>
      <c r="Q106" s="15" t="n"/>
      <c r="R106" s="26">
        <f>IF(OR($A106="",$P106=0),"",MOD(N($Q106),$P106)+1)</f>
        <v/>
      </c>
      <c r="S106" s="15" t="n"/>
      <c r="T106" s="25" t="n"/>
      <c r="U106" s="26">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Builder'!$B$12="",N($S106)&lt;='Assignment Builder'!$B$12)))</f>
        <v/>
      </c>
      <c r="V106" s="23" t="n"/>
    </row>
    <row r="107">
      <c r="A107" s="23" t="n"/>
      <c r="B107" s="23" t="n"/>
      <c r="C107" s="24" t="n"/>
      <c r="D107" s="15" t="n"/>
      <c r="E107" s="23" t="n"/>
      <c r="F107" s="15" t="n"/>
      <c r="G107" s="23" t="n"/>
      <c r="H107" s="25" t="n"/>
      <c r="I107" s="15" t="n"/>
      <c r="J107" s="26">
        <f>IF($A107="","",LEN($C107)-LEN(SUBSTITUTE($C107,",",""))+1)</f>
        <v/>
      </c>
      <c r="K107" s="26">
        <f>IF($A107="","",SUMPRODUCT(--ISNUMBER(SEARCH('Category Dictionary'!$D$5:$D$135&amp;"",$C107)),--('Category Dictionary'!$D$5:$D$135&lt;&gt;"")))</f>
        <v/>
      </c>
      <c r="L107" s="27">
        <f>IF($A107="","",TRIM(IF(ISERROR(FIND(",",$C107)),$C107,LEFT($C107,FIND(",",$C107)-1))))</f>
        <v/>
      </c>
      <c r="M107" s="28">
        <f>IF($H107="","",DATE(YEAR($H107),MONTH($H107),1))</f>
        <v/>
      </c>
      <c r="N107" s="26">
        <f>IF($H107="","",TODAY()-$H107)</f>
        <v/>
      </c>
      <c r="O107" s="15" t="n"/>
      <c r="P107" s="26">
        <f>IF($A107="","",COUNTIFS('Audit Versions'!$A$6:$A$605,$A107,'Audit Versions'!$L$6:$L$605,"Active"))</f>
        <v/>
      </c>
      <c r="Q107" s="15" t="n"/>
      <c r="R107" s="26">
        <f>IF(OR($A107="",$P107=0),"",MOD(N($Q107),$P107)+1)</f>
        <v/>
      </c>
      <c r="S107" s="15" t="n"/>
      <c r="T107" s="25" t="n"/>
      <c r="U107" s="26">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Builder'!$B$12="",N($S107)&lt;='Assignment Builder'!$B$12)))</f>
        <v/>
      </c>
      <c r="V107" s="23" t="n"/>
    </row>
    <row r="108">
      <c r="A108" s="23" t="n"/>
      <c r="B108" s="23" t="n"/>
      <c r="C108" s="24" t="n"/>
      <c r="D108" s="15" t="n"/>
      <c r="E108" s="23" t="n"/>
      <c r="F108" s="15" t="n"/>
      <c r="G108" s="23" t="n"/>
      <c r="H108" s="25" t="n"/>
      <c r="I108" s="15" t="n"/>
      <c r="J108" s="26">
        <f>IF($A108="","",LEN($C108)-LEN(SUBSTITUTE($C108,",",""))+1)</f>
        <v/>
      </c>
      <c r="K108" s="26">
        <f>IF($A108="","",SUMPRODUCT(--ISNUMBER(SEARCH('Category Dictionary'!$D$5:$D$135&amp;"",$C108)),--('Category Dictionary'!$D$5:$D$135&lt;&gt;"")))</f>
        <v/>
      </c>
      <c r="L108" s="27">
        <f>IF($A108="","",TRIM(IF(ISERROR(FIND(",",$C108)),$C108,LEFT($C108,FIND(",",$C108)-1))))</f>
        <v/>
      </c>
      <c r="M108" s="28">
        <f>IF($H108="","",DATE(YEAR($H108),MONTH($H108),1))</f>
        <v/>
      </c>
      <c r="N108" s="26">
        <f>IF($H108="","",TODAY()-$H108)</f>
        <v/>
      </c>
      <c r="O108" s="15" t="n"/>
      <c r="P108" s="26">
        <f>IF($A108="","",COUNTIFS('Audit Versions'!$A$6:$A$605,$A108,'Audit Versions'!$L$6:$L$605,"Active"))</f>
        <v/>
      </c>
      <c r="Q108" s="15" t="n"/>
      <c r="R108" s="26">
        <f>IF(OR($A108="",$P108=0),"",MOD(N($Q108),$P108)+1)</f>
        <v/>
      </c>
      <c r="S108" s="15" t="n"/>
      <c r="T108" s="25" t="n"/>
      <c r="U108" s="26">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Builder'!$B$12="",N($S108)&lt;='Assignment Builder'!$B$12)))</f>
        <v/>
      </c>
      <c r="V108" s="23" t="n"/>
    </row>
    <row r="109">
      <c r="A109" s="23" t="n"/>
      <c r="B109" s="23" t="n"/>
      <c r="C109" s="24" t="n"/>
      <c r="D109" s="15" t="n"/>
      <c r="E109" s="23" t="n"/>
      <c r="F109" s="15" t="n"/>
      <c r="G109" s="23" t="n"/>
      <c r="H109" s="25" t="n"/>
      <c r="I109" s="15" t="n"/>
      <c r="J109" s="26">
        <f>IF($A109="","",LEN($C109)-LEN(SUBSTITUTE($C109,",",""))+1)</f>
        <v/>
      </c>
      <c r="K109" s="26">
        <f>IF($A109="","",SUMPRODUCT(--ISNUMBER(SEARCH('Category Dictionary'!$D$5:$D$135&amp;"",$C109)),--('Category Dictionary'!$D$5:$D$135&lt;&gt;"")))</f>
        <v/>
      </c>
      <c r="L109" s="27">
        <f>IF($A109="","",TRIM(IF(ISERROR(FIND(",",$C109)),$C109,LEFT($C109,FIND(",",$C109)-1))))</f>
        <v/>
      </c>
      <c r="M109" s="28">
        <f>IF($H109="","",DATE(YEAR($H109),MONTH($H109),1))</f>
        <v/>
      </c>
      <c r="N109" s="26">
        <f>IF($H109="","",TODAY()-$H109)</f>
        <v/>
      </c>
      <c r="O109" s="15" t="n"/>
      <c r="P109" s="26">
        <f>IF($A109="","",COUNTIFS('Audit Versions'!$A$6:$A$605,$A109,'Audit Versions'!$L$6:$L$605,"Active"))</f>
        <v/>
      </c>
      <c r="Q109" s="15" t="n"/>
      <c r="R109" s="26">
        <f>IF(OR($A109="",$P109=0),"",MOD(N($Q109),$P109)+1)</f>
        <v/>
      </c>
      <c r="S109" s="15" t="n"/>
      <c r="T109" s="25" t="n"/>
      <c r="U109" s="26">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Builder'!$B$12="",N($S109)&lt;='Assignment Builder'!$B$12)))</f>
        <v/>
      </c>
      <c r="V109" s="23" t="n"/>
    </row>
    <row r="110">
      <c r="A110" s="23" t="n"/>
      <c r="B110" s="23" t="n"/>
      <c r="C110" s="24" t="n"/>
      <c r="D110" s="15" t="n"/>
      <c r="E110" s="23" t="n"/>
      <c r="F110" s="15" t="n"/>
      <c r="G110" s="23" t="n"/>
      <c r="H110" s="25" t="n"/>
      <c r="I110" s="15" t="n"/>
      <c r="J110" s="26">
        <f>IF($A110="","",LEN($C110)-LEN(SUBSTITUTE($C110,",",""))+1)</f>
        <v/>
      </c>
      <c r="K110" s="26">
        <f>IF($A110="","",SUMPRODUCT(--ISNUMBER(SEARCH('Category Dictionary'!$D$5:$D$135&amp;"",$C110)),--('Category Dictionary'!$D$5:$D$135&lt;&gt;"")))</f>
        <v/>
      </c>
      <c r="L110" s="27">
        <f>IF($A110="","",TRIM(IF(ISERROR(FIND(",",$C110)),$C110,LEFT($C110,FIND(",",$C110)-1))))</f>
        <v/>
      </c>
      <c r="M110" s="28">
        <f>IF($H110="","",DATE(YEAR($H110),MONTH($H110),1))</f>
        <v/>
      </c>
      <c r="N110" s="26">
        <f>IF($H110="","",TODAY()-$H110)</f>
        <v/>
      </c>
      <c r="O110" s="15" t="n"/>
      <c r="P110" s="26">
        <f>IF($A110="","",COUNTIFS('Audit Versions'!$A$6:$A$605,$A110,'Audit Versions'!$L$6:$L$605,"Active"))</f>
        <v/>
      </c>
      <c r="Q110" s="15" t="n"/>
      <c r="R110" s="26">
        <f>IF(OR($A110="",$P110=0),"",MOD(N($Q110),$P110)+1)</f>
        <v/>
      </c>
      <c r="S110" s="15" t="n"/>
      <c r="T110" s="25" t="n"/>
      <c r="U110" s="26">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Builder'!$B$12="",N($S110)&lt;='Assignment Builder'!$B$12)))</f>
        <v/>
      </c>
      <c r="V110" s="23" t="n"/>
    </row>
    <row r="111">
      <c r="A111" s="23" t="n"/>
      <c r="B111" s="23" t="n"/>
      <c r="C111" s="24" t="n"/>
      <c r="D111" s="15" t="n"/>
      <c r="E111" s="23" t="n"/>
      <c r="F111" s="15" t="n"/>
      <c r="G111" s="23" t="n"/>
      <c r="H111" s="25" t="n"/>
      <c r="I111" s="15" t="n"/>
      <c r="J111" s="26">
        <f>IF($A111="","",LEN($C111)-LEN(SUBSTITUTE($C111,",",""))+1)</f>
        <v/>
      </c>
      <c r="K111" s="26">
        <f>IF($A111="","",SUMPRODUCT(--ISNUMBER(SEARCH('Category Dictionary'!$D$5:$D$135&amp;"",$C111)),--('Category Dictionary'!$D$5:$D$135&lt;&gt;"")))</f>
        <v/>
      </c>
      <c r="L111" s="27">
        <f>IF($A111="","",TRIM(IF(ISERROR(FIND(",",$C111)),$C111,LEFT($C111,FIND(",",$C111)-1))))</f>
        <v/>
      </c>
      <c r="M111" s="28">
        <f>IF($H111="","",DATE(YEAR($H111),MONTH($H111),1))</f>
        <v/>
      </c>
      <c r="N111" s="26">
        <f>IF($H111="","",TODAY()-$H111)</f>
        <v/>
      </c>
      <c r="O111" s="15" t="n"/>
      <c r="P111" s="26">
        <f>IF($A111="","",COUNTIFS('Audit Versions'!$A$6:$A$605,$A111,'Audit Versions'!$L$6:$L$605,"Active"))</f>
        <v/>
      </c>
      <c r="Q111" s="15" t="n"/>
      <c r="R111" s="26">
        <f>IF(OR($A111="",$P111=0),"",MOD(N($Q111),$P111)+1)</f>
        <v/>
      </c>
      <c r="S111" s="15" t="n"/>
      <c r="T111" s="25" t="n"/>
      <c r="U111" s="26">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Builder'!$B$12="",N($S111)&lt;='Assignment Builder'!$B$12)))</f>
        <v/>
      </c>
      <c r="V111" s="23" t="n"/>
    </row>
    <row r="112">
      <c r="A112" s="23" t="n"/>
      <c r="B112" s="23" t="n"/>
      <c r="C112" s="24" t="n"/>
      <c r="D112" s="15" t="n"/>
      <c r="E112" s="23" t="n"/>
      <c r="F112" s="15" t="n"/>
      <c r="G112" s="23" t="n"/>
      <c r="H112" s="25" t="n"/>
      <c r="I112" s="15" t="n"/>
      <c r="J112" s="26">
        <f>IF($A112="","",LEN($C112)-LEN(SUBSTITUTE($C112,",",""))+1)</f>
        <v/>
      </c>
      <c r="K112" s="26">
        <f>IF($A112="","",SUMPRODUCT(--ISNUMBER(SEARCH('Category Dictionary'!$D$5:$D$135&amp;"",$C112)),--('Category Dictionary'!$D$5:$D$135&lt;&gt;"")))</f>
        <v/>
      </c>
      <c r="L112" s="27">
        <f>IF($A112="","",TRIM(IF(ISERROR(FIND(",",$C112)),$C112,LEFT($C112,FIND(",",$C112)-1))))</f>
        <v/>
      </c>
      <c r="M112" s="28">
        <f>IF($H112="","",DATE(YEAR($H112),MONTH($H112),1))</f>
        <v/>
      </c>
      <c r="N112" s="26">
        <f>IF($H112="","",TODAY()-$H112)</f>
        <v/>
      </c>
      <c r="O112" s="15" t="n"/>
      <c r="P112" s="26">
        <f>IF($A112="","",COUNTIFS('Audit Versions'!$A$6:$A$605,$A112,'Audit Versions'!$L$6:$L$605,"Active"))</f>
        <v/>
      </c>
      <c r="Q112" s="15" t="n"/>
      <c r="R112" s="26">
        <f>IF(OR($A112="",$P112=0),"",MOD(N($Q112),$P112)+1)</f>
        <v/>
      </c>
      <c r="S112" s="15" t="n"/>
      <c r="T112" s="25" t="n"/>
      <c r="U112" s="26">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Builder'!$B$12="",N($S112)&lt;='Assignment Builder'!$B$12)))</f>
        <v/>
      </c>
      <c r="V112" s="23" t="n"/>
    </row>
    <row r="113">
      <c r="A113" s="23" t="n"/>
      <c r="B113" s="23" t="n"/>
      <c r="C113" s="24" t="n"/>
      <c r="D113" s="15" t="n"/>
      <c r="E113" s="23" t="n"/>
      <c r="F113" s="15" t="n"/>
      <c r="G113" s="23" t="n"/>
      <c r="H113" s="25" t="n"/>
      <c r="I113" s="15" t="n"/>
      <c r="J113" s="26">
        <f>IF($A113="","",LEN($C113)-LEN(SUBSTITUTE($C113,",",""))+1)</f>
        <v/>
      </c>
      <c r="K113" s="26">
        <f>IF($A113="","",SUMPRODUCT(--ISNUMBER(SEARCH('Category Dictionary'!$D$5:$D$135&amp;"",$C113)),--('Category Dictionary'!$D$5:$D$135&lt;&gt;"")))</f>
        <v/>
      </c>
      <c r="L113" s="27">
        <f>IF($A113="","",TRIM(IF(ISERROR(FIND(",",$C113)),$C113,LEFT($C113,FIND(",",$C113)-1))))</f>
        <v/>
      </c>
      <c r="M113" s="28">
        <f>IF($H113="","",DATE(YEAR($H113),MONTH($H113),1))</f>
        <v/>
      </c>
      <c r="N113" s="26">
        <f>IF($H113="","",TODAY()-$H113)</f>
        <v/>
      </c>
      <c r="O113" s="15" t="n"/>
      <c r="P113" s="26">
        <f>IF($A113="","",COUNTIFS('Audit Versions'!$A$6:$A$605,$A113,'Audit Versions'!$L$6:$L$605,"Active"))</f>
        <v/>
      </c>
      <c r="Q113" s="15" t="n"/>
      <c r="R113" s="26">
        <f>IF(OR($A113="",$P113=0),"",MOD(N($Q113),$P113)+1)</f>
        <v/>
      </c>
      <c r="S113" s="15" t="n"/>
      <c r="T113" s="25" t="n"/>
      <c r="U113" s="26">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Builder'!$B$12="",N($S113)&lt;='Assignment Builder'!$B$12)))</f>
        <v/>
      </c>
      <c r="V113" s="23" t="n"/>
    </row>
    <row r="114">
      <c r="A114" s="23" t="n"/>
      <c r="B114" s="23" t="n"/>
      <c r="C114" s="24" t="n"/>
      <c r="D114" s="15" t="n"/>
      <c r="E114" s="23" t="n"/>
      <c r="F114" s="15" t="n"/>
      <c r="G114" s="23" t="n"/>
      <c r="H114" s="25" t="n"/>
      <c r="I114" s="15" t="n"/>
      <c r="J114" s="26">
        <f>IF($A114="","",LEN($C114)-LEN(SUBSTITUTE($C114,",",""))+1)</f>
        <v/>
      </c>
      <c r="K114" s="26">
        <f>IF($A114="","",SUMPRODUCT(--ISNUMBER(SEARCH('Category Dictionary'!$D$5:$D$135&amp;"",$C114)),--('Category Dictionary'!$D$5:$D$135&lt;&gt;"")))</f>
        <v/>
      </c>
      <c r="L114" s="27">
        <f>IF($A114="","",TRIM(IF(ISERROR(FIND(",",$C114)),$C114,LEFT($C114,FIND(",",$C114)-1))))</f>
        <v/>
      </c>
      <c r="M114" s="28">
        <f>IF($H114="","",DATE(YEAR($H114),MONTH($H114),1))</f>
        <v/>
      </c>
      <c r="N114" s="26">
        <f>IF($H114="","",TODAY()-$H114)</f>
        <v/>
      </c>
      <c r="O114" s="15" t="n"/>
      <c r="P114" s="26">
        <f>IF($A114="","",COUNTIFS('Audit Versions'!$A$6:$A$605,$A114,'Audit Versions'!$L$6:$L$605,"Active"))</f>
        <v/>
      </c>
      <c r="Q114" s="15" t="n"/>
      <c r="R114" s="26">
        <f>IF(OR($A114="",$P114=0),"",MOD(N($Q114),$P114)+1)</f>
        <v/>
      </c>
      <c r="S114" s="15" t="n"/>
      <c r="T114" s="25" t="n"/>
      <c r="U114" s="26">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Builder'!$B$12="",N($S114)&lt;='Assignment Builder'!$B$12)))</f>
        <v/>
      </c>
      <c r="V114" s="23" t="n"/>
    </row>
    <row r="115">
      <c r="A115" s="23" t="n"/>
      <c r="B115" s="23" t="n"/>
      <c r="C115" s="24" t="n"/>
      <c r="D115" s="15" t="n"/>
      <c r="E115" s="23" t="n"/>
      <c r="F115" s="15" t="n"/>
      <c r="G115" s="23" t="n"/>
      <c r="H115" s="25" t="n"/>
      <c r="I115" s="15" t="n"/>
      <c r="J115" s="26">
        <f>IF($A115="","",LEN($C115)-LEN(SUBSTITUTE($C115,",",""))+1)</f>
        <v/>
      </c>
      <c r="K115" s="26">
        <f>IF($A115="","",SUMPRODUCT(--ISNUMBER(SEARCH('Category Dictionary'!$D$5:$D$135&amp;"",$C115)),--('Category Dictionary'!$D$5:$D$135&lt;&gt;"")))</f>
        <v/>
      </c>
      <c r="L115" s="27">
        <f>IF($A115="","",TRIM(IF(ISERROR(FIND(",",$C115)),$C115,LEFT($C115,FIND(",",$C115)-1))))</f>
        <v/>
      </c>
      <c r="M115" s="28">
        <f>IF($H115="","",DATE(YEAR($H115),MONTH($H115),1))</f>
        <v/>
      </c>
      <c r="N115" s="26">
        <f>IF($H115="","",TODAY()-$H115)</f>
        <v/>
      </c>
      <c r="O115" s="15" t="n"/>
      <c r="P115" s="26">
        <f>IF($A115="","",COUNTIFS('Audit Versions'!$A$6:$A$605,$A115,'Audit Versions'!$L$6:$L$605,"Active"))</f>
        <v/>
      </c>
      <c r="Q115" s="15" t="n"/>
      <c r="R115" s="26">
        <f>IF(OR($A115="",$P115=0),"",MOD(N($Q115),$P115)+1)</f>
        <v/>
      </c>
      <c r="S115" s="15" t="n"/>
      <c r="T115" s="25" t="n"/>
      <c r="U115" s="26">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Builder'!$B$12="",N($S115)&lt;='Assignment Builder'!$B$12)))</f>
        <v/>
      </c>
      <c r="V115" s="23" t="n"/>
    </row>
    <row r="116">
      <c r="A116" s="23" t="n"/>
      <c r="B116" s="23" t="n"/>
      <c r="C116" s="24" t="n"/>
      <c r="D116" s="15" t="n"/>
      <c r="E116" s="23" t="n"/>
      <c r="F116" s="15" t="n"/>
      <c r="G116" s="23" t="n"/>
      <c r="H116" s="25" t="n"/>
      <c r="I116" s="15" t="n"/>
      <c r="J116" s="26">
        <f>IF($A116="","",LEN($C116)-LEN(SUBSTITUTE($C116,",",""))+1)</f>
        <v/>
      </c>
      <c r="K116" s="26">
        <f>IF($A116="","",SUMPRODUCT(--ISNUMBER(SEARCH('Category Dictionary'!$D$5:$D$135&amp;"",$C116)),--('Category Dictionary'!$D$5:$D$135&lt;&gt;"")))</f>
        <v/>
      </c>
      <c r="L116" s="27">
        <f>IF($A116="","",TRIM(IF(ISERROR(FIND(",",$C116)),$C116,LEFT($C116,FIND(",",$C116)-1))))</f>
        <v/>
      </c>
      <c r="M116" s="28">
        <f>IF($H116="","",DATE(YEAR($H116),MONTH($H116),1))</f>
        <v/>
      </c>
      <c r="N116" s="26">
        <f>IF($H116="","",TODAY()-$H116)</f>
        <v/>
      </c>
      <c r="O116" s="15" t="n"/>
      <c r="P116" s="26">
        <f>IF($A116="","",COUNTIFS('Audit Versions'!$A$6:$A$605,$A116,'Audit Versions'!$L$6:$L$605,"Active"))</f>
        <v/>
      </c>
      <c r="Q116" s="15" t="n"/>
      <c r="R116" s="26">
        <f>IF(OR($A116="",$P116=0),"",MOD(N($Q116),$P116)+1)</f>
        <v/>
      </c>
      <c r="S116" s="15" t="n"/>
      <c r="T116" s="25" t="n"/>
      <c r="U116" s="26">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Builder'!$B$12="",N($S116)&lt;='Assignment Builder'!$B$12)))</f>
        <v/>
      </c>
      <c r="V116" s="23" t="n"/>
    </row>
    <row r="117">
      <c r="A117" s="23" t="n"/>
      <c r="B117" s="23" t="n"/>
      <c r="C117" s="24" t="n"/>
      <c r="D117" s="15" t="n"/>
      <c r="E117" s="23" t="n"/>
      <c r="F117" s="15" t="n"/>
      <c r="G117" s="23" t="n"/>
      <c r="H117" s="25" t="n"/>
      <c r="I117" s="15" t="n"/>
      <c r="J117" s="26">
        <f>IF($A117="","",LEN($C117)-LEN(SUBSTITUTE($C117,",",""))+1)</f>
        <v/>
      </c>
      <c r="K117" s="26">
        <f>IF($A117="","",SUMPRODUCT(--ISNUMBER(SEARCH('Category Dictionary'!$D$5:$D$135&amp;"",$C117)),--('Category Dictionary'!$D$5:$D$135&lt;&gt;"")))</f>
        <v/>
      </c>
      <c r="L117" s="27">
        <f>IF($A117="","",TRIM(IF(ISERROR(FIND(",",$C117)),$C117,LEFT($C117,FIND(",",$C117)-1))))</f>
        <v/>
      </c>
      <c r="M117" s="28">
        <f>IF($H117="","",DATE(YEAR($H117),MONTH($H117),1))</f>
        <v/>
      </c>
      <c r="N117" s="26">
        <f>IF($H117="","",TODAY()-$H117)</f>
        <v/>
      </c>
      <c r="O117" s="15" t="n"/>
      <c r="P117" s="26">
        <f>IF($A117="","",COUNTIFS('Audit Versions'!$A$6:$A$605,$A117,'Audit Versions'!$L$6:$L$605,"Active"))</f>
        <v/>
      </c>
      <c r="Q117" s="15" t="n"/>
      <c r="R117" s="26">
        <f>IF(OR($A117="",$P117=0),"",MOD(N($Q117),$P117)+1)</f>
        <v/>
      </c>
      <c r="S117" s="15" t="n"/>
      <c r="T117" s="25" t="n"/>
      <c r="U117" s="26">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Builder'!$B$12="",N($S117)&lt;='Assignment Builder'!$B$12)))</f>
        <v/>
      </c>
      <c r="V117" s="23" t="n"/>
    </row>
    <row r="118">
      <c r="A118" s="23" t="n"/>
      <c r="B118" s="23" t="n"/>
      <c r="C118" s="24" t="n"/>
      <c r="D118" s="15" t="n"/>
      <c r="E118" s="23" t="n"/>
      <c r="F118" s="15" t="n"/>
      <c r="G118" s="23" t="n"/>
      <c r="H118" s="25" t="n"/>
      <c r="I118" s="15" t="n"/>
      <c r="J118" s="26">
        <f>IF($A118="","",LEN($C118)-LEN(SUBSTITUTE($C118,",",""))+1)</f>
        <v/>
      </c>
      <c r="K118" s="26">
        <f>IF($A118="","",SUMPRODUCT(--ISNUMBER(SEARCH('Category Dictionary'!$D$5:$D$135&amp;"",$C118)),--('Category Dictionary'!$D$5:$D$135&lt;&gt;"")))</f>
        <v/>
      </c>
      <c r="L118" s="27">
        <f>IF($A118="","",TRIM(IF(ISERROR(FIND(",",$C118)),$C118,LEFT($C118,FIND(",",$C118)-1))))</f>
        <v/>
      </c>
      <c r="M118" s="28">
        <f>IF($H118="","",DATE(YEAR($H118),MONTH($H118),1))</f>
        <v/>
      </c>
      <c r="N118" s="26">
        <f>IF($H118="","",TODAY()-$H118)</f>
        <v/>
      </c>
      <c r="O118" s="15" t="n"/>
      <c r="P118" s="26">
        <f>IF($A118="","",COUNTIFS('Audit Versions'!$A$6:$A$605,$A118,'Audit Versions'!$L$6:$L$605,"Active"))</f>
        <v/>
      </c>
      <c r="Q118" s="15" t="n"/>
      <c r="R118" s="26">
        <f>IF(OR($A118="",$P118=0),"",MOD(N($Q118),$P118)+1)</f>
        <v/>
      </c>
      <c r="S118" s="15" t="n"/>
      <c r="T118" s="25" t="n"/>
      <c r="U118" s="26">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Builder'!$B$12="",N($S118)&lt;='Assignment Builder'!$B$12)))</f>
        <v/>
      </c>
      <c r="V118" s="23" t="n"/>
    </row>
    <row r="119">
      <c r="A119" s="23" t="n"/>
      <c r="B119" s="23" t="n"/>
      <c r="C119" s="24" t="n"/>
      <c r="D119" s="15" t="n"/>
      <c r="E119" s="23" t="n"/>
      <c r="F119" s="15" t="n"/>
      <c r="G119" s="23" t="n"/>
      <c r="H119" s="25" t="n"/>
      <c r="I119" s="15" t="n"/>
      <c r="J119" s="26">
        <f>IF($A119="","",LEN($C119)-LEN(SUBSTITUTE($C119,",",""))+1)</f>
        <v/>
      </c>
      <c r="K119" s="26">
        <f>IF($A119="","",SUMPRODUCT(--ISNUMBER(SEARCH('Category Dictionary'!$D$5:$D$135&amp;"",$C119)),--('Category Dictionary'!$D$5:$D$135&lt;&gt;"")))</f>
        <v/>
      </c>
      <c r="L119" s="27">
        <f>IF($A119="","",TRIM(IF(ISERROR(FIND(",",$C119)),$C119,LEFT($C119,FIND(",",$C119)-1))))</f>
        <v/>
      </c>
      <c r="M119" s="28">
        <f>IF($H119="","",DATE(YEAR($H119),MONTH($H119),1))</f>
        <v/>
      </c>
      <c r="N119" s="26">
        <f>IF($H119="","",TODAY()-$H119)</f>
        <v/>
      </c>
      <c r="O119" s="15" t="n"/>
      <c r="P119" s="26">
        <f>IF($A119="","",COUNTIFS('Audit Versions'!$A$6:$A$605,$A119,'Audit Versions'!$L$6:$L$605,"Active"))</f>
        <v/>
      </c>
      <c r="Q119" s="15" t="n"/>
      <c r="R119" s="26">
        <f>IF(OR($A119="",$P119=0),"",MOD(N($Q119),$P119)+1)</f>
        <v/>
      </c>
      <c r="S119" s="15" t="n"/>
      <c r="T119" s="25" t="n"/>
      <c r="U119" s="26">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Builder'!$B$12="",N($S119)&lt;='Assignment Builder'!$B$12)))</f>
        <v/>
      </c>
      <c r="V119" s="23" t="n"/>
    </row>
    <row r="120">
      <c r="A120" s="23" t="n"/>
      <c r="B120" s="23" t="n"/>
      <c r="C120" s="24" t="n"/>
      <c r="D120" s="15" t="n"/>
      <c r="E120" s="23" t="n"/>
      <c r="F120" s="15" t="n"/>
      <c r="G120" s="23" t="n"/>
      <c r="H120" s="25" t="n"/>
      <c r="I120" s="15" t="n"/>
      <c r="J120" s="26">
        <f>IF($A120="","",LEN($C120)-LEN(SUBSTITUTE($C120,",",""))+1)</f>
        <v/>
      </c>
      <c r="K120" s="26">
        <f>IF($A120="","",SUMPRODUCT(--ISNUMBER(SEARCH('Category Dictionary'!$D$5:$D$135&amp;"",$C120)),--('Category Dictionary'!$D$5:$D$135&lt;&gt;"")))</f>
        <v/>
      </c>
      <c r="L120" s="27">
        <f>IF($A120="","",TRIM(IF(ISERROR(FIND(",",$C120)),$C120,LEFT($C120,FIND(",",$C120)-1))))</f>
        <v/>
      </c>
      <c r="M120" s="28">
        <f>IF($H120="","",DATE(YEAR($H120),MONTH($H120),1))</f>
        <v/>
      </c>
      <c r="N120" s="26">
        <f>IF($H120="","",TODAY()-$H120)</f>
        <v/>
      </c>
      <c r="O120" s="15" t="n"/>
      <c r="P120" s="26">
        <f>IF($A120="","",COUNTIFS('Audit Versions'!$A$6:$A$605,$A120,'Audit Versions'!$L$6:$L$605,"Active"))</f>
        <v/>
      </c>
      <c r="Q120" s="15" t="n"/>
      <c r="R120" s="26">
        <f>IF(OR($A120="",$P120=0),"",MOD(N($Q120),$P120)+1)</f>
        <v/>
      </c>
      <c r="S120" s="15" t="n"/>
      <c r="T120" s="25" t="n"/>
      <c r="U120" s="26">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Builder'!$B$12="",N($S120)&lt;='Assignment Builder'!$B$12)))</f>
        <v/>
      </c>
      <c r="V120" s="23" t="n"/>
    </row>
    <row r="121">
      <c r="A121" s="23" t="n"/>
      <c r="B121" s="23" t="n"/>
      <c r="C121" s="24" t="n"/>
      <c r="D121" s="15" t="n"/>
      <c r="E121" s="23" t="n"/>
      <c r="F121" s="15" t="n"/>
      <c r="G121" s="23" t="n"/>
      <c r="H121" s="25" t="n"/>
      <c r="I121" s="15" t="n"/>
      <c r="J121" s="26">
        <f>IF($A121="","",LEN($C121)-LEN(SUBSTITUTE($C121,",",""))+1)</f>
        <v/>
      </c>
      <c r="K121" s="26">
        <f>IF($A121="","",SUMPRODUCT(--ISNUMBER(SEARCH('Category Dictionary'!$D$5:$D$135&amp;"",$C121)),--('Category Dictionary'!$D$5:$D$135&lt;&gt;"")))</f>
        <v/>
      </c>
      <c r="L121" s="27">
        <f>IF($A121="","",TRIM(IF(ISERROR(FIND(",",$C121)),$C121,LEFT($C121,FIND(",",$C121)-1))))</f>
        <v/>
      </c>
      <c r="M121" s="28">
        <f>IF($H121="","",DATE(YEAR($H121),MONTH($H121),1))</f>
        <v/>
      </c>
      <c r="N121" s="26">
        <f>IF($H121="","",TODAY()-$H121)</f>
        <v/>
      </c>
      <c r="O121" s="15" t="n"/>
      <c r="P121" s="26">
        <f>IF($A121="","",COUNTIFS('Audit Versions'!$A$6:$A$605,$A121,'Audit Versions'!$L$6:$L$605,"Active"))</f>
        <v/>
      </c>
      <c r="Q121" s="15" t="n"/>
      <c r="R121" s="26">
        <f>IF(OR($A121="",$P121=0),"",MOD(N($Q121),$P121)+1)</f>
        <v/>
      </c>
      <c r="S121" s="15" t="n"/>
      <c r="T121" s="25" t="n"/>
      <c r="U121" s="26">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Builder'!$B$12="",N($S121)&lt;='Assignment Builder'!$B$12)))</f>
        <v/>
      </c>
      <c r="V121" s="23" t="n"/>
    </row>
    <row r="122">
      <c r="A122" s="23" t="n"/>
      <c r="B122" s="23" t="n"/>
      <c r="C122" s="24" t="n"/>
      <c r="D122" s="15" t="n"/>
      <c r="E122" s="23" t="n"/>
      <c r="F122" s="15" t="n"/>
      <c r="G122" s="23" t="n"/>
      <c r="H122" s="25" t="n"/>
      <c r="I122" s="15" t="n"/>
      <c r="J122" s="26">
        <f>IF($A122="","",LEN($C122)-LEN(SUBSTITUTE($C122,",",""))+1)</f>
        <v/>
      </c>
      <c r="K122" s="26">
        <f>IF($A122="","",SUMPRODUCT(--ISNUMBER(SEARCH('Category Dictionary'!$D$5:$D$135&amp;"",$C122)),--('Category Dictionary'!$D$5:$D$135&lt;&gt;"")))</f>
        <v/>
      </c>
      <c r="L122" s="27">
        <f>IF($A122="","",TRIM(IF(ISERROR(FIND(",",$C122)),$C122,LEFT($C122,FIND(",",$C122)-1))))</f>
        <v/>
      </c>
      <c r="M122" s="28">
        <f>IF($H122="","",DATE(YEAR($H122),MONTH($H122),1))</f>
        <v/>
      </c>
      <c r="N122" s="26">
        <f>IF($H122="","",TODAY()-$H122)</f>
        <v/>
      </c>
      <c r="O122" s="15" t="n"/>
      <c r="P122" s="26">
        <f>IF($A122="","",COUNTIFS('Audit Versions'!$A$6:$A$605,$A122,'Audit Versions'!$L$6:$L$605,"Active"))</f>
        <v/>
      </c>
      <c r="Q122" s="15" t="n"/>
      <c r="R122" s="26">
        <f>IF(OR($A122="",$P122=0),"",MOD(N($Q122),$P122)+1)</f>
        <v/>
      </c>
      <c r="S122" s="15" t="n"/>
      <c r="T122" s="25" t="n"/>
      <c r="U122" s="26">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Builder'!$B$12="",N($S122)&lt;='Assignment Builder'!$B$12)))</f>
        <v/>
      </c>
      <c r="V122" s="23" t="n"/>
    </row>
    <row r="123">
      <c r="A123" s="23" t="n"/>
      <c r="B123" s="23" t="n"/>
      <c r="C123" s="24" t="n"/>
      <c r="D123" s="15" t="n"/>
      <c r="E123" s="23" t="n"/>
      <c r="F123" s="15" t="n"/>
      <c r="G123" s="23" t="n"/>
      <c r="H123" s="25" t="n"/>
      <c r="I123" s="15" t="n"/>
      <c r="J123" s="26">
        <f>IF($A123="","",LEN($C123)-LEN(SUBSTITUTE($C123,",",""))+1)</f>
        <v/>
      </c>
      <c r="K123" s="26">
        <f>IF($A123="","",SUMPRODUCT(--ISNUMBER(SEARCH('Category Dictionary'!$D$5:$D$135&amp;"",$C123)),--('Category Dictionary'!$D$5:$D$135&lt;&gt;"")))</f>
        <v/>
      </c>
      <c r="L123" s="27">
        <f>IF($A123="","",TRIM(IF(ISERROR(FIND(",",$C123)),$C123,LEFT($C123,FIND(",",$C123)-1))))</f>
        <v/>
      </c>
      <c r="M123" s="28">
        <f>IF($H123="","",DATE(YEAR($H123),MONTH($H123),1))</f>
        <v/>
      </c>
      <c r="N123" s="26">
        <f>IF($H123="","",TODAY()-$H123)</f>
        <v/>
      </c>
      <c r="O123" s="15" t="n"/>
      <c r="P123" s="26">
        <f>IF($A123="","",COUNTIFS('Audit Versions'!$A$6:$A$605,$A123,'Audit Versions'!$L$6:$L$605,"Active"))</f>
        <v/>
      </c>
      <c r="Q123" s="15" t="n"/>
      <c r="R123" s="26">
        <f>IF(OR($A123="",$P123=0),"",MOD(N($Q123),$P123)+1)</f>
        <v/>
      </c>
      <c r="S123" s="15" t="n"/>
      <c r="T123" s="25" t="n"/>
      <c r="U123" s="26">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Builder'!$B$12="",N($S123)&lt;='Assignment Builder'!$B$12)))</f>
        <v/>
      </c>
      <c r="V123" s="23" t="n"/>
    </row>
    <row r="124">
      <c r="A124" s="23" t="n"/>
      <c r="B124" s="23" t="n"/>
      <c r="C124" s="24" t="n"/>
      <c r="D124" s="15" t="n"/>
      <c r="E124" s="23" t="n"/>
      <c r="F124" s="15" t="n"/>
      <c r="G124" s="23" t="n"/>
      <c r="H124" s="25" t="n"/>
      <c r="I124" s="15" t="n"/>
      <c r="J124" s="26">
        <f>IF($A124="","",LEN($C124)-LEN(SUBSTITUTE($C124,",",""))+1)</f>
        <v/>
      </c>
      <c r="K124" s="26">
        <f>IF($A124="","",SUMPRODUCT(--ISNUMBER(SEARCH('Category Dictionary'!$D$5:$D$135&amp;"",$C124)),--('Category Dictionary'!$D$5:$D$135&lt;&gt;"")))</f>
        <v/>
      </c>
      <c r="L124" s="27">
        <f>IF($A124="","",TRIM(IF(ISERROR(FIND(",",$C124)),$C124,LEFT($C124,FIND(",",$C124)-1))))</f>
        <v/>
      </c>
      <c r="M124" s="28">
        <f>IF($H124="","",DATE(YEAR($H124),MONTH($H124),1))</f>
        <v/>
      </c>
      <c r="N124" s="26">
        <f>IF($H124="","",TODAY()-$H124)</f>
        <v/>
      </c>
      <c r="O124" s="15" t="n"/>
      <c r="P124" s="26">
        <f>IF($A124="","",COUNTIFS('Audit Versions'!$A$6:$A$605,$A124,'Audit Versions'!$L$6:$L$605,"Active"))</f>
        <v/>
      </c>
      <c r="Q124" s="15" t="n"/>
      <c r="R124" s="26">
        <f>IF(OR($A124="",$P124=0),"",MOD(N($Q124),$P124)+1)</f>
        <v/>
      </c>
      <c r="S124" s="15" t="n"/>
      <c r="T124" s="25" t="n"/>
      <c r="U124" s="26">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Builder'!$B$12="",N($S124)&lt;='Assignment Builder'!$B$12)))</f>
        <v/>
      </c>
      <c r="V124" s="23" t="n"/>
    </row>
    <row r="125">
      <c r="A125" s="23" t="n"/>
      <c r="B125" s="23" t="n"/>
      <c r="C125" s="24" t="n"/>
      <c r="D125" s="15" t="n"/>
      <c r="E125" s="23" t="n"/>
      <c r="F125" s="15" t="n"/>
      <c r="G125" s="23" t="n"/>
      <c r="H125" s="25" t="n"/>
      <c r="I125" s="15" t="n"/>
      <c r="J125" s="26">
        <f>IF($A125="","",LEN($C125)-LEN(SUBSTITUTE($C125,",",""))+1)</f>
        <v/>
      </c>
      <c r="K125" s="26">
        <f>IF($A125="","",SUMPRODUCT(--ISNUMBER(SEARCH('Category Dictionary'!$D$5:$D$135&amp;"",$C125)),--('Category Dictionary'!$D$5:$D$135&lt;&gt;"")))</f>
        <v/>
      </c>
      <c r="L125" s="27">
        <f>IF($A125="","",TRIM(IF(ISERROR(FIND(",",$C125)),$C125,LEFT($C125,FIND(",",$C125)-1))))</f>
        <v/>
      </c>
      <c r="M125" s="28">
        <f>IF($H125="","",DATE(YEAR($H125),MONTH($H125),1))</f>
        <v/>
      </c>
      <c r="N125" s="26">
        <f>IF($H125="","",TODAY()-$H125)</f>
        <v/>
      </c>
      <c r="O125" s="15" t="n"/>
      <c r="P125" s="26">
        <f>IF($A125="","",COUNTIFS('Audit Versions'!$A$6:$A$605,$A125,'Audit Versions'!$L$6:$L$605,"Active"))</f>
        <v/>
      </c>
      <c r="Q125" s="15" t="n"/>
      <c r="R125" s="26">
        <f>IF(OR($A125="",$P125=0),"",MOD(N($Q125),$P125)+1)</f>
        <v/>
      </c>
      <c r="S125" s="15" t="n"/>
      <c r="T125" s="25" t="n"/>
      <c r="U125" s="26">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Builder'!$B$12="",N($S125)&lt;='Assignment Builder'!$B$12)))</f>
        <v/>
      </c>
      <c r="V125" s="23" t="n"/>
    </row>
    <row r="126">
      <c r="A126" s="23" t="n"/>
      <c r="B126" s="23" t="n"/>
      <c r="C126" s="24" t="n"/>
      <c r="D126" s="15" t="n"/>
      <c r="E126" s="23" t="n"/>
      <c r="F126" s="15" t="n"/>
      <c r="G126" s="23" t="n"/>
      <c r="H126" s="25" t="n"/>
      <c r="I126" s="15" t="n"/>
      <c r="J126" s="26">
        <f>IF($A126="","",LEN($C126)-LEN(SUBSTITUTE($C126,",",""))+1)</f>
        <v/>
      </c>
      <c r="K126" s="26">
        <f>IF($A126="","",SUMPRODUCT(--ISNUMBER(SEARCH('Category Dictionary'!$D$5:$D$135&amp;"",$C126)),--('Category Dictionary'!$D$5:$D$135&lt;&gt;"")))</f>
        <v/>
      </c>
      <c r="L126" s="27">
        <f>IF($A126="","",TRIM(IF(ISERROR(FIND(",",$C126)),$C126,LEFT($C126,FIND(",",$C126)-1))))</f>
        <v/>
      </c>
      <c r="M126" s="28">
        <f>IF($H126="","",DATE(YEAR($H126),MONTH($H126),1))</f>
        <v/>
      </c>
      <c r="N126" s="26">
        <f>IF($H126="","",TODAY()-$H126)</f>
        <v/>
      </c>
      <c r="O126" s="15" t="n"/>
      <c r="P126" s="26">
        <f>IF($A126="","",COUNTIFS('Audit Versions'!$A$6:$A$605,$A126,'Audit Versions'!$L$6:$L$605,"Active"))</f>
        <v/>
      </c>
      <c r="Q126" s="15" t="n"/>
      <c r="R126" s="26">
        <f>IF(OR($A126="",$P126=0),"",MOD(N($Q126),$P126)+1)</f>
        <v/>
      </c>
      <c r="S126" s="15" t="n"/>
      <c r="T126" s="25" t="n"/>
      <c r="U126" s="26">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Builder'!$B$12="",N($S126)&lt;='Assignment Builder'!$B$12)))</f>
        <v/>
      </c>
      <c r="V126" s="23" t="n"/>
    </row>
    <row r="127">
      <c r="A127" s="23" t="n"/>
      <c r="B127" s="23" t="n"/>
      <c r="C127" s="24" t="n"/>
      <c r="D127" s="15" t="n"/>
      <c r="E127" s="23" t="n"/>
      <c r="F127" s="15" t="n"/>
      <c r="G127" s="23" t="n"/>
      <c r="H127" s="25" t="n"/>
      <c r="I127" s="15" t="n"/>
      <c r="J127" s="26">
        <f>IF($A127="","",LEN($C127)-LEN(SUBSTITUTE($C127,",",""))+1)</f>
        <v/>
      </c>
      <c r="K127" s="26">
        <f>IF($A127="","",SUMPRODUCT(--ISNUMBER(SEARCH('Category Dictionary'!$D$5:$D$135&amp;"",$C127)),--('Category Dictionary'!$D$5:$D$135&lt;&gt;"")))</f>
        <v/>
      </c>
      <c r="L127" s="27">
        <f>IF($A127="","",TRIM(IF(ISERROR(FIND(",",$C127)),$C127,LEFT($C127,FIND(",",$C127)-1))))</f>
        <v/>
      </c>
      <c r="M127" s="28">
        <f>IF($H127="","",DATE(YEAR($H127),MONTH($H127),1))</f>
        <v/>
      </c>
      <c r="N127" s="26">
        <f>IF($H127="","",TODAY()-$H127)</f>
        <v/>
      </c>
      <c r="O127" s="15" t="n"/>
      <c r="P127" s="26">
        <f>IF($A127="","",COUNTIFS('Audit Versions'!$A$6:$A$605,$A127,'Audit Versions'!$L$6:$L$605,"Active"))</f>
        <v/>
      </c>
      <c r="Q127" s="15" t="n"/>
      <c r="R127" s="26">
        <f>IF(OR($A127="",$P127=0),"",MOD(N($Q127),$P127)+1)</f>
        <v/>
      </c>
      <c r="S127" s="15" t="n"/>
      <c r="T127" s="25" t="n"/>
      <c r="U127" s="26">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Builder'!$B$12="",N($S127)&lt;='Assignment Builder'!$B$12)))</f>
        <v/>
      </c>
      <c r="V127" s="23" t="n"/>
    </row>
    <row r="128">
      <c r="A128" s="23" t="n"/>
      <c r="B128" s="23" t="n"/>
      <c r="C128" s="24" t="n"/>
      <c r="D128" s="15" t="n"/>
      <c r="E128" s="23" t="n"/>
      <c r="F128" s="15" t="n"/>
      <c r="G128" s="23" t="n"/>
      <c r="H128" s="25" t="n"/>
      <c r="I128" s="15" t="n"/>
      <c r="J128" s="26">
        <f>IF($A128="","",LEN($C128)-LEN(SUBSTITUTE($C128,",",""))+1)</f>
        <v/>
      </c>
      <c r="K128" s="26">
        <f>IF($A128="","",SUMPRODUCT(--ISNUMBER(SEARCH('Category Dictionary'!$D$5:$D$135&amp;"",$C128)),--('Category Dictionary'!$D$5:$D$135&lt;&gt;"")))</f>
        <v/>
      </c>
      <c r="L128" s="27">
        <f>IF($A128="","",TRIM(IF(ISERROR(FIND(",",$C128)),$C128,LEFT($C128,FIND(",",$C128)-1))))</f>
        <v/>
      </c>
      <c r="M128" s="28">
        <f>IF($H128="","",DATE(YEAR($H128),MONTH($H128),1))</f>
        <v/>
      </c>
      <c r="N128" s="26">
        <f>IF($H128="","",TODAY()-$H128)</f>
        <v/>
      </c>
      <c r="O128" s="15" t="n"/>
      <c r="P128" s="26">
        <f>IF($A128="","",COUNTIFS('Audit Versions'!$A$6:$A$605,$A128,'Audit Versions'!$L$6:$L$605,"Active"))</f>
        <v/>
      </c>
      <c r="Q128" s="15" t="n"/>
      <c r="R128" s="26">
        <f>IF(OR($A128="",$P128=0),"",MOD(N($Q128),$P128)+1)</f>
        <v/>
      </c>
      <c r="S128" s="15" t="n"/>
      <c r="T128" s="25" t="n"/>
      <c r="U128" s="26">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Builder'!$B$12="",N($S128)&lt;='Assignment Builder'!$B$12)))</f>
        <v/>
      </c>
      <c r="V128" s="23" t="n"/>
    </row>
    <row r="129">
      <c r="A129" s="23" t="n"/>
      <c r="B129" s="23" t="n"/>
      <c r="C129" s="24" t="n"/>
      <c r="D129" s="15" t="n"/>
      <c r="E129" s="23" t="n"/>
      <c r="F129" s="15" t="n"/>
      <c r="G129" s="23" t="n"/>
      <c r="H129" s="25" t="n"/>
      <c r="I129" s="15" t="n"/>
      <c r="J129" s="26">
        <f>IF($A129="","",LEN($C129)-LEN(SUBSTITUTE($C129,",",""))+1)</f>
        <v/>
      </c>
      <c r="K129" s="26">
        <f>IF($A129="","",SUMPRODUCT(--ISNUMBER(SEARCH('Category Dictionary'!$D$5:$D$135&amp;"",$C129)),--('Category Dictionary'!$D$5:$D$135&lt;&gt;"")))</f>
        <v/>
      </c>
      <c r="L129" s="27">
        <f>IF($A129="","",TRIM(IF(ISERROR(FIND(",",$C129)),$C129,LEFT($C129,FIND(",",$C129)-1))))</f>
        <v/>
      </c>
      <c r="M129" s="28">
        <f>IF($H129="","",DATE(YEAR($H129),MONTH($H129),1))</f>
        <v/>
      </c>
      <c r="N129" s="26">
        <f>IF($H129="","",TODAY()-$H129)</f>
        <v/>
      </c>
      <c r="O129" s="15" t="n"/>
      <c r="P129" s="26">
        <f>IF($A129="","",COUNTIFS('Audit Versions'!$A$6:$A$605,$A129,'Audit Versions'!$L$6:$L$605,"Active"))</f>
        <v/>
      </c>
      <c r="Q129" s="15" t="n"/>
      <c r="R129" s="26">
        <f>IF(OR($A129="",$P129=0),"",MOD(N($Q129),$P129)+1)</f>
        <v/>
      </c>
      <c r="S129" s="15" t="n"/>
      <c r="T129" s="25" t="n"/>
      <c r="U129" s="26">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Builder'!$B$12="",N($S129)&lt;='Assignment Builder'!$B$12)))</f>
        <v/>
      </c>
      <c r="V129" s="23" t="n"/>
    </row>
    <row r="130">
      <c r="A130" s="23" t="n"/>
      <c r="B130" s="23" t="n"/>
      <c r="C130" s="24" t="n"/>
      <c r="D130" s="15" t="n"/>
      <c r="E130" s="23" t="n"/>
      <c r="F130" s="15" t="n"/>
      <c r="G130" s="23" t="n"/>
      <c r="H130" s="25" t="n"/>
      <c r="I130" s="15" t="n"/>
      <c r="J130" s="26">
        <f>IF($A130="","",LEN($C130)-LEN(SUBSTITUTE($C130,",",""))+1)</f>
        <v/>
      </c>
      <c r="K130" s="26">
        <f>IF($A130="","",SUMPRODUCT(--ISNUMBER(SEARCH('Category Dictionary'!$D$5:$D$135&amp;"",$C130)),--('Category Dictionary'!$D$5:$D$135&lt;&gt;"")))</f>
        <v/>
      </c>
      <c r="L130" s="27">
        <f>IF($A130="","",TRIM(IF(ISERROR(FIND(",",$C130)),$C130,LEFT($C130,FIND(",",$C130)-1))))</f>
        <v/>
      </c>
      <c r="M130" s="28">
        <f>IF($H130="","",DATE(YEAR($H130),MONTH($H130),1))</f>
        <v/>
      </c>
      <c r="N130" s="26">
        <f>IF($H130="","",TODAY()-$H130)</f>
        <v/>
      </c>
      <c r="O130" s="15" t="n"/>
      <c r="P130" s="26">
        <f>IF($A130="","",COUNTIFS('Audit Versions'!$A$6:$A$605,$A130,'Audit Versions'!$L$6:$L$605,"Active"))</f>
        <v/>
      </c>
      <c r="Q130" s="15" t="n"/>
      <c r="R130" s="26">
        <f>IF(OR($A130="",$P130=0),"",MOD(N($Q130),$P130)+1)</f>
        <v/>
      </c>
      <c r="S130" s="15" t="n"/>
      <c r="T130" s="25" t="n"/>
      <c r="U130" s="26">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Builder'!$B$12="",N($S130)&lt;='Assignment Builder'!$B$12)))</f>
        <v/>
      </c>
      <c r="V130" s="23" t="n"/>
    </row>
    <row r="131">
      <c r="A131" s="23" t="n"/>
      <c r="B131" s="23" t="n"/>
      <c r="C131" s="24" t="n"/>
      <c r="D131" s="15" t="n"/>
      <c r="E131" s="23" t="n"/>
      <c r="F131" s="15" t="n"/>
      <c r="G131" s="23" t="n"/>
      <c r="H131" s="25" t="n"/>
      <c r="I131" s="15" t="n"/>
      <c r="J131" s="26">
        <f>IF($A131="","",LEN($C131)-LEN(SUBSTITUTE($C131,",",""))+1)</f>
        <v/>
      </c>
      <c r="K131" s="26">
        <f>IF($A131="","",SUMPRODUCT(--ISNUMBER(SEARCH('Category Dictionary'!$D$5:$D$135&amp;"",$C131)),--('Category Dictionary'!$D$5:$D$135&lt;&gt;"")))</f>
        <v/>
      </c>
      <c r="L131" s="27">
        <f>IF($A131="","",TRIM(IF(ISERROR(FIND(",",$C131)),$C131,LEFT($C131,FIND(",",$C131)-1))))</f>
        <v/>
      </c>
      <c r="M131" s="28">
        <f>IF($H131="","",DATE(YEAR($H131),MONTH($H131),1))</f>
        <v/>
      </c>
      <c r="N131" s="26">
        <f>IF($H131="","",TODAY()-$H131)</f>
        <v/>
      </c>
      <c r="O131" s="15" t="n"/>
      <c r="P131" s="26">
        <f>IF($A131="","",COUNTIFS('Audit Versions'!$A$6:$A$605,$A131,'Audit Versions'!$L$6:$L$605,"Active"))</f>
        <v/>
      </c>
      <c r="Q131" s="15" t="n"/>
      <c r="R131" s="26">
        <f>IF(OR($A131="",$P131=0),"",MOD(N($Q131),$P131)+1)</f>
        <v/>
      </c>
      <c r="S131" s="15" t="n"/>
      <c r="T131" s="25" t="n"/>
      <c r="U131" s="26">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Builder'!$B$12="",N($S131)&lt;='Assignment Builder'!$B$12)))</f>
        <v/>
      </c>
      <c r="V131" s="23" t="n"/>
    </row>
    <row r="132">
      <c r="A132" s="23" t="n"/>
      <c r="B132" s="23" t="n"/>
      <c r="C132" s="24" t="n"/>
      <c r="D132" s="15" t="n"/>
      <c r="E132" s="23" t="n"/>
      <c r="F132" s="15" t="n"/>
      <c r="G132" s="23" t="n"/>
      <c r="H132" s="25" t="n"/>
      <c r="I132" s="15" t="n"/>
      <c r="J132" s="26">
        <f>IF($A132="","",LEN($C132)-LEN(SUBSTITUTE($C132,",",""))+1)</f>
        <v/>
      </c>
      <c r="K132" s="26">
        <f>IF($A132="","",SUMPRODUCT(--ISNUMBER(SEARCH('Category Dictionary'!$D$5:$D$135&amp;"",$C132)),--('Category Dictionary'!$D$5:$D$135&lt;&gt;"")))</f>
        <v/>
      </c>
      <c r="L132" s="27">
        <f>IF($A132="","",TRIM(IF(ISERROR(FIND(",",$C132)),$C132,LEFT($C132,FIND(",",$C132)-1))))</f>
        <v/>
      </c>
      <c r="M132" s="28">
        <f>IF($H132="","",DATE(YEAR($H132),MONTH($H132),1))</f>
        <v/>
      </c>
      <c r="N132" s="26">
        <f>IF($H132="","",TODAY()-$H132)</f>
        <v/>
      </c>
      <c r="O132" s="15" t="n"/>
      <c r="P132" s="26">
        <f>IF($A132="","",COUNTIFS('Audit Versions'!$A$6:$A$605,$A132,'Audit Versions'!$L$6:$L$605,"Active"))</f>
        <v/>
      </c>
      <c r="Q132" s="15" t="n"/>
      <c r="R132" s="26">
        <f>IF(OR($A132="",$P132=0),"",MOD(N($Q132),$P132)+1)</f>
        <v/>
      </c>
      <c r="S132" s="15" t="n"/>
      <c r="T132" s="25" t="n"/>
      <c r="U132" s="26">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Builder'!$B$12="",N($S132)&lt;='Assignment Builder'!$B$12)))</f>
        <v/>
      </c>
      <c r="V132" s="23" t="n"/>
    </row>
    <row r="133">
      <c r="A133" s="23" t="n"/>
      <c r="B133" s="23" t="n"/>
      <c r="C133" s="24" t="n"/>
      <c r="D133" s="15" t="n"/>
      <c r="E133" s="23" t="n"/>
      <c r="F133" s="15" t="n"/>
      <c r="G133" s="23" t="n"/>
      <c r="H133" s="25" t="n"/>
      <c r="I133" s="15" t="n"/>
      <c r="J133" s="26">
        <f>IF($A133="","",LEN($C133)-LEN(SUBSTITUTE($C133,",",""))+1)</f>
        <v/>
      </c>
      <c r="K133" s="26">
        <f>IF($A133="","",SUMPRODUCT(--ISNUMBER(SEARCH('Category Dictionary'!$D$5:$D$135&amp;"",$C133)),--('Category Dictionary'!$D$5:$D$135&lt;&gt;"")))</f>
        <v/>
      </c>
      <c r="L133" s="27">
        <f>IF($A133="","",TRIM(IF(ISERROR(FIND(",",$C133)),$C133,LEFT($C133,FIND(",",$C133)-1))))</f>
        <v/>
      </c>
      <c r="M133" s="28">
        <f>IF($H133="","",DATE(YEAR($H133),MONTH($H133),1))</f>
        <v/>
      </c>
      <c r="N133" s="26">
        <f>IF($H133="","",TODAY()-$H133)</f>
        <v/>
      </c>
      <c r="O133" s="15" t="n"/>
      <c r="P133" s="26">
        <f>IF($A133="","",COUNTIFS('Audit Versions'!$A$6:$A$605,$A133,'Audit Versions'!$L$6:$L$605,"Active"))</f>
        <v/>
      </c>
      <c r="Q133" s="15" t="n"/>
      <c r="R133" s="26">
        <f>IF(OR($A133="",$P133=0),"",MOD(N($Q133),$P133)+1)</f>
        <v/>
      </c>
      <c r="S133" s="15" t="n"/>
      <c r="T133" s="25" t="n"/>
      <c r="U133" s="26">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Builder'!$B$12="",N($S133)&lt;='Assignment Builder'!$B$12)))</f>
        <v/>
      </c>
      <c r="V133" s="23" t="n"/>
    </row>
    <row r="134">
      <c r="A134" s="23" t="n"/>
      <c r="B134" s="23" t="n"/>
      <c r="C134" s="24" t="n"/>
      <c r="D134" s="15" t="n"/>
      <c r="E134" s="23" t="n"/>
      <c r="F134" s="15" t="n"/>
      <c r="G134" s="23" t="n"/>
      <c r="H134" s="25" t="n"/>
      <c r="I134" s="15" t="n"/>
      <c r="J134" s="26">
        <f>IF($A134="","",LEN($C134)-LEN(SUBSTITUTE($C134,",",""))+1)</f>
        <v/>
      </c>
      <c r="K134" s="26">
        <f>IF($A134="","",SUMPRODUCT(--ISNUMBER(SEARCH('Category Dictionary'!$D$5:$D$135&amp;"",$C134)),--('Category Dictionary'!$D$5:$D$135&lt;&gt;"")))</f>
        <v/>
      </c>
      <c r="L134" s="27">
        <f>IF($A134="","",TRIM(IF(ISERROR(FIND(",",$C134)),$C134,LEFT($C134,FIND(",",$C134)-1))))</f>
        <v/>
      </c>
      <c r="M134" s="28">
        <f>IF($H134="","",DATE(YEAR($H134),MONTH($H134),1))</f>
        <v/>
      </c>
      <c r="N134" s="26">
        <f>IF($H134="","",TODAY()-$H134)</f>
        <v/>
      </c>
      <c r="O134" s="15" t="n"/>
      <c r="P134" s="26">
        <f>IF($A134="","",COUNTIFS('Audit Versions'!$A$6:$A$605,$A134,'Audit Versions'!$L$6:$L$605,"Active"))</f>
        <v/>
      </c>
      <c r="Q134" s="15" t="n"/>
      <c r="R134" s="26">
        <f>IF(OR($A134="",$P134=0),"",MOD(N($Q134),$P134)+1)</f>
        <v/>
      </c>
      <c r="S134" s="15" t="n"/>
      <c r="T134" s="25" t="n"/>
      <c r="U134" s="26">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Builder'!$B$12="",N($S134)&lt;='Assignment Builder'!$B$12)))</f>
        <v/>
      </c>
      <c r="V134" s="23" t="n"/>
    </row>
    <row r="135">
      <c r="A135" s="23" t="n"/>
      <c r="B135" s="23" t="n"/>
      <c r="C135" s="24" t="n"/>
      <c r="D135" s="15" t="n"/>
      <c r="E135" s="23" t="n"/>
      <c r="F135" s="15" t="n"/>
      <c r="G135" s="23" t="n"/>
      <c r="H135" s="25" t="n"/>
      <c r="I135" s="15" t="n"/>
      <c r="J135" s="26">
        <f>IF($A135="","",LEN($C135)-LEN(SUBSTITUTE($C135,",",""))+1)</f>
        <v/>
      </c>
      <c r="K135" s="26">
        <f>IF($A135="","",SUMPRODUCT(--ISNUMBER(SEARCH('Category Dictionary'!$D$5:$D$135&amp;"",$C135)),--('Category Dictionary'!$D$5:$D$135&lt;&gt;"")))</f>
        <v/>
      </c>
      <c r="L135" s="27">
        <f>IF($A135="","",TRIM(IF(ISERROR(FIND(",",$C135)),$C135,LEFT($C135,FIND(",",$C135)-1))))</f>
        <v/>
      </c>
      <c r="M135" s="28">
        <f>IF($H135="","",DATE(YEAR($H135),MONTH($H135),1))</f>
        <v/>
      </c>
      <c r="N135" s="26">
        <f>IF($H135="","",TODAY()-$H135)</f>
        <v/>
      </c>
      <c r="O135" s="15" t="n"/>
      <c r="P135" s="26">
        <f>IF($A135="","",COUNTIFS('Audit Versions'!$A$6:$A$605,$A135,'Audit Versions'!$L$6:$L$605,"Active"))</f>
        <v/>
      </c>
      <c r="Q135" s="15" t="n"/>
      <c r="R135" s="26">
        <f>IF(OR($A135="",$P135=0),"",MOD(N($Q135),$P135)+1)</f>
        <v/>
      </c>
      <c r="S135" s="15" t="n"/>
      <c r="T135" s="25" t="n"/>
      <c r="U135" s="26">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Builder'!$B$12="",N($S135)&lt;='Assignment Builder'!$B$12)))</f>
        <v/>
      </c>
      <c r="V135" s="23" t="n"/>
    </row>
    <row r="136">
      <c r="A136" s="23" t="n"/>
      <c r="B136" s="23" t="n"/>
      <c r="C136" s="24" t="n"/>
      <c r="D136" s="15" t="n"/>
      <c r="E136" s="23" t="n"/>
      <c r="F136" s="15" t="n"/>
      <c r="G136" s="23" t="n"/>
      <c r="H136" s="25" t="n"/>
      <c r="I136" s="15" t="n"/>
      <c r="J136" s="26">
        <f>IF($A136="","",LEN($C136)-LEN(SUBSTITUTE($C136,",",""))+1)</f>
        <v/>
      </c>
      <c r="K136" s="26">
        <f>IF($A136="","",SUMPRODUCT(--ISNUMBER(SEARCH('Category Dictionary'!$D$5:$D$135&amp;"",$C136)),--('Category Dictionary'!$D$5:$D$135&lt;&gt;"")))</f>
        <v/>
      </c>
      <c r="L136" s="27">
        <f>IF($A136="","",TRIM(IF(ISERROR(FIND(",",$C136)),$C136,LEFT($C136,FIND(",",$C136)-1))))</f>
        <v/>
      </c>
      <c r="M136" s="28">
        <f>IF($H136="","",DATE(YEAR($H136),MONTH($H136),1))</f>
        <v/>
      </c>
      <c r="N136" s="26">
        <f>IF($H136="","",TODAY()-$H136)</f>
        <v/>
      </c>
      <c r="O136" s="15" t="n"/>
      <c r="P136" s="26">
        <f>IF($A136="","",COUNTIFS('Audit Versions'!$A$6:$A$605,$A136,'Audit Versions'!$L$6:$L$605,"Active"))</f>
        <v/>
      </c>
      <c r="Q136" s="15" t="n"/>
      <c r="R136" s="26">
        <f>IF(OR($A136="",$P136=0),"",MOD(N($Q136),$P136)+1)</f>
        <v/>
      </c>
      <c r="S136" s="15" t="n"/>
      <c r="T136" s="25" t="n"/>
      <c r="U136" s="26">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Builder'!$B$12="",N($S136)&lt;='Assignment Builder'!$B$12)))</f>
        <v/>
      </c>
      <c r="V136" s="23" t="n"/>
    </row>
    <row r="137">
      <c r="A137" s="23" t="n"/>
      <c r="B137" s="23" t="n"/>
      <c r="C137" s="24" t="n"/>
      <c r="D137" s="15" t="n"/>
      <c r="E137" s="23" t="n"/>
      <c r="F137" s="15" t="n"/>
      <c r="G137" s="23" t="n"/>
      <c r="H137" s="25" t="n"/>
      <c r="I137" s="15" t="n"/>
      <c r="J137" s="26">
        <f>IF($A137="","",LEN($C137)-LEN(SUBSTITUTE($C137,",",""))+1)</f>
        <v/>
      </c>
      <c r="K137" s="26">
        <f>IF($A137="","",SUMPRODUCT(--ISNUMBER(SEARCH('Category Dictionary'!$D$5:$D$135&amp;"",$C137)),--('Category Dictionary'!$D$5:$D$135&lt;&gt;"")))</f>
        <v/>
      </c>
      <c r="L137" s="27">
        <f>IF($A137="","",TRIM(IF(ISERROR(FIND(",",$C137)),$C137,LEFT($C137,FIND(",",$C137)-1))))</f>
        <v/>
      </c>
      <c r="M137" s="28">
        <f>IF($H137="","",DATE(YEAR($H137),MONTH($H137),1))</f>
        <v/>
      </c>
      <c r="N137" s="26">
        <f>IF($H137="","",TODAY()-$H137)</f>
        <v/>
      </c>
      <c r="O137" s="15" t="n"/>
      <c r="P137" s="26">
        <f>IF($A137="","",COUNTIFS('Audit Versions'!$A$6:$A$605,$A137,'Audit Versions'!$L$6:$L$605,"Active"))</f>
        <v/>
      </c>
      <c r="Q137" s="15" t="n"/>
      <c r="R137" s="26">
        <f>IF(OR($A137="",$P137=0),"",MOD(N($Q137),$P137)+1)</f>
        <v/>
      </c>
      <c r="S137" s="15" t="n"/>
      <c r="T137" s="25" t="n"/>
      <c r="U137" s="26">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Builder'!$B$12="",N($S137)&lt;='Assignment Builder'!$B$12)))</f>
        <v/>
      </c>
      <c r="V137" s="23" t="n"/>
    </row>
    <row r="138">
      <c r="A138" s="23" t="n"/>
      <c r="B138" s="23" t="n"/>
      <c r="C138" s="24" t="n"/>
      <c r="D138" s="15" t="n"/>
      <c r="E138" s="23" t="n"/>
      <c r="F138" s="15" t="n"/>
      <c r="G138" s="23" t="n"/>
      <c r="H138" s="25" t="n"/>
      <c r="I138" s="15" t="n"/>
      <c r="J138" s="26">
        <f>IF($A138="","",LEN($C138)-LEN(SUBSTITUTE($C138,",",""))+1)</f>
        <v/>
      </c>
      <c r="K138" s="26">
        <f>IF($A138="","",SUMPRODUCT(--ISNUMBER(SEARCH('Category Dictionary'!$D$5:$D$135&amp;"",$C138)),--('Category Dictionary'!$D$5:$D$135&lt;&gt;"")))</f>
        <v/>
      </c>
      <c r="L138" s="27">
        <f>IF($A138="","",TRIM(IF(ISERROR(FIND(",",$C138)),$C138,LEFT($C138,FIND(",",$C138)-1))))</f>
        <v/>
      </c>
      <c r="M138" s="28">
        <f>IF($H138="","",DATE(YEAR($H138),MONTH($H138),1))</f>
        <v/>
      </c>
      <c r="N138" s="26">
        <f>IF($H138="","",TODAY()-$H138)</f>
        <v/>
      </c>
      <c r="O138" s="15" t="n"/>
      <c r="P138" s="26">
        <f>IF($A138="","",COUNTIFS('Audit Versions'!$A$6:$A$605,$A138,'Audit Versions'!$L$6:$L$605,"Active"))</f>
        <v/>
      </c>
      <c r="Q138" s="15" t="n"/>
      <c r="R138" s="26">
        <f>IF(OR($A138="",$P138=0),"",MOD(N($Q138),$P138)+1)</f>
        <v/>
      </c>
      <c r="S138" s="15" t="n"/>
      <c r="T138" s="25" t="n"/>
      <c r="U138" s="26">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Builder'!$B$12="",N($S138)&lt;='Assignment Builder'!$B$12)))</f>
        <v/>
      </c>
      <c r="V138" s="23" t="n"/>
    </row>
    <row r="139">
      <c r="A139" s="23" t="n"/>
      <c r="B139" s="23" t="n"/>
      <c r="C139" s="24" t="n"/>
      <c r="D139" s="15" t="n"/>
      <c r="E139" s="23" t="n"/>
      <c r="F139" s="15" t="n"/>
      <c r="G139" s="23" t="n"/>
      <c r="H139" s="25" t="n"/>
      <c r="I139" s="15" t="n"/>
      <c r="J139" s="26">
        <f>IF($A139="","",LEN($C139)-LEN(SUBSTITUTE($C139,",",""))+1)</f>
        <v/>
      </c>
      <c r="K139" s="26">
        <f>IF($A139="","",SUMPRODUCT(--ISNUMBER(SEARCH('Category Dictionary'!$D$5:$D$135&amp;"",$C139)),--('Category Dictionary'!$D$5:$D$135&lt;&gt;"")))</f>
        <v/>
      </c>
      <c r="L139" s="27">
        <f>IF($A139="","",TRIM(IF(ISERROR(FIND(",",$C139)),$C139,LEFT($C139,FIND(",",$C139)-1))))</f>
        <v/>
      </c>
      <c r="M139" s="28">
        <f>IF($H139="","",DATE(YEAR($H139),MONTH($H139),1))</f>
        <v/>
      </c>
      <c r="N139" s="26">
        <f>IF($H139="","",TODAY()-$H139)</f>
        <v/>
      </c>
      <c r="O139" s="15" t="n"/>
      <c r="P139" s="26">
        <f>IF($A139="","",COUNTIFS('Audit Versions'!$A$6:$A$605,$A139,'Audit Versions'!$L$6:$L$605,"Active"))</f>
        <v/>
      </c>
      <c r="Q139" s="15" t="n"/>
      <c r="R139" s="26">
        <f>IF(OR($A139="",$P139=0),"",MOD(N($Q139),$P139)+1)</f>
        <v/>
      </c>
      <c r="S139" s="15" t="n"/>
      <c r="T139" s="25" t="n"/>
      <c r="U139" s="26">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Builder'!$B$12="",N($S139)&lt;='Assignment Builder'!$B$12)))</f>
        <v/>
      </c>
      <c r="V139" s="23" t="n"/>
    </row>
    <row r="140">
      <c r="A140" s="23" t="n"/>
      <c r="B140" s="23" t="n"/>
      <c r="C140" s="24" t="n"/>
      <c r="D140" s="15" t="n"/>
      <c r="E140" s="23" t="n"/>
      <c r="F140" s="15" t="n"/>
      <c r="G140" s="23" t="n"/>
      <c r="H140" s="25" t="n"/>
      <c r="I140" s="15" t="n"/>
      <c r="J140" s="26">
        <f>IF($A140="","",LEN($C140)-LEN(SUBSTITUTE($C140,",",""))+1)</f>
        <v/>
      </c>
      <c r="K140" s="26">
        <f>IF($A140="","",SUMPRODUCT(--ISNUMBER(SEARCH('Category Dictionary'!$D$5:$D$135&amp;"",$C140)),--('Category Dictionary'!$D$5:$D$135&lt;&gt;"")))</f>
        <v/>
      </c>
      <c r="L140" s="27">
        <f>IF($A140="","",TRIM(IF(ISERROR(FIND(",",$C140)),$C140,LEFT($C140,FIND(",",$C140)-1))))</f>
        <v/>
      </c>
      <c r="M140" s="28">
        <f>IF($H140="","",DATE(YEAR($H140),MONTH($H140),1))</f>
        <v/>
      </c>
      <c r="N140" s="26">
        <f>IF($H140="","",TODAY()-$H140)</f>
        <v/>
      </c>
      <c r="O140" s="15" t="n"/>
      <c r="P140" s="26">
        <f>IF($A140="","",COUNTIFS('Audit Versions'!$A$6:$A$605,$A140,'Audit Versions'!$L$6:$L$605,"Active"))</f>
        <v/>
      </c>
      <c r="Q140" s="15" t="n"/>
      <c r="R140" s="26">
        <f>IF(OR($A140="",$P140=0),"",MOD(N($Q140),$P140)+1)</f>
        <v/>
      </c>
      <c r="S140" s="15" t="n"/>
      <c r="T140" s="25" t="n"/>
      <c r="U140" s="26">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Builder'!$B$12="",N($S140)&lt;='Assignment Builder'!$B$12)))</f>
        <v/>
      </c>
      <c r="V140" s="23" t="n"/>
    </row>
    <row r="141">
      <c r="A141" s="23" t="n"/>
      <c r="B141" s="23" t="n"/>
      <c r="C141" s="24" t="n"/>
      <c r="D141" s="15" t="n"/>
      <c r="E141" s="23" t="n"/>
      <c r="F141" s="15" t="n"/>
      <c r="G141" s="23" t="n"/>
      <c r="H141" s="25" t="n"/>
      <c r="I141" s="15" t="n"/>
      <c r="J141" s="26">
        <f>IF($A141="","",LEN($C141)-LEN(SUBSTITUTE($C141,",",""))+1)</f>
        <v/>
      </c>
      <c r="K141" s="26">
        <f>IF($A141="","",SUMPRODUCT(--ISNUMBER(SEARCH('Category Dictionary'!$D$5:$D$135&amp;"",$C141)),--('Category Dictionary'!$D$5:$D$135&lt;&gt;"")))</f>
        <v/>
      </c>
      <c r="L141" s="27">
        <f>IF($A141="","",TRIM(IF(ISERROR(FIND(",",$C141)),$C141,LEFT($C141,FIND(",",$C141)-1))))</f>
        <v/>
      </c>
      <c r="M141" s="28">
        <f>IF($H141="","",DATE(YEAR($H141),MONTH($H141),1))</f>
        <v/>
      </c>
      <c r="N141" s="26">
        <f>IF($H141="","",TODAY()-$H141)</f>
        <v/>
      </c>
      <c r="O141" s="15" t="n"/>
      <c r="P141" s="26">
        <f>IF($A141="","",COUNTIFS('Audit Versions'!$A$6:$A$605,$A141,'Audit Versions'!$L$6:$L$605,"Active"))</f>
        <v/>
      </c>
      <c r="Q141" s="15" t="n"/>
      <c r="R141" s="26">
        <f>IF(OR($A141="",$P141=0),"",MOD(N($Q141),$P141)+1)</f>
        <v/>
      </c>
      <c r="S141" s="15" t="n"/>
      <c r="T141" s="25" t="n"/>
      <c r="U141" s="26">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Builder'!$B$12="",N($S141)&lt;='Assignment Builder'!$B$12)))</f>
        <v/>
      </c>
      <c r="V141" s="23" t="n"/>
    </row>
    <row r="142">
      <c r="A142" s="23" t="n"/>
      <c r="B142" s="23" t="n"/>
      <c r="C142" s="24" t="n"/>
      <c r="D142" s="15" t="n"/>
      <c r="E142" s="23" t="n"/>
      <c r="F142" s="15" t="n"/>
      <c r="G142" s="23" t="n"/>
      <c r="H142" s="25" t="n"/>
      <c r="I142" s="15" t="n"/>
      <c r="J142" s="26">
        <f>IF($A142="","",LEN($C142)-LEN(SUBSTITUTE($C142,",",""))+1)</f>
        <v/>
      </c>
      <c r="K142" s="26">
        <f>IF($A142="","",SUMPRODUCT(--ISNUMBER(SEARCH('Category Dictionary'!$D$5:$D$135&amp;"",$C142)),--('Category Dictionary'!$D$5:$D$135&lt;&gt;"")))</f>
        <v/>
      </c>
      <c r="L142" s="27">
        <f>IF($A142="","",TRIM(IF(ISERROR(FIND(",",$C142)),$C142,LEFT($C142,FIND(",",$C142)-1))))</f>
        <v/>
      </c>
      <c r="M142" s="28">
        <f>IF($H142="","",DATE(YEAR($H142),MONTH($H142),1))</f>
        <v/>
      </c>
      <c r="N142" s="26">
        <f>IF($H142="","",TODAY()-$H142)</f>
        <v/>
      </c>
      <c r="O142" s="15" t="n"/>
      <c r="P142" s="26">
        <f>IF($A142="","",COUNTIFS('Audit Versions'!$A$6:$A$605,$A142,'Audit Versions'!$L$6:$L$605,"Active"))</f>
        <v/>
      </c>
      <c r="Q142" s="15" t="n"/>
      <c r="R142" s="26">
        <f>IF(OR($A142="",$P142=0),"",MOD(N($Q142),$P142)+1)</f>
        <v/>
      </c>
      <c r="S142" s="15" t="n"/>
      <c r="T142" s="25" t="n"/>
      <c r="U142" s="26">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Builder'!$B$12="",N($S142)&lt;='Assignment Builder'!$B$12)))</f>
        <v/>
      </c>
      <c r="V142" s="23" t="n"/>
    </row>
    <row r="143">
      <c r="A143" s="23" t="n"/>
      <c r="B143" s="23" t="n"/>
      <c r="C143" s="24" t="n"/>
      <c r="D143" s="15" t="n"/>
      <c r="E143" s="23" t="n"/>
      <c r="F143" s="15" t="n"/>
      <c r="G143" s="23" t="n"/>
      <c r="H143" s="25" t="n"/>
      <c r="I143" s="15" t="n"/>
      <c r="J143" s="26">
        <f>IF($A143="","",LEN($C143)-LEN(SUBSTITUTE($C143,",",""))+1)</f>
        <v/>
      </c>
      <c r="K143" s="26">
        <f>IF($A143="","",SUMPRODUCT(--ISNUMBER(SEARCH('Category Dictionary'!$D$5:$D$135&amp;"",$C143)),--('Category Dictionary'!$D$5:$D$135&lt;&gt;"")))</f>
        <v/>
      </c>
      <c r="L143" s="27">
        <f>IF($A143="","",TRIM(IF(ISERROR(FIND(",",$C143)),$C143,LEFT($C143,FIND(",",$C143)-1))))</f>
        <v/>
      </c>
      <c r="M143" s="28">
        <f>IF($H143="","",DATE(YEAR($H143),MONTH($H143),1))</f>
        <v/>
      </c>
      <c r="N143" s="26">
        <f>IF($H143="","",TODAY()-$H143)</f>
        <v/>
      </c>
      <c r="O143" s="15" t="n"/>
      <c r="P143" s="26">
        <f>IF($A143="","",COUNTIFS('Audit Versions'!$A$6:$A$605,$A143,'Audit Versions'!$L$6:$L$605,"Active"))</f>
        <v/>
      </c>
      <c r="Q143" s="15" t="n"/>
      <c r="R143" s="26">
        <f>IF(OR($A143="",$P143=0),"",MOD(N($Q143),$P143)+1)</f>
        <v/>
      </c>
      <c r="S143" s="15" t="n"/>
      <c r="T143" s="25" t="n"/>
      <c r="U143" s="26">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Builder'!$B$12="",N($S143)&lt;='Assignment Builder'!$B$12)))</f>
        <v/>
      </c>
      <c r="V143" s="23" t="n"/>
    </row>
    <row r="144">
      <c r="A144" s="23" t="n"/>
      <c r="B144" s="23" t="n"/>
      <c r="C144" s="24" t="n"/>
      <c r="D144" s="15" t="n"/>
      <c r="E144" s="23" t="n"/>
      <c r="F144" s="15" t="n"/>
      <c r="G144" s="23" t="n"/>
      <c r="H144" s="25" t="n"/>
      <c r="I144" s="15" t="n"/>
      <c r="J144" s="26">
        <f>IF($A144="","",LEN($C144)-LEN(SUBSTITUTE($C144,",",""))+1)</f>
        <v/>
      </c>
      <c r="K144" s="26">
        <f>IF($A144="","",SUMPRODUCT(--ISNUMBER(SEARCH('Category Dictionary'!$D$5:$D$135&amp;"",$C144)),--('Category Dictionary'!$D$5:$D$135&lt;&gt;"")))</f>
        <v/>
      </c>
      <c r="L144" s="27">
        <f>IF($A144="","",TRIM(IF(ISERROR(FIND(",",$C144)),$C144,LEFT($C144,FIND(",",$C144)-1))))</f>
        <v/>
      </c>
      <c r="M144" s="28">
        <f>IF($H144="","",DATE(YEAR($H144),MONTH($H144),1))</f>
        <v/>
      </c>
      <c r="N144" s="26">
        <f>IF($H144="","",TODAY()-$H144)</f>
        <v/>
      </c>
      <c r="O144" s="15" t="n"/>
      <c r="P144" s="26">
        <f>IF($A144="","",COUNTIFS('Audit Versions'!$A$6:$A$605,$A144,'Audit Versions'!$L$6:$L$605,"Active"))</f>
        <v/>
      </c>
      <c r="Q144" s="15" t="n"/>
      <c r="R144" s="26">
        <f>IF(OR($A144="",$P144=0),"",MOD(N($Q144),$P144)+1)</f>
        <v/>
      </c>
      <c r="S144" s="15" t="n"/>
      <c r="T144" s="25" t="n"/>
      <c r="U144" s="26">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Builder'!$B$12="",N($S144)&lt;='Assignment Builder'!$B$12)))</f>
        <v/>
      </c>
      <c r="V144" s="23" t="n"/>
    </row>
    <row r="145">
      <c r="A145" s="23" t="n"/>
      <c r="B145" s="23" t="n"/>
      <c r="C145" s="24" t="n"/>
      <c r="D145" s="15" t="n"/>
      <c r="E145" s="23" t="n"/>
      <c r="F145" s="15" t="n"/>
      <c r="G145" s="23" t="n"/>
      <c r="H145" s="25" t="n"/>
      <c r="I145" s="15" t="n"/>
      <c r="J145" s="26">
        <f>IF($A145="","",LEN($C145)-LEN(SUBSTITUTE($C145,",",""))+1)</f>
        <v/>
      </c>
      <c r="K145" s="26">
        <f>IF($A145="","",SUMPRODUCT(--ISNUMBER(SEARCH('Category Dictionary'!$D$5:$D$135&amp;"",$C145)),--('Category Dictionary'!$D$5:$D$135&lt;&gt;"")))</f>
        <v/>
      </c>
      <c r="L145" s="27">
        <f>IF($A145="","",TRIM(IF(ISERROR(FIND(",",$C145)),$C145,LEFT($C145,FIND(",",$C145)-1))))</f>
        <v/>
      </c>
      <c r="M145" s="28">
        <f>IF($H145="","",DATE(YEAR($H145),MONTH($H145),1))</f>
        <v/>
      </c>
      <c r="N145" s="26">
        <f>IF($H145="","",TODAY()-$H145)</f>
        <v/>
      </c>
      <c r="O145" s="15" t="n"/>
      <c r="P145" s="26">
        <f>IF($A145="","",COUNTIFS('Audit Versions'!$A$6:$A$605,$A145,'Audit Versions'!$L$6:$L$605,"Active"))</f>
        <v/>
      </c>
      <c r="Q145" s="15" t="n"/>
      <c r="R145" s="26">
        <f>IF(OR($A145="",$P145=0),"",MOD(N($Q145),$P145)+1)</f>
        <v/>
      </c>
      <c r="S145" s="15" t="n"/>
      <c r="T145" s="25" t="n"/>
      <c r="U145" s="26">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Builder'!$B$12="",N($S145)&lt;='Assignment Builder'!$B$12)))</f>
        <v/>
      </c>
      <c r="V145" s="23" t="n"/>
    </row>
    <row r="146">
      <c r="A146" s="23" t="n"/>
      <c r="B146" s="23" t="n"/>
      <c r="C146" s="24" t="n"/>
      <c r="D146" s="15" t="n"/>
      <c r="E146" s="23" t="n"/>
      <c r="F146" s="15" t="n"/>
      <c r="G146" s="23" t="n"/>
      <c r="H146" s="25" t="n"/>
      <c r="I146" s="15" t="n"/>
      <c r="J146" s="26">
        <f>IF($A146="","",LEN($C146)-LEN(SUBSTITUTE($C146,",",""))+1)</f>
        <v/>
      </c>
      <c r="K146" s="26">
        <f>IF($A146="","",SUMPRODUCT(--ISNUMBER(SEARCH('Category Dictionary'!$D$5:$D$135&amp;"",$C146)),--('Category Dictionary'!$D$5:$D$135&lt;&gt;"")))</f>
        <v/>
      </c>
      <c r="L146" s="27">
        <f>IF($A146="","",TRIM(IF(ISERROR(FIND(",",$C146)),$C146,LEFT($C146,FIND(",",$C146)-1))))</f>
        <v/>
      </c>
      <c r="M146" s="28">
        <f>IF($H146="","",DATE(YEAR($H146),MONTH($H146),1))</f>
        <v/>
      </c>
      <c r="N146" s="26">
        <f>IF($H146="","",TODAY()-$H146)</f>
        <v/>
      </c>
      <c r="O146" s="15" t="n"/>
      <c r="P146" s="26">
        <f>IF($A146="","",COUNTIFS('Audit Versions'!$A$6:$A$605,$A146,'Audit Versions'!$L$6:$L$605,"Active"))</f>
        <v/>
      </c>
      <c r="Q146" s="15" t="n"/>
      <c r="R146" s="26">
        <f>IF(OR($A146="",$P146=0),"",MOD(N($Q146),$P146)+1)</f>
        <v/>
      </c>
      <c r="S146" s="15" t="n"/>
      <c r="T146" s="25" t="n"/>
      <c r="U146" s="26">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Builder'!$B$12="",N($S146)&lt;='Assignment Builder'!$B$12)))</f>
        <v/>
      </c>
      <c r="V146" s="23" t="n"/>
    </row>
    <row r="147">
      <c r="A147" s="23" t="n"/>
      <c r="B147" s="23" t="n"/>
      <c r="C147" s="24" t="n"/>
      <c r="D147" s="15" t="n"/>
      <c r="E147" s="23" t="n"/>
      <c r="F147" s="15" t="n"/>
      <c r="G147" s="23" t="n"/>
      <c r="H147" s="25" t="n"/>
      <c r="I147" s="15" t="n"/>
      <c r="J147" s="26">
        <f>IF($A147="","",LEN($C147)-LEN(SUBSTITUTE($C147,",",""))+1)</f>
        <v/>
      </c>
      <c r="K147" s="26">
        <f>IF($A147="","",SUMPRODUCT(--ISNUMBER(SEARCH('Category Dictionary'!$D$5:$D$135&amp;"",$C147)),--('Category Dictionary'!$D$5:$D$135&lt;&gt;"")))</f>
        <v/>
      </c>
      <c r="L147" s="27">
        <f>IF($A147="","",TRIM(IF(ISERROR(FIND(",",$C147)),$C147,LEFT($C147,FIND(",",$C147)-1))))</f>
        <v/>
      </c>
      <c r="M147" s="28">
        <f>IF($H147="","",DATE(YEAR($H147),MONTH($H147),1))</f>
        <v/>
      </c>
      <c r="N147" s="26">
        <f>IF($H147="","",TODAY()-$H147)</f>
        <v/>
      </c>
      <c r="O147" s="15" t="n"/>
      <c r="P147" s="26">
        <f>IF($A147="","",COUNTIFS('Audit Versions'!$A$6:$A$605,$A147,'Audit Versions'!$L$6:$L$605,"Active"))</f>
        <v/>
      </c>
      <c r="Q147" s="15" t="n"/>
      <c r="R147" s="26">
        <f>IF(OR($A147="",$P147=0),"",MOD(N($Q147),$P147)+1)</f>
        <v/>
      </c>
      <c r="S147" s="15" t="n"/>
      <c r="T147" s="25" t="n"/>
      <c r="U147" s="26">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Builder'!$B$12="",N($S147)&lt;='Assignment Builder'!$B$12)))</f>
        <v/>
      </c>
      <c r="V147" s="23" t="n"/>
    </row>
    <row r="148">
      <c r="A148" s="23" t="n"/>
      <c r="B148" s="23" t="n"/>
      <c r="C148" s="24" t="n"/>
      <c r="D148" s="15" t="n"/>
      <c r="E148" s="23" t="n"/>
      <c r="F148" s="15" t="n"/>
      <c r="G148" s="23" t="n"/>
      <c r="H148" s="25" t="n"/>
      <c r="I148" s="15" t="n"/>
      <c r="J148" s="26">
        <f>IF($A148="","",LEN($C148)-LEN(SUBSTITUTE($C148,",",""))+1)</f>
        <v/>
      </c>
      <c r="K148" s="26">
        <f>IF($A148="","",SUMPRODUCT(--ISNUMBER(SEARCH('Category Dictionary'!$D$5:$D$135&amp;"",$C148)),--('Category Dictionary'!$D$5:$D$135&lt;&gt;"")))</f>
        <v/>
      </c>
      <c r="L148" s="27">
        <f>IF($A148="","",TRIM(IF(ISERROR(FIND(",",$C148)),$C148,LEFT($C148,FIND(",",$C148)-1))))</f>
        <v/>
      </c>
      <c r="M148" s="28">
        <f>IF($H148="","",DATE(YEAR($H148),MONTH($H148),1))</f>
        <v/>
      </c>
      <c r="N148" s="26">
        <f>IF($H148="","",TODAY()-$H148)</f>
        <v/>
      </c>
      <c r="O148" s="15" t="n"/>
      <c r="P148" s="26">
        <f>IF($A148="","",COUNTIFS('Audit Versions'!$A$6:$A$605,$A148,'Audit Versions'!$L$6:$L$605,"Active"))</f>
        <v/>
      </c>
      <c r="Q148" s="15" t="n"/>
      <c r="R148" s="26">
        <f>IF(OR($A148="",$P148=0),"",MOD(N($Q148),$P148)+1)</f>
        <v/>
      </c>
      <c r="S148" s="15" t="n"/>
      <c r="T148" s="25" t="n"/>
      <c r="U148" s="26">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Builder'!$B$12="",N($S148)&lt;='Assignment Builder'!$B$12)))</f>
        <v/>
      </c>
      <c r="V148" s="23" t="n"/>
    </row>
    <row r="149">
      <c r="A149" s="23" t="n"/>
      <c r="B149" s="23" t="n"/>
      <c r="C149" s="24" t="n"/>
      <c r="D149" s="15" t="n"/>
      <c r="E149" s="23" t="n"/>
      <c r="F149" s="15" t="n"/>
      <c r="G149" s="23" t="n"/>
      <c r="H149" s="25" t="n"/>
      <c r="I149" s="15" t="n"/>
      <c r="J149" s="26">
        <f>IF($A149="","",LEN($C149)-LEN(SUBSTITUTE($C149,",",""))+1)</f>
        <v/>
      </c>
      <c r="K149" s="26">
        <f>IF($A149="","",SUMPRODUCT(--ISNUMBER(SEARCH('Category Dictionary'!$D$5:$D$135&amp;"",$C149)),--('Category Dictionary'!$D$5:$D$135&lt;&gt;"")))</f>
        <v/>
      </c>
      <c r="L149" s="27">
        <f>IF($A149="","",TRIM(IF(ISERROR(FIND(",",$C149)),$C149,LEFT($C149,FIND(",",$C149)-1))))</f>
        <v/>
      </c>
      <c r="M149" s="28">
        <f>IF($H149="","",DATE(YEAR($H149),MONTH($H149),1))</f>
        <v/>
      </c>
      <c r="N149" s="26">
        <f>IF($H149="","",TODAY()-$H149)</f>
        <v/>
      </c>
      <c r="O149" s="15" t="n"/>
      <c r="P149" s="26">
        <f>IF($A149="","",COUNTIFS('Audit Versions'!$A$6:$A$605,$A149,'Audit Versions'!$L$6:$L$605,"Active"))</f>
        <v/>
      </c>
      <c r="Q149" s="15" t="n"/>
      <c r="R149" s="26">
        <f>IF(OR($A149="",$P149=0),"",MOD(N($Q149),$P149)+1)</f>
        <v/>
      </c>
      <c r="S149" s="15" t="n"/>
      <c r="T149" s="25" t="n"/>
      <c r="U149" s="26">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Builder'!$B$12="",N($S149)&lt;='Assignment Builder'!$B$12)))</f>
        <v/>
      </c>
      <c r="V149" s="23" t="n"/>
    </row>
    <row r="150">
      <c r="A150" s="23" t="n"/>
      <c r="B150" s="23" t="n"/>
      <c r="C150" s="24" t="n"/>
      <c r="D150" s="15" t="n"/>
      <c r="E150" s="23" t="n"/>
      <c r="F150" s="15" t="n"/>
      <c r="G150" s="23" t="n"/>
      <c r="H150" s="25" t="n"/>
      <c r="I150" s="15" t="n"/>
      <c r="J150" s="26">
        <f>IF($A150="","",LEN($C150)-LEN(SUBSTITUTE($C150,",",""))+1)</f>
        <v/>
      </c>
      <c r="K150" s="26">
        <f>IF($A150="","",SUMPRODUCT(--ISNUMBER(SEARCH('Category Dictionary'!$D$5:$D$135&amp;"",$C150)),--('Category Dictionary'!$D$5:$D$135&lt;&gt;"")))</f>
        <v/>
      </c>
      <c r="L150" s="27">
        <f>IF($A150="","",TRIM(IF(ISERROR(FIND(",",$C150)),$C150,LEFT($C150,FIND(",",$C150)-1))))</f>
        <v/>
      </c>
      <c r="M150" s="28">
        <f>IF($H150="","",DATE(YEAR($H150),MONTH($H150),1))</f>
        <v/>
      </c>
      <c r="N150" s="26">
        <f>IF($H150="","",TODAY()-$H150)</f>
        <v/>
      </c>
      <c r="O150" s="15" t="n"/>
      <c r="P150" s="26">
        <f>IF($A150="","",COUNTIFS('Audit Versions'!$A$6:$A$605,$A150,'Audit Versions'!$L$6:$L$605,"Active"))</f>
        <v/>
      </c>
      <c r="Q150" s="15" t="n"/>
      <c r="R150" s="26">
        <f>IF(OR($A150="",$P150=0),"",MOD(N($Q150),$P150)+1)</f>
        <v/>
      </c>
      <c r="S150" s="15" t="n"/>
      <c r="T150" s="25" t="n"/>
      <c r="U150" s="26">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Builder'!$B$12="",N($S150)&lt;='Assignment Builder'!$B$12)))</f>
        <v/>
      </c>
      <c r="V150" s="23" t="n"/>
    </row>
    <row r="151">
      <c r="A151" s="23" t="n"/>
      <c r="B151" s="23" t="n"/>
      <c r="C151" s="24" t="n"/>
      <c r="D151" s="15" t="n"/>
      <c r="E151" s="23" t="n"/>
      <c r="F151" s="15" t="n"/>
      <c r="G151" s="23" t="n"/>
      <c r="H151" s="25" t="n"/>
      <c r="I151" s="15" t="n"/>
      <c r="J151" s="26">
        <f>IF($A151="","",LEN($C151)-LEN(SUBSTITUTE($C151,",",""))+1)</f>
        <v/>
      </c>
      <c r="K151" s="26">
        <f>IF($A151="","",SUMPRODUCT(--ISNUMBER(SEARCH('Category Dictionary'!$D$5:$D$135&amp;"",$C151)),--('Category Dictionary'!$D$5:$D$135&lt;&gt;"")))</f>
        <v/>
      </c>
      <c r="L151" s="27">
        <f>IF($A151="","",TRIM(IF(ISERROR(FIND(",",$C151)),$C151,LEFT($C151,FIND(",",$C151)-1))))</f>
        <v/>
      </c>
      <c r="M151" s="28">
        <f>IF($H151="","",DATE(YEAR($H151),MONTH($H151),1))</f>
        <v/>
      </c>
      <c r="N151" s="26">
        <f>IF($H151="","",TODAY()-$H151)</f>
        <v/>
      </c>
      <c r="O151" s="15" t="n"/>
      <c r="P151" s="26">
        <f>IF($A151="","",COUNTIFS('Audit Versions'!$A$6:$A$605,$A151,'Audit Versions'!$L$6:$L$605,"Active"))</f>
        <v/>
      </c>
      <c r="Q151" s="15" t="n"/>
      <c r="R151" s="26">
        <f>IF(OR($A151="",$P151=0),"",MOD(N($Q151),$P151)+1)</f>
        <v/>
      </c>
      <c r="S151" s="15" t="n"/>
      <c r="T151" s="25" t="n"/>
      <c r="U151" s="26">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Builder'!$B$12="",N($S151)&lt;='Assignment Builder'!$B$12)))</f>
        <v/>
      </c>
      <c r="V151" s="23" t="n"/>
    </row>
    <row r="152">
      <c r="A152" s="23" t="n"/>
      <c r="B152" s="23" t="n"/>
      <c r="C152" s="24" t="n"/>
      <c r="D152" s="15" t="n"/>
      <c r="E152" s="23" t="n"/>
      <c r="F152" s="15" t="n"/>
      <c r="G152" s="23" t="n"/>
      <c r="H152" s="25" t="n"/>
      <c r="I152" s="15" t="n"/>
      <c r="J152" s="26">
        <f>IF($A152="","",LEN($C152)-LEN(SUBSTITUTE($C152,",",""))+1)</f>
        <v/>
      </c>
      <c r="K152" s="26">
        <f>IF($A152="","",SUMPRODUCT(--ISNUMBER(SEARCH('Category Dictionary'!$D$5:$D$135&amp;"",$C152)),--('Category Dictionary'!$D$5:$D$135&lt;&gt;"")))</f>
        <v/>
      </c>
      <c r="L152" s="27">
        <f>IF($A152="","",TRIM(IF(ISERROR(FIND(",",$C152)),$C152,LEFT($C152,FIND(",",$C152)-1))))</f>
        <v/>
      </c>
      <c r="M152" s="28">
        <f>IF($H152="","",DATE(YEAR($H152),MONTH($H152),1))</f>
        <v/>
      </c>
      <c r="N152" s="26">
        <f>IF($H152="","",TODAY()-$H152)</f>
        <v/>
      </c>
      <c r="O152" s="15" t="n"/>
      <c r="P152" s="26">
        <f>IF($A152="","",COUNTIFS('Audit Versions'!$A$6:$A$605,$A152,'Audit Versions'!$L$6:$L$605,"Active"))</f>
        <v/>
      </c>
      <c r="Q152" s="15" t="n"/>
      <c r="R152" s="26">
        <f>IF(OR($A152="",$P152=0),"",MOD(N($Q152),$P152)+1)</f>
        <v/>
      </c>
      <c r="S152" s="15" t="n"/>
      <c r="T152" s="25" t="n"/>
      <c r="U152" s="26">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Builder'!$B$12="",N($S152)&lt;='Assignment Builder'!$B$12)))</f>
        <v/>
      </c>
      <c r="V152" s="23" t="n"/>
    </row>
    <row r="153">
      <c r="A153" s="23" t="n"/>
      <c r="B153" s="23" t="n"/>
      <c r="C153" s="24" t="n"/>
      <c r="D153" s="15" t="n"/>
      <c r="E153" s="23" t="n"/>
      <c r="F153" s="15" t="n"/>
      <c r="G153" s="23" t="n"/>
      <c r="H153" s="25" t="n"/>
      <c r="I153" s="15" t="n"/>
      <c r="J153" s="26">
        <f>IF($A153="","",LEN($C153)-LEN(SUBSTITUTE($C153,",",""))+1)</f>
        <v/>
      </c>
      <c r="K153" s="26">
        <f>IF($A153="","",SUMPRODUCT(--ISNUMBER(SEARCH('Category Dictionary'!$D$5:$D$135&amp;"",$C153)),--('Category Dictionary'!$D$5:$D$135&lt;&gt;"")))</f>
        <v/>
      </c>
      <c r="L153" s="27">
        <f>IF($A153="","",TRIM(IF(ISERROR(FIND(",",$C153)),$C153,LEFT($C153,FIND(",",$C153)-1))))</f>
        <v/>
      </c>
      <c r="M153" s="28">
        <f>IF($H153="","",DATE(YEAR($H153),MONTH($H153),1))</f>
        <v/>
      </c>
      <c r="N153" s="26">
        <f>IF($H153="","",TODAY()-$H153)</f>
        <v/>
      </c>
      <c r="O153" s="15" t="n"/>
      <c r="P153" s="26">
        <f>IF($A153="","",COUNTIFS('Audit Versions'!$A$6:$A$605,$A153,'Audit Versions'!$L$6:$L$605,"Active"))</f>
        <v/>
      </c>
      <c r="Q153" s="15" t="n"/>
      <c r="R153" s="26">
        <f>IF(OR($A153="",$P153=0),"",MOD(N($Q153),$P153)+1)</f>
        <v/>
      </c>
      <c r="S153" s="15" t="n"/>
      <c r="T153" s="25" t="n"/>
      <c r="U153" s="26">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Builder'!$B$12="",N($S153)&lt;='Assignment Builder'!$B$12)))</f>
        <v/>
      </c>
      <c r="V153" s="23" t="n"/>
    </row>
    <row r="154">
      <c r="A154" s="23" t="n"/>
      <c r="B154" s="23" t="n"/>
      <c r="C154" s="24" t="n"/>
      <c r="D154" s="15" t="n"/>
      <c r="E154" s="23" t="n"/>
      <c r="F154" s="15" t="n"/>
      <c r="G154" s="23" t="n"/>
      <c r="H154" s="25" t="n"/>
      <c r="I154" s="15" t="n"/>
      <c r="J154" s="26">
        <f>IF($A154="","",LEN($C154)-LEN(SUBSTITUTE($C154,",",""))+1)</f>
        <v/>
      </c>
      <c r="K154" s="26">
        <f>IF($A154="","",SUMPRODUCT(--ISNUMBER(SEARCH('Category Dictionary'!$D$5:$D$135&amp;"",$C154)),--('Category Dictionary'!$D$5:$D$135&lt;&gt;"")))</f>
        <v/>
      </c>
      <c r="L154" s="27">
        <f>IF($A154="","",TRIM(IF(ISERROR(FIND(",",$C154)),$C154,LEFT($C154,FIND(",",$C154)-1))))</f>
        <v/>
      </c>
      <c r="M154" s="28">
        <f>IF($H154="","",DATE(YEAR($H154),MONTH($H154),1))</f>
        <v/>
      </c>
      <c r="N154" s="26">
        <f>IF($H154="","",TODAY()-$H154)</f>
        <v/>
      </c>
      <c r="O154" s="15" t="n"/>
      <c r="P154" s="26">
        <f>IF($A154="","",COUNTIFS('Audit Versions'!$A$6:$A$605,$A154,'Audit Versions'!$L$6:$L$605,"Active"))</f>
        <v/>
      </c>
      <c r="Q154" s="15" t="n"/>
      <c r="R154" s="26">
        <f>IF(OR($A154="",$P154=0),"",MOD(N($Q154),$P154)+1)</f>
        <v/>
      </c>
      <c r="S154" s="15" t="n"/>
      <c r="T154" s="25" t="n"/>
      <c r="U154" s="26">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Builder'!$B$12="",N($S154)&lt;='Assignment Builder'!$B$12)))</f>
        <v/>
      </c>
      <c r="V154" s="23" t="n"/>
    </row>
    <row r="155">
      <c r="A155" s="23" t="n"/>
      <c r="B155" s="23" t="n"/>
      <c r="C155" s="24" t="n"/>
      <c r="D155" s="15" t="n"/>
      <c r="E155" s="23" t="n"/>
      <c r="F155" s="15" t="n"/>
      <c r="G155" s="23" t="n"/>
      <c r="H155" s="25" t="n"/>
      <c r="I155" s="15" t="n"/>
      <c r="J155" s="26">
        <f>IF($A155="","",LEN($C155)-LEN(SUBSTITUTE($C155,",",""))+1)</f>
        <v/>
      </c>
      <c r="K155" s="26">
        <f>IF($A155="","",SUMPRODUCT(--ISNUMBER(SEARCH('Category Dictionary'!$D$5:$D$135&amp;"",$C155)),--('Category Dictionary'!$D$5:$D$135&lt;&gt;"")))</f>
        <v/>
      </c>
      <c r="L155" s="27">
        <f>IF($A155="","",TRIM(IF(ISERROR(FIND(",",$C155)),$C155,LEFT($C155,FIND(",",$C155)-1))))</f>
        <v/>
      </c>
      <c r="M155" s="28">
        <f>IF($H155="","",DATE(YEAR($H155),MONTH($H155),1))</f>
        <v/>
      </c>
      <c r="N155" s="26">
        <f>IF($H155="","",TODAY()-$H155)</f>
        <v/>
      </c>
      <c r="O155" s="15" t="n"/>
      <c r="P155" s="26">
        <f>IF($A155="","",COUNTIFS('Audit Versions'!$A$6:$A$605,$A155,'Audit Versions'!$L$6:$L$605,"Active"))</f>
        <v/>
      </c>
      <c r="Q155" s="15" t="n"/>
      <c r="R155" s="26">
        <f>IF(OR($A155="",$P155=0),"",MOD(N($Q155),$P155)+1)</f>
        <v/>
      </c>
      <c r="S155" s="15" t="n"/>
      <c r="T155" s="25" t="n"/>
      <c r="U155" s="26">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Builder'!$B$12="",N($S155)&lt;='Assignment Builder'!$B$12)))</f>
        <v/>
      </c>
      <c r="V155" s="23" t="n"/>
    </row>
    <row r="156">
      <c r="A156" s="23" t="n"/>
      <c r="B156" s="23" t="n"/>
      <c r="C156" s="24" t="n"/>
      <c r="D156" s="15" t="n"/>
      <c r="E156" s="23" t="n"/>
      <c r="F156" s="15" t="n"/>
      <c r="G156" s="23" t="n"/>
      <c r="H156" s="25" t="n"/>
      <c r="I156" s="15" t="n"/>
      <c r="J156" s="26">
        <f>IF($A156="","",LEN($C156)-LEN(SUBSTITUTE($C156,",",""))+1)</f>
        <v/>
      </c>
      <c r="K156" s="26">
        <f>IF($A156="","",SUMPRODUCT(--ISNUMBER(SEARCH('Category Dictionary'!$D$5:$D$135&amp;"",$C156)),--('Category Dictionary'!$D$5:$D$135&lt;&gt;"")))</f>
        <v/>
      </c>
      <c r="L156" s="27">
        <f>IF($A156="","",TRIM(IF(ISERROR(FIND(",",$C156)),$C156,LEFT($C156,FIND(",",$C156)-1))))</f>
        <v/>
      </c>
      <c r="M156" s="28">
        <f>IF($H156="","",DATE(YEAR($H156),MONTH($H156),1))</f>
        <v/>
      </c>
      <c r="N156" s="26">
        <f>IF($H156="","",TODAY()-$H156)</f>
        <v/>
      </c>
      <c r="O156" s="15" t="n"/>
      <c r="P156" s="26">
        <f>IF($A156="","",COUNTIFS('Audit Versions'!$A$6:$A$605,$A156,'Audit Versions'!$L$6:$L$605,"Active"))</f>
        <v/>
      </c>
      <c r="Q156" s="15" t="n"/>
      <c r="R156" s="26">
        <f>IF(OR($A156="",$P156=0),"",MOD(N($Q156),$P156)+1)</f>
        <v/>
      </c>
      <c r="S156" s="15" t="n"/>
      <c r="T156" s="25" t="n"/>
      <c r="U156" s="26">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Builder'!$B$12="",N($S156)&lt;='Assignment Builder'!$B$12)))</f>
        <v/>
      </c>
      <c r="V156" s="23" t="n"/>
    </row>
    <row r="157">
      <c r="A157" s="23" t="n"/>
      <c r="B157" s="23" t="n"/>
      <c r="C157" s="24" t="n"/>
      <c r="D157" s="15" t="n"/>
      <c r="E157" s="23" t="n"/>
      <c r="F157" s="15" t="n"/>
      <c r="G157" s="23" t="n"/>
      <c r="H157" s="25" t="n"/>
      <c r="I157" s="15" t="n"/>
      <c r="J157" s="26">
        <f>IF($A157="","",LEN($C157)-LEN(SUBSTITUTE($C157,",",""))+1)</f>
        <v/>
      </c>
      <c r="K157" s="26">
        <f>IF($A157="","",SUMPRODUCT(--ISNUMBER(SEARCH('Category Dictionary'!$D$5:$D$135&amp;"",$C157)),--('Category Dictionary'!$D$5:$D$135&lt;&gt;"")))</f>
        <v/>
      </c>
      <c r="L157" s="27">
        <f>IF($A157="","",TRIM(IF(ISERROR(FIND(",",$C157)),$C157,LEFT($C157,FIND(",",$C157)-1))))</f>
        <v/>
      </c>
      <c r="M157" s="28">
        <f>IF($H157="","",DATE(YEAR($H157),MONTH($H157),1))</f>
        <v/>
      </c>
      <c r="N157" s="26">
        <f>IF($H157="","",TODAY()-$H157)</f>
        <v/>
      </c>
      <c r="O157" s="15" t="n"/>
      <c r="P157" s="26">
        <f>IF($A157="","",COUNTIFS('Audit Versions'!$A$6:$A$605,$A157,'Audit Versions'!$L$6:$L$605,"Active"))</f>
        <v/>
      </c>
      <c r="Q157" s="15" t="n"/>
      <c r="R157" s="26">
        <f>IF(OR($A157="",$P157=0),"",MOD(N($Q157),$P157)+1)</f>
        <v/>
      </c>
      <c r="S157" s="15" t="n"/>
      <c r="T157" s="25" t="n"/>
      <c r="U157" s="26">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Builder'!$B$12="",N($S157)&lt;='Assignment Builder'!$B$12)))</f>
        <v/>
      </c>
      <c r="V157" s="23" t="n"/>
    </row>
    <row r="158">
      <c r="A158" s="23" t="n"/>
      <c r="B158" s="23" t="n"/>
      <c r="C158" s="24" t="n"/>
      <c r="D158" s="15" t="n"/>
      <c r="E158" s="23" t="n"/>
      <c r="F158" s="15" t="n"/>
      <c r="G158" s="23" t="n"/>
      <c r="H158" s="25" t="n"/>
      <c r="I158" s="15" t="n"/>
      <c r="J158" s="26">
        <f>IF($A158="","",LEN($C158)-LEN(SUBSTITUTE($C158,",",""))+1)</f>
        <v/>
      </c>
      <c r="K158" s="26">
        <f>IF($A158="","",SUMPRODUCT(--ISNUMBER(SEARCH('Category Dictionary'!$D$5:$D$135&amp;"",$C158)),--('Category Dictionary'!$D$5:$D$135&lt;&gt;"")))</f>
        <v/>
      </c>
      <c r="L158" s="27">
        <f>IF($A158="","",TRIM(IF(ISERROR(FIND(",",$C158)),$C158,LEFT($C158,FIND(",",$C158)-1))))</f>
        <v/>
      </c>
      <c r="M158" s="28">
        <f>IF($H158="","",DATE(YEAR($H158),MONTH($H158),1))</f>
        <v/>
      </c>
      <c r="N158" s="26">
        <f>IF($H158="","",TODAY()-$H158)</f>
        <v/>
      </c>
      <c r="O158" s="15" t="n"/>
      <c r="P158" s="26">
        <f>IF($A158="","",COUNTIFS('Audit Versions'!$A$6:$A$605,$A158,'Audit Versions'!$L$6:$L$605,"Active"))</f>
        <v/>
      </c>
      <c r="Q158" s="15" t="n"/>
      <c r="R158" s="26">
        <f>IF(OR($A158="",$P158=0),"",MOD(N($Q158),$P158)+1)</f>
        <v/>
      </c>
      <c r="S158" s="15" t="n"/>
      <c r="T158" s="25" t="n"/>
      <c r="U158" s="26">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Builder'!$B$12="",N($S158)&lt;='Assignment Builder'!$B$12)))</f>
        <v/>
      </c>
      <c r="V158" s="23" t="n"/>
    </row>
    <row r="159">
      <c r="A159" s="23" t="n"/>
      <c r="B159" s="23" t="n"/>
      <c r="C159" s="24" t="n"/>
      <c r="D159" s="15" t="n"/>
      <c r="E159" s="23" t="n"/>
      <c r="F159" s="15" t="n"/>
      <c r="G159" s="23" t="n"/>
      <c r="H159" s="25" t="n"/>
      <c r="I159" s="15" t="n"/>
      <c r="J159" s="26">
        <f>IF($A159="","",LEN($C159)-LEN(SUBSTITUTE($C159,",",""))+1)</f>
        <v/>
      </c>
      <c r="K159" s="26">
        <f>IF($A159="","",SUMPRODUCT(--ISNUMBER(SEARCH('Category Dictionary'!$D$5:$D$135&amp;"",$C159)),--('Category Dictionary'!$D$5:$D$135&lt;&gt;"")))</f>
        <v/>
      </c>
      <c r="L159" s="27">
        <f>IF($A159="","",TRIM(IF(ISERROR(FIND(",",$C159)),$C159,LEFT($C159,FIND(",",$C159)-1))))</f>
        <v/>
      </c>
      <c r="M159" s="28">
        <f>IF($H159="","",DATE(YEAR($H159),MONTH($H159),1))</f>
        <v/>
      </c>
      <c r="N159" s="26">
        <f>IF($H159="","",TODAY()-$H159)</f>
        <v/>
      </c>
      <c r="O159" s="15" t="n"/>
      <c r="P159" s="26">
        <f>IF($A159="","",COUNTIFS('Audit Versions'!$A$6:$A$605,$A159,'Audit Versions'!$L$6:$L$605,"Active"))</f>
        <v/>
      </c>
      <c r="Q159" s="15" t="n"/>
      <c r="R159" s="26">
        <f>IF(OR($A159="",$P159=0),"",MOD(N($Q159),$P159)+1)</f>
        <v/>
      </c>
      <c r="S159" s="15" t="n"/>
      <c r="T159" s="25" t="n"/>
      <c r="U159" s="26">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Builder'!$B$12="",N($S159)&lt;='Assignment Builder'!$B$12)))</f>
        <v/>
      </c>
      <c r="V159" s="23" t="n"/>
    </row>
    <row r="160">
      <c r="A160" s="23" t="n"/>
      <c r="B160" s="23" t="n"/>
      <c r="C160" s="24" t="n"/>
      <c r="D160" s="15" t="n"/>
      <c r="E160" s="23" t="n"/>
      <c r="F160" s="15" t="n"/>
      <c r="G160" s="23" t="n"/>
      <c r="H160" s="25" t="n"/>
      <c r="I160" s="15" t="n"/>
      <c r="J160" s="26">
        <f>IF($A160="","",LEN($C160)-LEN(SUBSTITUTE($C160,",",""))+1)</f>
        <v/>
      </c>
      <c r="K160" s="26">
        <f>IF($A160="","",SUMPRODUCT(--ISNUMBER(SEARCH('Category Dictionary'!$D$5:$D$135&amp;"",$C160)),--('Category Dictionary'!$D$5:$D$135&lt;&gt;"")))</f>
        <v/>
      </c>
      <c r="L160" s="27">
        <f>IF($A160="","",TRIM(IF(ISERROR(FIND(",",$C160)),$C160,LEFT($C160,FIND(",",$C160)-1))))</f>
        <v/>
      </c>
      <c r="M160" s="28">
        <f>IF($H160="","",DATE(YEAR($H160),MONTH($H160),1))</f>
        <v/>
      </c>
      <c r="N160" s="26">
        <f>IF($H160="","",TODAY()-$H160)</f>
        <v/>
      </c>
      <c r="O160" s="15" t="n"/>
      <c r="P160" s="26">
        <f>IF($A160="","",COUNTIFS('Audit Versions'!$A$6:$A$605,$A160,'Audit Versions'!$L$6:$L$605,"Active"))</f>
        <v/>
      </c>
      <c r="Q160" s="15" t="n"/>
      <c r="R160" s="26">
        <f>IF(OR($A160="",$P160=0),"",MOD(N($Q160),$P160)+1)</f>
        <v/>
      </c>
      <c r="S160" s="15" t="n"/>
      <c r="T160" s="25" t="n"/>
      <c r="U160" s="26">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Builder'!$B$12="",N($S160)&lt;='Assignment Builder'!$B$12)))</f>
        <v/>
      </c>
      <c r="V160" s="23" t="n"/>
    </row>
    <row r="161">
      <c r="A161" s="23" t="n"/>
      <c r="B161" s="23" t="n"/>
      <c r="C161" s="24" t="n"/>
      <c r="D161" s="15" t="n"/>
      <c r="E161" s="23" t="n"/>
      <c r="F161" s="15" t="n"/>
      <c r="G161" s="23" t="n"/>
      <c r="H161" s="25" t="n"/>
      <c r="I161" s="15" t="n"/>
      <c r="J161" s="26">
        <f>IF($A161="","",LEN($C161)-LEN(SUBSTITUTE($C161,",",""))+1)</f>
        <v/>
      </c>
      <c r="K161" s="26">
        <f>IF($A161="","",SUMPRODUCT(--ISNUMBER(SEARCH('Category Dictionary'!$D$5:$D$135&amp;"",$C161)),--('Category Dictionary'!$D$5:$D$135&lt;&gt;"")))</f>
        <v/>
      </c>
      <c r="L161" s="27">
        <f>IF($A161="","",TRIM(IF(ISERROR(FIND(",",$C161)),$C161,LEFT($C161,FIND(",",$C161)-1))))</f>
        <v/>
      </c>
      <c r="M161" s="28">
        <f>IF($H161="","",DATE(YEAR($H161),MONTH($H161),1))</f>
        <v/>
      </c>
      <c r="N161" s="26">
        <f>IF($H161="","",TODAY()-$H161)</f>
        <v/>
      </c>
      <c r="O161" s="15" t="n"/>
      <c r="P161" s="26">
        <f>IF($A161="","",COUNTIFS('Audit Versions'!$A$6:$A$605,$A161,'Audit Versions'!$L$6:$L$605,"Active"))</f>
        <v/>
      </c>
      <c r="Q161" s="15" t="n"/>
      <c r="R161" s="26">
        <f>IF(OR($A161="",$P161=0),"",MOD(N($Q161),$P161)+1)</f>
        <v/>
      </c>
      <c r="S161" s="15" t="n"/>
      <c r="T161" s="25" t="n"/>
      <c r="U161" s="26">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Builder'!$B$12="",N($S161)&lt;='Assignment Builder'!$B$12)))</f>
        <v/>
      </c>
      <c r="V161" s="23" t="n"/>
    </row>
    <row r="162">
      <c r="A162" s="23" t="n"/>
      <c r="B162" s="23" t="n"/>
      <c r="C162" s="24" t="n"/>
      <c r="D162" s="15" t="n"/>
      <c r="E162" s="23" t="n"/>
      <c r="F162" s="15" t="n"/>
      <c r="G162" s="23" t="n"/>
      <c r="H162" s="25" t="n"/>
      <c r="I162" s="15" t="n"/>
      <c r="J162" s="26">
        <f>IF($A162="","",LEN($C162)-LEN(SUBSTITUTE($C162,",",""))+1)</f>
        <v/>
      </c>
      <c r="K162" s="26">
        <f>IF($A162="","",SUMPRODUCT(--ISNUMBER(SEARCH('Category Dictionary'!$D$5:$D$135&amp;"",$C162)),--('Category Dictionary'!$D$5:$D$135&lt;&gt;"")))</f>
        <v/>
      </c>
      <c r="L162" s="27">
        <f>IF($A162="","",TRIM(IF(ISERROR(FIND(",",$C162)),$C162,LEFT($C162,FIND(",",$C162)-1))))</f>
        <v/>
      </c>
      <c r="M162" s="28">
        <f>IF($H162="","",DATE(YEAR($H162),MONTH($H162),1))</f>
        <v/>
      </c>
      <c r="N162" s="26">
        <f>IF($H162="","",TODAY()-$H162)</f>
        <v/>
      </c>
      <c r="O162" s="15" t="n"/>
      <c r="P162" s="26">
        <f>IF($A162="","",COUNTIFS('Audit Versions'!$A$6:$A$605,$A162,'Audit Versions'!$L$6:$L$605,"Active"))</f>
        <v/>
      </c>
      <c r="Q162" s="15" t="n"/>
      <c r="R162" s="26">
        <f>IF(OR($A162="",$P162=0),"",MOD(N($Q162),$P162)+1)</f>
        <v/>
      </c>
      <c r="S162" s="15" t="n"/>
      <c r="T162" s="25" t="n"/>
      <c r="U162" s="26">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Builder'!$B$12="",N($S162)&lt;='Assignment Builder'!$B$12)))</f>
        <v/>
      </c>
      <c r="V162" s="23" t="n"/>
    </row>
    <row r="163">
      <c r="A163" s="23" t="n"/>
      <c r="B163" s="23" t="n"/>
      <c r="C163" s="24" t="n"/>
      <c r="D163" s="15" t="n"/>
      <c r="E163" s="23" t="n"/>
      <c r="F163" s="15" t="n"/>
      <c r="G163" s="23" t="n"/>
      <c r="H163" s="25" t="n"/>
      <c r="I163" s="15" t="n"/>
      <c r="J163" s="26">
        <f>IF($A163="","",LEN($C163)-LEN(SUBSTITUTE($C163,",",""))+1)</f>
        <v/>
      </c>
      <c r="K163" s="26">
        <f>IF($A163="","",SUMPRODUCT(--ISNUMBER(SEARCH('Category Dictionary'!$D$5:$D$135&amp;"",$C163)),--('Category Dictionary'!$D$5:$D$135&lt;&gt;"")))</f>
        <v/>
      </c>
      <c r="L163" s="27">
        <f>IF($A163="","",TRIM(IF(ISERROR(FIND(",",$C163)),$C163,LEFT($C163,FIND(",",$C163)-1))))</f>
        <v/>
      </c>
      <c r="M163" s="28">
        <f>IF($H163="","",DATE(YEAR($H163),MONTH($H163),1))</f>
        <v/>
      </c>
      <c r="N163" s="26">
        <f>IF($H163="","",TODAY()-$H163)</f>
        <v/>
      </c>
      <c r="O163" s="15" t="n"/>
      <c r="P163" s="26">
        <f>IF($A163="","",COUNTIFS('Audit Versions'!$A$6:$A$605,$A163,'Audit Versions'!$L$6:$L$605,"Active"))</f>
        <v/>
      </c>
      <c r="Q163" s="15" t="n"/>
      <c r="R163" s="26">
        <f>IF(OR($A163="",$P163=0),"",MOD(N($Q163),$P163)+1)</f>
        <v/>
      </c>
      <c r="S163" s="15" t="n"/>
      <c r="T163" s="25" t="n"/>
      <c r="U163" s="26">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Builder'!$B$12="",N($S163)&lt;='Assignment Builder'!$B$12)))</f>
        <v/>
      </c>
      <c r="V163" s="23" t="n"/>
    </row>
    <row r="164">
      <c r="A164" s="23" t="n"/>
      <c r="B164" s="23" t="n"/>
      <c r="C164" s="24" t="n"/>
      <c r="D164" s="15" t="n"/>
      <c r="E164" s="23" t="n"/>
      <c r="F164" s="15" t="n"/>
      <c r="G164" s="23" t="n"/>
      <c r="H164" s="25" t="n"/>
      <c r="I164" s="15" t="n"/>
      <c r="J164" s="26">
        <f>IF($A164="","",LEN($C164)-LEN(SUBSTITUTE($C164,",",""))+1)</f>
        <v/>
      </c>
      <c r="K164" s="26">
        <f>IF($A164="","",SUMPRODUCT(--ISNUMBER(SEARCH('Category Dictionary'!$D$5:$D$135&amp;"",$C164)),--('Category Dictionary'!$D$5:$D$135&lt;&gt;"")))</f>
        <v/>
      </c>
      <c r="L164" s="27">
        <f>IF($A164="","",TRIM(IF(ISERROR(FIND(",",$C164)),$C164,LEFT($C164,FIND(",",$C164)-1))))</f>
        <v/>
      </c>
      <c r="M164" s="28">
        <f>IF($H164="","",DATE(YEAR($H164),MONTH($H164),1))</f>
        <v/>
      </c>
      <c r="N164" s="26">
        <f>IF($H164="","",TODAY()-$H164)</f>
        <v/>
      </c>
      <c r="O164" s="15" t="n"/>
      <c r="P164" s="26">
        <f>IF($A164="","",COUNTIFS('Audit Versions'!$A$6:$A$605,$A164,'Audit Versions'!$L$6:$L$605,"Active"))</f>
        <v/>
      </c>
      <c r="Q164" s="15" t="n"/>
      <c r="R164" s="26">
        <f>IF(OR($A164="",$P164=0),"",MOD(N($Q164),$P164)+1)</f>
        <v/>
      </c>
      <c r="S164" s="15" t="n"/>
      <c r="T164" s="25" t="n"/>
      <c r="U164" s="26">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Builder'!$B$12="",N($S164)&lt;='Assignment Builder'!$B$12)))</f>
        <v/>
      </c>
      <c r="V164" s="23" t="n"/>
    </row>
    <row r="165">
      <c r="A165" s="23" t="n"/>
      <c r="B165" s="23" t="n"/>
      <c r="C165" s="24" t="n"/>
      <c r="D165" s="15" t="n"/>
      <c r="E165" s="23" t="n"/>
      <c r="F165" s="15" t="n"/>
      <c r="G165" s="23" t="n"/>
      <c r="H165" s="25" t="n"/>
      <c r="I165" s="15" t="n"/>
      <c r="J165" s="26">
        <f>IF($A165="","",LEN($C165)-LEN(SUBSTITUTE($C165,",",""))+1)</f>
        <v/>
      </c>
      <c r="K165" s="26">
        <f>IF($A165="","",SUMPRODUCT(--ISNUMBER(SEARCH('Category Dictionary'!$D$5:$D$135&amp;"",$C165)),--('Category Dictionary'!$D$5:$D$135&lt;&gt;"")))</f>
        <v/>
      </c>
      <c r="L165" s="27">
        <f>IF($A165="","",TRIM(IF(ISERROR(FIND(",",$C165)),$C165,LEFT($C165,FIND(",",$C165)-1))))</f>
        <v/>
      </c>
      <c r="M165" s="28">
        <f>IF($H165="","",DATE(YEAR($H165),MONTH($H165),1))</f>
        <v/>
      </c>
      <c r="N165" s="26">
        <f>IF($H165="","",TODAY()-$H165)</f>
        <v/>
      </c>
      <c r="O165" s="15" t="n"/>
      <c r="P165" s="26">
        <f>IF($A165="","",COUNTIFS('Audit Versions'!$A$6:$A$605,$A165,'Audit Versions'!$L$6:$L$605,"Active"))</f>
        <v/>
      </c>
      <c r="Q165" s="15" t="n"/>
      <c r="R165" s="26">
        <f>IF(OR($A165="",$P165=0),"",MOD(N($Q165),$P165)+1)</f>
        <v/>
      </c>
      <c r="S165" s="15" t="n"/>
      <c r="T165" s="25" t="n"/>
      <c r="U165" s="26">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Builder'!$B$12="",N($S165)&lt;='Assignment Builder'!$B$12)))</f>
        <v/>
      </c>
      <c r="V165" s="23" t="n"/>
    </row>
    <row r="166">
      <c r="A166" s="23" t="n"/>
      <c r="B166" s="23" t="n"/>
      <c r="C166" s="24" t="n"/>
      <c r="D166" s="15" t="n"/>
      <c r="E166" s="23" t="n"/>
      <c r="F166" s="15" t="n"/>
      <c r="G166" s="23" t="n"/>
      <c r="H166" s="25" t="n"/>
      <c r="I166" s="15" t="n"/>
      <c r="J166" s="26">
        <f>IF($A166="","",LEN($C166)-LEN(SUBSTITUTE($C166,",",""))+1)</f>
        <v/>
      </c>
      <c r="K166" s="26">
        <f>IF($A166="","",SUMPRODUCT(--ISNUMBER(SEARCH('Category Dictionary'!$D$5:$D$135&amp;"",$C166)),--('Category Dictionary'!$D$5:$D$135&lt;&gt;"")))</f>
        <v/>
      </c>
      <c r="L166" s="27">
        <f>IF($A166="","",TRIM(IF(ISERROR(FIND(",",$C166)),$C166,LEFT($C166,FIND(",",$C166)-1))))</f>
        <v/>
      </c>
      <c r="M166" s="28">
        <f>IF($H166="","",DATE(YEAR($H166),MONTH($H166),1))</f>
        <v/>
      </c>
      <c r="N166" s="26">
        <f>IF($H166="","",TODAY()-$H166)</f>
        <v/>
      </c>
      <c r="O166" s="15" t="n"/>
      <c r="P166" s="26">
        <f>IF($A166="","",COUNTIFS('Audit Versions'!$A$6:$A$605,$A166,'Audit Versions'!$L$6:$L$605,"Active"))</f>
        <v/>
      </c>
      <c r="Q166" s="15" t="n"/>
      <c r="R166" s="26">
        <f>IF(OR($A166="",$P166=0),"",MOD(N($Q166),$P166)+1)</f>
        <v/>
      </c>
      <c r="S166" s="15" t="n"/>
      <c r="T166" s="25" t="n"/>
      <c r="U166" s="26">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Builder'!$B$12="",N($S166)&lt;='Assignment Builder'!$B$12)))</f>
        <v/>
      </c>
      <c r="V166" s="23" t="n"/>
    </row>
    <row r="167">
      <c r="A167" s="23" t="n"/>
      <c r="B167" s="23" t="n"/>
      <c r="C167" s="24" t="n"/>
      <c r="D167" s="15" t="n"/>
      <c r="E167" s="23" t="n"/>
      <c r="F167" s="15" t="n"/>
      <c r="G167" s="23" t="n"/>
      <c r="H167" s="25" t="n"/>
      <c r="I167" s="15" t="n"/>
      <c r="J167" s="26">
        <f>IF($A167="","",LEN($C167)-LEN(SUBSTITUTE($C167,",",""))+1)</f>
        <v/>
      </c>
      <c r="K167" s="26">
        <f>IF($A167="","",SUMPRODUCT(--ISNUMBER(SEARCH('Category Dictionary'!$D$5:$D$135&amp;"",$C167)),--('Category Dictionary'!$D$5:$D$135&lt;&gt;"")))</f>
        <v/>
      </c>
      <c r="L167" s="27">
        <f>IF($A167="","",TRIM(IF(ISERROR(FIND(",",$C167)),$C167,LEFT($C167,FIND(",",$C167)-1))))</f>
        <v/>
      </c>
      <c r="M167" s="28">
        <f>IF($H167="","",DATE(YEAR($H167),MONTH($H167),1))</f>
        <v/>
      </c>
      <c r="N167" s="26">
        <f>IF($H167="","",TODAY()-$H167)</f>
        <v/>
      </c>
      <c r="O167" s="15" t="n"/>
      <c r="P167" s="26">
        <f>IF($A167="","",COUNTIFS('Audit Versions'!$A$6:$A$605,$A167,'Audit Versions'!$L$6:$L$605,"Active"))</f>
        <v/>
      </c>
      <c r="Q167" s="15" t="n"/>
      <c r="R167" s="26">
        <f>IF(OR($A167="",$P167=0),"",MOD(N($Q167),$P167)+1)</f>
        <v/>
      </c>
      <c r="S167" s="15" t="n"/>
      <c r="T167" s="25" t="n"/>
      <c r="U167" s="26">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Builder'!$B$12="",N($S167)&lt;='Assignment Builder'!$B$12)))</f>
        <v/>
      </c>
      <c r="V167" s="23" t="n"/>
    </row>
    <row r="168">
      <c r="A168" s="23" t="n"/>
      <c r="B168" s="23" t="n"/>
      <c r="C168" s="24" t="n"/>
      <c r="D168" s="15" t="n"/>
      <c r="E168" s="23" t="n"/>
      <c r="F168" s="15" t="n"/>
      <c r="G168" s="23" t="n"/>
      <c r="H168" s="25" t="n"/>
      <c r="I168" s="15" t="n"/>
      <c r="J168" s="26">
        <f>IF($A168="","",LEN($C168)-LEN(SUBSTITUTE($C168,",",""))+1)</f>
        <v/>
      </c>
      <c r="K168" s="26">
        <f>IF($A168="","",SUMPRODUCT(--ISNUMBER(SEARCH('Category Dictionary'!$D$5:$D$135&amp;"",$C168)),--('Category Dictionary'!$D$5:$D$135&lt;&gt;"")))</f>
        <v/>
      </c>
      <c r="L168" s="27">
        <f>IF($A168="","",TRIM(IF(ISERROR(FIND(",",$C168)),$C168,LEFT($C168,FIND(",",$C168)-1))))</f>
        <v/>
      </c>
      <c r="M168" s="28">
        <f>IF($H168="","",DATE(YEAR($H168),MONTH($H168),1))</f>
        <v/>
      </c>
      <c r="N168" s="26">
        <f>IF($H168="","",TODAY()-$H168)</f>
        <v/>
      </c>
      <c r="O168" s="15" t="n"/>
      <c r="P168" s="26">
        <f>IF($A168="","",COUNTIFS('Audit Versions'!$A$6:$A$605,$A168,'Audit Versions'!$L$6:$L$605,"Active"))</f>
        <v/>
      </c>
      <c r="Q168" s="15" t="n"/>
      <c r="R168" s="26">
        <f>IF(OR($A168="",$P168=0),"",MOD(N($Q168),$P168)+1)</f>
        <v/>
      </c>
      <c r="S168" s="15" t="n"/>
      <c r="T168" s="25" t="n"/>
      <c r="U168" s="26">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Builder'!$B$12="",N($S168)&lt;='Assignment Builder'!$B$12)))</f>
        <v/>
      </c>
      <c r="V168" s="23" t="n"/>
    </row>
    <row r="169">
      <c r="A169" s="23" t="n"/>
      <c r="B169" s="23" t="n"/>
      <c r="C169" s="24" t="n"/>
      <c r="D169" s="15" t="n"/>
      <c r="E169" s="23" t="n"/>
      <c r="F169" s="15" t="n"/>
      <c r="G169" s="23" t="n"/>
      <c r="H169" s="25" t="n"/>
      <c r="I169" s="15" t="n"/>
      <c r="J169" s="26">
        <f>IF($A169="","",LEN($C169)-LEN(SUBSTITUTE($C169,",",""))+1)</f>
        <v/>
      </c>
      <c r="K169" s="26">
        <f>IF($A169="","",SUMPRODUCT(--ISNUMBER(SEARCH('Category Dictionary'!$D$5:$D$135&amp;"",$C169)),--('Category Dictionary'!$D$5:$D$135&lt;&gt;"")))</f>
        <v/>
      </c>
      <c r="L169" s="27">
        <f>IF($A169="","",TRIM(IF(ISERROR(FIND(",",$C169)),$C169,LEFT($C169,FIND(",",$C169)-1))))</f>
        <v/>
      </c>
      <c r="M169" s="28">
        <f>IF($H169="","",DATE(YEAR($H169),MONTH($H169),1))</f>
        <v/>
      </c>
      <c r="N169" s="26">
        <f>IF($H169="","",TODAY()-$H169)</f>
        <v/>
      </c>
      <c r="O169" s="15" t="n"/>
      <c r="P169" s="26">
        <f>IF($A169="","",COUNTIFS('Audit Versions'!$A$6:$A$605,$A169,'Audit Versions'!$L$6:$L$605,"Active"))</f>
        <v/>
      </c>
      <c r="Q169" s="15" t="n"/>
      <c r="R169" s="26">
        <f>IF(OR($A169="",$P169=0),"",MOD(N($Q169),$P169)+1)</f>
        <v/>
      </c>
      <c r="S169" s="15" t="n"/>
      <c r="T169" s="25" t="n"/>
      <c r="U169" s="26">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Builder'!$B$12="",N($S169)&lt;='Assignment Builder'!$B$12)))</f>
        <v/>
      </c>
      <c r="V169" s="23" t="n"/>
    </row>
    <row r="170">
      <c r="A170" s="23" t="n"/>
      <c r="B170" s="23" t="n"/>
      <c r="C170" s="24" t="n"/>
      <c r="D170" s="15" t="n"/>
      <c r="E170" s="23" t="n"/>
      <c r="F170" s="15" t="n"/>
      <c r="G170" s="23" t="n"/>
      <c r="H170" s="25" t="n"/>
      <c r="I170" s="15" t="n"/>
      <c r="J170" s="26">
        <f>IF($A170="","",LEN($C170)-LEN(SUBSTITUTE($C170,",",""))+1)</f>
        <v/>
      </c>
      <c r="K170" s="26">
        <f>IF($A170="","",SUMPRODUCT(--ISNUMBER(SEARCH('Category Dictionary'!$D$5:$D$135&amp;"",$C170)),--('Category Dictionary'!$D$5:$D$135&lt;&gt;"")))</f>
        <v/>
      </c>
      <c r="L170" s="27">
        <f>IF($A170="","",TRIM(IF(ISERROR(FIND(",",$C170)),$C170,LEFT($C170,FIND(",",$C170)-1))))</f>
        <v/>
      </c>
      <c r="M170" s="28">
        <f>IF($H170="","",DATE(YEAR($H170),MONTH($H170),1))</f>
        <v/>
      </c>
      <c r="N170" s="26">
        <f>IF($H170="","",TODAY()-$H170)</f>
        <v/>
      </c>
      <c r="O170" s="15" t="n"/>
      <c r="P170" s="26">
        <f>IF($A170="","",COUNTIFS('Audit Versions'!$A$6:$A$605,$A170,'Audit Versions'!$L$6:$L$605,"Active"))</f>
        <v/>
      </c>
      <c r="Q170" s="15" t="n"/>
      <c r="R170" s="26">
        <f>IF(OR($A170="",$P170=0),"",MOD(N($Q170),$P170)+1)</f>
        <v/>
      </c>
      <c r="S170" s="15" t="n"/>
      <c r="T170" s="25" t="n"/>
      <c r="U170" s="26">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Builder'!$B$12="",N($S170)&lt;='Assignment Builder'!$B$12)))</f>
        <v/>
      </c>
      <c r="V170" s="23" t="n"/>
    </row>
    <row r="171">
      <c r="A171" s="23" t="n"/>
      <c r="B171" s="23" t="n"/>
      <c r="C171" s="24" t="n"/>
      <c r="D171" s="15" t="n"/>
      <c r="E171" s="23" t="n"/>
      <c r="F171" s="15" t="n"/>
      <c r="G171" s="23" t="n"/>
      <c r="H171" s="25" t="n"/>
      <c r="I171" s="15" t="n"/>
      <c r="J171" s="26">
        <f>IF($A171="","",LEN($C171)-LEN(SUBSTITUTE($C171,",",""))+1)</f>
        <v/>
      </c>
      <c r="K171" s="26">
        <f>IF($A171="","",SUMPRODUCT(--ISNUMBER(SEARCH('Category Dictionary'!$D$5:$D$135&amp;"",$C171)),--('Category Dictionary'!$D$5:$D$135&lt;&gt;"")))</f>
        <v/>
      </c>
      <c r="L171" s="27">
        <f>IF($A171="","",TRIM(IF(ISERROR(FIND(",",$C171)),$C171,LEFT($C171,FIND(",",$C171)-1))))</f>
        <v/>
      </c>
      <c r="M171" s="28">
        <f>IF($H171="","",DATE(YEAR($H171),MONTH($H171),1))</f>
        <v/>
      </c>
      <c r="N171" s="26">
        <f>IF($H171="","",TODAY()-$H171)</f>
        <v/>
      </c>
      <c r="O171" s="15" t="n"/>
      <c r="P171" s="26">
        <f>IF($A171="","",COUNTIFS('Audit Versions'!$A$6:$A$605,$A171,'Audit Versions'!$L$6:$L$605,"Active"))</f>
        <v/>
      </c>
      <c r="Q171" s="15" t="n"/>
      <c r="R171" s="26">
        <f>IF(OR($A171="",$P171=0),"",MOD(N($Q171),$P171)+1)</f>
        <v/>
      </c>
      <c r="S171" s="15" t="n"/>
      <c r="T171" s="25" t="n"/>
      <c r="U171" s="26">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Builder'!$B$12="",N($S171)&lt;='Assignment Builder'!$B$12)))</f>
        <v/>
      </c>
      <c r="V171" s="23" t="n"/>
    </row>
    <row r="172">
      <c r="A172" s="23" t="n"/>
      <c r="B172" s="23" t="n"/>
      <c r="C172" s="24" t="n"/>
      <c r="D172" s="15" t="n"/>
      <c r="E172" s="23" t="n"/>
      <c r="F172" s="15" t="n"/>
      <c r="G172" s="23" t="n"/>
      <c r="H172" s="25" t="n"/>
      <c r="I172" s="15" t="n"/>
      <c r="J172" s="26">
        <f>IF($A172="","",LEN($C172)-LEN(SUBSTITUTE($C172,",",""))+1)</f>
        <v/>
      </c>
      <c r="K172" s="26">
        <f>IF($A172="","",SUMPRODUCT(--ISNUMBER(SEARCH('Category Dictionary'!$D$5:$D$135&amp;"",$C172)),--('Category Dictionary'!$D$5:$D$135&lt;&gt;"")))</f>
        <v/>
      </c>
      <c r="L172" s="27">
        <f>IF($A172="","",TRIM(IF(ISERROR(FIND(",",$C172)),$C172,LEFT($C172,FIND(",",$C172)-1))))</f>
        <v/>
      </c>
      <c r="M172" s="28">
        <f>IF($H172="","",DATE(YEAR($H172),MONTH($H172),1))</f>
        <v/>
      </c>
      <c r="N172" s="26">
        <f>IF($H172="","",TODAY()-$H172)</f>
        <v/>
      </c>
      <c r="O172" s="15" t="n"/>
      <c r="P172" s="26">
        <f>IF($A172="","",COUNTIFS('Audit Versions'!$A$6:$A$605,$A172,'Audit Versions'!$L$6:$L$605,"Active"))</f>
        <v/>
      </c>
      <c r="Q172" s="15" t="n"/>
      <c r="R172" s="26">
        <f>IF(OR($A172="",$P172=0),"",MOD(N($Q172),$P172)+1)</f>
        <v/>
      </c>
      <c r="S172" s="15" t="n"/>
      <c r="T172" s="25" t="n"/>
      <c r="U172" s="26">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Builder'!$B$12="",N($S172)&lt;='Assignment Builder'!$B$12)))</f>
        <v/>
      </c>
      <c r="V172" s="23" t="n"/>
    </row>
    <row r="173">
      <c r="A173" s="23" t="n"/>
      <c r="B173" s="23" t="n"/>
      <c r="C173" s="24" t="n"/>
      <c r="D173" s="15" t="n"/>
      <c r="E173" s="23" t="n"/>
      <c r="F173" s="15" t="n"/>
      <c r="G173" s="23" t="n"/>
      <c r="H173" s="25" t="n"/>
      <c r="I173" s="15" t="n"/>
      <c r="J173" s="26">
        <f>IF($A173="","",LEN($C173)-LEN(SUBSTITUTE($C173,",",""))+1)</f>
        <v/>
      </c>
      <c r="K173" s="26">
        <f>IF($A173="","",SUMPRODUCT(--ISNUMBER(SEARCH('Category Dictionary'!$D$5:$D$135&amp;"",$C173)),--('Category Dictionary'!$D$5:$D$135&lt;&gt;"")))</f>
        <v/>
      </c>
      <c r="L173" s="27">
        <f>IF($A173="","",TRIM(IF(ISERROR(FIND(",",$C173)),$C173,LEFT($C173,FIND(",",$C173)-1))))</f>
        <v/>
      </c>
      <c r="M173" s="28">
        <f>IF($H173="","",DATE(YEAR($H173),MONTH($H173),1))</f>
        <v/>
      </c>
      <c r="N173" s="26">
        <f>IF($H173="","",TODAY()-$H173)</f>
        <v/>
      </c>
      <c r="O173" s="15" t="n"/>
      <c r="P173" s="26">
        <f>IF($A173="","",COUNTIFS('Audit Versions'!$A$6:$A$605,$A173,'Audit Versions'!$L$6:$L$605,"Active"))</f>
        <v/>
      </c>
      <c r="Q173" s="15" t="n"/>
      <c r="R173" s="26">
        <f>IF(OR($A173="",$P173=0),"",MOD(N($Q173),$P173)+1)</f>
        <v/>
      </c>
      <c r="S173" s="15" t="n"/>
      <c r="T173" s="25" t="n"/>
      <c r="U173" s="26">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Builder'!$B$12="",N($S173)&lt;='Assignment Builder'!$B$12)))</f>
        <v/>
      </c>
      <c r="V173" s="23" t="n"/>
    </row>
    <row r="174">
      <c r="A174" s="23" t="n"/>
      <c r="B174" s="23" t="n"/>
      <c r="C174" s="24" t="n"/>
      <c r="D174" s="15" t="n"/>
      <c r="E174" s="23" t="n"/>
      <c r="F174" s="15" t="n"/>
      <c r="G174" s="23" t="n"/>
      <c r="H174" s="25" t="n"/>
      <c r="I174" s="15" t="n"/>
      <c r="J174" s="26">
        <f>IF($A174="","",LEN($C174)-LEN(SUBSTITUTE($C174,",",""))+1)</f>
        <v/>
      </c>
      <c r="K174" s="26">
        <f>IF($A174="","",SUMPRODUCT(--ISNUMBER(SEARCH('Category Dictionary'!$D$5:$D$135&amp;"",$C174)),--('Category Dictionary'!$D$5:$D$135&lt;&gt;"")))</f>
        <v/>
      </c>
      <c r="L174" s="27">
        <f>IF($A174="","",TRIM(IF(ISERROR(FIND(",",$C174)),$C174,LEFT($C174,FIND(",",$C174)-1))))</f>
        <v/>
      </c>
      <c r="M174" s="28">
        <f>IF($H174="","",DATE(YEAR($H174),MONTH($H174),1))</f>
        <v/>
      </c>
      <c r="N174" s="26">
        <f>IF($H174="","",TODAY()-$H174)</f>
        <v/>
      </c>
      <c r="O174" s="15" t="n"/>
      <c r="P174" s="26">
        <f>IF($A174="","",COUNTIFS('Audit Versions'!$A$6:$A$605,$A174,'Audit Versions'!$L$6:$L$605,"Active"))</f>
        <v/>
      </c>
      <c r="Q174" s="15" t="n"/>
      <c r="R174" s="26">
        <f>IF(OR($A174="",$P174=0),"",MOD(N($Q174),$P174)+1)</f>
        <v/>
      </c>
      <c r="S174" s="15" t="n"/>
      <c r="T174" s="25" t="n"/>
      <c r="U174" s="26">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Builder'!$B$12="",N($S174)&lt;='Assignment Builder'!$B$12)))</f>
        <v/>
      </c>
      <c r="V174" s="23" t="n"/>
    </row>
    <row r="175">
      <c r="A175" s="23" t="n"/>
      <c r="B175" s="23" t="n"/>
      <c r="C175" s="24" t="n"/>
      <c r="D175" s="15" t="n"/>
      <c r="E175" s="23" t="n"/>
      <c r="F175" s="15" t="n"/>
      <c r="G175" s="23" t="n"/>
      <c r="H175" s="25" t="n"/>
      <c r="I175" s="15" t="n"/>
      <c r="J175" s="26">
        <f>IF($A175="","",LEN($C175)-LEN(SUBSTITUTE($C175,",",""))+1)</f>
        <v/>
      </c>
      <c r="K175" s="26">
        <f>IF($A175="","",SUMPRODUCT(--ISNUMBER(SEARCH('Category Dictionary'!$D$5:$D$135&amp;"",$C175)),--('Category Dictionary'!$D$5:$D$135&lt;&gt;"")))</f>
        <v/>
      </c>
      <c r="L175" s="27">
        <f>IF($A175="","",TRIM(IF(ISERROR(FIND(",",$C175)),$C175,LEFT($C175,FIND(",",$C175)-1))))</f>
        <v/>
      </c>
      <c r="M175" s="28">
        <f>IF($H175="","",DATE(YEAR($H175),MONTH($H175),1))</f>
        <v/>
      </c>
      <c r="N175" s="26">
        <f>IF($H175="","",TODAY()-$H175)</f>
        <v/>
      </c>
      <c r="O175" s="15" t="n"/>
      <c r="P175" s="26">
        <f>IF($A175="","",COUNTIFS('Audit Versions'!$A$6:$A$605,$A175,'Audit Versions'!$L$6:$L$605,"Active"))</f>
        <v/>
      </c>
      <c r="Q175" s="15" t="n"/>
      <c r="R175" s="26">
        <f>IF(OR($A175="",$P175=0),"",MOD(N($Q175),$P175)+1)</f>
        <v/>
      </c>
      <c r="S175" s="15" t="n"/>
      <c r="T175" s="25" t="n"/>
      <c r="U175" s="26">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Builder'!$B$12="",N($S175)&lt;='Assignment Builder'!$B$12)))</f>
        <v/>
      </c>
      <c r="V175" s="23" t="n"/>
    </row>
    <row r="176">
      <c r="A176" s="23" t="n"/>
      <c r="B176" s="23" t="n"/>
      <c r="C176" s="24" t="n"/>
      <c r="D176" s="15" t="n"/>
      <c r="E176" s="23" t="n"/>
      <c r="F176" s="15" t="n"/>
      <c r="G176" s="23" t="n"/>
      <c r="H176" s="25" t="n"/>
      <c r="I176" s="15" t="n"/>
      <c r="J176" s="26">
        <f>IF($A176="","",LEN($C176)-LEN(SUBSTITUTE($C176,",",""))+1)</f>
        <v/>
      </c>
      <c r="K176" s="26">
        <f>IF($A176="","",SUMPRODUCT(--ISNUMBER(SEARCH('Category Dictionary'!$D$5:$D$135&amp;"",$C176)),--('Category Dictionary'!$D$5:$D$135&lt;&gt;"")))</f>
        <v/>
      </c>
      <c r="L176" s="27">
        <f>IF($A176="","",TRIM(IF(ISERROR(FIND(",",$C176)),$C176,LEFT($C176,FIND(",",$C176)-1))))</f>
        <v/>
      </c>
      <c r="M176" s="28">
        <f>IF($H176="","",DATE(YEAR($H176),MONTH($H176),1))</f>
        <v/>
      </c>
      <c r="N176" s="26">
        <f>IF($H176="","",TODAY()-$H176)</f>
        <v/>
      </c>
      <c r="O176" s="15" t="n"/>
      <c r="P176" s="26">
        <f>IF($A176="","",COUNTIFS('Audit Versions'!$A$6:$A$605,$A176,'Audit Versions'!$L$6:$L$605,"Active"))</f>
        <v/>
      </c>
      <c r="Q176" s="15" t="n"/>
      <c r="R176" s="26">
        <f>IF(OR($A176="",$P176=0),"",MOD(N($Q176),$P176)+1)</f>
        <v/>
      </c>
      <c r="S176" s="15" t="n"/>
      <c r="T176" s="25" t="n"/>
      <c r="U176" s="26">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Builder'!$B$12="",N($S176)&lt;='Assignment Builder'!$B$12)))</f>
        <v/>
      </c>
      <c r="V176" s="23" t="n"/>
    </row>
    <row r="177">
      <c r="A177" s="23" t="n"/>
      <c r="B177" s="23" t="n"/>
      <c r="C177" s="24" t="n"/>
      <c r="D177" s="15" t="n"/>
      <c r="E177" s="23" t="n"/>
      <c r="F177" s="15" t="n"/>
      <c r="G177" s="23" t="n"/>
      <c r="H177" s="25" t="n"/>
      <c r="I177" s="15" t="n"/>
      <c r="J177" s="26">
        <f>IF($A177="","",LEN($C177)-LEN(SUBSTITUTE($C177,",",""))+1)</f>
        <v/>
      </c>
      <c r="K177" s="26">
        <f>IF($A177="","",SUMPRODUCT(--ISNUMBER(SEARCH('Category Dictionary'!$D$5:$D$135&amp;"",$C177)),--('Category Dictionary'!$D$5:$D$135&lt;&gt;"")))</f>
        <v/>
      </c>
      <c r="L177" s="27">
        <f>IF($A177="","",TRIM(IF(ISERROR(FIND(",",$C177)),$C177,LEFT($C177,FIND(",",$C177)-1))))</f>
        <v/>
      </c>
      <c r="M177" s="28">
        <f>IF($H177="","",DATE(YEAR($H177),MONTH($H177),1))</f>
        <v/>
      </c>
      <c r="N177" s="26">
        <f>IF($H177="","",TODAY()-$H177)</f>
        <v/>
      </c>
      <c r="O177" s="15" t="n"/>
      <c r="P177" s="26">
        <f>IF($A177="","",COUNTIFS('Audit Versions'!$A$6:$A$605,$A177,'Audit Versions'!$L$6:$L$605,"Active"))</f>
        <v/>
      </c>
      <c r="Q177" s="15" t="n"/>
      <c r="R177" s="26">
        <f>IF(OR($A177="",$P177=0),"",MOD(N($Q177),$P177)+1)</f>
        <v/>
      </c>
      <c r="S177" s="15" t="n"/>
      <c r="T177" s="25" t="n"/>
      <c r="U177" s="26">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Builder'!$B$12="",N($S177)&lt;='Assignment Builder'!$B$12)))</f>
        <v/>
      </c>
      <c r="V177" s="23" t="n"/>
    </row>
    <row r="178">
      <c r="A178" s="23" t="n"/>
      <c r="B178" s="23" t="n"/>
      <c r="C178" s="24" t="n"/>
      <c r="D178" s="15" t="n"/>
      <c r="E178" s="23" t="n"/>
      <c r="F178" s="15" t="n"/>
      <c r="G178" s="23" t="n"/>
      <c r="H178" s="25" t="n"/>
      <c r="I178" s="15" t="n"/>
      <c r="J178" s="26">
        <f>IF($A178="","",LEN($C178)-LEN(SUBSTITUTE($C178,",",""))+1)</f>
        <v/>
      </c>
      <c r="K178" s="26">
        <f>IF($A178="","",SUMPRODUCT(--ISNUMBER(SEARCH('Category Dictionary'!$D$5:$D$135&amp;"",$C178)),--('Category Dictionary'!$D$5:$D$135&lt;&gt;"")))</f>
        <v/>
      </c>
      <c r="L178" s="27">
        <f>IF($A178="","",TRIM(IF(ISERROR(FIND(",",$C178)),$C178,LEFT($C178,FIND(",",$C178)-1))))</f>
        <v/>
      </c>
      <c r="M178" s="28">
        <f>IF($H178="","",DATE(YEAR($H178),MONTH($H178),1))</f>
        <v/>
      </c>
      <c r="N178" s="26">
        <f>IF($H178="","",TODAY()-$H178)</f>
        <v/>
      </c>
      <c r="O178" s="15" t="n"/>
      <c r="P178" s="26">
        <f>IF($A178="","",COUNTIFS('Audit Versions'!$A$6:$A$605,$A178,'Audit Versions'!$L$6:$L$605,"Active"))</f>
        <v/>
      </c>
      <c r="Q178" s="15" t="n"/>
      <c r="R178" s="26">
        <f>IF(OR($A178="",$P178=0),"",MOD(N($Q178),$P178)+1)</f>
        <v/>
      </c>
      <c r="S178" s="15" t="n"/>
      <c r="T178" s="25" t="n"/>
      <c r="U178" s="26">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Builder'!$B$12="",N($S178)&lt;='Assignment Builder'!$B$12)))</f>
        <v/>
      </c>
      <c r="V178" s="23" t="n"/>
    </row>
    <row r="179">
      <c r="A179" s="23" t="n"/>
      <c r="B179" s="23" t="n"/>
      <c r="C179" s="24" t="n"/>
      <c r="D179" s="15" t="n"/>
      <c r="E179" s="23" t="n"/>
      <c r="F179" s="15" t="n"/>
      <c r="G179" s="23" t="n"/>
      <c r="H179" s="25" t="n"/>
      <c r="I179" s="15" t="n"/>
      <c r="J179" s="26">
        <f>IF($A179="","",LEN($C179)-LEN(SUBSTITUTE($C179,",",""))+1)</f>
        <v/>
      </c>
      <c r="K179" s="26">
        <f>IF($A179="","",SUMPRODUCT(--ISNUMBER(SEARCH('Category Dictionary'!$D$5:$D$135&amp;"",$C179)),--('Category Dictionary'!$D$5:$D$135&lt;&gt;"")))</f>
        <v/>
      </c>
      <c r="L179" s="27">
        <f>IF($A179="","",TRIM(IF(ISERROR(FIND(",",$C179)),$C179,LEFT($C179,FIND(",",$C179)-1))))</f>
        <v/>
      </c>
      <c r="M179" s="28">
        <f>IF($H179="","",DATE(YEAR($H179),MONTH($H179),1))</f>
        <v/>
      </c>
      <c r="N179" s="26">
        <f>IF($H179="","",TODAY()-$H179)</f>
        <v/>
      </c>
      <c r="O179" s="15" t="n"/>
      <c r="P179" s="26">
        <f>IF($A179="","",COUNTIFS('Audit Versions'!$A$6:$A$605,$A179,'Audit Versions'!$L$6:$L$605,"Active"))</f>
        <v/>
      </c>
      <c r="Q179" s="15" t="n"/>
      <c r="R179" s="26">
        <f>IF(OR($A179="",$P179=0),"",MOD(N($Q179),$P179)+1)</f>
        <v/>
      </c>
      <c r="S179" s="15" t="n"/>
      <c r="T179" s="25" t="n"/>
      <c r="U179" s="26">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Builder'!$B$12="",N($S179)&lt;='Assignment Builder'!$B$12)))</f>
        <v/>
      </c>
      <c r="V179" s="23" t="n"/>
    </row>
    <row r="180">
      <c r="A180" s="23" t="n"/>
      <c r="B180" s="23" t="n"/>
      <c r="C180" s="24" t="n"/>
      <c r="D180" s="15" t="n"/>
      <c r="E180" s="23" t="n"/>
      <c r="F180" s="15" t="n"/>
      <c r="G180" s="23" t="n"/>
      <c r="H180" s="25" t="n"/>
      <c r="I180" s="15" t="n"/>
      <c r="J180" s="26">
        <f>IF($A180="","",LEN($C180)-LEN(SUBSTITUTE($C180,",",""))+1)</f>
        <v/>
      </c>
      <c r="K180" s="26">
        <f>IF($A180="","",SUMPRODUCT(--ISNUMBER(SEARCH('Category Dictionary'!$D$5:$D$135&amp;"",$C180)),--('Category Dictionary'!$D$5:$D$135&lt;&gt;"")))</f>
        <v/>
      </c>
      <c r="L180" s="27">
        <f>IF($A180="","",TRIM(IF(ISERROR(FIND(",",$C180)),$C180,LEFT($C180,FIND(",",$C180)-1))))</f>
        <v/>
      </c>
      <c r="M180" s="28">
        <f>IF($H180="","",DATE(YEAR($H180),MONTH($H180),1))</f>
        <v/>
      </c>
      <c r="N180" s="26">
        <f>IF($H180="","",TODAY()-$H180)</f>
        <v/>
      </c>
      <c r="O180" s="15" t="n"/>
      <c r="P180" s="26">
        <f>IF($A180="","",COUNTIFS('Audit Versions'!$A$6:$A$605,$A180,'Audit Versions'!$L$6:$L$605,"Active"))</f>
        <v/>
      </c>
      <c r="Q180" s="15" t="n"/>
      <c r="R180" s="26">
        <f>IF(OR($A180="",$P180=0),"",MOD(N($Q180),$P180)+1)</f>
        <v/>
      </c>
      <c r="S180" s="15" t="n"/>
      <c r="T180" s="25" t="n"/>
      <c r="U180" s="26">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Builder'!$B$12="",N($S180)&lt;='Assignment Builder'!$B$12)))</f>
        <v/>
      </c>
      <c r="V180" s="23" t="n"/>
    </row>
    <row r="181">
      <c r="A181" s="23" t="n"/>
      <c r="B181" s="23" t="n"/>
      <c r="C181" s="24" t="n"/>
      <c r="D181" s="15" t="n"/>
      <c r="E181" s="23" t="n"/>
      <c r="F181" s="15" t="n"/>
      <c r="G181" s="23" t="n"/>
      <c r="H181" s="25" t="n"/>
      <c r="I181" s="15" t="n"/>
      <c r="J181" s="26">
        <f>IF($A181="","",LEN($C181)-LEN(SUBSTITUTE($C181,",",""))+1)</f>
        <v/>
      </c>
      <c r="K181" s="26">
        <f>IF($A181="","",SUMPRODUCT(--ISNUMBER(SEARCH('Category Dictionary'!$D$5:$D$135&amp;"",$C181)),--('Category Dictionary'!$D$5:$D$135&lt;&gt;"")))</f>
        <v/>
      </c>
      <c r="L181" s="27">
        <f>IF($A181="","",TRIM(IF(ISERROR(FIND(",",$C181)),$C181,LEFT($C181,FIND(",",$C181)-1))))</f>
        <v/>
      </c>
      <c r="M181" s="28">
        <f>IF($H181="","",DATE(YEAR($H181),MONTH($H181),1))</f>
        <v/>
      </c>
      <c r="N181" s="26">
        <f>IF($H181="","",TODAY()-$H181)</f>
        <v/>
      </c>
      <c r="O181" s="15" t="n"/>
      <c r="P181" s="26">
        <f>IF($A181="","",COUNTIFS('Audit Versions'!$A$6:$A$605,$A181,'Audit Versions'!$L$6:$L$605,"Active"))</f>
        <v/>
      </c>
      <c r="Q181" s="15" t="n"/>
      <c r="R181" s="26">
        <f>IF(OR($A181="",$P181=0),"",MOD(N($Q181),$P181)+1)</f>
        <v/>
      </c>
      <c r="S181" s="15" t="n"/>
      <c r="T181" s="25" t="n"/>
      <c r="U181" s="26">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Builder'!$B$12="",N($S181)&lt;='Assignment Builder'!$B$12)))</f>
        <v/>
      </c>
      <c r="V181" s="23" t="n"/>
    </row>
    <row r="182">
      <c r="A182" s="23" t="n"/>
      <c r="B182" s="23" t="n"/>
      <c r="C182" s="24" t="n"/>
      <c r="D182" s="15" t="n"/>
      <c r="E182" s="23" t="n"/>
      <c r="F182" s="15" t="n"/>
      <c r="G182" s="23" t="n"/>
      <c r="H182" s="25" t="n"/>
      <c r="I182" s="15" t="n"/>
      <c r="J182" s="26">
        <f>IF($A182="","",LEN($C182)-LEN(SUBSTITUTE($C182,",",""))+1)</f>
        <v/>
      </c>
      <c r="K182" s="26">
        <f>IF($A182="","",SUMPRODUCT(--ISNUMBER(SEARCH('Category Dictionary'!$D$5:$D$135&amp;"",$C182)),--('Category Dictionary'!$D$5:$D$135&lt;&gt;"")))</f>
        <v/>
      </c>
      <c r="L182" s="27">
        <f>IF($A182="","",TRIM(IF(ISERROR(FIND(",",$C182)),$C182,LEFT($C182,FIND(",",$C182)-1))))</f>
        <v/>
      </c>
      <c r="M182" s="28">
        <f>IF($H182="","",DATE(YEAR($H182),MONTH($H182),1))</f>
        <v/>
      </c>
      <c r="N182" s="26">
        <f>IF($H182="","",TODAY()-$H182)</f>
        <v/>
      </c>
      <c r="O182" s="15" t="n"/>
      <c r="P182" s="26">
        <f>IF($A182="","",COUNTIFS('Audit Versions'!$A$6:$A$605,$A182,'Audit Versions'!$L$6:$L$605,"Active"))</f>
        <v/>
      </c>
      <c r="Q182" s="15" t="n"/>
      <c r="R182" s="26">
        <f>IF(OR($A182="",$P182=0),"",MOD(N($Q182),$P182)+1)</f>
        <v/>
      </c>
      <c r="S182" s="15" t="n"/>
      <c r="T182" s="25" t="n"/>
      <c r="U182" s="26">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Builder'!$B$12="",N($S182)&lt;='Assignment Builder'!$B$12)))</f>
        <v/>
      </c>
      <c r="V182" s="23" t="n"/>
    </row>
    <row r="183">
      <c r="A183" s="23" t="n"/>
      <c r="B183" s="23" t="n"/>
      <c r="C183" s="24" t="n"/>
      <c r="D183" s="15" t="n"/>
      <c r="E183" s="23" t="n"/>
      <c r="F183" s="15" t="n"/>
      <c r="G183" s="23" t="n"/>
      <c r="H183" s="25" t="n"/>
      <c r="I183" s="15" t="n"/>
      <c r="J183" s="26">
        <f>IF($A183="","",LEN($C183)-LEN(SUBSTITUTE($C183,",",""))+1)</f>
        <v/>
      </c>
      <c r="K183" s="26">
        <f>IF($A183="","",SUMPRODUCT(--ISNUMBER(SEARCH('Category Dictionary'!$D$5:$D$135&amp;"",$C183)),--('Category Dictionary'!$D$5:$D$135&lt;&gt;"")))</f>
        <v/>
      </c>
      <c r="L183" s="27">
        <f>IF($A183="","",TRIM(IF(ISERROR(FIND(",",$C183)),$C183,LEFT($C183,FIND(",",$C183)-1))))</f>
        <v/>
      </c>
      <c r="M183" s="28">
        <f>IF($H183="","",DATE(YEAR($H183),MONTH($H183),1))</f>
        <v/>
      </c>
      <c r="N183" s="26">
        <f>IF($H183="","",TODAY()-$H183)</f>
        <v/>
      </c>
      <c r="O183" s="15" t="n"/>
      <c r="P183" s="26">
        <f>IF($A183="","",COUNTIFS('Audit Versions'!$A$6:$A$605,$A183,'Audit Versions'!$L$6:$L$605,"Active"))</f>
        <v/>
      </c>
      <c r="Q183" s="15" t="n"/>
      <c r="R183" s="26">
        <f>IF(OR($A183="",$P183=0),"",MOD(N($Q183),$P183)+1)</f>
        <v/>
      </c>
      <c r="S183" s="15" t="n"/>
      <c r="T183" s="25" t="n"/>
      <c r="U183" s="26">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Builder'!$B$12="",N($S183)&lt;='Assignment Builder'!$B$12)))</f>
        <v/>
      </c>
      <c r="V183" s="23" t="n"/>
    </row>
    <row r="184">
      <c r="A184" s="23" t="n"/>
      <c r="B184" s="23" t="n"/>
      <c r="C184" s="24" t="n"/>
      <c r="D184" s="15" t="n"/>
      <c r="E184" s="23" t="n"/>
      <c r="F184" s="15" t="n"/>
      <c r="G184" s="23" t="n"/>
      <c r="H184" s="25" t="n"/>
      <c r="I184" s="15" t="n"/>
      <c r="J184" s="26">
        <f>IF($A184="","",LEN($C184)-LEN(SUBSTITUTE($C184,",",""))+1)</f>
        <v/>
      </c>
      <c r="K184" s="26">
        <f>IF($A184="","",SUMPRODUCT(--ISNUMBER(SEARCH('Category Dictionary'!$D$5:$D$135&amp;"",$C184)),--('Category Dictionary'!$D$5:$D$135&lt;&gt;"")))</f>
        <v/>
      </c>
      <c r="L184" s="27">
        <f>IF($A184="","",TRIM(IF(ISERROR(FIND(",",$C184)),$C184,LEFT($C184,FIND(",",$C184)-1))))</f>
        <v/>
      </c>
      <c r="M184" s="28">
        <f>IF($H184="","",DATE(YEAR($H184),MONTH($H184),1))</f>
        <v/>
      </c>
      <c r="N184" s="26">
        <f>IF($H184="","",TODAY()-$H184)</f>
        <v/>
      </c>
      <c r="O184" s="15" t="n"/>
      <c r="P184" s="26">
        <f>IF($A184="","",COUNTIFS('Audit Versions'!$A$6:$A$605,$A184,'Audit Versions'!$L$6:$L$605,"Active"))</f>
        <v/>
      </c>
      <c r="Q184" s="15" t="n"/>
      <c r="R184" s="26">
        <f>IF(OR($A184="",$P184=0),"",MOD(N($Q184),$P184)+1)</f>
        <v/>
      </c>
      <c r="S184" s="15" t="n"/>
      <c r="T184" s="25" t="n"/>
      <c r="U184" s="26">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Builder'!$B$12="",N($S184)&lt;='Assignment Builder'!$B$12)))</f>
        <v/>
      </c>
      <c r="V184" s="23" t="n"/>
    </row>
    <row r="185">
      <c r="A185" s="23" t="n"/>
      <c r="B185" s="23" t="n"/>
      <c r="C185" s="24" t="n"/>
      <c r="D185" s="15" t="n"/>
      <c r="E185" s="23" t="n"/>
      <c r="F185" s="15" t="n"/>
      <c r="G185" s="23" t="n"/>
      <c r="H185" s="25" t="n"/>
      <c r="I185" s="15" t="n"/>
      <c r="J185" s="26">
        <f>IF($A185="","",LEN($C185)-LEN(SUBSTITUTE($C185,",",""))+1)</f>
        <v/>
      </c>
      <c r="K185" s="26">
        <f>IF($A185="","",SUMPRODUCT(--ISNUMBER(SEARCH('Category Dictionary'!$D$5:$D$135&amp;"",$C185)),--('Category Dictionary'!$D$5:$D$135&lt;&gt;"")))</f>
        <v/>
      </c>
      <c r="L185" s="27">
        <f>IF($A185="","",TRIM(IF(ISERROR(FIND(",",$C185)),$C185,LEFT($C185,FIND(",",$C185)-1))))</f>
        <v/>
      </c>
      <c r="M185" s="28">
        <f>IF($H185="","",DATE(YEAR($H185),MONTH($H185),1))</f>
        <v/>
      </c>
      <c r="N185" s="26">
        <f>IF($H185="","",TODAY()-$H185)</f>
        <v/>
      </c>
      <c r="O185" s="15" t="n"/>
      <c r="P185" s="26">
        <f>IF($A185="","",COUNTIFS('Audit Versions'!$A$6:$A$605,$A185,'Audit Versions'!$L$6:$L$605,"Active"))</f>
        <v/>
      </c>
      <c r="Q185" s="15" t="n"/>
      <c r="R185" s="26">
        <f>IF(OR($A185="",$P185=0),"",MOD(N($Q185),$P185)+1)</f>
        <v/>
      </c>
      <c r="S185" s="15" t="n"/>
      <c r="T185" s="25" t="n"/>
      <c r="U185" s="26">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Builder'!$B$12="",N($S185)&lt;='Assignment Builder'!$B$12)))</f>
        <v/>
      </c>
      <c r="V185" s="23" t="n"/>
    </row>
    <row r="186">
      <c r="A186" s="23" t="n"/>
      <c r="B186" s="23" t="n"/>
      <c r="C186" s="24" t="n"/>
      <c r="D186" s="15" t="n"/>
      <c r="E186" s="23" t="n"/>
      <c r="F186" s="15" t="n"/>
      <c r="G186" s="23" t="n"/>
      <c r="H186" s="25" t="n"/>
      <c r="I186" s="15" t="n"/>
      <c r="J186" s="26">
        <f>IF($A186="","",LEN($C186)-LEN(SUBSTITUTE($C186,",",""))+1)</f>
        <v/>
      </c>
      <c r="K186" s="26">
        <f>IF($A186="","",SUMPRODUCT(--ISNUMBER(SEARCH('Category Dictionary'!$D$5:$D$135&amp;"",$C186)),--('Category Dictionary'!$D$5:$D$135&lt;&gt;"")))</f>
        <v/>
      </c>
      <c r="L186" s="27">
        <f>IF($A186="","",TRIM(IF(ISERROR(FIND(",",$C186)),$C186,LEFT($C186,FIND(",",$C186)-1))))</f>
        <v/>
      </c>
      <c r="M186" s="28">
        <f>IF($H186="","",DATE(YEAR($H186),MONTH($H186),1))</f>
        <v/>
      </c>
      <c r="N186" s="26">
        <f>IF($H186="","",TODAY()-$H186)</f>
        <v/>
      </c>
      <c r="O186" s="15" t="n"/>
      <c r="P186" s="26">
        <f>IF($A186="","",COUNTIFS('Audit Versions'!$A$6:$A$605,$A186,'Audit Versions'!$L$6:$L$605,"Active"))</f>
        <v/>
      </c>
      <c r="Q186" s="15" t="n"/>
      <c r="R186" s="26">
        <f>IF(OR($A186="",$P186=0),"",MOD(N($Q186),$P186)+1)</f>
        <v/>
      </c>
      <c r="S186" s="15" t="n"/>
      <c r="T186" s="25" t="n"/>
      <c r="U186" s="26">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Builder'!$B$12="",N($S186)&lt;='Assignment Builder'!$B$12)))</f>
        <v/>
      </c>
      <c r="V186" s="23" t="n"/>
    </row>
    <row r="187">
      <c r="A187" s="23" t="n"/>
      <c r="B187" s="23" t="n"/>
      <c r="C187" s="24" t="n"/>
      <c r="D187" s="15" t="n"/>
      <c r="E187" s="23" t="n"/>
      <c r="F187" s="15" t="n"/>
      <c r="G187" s="23" t="n"/>
      <c r="H187" s="25" t="n"/>
      <c r="I187" s="15" t="n"/>
      <c r="J187" s="26">
        <f>IF($A187="","",LEN($C187)-LEN(SUBSTITUTE($C187,",",""))+1)</f>
        <v/>
      </c>
      <c r="K187" s="26">
        <f>IF($A187="","",SUMPRODUCT(--ISNUMBER(SEARCH('Category Dictionary'!$D$5:$D$135&amp;"",$C187)),--('Category Dictionary'!$D$5:$D$135&lt;&gt;"")))</f>
        <v/>
      </c>
      <c r="L187" s="27">
        <f>IF($A187="","",TRIM(IF(ISERROR(FIND(",",$C187)),$C187,LEFT($C187,FIND(",",$C187)-1))))</f>
        <v/>
      </c>
      <c r="M187" s="28">
        <f>IF($H187="","",DATE(YEAR($H187),MONTH($H187),1))</f>
        <v/>
      </c>
      <c r="N187" s="26">
        <f>IF($H187="","",TODAY()-$H187)</f>
        <v/>
      </c>
      <c r="O187" s="15" t="n"/>
      <c r="P187" s="26">
        <f>IF($A187="","",COUNTIFS('Audit Versions'!$A$6:$A$605,$A187,'Audit Versions'!$L$6:$L$605,"Active"))</f>
        <v/>
      </c>
      <c r="Q187" s="15" t="n"/>
      <c r="R187" s="26">
        <f>IF(OR($A187="",$P187=0),"",MOD(N($Q187),$P187)+1)</f>
        <v/>
      </c>
      <c r="S187" s="15" t="n"/>
      <c r="T187" s="25" t="n"/>
      <c r="U187" s="26">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Builder'!$B$12="",N($S187)&lt;='Assignment Builder'!$B$12)))</f>
        <v/>
      </c>
      <c r="V187" s="23" t="n"/>
    </row>
    <row r="188">
      <c r="A188" s="23" t="n"/>
      <c r="B188" s="23" t="n"/>
      <c r="C188" s="24" t="n"/>
      <c r="D188" s="15" t="n"/>
      <c r="E188" s="23" t="n"/>
      <c r="F188" s="15" t="n"/>
      <c r="G188" s="23" t="n"/>
      <c r="H188" s="25" t="n"/>
      <c r="I188" s="15" t="n"/>
      <c r="J188" s="26">
        <f>IF($A188="","",LEN($C188)-LEN(SUBSTITUTE($C188,",",""))+1)</f>
        <v/>
      </c>
      <c r="K188" s="26">
        <f>IF($A188="","",SUMPRODUCT(--ISNUMBER(SEARCH('Category Dictionary'!$D$5:$D$135&amp;"",$C188)),--('Category Dictionary'!$D$5:$D$135&lt;&gt;"")))</f>
        <v/>
      </c>
      <c r="L188" s="27">
        <f>IF($A188="","",TRIM(IF(ISERROR(FIND(",",$C188)),$C188,LEFT($C188,FIND(",",$C188)-1))))</f>
        <v/>
      </c>
      <c r="M188" s="28">
        <f>IF($H188="","",DATE(YEAR($H188),MONTH($H188),1))</f>
        <v/>
      </c>
      <c r="N188" s="26">
        <f>IF($H188="","",TODAY()-$H188)</f>
        <v/>
      </c>
      <c r="O188" s="15" t="n"/>
      <c r="P188" s="26">
        <f>IF($A188="","",COUNTIFS('Audit Versions'!$A$6:$A$605,$A188,'Audit Versions'!$L$6:$L$605,"Active"))</f>
        <v/>
      </c>
      <c r="Q188" s="15" t="n"/>
      <c r="R188" s="26">
        <f>IF(OR($A188="",$P188=0),"",MOD(N($Q188),$P188)+1)</f>
        <v/>
      </c>
      <c r="S188" s="15" t="n"/>
      <c r="T188" s="25" t="n"/>
      <c r="U188" s="26">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Builder'!$B$12="",N($S188)&lt;='Assignment Builder'!$B$12)))</f>
        <v/>
      </c>
      <c r="V188" s="23" t="n"/>
    </row>
    <row r="189">
      <c r="A189" s="23" t="n"/>
      <c r="B189" s="23" t="n"/>
      <c r="C189" s="24" t="n"/>
      <c r="D189" s="15" t="n"/>
      <c r="E189" s="23" t="n"/>
      <c r="F189" s="15" t="n"/>
      <c r="G189" s="23" t="n"/>
      <c r="H189" s="25" t="n"/>
      <c r="I189" s="15" t="n"/>
      <c r="J189" s="26">
        <f>IF($A189="","",LEN($C189)-LEN(SUBSTITUTE($C189,",",""))+1)</f>
        <v/>
      </c>
      <c r="K189" s="26">
        <f>IF($A189="","",SUMPRODUCT(--ISNUMBER(SEARCH('Category Dictionary'!$D$5:$D$135&amp;"",$C189)),--('Category Dictionary'!$D$5:$D$135&lt;&gt;"")))</f>
        <v/>
      </c>
      <c r="L189" s="27">
        <f>IF($A189="","",TRIM(IF(ISERROR(FIND(",",$C189)),$C189,LEFT($C189,FIND(",",$C189)-1))))</f>
        <v/>
      </c>
      <c r="M189" s="28">
        <f>IF($H189="","",DATE(YEAR($H189),MONTH($H189),1))</f>
        <v/>
      </c>
      <c r="N189" s="26">
        <f>IF($H189="","",TODAY()-$H189)</f>
        <v/>
      </c>
      <c r="O189" s="15" t="n"/>
      <c r="P189" s="26">
        <f>IF($A189="","",COUNTIFS('Audit Versions'!$A$6:$A$605,$A189,'Audit Versions'!$L$6:$L$605,"Active"))</f>
        <v/>
      </c>
      <c r="Q189" s="15" t="n"/>
      <c r="R189" s="26">
        <f>IF(OR($A189="",$P189=0),"",MOD(N($Q189),$P189)+1)</f>
        <v/>
      </c>
      <c r="S189" s="15" t="n"/>
      <c r="T189" s="25" t="n"/>
      <c r="U189" s="26">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Builder'!$B$12="",N($S189)&lt;='Assignment Builder'!$B$12)))</f>
        <v/>
      </c>
      <c r="V189" s="23" t="n"/>
    </row>
    <row r="190">
      <c r="A190" s="23" t="n"/>
      <c r="B190" s="23" t="n"/>
      <c r="C190" s="24" t="n"/>
      <c r="D190" s="15" t="n"/>
      <c r="E190" s="23" t="n"/>
      <c r="F190" s="15" t="n"/>
      <c r="G190" s="23" t="n"/>
      <c r="H190" s="25" t="n"/>
      <c r="I190" s="15" t="n"/>
      <c r="J190" s="26">
        <f>IF($A190="","",LEN($C190)-LEN(SUBSTITUTE($C190,",",""))+1)</f>
        <v/>
      </c>
      <c r="K190" s="26">
        <f>IF($A190="","",SUMPRODUCT(--ISNUMBER(SEARCH('Category Dictionary'!$D$5:$D$135&amp;"",$C190)),--('Category Dictionary'!$D$5:$D$135&lt;&gt;"")))</f>
        <v/>
      </c>
      <c r="L190" s="27">
        <f>IF($A190="","",TRIM(IF(ISERROR(FIND(",",$C190)),$C190,LEFT($C190,FIND(",",$C190)-1))))</f>
        <v/>
      </c>
      <c r="M190" s="28">
        <f>IF($H190="","",DATE(YEAR($H190),MONTH($H190),1))</f>
        <v/>
      </c>
      <c r="N190" s="26">
        <f>IF($H190="","",TODAY()-$H190)</f>
        <v/>
      </c>
      <c r="O190" s="15" t="n"/>
      <c r="P190" s="26">
        <f>IF($A190="","",COUNTIFS('Audit Versions'!$A$6:$A$605,$A190,'Audit Versions'!$L$6:$L$605,"Active"))</f>
        <v/>
      </c>
      <c r="Q190" s="15" t="n"/>
      <c r="R190" s="26">
        <f>IF(OR($A190="",$P190=0),"",MOD(N($Q190),$P190)+1)</f>
        <v/>
      </c>
      <c r="S190" s="15" t="n"/>
      <c r="T190" s="25" t="n"/>
      <c r="U190" s="26">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Builder'!$B$12="",N($S190)&lt;='Assignment Builder'!$B$12)))</f>
        <v/>
      </c>
      <c r="V190" s="23" t="n"/>
    </row>
    <row r="191">
      <c r="A191" s="23" t="n"/>
      <c r="B191" s="23" t="n"/>
      <c r="C191" s="24" t="n"/>
      <c r="D191" s="15" t="n"/>
      <c r="E191" s="23" t="n"/>
      <c r="F191" s="15" t="n"/>
      <c r="G191" s="23" t="n"/>
      <c r="H191" s="25" t="n"/>
      <c r="I191" s="15" t="n"/>
      <c r="J191" s="26">
        <f>IF($A191="","",LEN($C191)-LEN(SUBSTITUTE($C191,",",""))+1)</f>
        <v/>
      </c>
      <c r="K191" s="26">
        <f>IF($A191="","",SUMPRODUCT(--ISNUMBER(SEARCH('Category Dictionary'!$D$5:$D$135&amp;"",$C191)),--('Category Dictionary'!$D$5:$D$135&lt;&gt;"")))</f>
        <v/>
      </c>
      <c r="L191" s="27">
        <f>IF($A191="","",TRIM(IF(ISERROR(FIND(",",$C191)),$C191,LEFT($C191,FIND(",",$C191)-1))))</f>
        <v/>
      </c>
      <c r="M191" s="28">
        <f>IF($H191="","",DATE(YEAR($H191),MONTH($H191),1))</f>
        <v/>
      </c>
      <c r="N191" s="26">
        <f>IF($H191="","",TODAY()-$H191)</f>
        <v/>
      </c>
      <c r="O191" s="15" t="n"/>
      <c r="P191" s="26">
        <f>IF($A191="","",COUNTIFS('Audit Versions'!$A$6:$A$605,$A191,'Audit Versions'!$L$6:$L$605,"Active"))</f>
        <v/>
      </c>
      <c r="Q191" s="15" t="n"/>
      <c r="R191" s="26">
        <f>IF(OR($A191="",$P191=0),"",MOD(N($Q191),$P191)+1)</f>
        <v/>
      </c>
      <c r="S191" s="15" t="n"/>
      <c r="T191" s="25" t="n"/>
      <c r="U191" s="26">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Builder'!$B$12="",N($S191)&lt;='Assignment Builder'!$B$12)))</f>
        <v/>
      </c>
      <c r="V191" s="23" t="n"/>
    </row>
    <row r="192">
      <c r="A192" s="23" t="n"/>
      <c r="B192" s="23" t="n"/>
      <c r="C192" s="24" t="n"/>
      <c r="D192" s="15" t="n"/>
      <c r="E192" s="23" t="n"/>
      <c r="F192" s="15" t="n"/>
      <c r="G192" s="23" t="n"/>
      <c r="H192" s="25" t="n"/>
      <c r="I192" s="15" t="n"/>
      <c r="J192" s="26">
        <f>IF($A192="","",LEN($C192)-LEN(SUBSTITUTE($C192,",",""))+1)</f>
        <v/>
      </c>
      <c r="K192" s="26">
        <f>IF($A192="","",SUMPRODUCT(--ISNUMBER(SEARCH('Category Dictionary'!$D$5:$D$135&amp;"",$C192)),--('Category Dictionary'!$D$5:$D$135&lt;&gt;"")))</f>
        <v/>
      </c>
      <c r="L192" s="27">
        <f>IF($A192="","",TRIM(IF(ISERROR(FIND(",",$C192)),$C192,LEFT($C192,FIND(",",$C192)-1))))</f>
        <v/>
      </c>
      <c r="M192" s="28">
        <f>IF($H192="","",DATE(YEAR($H192),MONTH($H192),1))</f>
        <v/>
      </c>
      <c r="N192" s="26">
        <f>IF($H192="","",TODAY()-$H192)</f>
        <v/>
      </c>
      <c r="O192" s="15" t="n"/>
      <c r="P192" s="26">
        <f>IF($A192="","",COUNTIFS('Audit Versions'!$A$6:$A$605,$A192,'Audit Versions'!$L$6:$L$605,"Active"))</f>
        <v/>
      </c>
      <c r="Q192" s="15" t="n"/>
      <c r="R192" s="26">
        <f>IF(OR($A192="",$P192=0),"",MOD(N($Q192),$P192)+1)</f>
        <v/>
      </c>
      <c r="S192" s="15" t="n"/>
      <c r="T192" s="25" t="n"/>
      <c r="U192" s="26">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Builder'!$B$12="",N($S192)&lt;='Assignment Builder'!$B$12)))</f>
        <v/>
      </c>
      <c r="V192" s="23" t="n"/>
    </row>
    <row r="193">
      <c r="A193" s="23" t="n"/>
      <c r="B193" s="23" t="n"/>
      <c r="C193" s="24" t="n"/>
      <c r="D193" s="15" t="n"/>
      <c r="E193" s="23" t="n"/>
      <c r="F193" s="15" t="n"/>
      <c r="G193" s="23" t="n"/>
      <c r="H193" s="25" t="n"/>
      <c r="I193" s="15" t="n"/>
      <c r="J193" s="26">
        <f>IF($A193="","",LEN($C193)-LEN(SUBSTITUTE($C193,",",""))+1)</f>
        <v/>
      </c>
      <c r="K193" s="26">
        <f>IF($A193="","",SUMPRODUCT(--ISNUMBER(SEARCH('Category Dictionary'!$D$5:$D$135&amp;"",$C193)),--('Category Dictionary'!$D$5:$D$135&lt;&gt;"")))</f>
        <v/>
      </c>
      <c r="L193" s="27">
        <f>IF($A193="","",TRIM(IF(ISERROR(FIND(",",$C193)),$C193,LEFT($C193,FIND(",",$C193)-1))))</f>
        <v/>
      </c>
      <c r="M193" s="28">
        <f>IF($H193="","",DATE(YEAR($H193),MONTH($H193),1))</f>
        <v/>
      </c>
      <c r="N193" s="26">
        <f>IF($H193="","",TODAY()-$H193)</f>
        <v/>
      </c>
      <c r="O193" s="15" t="n"/>
      <c r="P193" s="26">
        <f>IF($A193="","",COUNTIFS('Audit Versions'!$A$6:$A$605,$A193,'Audit Versions'!$L$6:$L$605,"Active"))</f>
        <v/>
      </c>
      <c r="Q193" s="15" t="n"/>
      <c r="R193" s="26">
        <f>IF(OR($A193="",$P193=0),"",MOD(N($Q193),$P193)+1)</f>
        <v/>
      </c>
      <c r="S193" s="15" t="n"/>
      <c r="T193" s="25" t="n"/>
      <c r="U193" s="26">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Builder'!$B$12="",N($S193)&lt;='Assignment Builder'!$B$12)))</f>
        <v/>
      </c>
      <c r="V193" s="23" t="n"/>
    </row>
    <row r="194">
      <c r="A194" s="23" t="n"/>
      <c r="B194" s="23" t="n"/>
      <c r="C194" s="24" t="n"/>
      <c r="D194" s="15" t="n"/>
      <c r="E194" s="23" t="n"/>
      <c r="F194" s="15" t="n"/>
      <c r="G194" s="23" t="n"/>
      <c r="H194" s="25" t="n"/>
      <c r="I194" s="15" t="n"/>
      <c r="J194" s="26">
        <f>IF($A194="","",LEN($C194)-LEN(SUBSTITUTE($C194,",",""))+1)</f>
        <v/>
      </c>
      <c r="K194" s="26">
        <f>IF($A194="","",SUMPRODUCT(--ISNUMBER(SEARCH('Category Dictionary'!$D$5:$D$135&amp;"",$C194)),--('Category Dictionary'!$D$5:$D$135&lt;&gt;"")))</f>
        <v/>
      </c>
      <c r="L194" s="27">
        <f>IF($A194="","",TRIM(IF(ISERROR(FIND(",",$C194)),$C194,LEFT($C194,FIND(",",$C194)-1))))</f>
        <v/>
      </c>
      <c r="M194" s="28">
        <f>IF($H194="","",DATE(YEAR($H194),MONTH($H194),1))</f>
        <v/>
      </c>
      <c r="N194" s="26">
        <f>IF($H194="","",TODAY()-$H194)</f>
        <v/>
      </c>
      <c r="O194" s="15" t="n"/>
      <c r="P194" s="26">
        <f>IF($A194="","",COUNTIFS('Audit Versions'!$A$6:$A$605,$A194,'Audit Versions'!$L$6:$L$605,"Active"))</f>
        <v/>
      </c>
      <c r="Q194" s="15" t="n"/>
      <c r="R194" s="26">
        <f>IF(OR($A194="",$P194=0),"",MOD(N($Q194),$P194)+1)</f>
        <v/>
      </c>
      <c r="S194" s="15" t="n"/>
      <c r="T194" s="25" t="n"/>
      <c r="U194" s="26">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Builder'!$B$12="",N($S194)&lt;='Assignment Builder'!$B$12)))</f>
        <v/>
      </c>
      <c r="V194" s="23" t="n"/>
    </row>
    <row r="195">
      <c r="A195" s="23" t="n"/>
      <c r="B195" s="23" t="n"/>
      <c r="C195" s="24" t="n"/>
      <c r="D195" s="15" t="n"/>
      <c r="E195" s="23" t="n"/>
      <c r="F195" s="15" t="n"/>
      <c r="G195" s="23" t="n"/>
      <c r="H195" s="25" t="n"/>
      <c r="I195" s="15" t="n"/>
      <c r="J195" s="26">
        <f>IF($A195="","",LEN($C195)-LEN(SUBSTITUTE($C195,",",""))+1)</f>
        <v/>
      </c>
      <c r="K195" s="26">
        <f>IF($A195="","",SUMPRODUCT(--ISNUMBER(SEARCH('Category Dictionary'!$D$5:$D$135&amp;"",$C195)),--('Category Dictionary'!$D$5:$D$135&lt;&gt;"")))</f>
        <v/>
      </c>
      <c r="L195" s="27">
        <f>IF($A195="","",TRIM(IF(ISERROR(FIND(",",$C195)),$C195,LEFT($C195,FIND(",",$C195)-1))))</f>
        <v/>
      </c>
      <c r="M195" s="28">
        <f>IF($H195="","",DATE(YEAR($H195),MONTH($H195),1))</f>
        <v/>
      </c>
      <c r="N195" s="26">
        <f>IF($H195="","",TODAY()-$H195)</f>
        <v/>
      </c>
      <c r="O195" s="15" t="n"/>
      <c r="P195" s="26">
        <f>IF($A195="","",COUNTIFS('Audit Versions'!$A$6:$A$605,$A195,'Audit Versions'!$L$6:$L$605,"Active"))</f>
        <v/>
      </c>
      <c r="Q195" s="15" t="n"/>
      <c r="R195" s="26">
        <f>IF(OR($A195="",$P195=0),"",MOD(N($Q195),$P195)+1)</f>
        <v/>
      </c>
      <c r="S195" s="15" t="n"/>
      <c r="T195" s="25" t="n"/>
      <c r="U195" s="26">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Builder'!$B$12="",N($S195)&lt;='Assignment Builder'!$B$12)))</f>
        <v/>
      </c>
      <c r="V195" s="23" t="n"/>
    </row>
    <row r="196">
      <c r="A196" s="23" t="n"/>
      <c r="B196" s="23" t="n"/>
      <c r="C196" s="24" t="n"/>
      <c r="D196" s="15" t="n"/>
      <c r="E196" s="23" t="n"/>
      <c r="F196" s="15" t="n"/>
      <c r="G196" s="23" t="n"/>
      <c r="H196" s="25" t="n"/>
      <c r="I196" s="15" t="n"/>
      <c r="J196" s="26">
        <f>IF($A196="","",LEN($C196)-LEN(SUBSTITUTE($C196,",",""))+1)</f>
        <v/>
      </c>
      <c r="K196" s="26">
        <f>IF($A196="","",SUMPRODUCT(--ISNUMBER(SEARCH('Category Dictionary'!$D$5:$D$135&amp;"",$C196)),--('Category Dictionary'!$D$5:$D$135&lt;&gt;"")))</f>
        <v/>
      </c>
      <c r="L196" s="27">
        <f>IF($A196="","",TRIM(IF(ISERROR(FIND(",",$C196)),$C196,LEFT($C196,FIND(",",$C196)-1))))</f>
        <v/>
      </c>
      <c r="M196" s="28">
        <f>IF($H196="","",DATE(YEAR($H196),MONTH($H196),1))</f>
        <v/>
      </c>
      <c r="N196" s="26">
        <f>IF($H196="","",TODAY()-$H196)</f>
        <v/>
      </c>
      <c r="O196" s="15" t="n"/>
      <c r="P196" s="26">
        <f>IF($A196="","",COUNTIFS('Audit Versions'!$A$6:$A$605,$A196,'Audit Versions'!$L$6:$L$605,"Active"))</f>
        <v/>
      </c>
      <c r="Q196" s="15" t="n"/>
      <c r="R196" s="26">
        <f>IF(OR($A196="",$P196=0),"",MOD(N($Q196),$P196)+1)</f>
        <v/>
      </c>
      <c r="S196" s="15" t="n"/>
      <c r="T196" s="25" t="n"/>
      <c r="U196" s="26">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Builder'!$B$12="",N($S196)&lt;='Assignment Builder'!$B$12)))</f>
        <v/>
      </c>
      <c r="V196" s="23" t="n"/>
    </row>
    <row r="197">
      <c r="A197" s="23" t="n"/>
      <c r="B197" s="23" t="n"/>
      <c r="C197" s="24" t="n"/>
      <c r="D197" s="15" t="n"/>
      <c r="E197" s="23" t="n"/>
      <c r="F197" s="15" t="n"/>
      <c r="G197" s="23" t="n"/>
      <c r="H197" s="25" t="n"/>
      <c r="I197" s="15" t="n"/>
      <c r="J197" s="26">
        <f>IF($A197="","",LEN($C197)-LEN(SUBSTITUTE($C197,",",""))+1)</f>
        <v/>
      </c>
      <c r="K197" s="26">
        <f>IF($A197="","",SUMPRODUCT(--ISNUMBER(SEARCH('Category Dictionary'!$D$5:$D$135&amp;"",$C197)),--('Category Dictionary'!$D$5:$D$135&lt;&gt;"")))</f>
        <v/>
      </c>
      <c r="L197" s="27">
        <f>IF($A197="","",TRIM(IF(ISERROR(FIND(",",$C197)),$C197,LEFT($C197,FIND(",",$C197)-1))))</f>
        <v/>
      </c>
      <c r="M197" s="28">
        <f>IF($H197="","",DATE(YEAR($H197),MONTH($H197),1))</f>
        <v/>
      </c>
      <c r="N197" s="26">
        <f>IF($H197="","",TODAY()-$H197)</f>
        <v/>
      </c>
      <c r="O197" s="15" t="n"/>
      <c r="P197" s="26">
        <f>IF($A197="","",COUNTIFS('Audit Versions'!$A$6:$A$605,$A197,'Audit Versions'!$L$6:$L$605,"Active"))</f>
        <v/>
      </c>
      <c r="Q197" s="15" t="n"/>
      <c r="R197" s="26">
        <f>IF(OR($A197="",$P197=0),"",MOD(N($Q197),$P197)+1)</f>
        <v/>
      </c>
      <c r="S197" s="15" t="n"/>
      <c r="T197" s="25" t="n"/>
      <c r="U197" s="26">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Builder'!$B$12="",N($S197)&lt;='Assignment Builder'!$B$12)))</f>
        <v/>
      </c>
      <c r="V197" s="23" t="n"/>
    </row>
    <row r="198">
      <c r="A198" s="23" t="n"/>
      <c r="B198" s="23" t="n"/>
      <c r="C198" s="24" t="n"/>
      <c r="D198" s="15" t="n"/>
      <c r="E198" s="23" t="n"/>
      <c r="F198" s="15" t="n"/>
      <c r="G198" s="23" t="n"/>
      <c r="H198" s="25" t="n"/>
      <c r="I198" s="15" t="n"/>
      <c r="J198" s="26">
        <f>IF($A198="","",LEN($C198)-LEN(SUBSTITUTE($C198,",",""))+1)</f>
        <v/>
      </c>
      <c r="K198" s="26">
        <f>IF($A198="","",SUMPRODUCT(--ISNUMBER(SEARCH('Category Dictionary'!$D$5:$D$135&amp;"",$C198)),--('Category Dictionary'!$D$5:$D$135&lt;&gt;"")))</f>
        <v/>
      </c>
      <c r="L198" s="27">
        <f>IF($A198="","",TRIM(IF(ISERROR(FIND(",",$C198)),$C198,LEFT($C198,FIND(",",$C198)-1))))</f>
        <v/>
      </c>
      <c r="M198" s="28">
        <f>IF($H198="","",DATE(YEAR($H198),MONTH($H198),1))</f>
        <v/>
      </c>
      <c r="N198" s="26">
        <f>IF($H198="","",TODAY()-$H198)</f>
        <v/>
      </c>
      <c r="O198" s="15" t="n"/>
      <c r="P198" s="26">
        <f>IF($A198="","",COUNTIFS('Audit Versions'!$A$6:$A$605,$A198,'Audit Versions'!$L$6:$L$605,"Active"))</f>
        <v/>
      </c>
      <c r="Q198" s="15" t="n"/>
      <c r="R198" s="26">
        <f>IF(OR($A198="",$P198=0),"",MOD(N($Q198),$P198)+1)</f>
        <v/>
      </c>
      <c r="S198" s="15" t="n"/>
      <c r="T198" s="25" t="n"/>
      <c r="U198" s="26">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Builder'!$B$12="",N($S198)&lt;='Assignment Builder'!$B$12)))</f>
        <v/>
      </c>
      <c r="V198" s="23" t="n"/>
    </row>
    <row r="199">
      <c r="A199" s="23" t="n"/>
      <c r="B199" s="23" t="n"/>
      <c r="C199" s="24" t="n"/>
      <c r="D199" s="15" t="n"/>
      <c r="E199" s="23" t="n"/>
      <c r="F199" s="15" t="n"/>
      <c r="G199" s="23" t="n"/>
      <c r="H199" s="25" t="n"/>
      <c r="I199" s="15" t="n"/>
      <c r="J199" s="26">
        <f>IF($A199="","",LEN($C199)-LEN(SUBSTITUTE($C199,",",""))+1)</f>
        <v/>
      </c>
      <c r="K199" s="26">
        <f>IF($A199="","",SUMPRODUCT(--ISNUMBER(SEARCH('Category Dictionary'!$D$5:$D$135&amp;"",$C199)),--('Category Dictionary'!$D$5:$D$135&lt;&gt;"")))</f>
        <v/>
      </c>
      <c r="L199" s="27">
        <f>IF($A199="","",TRIM(IF(ISERROR(FIND(",",$C199)),$C199,LEFT($C199,FIND(",",$C199)-1))))</f>
        <v/>
      </c>
      <c r="M199" s="28">
        <f>IF($H199="","",DATE(YEAR($H199),MONTH($H199),1))</f>
        <v/>
      </c>
      <c r="N199" s="26">
        <f>IF($H199="","",TODAY()-$H199)</f>
        <v/>
      </c>
      <c r="O199" s="15" t="n"/>
      <c r="P199" s="26">
        <f>IF($A199="","",COUNTIFS('Audit Versions'!$A$6:$A$605,$A199,'Audit Versions'!$L$6:$L$605,"Active"))</f>
        <v/>
      </c>
      <c r="Q199" s="15" t="n"/>
      <c r="R199" s="26">
        <f>IF(OR($A199="",$P199=0),"",MOD(N($Q199),$P199)+1)</f>
        <v/>
      </c>
      <c r="S199" s="15" t="n"/>
      <c r="T199" s="25" t="n"/>
      <c r="U199" s="26">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Builder'!$B$12="",N($S199)&lt;='Assignment Builder'!$B$12)))</f>
        <v/>
      </c>
      <c r="V199" s="23" t="n"/>
    </row>
    <row r="200">
      <c r="A200" s="23" t="n"/>
      <c r="B200" s="23" t="n"/>
      <c r="C200" s="24" t="n"/>
      <c r="D200" s="15" t="n"/>
      <c r="E200" s="23" t="n"/>
      <c r="F200" s="15" t="n"/>
      <c r="G200" s="23" t="n"/>
      <c r="H200" s="25" t="n"/>
      <c r="I200" s="15" t="n"/>
      <c r="J200" s="26">
        <f>IF($A200="","",LEN($C200)-LEN(SUBSTITUTE($C200,",",""))+1)</f>
        <v/>
      </c>
      <c r="K200" s="26">
        <f>IF($A200="","",SUMPRODUCT(--ISNUMBER(SEARCH('Category Dictionary'!$D$5:$D$135&amp;"",$C200)),--('Category Dictionary'!$D$5:$D$135&lt;&gt;"")))</f>
        <v/>
      </c>
      <c r="L200" s="27">
        <f>IF($A200="","",TRIM(IF(ISERROR(FIND(",",$C200)),$C200,LEFT($C200,FIND(",",$C200)-1))))</f>
        <v/>
      </c>
      <c r="M200" s="28">
        <f>IF($H200="","",DATE(YEAR($H200),MONTH($H200),1))</f>
        <v/>
      </c>
      <c r="N200" s="26">
        <f>IF($H200="","",TODAY()-$H200)</f>
        <v/>
      </c>
      <c r="O200" s="15" t="n"/>
      <c r="P200" s="26">
        <f>IF($A200="","",COUNTIFS('Audit Versions'!$A$6:$A$605,$A200,'Audit Versions'!$L$6:$L$605,"Active"))</f>
        <v/>
      </c>
      <c r="Q200" s="15" t="n"/>
      <c r="R200" s="26">
        <f>IF(OR($A200="",$P200=0),"",MOD(N($Q200),$P200)+1)</f>
        <v/>
      </c>
      <c r="S200" s="15" t="n"/>
      <c r="T200" s="25" t="n"/>
      <c r="U200" s="26">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Builder'!$B$12="",N($S200)&lt;='Assignment Builder'!$B$12)))</f>
        <v/>
      </c>
      <c r="V200" s="23" t="n"/>
    </row>
    <row r="201">
      <c r="A201" s="23" t="n"/>
      <c r="B201" s="23" t="n"/>
      <c r="C201" s="24" t="n"/>
      <c r="D201" s="15" t="n"/>
      <c r="E201" s="23" t="n"/>
      <c r="F201" s="15" t="n"/>
      <c r="G201" s="23" t="n"/>
      <c r="H201" s="25" t="n"/>
      <c r="I201" s="15" t="n"/>
      <c r="J201" s="26">
        <f>IF($A201="","",LEN($C201)-LEN(SUBSTITUTE($C201,",",""))+1)</f>
        <v/>
      </c>
      <c r="K201" s="26">
        <f>IF($A201="","",SUMPRODUCT(--ISNUMBER(SEARCH('Category Dictionary'!$D$5:$D$135&amp;"",$C201)),--('Category Dictionary'!$D$5:$D$135&lt;&gt;"")))</f>
        <v/>
      </c>
      <c r="L201" s="27">
        <f>IF($A201="","",TRIM(IF(ISERROR(FIND(",",$C201)),$C201,LEFT($C201,FIND(",",$C201)-1))))</f>
        <v/>
      </c>
      <c r="M201" s="28">
        <f>IF($H201="","",DATE(YEAR($H201),MONTH($H201),1))</f>
        <v/>
      </c>
      <c r="N201" s="26">
        <f>IF($H201="","",TODAY()-$H201)</f>
        <v/>
      </c>
      <c r="O201" s="15" t="n"/>
      <c r="P201" s="26">
        <f>IF($A201="","",COUNTIFS('Audit Versions'!$A$6:$A$605,$A201,'Audit Versions'!$L$6:$L$605,"Active"))</f>
        <v/>
      </c>
      <c r="Q201" s="15" t="n"/>
      <c r="R201" s="26">
        <f>IF(OR($A201="",$P201=0),"",MOD(N($Q201),$P201)+1)</f>
        <v/>
      </c>
      <c r="S201" s="15" t="n"/>
      <c r="T201" s="25" t="n"/>
      <c r="U201" s="26">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Builder'!$B$12="",N($S201)&lt;='Assignment Builder'!$B$12)))</f>
        <v/>
      </c>
      <c r="V201" s="23" t="n"/>
    </row>
    <row r="202">
      <c r="A202" s="23" t="n"/>
      <c r="B202" s="23" t="n"/>
      <c r="C202" s="24" t="n"/>
      <c r="D202" s="15" t="n"/>
      <c r="E202" s="23" t="n"/>
      <c r="F202" s="15" t="n"/>
      <c r="G202" s="23" t="n"/>
      <c r="H202" s="25" t="n"/>
      <c r="I202" s="15" t="n"/>
      <c r="J202" s="26">
        <f>IF($A202="","",LEN($C202)-LEN(SUBSTITUTE($C202,",",""))+1)</f>
        <v/>
      </c>
      <c r="K202" s="26">
        <f>IF($A202="","",SUMPRODUCT(--ISNUMBER(SEARCH('Category Dictionary'!$D$5:$D$135&amp;"",$C202)),--('Category Dictionary'!$D$5:$D$135&lt;&gt;"")))</f>
        <v/>
      </c>
      <c r="L202" s="27">
        <f>IF($A202="","",TRIM(IF(ISERROR(FIND(",",$C202)),$C202,LEFT($C202,FIND(",",$C202)-1))))</f>
        <v/>
      </c>
      <c r="M202" s="28">
        <f>IF($H202="","",DATE(YEAR($H202),MONTH($H202),1))</f>
        <v/>
      </c>
      <c r="N202" s="26">
        <f>IF($H202="","",TODAY()-$H202)</f>
        <v/>
      </c>
      <c r="O202" s="15" t="n"/>
      <c r="P202" s="26">
        <f>IF($A202="","",COUNTIFS('Audit Versions'!$A$6:$A$605,$A202,'Audit Versions'!$L$6:$L$605,"Active"))</f>
        <v/>
      </c>
      <c r="Q202" s="15" t="n"/>
      <c r="R202" s="26">
        <f>IF(OR($A202="",$P202=0),"",MOD(N($Q202),$P202)+1)</f>
        <v/>
      </c>
      <c r="S202" s="15" t="n"/>
      <c r="T202" s="25" t="n"/>
      <c r="U202" s="26">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Builder'!$B$12="",N($S202)&lt;='Assignment Builder'!$B$12)))</f>
        <v/>
      </c>
      <c r="V202" s="23" t="n"/>
    </row>
    <row r="203">
      <c r="A203" s="23" t="n"/>
      <c r="B203" s="23" t="n"/>
      <c r="C203" s="24" t="n"/>
      <c r="D203" s="15" t="n"/>
      <c r="E203" s="23" t="n"/>
      <c r="F203" s="15" t="n"/>
      <c r="G203" s="23" t="n"/>
      <c r="H203" s="25" t="n"/>
      <c r="I203" s="15" t="n"/>
      <c r="J203" s="26">
        <f>IF($A203="","",LEN($C203)-LEN(SUBSTITUTE($C203,",",""))+1)</f>
        <v/>
      </c>
      <c r="K203" s="26">
        <f>IF($A203="","",SUMPRODUCT(--ISNUMBER(SEARCH('Category Dictionary'!$D$5:$D$135&amp;"",$C203)),--('Category Dictionary'!$D$5:$D$135&lt;&gt;"")))</f>
        <v/>
      </c>
      <c r="L203" s="27">
        <f>IF($A203="","",TRIM(IF(ISERROR(FIND(",",$C203)),$C203,LEFT($C203,FIND(",",$C203)-1))))</f>
        <v/>
      </c>
      <c r="M203" s="28">
        <f>IF($H203="","",DATE(YEAR($H203),MONTH($H203),1))</f>
        <v/>
      </c>
      <c r="N203" s="26">
        <f>IF($H203="","",TODAY()-$H203)</f>
        <v/>
      </c>
      <c r="O203" s="15" t="n"/>
      <c r="P203" s="26">
        <f>IF($A203="","",COUNTIFS('Audit Versions'!$A$6:$A$605,$A203,'Audit Versions'!$L$6:$L$605,"Active"))</f>
        <v/>
      </c>
      <c r="Q203" s="15" t="n"/>
      <c r="R203" s="26">
        <f>IF(OR($A203="",$P203=0),"",MOD(N($Q203),$P203)+1)</f>
        <v/>
      </c>
      <c r="S203" s="15" t="n"/>
      <c r="T203" s="25" t="n"/>
      <c r="U203" s="26">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Builder'!$B$12="",N($S203)&lt;='Assignment Builder'!$B$12)))</f>
        <v/>
      </c>
      <c r="V203" s="23" t="n"/>
    </row>
    <row r="204">
      <c r="A204" s="23" t="n"/>
      <c r="B204" s="23" t="n"/>
      <c r="C204" s="24" t="n"/>
      <c r="D204" s="15" t="n"/>
      <c r="E204" s="23" t="n"/>
      <c r="F204" s="15" t="n"/>
      <c r="G204" s="23" t="n"/>
      <c r="H204" s="25" t="n"/>
      <c r="I204" s="15" t="n"/>
      <c r="J204" s="26">
        <f>IF($A204="","",LEN($C204)-LEN(SUBSTITUTE($C204,",",""))+1)</f>
        <v/>
      </c>
      <c r="K204" s="26">
        <f>IF($A204="","",SUMPRODUCT(--ISNUMBER(SEARCH('Category Dictionary'!$D$5:$D$135&amp;"",$C204)),--('Category Dictionary'!$D$5:$D$135&lt;&gt;"")))</f>
        <v/>
      </c>
      <c r="L204" s="27">
        <f>IF($A204="","",TRIM(IF(ISERROR(FIND(",",$C204)),$C204,LEFT($C204,FIND(",",$C204)-1))))</f>
        <v/>
      </c>
      <c r="M204" s="28">
        <f>IF($H204="","",DATE(YEAR($H204),MONTH($H204),1))</f>
        <v/>
      </c>
      <c r="N204" s="26">
        <f>IF($H204="","",TODAY()-$H204)</f>
        <v/>
      </c>
      <c r="O204" s="15" t="n"/>
      <c r="P204" s="26">
        <f>IF($A204="","",COUNTIFS('Audit Versions'!$A$6:$A$605,$A204,'Audit Versions'!$L$6:$L$605,"Active"))</f>
        <v/>
      </c>
      <c r="Q204" s="15" t="n"/>
      <c r="R204" s="26">
        <f>IF(OR($A204="",$P204=0),"",MOD(N($Q204),$P204)+1)</f>
        <v/>
      </c>
      <c r="S204" s="15" t="n"/>
      <c r="T204" s="25" t="n"/>
      <c r="U204" s="26">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Builder'!$B$12="",N($S204)&lt;='Assignment Builder'!$B$12)))</f>
        <v/>
      </c>
      <c r="V204" s="23" t="n"/>
    </row>
    <row r="205">
      <c r="A205" s="23" t="n"/>
      <c r="B205" s="23" t="n"/>
      <c r="C205" s="24" t="n"/>
      <c r="D205" s="15" t="n"/>
      <c r="E205" s="23" t="n"/>
      <c r="F205" s="15" t="n"/>
      <c r="G205" s="23" t="n"/>
      <c r="H205" s="25" t="n"/>
      <c r="I205" s="15" t="n"/>
      <c r="J205" s="26">
        <f>IF($A205="","",LEN($C205)-LEN(SUBSTITUTE($C205,",",""))+1)</f>
        <v/>
      </c>
      <c r="K205" s="26">
        <f>IF($A205="","",SUMPRODUCT(--ISNUMBER(SEARCH('Category Dictionary'!$D$5:$D$135&amp;"",$C205)),--('Category Dictionary'!$D$5:$D$135&lt;&gt;"")))</f>
        <v/>
      </c>
      <c r="L205" s="27">
        <f>IF($A205="","",TRIM(IF(ISERROR(FIND(",",$C205)),$C205,LEFT($C205,FIND(",",$C205)-1))))</f>
        <v/>
      </c>
      <c r="M205" s="28">
        <f>IF($H205="","",DATE(YEAR($H205),MONTH($H205),1))</f>
        <v/>
      </c>
      <c r="N205" s="26">
        <f>IF($H205="","",TODAY()-$H205)</f>
        <v/>
      </c>
      <c r="O205" s="15" t="n"/>
      <c r="P205" s="26">
        <f>IF($A205="","",COUNTIFS('Audit Versions'!$A$6:$A$605,$A205,'Audit Versions'!$L$6:$L$605,"Active"))</f>
        <v/>
      </c>
      <c r="Q205" s="15" t="n"/>
      <c r="R205" s="26">
        <f>IF(OR($A205="",$P205=0),"",MOD(N($Q205),$P205)+1)</f>
        <v/>
      </c>
      <c r="S205" s="15" t="n"/>
      <c r="T205" s="25" t="n"/>
      <c r="U205" s="26">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Builder'!$B$12="",N($S205)&lt;='Assignment Builder'!$B$12)))</f>
        <v/>
      </c>
      <c r="V205" s="23" t="n"/>
    </row>
    <row r="206">
      <c r="A206" s="23" t="n"/>
      <c r="B206" s="23" t="n"/>
      <c r="C206" s="24" t="n"/>
      <c r="D206" s="15" t="n"/>
      <c r="E206" s="23" t="n"/>
      <c r="F206" s="15" t="n"/>
      <c r="G206" s="23" t="n"/>
      <c r="H206" s="25" t="n"/>
      <c r="I206" s="15" t="n"/>
      <c r="J206" s="26">
        <f>IF($A206="","",LEN($C206)-LEN(SUBSTITUTE($C206,",",""))+1)</f>
        <v/>
      </c>
      <c r="K206" s="26">
        <f>IF($A206="","",SUMPRODUCT(--ISNUMBER(SEARCH('Category Dictionary'!$D$5:$D$135&amp;"",$C206)),--('Category Dictionary'!$D$5:$D$135&lt;&gt;"")))</f>
        <v/>
      </c>
      <c r="L206" s="27">
        <f>IF($A206="","",TRIM(IF(ISERROR(FIND(",",$C206)),$C206,LEFT($C206,FIND(",",$C206)-1))))</f>
        <v/>
      </c>
      <c r="M206" s="28">
        <f>IF($H206="","",DATE(YEAR($H206),MONTH($H206),1))</f>
        <v/>
      </c>
      <c r="N206" s="26">
        <f>IF($H206="","",TODAY()-$H206)</f>
        <v/>
      </c>
      <c r="O206" s="15" t="n"/>
      <c r="P206" s="26">
        <f>IF($A206="","",COUNTIFS('Audit Versions'!$A$6:$A$605,$A206,'Audit Versions'!$L$6:$L$605,"Active"))</f>
        <v/>
      </c>
      <c r="Q206" s="15" t="n"/>
      <c r="R206" s="26">
        <f>IF(OR($A206="",$P206=0),"",MOD(N($Q206),$P206)+1)</f>
        <v/>
      </c>
      <c r="S206" s="15" t="n"/>
      <c r="T206" s="25" t="n"/>
      <c r="U206" s="26">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Builder'!$B$12="",N($S206)&lt;='Assignment Builder'!$B$12)))</f>
        <v/>
      </c>
      <c r="V206" s="23" t="n"/>
    </row>
    <row r="207">
      <c r="A207" s="23" t="n"/>
      <c r="B207" s="23" t="n"/>
      <c r="C207" s="24" t="n"/>
      <c r="D207" s="15" t="n"/>
      <c r="E207" s="23" t="n"/>
      <c r="F207" s="15" t="n"/>
      <c r="G207" s="23" t="n"/>
      <c r="H207" s="25" t="n"/>
      <c r="I207" s="15" t="n"/>
      <c r="J207" s="26">
        <f>IF($A207="","",LEN($C207)-LEN(SUBSTITUTE($C207,",",""))+1)</f>
        <v/>
      </c>
      <c r="K207" s="26">
        <f>IF($A207="","",SUMPRODUCT(--ISNUMBER(SEARCH('Category Dictionary'!$D$5:$D$135&amp;"",$C207)),--('Category Dictionary'!$D$5:$D$135&lt;&gt;"")))</f>
        <v/>
      </c>
      <c r="L207" s="27">
        <f>IF($A207="","",TRIM(IF(ISERROR(FIND(",",$C207)),$C207,LEFT($C207,FIND(",",$C207)-1))))</f>
        <v/>
      </c>
      <c r="M207" s="28">
        <f>IF($H207="","",DATE(YEAR($H207),MONTH($H207),1))</f>
        <v/>
      </c>
      <c r="N207" s="26">
        <f>IF($H207="","",TODAY()-$H207)</f>
        <v/>
      </c>
      <c r="O207" s="15" t="n"/>
      <c r="P207" s="26">
        <f>IF($A207="","",COUNTIFS('Audit Versions'!$A$6:$A$605,$A207,'Audit Versions'!$L$6:$L$605,"Active"))</f>
        <v/>
      </c>
      <c r="Q207" s="15" t="n"/>
      <c r="R207" s="26">
        <f>IF(OR($A207="",$P207=0),"",MOD(N($Q207),$P207)+1)</f>
        <v/>
      </c>
      <c r="S207" s="15" t="n"/>
      <c r="T207" s="25" t="n"/>
      <c r="U207" s="26">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Builder'!$B$12="",N($S207)&lt;='Assignment Builder'!$B$12)))</f>
        <v/>
      </c>
      <c r="V207" s="23" t="n"/>
    </row>
    <row r="208">
      <c r="A208" s="23" t="n"/>
      <c r="B208" s="23" t="n"/>
      <c r="C208" s="24" t="n"/>
      <c r="D208" s="15" t="n"/>
      <c r="E208" s="23" t="n"/>
      <c r="F208" s="15" t="n"/>
      <c r="G208" s="23" t="n"/>
      <c r="H208" s="25" t="n"/>
      <c r="I208" s="15" t="n"/>
      <c r="J208" s="26">
        <f>IF($A208="","",LEN($C208)-LEN(SUBSTITUTE($C208,",",""))+1)</f>
        <v/>
      </c>
      <c r="K208" s="26">
        <f>IF($A208="","",SUMPRODUCT(--ISNUMBER(SEARCH('Category Dictionary'!$D$5:$D$135&amp;"",$C208)),--('Category Dictionary'!$D$5:$D$135&lt;&gt;"")))</f>
        <v/>
      </c>
      <c r="L208" s="27">
        <f>IF($A208="","",TRIM(IF(ISERROR(FIND(",",$C208)),$C208,LEFT($C208,FIND(",",$C208)-1))))</f>
        <v/>
      </c>
      <c r="M208" s="28">
        <f>IF($H208="","",DATE(YEAR($H208),MONTH($H208),1))</f>
        <v/>
      </c>
      <c r="N208" s="26">
        <f>IF($H208="","",TODAY()-$H208)</f>
        <v/>
      </c>
      <c r="O208" s="15" t="n"/>
      <c r="P208" s="26">
        <f>IF($A208="","",COUNTIFS('Audit Versions'!$A$6:$A$605,$A208,'Audit Versions'!$L$6:$L$605,"Active"))</f>
        <v/>
      </c>
      <c r="Q208" s="15" t="n"/>
      <c r="R208" s="26">
        <f>IF(OR($A208="",$P208=0),"",MOD(N($Q208),$P208)+1)</f>
        <v/>
      </c>
      <c r="S208" s="15" t="n"/>
      <c r="T208" s="25" t="n"/>
      <c r="U208" s="26">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Builder'!$B$12="",N($S208)&lt;='Assignment Builder'!$B$12)))</f>
        <v/>
      </c>
      <c r="V208" s="23" t="n"/>
    </row>
    <row r="209">
      <c r="A209" s="23" t="n"/>
      <c r="B209" s="23" t="n"/>
      <c r="C209" s="24" t="n"/>
      <c r="D209" s="15" t="n"/>
      <c r="E209" s="23" t="n"/>
      <c r="F209" s="15" t="n"/>
      <c r="G209" s="23" t="n"/>
      <c r="H209" s="25" t="n"/>
      <c r="I209" s="15" t="n"/>
      <c r="J209" s="26">
        <f>IF($A209="","",LEN($C209)-LEN(SUBSTITUTE($C209,",",""))+1)</f>
        <v/>
      </c>
      <c r="K209" s="26">
        <f>IF($A209="","",SUMPRODUCT(--ISNUMBER(SEARCH('Category Dictionary'!$D$5:$D$135&amp;"",$C209)),--('Category Dictionary'!$D$5:$D$135&lt;&gt;"")))</f>
        <v/>
      </c>
      <c r="L209" s="27">
        <f>IF($A209="","",TRIM(IF(ISERROR(FIND(",",$C209)),$C209,LEFT($C209,FIND(",",$C209)-1))))</f>
        <v/>
      </c>
      <c r="M209" s="28">
        <f>IF($H209="","",DATE(YEAR($H209),MONTH($H209),1))</f>
        <v/>
      </c>
      <c r="N209" s="26">
        <f>IF($H209="","",TODAY()-$H209)</f>
        <v/>
      </c>
      <c r="O209" s="15" t="n"/>
      <c r="P209" s="26">
        <f>IF($A209="","",COUNTIFS('Audit Versions'!$A$6:$A$605,$A209,'Audit Versions'!$L$6:$L$605,"Active"))</f>
        <v/>
      </c>
      <c r="Q209" s="15" t="n"/>
      <c r="R209" s="26">
        <f>IF(OR($A209="",$P209=0),"",MOD(N($Q209),$P209)+1)</f>
        <v/>
      </c>
      <c r="S209" s="15" t="n"/>
      <c r="T209" s="25" t="n"/>
      <c r="U209" s="26">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Builder'!$B$12="",N($S209)&lt;='Assignment Builder'!$B$12)))</f>
        <v/>
      </c>
      <c r="V209" s="23" t="n"/>
    </row>
    <row r="210">
      <c r="A210" s="23" t="n"/>
      <c r="B210" s="23" t="n"/>
      <c r="C210" s="24" t="n"/>
      <c r="D210" s="15" t="n"/>
      <c r="E210" s="23" t="n"/>
      <c r="F210" s="15" t="n"/>
      <c r="G210" s="23" t="n"/>
      <c r="H210" s="25" t="n"/>
      <c r="I210" s="15" t="n"/>
      <c r="J210" s="26">
        <f>IF($A210="","",LEN($C210)-LEN(SUBSTITUTE($C210,",",""))+1)</f>
        <v/>
      </c>
      <c r="K210" s="26">
        <f>IF($A210="","",SUMPRODUCT(--ISNUMBER(SEARCH('Category Dictionary'!$D$5:$D$135&amp;"",$C210)),--('Category Dictionary'!$D$5:$D$135&lt;&gt;"")))</f>
        <v/>
      </c>
      <c r="L210" s="27">
        <f>IF($A210="","",TRIM(IF(ISERROR(FIND(",",$C210)),$C210,LEFT($C210,FIND(",",$C210)-1))))</f>
        <v/>
      </c>
      <c r="M210" s="28">
        <f>IF($H210="","",DATE(YEAR($H210),MONTH($H210),1))</f>
        <v/>
      </c>
      <c r="N210" s="26">
        <f>IF($H210="","",TODAY()-$H210)</f>
        <v/>
      </c>
      <c r="O210" s="15" t="n"/>
      <c r="P210" s="26">
        <f>IF($A210="","",COUNTIFS('Audit Versions'!$A$6:$A$605,$A210,'Audit Versions'!$L$6:$L$605,"Active"))</f>
        <v/>
      </c>
      <c r="Q210" s="15" t="n"/>
      <c r="R210" s="26">
        <f>IF(OR($A210="",$P210=0),"",MOD(N($Q210),$P210)+1)</f>
        <v/>
      </c>
      <c r="S210" s="15" t="n"/>
      <c r="T210" s="25" t="n"/>
      <c r="U210" s="26">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Builder'!$B$12="",N($S210)&lt;='Assignment Builder'!$B$12)))</f>
        <v/>
      </c>
      <c r="V210" s="23" t="n"/>
    </row>
    <row r="211">
      <c r="A211" s="23" t="n"/>
      <c r="B211" s="23" t="n"/>
      <c r="C211" s="24" t="n"/>
      <c r="D211" s="15" t="n"/>
      <c r="E211" s="23" t="n"/>
      <c r="F211" s="15" t="n"/>
      <c r="G211" s="23" t="n"/>
      <c r="H211" s="25" t="n"/>
      <c r="I211" s="15" t="n"/>
      <c r="J211" s="26">
        <f>IF($A211="","",LEN($C211)-LEN(SUBSTITUTE($C211,",",""))+1)</f>
        <v/>
      </c>
      <c r="K211" s="26">
        <f>IF($A211="","",SUMPRODUCT(--ISNUMBER(SEARCH('Category Dictionary'!$D$5:$D$135&amp;"",$C211)),--('Category Dictionary'!$D$5:$D$135&lt;&gt;"")))</f>
        <v/>
      </c>
      <c r="L211" s="27">
        <f>IF($A211="","",TRIM(IF(ISERROR(FIND(",",$C211)),$C211,LEFT($C211,FIND(",",$C211)-1))))</f>
        <v/>
      </c>
      <c r="M211" s="28">
        <f>IF($H211="","",DATE(YEAR($H211),MONTH($H211),1))</f>
        <v/>
      </c>
      <c r="N211" s="26">
        <f>IF($H211="","",TODAY()-$H211)</f>
        <v/>
      </c>
      <c r="O211" s="15" t="n"/>
      <c r="P211" s="26">
        <f>IF($A211="","",COUNTIFS('Audit Versions'!$A$6:$A$605,$A211,'Audit Versions'!$L$6:$L$605,"Active"))</f>
        <v/>
      </c>
      <c r="Q211" s="15" t="n"/>
      <c r="R211" s="26">
        <f>IF(OR($A211="",$P211=0),"",MOD(N($Q211),$P211)+1)</f>
        <v/>
      </c>
      <c r="S211" s="15" t="n"/>
      <c r="T211" s="25" t="n"/>
      <c r="U211" s="26">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Builder'!$B$12="",N($S211)&lt;='Assignment Builder'!$B$12)))</f>
        <v/>
      </c>
      <c r="V211" s="23" t="n"/>
    </row>
    <row r="212">
      <c r="A212" s="23" t="n"/>
      <c r="B212" s="23" t="n"/>
      <c r="C212" s="24" t="n"/>
      <c r="D212" s="15" t="n"/>
      <c r="E212" s="23" t="n"/>
      <c r="F212" s="15" t="n"/>
      <c r="G212" s="23" t="n"/>
      <c r="H212" s="25" t="n"/>
      <c r="I212" s="15" t="n"/>
      <c r="J212" s="26">
        <f>IF($A212="","",LEN($C212)-LEN(SUBSTITUTE($C212,",",""))+1)</f>
        <v/>
      </c>
      <c r="K212" s="26">
        <f>IF($A212="","",SUMPRODUCT(--ISNUMBER(SEARCH('Category Dictionary'!$D$5:$D$135&amp;"",$C212)),--('Category Dictionary'!$D$5:$D$135&lt;&gt;"")))</f>
        <v/>
      </c>
      <c r="L212" s="27">
        <f>IF($A212="","",TRIM(IF(ISERROR(FIND(",",$C212)),$C212,LEFT($C212,FIND(",",$C212)-1))))</f>
        <v/>
      </c>
      <c r="M212" s="28">
        <f>IF($H212="","",DATE(YEAR($H212),MONTH($H212),1))</f>
        <v/>
      </c>
      <c r="N212" s="26">
        <f>IF($H212="","",TODAY()-$H212)</f>
        <v/>
      </c>
      <c r="O212" s="15" t="n"/>
      <c r="P212" s="26">
        <f>IF($A212="","",COUNTIFS('Audit Versions'!$A$6:$A$605,$A212,'Audit Versions'!$L$6:$L$605,"Active"))</f>
        <v/>
      </c>
      <c r="Q212" s="15" t="n"/>
      <c r="R212" s="26">
        <f>IF(OR($A212="",$P212=0),"",MOD(N($Q212),$P212)+1)</f>
        <v/>
      </c>
      <c r="S212" s="15" t="n"/>
      <c r="T212" s="25" t="n"/>
      <c r="U212" s="26">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Builder'!$B$12="",N($S212)&lt;='Assignment Builder'!$B$12)))</f>
        <v/>
      </c>
      <c r="V212" s="23" t="n"/>
    </row>
    <row r="213">
      <c r="A213" s="23" t="n"/>
      <c r="B213" s="23" t="n"/>
      <c r="C213" s="24" t="n"/>
      <c r="D213" s="15" t="n"/>
      <c r="E213" s="23" t="n"/>
      <c r="F213" s="15" t="n"/>
      <c r="G213" s="23" t="n"/>
      <c r="H213" s="25" t="n"/>
      <c r="I213" s="15" t="n"/>
      <c r="J213" s="26">
        <f>IF($A213="","",LEN($C213)-LEN(SUBSTITUTE($C213,",",""))+1)</f>
        <v/>
      </c>
      <c r="K213" s="26">
        <f>IF($A213="","",SUMPRODUCT(--ISNUMBER(SEARCH('Category Dictionary'!$D$5:$D$135&amp;"",$C213)),--('Category Dictionary'!$D$5:$D$135&lt;&gt;"")))</f>
        <v/>
      </c>
      <c r="L213" s="27">
        <f>IF($A213="","",TRIM(IF(ISERROR(FIND(",",$C213)),$C213,LEFT($C213,FIND(",",$C213)-1))))</f>
        <v/>
      </c>
      <c r="M213" s="28">
        <f>IF($H213="","",DATE(YEAR($H213),MONTH($H213),1))</f>
        <v/>
      </c>
      <c r="N213" s="26">
        <f>IF($H213="","",TODAY()-$H213)</f>
        <v/>
      </c>
      <c r="O213" s="15" t="n"/>
      <c r="P213" s="26">
        <f>IF($A213="","",COUNTIFS('Audit Versions'!$A$6:$A$605,$A213,'Audit Versions'!$L$6:$L$605,"Active"))</f>
        <v/>
      </c>
      <c r="Q213" s="15" t="n"/>
      <c r="R213" s="26">
        <f>IF(OR($A213="",$P213=0),"",MOD(N($Q213),$P213)+1)</f>
        <v/>
      </c>
      <c r="S213" s="15" t="n"/>
      <c r="T213" s="25" t="n"/>
      <c r="U213" s="26">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Builder'!$B$12="",N($S213)&lt;='Assignment Builder'!$B$12)))</f>
        <v/>
      </c>
      <c r="V213" s="23" t="n"/>
    </row>
    <row r="214">
      <c r="A214" s="23" t="n"/>
      <c r="B214" s="23" t="n"/>
      <c r="C214" s="24" t="n"/>
      <c r="D214" s="15" t="n"/>
      <c r="E214" s="23" t="n"/>
      <c r="F214" s="15" t="n"/>
      <c r="G214" s="23" t="n"/>
      <c r="H214" s="25" t="n"/>
      <c r="I214" s="15" t="n"/>
      <c r="J214" s="26">
        <f>IF($A214="","",LEN($C214)-LEN(SUBSTITUTE($C214,",",""))+1)</f>
        <v/>
      </c>
      <c r="K214" s="26">
        <f>IF($A214="","",SUMPRODUCT(--ISNUMBER(SEARCH('Category Dictionary'!$D$5:$D$135&amp;"",$C214)),--('Category Dictionary'!$D$5:$D$135&lt;&gt;"")))</f>
        <v/>
      </c>
      <c r="L214" s="27">
        <f>IF($A214="","",TRIM(IF(ISERROR(FIND(",",$C214)),$C214,LEFT($C214,FIND(",",$C214)-1))))</f>
        <v/>
      </c>
      <c r="M214" s="28">
        <f>IF($H214="","",DATE(YEAR($H214),MONTH($H214),1))</f>
        <v/>
      </c>
      <c r="N214" s="26">
        <f>IF($H214="","",TODAY()-$H214)</f>
        <v/>
      </c>
      <c r="O214" s="15" t="n"/>
      <c r="P214" s="26">
        <f>IF($A214="","",COUNTIFS('Audit Versions'!$A$6:$A$605,$A214,'Audit Versions'!$L$6:$L$605,"Active"))</f>
        <v/>
      </c>
      <c r="Q214" s="15" t="n"/>
      <c r="R214" s="26">
        <f>IF(OR($A214="",$P214=0),"",MOD(N($Q214),$P214)+1)</f>
        <v/>
      </c>
      <c r="S214" s="15" t="n"/>
      <c r="T214" s="25" t="n"/>
      <c r="U214" s="26">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Builder'!$B$12="",N($S214)&lt;='Assignment Builder'!$B$12)))</f>
        <v/>
      </c>
      <c r="V214" s="23" t="n"/>
    </row>
    <row r="215">
      <c r="A215" s="23" t="n"/>
      <c r="B215" s="23" t="n"/>
      <c r="C215" s="24" t="n"/>
      <c r="D215" s="15" t="n"/>
      <c r="E215" s="23" t="n"/>
      <c r="F215" s="15" t="n"/>
      <c r="G215" s="23" t="n"/>
      <c r="H215" s="25" t="n"/>
      <c r="I215" s="15" t="n"/>
      <c r="J215" s="26">
        <f>IF($A215="","",LEN($C215)-LEN(SUBSTITUTE($C215,",",""))+1)</f>
        <v/>
      </c>
      <c r="K215" s="26">
        <f>IF($A215="","",SUMPRODUCT(--ISNUMBER(SEARCH('Category Dictionary'!$D$5:$D$135&amp;"",$C215)),--('Category Dictionary'!$D$5:$D$135&lt;&gt;"")))</f>
        <v/>
      </c>
      <c r="L215" s="27">
        <f>IF($A215="","",TRIM(IF(ISERROR(FIND(",",$C215)),$C215,LEFT($C215,FIND(",",$C215)-1))))</f>
        <v/>
      </c>
      <c r="M215" s="28">
        <f>IF($H215="","",DATE(YEAR($H215),MONTH($H215),1))</f>
        <v/>
      </c>
      <c r="N215" s="26">
        <f>IF($H215="","",TODAY()-$H215)</f>
        <v/>
      </c>
      <c r="O215" s="15" t="n"/>
      <c r="P215" s="26">
        <f>IF($A215="","",COUNTIFS('Audit Versions'!$A$6:$A$605,$A215,'Audit Versions'!$L$6:$L$605,"Active"))</f>
        <v/>
      </c>
      <c r="Q215" s="15" t="n"/>
      <c r="R215" s="26">
        <f>IF(OR($A215="",$P215=0),"",MOD(N($Q215),$P215)+1)</f>
        <v/>
      </c>
      <c r="S215" s="15" t="n"/>
      <c r="T215" s="25" t="n"/>
      <c r="U215" s="26">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Builder'!$B$12="",N($S215)&lt;='Assignment Builder'!$B$12)))</f>
        <v/>
      </c>
      <c r="V215" s="23" t="n"/>
    </row>
    <row r="216">
      <c r="A216" s="23" t="n"/>
      <c r="B216" s="23" t="n"/>
      <c r="C216" s="24" t="n"/>
      <c r="D216" s="15" t="n"/>
      <c r="E216" s="23" t="n"/>
      <c r="F216" s="15" t="n"/>
      <c r="G216" s="23" t="n"/>
      <c r="H216" s="25" t="n"/>
      <c r="I216" s="15" t="n"/>
      <c r="J216" s="26">
        <f>IF($A216="","",LEN($C216)-LEN(SUBSTITUTE($C216,",",""))+1)</f>
        <v/>
      </c>
      <c r="K216" s="26">
        <f>IF($A216="","",SUMPRODUCT(--ISNUMBER(SEARCH('Category Dictionary'!$D$5:$D$135&amp;"",$C216)),--('Category Dictionary'!$D$5:$D$135&lt;&gt;"")))</f>
        <v/>
      </c>
      <c r="L216" s="27">
        <f>IF($A216="","",TRIM(IF(ISERROR(FIND(",",$C216)),$C216,LEFT($C216,FIND(",",$C216)-1))))</f>
        <v/>
      </c>
      <c r="M216" s="28">
        <f>IF($H216="","",DATE(YEAR($H216),MONTH($H216),1))</f>
        <v/>
      </c>
      <c r="N216" s="26">
        <f>IF($H216="","",TODAY()-$H216)</f>
        <v/>
      </c>
      <c r="O216" s="15" t="n"/>
      <c r="P216" s="26">
        <f>IF($A216="","",COUNTIFS('Audit Versions'!$A$6:$A$605,$A216,'Audit Versions'!$L$6:$L$605,"Active"))</f>
        <v/>
      </c>
      <c r="Q216" s="15" t="n"/>
      <c r="R216" s="26">
        <f>IF(OR($A216="",$P216=0),"",MOD(N($Q216),$P216)+1)</f>
        <v/>
      </c>
      <c r="S216" s="15" t="n"/>
      <c r="T216" s="25" t="n"/>
      <c r="U216" s="26">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Builder'!$B$12="",N($S216)&lt;='Assignment Builder'!$B$12)))</f>
        <v/>
      </c>
      <c r="V216" s="23" t="n"/>
    </row>
    <row r="217">
      <c r="A217" s="23" t="n"/>
      <c r="B217" s="23" t="n"/>
      <c r="C217" s="24" t="n"/>
      <c r="D217" s="15" t="n"/>
      <c r="E217" s="23" t="n"/>
      <c r="F217" s="15" t="n"/>
      <c r="G217" s="23" t="n"/>
      <c r="H217" s="25" t="n"/>
      <c r="I217" s="15" t="n"/>
      <c r="J217" s="26">
        <f>IF($A217="","",LEN($C217)-LEN(SUBSTITUTE($C217,",",""))+1)</f>
        <v/>
      </c>
      <c r="K217" s="26">
        <f>IF($A217="","",SUMPRODUCT(--ISNUMBER(SEARCH('Category Dictionary'!$D$5:$D$135&amp;"",$C217)),--('Category Dictionary'!$D$5:$D$135&lt;&gt;"")))</f>
        <v/>
      </c>
      <c r="L217" s="27">
        <f>IF($A217="","",TRIM(IF(ISERROR(FIND(",",$C217)),$C217,LEFT($C217,FIND(",",$C217)-1))))</f>
        <v/>
      </c>
      <c r="M217" s="28">
        <f>IF($H217="","",DATE(YEAR($H217),MONTH($H217),1))</f>
        <v/>
      </c>
      <c r="N217" s="26">
        <f>IF($H217="","",TODAY()-$H217)</f>
        <v/>
      </c>
      <c r="O217" s="15" t="n"/>
      <c r="P217" s="26">
        <f>IF($A217="","",COUNTIFS('Audit Versions'!$A$6:$A$605,$A217,'Audit Versions'!$L$6:$L$605,"Active"))</f>
        <v/>
      </c>
      <c r="Q217" s="15" t="n"/>
      <c r="R217" s="26">
        <f>IF(OR($A217="",$P217=0),"",MOD(N($Q217),$P217)+1)</f>
        <v/>
      </c>
      <c r="S217" s="15" t="n"/>
      <c r="T217" s="25" t="n"/>
      <c r="U217" s="26">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Builder'!$B$12="",N($S217)&lt;='Assignment Builder'!$B$12)))</f>
        <v/>
      </c>
      <c r="V217" s="23" t="n"/>
    </row>
    <row r="218">
      <c r="A218" s="23" t="n"/>
      <c r="B218" s="23" t="n"/>
      <c r="C218" s="24" t="n"/>
      <c r="D218" s="15" t="n"/>
      <c r="E218" s="23" t="n"/>
      <c r="F218" s="15" t="n"/>
      <c r="G218" s="23" t="n"/>
      <c r="H218" s="25" t="n"/>
      <c r="I218" s="15" t="n"/>
      <c r="J218" s="26">
        <f>IF($A218="","",LEN($C218)-LEN(SUBSTITUTE($C218,",",""))+1)</f>
        <v/>
      </c>
      <c r="K218" s="26">
        <f>IF($A218="","",SUMPRODUCT(--ISNUMBER(SEARCH('Category Dictionary'!$D$5:$D$135&amp;"",$C218)),--('Category Dictionary'!$D$5:$D$135&lt;&gt;"")))</f>
        <v/>
      </c>
      <c r="L218" s="27">
        <f>IF($A218="","",TRIM(IF(ISERROR(FIND(",",$C218)),$C218,LEFT($C218,FIND(",",$C218)-1))))</f>
        <v/>
      </c>
      <c r="M218" s="28">
        <f>IF($H218="","",DATE(YEAR($H218),MONTH($H218),1))</f>
        <v/>
      </c>
      <c r="N218" s="26">
        <f>IF($H218="","",TODAY()-$H218)</f>
        <v/>
      </c>
      <c r="O218" s="15" t="n"/>
      <c r="P218" s="26">
        <f>IF($A218="","",COUNTIFS('Audit Versions'!$A$6:$A$605,$A218,'Audit Versions'!$L$6:$L$605,"Active"))</f>
        <v/>
      </c>
      <c r="Q218" s="15" t="n"/>
      <c r="R218" s="26">
        <f>IF(OR($A218="",$P218=0),"",MOD(N($Q218),$P218)+1)</f>
        <v/>
      </c>
      <c r="S218" s="15" t="n"/>
      <c r="T218" s="25" t="n"/>
      <c r="U218" s="26">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Builder'!$B$12="",N($S218)&lt;='Assignment Builder'!$B$12)))</f>
        <v/>
      </c>
      <c r="V218" s="23" t="n"/>
    </row>
    <row r="219">
      <c r="A219" s="23" t="n"/>
      <c r="B219" s="23" t="n"/>
      <c r="C219" s="24" t="n"/>
      <c r="D219" s="15" t="n"/>
      <c r="E219" s="23" t="n"/>
      <c r="F219" s="15" t="n"/>
      <c r="G219" s="23" t="n"/>
      <c r="H219" s="25" t="n"/>
      <c r="I219" s="15" t="n"/>
      <c r="J219" s="26">
        <f>IF($A219="","",LEN($C219)-LEN(SUBSTITUTE($C219,",",""))+1)</f>
        <v/>
      </c>
      <c r="K219" s="26">
        <f>IF($A219="","",SUMPRODUCT(--ISNUMBER(SEARCH('Category Dictionary'!$D$5:$D$135&amp;"",$C219)),--('Category Dictionary'!$D$5:$D$135&lt;&gt;"")))</f>
        <v/>
      </c>
      <c r="L219" s="27">
        <f>IF($A219="","",TRIM(IF(ISERROR(FIND(",",$C219)),$C219,LEFT($C219,FIND(",",$C219)-1))))</f>
        <v/>
      </c>
      <c r="M219" s="28">
        <f>IF($H219="","",DATE(YEAR($H219),MONTH($H219),1))</f>
        <v/>
      </c>
      <c r="N219" s="26">
        <f>IF($H219="","",TODAY()-$H219)</f>
        <v/>
      </c>
      <c r="O219" s="15" t="n"/>
      <c r="P219" s="26">
        <f>IF($A219="","",COUNTIFS('Audit Versions'!$A$6:$A$605,$A219,'Audit Versions'!$L$6:$L$605,"Active"))</f>
        <v/>
      </c>
      <c r="Q219" s="15" t="n"/>
      <c r="R219" s="26">
        <f>IF(OR($A219="",$P219=0),"",MOD(N($Q219),$P219)+1)</f>
        <v/>
      </c>
      <c r="S219" s="15" t="n"/>
      <c r="T219" s="25" t="n"/>
      <c r="U219" s="26">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Builder'!$B$12="",N($S219)&lt;='Assignment Builder'!$B$12)))</f>
        <v/>
      </c>
      <c r="V219" s="23" t="n"/>
    </row>
    <row r="220">
      <c r="A220" s="23" t="n"/>
      <c r="B220" s="23" t="n"/>
      <c r="C220" s="24" t="n"/>
      <c r="D220" s="15" t="n"/>
      <c r="E220" s="23" t="n"/>
      <c r="F220" s="15" t="n"/>
      <c r="G220" s="23" t="n"/>
      <c r="H220" s="25" t="n"/>
      <c r="I220" s="15" t="n"/>
      <c r="J220" s="26">
        <f>IF($A220="","",LEN($C220)-LEN(SUBSTITUTE($C220,",",""))+1)</f>
        <v/>
      </c>
      <c r="K220" s="26">
        <f>IF($A220="","",SUMPRODUCT(--ISNUMBER(SEARCH('Category Dictionary'!$D$5:$D$135&amp;"",$C220)),--('Category Dictionary'!$D$5:$D$135&lt;&gt;"")))</f>
        <v/>
      </c>
      <c r="L220" s="27">
        <f>IF($A220="","",TRIM(IF(ISERROR(FIND(",",$C220)),$C220,LEFT($C220,FIND(",",$C220)-1))))</f>
        <v/>
      </c>
      <c r="M220" s="28">
        <f>IF($H220="","",DATE(YEAR($H220),MONTH($H220),1))</f>
        <v/>
      </c>
      <c r="N220" s="26">
        <f>IF($H220="","",TODAY()-$H220)</f>
        <v/>
      </c>
      <c r="O220" s="15" t="n"/>
      <c r="P220" s="26">
        <f>IF($A220="","",COUNTIFS('Audit Versions'!$A$6:$A$605,$A220,'Audit Versions'!$L$6:$L$605,"Active"))</f>
        <v/>
      </c>
      <c r="Q220" s="15" t="n"/>
      <c r="R220" s="26">
        <f>IF(OR($A220="",$P220=0),"",MOD(N($Q220),$P220)+1)</f>
        <v/>
      </c>
      <c r="S220" s="15" t="n"/>
      <c r="T220" s="25" t="n"/>
      <c r="U220" s="26">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Builder'!$B$12="",N($S220)&lt;='Assignment Builder'!$B$12)))</f>
        <v/>
      </c>
      <c r="V220" s="23" t="n"/>
    </row>
    <row r="221">
      <c r="A221" s="23" t="n"/>
      <c r="B221" s="23" t="n"/>
      <c r="C221" s="24" t="n"/>
      <c r="D221" s="15" t="n"/>
      <c r="E221" s="23" t="n"/>
      <c r="F221" s="15" t="n"/>
      <c r="G221" s="23" t="n"/>
      <c r="H221" s="25" t="n"/>
      <c r="I221" s="15" t="n"/>
      <c r="J221" s="26">
        <f>IF($A221="","",LEN($C221)-LEN(SUBSTITUTE($C221,",",""))+1)</f>
        <v/>
      </c>
      <c r="K221" s="26">
        <f>IF($A221="","",SUMPRODUCT(--ISNUMBER(SEARCH('Category Dictionary'!$D$5:$D$135&amp;"",$C221)),--('Category Dictionary'!$D$5:$D$135&lt;&gt;"")))</f>
        <v/>
      </c>
      <c r="L221" s="27">
        <f>IF($A221="","",TRIM(IF(ISERROR(FIND(",",$C221)),$C221,LEFT($C221,FIND(",",$C221)-1))))</f>
        <v/>
      </c>
      <c r="M221" s="28">
        <f>IF($H221="","",DATE(YEAR($H221),MONTH($H221),1))</f>
        <v/>
      </c>
      <c r="N221" s="26">
        <f>IF($H221="","",TODAY()-$H221)</f>
        <v/>
      </c>
      <c r="O221" s="15" t="n"/>
      <c r="P221" s="26">
        <f>IF($A221="","",COUNTIFS('Audit Versions'!$A$6:$A$605,$A221,'Audit Versions'!$L$6:$L$605,"Active"))</f>
        <v/>
      </c>
      <c r="Q221" s="15" t="n"/>
      <c r="R221" s="26">
        <f>IF(OR($A221="",$P221=0),"",MOD(N($Q221),$P221)+1)</f>
        <v/>
      </c>
      <c r="S221" s="15" t="n"/>
      <c r="T221" s="25" t="n"/>
      <c r="U221" s="26">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Builder'!$B$12="",N($S221)&lt;='Assignment Builder'!$B$12)))</f>
        <v/>
      </c>
      <c r="V221" s="23" t="n"/>
    </row>
    <row r="222">
      <c r="A222" s="23" t="n"/>
      <c r="B222" s="23" t="n"/>
      <c r="C222" s="24" t="n"/>
      <c r="D222" s="15" t="n"/>
      <c r="E222" s="23" t="n"/>
      <c r="F222" s="15" t="n"/>
      <c r="G222" s="23" t="n"/>
      <c r="H222" s="25" t="n"/>
      <c r="I222" s="15" t="n"/>
      <c r="J222" s="26">
        <f>IF($A222="","",LEN($C222)-LEN(SUBSTITUTE($C222,",",""))+1)</f>
        <v/>
      </c>
      <c r="K222" s="26">
        <f>IF($A222="","",SUMPRODUCT(--ISNUMBER(SEARCH('Category Dictionary'!$D$5:$D$135&amp;"",$C222)),--('Category Dictionary'!$D$5:$D$135&lt;&gt;"")))</f>
        <v/>
      </c>
      <c r="L222" s="27">
        <f>IF($A222="","",TRIM(IF(ISERROR(FIND(",",$C222)),$C222,LEFT($C222,FIND(",",$C222)-1))))</f>
        <v/>
      </c>
      <c r="M222" s="28">
        <f>IF($H222="","",DATE(YEAR($H222),MONTH($H222),1))</f>
        <v/>
      </c>
      <c r="N222" s="26">
        <f>IF($H222="","",TODAY()-$H222)</f>
        <v/>
      </c>
      <c r="O222" s="15" t="n"/>
      <c r="P222" s="26">
        <f>IF($A222="","",COUNTIFS('Audit Versions'!$A$6:$A$605,$A222,'Audit Versions'!$L$6:$L$605,"Active"))</f>
        <v/>
      </c>
      <c r="Q222" s="15" t="n"/>
      <c r="R222" s="26">
        <f>IF(OR($A222="",$P222=0),"",MOD(N($Q222),$P222)+1)</f>
        <v/>
      </c>
      <c r="S222" s="15" t="n"/>
      <c r="T222" s="25" t="n"/>
      <c r="U222" s="26">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Builder'!$B$12="",N($S222)&lt;='Assignment Builder'!$B$12)))</f>
        <v/>
      </c>
      <c r="V222" s="23" t="n"/>
    </row>
    <row r="223">
      <c r="A223" s="23" t="n"/>
      <c r="B223" s="23" t="n"/>
      <c r="C223" s="24" t="n"/>
      <c r="D223" s="15" t="n"/>
      <c r="E223" s="23" t="n"/>
      <c r="F223" s="15" t="n"/>
      <c r="G223" s="23" t="n"/>
      <c r="H223" s="25" t="n"/>
      <c r="I223" s="15" t="n"/>
      <c r="J223" s="26">
        <f>IF($A223="","",LEN($C223)-LEN(SUBSTITUTE($C223,",",""))+1)</f>
        <v/>
      </c>
      <c r="K223" s="26">
        <f>IF($A223="","",SUMPRODUCT(--ISNUMBER(SEARCH('Category Dictionary'!$D$5:$D$135&amp;"",$C223)),--('Category Dictionary'!$D$5:$D$135&lt;&gt;"")))</f>
        <v/>
      </c>
      <c r="L223" s="27">
        <f>IF($A223="","",TRIM(IF(ISERROR(FIND(",",$C223)),$C223,LEFT($C223,FIND(",",$C223)-1))))</f>
        <v/>
      </c>
      <c r="M223" s="28">
        <f>IF($H223="","",DATE(YEAR($H223),MONTH($H223),1))</f>
        <v/>
      </c>
      <c r="N223" s="26">
        <f>IF($H223="","",TODAY()-$H223)</f>
        <v/>
      </c>
      <c r="O223" s="15" t="n"/>
      <c r="P223" s="26">
        <f>IF($A223="","",COUNTIFS('Audit Versions'!$A$6:$A$605,$A223,'Audit Versions'!$L$6:$L$605,"Active"))</f>
        <v/>
      </c>
      <c r="Q223" s="15" t="n"/>
      <c r="R223" s="26">
        <f>IF(OR($A223="",$P223=0),"",MOD(N($Q223),$P223)+1)</f>
        <v/>
      </c>
      <c r="S223" s="15" t="n"/>
      <c r="T223" s="25" t="n"/>
      <c r="U223" s="26">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Builder'!$B$12="",N($S223)&lt;='Assignment Builder'!$B$12)))</f>
        <v/>
      </c>
      <c r="V223" s="23" t="n"/>
    </row>
    <row r="224">
      <c r="A224" s="23" t="n"/>
      <c r="B224" s="23" t="n"/>
      <c r="C224" s="24" t="n"/>
      <c r="D224" s="15" t="n"/>
      <c r="E224" s="23" t="n"/>
      <c r="F224" s="15" t="n"/>
      <c r="G224" s="23" t="n"/>
      <c r="H224" s="25" t="n"/>
      <c r="I224" s="15" t="n"/>
      <c r="J224" s="26">
        <f>IF($A224="","",LEN($C224)-LEN(SUBSTITUTE($C224,",",""))+1)</f>
        <v/>
      </c>
      <c r="K224" s="26">
        <f>IF($A224="","",SUMPRODUCT(--ISNUMBER(SEARCH('Category Dictionary'!$D$5:$D$135&amp;"",$C224)),--('Category Dictionary'!$D$5:$D$135&lt;&gt;"")))</f>
        <v/>
      </c>
      <c r="L224" s="27">
        <f>IF($A224="","",TRIM(IF(ISERROR(FIND(",",$C224)),$C224,LEFT($C224,FIND(",",$C224)-1))))</f>
        <v/>
      </c>
      <c r="M224" s="28">
        <f>IF($H224="","",DATE(YEAR($H224),MONTH($H224),1))</f>
        <v/>
      </c>
      <c r="N224" s="26">
        <f>IF($H224="","",TODAY()-$H224)</f>
        <v/>
      </c>
      <c r="O224" s="15" t="n"/>
      <c r="P224" s="26">
        <f>IF($A224="","",COUNTIFS('Audit Versions'!$A$6:$A$605,$A224,'Audit Versions'!$L$6:$L$605,"Active"))</f>
        <v/>
      </c>
      <c r="Q224" s="15" t="n"/>
      <c r="R224" s="26">
        <f>IF(OR($A224="",$P224=0),"",MOD(N($Q224),$P224)+1)</f>
        <v/>
      </c>
      <c r="S224" s="15" t="n"/>
      <c r="T224" s="25" t="n"/>
      <c r="U224" s="26">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Builder'!$B$12="",N($S224)&lt;='Assignment Builder'!$B$12)))</f>
        <v/>
      </c>
      <c r="V224" s="23" t="n"/>
    </row>
    <row r="225">
      <c r="A225" s="23" t="n"/>
      <c r="B225" s="23" t="n"/>
      <c r="C225" s="24" t="n"/>
      <c r="D225" s="15" t="n"/>
      <c r="E225" s="23" t="n"/>
      <c r="F225" s="15" t="n"/>
      <c r="G225" s="23" t="n"/>
      <c r="H225" s="25" t="n"/>
      <c r="I225" s="15" t="n"/>
      <c r="J225" s="26">
        <f>IF($A225="","",LEN($C225)-LEN(SUBSTITUTE($C225,",",""))+1)</f>
        <v/>
      </c>
      <c r="K225" s="26">
        <f>IF($A225="","",SUMPRODUCT(--ISNUMBER(SEARCH('Category Dictionary'!$D$5:$D$135&amp;"",$C225)),--('Category Dictionary'!$D$5:$D$135&lt;&gt;"")))</f>
        <v/>
      </c>
      <c r="L225" s="27">
        <f>IF($A225="","",TRIM(IF(ISERROR(FIND(",",$C225)),$C225,LEFT($C225,FIND(",",$C225)-1))))</f>
        <v/>
      </c>
      <c r="M225" s="28">
        <f>IF($H225="","",DATE(YEAR($H225),MONTH($H225),1))</f>
        <v/>
      </c>
      <c r="N225" s="26">
        <f>IF($H225="","",TODAY()-$H225)</f>
        <v/>
      </c>
      <c r="O225" s="15" t="n"/>
      <c r="P225" s="26">
        <f>IF($A225="","",COUNTIFS('Audit Versions'!$A$6:$A$605,$A225,'Audit Versions'!$L$6:$L$605,"Active"))</f>
        <v/>
      </c>
      <c r="Q225" s="15" t="n"/>
      <c r="R225" s="26">
        <f>IF(OR($A225="",$P225=0),"",MOD(N($Q225),$P225)+1)</f>
        <v/>
      </c>
      <c r="S225" s="15" t="n"/>
      <c r="T225" s="25" t="n"/>
      <c r="U225" s="26">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Builder'!$B$12="",N($S225)&lt;='Assignment Builder'!$B$12)))</f>
        <v/>
      </c>
      <c r="V225" s="23" t="n"/>
    </row>
    <row r="226">
      <c r="A226" s="23" t="n"/>
      <c r="B226" s="23" t="n"/>
      <c r="C226" s="24" t="n"/>
      <c r="D226" s="15" t="n"/>
      <c r="E226" s="23" t="n"/>
      <c r="F226" s="15" t="n"/>
      <c r="G226" s="23" t="n"/>
      <c r="H226" s="25" t="n"/>
      <c r="I226" s="15" t="n"/>
      <c r="J226" s="26">
        <f>IF($A226="","",LEN($C226)-LEN(SUBSTITUTE($C226,",",""))+1)</f>
        <v/>
      </c>
      <c r="K226" s="26">
        <f>IF($A226="","",SUMPRODUCT(--ISNUMBER(SEARCH('Category Dictionary'!$D$5:$D$135&amp;"",$C226)),--('Category Dictionary'!$D$5:$D$135&lt;&gt;"")))</f>
        <v/>
      </c>
      <c r="L226" s="27">
        <f>IF($A226="","",TRIM(IF(ISERROR(FIND(",",$C226)),$C226,LEFT($C226,FIND(",",$C226)-1))))</f>
        <v/>
      </c>
      <c r="M226" s="28">
        <f>IF($H226="","",DATE(YEAR($H226),MONTH($H226),1))</f>
        <v/>
      </c>
      <c r="N226" s="26">
        <f>IF($H226="","",TODAY()-$H226)</f>
        <v/>
      </c>
      <c r="O226" s="15" t="n"/>
      <c r="P226" s="26">
        <f>IF($A226="","",COUNTIFS('Audit Versions'!$A$6:$A$605,$A226,'Audit Versions'!$L$6:$L$605,"Active"))</f>
        <v/>
      </c>
      <c r="Q226" s="15" t="n"/>
      <c r="R226" s="26">
        <f>IF(OR($A226="",$P226=0),"",MOD(N($Q226),$P226)+1)</f>
        <v/>
      </c>
      <c r="S226" s="15" t="n"/>
      <c r="T226" s="25" t="n"/>
      <c r="U226" s="26">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Builder'!$B$12="",N($S226)&lt;='Assignment Builder'!$B$12)))</f>
        <v/>
      </c>
      <c r="V226" s="23" t="n"/>
    </row>
    <row r="227">
      <c r="A227" s="23" t="n"/>
      <c r="B227" s="23" t="n"/>
      <c r="C227" s="24" t="n"/>
      <c r="D227" s="15" t="n"/>
      <c r="E227" s="23" t="n"/>
      <c r="F227" s="15" t="n"/>
      <c r="G227" s="23" t="n"/>
      <c r="H227" s="25" t="n"/>
      <c r="I227" s="15" t="n"/>
      <c r="J227" s="26">
        <f>IF($A227="","",LEN($C227)-LEN(SUBSTITUTE($C227,",",""))+1)</f>
        <v/>
      </c>
      <c r="K227" s="26">
        <f>IF($A227="","",SUMPRODUCT(--ISNUMBER(SEARCH('Category Dictionary'!$D$5:$D$135&amp;"",$C227)),--('Category Dictionary'!$D$5:$D$135&lt;&gt;"")))</f>
        <v/>
      </c>
      <c r="L227" s="27">
        <f>IF($A227="","",TRIM(IF(ISERROR(FIND(",",$C227)),$C227,LEFT($C227,FIND(",",$C227)-1))))</f>
        <v/>
      </c>
      <c r="M227" s="28">
        <f>IF($H227="","",DATE(YEAR($H227),MONTH($H227),1))</f>
        <v/>
      </c>
      <c r="N227" s="26">
        <f>IF($H227="","",TODAY()-$H227)</f>
        <v/>
      </c>
      <c r="O227" s="15" t="n"/>
      <c r="P227" s="26">
        <f>IF($A227="","",COUNTIFS('Audit Versions'!$A$6:$A$605,$A227,'Audit Versions'!$L$6:$L$605,"Active"))</f>
        <v/>
      </c>
      <c r="Q227" s="15" t="n"/>
      <c r="R227" s="26">
        <f>IF(OR($A227="",$P227=0),"",MOD(N($Q227),$P227)+1)</f>
        <v/>
      </c>
      <c r="S227" s="15" t="n"/>
      <c r="T227" s="25" t="n"/>
      <c r="U227" s="26">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Builder'!$B$12="",N($S227)&lt;='Assignment Builder'!$B$12)))</f>
        <v/>
      </c>
      <c r="V227" s="23" t="n"/>
    </row>
    <row r="228">
      <c r="A228" s="23" t="n"/>
      <c r="B228" s="23" t="n"/>
      <c r="C228" s="24" t="n"/>
      <c r="D228" s="15" t="n"/>
      <c r="E228" s="23" t="n"/>
      <c r="F228" s="15" t="n"/>
      <c r="G228" s="23" t="n"/>
      <c r="H228" s="25" t="n"/>
      <c r="I228" s="15" t="n"/>
      <c r="J228" s="26">
        <f>IF($A228="","",LEN($C228)-LEN(SUBSTITUTE($C228,",",""))+1)</f>
        <v/>
      </c>
      <c r="K228" s="26">
        <f>IF($A228="","",SUMPRODUCT(--ISNUMBER(SEARCH('Category Dictionary'!$D$5:$D$135&amp;"",$C228)),--('Category Dictionary'!$D$5:$D$135&lt;&gt;"")))</f>
        <v/>
      </c>
      <c r="L228" s="27">
        <f>IF($A228="","",TRIM(IF(ISERROR(FIND(",",$C228)),$C228,LEFT($C228,FIND(",",$C228)-1))))</f>
        <v/>
      </c>
      <c r="M228" s="28">
        <f>IF($H228="","",DATE(YEAR($H228),MONTH($H228),1))</f>
        <v/>
      </c>
      <c r="N228" s="26">
        <f>IF($H228="","",TODAY()-$H228)</f>
        <v/>
      </c>
      <c r="O228" s="15" t="n"/>
      <c r="P228" s="26">
        <f>IF($A228="","",COUNTIFS('Audit Versions'!$A$6:$A$605,$A228,'Audit Versions'!$L$6:$L$605,"Active"))</f>
        <v/>
      </c>
      <c r="Q228" s="15" t="n"/>
      <c r="R228" s="26">
        <f>IF(OR($A228="",$P228=0),"",MOD(N($Q228),$P228)+1)</f>
        <v/>
      </c>
      <c r="S228" s="15" t="n"/>
      <c r="T228" s="25" t="n"/>
      <c r="U228" s="26">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Builder'!$B$12="",N($S228)&lt;='Assignment Builder'!$B$12)))</f>
        <v/>
      </c>
      <c r="V228" s="23" t="n"/>
    </row>
    <row r="229">
      <c r="A229" s="23" t="n"/>
      <c r="B229" s="23" t="n"/>
      <c r="C229" s="24" t="n"/>
      <c r="D229" s="15" t="n"/>
      <c r="E229" s="23" t="n"/>
      <c r="F229" s="15" t="n"/>
      <c r="G229" s="23" t="n"/>
      <c r="H229" s="25" t="n"/>
      <c r="I229" s="15" t="n"/>
      <c r="J229" s="26">
        <f>IF($A229="","",LEN($C229)-LEN(SUBSTITUTE($C229,",",""))+1)</f>
        <v/>
      </c>
      <c r="K229" s="26">
        <f>IF($A229="","",SUMPRODUCT(--ISNUMBER(SEARCH('Category Dictionary'!$D$5:$D$135&amp;"",$C229)),--('Category Dictionary'!$D$5:$D$135&lt;&gt;"")))</f>
        <v/>
      </c>
      <c r="L229" s="27">
        <f>IF($A229="","",TRIM(IF(ISERROR(FIND(",",$C229)),$C229,LEFT($C229,FIND(",",$C229)-1))))</f>
        <v/>
      </c>
      <c r="M229" s="28">
        <f>IF($H229="","",DATE(YEAR($H229),MONTH($H229),1))</f>
        <v/>
      </c>
      <c r="N229" s="26">
        <f>IF($H229="","",TODAY()-$H229)</f>
        <v/>
      </c>
      <c r="O229" s="15" t="n"/>
      <c r="P229" s="26">
        <f>IF($A229="","",COUNTIFS('Audit Versions'!$A$6:$A$605,$A229,'Audit Versions'!$L$6:$L$605,"Active"))</f>
        <v/>
      </c>
      <c r="Q229" s="15" t="n"/>
      <c r="R229" s="26">
        <f>IF(OR($A229="",$P229=0),"",MOD(N($Q229),$P229)+1)</f>
        <v/>
      </c>
      <c r="S229" s="15" t="n"/>
      <c r="T229" s="25" t="n"/>
      <c r="U229" s="26">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Builder'!$B$12="",N($S229)&lt;='Assignment Builder'!$B$12)))</f>
        <v/>
      </c>
      <c r="V229" s="23" t="n"/>
    </row>
    <row r="230">
      <c r="A230" s="23" t="n"/>
      <c r="B230" s="23" t="n"/>
      <c r="C230" s="24" t="n"/>
      <c r="D230" s="15" t="n"/>
      <c r="E230" s="23" t="n"/>
      <c r="F230" s="15" t="n"/>
      <c r="G230" s="23" t="n"/>
      <c r="H230" s="25" t="n"/>
      <c r="I230" s="15" t="n"/>
      <c r="J230" s="26">
        <f>IF($A230="","",LEN($C230)-LEN(SUBSTITUTE($C230,",",""))+1)</f>
        <v/>
      </c>
      <c r="K230" s="26">
        <f>IF($A230="","",SUMPRODUCT(--ISNUMBER(SEARCH('Category Dictionary'!$D$5:$D$135&amp;"",$C230)),--('Category Dictionary'!$D$5:$D$135&lt;&gt;"")))</f>
        <v/>
      </c>
      <c r="L230" s="27">
        <f>IF($A230="","",TRIM(IF(ISERROR(FIND(",",$C230)),$C230,LEFT($C230,FIND(",",$C230)-1))))</f>
        <v/>
      </c>
      <c r="M230" s="28">
        <f>IF($H230="","",DATE(YEAR($H230),MONTH($H230),1))</f>
        <v/>
      </c>
      <c r="N230" s="26">
        <f>IF($H230="","",TODAY()-$H230)</f>
        <v/>
      </c>
      <c r="O230" s="15" t="n"/>
      <c r="P230" s="26">
        <f>IF($A230="","",COUNTIFS('Audit Versions'!$A$6:$A$605,$A230,'Audit Versions'!$L$6:$L$605,"Active"))</f>
        <v/>
      </c>
      <c r="Q230" s="15" t="n"/>
      <c r="R230" s="26">
        <f>IF(OR($A230="",$P230=0),"",MOD(N($Q230),$P230)+1)</f>
        <v/>
      </c>
      <c r="S230" s="15" t="n"/>
      <c r="T230" s="25" t="n"/>
      <c r="U230" s="26">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Builder'!$B$12="",N($S230)&lt;='Assignment Builder'!$B$12)))</f>
        <v/>
      </c>
      <c r="V230" s="23" t="n"/>
    </row>
    <row r="231">
      <c r="A231" s="23" t="n"/>
      <c r="B231" s="23" t="n"/>
      <c r="C231" s="24" t="n"/>
      <c r="D231" s="15" t="n"/>
      <c r="E231" s="23" t="n"/>
      <c r="F231" s="15" t="n"/>
      <c r="G231" s="23" t="n"/>
      <c r="H231" s="25" t="n"/>
      <c r="I231" s="15" t="n"/>
      <c r="J231" s="26">
        <f>IF($A231="","",LEN($C231)-LEN(SUBSTITUTE($C231,",",""))+1)</f>
        <v/>
      </c>
      <c r="K231" s="26">
        <f>IF($A231="","",SUMPRODUCT(--ISNUMBER(SEARCH('Category Dictionary'!$D$5:$D$135&amp;"",$C231)),--('Category Dictionary'!$D$5:$D$135&lt;&gt;"")))</f>
        <v/>
      </c>
      <c r="L231" s="27">
        <f>IF($A231="","",TRIM(IF(ISERROR(FIND(",",$C231)),$C231,LEFT($C231,FIND(",",$C231)-1))))</f>
        <v/>
      </c>
      <c r="M231" s="28">
        <f>IF($H231="","",DATE(YEAR($H231),MONTH($H231),1))</f>
        <v/>
      </c>
      <c r="N231" s="26">
        <f>IF($H231="","",TODAY()-$H231)</f>
        <v/>
      </c>
      <c r="O231" s="15" t="n"/>
      <c r="P231" s="26">
        <f>IF($A231="","",COUNTIFS('Audit Versions'!$A$6:$A$605,$A231,'Audit Versions'!$L$6:$L$605,"Active"))</f>
        <v/>
      </c>
      <c r="Q231" s="15" t="n"/>
      <c r="R231" s="26">
        <f>IF(OR($A231="",$P231=0),"",MOD(N($Q231),$P231)+1)</f>
        <v/>
      </c>
      <c r="S231" s="15" t="n"/>
      <c r="T231" s="25" t="n"/>
      <c r="U231" s="26">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Builder'!$B$12="",N($S231)&lt;='Assignment Builder'!$B$12)))</f>
        <v/>
      </c>
      <c r="V231" s="23" t="n"/>
    </row>
    <row r="232">
      <c r="A232" s="23" t="n"/>
      <c r="B232" s="23" t="n"/>
      <c r="C232" s="24" t="n"/>
      <c r="D232" s="15" t="n"/>
      <c r="E232" s="23" t="n"/>
      <c r="F232" s="15" t="n"/>
      <c r="G232" s="23" t="n"/>
      <c r="H232" s="25" t="n"/>
      <c r="I232" s="15" t="n"/>
      <c r="J232" s="26">
        <f>IF($A232="","",LEN($C232)-LEN(SUBSTITUTE($C232,",",""))+1)</f>
        <v/>
      </c>
      <c r="K232" s="26">
        <f>IF($A232="","",SUMPRODUCT(--ISNUMBER(SEARCH('Category Dictionary'!$D$5:$D$135&amp;"",$C232)),--('Category Dictionary'!$D$5:$D$135&lt;&gt;"")))</f>
        <v/>
      </c>
      <c r="L232" s="27">
        <f>IF($A232="","",TRIM(IF(ISERROR(FIND(",",$C232)),$C232,LEFT($C232,FIND(",",$C232)-1))))</f>
        <v/>
      </c>
      <c r="M232" s="28">
        <f>IF($H232="","",DATE(YEAR($H232),MONTH($H232),1))</f>
        <v/>
      </c>
      <c r="N232" s="26">
        <f>IF($H232="","",TODAY()-$H232)</f>
        <v/>
      </c>
      <c r="O232" s="15" t="n"/>
      <c r="P232" s="26">
        <f>IF($A232="","",COUNTIFS('Audit Versions'!$A$6:$A$605,$A232,'Audit Versions'!$L$6:$L$605,"Active"))</f>
        <v/>
      </c>
      <c r="Q232" s="15" t="n"/>
      <c r="R232" s="26">
        <f>IF(OR($A232="",$P232=0),"",MOD(N($Q232),$P232)+1)</f>
        <v/>
      </c>
      <c r="S232" s="15" t="n"/>
      <c r="T232" s="25" t="n"/>
      <c r="U232" s="26">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Builder'!$B$12="",N($S232)&lt;='Assignment Builder'!$B$12)))</f>
        <v/>
      </c>
      <c r="V232" s="23" t="n"/>
    </row>
    <row r="233">
      <c r="A233" s="23" t="n"/>
      <c r="B233" s="23" t="n"/>
      <c r="C233" s="24" t="n"/>
      <c r="D233" s="15" t="n"/>
      <c r="E233" s="23" t="n"/>
      <c r="F233" s="15" t="n"/>
      <c r="G233" s="23" t="n"/>
      <c r="H233" s="25" t="n"/>
      <c r="I233" s="15" t="n"/>
      <c r="J233" s="26">
        <f>IF($A233="","",LEN($C233)-LEN(SUBSTITUTE($C233,",",""))+1)</f>
        <v/>
      </c>
      <c r="K233" s="26">
        <f>IF($A233="","",SUMPRODUCT(--ISNUMBER(SEARCH('Category Dictionary'!$D$5:$D$135&amp;"",$C233)),--('Category Dictionary'!$D$5:$D$135&lt;&gt;"")))</f>
        <v/>
      </c>
      <c r="L233" s="27">
        <f>IF($A233="","",TRIM(IF(ISERROR(FIND(",",$C233)),$C233,LEFT($C233,FIND(",",$C233)-1))))</f>
        <v/>
      </c>
      <c r="M233" s="28">
        <f>IF($H233="","",DATE(YEAR($H233),MONTH($H233),1))</f>
        <v/>
      </c>
      <c r="N233" s="26">
        <f>IF($H233="","",TODAY()-$H233)</f>
        <v/>
      </c>
      <c r="O233" s="15" t="n"/>
      <c r="P233" s="26">
        <f>IF($A233="","",COUNTIFS('Audit Versions'!$A$6:$A$605,$A233,'Audit Versions'!$L$6:$L$605,"Active"))</f>
        <v/>
      </c>
      <c r="Q233" s="15" t="n"/>
      <c r="R233" s="26">
        <f>IF(OR($A233="",$P233=0),"",MOD(N($Q233),$P233)+1)</f>
        <v/>
      </c>
      <c r="S233" s="15" t="n"/>
      <c r="T233" s="25" t="n"/>
      <c r="U233" s="26">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Builder'!$B$12="",N($S233)&lt;='Assignment Builder'!$B$12)))</f>
        <v/>
      </c>
      <c r="V233" s="23" t="n"/>
    </row>
    <row r="234">
      <c r="A234" s="23" t="n"/>
      <c r="B234" s="23" t="n"/>
      <c r="C234" s="24" t="n"/>
      <c r="D234" s="15" t="n"/>
      <c r="E234" s="23" t="n"/>
      <c r="F234" s="15" t="n"/>
      <c r="G234" s="23" t="n"/>
      <c r="H234" s="25" t="n"/>
      <c r="I234" s="15" t="n"/>
      <c r="J234" s="26">
        <f>IF($A234="","",LEN($C234)-LEN(SUBSTITUTE($C234,",",""))+1)</f>
        <v/>
      </c>
      <c r="K234" s="26">
        <f>IF($A234="","",SUMPRODUCT(--ISNUMBER(SEARCH('Category Dictionary'!$D$5:$D$135&amp;"",$C234)),--('Category Dictionary'!$D$5:$D$135&lt;&gt;"")))</f>
        <v/>
      </c>
      <c r="L234" s="27">
        <f>IF($A234="","",TRIM(IF(ISERROR(FIND(",",$C234)),$C234,LEFT($C234,FIND(",",$C234)-1))))</f>
        <v/>
      </c>
      <c r="M234" s="28">
        <f>IF($H234="","",DATE(YEAR($H234),MONTH($H234),1))</f>
        <v/>
      </c>
      <c r="N234" s="26">
        <f>IF($H234="","",TODAY()-$H234)</f>
        <v/>
      </c>
      <c r="O234" s="15" t="n"/>
      <c r="P234" s="26">
        <f>IF($A234="","",COUNTIFS('Audit Versions'!$A$6:$A$605,$A234,'Audit Versions'!$L$6:$L$605,"Active"))</f>
        <v/>
      </c>
      <c r="Q234" s="15" t="n"/>
      <c r="R234" s="26">
        <f>IF(OR($A234="",$P234=0),"",MOD(N($Q234),$P234)+1)</f>
        <v/>
      </c>
      <c r="S234" s="15" t="n"/>
      <c r="T234" s="25" t="n"/>
      <c r="U234" s="26">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Builder'!$B$12="",N($S234)&lt;='Assignment Builder'!$B$12)))</f>
        <v/>
      </c>
      <c r="V234" s="23" t="n"/>
    </row>
    <row r="235">
      <c r="A235" s="23" t="n"/>
      <c r="B235" s="23" t="n"/>
      <c r="C235" s="24" t="n"/>
      <c r="D235" s="15" t="n"/>
      <c r="E235" s="23" t="n"/>
      <c r="F235" s="15" t="n"/>
      <c r="G235" s="23" t="n"/>
      <c r="H235" s="25" t="n"/>
      <c r="I235" s="15" t="n"/>
      <c r="J235" s="26">
        <f>IF($A235="","",LEN($C235)-LEN(SUBSTITUTE($C235,",",""))+1)</f>
        <v/>
      </c>
      <c r="K235" s="26">
        <f>IF($A235="","",SUMPRODUCT(--ISNUMBER(SEARCH('Category Dictionary'!$D$5:$D$135&amp;"",$C235)),--('Category Dictionary'!$D$5:$D$135&lt;&gt;"")))</f>
        <v/>
      </c>
      <c r="L235" s="27">
        <f>IF($A235="","",TRIM(IF(ISERROR(FIND(",",$C235)),$C235,LEFT($C235,FIND(",",$C235)-1))))</f>
        <v/>
      </c>
      <c r="M235" s="28">
        <f>IF($H235="","",DATE(YEAR($H235),MONTH($H235),1))</f>
        <v/>
      </c>
      <c r="N235" s="26">
        <f>IF($H235="","",TODAY()-$H235)</f>
        <v/>
      </c>
      <c r="O235" s="15" t="n"/>
      <c r="P235" s="26">
        <f>IF($A235="","",COUNTIFS('Audit Versions'!$A$6:$A$605,$A235,'Audit Versions'!$L$6:$L$605,"Active"))</f>
        <v/>
      </c>
      <c r="Q235" s="15" t="n"/>
      <c r="R235" s="26">
        <f>IF(OR($A235="",$P235=0),"",MOD(N($Q235),$P235)+1)</f>
        <v/>
      </c>
      <c r="S235" s="15" t="n"/>
      <c r="T235" s="25" t="n"/>
      <c r="U235" s="26">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Builder'!$B$12="",N($S235)&lt;='Assignment Builder'!$B$12)))</f>
        <v/>
      </c>
      <c r="V235" s="23" t="n"/>
    </row>
    <row r="236">
      <c r="A236" s="23" t="n"/>
      <c r="B236" s="23" t="n"/>
      <c r="C236" s="24" t="n"/>
      <c r="D236" s="15" t="n"/>
      <c r="E236" s="23" t="n"/>
      <c r="F236" s="15" t="n"/>
      <c r="G236" s="23" t="n"/>
      <c r="H236" s="25" t="n"/>
      <c r="I236" s="15" t="n"/>
      <c r="J236" s="26">
        <f>IF($A236="","",LEN($C236)-LEN(SUBSTITUTE($C236,",",""))+1)</f>
        <v/>
      </c>
      <c r="K236" s="26">
        <f>IF($A236="","",SUMPRODUCT(--ISNUMBER(SEARCH('Category Dictionary'!$D$5:$D$135&amp;"",$C236)),--('Category Dictionary'!$D$5:$D$135&lt;&gt;"")))</f>
        <v/>
      </c>
      <c r="L236" s="27">
        <f>IF($A236="","",TRIM(IF(ISERROR(FIND(",",$C236)),$C236,LEFT($C236,FIND(",",$C236)-1))))</f>
        <v/>
      </c>
      <c r="M236" s="28">
        <f>IF($H236="","",DATE(YEAR($H236),MONTH($H236),1))</f>
        <v/>
      </c>
      <c r="N236" s="26">
        <f>IF($H236="","",TODAY()-$H236)</f>
        <v/>
      </c>
      <c r="O236" s="15" t="n"/>
      <c r="P236" s="26">
        <f>IF($A236="","",COUNTIFS('Audit Versions'!$A$6:$A$605,$A236,'Audit Versions'!$L$6:$L$605,"Active"))</f>
        <v/>
      </c>
      <c r="Q236" s="15" t="n"/>
      <c r="R236" s="26">
        <f>IF(OR($A236="",$P236=0),"",MOD(N($Q236),$P236)+1)</f>
        <v/>
      </c>
      <c r="S236" s="15" t="n"/>
      <c r="T236" s="25" t="n"/>
      <c r="U236" s="26">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Builder'!$B$12="",N($S236)&lt;='Assignment Builder'!$B$12)))</f>
        <v/>
      </c>
      <c r="V236" s="23" t="n"/>
    </row>
    <row r="237">
      <c r="A237" s="23" t="n"/>
      <c r="B237" s="23" t="n"/>
      <c r="C237" s="24" t="n"/>
      <c r="D237" s="15" t="n"/>
      <c r="E237" s="23" t="n"/>
      <c r="F237" s="15" t="n"/>
      <c r="G237" s="23" t="n"/>
      <c r="H237" s="25" t="n"/>
      <c r="I237" s="15" t="n"/>
      <c r="J237" s="26">
        <f>IF($A237="","",LEN($C237)-LEN(SUBSTITUTE($C237,",",""))+1)</f>
        <v/>
      </c>
      <c r="K237" s="26">
        <f>IF($A237="","",SUMPRODUCT(--ISNUMBER(SEARCH('Category Dictionary'!$D$5:$D$135&amp;"",$C237)),--('Category Dictionary'!$D$5:$D$135&lt;&gt;"")))</f>
        <v/>
      </c>
      <c r="L237" s="27">
        <f>IF($A237="","",TRIM(IF(ISERROR(FIND(",",$C237)),$C237,LEFT($C237,FIND(",",$C237)-1))))</f>
        <v/>
      </c>
      <c r="M237" s="28">
        <f>IF($H237="","",DATE(YEAR($H237),MONTH($H237),1))</f>
        <v/>
      </c>
      <c r="N237" s="26">
        <f>IF($H237="","",TODAY()-$H237)</f>
        <v/>
      </c>
      <c r="O237" s="15" t="n"/>
      <c r="P237" s="26">
        <f>IF($A237="","",COUNTIFS('Audit Versions'!$A$6:$A$605,$A237,'Audit Versions'!$L$6:$L$605,"Active"))</f>
        <v/>
      </c>
      <c r="Q237" s="15" t="n"/>
      <c r="R237" s="26">
        <f>IF(OR($A237="",$P237=0),"",MOD(N($Q237),$P237)+1)</f>
        <v/>
      </c>
      <c r="S237" s="15" t="n"/>
      <c r="T237" s="25" t="n"/>
      <c r="U237" s="26">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Builder'!$B$12="",N($S237)&lt;='Assignment Builder'!$B$12)))</f>
        <v/>
      </c>
      <c r="V237" s="23" t="n"/>
    </row>
    <row r="238">
      <c r="A238" s="23" t="n"/>
      <c r="B238" s="23" t="n"/>
      <c r="C238" s="24" t="n"/>
      <c r="D238" s="15" t="n"/>
      <c r="E238" s="23" t="n"/>
      <c r="F238" s="15" t="n"/>
      <c r="G238" s="23" t="n"/>
      <c r="H238" s="25" t="n"/>
      <c r="I238" s="15" t="n"/>
      <c r="J238" s="26">
        <f>IF($A238="","",LEN($C238)-LEN(SUBSTITUTE($C238,",",""))+1)</f>
        <v/>
      </c>
      <c r="K238" s="26">
        <f>IF($A238="","",SUMPRODUCT(--ISNUMBER(SEARCH('Category Dictionary'!$D$5:$D$135&amp;"",$C238)),--('Category Dictionary'!$D$5:$D$135&lt;&gt;"")))</f>
        <v/>
      </c>
      <c r="L238" s="27">
        <f>IF($A238="","",TRIM(IF(ISERROR(FIND(",",$C238)),$C238,LEFT($C238,FIND(",",$C238)-1))))</f>
        <v/>
      </c>
      <c r="M238" s="28">
        <f>IF($H238="","",DATE(YEAR($H238),MONTH($H238),1))</f>
        <v/>
      </c>
      <c r="N238" s="26">
        <f>IF($H238="","",TODAY()-$H238)</f>
        <v/>
      </c>
      <c r="O238" s="15" t="n"/>
      <c r="P238" s="26">
        <f>IF($A238="","",COUNTIFS('Audit Versions'!$A$6:$A$605,$A238,'Audit Versions'!$L$6:$L$605,"Active"))</f>
        <v/>
      </c>
      <c r="Q238" s="15" t="n"/>
      <c r="R238" s="26">
        <f>IF(OR($A238="",$P238=0),"",MOD(N($Q238),$P238)+1)</f>
        <v/>
      </c>
      <c r="S238" s="15" t="n"/>
      <c r="T238" s="25" t="n"/>
      <c r="U238" s="26">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Builder'!$B$12="",N($S238)&lt;='Assignment Builder'!$B$12)))</f>
        <v/>
      </c>
      <c r="V238" s="23" t="n"/>
    </row>
    <row r="239">
      <c r="A239" s="23" t="n"/>
      <c r="B239" s="23" t="n"/>
      <c r="C239" s="24" t="n"/>
      <c r="D239" s="15" t="n"/>
      <c r="E239" s="23" t="n"/>
      <c r="F239" s="15" t="n"/>
      <c r="G239" s="23" t="n"/>
      <c r="H239" s="25" t="n"/>
      <c r="I239" s="15" t="n"/>
      <c r="J239" s="26">
        <f>IF($A239="","",LEN($C239)-LEN(SUBSTITUTE($C239,",",""))+1)</f>
        <v/>
      </c>
      <c r="K239" s="26">
        <f>IF($A239="","",SUMPRODUCT(--ISNUMBER(SEARCH('Category Dictionary'!$D$5:$D$135&amp;"",$C239)),--('Category Dictionary'!$D$5:$D$135&lt;&gt;"")))</f>
        <v/>
      </c>
      <c r="L239" s="27">
        <f>IF($A239="","",TRIM(IF(ISERROR(FIND(",",$C239)),$C239,LEFT($C239,FIND(",",$C239)-1))))</f>
        <v/>
      </c>
      <c r="M239" s="28">
        <f>IF($H239="","",DATE(YEAR($H239),MONTH($H239),1))</f>
        <v/>
      </c>
      <c r="N239" s="26">
        <f>IF($H239="","",TODAY()-$H239)</f>
        <v/>
      </c>
      <c r="O239" s="15" t="n"/>
      <c r="P239" s="26">
        <f>IF($A239="","",COUNTIFS('Audit Versions'!$A$6:$A$605,$A239,'Audit Versions'!$L$6:$L$605,"Active"))</f>
        <v/>
      </c>
      <c r="Q239" s="15" t="n"/>
      <c r="R239" s="26">
        <f>IF(OR($A239="",$P239=0),"",MOD(N($Q239),$P239)+1)</f>
        <v/>
      </c>
      <c r="S239" s="15" t="n"/>
      <c r="T239" s="25" t="n"/>
      <c r="U239" s="26">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Builder'!$B$12="",N($S239)&lt;='Assignment Builder'!$B$12)))</f>
        <v/>
      </c>
      <c r="V239" s="23" t="n"/>
    </row>
    <row r="240">
      <c r="A240" s="23" t="n"/>
      <c r="B240" s="23" t="n"/>
      <c r="C240" s="24" t="n"/>
      <c r="D240" s="15" t="n"/>
      <c r="E240" s="23" t="n"/>
      <c r="F240" s="15" t="n"/>
      <c r="G240" s="23" t="n"/>
      <c r="H240" s="25" t="n"/>
      <c r="I240" s="15" t="n"/>
      <c r="J240" s="26">
        <f>IF($A240="","",LEN($C240)-LEN(SUBSTITUTE($C240,",",""))+1)</f>
        <v/>
      </c>
      <c r="K240" s="26">
        <f>IF($A240="","",SUMPRODUCT(--ISNUMBER(SEARCH('Category Dictionary'!$D$5:$D$135&amp;"",$C240)),--('Category Dictionary'!$D$5:$D$135&lt;&gt;"")))</f>
        <v/>
      </c>
      <c r="L240" s="27">
        <f>IF($A240="","",TRIM(IF(ISERROR(FIND(",",$C240)),$C240,LEFT($C240,FIND(",",$C240)-1))))</f>
        <v/>
      </c>
      <c r="M240" s="28">
        <f>IF($H240="","",DATE(YEAR($H240),MONTH($H240),1))</f>
        <v/>
      </c>
      <c r="N240" s="26">
        <f>IF($H240="","",TODAY()-$H240)</f>
        <v/>
      </c>
      <c r="O240" s="15" t="n"/>
      <c r="P240" s="26">
        <f>IF($A240="","",COUNTIFS('Audit Versions'!$A$6:$A$605,$A240,'Audit Versions'!$L$6:$L$605,"Active"))</f>
        <v/>
      </c>
      <c r="Q240" s="15" t="n"/>
      <c r="R240" s="26">
        <f>IF(OR($A240="",$P240=0),"",MOD(N($Q240),$P240)+1)</f>
        <v/>
      </c>
      <c r="S240" s="15" t="n"/>
      <c r="T240" s="25" t="n"/>
      <c r="U240" s="26">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Builder'!$B$12="",N($S240)&lt;='Assignment Builder'!$B$12)))</f>
        <v/>
      </c>
      <c r="V240" s="23" t="n"/>
    </row>
    <row r="241">
      <c r="A241" s="23" t="n"/>
      <c r="B241" s="23" t="n"/>
      <c r="C241" s="24" t="n"/>
      <c r="D241" s="15" t="n"/>
      <c r="E241" s="23" t="n"/>
      <c r="F241" s="15" t="n"/>
      <c r="G241" s="23" t="n"/>
      <c r="H241" s="25" t="n"/>
      <c r="I241" s="15" t="n"/>
      <c r="J241" s="26">
        <f>IF($A241="","",LEN($C241)-LEN(SUBSTITUTE($C241,",",""))+1)</f>
        <v/>
      </c>
      <c r="K241" s="26">
        <f>IF($A241="","",SUMPRODUCT(--ISNUMBER(SEARCH('Category Dictionary'!$D$5:$D$135&amp;"",$C241)),--('Category Dictionary'!$D$5:$D$135&lt;&gt;"")))</f>
        <v/>
      </c>
      <c r="L241" s="27">
        <f>IF($A241="","",TRIM(IF(ISERROR(FIND(",",$C241)),$C241,LEFT($C241,FIND(",",$C241)-1))))</f>
        <v/>
      </c>
      <c r="M241" s="28">
        <f>IF($H241="","",DATE(YEAR($H241),MONTH($H241),1))</f>
        <v/>
      </c>
      <c r="N241" s="26">
        <f>IF($H241="","",TODAY()-$H241)</f>
        <v/>
      </c>
      <c r="O241" s="15" t="n"/>
      <c r="P241" s="26">
        <f>IF($A241="","",COUNTIFS('Audit Versions'!$A$6:$A$605,$A241,'Audit Versions'!$L$6:$L$605,"Active"))</f>
        <v/>
      </c>
      <c r="Q241" s="15" t="n"/>
      <c r="R241" s="26">
        <f>IF(OR($A241="",$P241=0),"",MOD(N($Q241),$P241)+1)</f>
        <v/>
      </c>
      <c r="S241" s="15" t="n"/>
      <c r="T241" s="25" t="n"/>
      <c r="U241" s="26">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Builder'!$B$12="",N($S241)&lt;='Assignment Builder'!$B$12)))</f>
        <v/>
      </c>
      <c r="V241" s="23" t="n"/>
    </row>
    <row r="242">
      <c r="A242" s="23" t="n"/>
      <c r="B242" s="23" t="n"/>
      <c r="C242" s="24" t="n"/>
      <c r="D242" s="15" t="n"/>
      <c r="E242" s="23" t="n"/>
      <c r="F242" s="15" t="n"/>
      <c r="G242" s="23" t="n"/>
      <c r="H242" s="25" t="n"/>
      <c r="I242" s="15" t="n"/>
      <c r="J242" s="26">
        <f>IF($A242="","",LEN($C242)-LEN(SUBSTITUTE($C242,",",""))+1)</f>
        <v/>
      </c>
      <c r="K242" s="26">
        <f>IF($A242="","",SUMPRODUCT(--ISNUMBER(SEARCH('Category Dictionary'!$D$5:$D$135&amp;"",$C242)),--('Category Dictionary'!$D$5:$D$135&lt;&gt;"")))</f>
        <v/>
      </c>
      <c r="L242" s="27">
        <f>IF($A242="","",TRIM(IF(ISERROR(FIND(",",$C242)),$C242,LEFT($C242,FIND(",",$C242)-1))))</f>
        <v/>
      </c>
      <c r="M242" s="28">
        <f>IF($H242="","",DATE(YEAR($H242),MONTH($H242),1))</f>
        <v/>
      </c>
      <c r="N242" s="26">
        <f>IF($H242="","",TODAY()-$H242)</f>
        <v/>
      </c>
      <c r="O242" s="15" t="n"/>
      <c r="P242" s="26">
        <f>IF($A242="","",COUNTIFS('Audit Versions'!$A$6:$A$605,$A242,'Audit Versions'!$L$6:$L$605,"Active"))</f>
        <v/>
      </c>
      <c r="Q242" s="15" t="n"/>
      <c r="R242" s="26">
        <f>IF(OR($A242="",$P242=0),"",MOD(N($Q242),$P242)+1)</f>
        <v/>
      </c>
      <c r="S242" s="15" t="n"/>
      <c r="T242" s="25" t="n"/>
      <c r="U242" s="26">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Builder'!$B$12="",N($S242)&lt;='Assignment Builder'!$B$12)))</f>
        <v/>
      </c>
      <c r="V242" s="23" t="n"/>
    </row>
    <row r="243">
      <c r="A243" s="23" t="n"/>
      <c r="B243" s="23" t="n"/>
      <c r="C243" s="24" t="n"/>
      <c r="D243" s="15" t="n"/>
      <c r="E243" s="23" t="n"/>
      <c r="F243" s="15" t="n"/>
      <c r="G243" s="23" t="n"/>
      <c r="H243" s="25" t="n"/>
      <c r="I243" s="15" t="n"/>
      <c r="J243" s="26">
        <f>IF($A243="","",LEN($C243)-LEN(SUBSTITUTE($C243,",",""))+1)</f>
        <v/>
      </c>
      <c r="K243" s="26">
        <f>IF($A243="","",SUMPRODUCT(--ISNUMBER(SEARCH('Category Dictionary'!$D$5:$D$135&amp;"",$C243)),--('Category Dictionary'!$D$5:$D$135&lt;&gt;"")))</f>
        <v/>
      </c>
      <c r="L243" s="27">
        <f>IF($A243="","",TRIM(IF(ISERROR(FIND(",",$C243)),$C243,LEFT($C243,FIND(",",$C243)-1))))</f>
        <v/>
      </c>
      <c r="M243" s="28">
        <f>IF($H243="","",DATE(YEAR($H243),MONTH($H243),1))</f>
        <v/>
      </c>
      <c r="N243" s="26">
        <f>IF($H243="","",TODAY()-$H243)</f>
        <v/>
      </c>
      <c r="O243" s="15" t="n"/>
      <c r="P243" s="26">
        <f>IF($A243="","",COUNTIFS('Audit Versions'!$A$6:$A$605,$A243,'Audit Versions'!$L$6:$L$605,"Active"))</f>
        <v/>
      </c>
      <c r="Q243" s="15" t="n"/>
      <c r="R243" s="26">
        <f>IF(OR($A243="",$P243=0),"",MOD(N($Q243),$P243)+1)</f>
        <v/>
      </c>
      <c r="S243" s="15" t="n"/>
      <c r="T243" s="25" t="n"/>
      <c r="U243" s="26">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Builder'!$B$12="",N($S243)&lt;='Assignment Builder'!$B$12)))</f>
        <v/>
      </c>
      <c r="V243" s="23" t="n"/>
    </row>
    <row r="244">
      <c r="A244" s="23" t="n"/>
      <c r="B244" s="23" t="n"/>
      <c r="C244" s="24" t="n"/>
      <c r="D244" s="15" t="n"/>
      <c r="E244" s="23" t="n"/>
      <c r="F244" s="15" t="n"/>
      <c r="G244" s="23" t="n"/>
      <c r="H244" s="25" t="n"/>
      <c r="I244" s="15" t="n"/>
      <c r="J244" s="26">
        <f>IF($A244="","",LEN($C244)-LEN(SUBSTITUTE($C244,",",""))+1)</f>
        <v/>
      </c>
      <c r="K244" s="26">
        <f>IF($A244="","",SUMPRODUCT(--ISNUMBER(SEARCH('Category Dictionary'!$D$5:$D$135&amp;"",$C244)),--('Category Dictionary'!$D$5:$D$135&lt;&gt;"")))</f>
        <v/>
      </c>
      <c r="L244" s="27">
        <f>IF($A244="","",TRIM(IF(ISERROR(FIND(",",$C244)),$C244,LEFT($C244,FIND(",",$C244)-1))))</f>
        <v/>
      </c>
      <c r="M244" s="28">
        <f>IF($H244="","",DATE(YEAR($H244),MONTH($H244),1))</f>
        <v/>
      </c>
      <c r="N244" s="26">
        <f>IF($H244="","",TODAY()-$H244)</f>
        <v/>
      </c>
      <c r="O244" s="15" t="n"/>
      <c r="P244" s="26">
        <f>IF($A244="","",COUNTIFS('Audit Versions'!$A$6:$A$605,$A244,'Audit Versions'!$L$6:$L$605,"Active"))</f>
        <v/>
      </c>
      <c r="Q244" s="15" t="n"/>
      <c r="R244" s="26">
        <f>IF(OR($A244="",$P244=0),"",MOD(N($Q244),$P244)+1)</f>
        <v/>
      </c>
      <c r="S244" s="15" t="n"/>
      <c r="T244" s="25" t="n"/>
      <c r="U244" s="26">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Builder'!$B$12="",N($S244)&lt;='Assignment Builder'!$B$12)))</f>
        <v/>
      </c>
      <c r="V244" s="23" t="n"/>
    </row>
    <row r="245">
      <c r="A245" s="23" t="n"/>
      <c r="B245" s="23" t="n"/>
      <c r="C245" s="24" t="n"/>
      <c r="D245" s="15" t="n"/>
      <c r="E245" s="23" t="n"/>
      <c r="F245" s="15" t="n"/>
      <c r="G245" s="23" t="n"/>
      <c r="H245" s="25" t="n"/>
      <c r="I245" s="15" t="n"/>
      <c r="J245" s="26">
        <f>IF($A245="","",LEN($C245)-LEN(SUBSTITUTE($C245,",",""))+1)</f>
        <v/>
      </c>
      <c r="K245" s="26">
        <f>IF($A245="","",SUMPRODUCT(--ISNUMBER(SEARCH('Category Dictionary'!$D$5:$D$135&amp;"",$C245)),--('Category Dictionary'!$D$5:$D$135&lt;&gt;"")))</f>
        <v/>
      </c>
      <c r="L245" s="27">
        <f>IF($A245="","",TRIM(IF(ISERROR(FIND(",",$C245)),$C245,LEFT($C245,FIND(",",$C245)-1))))</f>
        <v/>
      </c>
      <c r="M245" s="28">
        <f>IF($H245="","",DATE(YEAR($H245),MONTH($H245),1))</f>
        <v/>
      </c>
      <c r="N245" s="26">
        <f>IF($H245="","",TODAY()-$H245)</f>
        <v/>
      </c>
      <c r="O245" s="15" t="n"/>
      <c r="P245" s="26">
        <f>IF($A245="","",COUNTIFS('Audit Versions'!$A$6:$A$605,$A245,'Audit Versions'!$L$6:$L$605,"Active"))</f>
        <v/>
      </c>
      <c r="Q245" s="15" t="n"/>
      <c r="R245" s="26">
        <f>IF(OR($A245="",$P245=0),"",MOD(N($Q245),$P245)+1)</f>
        <v/>
      </c>
      <c r="S245" s="15" t="n"/>
      <c r="T245" s="25" t="n"/>
      <c r="U245" s="26">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Builder'!$B$12="",N($S245)&lt;='Assignment Builder'!$B$12)))</f>
        <v/>
      </c>
      <c r="V245" s="23" t="n"/>
    </row>
    <row r="246">
      <c r="A246" s="23" t="n"/>
      <c r="B246" s="23" t="n"/>
      <c r="C246" s="24" t="n"/>
      <c r="D246" s="15" t="n"/>
      <c r="E246" s="23" t="n"/>
      <c r="F246" s="15" t="n"/>
      <c r="G246" s="23" t="n"/>
      <c r="H246" s="25" t="n"/>
      <c r="I246" s="15" t="n"/>
      <c r="J246" s="26">
        <f>IF($A246="","",LEN($C246)-LEN(SUBSTITUTE($C246,",",""))+1)</f>
        <v/>
      </c>
      <c r="K246" s="26">
        <f>IF($A246="","",SUMPRODUCT(--ISNUMBER(SEARCH('Category Dictionary'!$D$5:$D$135&amp;"",$C246)),--('Category Dictionary'!$D$5:$D$135&lt;&gt;"")))</f>
        <v/>
      </c>
      <c r="L246" s="27">
        <f>IF($A246="","",TRIM(IF(ISERROR(FIND(",",$C246)),$C246,LEFT($C246,FIND(",",$C246)-1))))</f>
        <v/>
      </c>
      <c r="M246" s="28">
        <f>IF($H246="","",DATE(YEAR($H246),MONTH($H246),1))</f>
        <v/>
      </c>
      <c r="N246" s="26">
        <f>IF($H246="","",TODAY()-$H246)</f>
        <v/>
      </c>
      <c r="O246" s="15" t="n"/>
      <c r="P246" s="26">
        <f>IF($A246="","",COUNTIFS('Audit Versions'!$A$6:$A$605,$A246,'Audit Versions'!$L$6:$L$605,"Active"))</f>
        <v/>
      </c>
      <c r="Q246" s="15" t="n"/>
      <c r="R246" s="26">
        <f>IF(OR($A246="",$P246=0),"",MOD(N($Q246),$P246)+1)</f>
        <v/>
      </c>
      <c r="S246" s="15" t="n"/>
      <c r="T246" s="25" t="n"/>
      <c r="U246" s="26">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Builder'!$B$12="",N($S246)&lt;='Assignment Builder'!$B$12)))</f>
        <v/>
      </c>
      <c r="V246" s="23" t="n"/>
    </row>
    <row r="247">
      <c r="A247" s="23" t="n"/>
      <c r="B247" s="23" t="n"/>
      <c r="C247" s="24" t="n"/>
      <c r="D247" s="15" t="n"/>
      <c r="E247" s="23" t="n"/>
      <c r="F247" s="15" t="n"/>
      <c r="G247" s="23" t="n"/>
      <c r="H247" s="25" t="n"/>
      <c r="I247" s="15" t="n"/>
      <c r="J247" s="26">
        <f>IF($A247="","",LEN($C247)-LEN(SUBSTITUTE($C247,",",""))+1)</f>
        <v/>
      </c>
      <c r="K247" s="26">
        <f>IF($A247="","",SUMPRODUCT(--ISNUMBER(SEARCH('Category Dictionary'!$D$5:$D$135&amp;"",$C247)),--('Category Dictionary'!$D$5:$D$135&lt;&gt;"")))</f>
        <v/>
      </c>
      <c r="L247" s="27">
        <f>IF($A247="","",TRIM(IF(ISERROR(FIND(",",$C247)),$C247,LEFT($C247,FIND(",",$C247)-1))))</f>
        <v/>
      </c>
      <c r="M247" s="28">
        <f>IF($H247="","",DATE(YEAR($H247),MONTH($H247),1))</f>
        <v/>
      </c>
      <c r="N247" s="26">
        <f>IF($H247="","",TODAY()-$H247)</f>
        <v/>
      </c>
      <c r="O247" s="15" t="n"/>
      <c r="P247" s="26">
        <f>IF($A247="","",COUNTIFS('Audit Versions'!$A$6:$A$605,$A247,'Audit Versions'!$L$6:$L$605,"Active"))</f>
        <v/>
      </c>
      <c r="Q247" s="15" t="n"/>
      <c r="R247" s="26">
        <f>IF(OR($A247="",$P247=0),"",MOD(N($Q247),$P247)+1)</f>
        <v/>
      </c>
      <c r="S247" s="15" t="n"/>
      <c r="T247" s="25" t="n"/>
      <c r="U247" s="26">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Builder'!$B$12="",N($S247)&lt;='Assignment Builder'!$B$12)))</f>
        <v/>
      </c>
      <c r="V247" s="23" t="n"/>
    </row>
    <row r="248">
      <c r="A248" s="23" t="n"/>
      <c r="B248" s="23" t="n"/>
      <c r="C248" s="24" t="n"/>
      <c r="D248" s="15" t="n"/>
      <c r="E248" s="23" t="n"/>
      <c r="F248" s="15" t="n"/>
      <c r="G248" s="23" t="n"/>
      <c r="H248" s="25" t="n"/>
      <c r="I248" s="15" t="n"/>
      <c r="J248" s="26">
        <f>IF($A248="","",LEN($C248)-LEN(SUBSTITUTE($C248,",",""))+1)</f>
        <v/>
      </c>
      <c r="K248" s="26">
        <f>IF($A248="","",SUMPRODUCT(--ISNUMBER(SEARCH('Category Dictionary'!$D$5:$D$135&amp;"",$C248)),--('Category Dictionary'!$D$5:$D$135&lt;&gt;"")))</f>
        <v/>
      </c>
      <c r="L248" s="27">
        <f>IF($A248="","",TRIM(IF(ISERROR(FIND(",",$C248)),$C248,LEFT($C248,FIND(",",$C248)-1))))</f>
        <v/>
      </c>
      <c r="M248" s="28">
        <f>IF($H248="","",DATE(YEAR($H248),MONTH($H248),1))</f>
        <v/>
      </c>
      <c r="N248" s="26">
        <f>IF($H248="","",TODAY()-$H248)</f>
        <v/>
      </c>
      <c r="O248" s="15" t="n"/>
      <c r="P248" s="26">
        <f>IF($A248="","",COUNTIFS('Audit Versions'!$A$6:$A$605,$A248,'Audit Versions'!$L$6:$L$605,"Active"))</f>
        <v/>
      </c>
      <c r="Q248" s="15" t="n"/>
      <c r="R248" s="26">
        <f>IF(OR($A248="",$P248=0),"",MOD(N($Q248),$P248)+1)</f>
        <v/>
      </c>
      <c r="S248" s="15" t="n"/>
      <c r="T248" s="25" t="n"/>
      <c r="U248" s="26">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Builder'!$B$12="",N($S248)&lt;='Assignment Builder'!$B$12)))</f>
        <v/>
      </c>
      <c r="V248" s="23" t="n"/>
    </row>
    <row r="249">
      <c r="A249" s="23" t="n"/>
      <c r="B249" s="23" t="n"/>
      <c r="C249" s="24" t="n"/>
      <c r="D249" s="15" t="n"/>
      <c r="E249" s="23" t="n"/>
      <c r="F249" s="15" t="n"/>
      <c r="G249" s="23" t="n"/>
      <c r="H249" s="25" t="n"/>
      <c r="I249" s="15" t="n"/>
      <c r="J249" s="26">
        <f>IF($A249="","",LEN($C249)-LEN(SUBSTITUTE($C249,",",""))+1)</f>
        <v/>
      </c>
      <c r="K249" s="26">
        <f>IF($A249="","",SUMPRODUCT(--ISNUMBER(SEARCH('Category Dictionary'!$D$5:$D$135&amp;"",$C249)),--('Category Dictionary'!$D$5:$D$135&lt;&gt;"")))</f>
        <v/>
      </c>
      <c r="L249" s="27">
        <f>IF($A249="","",TRIM(IF(ISERROR(FIND(",",$C249)),$C249,LEFT($C249,FIND(",",$C249)-1))))</f>
        <v/>
      </c>
      <c r="M249" s="28">
        <f>IF($H249="","",DATE(YEAR($H249),MONTH($H249),1))</f>
        <v/>
      </c>
      <c r="N249" s="26">
        <f>IF($H249="","",TODAY()-$H249)</f>
        <v/>
      </c>
      <c r="O249" s="15" t="n"/>
      <c r="P249" s="26">
        <f>IF($A249="","",COUNTIFS('Audit Versions'!$A$6:$A$605,$A249,'Audit Versions'!$L$6:$L$605,"Active"))</f>
        <v/>
      </c>
      <c r="Q249" s="15" t="n"/>
      <c r="R249" s="26">
        <f>IF(OR($A249="",$P249=0),"",MOD(N($Q249),$P249)+1)</f>
        <v/>
      </c>
      <c r="S249" s="15" t="n"/>
      <c r="T249" s="25" t="n"/>
      <c r="U249" s="26">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Builder'!$B$12="",N($S249)&lt;='Assignment Builder'!$B$12)))</f>
        <v/>
      </c>
      <c r="V249" s="23" t="n"/>
    </row>
    <row r="250">
      <c r="A250" s="23" t="n"/>
      <c r="B250" s="23" t="n"/>
      <c r="C250" s="24" t="n"/>
      <c r="D250" s="15" t="n"/>
      <c r="E250" s="23" t="n"/>
      <c r="F250" s="15" t="n"/>
      <c r="G250" s="23" t="n"/>
      <c r="H250" s="25" t="n"/>
      <c r="I250" s="15" t="n"/>
      <c r="J250" s="26">
        <f>IF($A250="","",LEN($C250)-LEN(SUBSTITUTE($C250,",",""))+1)</f>
        <v/>
      </c>
      <c r="K250" s="26">
        <f>IF($A250="","",SUMPRODUCT(--ISNUMBER(SEARCH('Category Dictionary'!$D$5:$D$135&amp;"",$C250)),--('Category Dictionary'!$D$5:$D$135&lt;&gt;"")))</f>
        <v/>
      </c>
      <c r="L250" s="27">
        <f>IF($A250="","",TRIM(IF(ISERROR(FIND(",",$C250)),$C250,LEFT($C250,FIND(",",$C250)-1))))</f>
        <v/>
      </c>
      <c r="M250" s="28">
        <f>IF($H250="","",DATE(YEAR($H250),MONTH($H250),1))</f>
        <v/>
      </c>
      <c r="N250" s="26">
        <f>IF($H250="","",TODAY()-$H250)</f>
        <v/>
      </c>
      <c r="O250" s="15" t="n"/>
      <c r="P250" s="26">
        <f>IF($A250="","",COUNTIFS('Audit Versions'!$A$6:$A$605,$A250,'Audit Versions'!$L$6:$L$605,"Active"))</f>
        <v/>
      </c>
      <c r="Q250" s="15" t="n"/>
      <c r="R250" s="26">
        <f>IF(OR($A250="",$P250=0),"",MOD(N($Q250),$P250)+1)</f>
        <v/>
      </c>
      <c r="S250" s="15" t="n"/>
      <c r="T250" s="25" t="n"/>
      <c r="U250" s="26">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Builder'!$B$12="",N($S250)&lt;='Assignment Builder'!$B$12)))</f>
        <v/>
      </c>
      <c r="V250" s="23" t="n"/>
    </row>
    <row r="251">
      <c r="A251" s="23" t="n"/>
      <c r="B251" s="23" t="n"/>
      <c r="C251" s="24" t="n"/>
      <c r="D251" s="15" t="n"/>
      <c r="E251" s="23" t="n"/>
      <c r="F251" s="15" t="n"/>
      <c r="G251" s="23" t="n"/>
      <c r="H251" s="25" t="n"/>
      <c r="I251" s="15" t="n"/>
      <c r="J251" s="26">
        <f>IF($A251="","",LEN($C251)-LEN(SUBSTITUTE($C251,",",""))+1)</f>
        <v/>
      </c>
      <c r="K251" s="26">
        <f>IF($A251="","",SUMPRODUCT(--ISNUMBER(SEARCH('Category Dictionary'!$D$5:$D$135&amp;"",$C251)),--('Category Dictionary'!$D$5:$D$135&lt;&gt;"")))</f>
        <v/>
      </c>
      <c r="L251" s="27">
        <f>IF($A251="","",TRIM(IF(ISERROR(FIND(",",$C251)),$C251,LEFT($C251,FIND(",",$C251)-1))))</f>
        <v/>
      </c>
      <c r="M251" s="28">
        <f>IF($H251="","",DATE(YEAR($H251),MONTH($H251),1))</f>
        <v/>
      </c>
      <c r="N251" s="26">
        <f>IF($H251="","",TODAY()-$H251)</f>
        <v/>
      </c>
      <c r="O251" s="15" t="n"/>
      <c r="P251" s="26">
        <f>IF($A251="","",COUNTIFS('Audit Versions'!$A$6:$A$605,$A251,'Audit Versions'!$L$6:$L$605,"Active"))</f>
        <v/>
      </c>
      <c r="Q251" s="15" t="n"/>
      <c r="R251" s="26">
        <f>IF(OR($A251="",$P251=0),"",MOD(N($Q251),$P251)+1)</f>
        <v/>
      </c>
      <c r="S251" s="15" t="n"/>
      <c r="T251" s="25" t="n"/>
      <c r="U251" s="26">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Builder'!$B$12="",N($S251)&lt;='Assignment Builder'!$B$12)))</f>
        <v/>
      </c>
      <c r="V251" s="23" t="n"/>
    </row>
    <row r="252">
      <c r="A252" s="23" t="n"/>
      <c r="B252" s="23" t="n"/>
      <c r="C252" s="24" t="n"/>
      <c r="D252" s="15" t="n"/>
      <c r="E252" s="23" t="n"/>
      <c r="F252" s="15" t="n"/>
      <c r="G252" s="23" t="n"/>
      <c r="H252" s="25" t="n"/>
      <c r="I252" s="15" t="n"/>
      <c r="J252" s="26">
        <f>IF($A252="","",LEN($C252)-LEN(SUBSTITUTE($C252,",",""))+1)</f>
        <v/>
      </c>
      <c r="K252" s="26">
        <f>IF($A252="","",SUMPRODUCT(--ISNUMBER(SEARCH('Category Dictionary'!$D$5:$D$135&amp;"",$C252)),--('Category Dictionary'!$D$5:$D$135&lt;&gt;"")))</f>
        <v/>
      </c>
      <c r="L252" s="27">
        <f>IF($A252="","",TRIM(IF(ISERROR(FIND(",",$C252)),$C252,LEFT($C252,FIND(",",$C252)-1))))</f>
        <v/>
      </c>
      <c r="M252" s="28">
        <f>IF($H252="","",DATE(YEAR($H252),MONTH($H252),1))</f>
        <v/>
      </c>
      <c r="N252" s="26">
        <f>IF($H252="","",TODAY()-$H252)</f>
        <v/>
      </c>
      <c r="O252" s="15" t="n"/>
      <c r="P252" s="26">
        <f>IF($A252="","",COUNTIFS('Audit Versions'!$A$6:$A$605,$A252,'Audit Versions'!$L$6:$L$605,"Active"))</f>
        <v/>
      </c>
      <c r="Q252" s="15" t="n"/>
      <c r="R252" s="26">
        <f>IF(OR($A252="",$P252=0),"",MOD(N($Q252),$P252)+1)</f>
        <v/>
      </c>
      <c r="S252" s="15" t="n"/>
      <c r="T252" s="25" t="n"/>
      <c r="U252" s="26">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Builder'!$B$12="",N($S252)&lt;='Assignment Builder'!$B$12)))</f>
        <v/>
      </c>
      <c r="V252" s="23" t="n"/>
    </row>
    <row r="253">
      <c r="A253" s="23" t="n"/>
      <c r="B253" s="23" t="n"/>
      <c r="C253" s="24" t="n"/>
      <c r="D253" s="15" t="n"/>
      <c r="E253" s="23" t="n"/>
      <c r="F253" s="15" t="n"/>
      <c r="G253" s="23" t="n"/>
      <c r="H253" s="25" t="n"/>
      <c r="I253" s="15" t="n"/>
      <c r="J253" s="26">
        <f>IF($A253="","",LEN($C253)-LEN(SUBSTITUTE($C253,",",""))+1)</f>
        <v/>
      </c>
      <c r="K253" s="26">
        <f>IF($A253="","",SUMPRODUCT(--ISNUMBER(SEARCH('Category Dictionary'!$D$5:$D$135&amp;"",$C253)),--('Category Dictionary'!$D$5:$D$135&lt;&gt;"")))</f>
        <v/>
      </c>
      <c r="L253" s="27">
        <f>IF($A253="","",TRIM(IF(ISERROR(FIND(",",$C253)),$C253,LEFT($C253,FIND(",",$C253)-1))))</f>
        <v/>
      </c>
      <c r="M253" s="28">
        <f>IF($H253="","",DATE(YEAR($H253),MONTH($H253),1))</f>
        <v/>
      </c>
      <c r="N253" s="26">
        <f>IF($H253="","",TODAY()-$H253)</f>
        <v/>
      </c>
      <c r="O253" s="15" t="n"/>
      <c r="P253" s="26">
        <f>IF($A253="","",COUNTIFS('Audit Versions'!$A$6:$A$605,$A253,'Audit Versions'!$L$6:$L$605,"Active"))</f>
        <v/>
      </c>
      <c r="Q253" s="15" t="n"/>
      <c r="R253" s="26">
        <f>IF(OR($A253="",$P253=0),"",MOD(N($Q253),$P253)+1)</f>
        <v/>
      </c>
      <c r="S253" s="15" t="n"/>
      <c r="T253" s="25" t="n"/>
      <c r="U253" s="26">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Builder'!$B$12="",N($S253)&lt;='Assignment Builder'!$B$12)))</f>
        <v/>
      </c>
      <c r="V253" s="23" t="n"/>
    </row>
    <row r="254">
      <c r="A254" s="23" t="n"/>
      <c r="B254" s="23" t="n"/>
      <c r="C254" s="24" t="n"/>
      <c r="D254" s="15" t="n"/>
      <c r="E254" s="23" t="n"/>
      <c r="F254" s="15" t="n"/>
      <c r="G254" s="23" t="n"/>
      <c r="H254" s="25" t="n"/>
      <c r="I254" s="15" t="n"/>
      <c r="J254" s="26">
        <f>IF($A254="","",LEN($C254)-LEN(SUBSTITUTE($C254,",",""))+1)</f>
        <v/>
      </c>
      <c r="K254" s="26">
        <f>IF($A254="","",SUMPRODUCT(--ISNUMBER(SEARCH('Category Dictionary'!$D$5:$D$135&amp;"",$C254)),--('Category Dictionary'!$D$5:$D$135&lt;&gt;"")))</f>
        <v/>
      </c>
      <c r="L254" s="27">
        <f>IF($A254="","",TRIM(IF(ISERROR(FIND(",",$C254)),$C254,LEFT($C254,FIND(",",$C254)-1))))</f>
        <v/>
      </c>
      <c r="M254" s="28">
        <f>IF($H254="","",DATE(YEAR($H254),MONTH($H254),1))</f>
        <v/>
      </c>
      <c r="N254" s="26">
        <f>IF($H254="","",TODAY()-$H254)</f>
        <v/>
      </c>
      <c r="O254" s="15" t="n"/>
      <c r="P254" s="26">
        <f>IF($A254="","",COUNTIFS('Audit Versions'!$A$6:$A$605,$A254,'Audit Versions'!$L$6:$L$605,"Active"))</f>
        <v/>
      </c>
      <c r="Q254" s="15" t="n"/>
      <c r="R254" s="26">
        <f>IF(OR($A254="",$P254=0),"",MOD(N($Q254),$P254)+1)</f>
        <v/>
      </c>
      <c r="S254" s="15" t="n"/>
      <c r="T254" s="25" t="n"/>
      <c r="U254" s="26">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Builder'!$B$12="",N($S254)&lt;='Assignment Builder'!$B$12)))</f>
        <v/>
      </c>
      <c r="V254" s="23" t="n"/>
    </row>
    <row r="255">
      <c r="A255" s="23" t="n"/>
      <c r="B255" s="23" t="n"/>
      <c r="C255" s="24" t="n"/>
      <c r="D255" s="15" t="n"/>
      <c r="E255" s="23" t="n"/>
      <c r="F255" s="15" t="n"/>
      <c r="G255" s="23" t="n"/>
      <c r="H255" s="25" t="n"/>
      <c r="I255" s="15" t="n"/>
      <c r="J255" s="26">
        <f>IF($A255="","",LEN($C255)-LEN(SUBSTITUTE($C255,",",""))+1)</f>
        <v/>
      </c>
      <c r="K255" s="26">
        <f>IF($A255="","",SUMPRODUCT(--ISNUMBER(SEARCH('Category Dictionary'!$D$5:$D$135&amp;"",$C255)),--('Category Dictionary'!$D$5:$D$135&lt;&gt;"")))</f>
        <v/>
      </c>
      <c r="L255" s="27">
        <f>IF($A255="","",TRIM(IF(ISERROR(FIND(",",$C255)),$C255,LEFT($C255,FIND(",",$C255)-1))))</f>
        <v/>
      </c>
      <c r="M255" s="28">
        <f>IF($H255="","",DATE(YEAR($H255),MONTH($H255),1))</f>
        <v/>
      </c>
      <c r="N255" s="26">
        <f>IF($H255="","",TODAY()-$H255)</f>
        <v/>
      </c>
      <c r="O255" s="15" t="n"/>
      <c r="P255" s="26">
        <f>IF($A255="","",COUNTIFS('Audit Versions'!$A$6:$A$605,$A255,'Audit Versions'!$L$6:$L$605,"Active"))</f>
        <v/>
      </c>
      <c r="Q255" s="15" t="n"/>
      <c r="R255" s="26">
        <f>IF(OR($A255="",$P255=0),"",MOD(N($Q255),$P255)+1)</f>
        <v/>
      </c>
      <c r="S255" s="15" t="n"/>
      <c r="T255" s="25" t="n"/>
      <c r="U255" s="26">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Builder'!$B$12="",N($S255)&lt;='Assignment Builder'!$B$12)))</f>
        <v/>
      </c>
      <c r="V255" s="23" t="n"/>
    </row>
    <row r="256">
      <c r="A256" s="23" t="n"/>
      <c r="B256" s="23" t="n"/>
      <c r="C256" s="24" t="n"/>
      <c r="D256" s="15" t="n"/>
      <c r="E256" s="23" t="n"/>
      <c r="F256" s="15" t="n"/>
      <c r="G256" s="23" t="n"/>
      <c r="H256" s="25" t="n"/>
      <c r="I256" s="15" t="n"/>
      <c r="J256" s="26">
        <f>IF($A256="","",LEN($C256)-LEN(SUBSTITUTE($C256,",",""))+1)</f>
        <v/>
      </c>
      <c r="K256" s="26">
        <f>IF($A256="","",SUMPRODUCT(--ISNUMBER(SEARCH('Category Dictionary'!$D$5:$D$135&amp;"",$C256)),--('Category Dictionary'!$D$5:$D$135&lt;&gt;"")))</f>
        <v/>
      </c>
      <c r="L256" s="27">
        <f>IF($A256="","",TRIM(IF(ISERROR(FIND(",",$C256)),$C256,LEFT($C256,FIND(",",$C256)-1))))</f>
        <v/>
      </c>
      <c r="M256" s="28">
        <f>IF($H256="","",DATE(YEAR($H256),MONTH($H256),1))</f>
        <v/>
      </c>
      <c r="N256" s="26">
        <f>IF($H256="","",TODAY()-$H256)</f>
        <v/>
      </c>
      <c r="O256" s="15" t="n"/>
      <c r="P256" s="26">
        <f>IF($A256="","",COUNTIFS('Audit Versions'!$A$6:$A$605,$A256,'Audit Versions'!$L$6:$L$605,"Active"))</f>
        <v/>
      </c>
      <c r="Q256" s="15" t="n"/>
      <c r="R256" s="26">
        <f>IF(OR($A256="",$P256=0),"",MOD(N($Q256),$P256)+1)</f>
        <v/>
      </c>
      <c r="S256" s="15" t="n"/>
      <c r="T256" s="25" t="n"/>
      <c r="U256" s="26">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Builder'!$B$12="",N($S256)&lt;='Assignment Builder'!$B$12)))</f>
        <v/>
      </c>
      <c r="V256" s="23" t="n"/>
    </row>
    <row r="257">
      <c r="A257" s="23" t="n"/>
      <c r="B257" s="23" t="n"/>
      <c r="C257" s="24" t="n"/>
      <c r="D257" s="15" t="n"/>
      <c r="E257" s="23" t="n"/>
      <c r="F257" s="15" t="n"/>
      <c r="G257" s="23" t="n"/>
      <c r="H257" s="25" t="n"/>
      <c r="I257" s="15" t="n"/>
      <c r="J257" s="26">
        <f>IF($A257="","",LEN($C257)-LEN(SUBSTITUTE($C257,",",""))+1)</f>
        <v/>
      </c>
      <c r="K257" s="26">
        <f>IF($A257="","",SUMPRODUCT(--ISNUMBER(SEARCH('Category Dictionary'!$D$5:$D$135&amp;"",$C257)),--('Category Dictionary'!$D$5:$D$135&lt;&gt;"")))</f>
        <v/>
      </c>
      <c r="L257" s="27">
        <f>IF($A257="","",TRIM(IF(ISERROR(FIND(",",$C257)),$C257,LEFT($C257,FIND(",",$C257)-1))))</f>
        <v/>
      </c>
      <c r="M257" s="28">
        <f>IF($H257="","",DATE(YEAR($H257),MONTH($H257),1))</f>
        <v/>
      </c>
      <c r="N257" s="26">
        <f>IF($H257="","",TODAY()-$H257)</f>
        <v/>
      </c>
      <c r="O257" s="15" t="n"/>
      <c r="P257" s="26">
        <f>IF($A257="","",COUNTIFS('Audit Versions'!$A$6:$A$605,$A257,'Audit Versions'!$L$6:$L$605,"Active"))</f>
        <v/>
      </c>
      <c r="Q257" s="15" t="n"/>
      <c r="R257" s="26">
        <f>IF(OR($A257="",$P257=0),"",MOD(N($Q257),$P257)+1)</f>
        <v/>
      </c>
      <c r="S257" s="15" t="n"/>
      <c r="T257" s="25" t="n"/>
      <c r="U257" s="26">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Builder'!$B$12="",N($S257)&lt;='Assignment Builder'!$B$12)))</f>
        <v/>
      </c>
      <c r="V257" s="23" t="n"/>
    </row>
    <row r="258">
      <c r="A258" s="23" t="n"/>
      <c r="B258" s="23" t="n"/>
      <c r="C258" s="24" t="n"/>
      <c r="D258" s="15" t="n"/>
      <c r="E258" s="23" t="n"/>
      <c r="F258" s="15" t="n"/>
      <c r="G258" s="23" t="n"/>
      <c r="H258" s="25" t="n"/>
      <c r="I258" s="15" t="n"/>
      <c r="J258" s="26">
        <f>IF($A258="","",LEN($C258)-LEN(SUBSTITUTE($C258,",",""))+1)</f>
        <v/>
      </c>
      <c r="K258" s="26">
        <f>IF($A258="","",SUMPRODUCT(--ISNUMBER(SEARCH('Category Dictionary'!$D$5:$D$135&amp;"",$C258)),--('Category Dictionary'!$D$5:$D$135&lt;&gt;"")))</f>
        <v/>
      </c>
      <c r="L258" s="27">
        <f>IF($A258="","",TRIM(IF(ISERROR(FIND(",",$C258)),$C258,LEFT($C258,FIND(",",$C258)-1))))</f>
        <v/>
      </c>
      <c r="M258" s="28">
        <f>IF($H258="","",DATE(YEAR($H258),MONTH($H258),1))</f>
        <v/>
      </c>
      <c r="N258" s="26">
        <f>IF($H258="","",TODAY()-$H258)</f>
        <v/>
      </c>
      <c r="O258" s="15" t="n"/>
      <c r="P258" s="26">
        <f>IF($A258="","",COUNTIFS('Audit Versions'!$A$6:$A$605,$A258,'Audit Versions'!$L$6:$L$605,"Active"))</f>
        <v/>
      </c>
      <c r="Q258" s="15" t="n"/>
      <c r="R258" s="26">
        <f>IF(OR($A258="",$P258=0),"",MOD(N($Q258),$P258)+1)</f>
        <v/>
      </c>
      <c r="S258" s="15" t="n"/>
      <c r="T258" s="25" t="n"/>
      <c r="U258" s="26">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Builder'!$B$12="",N($S258)&lt;='Assignment Builder'!$B$12)))</f>
        <v/>
      </c>
      <c r="V258" s="23" t="n"/>
    </row>
    <row r="259">
      <c r="A259" s="23" t="n"/>
      <c r="B259" s="23" t="n"/>
      <c r="C259" s="24" t="n"/>
      <c r="D259" s="15" t="n"/>
      <c r="E259" s="23" t="n"/>
      <c r="F259" s="15" t="n"/>
      <c r="G259" s="23" t="n"/>
      <c r="H259" s="25" t="n"/>
      <c r="I259" s="15" t="n"/>
      <c r="J259" s="26">
        <f>IF($A259="","",LEN($C259)-LEN(SUBSTITUTE($C259,",",""))+1)</f>
        <v/>
      </c>
      <c r="K259" s="26">
        <f>IF($A259="","",SUMPRODUCT(--ISNUMBER(SEARCH('Category Dictionary'!$D$5:$D$135&amp;"",$C259)),--('Category Dictionary'!$D$5:$D$135&lt;&gt;"")))</f>
        <v/>
      </c>
      <c r="L259" s="27">
        <f>IF($A259="","",TRIM(IF(ISERROR(FIND(",",$C259)),$C259,LEFT($C259,FIND(",",$C259)-1))))</f>
        <v/>
      </c>
      <c r="M259" s="28">
        <f>IF($H259="","",DATE(YEAR($H259),MONTH($H259),1))</f>
        <v/>
      </c>
      <c r="N259" s="26">
        <f>IF($H259="","",TODAY()-$H259)</f>
        <v/>
      </c>
      <c r="O259" s="15" t="n"/>
      <c r="P259" s="26">
        <f>IF($A259="","",COUNTIFS('Audit Versions'!$A$6:$A$605,$A259,'Audit Versions'!$L$6:$L$605,"Active"))</f>
        <v/>
      </c>
      <c r="Q259" s="15" t="n"/>
      <c r="R259" s="26">
        <f>IF(OR($A259="",$P259=0),"",MOD(N($Q259),$P259)+1)</f>
        <v/>
      </c>
      <c r="S259" s="15" t="n"/>
      <c r="T259" s="25" t="n"/>
      <c r="U259" s="26">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Builder'!$B$12="",N($S259)&lt;='Assignment Builder'!$B$12)))</f>
        <v/>
      </c>
      <c r="V259" s="23" t="n"/>
    </row>
    <row r="260">
      <c r="A260" s="23" t="n"/>
      <c r="B260" s="23" t="n"/>
      <c r="C260" s="24" t="n"/>
      <c r="D260" s="15" t="n"/>
      <c r="E260" s="23" t="n"/>
      <c r="F260" s="15" t="n"/>
      <c r="G260" s="23" t="n"/>
      <c r="H260" s="25" t="n"/>
      <c r="I260" s="15" t="n"/>
      <c r="J260" s="26">
        <f>IF($A260="","",LEN($C260)-LEN(SUBSTITUTE($C260,",",""))+1)</f>
        <v/>
      </c>
      <c r="K260" s="26">
        <f>IF($A260="","",SUMPRODUCT(--ISNUMBER(SEARCH('Category Dictionary'!$D$5:$D$135&amp;"",$C260)),--('Category Dictionary'!$D$5:$D$135&lt;&gt;"")))</f>
        <v/>
      </c>
      <c r="L260" s="27">
        <f>IF($A260="","",TRIM(IF(ISERROR(FIND(",",$C260)),$C260,LEFT($C260,FIND(",",$C260)-1))))</f>
        <v/>
      </c>
      <c r="M260" s="28">
        <f>IF($H260="","",DATE(YEAR($H260),MONTH($H260),1))</f>
        <v/>
      </c>
      <c r="N260" s="26">
        <f>IF($H260="","",TODAY()-$H260)</f>
        <v/>
      </c>
      <c r="O260" s="15" t="n"/>
      <c r="P260" s="26">
        <f>IF($A260="","",COUNTIFS('Audit Versions'!$A$6:$A$605,$A260,'Audit Versions'!$L$6:$L$605,"Active"))</f>
        <v/>
      </c>
      <c r="Q260" s="15" t="n"/>
      <c r="R260" s="26">
        <f>IF(OR($A260="",$P260=0),"",MOD(N($Q260),$P260)+1)</f>
        <v/>
      </c>
      <c r="S260" s="15" t="n"/>
      <c r="T260" s="25" t="n"/>
      <c r="U260" s="26">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Builder'!$B$12="",N($S260)&lt;='Assignment Builder'!$B$12)))</f>
        <v/>
      </c>
      <c r="V260" s="23" t="n"/>
    </row>
    <row r="261">
      <c r="A261" s="23" t="n"/>
      <c r="B261" s="23" t="n"/>
      <c r="C261" s="24" t="n"/>
      <c r="D261" s="15" t="n"/>
      <c r="E261" s="23" t="n"/>
      <c r="F261" s="15" t="n"/>
      <c r="G261" s="23" t="n"/>
      <c r="H261" s="25" t="n"/>
      <c r="I261" s="15" t="n"/>
      <c r="J261" s="26">
        <f>IF($A261="","",LEN($C261)-LEN(SUBSTITUTE($C261,",",""))+1)</f>
        <v/>
      </c>
      <c r="K261" s="26">
        <f>IF($A261="","",SUMPRODUCT(--ISNUMBER(SEARCH('Category Dictionary'!$D$5:$D$135&amp;"",$C261)),--('Category Dictionary'!$D$5:$D$135&lt;&gt;"")))</f>
        <v/>
      </c>
      <c r="L261" s="27">
        <f>IF($A261="","",TRIM(IF(ISERROR(FIND(",",$C261)),$C261,LEFT($C261,FIND(",",$C261)-1))))</f>
        <v/>
      </c>
      <c r="M261" s="28">
        <f>IF($H261="","",DATE(YEAR($H261),MONTH($H261),1))</f>
        <v/>
      </c>
      <c r="N261" s="26">
        <f>IF($H261="","",TODAY()-$H261)</f>
        <v/>
      </c>
      <c r="O261" s="15" t="n"/>
      <c r="P261" s="26">
        <f>IF($A261="","",COUNTIFS('Audit Versions'!$A$6:$A$605,$A261,'Audit Versions'!$L$6:$L$605,"Active"))</f>
        <v/>
      </c>
      <c r="Q261" s="15" t="n"/>
      <c r="R261" s="26">
        <f>IF(OR($A261="",$P261=0),"",MOD(N($Q261),$P261)+1)</f>
        <v/>
      </c>
      <c r="S261" s="15" t="n"/>
      <c r="T261" s="25" t="n"/>
      <c r="U261" s="26">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Builder'!$B$12="",N($S261)&lt;='Assignment Builder'!$B$12)))</f>
        <v/>
      </c>
      <c r="V261" s="23" t="n"/>
    </row>
    <row r="262">
      <c r="A262" s="23" t="n"/>
      <c r="B262" s="23" t="n"/>
      <c r="C262" s="24" t="n"/>
      <c r="D262" s="15" t="n"/>
      <c r="E262" s="23" t="n"/>
      <c r="F262" s="15" t="n"/>
      <c r="G262" s="23" t="n"/>
      <c r="H262" s="25" t="n"/>
      <c r="I262" s="15" t="n"/>
      <c r="J262" s="26">
        <f>IF($A262="","",LEN($C262)-LEN(SUBSTITUTE($C262,",",""))+1)</f>
        <v/>
      </c>
      <c r="K262" s="26">
        <f>IF($A262="","",SUMPRODUCT(--ISNUMBER(SEARCH('Category Dictionary'!$D$5:$D$135&amp;"",$C262)),--('Category Dictionary'!$D$5:$D$135&lt;&gt;"")))</f>
        <v/>
      </c>
      <c r="L262" s="27">
        <f>IF($A262="","",TRIM(IF(ISERROR(FIND(",",$C262)),$C262,LEFT($C262,FIND(",",$C262)-1))))</f>
        <v/>
      </c>
      <c r="M262" s="28">
        <f>IF($H262="","",DATE(YEAR($H262),MONTH($H262),1))</f>
        <v/>
      </c>
      <c r="N262" s="26">
        <f>IF($H262="","",TODAY()-$H262)</f>
        <v/>
      </c>
      <c r="O262" s="15" t="n"/>
      <c r="P262" s="26">
        <f>IF($A262="","",COUNTIFS('Audit Versions'!$A$6:$A$605,$A262,'Audit Versions'!$L$6:$L$605,"Active"))</f>
        <v/>
      </c>
      <c r="Q262" s="15" t="n"/>
      <c r="R262" s="26">
        <f>IF(OR($A262="",$P262=0),"",MOD(N($Q262),$P262)+1)</f>
        <v/>
      </c>
      <c r="S262" s="15" t="n"/>
      <c r="T262" s="25" t="n"/>
      <c r="U262" s="26">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Builder'!$B$12="",N($S262)&lt;='Assignment Builder'!$B$12)))</f>
        <v/>
      </c>
      <c r="V262" s="23" t="n"/>
    </row>
    <row r="263">
      <c r="A263" s="23" t="n"/>
      <c r="B263" s="23" t="n"/>
      <c r="C263" s="24" t="n"/>
      <c r="D263" s="15" t="n"/>
      <c r="E263" s="23" t="n"/>
      <c r="F263" s="15" t="n"/>
      <c r="G263" s="23" t="n"/>
      <c r="H263" s="25" t="n"/>
      <c r="I263" s="15" t="n"/>
      <c r="J263" s="26">
        <f>IF($A263="","",LEN($C263)-LEN(SUBSTITUTE($C263,",",""))+1)</f>
        <v/>
      </c>
      <c r="K263" s="26">
        <f>IF($A263="","",SUMPRODUCT(--ISNUMBER(SEARCH('Category Dictionary'!$D$5:$D$135&amp;"",$C263)),--('Category Dictionary'!$D$5:$D$135&lt;&gt;"")))</f>
        <v/>
      </c>
      <c r="L263" s="27">
        <f>IF($A263="","",TRIM(IF(ISERROR(FIND(",",$C263)),$C263,LEFT($C263,FIND(",",$C263)-1))))</f>
        <v/>
      </c>
      <c r="M263" s="28">
        <f>IF($H263="","",DATE(YEAR($H263),MONTH($H263),1))</f>
        <v/>
      </c>
      <c r="N263" s="26">
        <f>IF($H263="","",TODAY()-$H263)</f>
        <v/>
      </c>
      <c r="O263" s="15" t="n"/>
      <c r="P263" s="26">
        <f>IF($A263="","",COUNTIFS('Audit Versions'!$A$6:$A$605,$A263,'Audit Versions'!$L$6:$L$605,"Active"))</f>
        <v/>
      </c>
      <c r="Q263" s="15" t="n"/>
      <c r="R263" s="26">
        <f>IF(OR($A263="",$P263=0),"",MOD(N($Q263),$P263)+1)</f>
        <v/>
      </c>
      <c r="S263" s="15" t="n"/>
      <c r="T263" s="25" t="n"/>
      <c r="U263" s="26">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Builder'!$B$12="",N($S263)&lt;='Assignment Builder'!$B$12)))</f>
        <v/>
      </c>
      <c r="V263" s="23" t="n"/>
    </row>
    <row r="264">
      <c r="A264" s="23" t="n"/>
      <c r="B264" s="23" t="n"/>
      <c r="C264" s="24" t="n"/>
      <c r="D264" s="15" t="n"/>
      <c r="E264" s="23" t="n"/>
      <c r="F264" s="15" t="n"/>
      <c r="G264" s="23" t="n"/>
      <c r="H264" s="25" t="n"/>
      <c r="I264" s="15" t="n"/>
      <c r="J264" s="26">
        <f>IF($A264="","",LEN($C264)-LEN(SUBSTITUTE($C264,",",""))+1)</f>
        <v/>
      </c>
      <c r="K264" s="26">
        <f>IF($A264="","",SUMPRODUCT(--ISNUMBER(SEARCH('Category Dictionary'!$D$5:$D$135&amp;"",$C264)),--('Category Dictionary'!$D$5:$D$135&lt;&gt;"")))</f>
        <v/>
      </c>
      <c r="L264" s="27">
        <f>IF($A264="","",TRIM(IF(ISERROR(FIND(",",$C264)),$C264,LEFT($C264,FIND(",",$C264)-1))))</f>
        <v/>
      </c>
      <c r="M264" s="28">
        <f>IF($H264="","",DATE(YEAR($H264),MONTH($H264),1))</f>
        <v/>
      </c>
      <c r="N264" s="26">
        <f>IF($H264="","",TODAY()-$H264)</f>
        <v/>
      </c>
      <c r="O264" s="15" t="n"/>
      <c r="P264" s="26">
        <f>IF($A264="","",COUNTIFS('Audit Versions'!$A$6:$A$605,$A264,'Audit Versions'!$L$6:$L$605,"Active"))</f>
        <v/>
      </c>
      <c r="Q264" s="15" t="n"/>
      <c r="R264" s="26">
        <f>IF(OR($A264="",$P264=0),"",MOD(N($Q264),$P264)+1)</f>
        <v/>
      </c>
      <c r="S264" s="15" t="n"/>
      <c r="T264" s="25" t="n"/>
      <c r="U264" s="26">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Builder'!$B$12="",N($S264)&lt;='Assignment Builder'!$B$12)))</f>
        <v/>
      </c>
      <c r="V264" s="23" t="n"/>
    </row>
    <row r="265">
      <c r="A265" s="23" t="n"/>
      <c r="B265" s="23" t="n"/>
      <c r="C265" s="24" t="n"/>
      <c r="D265" s="15" t="n"/>
      <c r="E265" s="23" t="n"/>
      <c r="F265" s="15" t="n"/>
      <c r="G265" s="23" t="n"/>
      <c r="H265" s="25" t="n"/>
      <c r="I265" s="15" t="n"/>
      <c r="J265" s="26">
        <f>IF($A265="","",LEN($C265)-LEN(SUBSTITUTE($C265,",",""))+1)</f>
        <v/>
      </c>
      <c r="K265" s="26">
        <f>IF($A265="","",SUMPRODUCT(--ISNUMBER(SEARCH('Category Dictionary'!$D$5:$D$135&amp;"",$C265)),--('Category Dictionary'!$D$5:$D$135&lt;&gt;"")))</f>
        <v/>
      </c>
      <c r="L265" s="27">
        <f>IF($A265="","",TRIM(IF(ISERROR(FIND(",",$C265)),$C265,LEFT($C265,FIND(",",$C265)-1))))</f>
        <v/>
      </c>
      <c r="M265" s="28">
        <f>IF($H265="","",DATE(YEAR($H265),MONTH($H265),1))</f>
        <v/>
      </c>
      <c r="N265" s="26">
        <f>IF($H265="","",TODAY()-$H265)</f>
        <v/>
      </c>
      <c r="O265" s="15" t="n"/>
      <c r="P265" s="26">
        <f>IF($A265="","",COUNTIFS('Audit Versions'!$A$6:$A$605,$A265,'Audit Versions'!$L$6:$L$605,"Active"))</f>
        <v/>
      </c>
      <c r="Q265" s="15" t="n"/>
      <c r="R265" s="26">
        <f>IF(OR($A265="",$P265=0),"",MOD(N($Q265),$P265)+1)</f>
        <v/>
      </c>
      <c r="S265" s="15" t="n"/>
      <c r="T265" s="25" t="n"/>
      <c r="U265" s="26">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Builder'!$B$12="",N($S265)&lt;='Assignment Builder'!$B$12)))</f>
        <v/>
      </c>
      <c r="V265" s="23" t="n"/>
    </row>
    <row r="266">
      <c r="A266" s="23" t="n"/>
      <c r="B266" s="23" t="n"/>
      <c r="C266" s="24" t="n"/>
      <c r="D266" s="15" t="n"/>
      <c r="E266" s="23" t="n"/>
      <c r="F266" s="15" t="n"/>
      <c r="G266" s="23" t="n"/>
      <c r="H266" s="25" t="n"/>
      <c r="I266" s="15" t="n"/>
      <c r="J266" s="26">
        <f>IF($A266="","",LEN($C266)-LEN(SUBSTITUTE($C266,",",""))+1)</f>
        <v/>
      </c>
      <c r="K266" s="26">
        <f>IF($A266="","",SUMPRODUCT(--ISNUMBER(SEARCH('Category Dictionary'!$D$5:$D$135&amp;"",$C266)),--('Category Dictionary'!$D$5:$D$135&lt;&gt;"")))</f>
        <v/>
      </c>
      <c r="L266" s="27">
        <f>IF($A266="","",TRIM(IF(ISERROR(FIND(",",$C266)),$C266,LEFT($C266,FIND(",",$C266)-1))))</f>
        <v/>
      </c>
      <c r="M266" s="28">
        <f>IF($H266="","",DATE(YEAR($H266),MONTH($H266),1))</f>
        <v/>
      </c>
      <c r="N266" s="26">
        <f>IF($H266="","",TODAY()-$H266)</f>
        <v/>
      </c>
      <c r="O266" s="15" t="n"/>
      <c r="P266" s="26">
        <f>IF($A266="","",COUNTIFS('Audit Versions'!$A$6:$A$605,$A266,'Audit Versions'!$L$6:$L$605,"Active"))</f>
        <v/>
      </c>
      <c r="Q266" s="15" t="n"/>
      <c r="R266" s="26">
        <f>IF(OR($A266="",$P266=0),"",MOD(N($Q266),$P266)+1)</f>
        <v/>
      </c>
      <c r="S266" s="15" t="n"/>
      <c r="T266" s="25" t="n"/>
      <c r="U266" s="26">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Builder'!$B$12="",N($S266)&lt;='Assignment Builder'!$B$12)))</f>
        <v/>
      </c>
      <c r="V266" s="23" t="n"/>
    </row>
    <row r="267">
      <c r="A267" s="23" t="n"/>
      <c r="B267" s="23" t="n"/>
      <c r="C267" s="24" t="n"/>
      <c r="D267" s="15" t="n"/>
      <c r="E267" s="23" t="n"/>
      <c r="F267" s="15" t="n"/>
      <c r="G267" s="23" t="n"/>
      <c r="H267" s="25" t="n"/>
      <c r="I267" s="15" t="n"/>
      <c r="J267" s="26">
        <f>IF($A267="","",LEN($C267)-LEN(SUBSTITUTE($C267,",",""))+1)</f>
        <v/>
      </c>
      <c r="K267" s="26">
        <f>IF($A267="","",SUMPRODUCT(--ISNUMBER(SEARCH('Category Dictionary'!$D$5:$D$135&amp;"",$C267)),--('Category Dictionary'!$D$5:$D$135&lt;&gt;"")))</f>
        <v/>
      </c>
      <c r="L267" s="27">
        <f>IF($A267="","",TRIM(IF(ISERROR(FIND(",",$C267)),$C267,LEFT($C267,FIND(",",$C267)-1))))</f>
        <v/>
      </c>
      <c r="M267" s="28">
        <f>IF($H267="","",DATE(YEAR($H267),MONTH($H267),1))</f>
        <v/>
      </c>
      <c r="N267" s="26">
        <f>IF($H267="","",TODAY()-$H267)</f>
        <v/>
      </c>
      <c r="O267" s="15" t="n"/>
      <c r="P267" s="26">
        <f>IF($A267="","",COUNTIFS('Audit Versions'!$A$6:$A$605,$A267,'Audit Versions'!$L$6:$L$605,"Active"))</f>
        <v/>
      </c>
      <c r="Q267" s="15" t="n"/>
      <c r="R267" s="26">
        <f>IF(OR($A267="",$P267=0),"",MOD(N($Q267),$P267)+1)</f>
        <v/>
      </c>
      <c r="S267" s="15" t="n"/>
      <c r="T267" s="25" t="n"/>
      <c r="U267" s="26">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Builder'!$B$12="",N($S267)&lt;='Assignment Builder'!$B$12)))</f>
        <v/>
      </c>
      <c r="V267" s="23" t="n"/>
    </row>
    <row r="268">
      <c r="A268" s="23" t="n"/>
      <c r="B268" s="23" t="n"/>
      <c r="C268" s="24" t="n"/>
      <c r="D268" s="15" t="n"/>
      <c r="E268" s="23" t="n"/>
      <c r="F268" s="15" t="n"/>
      <c r="G268" s="23" t="n"/>
      <c r="H268" s="25" t="n"/>
      <c r="I268" s="15" t="n"/>
      <c r="J268" s="26">
        <f>IF($A268="","",LEN($C268)-LEN(SUBSTITUTE($C268,",",""))+1)</f>
        <v/>
      </c>
      <c r="K268" s="26">
        <f>IF($A268="","",SUMPRODUCT(--ISNUMBER(SEARCH('Category Dictionary'!$D$5:$D$135&amp;"",$C268)),--('Category Dictionary'!$D$5:$D$135&lt;&gt;"")))</f>
        <v/>
      </c>
      <c r="L268" s="27">
        <f>IF($A268="","",TRIM(IF(ISERROR(FIND(",",$C268)),$C268,LEFT($C268,FIND(",",$C268)-1))))</f>
        <v/>
      </c>
      <c r="M268" s="28">
        <f>IF($H268="","",DATE(YEAR($H268),MONTH($H268),1))</f>
        <v/>
      </c>
      <c r="N268" s="26">
        <f>IF($H268="","",TODAY()-$H268)</f>
        <v/>
      </c>
      <c r="O268" s="15" t="n"/>
      <c r="P268" s="26">
        <f>IF($A268="","",COUNTIFS('Audit Versions'!$A$6:$A$605,$A268,'Audit Versions'!$L$6:$L$605,"Active"))</f>
        <v/>
      </c>
      <c r="Q268" s="15" t="n"/>
      <c r="R268" s="26">
        <f>IF(OR($A268="",$P268=0),"",MOD(N($Q268),$P268)+1)</f>
        <v/>
      </c>
      <c r="S268" s="15" t="n"/>
      <c r="T268" s="25" t="n"/>
      <c r="U268" s="26">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Builder'!$B$12="",N($S268)&lt;='Assignment Builder'!$B$12)))</f>
        <v/>
      </c>
      <c r="V268" s="23" t="n"/>
    </row>
    <row r="269">
      <c r="A269" s="23" t="n"/>
      <c r="B269" s="23" t="n"/>
      <c r="C269" s="24" t="n"/>
      <c r="D269" s="15" t="n"/>
      <c r="E269" s="23" t="n"/>
      <c r="F269" s="15" t="n"/>
      <c r="G269" s="23" t="n"/>
      <c r="H269" s="25" t="n"/>
      <c r="I269" s="15" t="n"/>
      <c r="J269" s="26">
        <f>IF($A269="","",LEN($C269)-LEN(SUBSTITUTE($C269,",",""))+1)</f>
        <v/>
      </c>
      <c r="K269" s="26">
        <f>IF($A269="","",SUMPRODUCT(--ISNUMBER(SEARCH('Category Dictionary'!$D$5:$D$135&amp;"",$C269)),--('Category Dictionary'!$D$5:$D$135&lt;&gt;"")))</f>
        <v/>
      </c>
      <c r="L269" s="27">
        <f>IF($A269="","",TRIM(IF(ISERROR(FIND(",",$C269)),$C269,LEFT($C269,FIND(",",$C269)-1))))</f>
        <v/>
      </c>
      <c r="M269" s="28">
        <f>IF($H269="","",DATE(YEAR($H269),MONTH($H269),1))</f>
        <v/>
      </c>
      <c r="N269" s="26">
        <f>IF($H269="","",TODAY()-$H269)</f>
        <v/>
      </c>
      <c r="O269" s="15" t="n"/>
      <c r="P269" s="26">
        <f>IF($A269="","",COUNTIFS('Audit Versions'!$A$6:$A$605,$A269,'Audit Versions'!$L$6:$L$605,"Active"))</f>
        <v/>
      </c>
      <c r="Q269" s="15" t="n"/>
      <c r="R269" s="26">
        <f>IF(OR($A269="",$P269=0),"",MOD(N($Q269),$P269)+1)</f>
        <v/>
      </c>
      <c r="S269" s="15" t="n"/>
      <c r="T269" s="25" t="n"/>
      <c r="U269" s="26">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Builder'!$B$12="",N($S269)&lt;='Assignment Builder'!$B$12)))</f>
        <v/>
      </c>
      <c r="V269" s="23" t="n"/>
    </row>
    <row r="270">
      <c r="A270" s="23" t="n"/>
      <c r="B270" s="23" t="n"/>
      <c r="C270" s="24" t="n"/>
      <c r="D270" s="15" t="n"/>
      <c r="E270" s="23" t="n"/>
      <c r="F270" s="15" t="n"/>
      <c r="G270" s="23" t="n"/>
      <c r="H270" s="25" t="n"/>
      <c r="I270" s="15" t="n"/>
      <c r="J270" s="26">
        <f>IF($A270="","",LEN($C270)-LEN(SUBSTITUTE($C270,",",""))+1)</f>
        <v/>
      </c>
      <c r="K270" s="26">
        <f>IF($A270="","",SUMPRODUCT(--ISNUMBER(SEARCH('Category Dictionary'!$D$5:$D$135&amp;"",$C270)),--('Category Dictionary'!$D$5:$D$135&lt;&gt;"")))</f>
        <v/>
      </c>
      <c r="L270" s="27">
        <f>IF($A270="","",TRIM(IF(ISERROR(FIND(",",$C270)),$C270,LEFT($C270,FIND(",",$C270)-1))))</f>
        <v/>
      </c>
      <c r="M270" s="28">
        <f>IF($H270="","",DATE(YEAR($H270),MONTH($H270),1))</f>
        <v/>
      </c>
      <c r="N270" s="26">
        <f>IF($H270="","",TODAY()-$H270)</f>
        <v/>
      </c>
      <c r="O270" s="15" t="n"/>
      <c r="P270" s="26">
        <f>IF($A270="","",COUNTIFS('Audit Versions'!$A$6:$A$605,$A270,'Audit Versions'!$L$6:$L$605,"Active"))</f>
        <v/>
      </c>
      <c r="Q270" s="15" t="n"/>
      <c r="R270" s="26">
        <f>IF(OR($A270="",$P270=0),"",MOD(N($Q270),$P270)+1)</f>
        <v/>
      </c>
      <c r="S270" s="15" t="n"/>
      <c r="T270" s="25" t="n"/>
      <c r="U270" s="26">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Builder'!$B$12="",N($S270)&lt;='Assignment Builder'!$B$12)))</f>
        <v/>
      </c>
      <c r="V270" s="23" t="n"/>
    </row>
    <row r="271">
      <c r="A271" s="23" t="n"/>
      <c r="B271" s="23" t="n"/>
      <c r="C271" s="24" t="n"/>
      <c r="D271" s="15" t="n"/>
      <c r="E271" s="23" t="n"/>
      <c r="F271" s="15" t="n"/>
      <c r="G271" s="23" t="n"/>
      <c r="H271" s="25" t="n"/>
      <c r="I271" s="15" t="n"/>
      <c r="J271" s="26">
        <f>IF($A271="","",LEN($C271)-LEN(SUBSTITUTE($C271,",",""))+1)</f>
        <v/>
      </c>
      <c r="K271" s="26">
        <f>IF($A271="","",SUMPRODUCT(--ISNUMBER(SEARCH('Category Dictionary'!$D$5:$D$135&amp;"",$C271)),--('Category Dictionary'!$D$5:$D$135&lt;&gt;"")))</f>
        <v/>
      </c>
      <c r="L271" s="27">
        <f>IF($A271="","",TRIM(IF(ISERROR(FIND(",",$C271)),$C271,LEFT($C271,FIND(",",$C271)-1))))</f>
        <v/>
      </c>
      <c r="M271" s="28">
        <f>IF($H271="","",DATE(YEAR($H271),MONTH($H271),1))</f>
        <v/>
      </c>
      <c r="N271" s="26">
        <f>IF($H271="","",TODAY()-$H271)</f>
        <v/>
      </c>
      <c r="O271" s="15" t="n"/>
      <c r="P271" s="26">
        <f>IF($A271="","",COUNTIFS('Audit Versions'!$A$6:$A$605,$A271,'Audit Versions'!$L$6:$L$605,"Active"))</f>
        <v/>
      </c>
      <c r="Q271" s="15" t="n"/>
      <c r="R271" s="26">
        <f>IF(OR($A271="",$P271=0),"",MOD(N($Q271),$P271)+1)</f>
        <v/>
      </c>
      <c r="S271" s="15" t="n"/>
      <c r="T271" s="25" t="n"/>
      <c r="U271" s="26">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Builder'!$B$12="",N($S271)&lt;='Assignment Builder'!$B$12)))</f>
        <v/>
      </c>
      <c r="V271" s="23" t="n"/>
    </row>
    <row r="272">
      <c r="A272" s="23" t="n"/>
      <c r="B272" s="23" t="n"/>
      <c r="C272" s="24" t="n"/>
      <c r="D272" s="15" t="n"/>
      <c r="E272" s="23" t="n"/>
      <c r="F272" s="15" t="n"/>
      <c r="G272" s="23" t="n"/>
      <c r="H272" s="25" t="n"/>
      <c r="I272" s="15" t="n"/>
      <c r="J272" s="26">
        <f>IF($A272="","",LEN($C272)-LEN(SUBSTITUTE($C272,",",""))+1)</f>
        <v/>
      </c>
      <c r="K272" s="26">
        <f>IF($A272="","",SUMPRODUCT(--ISNUMBER(SEARCH('Category Dictionary'!$D$5:$D$135&amp;"",$C272)),--('Category Dictionary'!$D$5:$D$135&lt;&gt;"")))</f>
        <v/>
      </c>
      <c r="L272" s="27">
        <f>IF($A272="","",TRIM(IF(ISERROR(FIND(",",$C272)),$C272,LEFT($C272,FIND(",",$C272)-1))))</f>
        <v/>
      </c>
      <c r="M272" s="28">
        <f>IF($H272="","",DATE(YEAR($H272),MONTH($H272),1))</f>
        <v/>
      </c>
      <c r="N272" s="26">
        <f>IF($H272="","",TODAY()-$H272)</f>
        <v/>
      </c>
      <c r="O272" s="15" t="n"/>
      <c r="P272" s="26">
        <f>IF($A272="","",COUNTIFS('Audit Versions'!$A$6:$A$605,$A272,'Audit Versions'!$L$6:$L$605,"Active"))</f>
        <v/>
      </c>
      <c r="Q272" s="15" t="n"/>
      <c r="R272" s="26">
        <f>IF(OR($A272="",$P272=0),"",MOD(N($Q272),$P272)+1)</f>
        <v/>
      </c>
      <c r="S272" s="15" t="n"/>
      <c r="T272" s="25" t="n"/>
      <c r="U272" s="26">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Builder'!$B$12="",N($S272)&lt;='Assignment Builder'!$B$12)))</f>
        <v/>
      </c>
      <c r="V272" s="23" t="n"/>
    </row>
    <row r="273">
      <c r="A273" s="23" t="n"/>
      <c r="B273" s="23" t="n"/>
      <c r="C273" s="24" t="n"/>
      <c r="D273" s="15" t="n"/>
      <c r="E273" s="23" t="n"/>
      <c r="F273" s="15" t="n"/>
      <c r="G273" s="23" t="n"/>
      <c r="H273" s="25" t="n"/>
      <c r="I273" s="15" t="n"/>
      <c r="J273" s="26">
        <f>IF($A273="","",LEN($C273)-LEN(SUBSTITUTE($C273,",",""))+1)</f>
        <v/>
      </c>
      <c r="K273" s="26">
        <f>IF($A273="","",SUMPRODUCT(--ISNUMBER(SEARCH('Category Dictionary'!$D$5:$D$135&amp;"",$C273)),--('Category Dictionary'!$D$5:$D$135&lt;&gt;"")))</f>
        <v/>
      </c>
      <c r="L273" s="27">
        <f>IF($A273="","",TRIM(IF(ISERROR(FIND(",",$C273)),$C273,LEFT($C273,FIND(",",$C273)-1))))</f>
        <v/>
      </c>
      <c r="M273" s="28">
        <f>IF($H273="","",DATE(YEAR($H273),MONTH($H273),1))</f>
        <v/>
      </c>
      <c r="N273" s="26">
        <f>IF($H273="","",TODAY()-$H273)</f>
        <v/>
      </c>
      <c r="O273" s="15" t="n"/>
      <c r="P273" s="26">
        <f>IF($A273="","",COUNTIFS('Audit Versions'!$A$6:$A$605,$A273,'Audit Versions'!$L$6:$L$605,"Active"))</f>
        <v/>
      </c>
      <c r="Q273" s="15" t="n"/>
      <c r="R273" s="26">
        <f>IF(OR($A273="",$P273=0),"",MOD(N($Q273),$P273)+1)</f>
        <v/>
      </c>
      <c r="S273" s="15" t="n"/>
      <c r="T273" s="25" t="n"/>
      <c r="U273" s="26">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Builder'!$B$12="",N($S273)&lt;='Assignment Builder'!$B$12)))</f>
        <v/>
      </c>
      <c r="V273" s="23" t="n"/>
    </row>
    <row r="274">
      <c r="A274" s="23" t="n"/>
      <c r="B274" s="23" t="n"/>
      <c r="C274" s="24" t="n"/>
      <c r="D274" s="15" t="n"/>
      <c r="E274" s="23" t="n"/>
      <c r="F274" s="15" t="n"/>
      <c r="G274" s="23" t="n"/>
      <c r="H274" s="25" t="n"/>
      <c r="I274" s="15" t="n"/>
      <c r="J274" s="26">
        <f>IF($A274="","",LEN($C274)-LEN(SUBSTITUTE($C274,",",""))+1)</f>
        <v/>
      </c>
      <c r="K274" s="26">
        <f>IF($A274="","",SUMPRODUCT(--ISNUMBER(SEARCH('Category Dictionary'!$D$5:$D$135&amp;"",$C274)),--('Category Dictionary'!$D$5:$D$135&lt;&gt;"")))</f>
        <v/>
      </c>
      <c r="L274" s="27">
        <f>IF($A274="","",TRIM(IF(ISERROR(FIND(",",$C274)),$C274,LEFT($C274,FIND(",",$C274)-1))))</f>
        <v/>
      </c>
      <c r="M274" s="28">
        <f>IF($H274="","",DATE(YEAR($H274),MONTH($H274),1))</f>
        <v/>
      </c>
      <c r="N274" s="26">
        <f>IF($H274="","",TODAY()-$H274)</f>
        <v/>
      </c>
      <c r="O274" s="15" t="n"/>
      <c r="P274" s="26">
        <f>IF($A274="","",COUNTIFS('Audit Versions'!$A$6:$A$605,$A274,'Audit Versions'!$L$6:$L$605,"Active"))</f>
        <v/>
      </c>
      <c r="Q274" s="15" t="n"/>
      <c r="R274" s="26">
        <f>IF(OR($A274="",$P274=0),"",MOD(N($Q274),$P274)+1)</f>
        <v/>
      </c>
      <c r="S274" s="15" t="n"/>
      <c r="T274" s="25" t="n"/>
      <c r="U274" s="26">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Builder'!$B$12="",N($S274)&lt;='Assignment Builder'!$B$12)))</f>
        <v/>
      </c>
      <c r="V274" s="23" t="n"/>
    </row>
    <row r="275">
      <c r="A275" s="23" t="n"/>
      <c r="B275" s="23" t="n"/>
      <c r="C275" s="24" t="n"/>
      <c r="D275" s="15" t="n"/>
      <c r="E275" s="23" t="n"/>
      <c r="F275" s="15" t="n"/>
      <c r="G275" s="23" t="n"/>
      <c r="H275" s="25" t="n"/>
      <c r="I275" s="15" t="n"/>
      <c r="J275" s="26">
        <f>IF($A275="","",LEN($C275)-LEN(SUBSTITUTE($C275,",",""))+1)</f>
        <v/>
      </c>
      <c r="K275" s="26">
        <f>IF($A275="","",SUMPRODUCT(--ISNUMBER(SEARCH('Category Dictionary'!$D$5:$D$135&amp;"",$C275)),--('Category Dictionary'!$D$5:$D$135&lt;&gt;"")))</f>
        <v/>
      </c>
      <c r="L275" s="27">
        <f>IF($A275="","",TRIM(IF(ISERROR(FIND(",",$C275)),$C275,LEFT($C275,FIND(",",$C275)-1))))</f>
        <v/>
      </c>
      <c r="M275" s="28">
        <f>IF($H275="","",DATE(YEAR($H275),MONTH($H275),1))</f>
        <v/>
      </c>
      <c r="N275" s="26">
        <f>IF($H275="","",TODAY()-$H275)</f>
        <v/>
      </c>
      <c r="O275" s="15" t="n"/>
      <c r="P275" s="26">
        <f>IF($A275="","",COUNTIFS('Audit Versions'!$A$6:$A$605,$A275,'Audit Versions'!$L$6:$L$605,"Active"))</f>
        <v/>
      </c>
      <c r="Q275" s="15" t="n"/>
      <c r="R275" s="26">
        <f>IF(OR($A275="",$P275=0),"",MOD(N($Q275),$P275)+1)</f>
        <v/>
      </c>
      <c r="S275" s="15" t="n"/>
      <c r="T275" s="25" t="n"/>
      <c r="U275" s="26">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Builder'!$B$12="",N($S275)&lt;='Assignment Builder'!$B$12)))</f>
        <v/>
      </c>
      <c r="V275" s="23" t="n"/>
    </row>
    <row r="276">
      <c r="A276" s="23" t="n"/>
      <c r="B276" s="23" t="n"/>
      <c r="C276" s="24" t="n"/>
      <c r="D276" s="15" t="n"/>
      <c r="E276" s="23" t="n"/>
      <c r="F276" s="15" t="n"/>
      <c r="G276" s="23" t="n"/>
      <c r="H276" s="25" t="n"/>
      <c r="I276" s="15" t="n"/>
      <c r="J276" s="26">
        <f>IF($A276="","",LEN($C276)-LEN(SUBSTITUTE($C276,",",""))+1)</f>
        <v/>
      </c>
      <c r="K276" s="26">
        <f>IF($A276="","",SUMPRODUCT(--ISNUMBER(SEARCH('Category Dictionary'!$D$5:$D$135&amp;"",$C276)),--('Category Dictionary'!$D$5:$D$135&lt;&gt;"")))</f>
        <v/>
      </c>
      <c r="L276" s="27">
        <f>IF($A276="","",TRIM(IF(ISERROR(FIND(",",$C276)),$C276,LEFT($C276,FIND(",",$C276)-1))))</f>
        <v/>
      </c>
      <c r="M276" s="28">
        <f>IF($H276="","",DATE(YEAR($H276),MONTH($H276),1))</f>
        <v/>
      </c>
      <c r="N276" s="26">
        <f>IF($H276="","",TODAY()-$H276)</f>
        <v/>
      </c>
      <c r="O276" s="15" t="n"/>
      <c r="P276" s="26">
        <f>IF($A276="","",COUNTIFS('Audit Versions'!$A$6:$A$605,$A276,'Audit Versions'!$L$6:$L$605,"Active"))</f>
        <v/>
      </c>
      <c r="Q276" s="15" t="n"/>
      <c r="R276" s="26">
        <f>IF(OR($A276="",$P276=0),"",MOD(N($Q276),$P276)+1)</f>
        <v/>
      </c>
      <c r="S276" s="15" t="n"/>
      <c r="T276" s="25" t="n"/>
      <c r="U276" s="26">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Builder'!$B$12="",N($S276)&lt;='Assignment Builder'!$B$12)))</f>
        <v/>
      </c>
      <c r="V276" s="23" t="n"/>
    </row>
    <row r="277">
      <c r="A277" s="23" t="n"/>
      <c r="B277" s="23" t="n"/>
      <c r="C277" s="24" t="n"/>
      <c r="D277" s="15" t="n"/>
      <c r="E277" s="23" t="n"/>
      <c r="F277" s="15" t="n"/>
      <c r="G277" s="23" t="n"/>
      <c r="H277" s="25" t="n"/>
      <c r="I277" s="15" t="n"/>
      <c r="J277" s="26">
        <f>IF($A277="","",LEN($C277)-LEN(SUBSTITUTE($C277,",",""))+1)</f>
        <v/>
      </c>
      <c r="K277" s="26">
        <f>IF($A277="","",SUMPRODUCT(--ISNUMBER(SEARCH('Category Dictionary'!$D$5:$D$135&amp;"",$C277)),--('Category Dictionary'!$D$5:$D$135&lt;&gt;"")))</f>
        <v/>
      </c>
      <c r="L277" s="27">
        <f>IF($A277="","",TRIM(IF(ISERROR(FIND(",",$C277)),$C277,LEFT($C277,FIND(",",$C277)-1))))</f>
        <v/>
      </c>
      <c r="M277" s="28">
        <f>IF($H277="","",DATE(YEAR($H277),MONTH($H277),1))</f>
        <v/>
      </c>
      <c r="N277" s="26">
        <f>IF($H277="","",TODAY()-$H277)</f>
        <v/>
      </c>
      <c r="O277" s="15" t="n"/>
      <c r="P277" s="26">
        <f>IF($A277="","",COUNTIFS('Audit Versions'!$A$6:$A$605,$A277,'Audit Versions'!$L$6:$L$605,"Active"))</f>
        <v/>
      </c>
      <c r="Q277" s="15" t="n"/>
      <c r="R277" s="26">
        <f>IF(OR($A277="",$P277=0),"",MOD(N($Q277),$P277)+1)</f>
        <v/>
      </c>
      <c r="S277" s="15" t="n"/>
      <c r="T277" s="25" t="n"/>
      <c r="U277" s="26">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Builder'!$B$12="",N($S277)&lt;='Assignment Builder'!$B$12)))</f>
        <v/>
      </c>
      <c r="V277" s="23" t="n"/>
    </row>
    <row r="278">
      <c r="A278" s="23" t="n"/>
      <c r="B278" s="23" t="n"/>
      <c r="C278" s="24" t="n"/>
      <c r="D278" s="15" t="n"/>
      <c r="E278" s="23" t="n"/>
      <c r="F278" s="15" t="n"/>
      <c r="G278" s="23" t="n"/>
      <c r="H278" s="25" t="n"/>
      <c r="I278" s="15" t="n"/>
      <c r="J278" s="26">
        <f>IF($A278="","",LEN($C278)-LEN(SUBSTITUTE($C278,",",""))+1)</f>
        <v/>
      </c>
      <c r="K278" s="26">
        <f>IF($A278="","",SUMPRODUCT(--ISNUMBER(SEARCH('Category Dictionary'!$D$5:$D$135&amp;"",$C278)),--('Category Dictionary'!$D$5:$D$135&lt;&gt;"")))</f>
        <v/>
      </c>
      <c r="L278" s="27">
        <f>IF($A278="","",TRIM(IF(ISERROR(FIND(",",$C278)),$C278,LEFT($C278,FIND(",",$C278)-1))))</f>
        <v/>
      </c>
      <c r="M278" s="28">
        <f>IF($H278="","",DATE(YEAR($H278),MONTH($H278),1))</f>
        <v/>
      </c>
      <c r="N278" s="26">
        <f>IF($H278="","",TODAY()-$H278)</f>
        <v/>
      </c>
      <c r="O278" s="15" t="n"/>
      <c r="P278" s="26">
        <f>IF($A278="","",COUNTIFS('Audit Versions'!$A$6:$A$605,$A278,'Audit Versions'!$L$6:$L$605,"Active"))</f>
        <v/>
      </c>
      <c r="Q278" s="15" t="n"/>
      <c r="R278" s="26">
        <f>IF(OR($A278="",$P278=0),"",MOD(N($Q278),$P278)+1)</f>
        <v/>
      </c>
      <c r="S278" s="15" t="n"/>
      <c r="T278" s="25" t="n"/>
      <c r="U278" s="26">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Builder'!$B$12="",N($S278)&lt;='Assignment Builder'!$B$12)))</f>
        <v/>
      </c>
      <c r="V278" s="23" t="n"/>
    </row>
    <row r="279">
      <c r="A279" s="23" t="n"/>
      <c r="B279" s="23" t="n"/>
      <c r="C279" s="24" t="n"/>
      <c r="D279" s="15" t="n"/>
      <c r="E279" s="23" t="n"/>
      <c r="F279" s="15" t="n"/>
      <c r="G279" s="23" t="n"/>
      <c r="H279" s="25" t="n"/>
      <c r="I279" s="15" t="n"/>
      <c r="J279" s="26">
        <f>IF($A279="","",LEN($C279)-LEN(SUBSTITUTE($C279,",",""))+1)</f>
        <v/>
      </c>
      <c r="K279" s="26">
        <f>IF($A279="","",SUMPRODUCT(--ISNUMBER(SEARCH('Category Dictionary'!$D$5:$D$135&amp;"",$C279)),--('Category Dictionary'!$D$5:$D$135&lt;&gt;"")))</f>
        <v/>
      </c>
      <c r="L279" s="27">
        <f>IF($A279="","",TRIM(IF(ISERROR(FIND(",",$C279)),$C279,LEFT($C279,FIND(",",$C279)-1))))</f>
        <v/>
      </c>
      <c r="M279" s="28">
        <f>IF($H279="","",DATE(YEAR($H279),MONTH($H279),1))</f>
        <v/>
      </c>
      <c r="N279" s="26">
        <f>IF($H279="","",TODAY()-$H279)</f>
        <v/>
      </c>
      <c r="O279" s="15" t="n"/>
      <c r="P279" s="26">
        <f>IF($A279="","",COUNTIFS('Audit Versions'!$A$6:$A$605,$A279,'Audit Versions'!$L$6:$L$605,"Active"))</f>
        <v/>
      </c>
      <c r="Q279" s="15" t="n"/>
      <c r="R279" s="26">
        <f>IF(OR($A279="",$P279=0),"",MOD(N($Q279),$P279)+1)</f>
        <v/>
      </c>
      <c r="S279" s="15" t="n"/>
      <c r="T279" s="25" t="n"/>
      <c r="U279" s="26">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Builder'!$B$12="",N($S279)&lt;='Assignment Builder'!$B$12)))</f>
        <v/>
      </c>
      <c r="V279" s="23" t="n"/>
    </row>
    <row r="280">
      <c r="A280" s="23" t="n"/>
      <c r="B280" s="23" t="n"/>
      <c r="C280" s="24" t="n"/>
      <c r="D280" s="15" t="n"/>
      <c r="E280" s="23" t="n"/>
      <c r="F280" s="15" t="n"/>
      <c r="G280" s="23" t="n"/>
      <c r="H280" s="25" t="n"/>
      <c r="I280" s="15" t="n"/>
      <c r="J280" s="26">
        <f>IF($A280="","",LEN($C280)-LEN(SUBSTITUTE($C280,",",""))+1)</f>
        <v/>
      </c>
      <c r="K280" s="26">
        <f>IF($A280="","",SUMPRODUCT(--ISNUMBER(SEARCH('Category Dictionary'!$D$5:$D$135&amp;"",$C280)),--('Category Dictionary'!$D$5:$D$135&lt;&gt;"")))</f>
        <v/>
      </c>
      <c r="L280" s="27">
        <f>IF($A280="","",TRIM(IF(ISERROR(FIND(",",$C280)),$C280,LEFT($C280,FIND(",",$C280)-1))))</f>
        <v/>
      </c>
      <c r="M280" s="28">
        <f>IF($H280="","",DATE(YEAR($H280),MONTH($H280),1))</f>
        <v/>
      </c>
      <c r="N280" s="26">
        <f>IF($H280="","",TODAY()-$H280)</f>
        <v/>
      </c>
      <c r="O280" s="15" t="n"/>
      <c r="P280" s="26">
        <f>IF($A280="","",COUNTIFS('Audit Versions'!$A$6:$A$605,$A280,'Audit Versions'!$L$6:$L$605,"Active"))</f>
        <v/>
      </c>
      <c r="Q280" s="15" t="n"/>
      <c r="R280" s="26">
        <f>IF(OR($A280="",$P280=0),"",MOD(N($Q280),$P280)+1)</f>
        <v/>
      </c>
      <c r="S280" s="15" t="n"/>
      <c r="T280" s="25" t="n"/>
      <c r="U280" s="26">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Builder'!$B$12="",N($S280)&lt;='Assignment Builder'!$B$12)))</f>
        <v/>
      </c>
      <c r="V280" s="23" t="n"/>
    </row>
    <row r="281">
      <c r="A281" s="23" t="n"/>
      <c r="B281" s="23" t="n"/>
      <c r="C281" s="24" t="n"/>
      <c r="D281" s="15" t="n"/>
      <c r="E281" s="23" t="n"/>
      <c r="F281" s="15" t="n"/>
      <c r="G281" s="23" t="n"/>
      <c r="H281" s="25" t="n"/>
      <c r="I281" s="15" t="n"/>
      <c r="J281" s="26">
        <f>IF($A281="","",LEN($C281)-LEN(SUBSTITUTE($C281,",",""))+1)</f>
        <v/>
      </c>
      <c r="K281" s="26">
        <f>IF($A281="","",SUMPRODUCT(--ISNUMBER(SEARCH('Category Dictionary'!$D$5:$D$135&amp;"",$C281)),--('Category Dictionary'!$D$5:$D$135&lt;&gt;"")))</f>
        <v/>
      </c>
      <c r="L281" s="27">
        <f>IF($A281="","",TRIM(IF(ISERROR(FIND(",",$C281)),$C281,LEFT($C281,FIND(",",$C281)-1))))</f>
        <v/>
      </c>
      <c r="M281" s="28">
        <f>IF($H281="","",DATE(YEAR($H281),MONTH($H281),1))</f>
        <v/>
      </c>
      <c r="N281" s="26">
        <f>IF($H281="","",TODAY()-$H281)</f>
        <v/>
      </c>
      <c r="O281" s="15" t="n"/>
      <c r="P281" s="26">
        <f>IF($A281="","",COUNTIFS('Audit Versions'!$A$6:$A$605,$A281,'Audit Versions'!$L$6:$L$605,"Active"))</f>
        <v/>
      </c>
      <c r="Q281" s="15" t="n"/>
      <c r="R281" s="26">
        <f>IF(OR($A281="",$P281=0),"",MOD(N($Q281),$P281)+1)</f>
        <v/>
      </c>
      <c r="S281" s="15" t="n"/>
      <c r="T281" s="25" t="n"/>
      <c r="U281" s="26">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Builder'!$B$12="",N($S281)&lt;='Assignment Builder'!$B$12)))</f>
        <v/>
      </c>
      <c r="V281" s="23" t="n"/>
    </row>
    <row r="282">
      <c r="A282" s="23" t="n"/>
      <c r="B282" s="23" t="n"/>
      <c r="C282" s="24" t="n"/>
      <c r="D282" s="15" t="n"/>
      <c r="E282" s="23" t="n"/>
      <c r="F282" s="15" t="n"/>
      <c r="G282" s="23" t="n"/>
      <c r="H282" s="25" t="n"/>
      <c r="I282" s="15" t="n"/>
      <c r="J282" s="26">
        <f>IF($A282="","",LEN($C282)-LEN(SUBSTITUTE($C282,",",""))+1)</f>
        <v/>
      </c>
      <c r="K282" s="26">
        <f>IF($A282="","",SUMPRODUCT(--ISNUMBER(SEARCH('Category Dictionary'!$D$5:$D$135&amp;"",$C282)),--('Category Dictionary'!$D$5:$D$135&lt;&gt;"")))</f>
        <v/>
      </c>
      <c r="L282" s="27">
        <f>IF($A282="","",TRIM(IF(ISERROR(FIND(",",$C282)),$C282,LEFT($C282,FIND(",",$C282)-1))))</f>
        <v/>
      </c>
      <c r="M282" s="28">
        <f>IF($H282="","",DATE(YEAR($H282),MONTH($H282),1))</f>
        <v/>
      </c>
      <c r="N282" s="26">
        <f>IF($H282="","",TODAY()-$H282)</f>
        <v/>
      </c>
      <c r="O282" s="15" t="n"/>
      <c r="P282" s="26">
        <f>IF($A282="","",COUNTIFS('Audit Versions'!$A$6:$A$605,$A282,'Audit Versions'!$L$6:$L$605,"Active"))</f>
        <v/>
      </c>
      <c r="Q282" s="15" t="n"/>
      <c r="R282" s="26">
        <f>IF(OR($A282="",$P282=0),"",MOD(N($Q282),$P282)+1)</f>
        <v/>
      </c>
      <c r="S282" s="15" t="n"/>
      <c r="T282" s="25" t="n"/>
      <c r="U282" s="26">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Builder'!$B$12="",N($S282)&lt;='Assignment Builder'!$B$12)))</f>
        <v/>
      </c>
      <c r="V282" s="23" t="n"/>
    </row>
    <row r="283">
      <c r="A283" s="23" t="n"/>
      <c r="B283" s="23" t="n"/>
      <c r="C283" s="24" t="n"/>
      <c r="D283" s="15" t="n"/>
      <c r="E283" s="23" t="n"/>
      <c r="F283" s="15" t="n"/>
      <c r="G283" s="23" t="n"/>
      <c r="H283" s="25" t="n"/>
      <c r="I283" s="15" t="n"/>
      <c r="J283" s="26">
        <f>IF($A283="","",LEN($C283)-LEN(SUBSTITUTE($C283,",",""))+1)</f>
        <v/>
      </c>
      <c r="K283" s="26">
        <f>IF($A283="","",SUMPRODUCT(--ISNUMBER(SEARCH('Category Dictionary'!$D$5:$D$135&amp;"",$C283)),--('Category Dictionary'!$D$5:$D$135&lt;&gt;"")))</f>
        <v/>
      </c>
      <c r="L283" s="27">
        <f>IF($A283="","",TRIM(IF(ISERROR(FIND(",",$C283)),$C283,LEFT($C283,FIND(",",$C283)-1))))</f>
        <v/>
      </c>
      <c r="M283" s="28">
        <f>IF($H283="","",DATE(YEAR($H283),MONTH($H283),1))</f>
        <v/>
      </c>
      <c r="N283" s="26">
        <f>IF($H283="","",TODAY()-$H283)</f>
        <v/>
      </c>
      <c r="O283" s="15" t="n"/>
      <c r="P283" s="26">
        <f>IF($A283="","",COUNTIFS('Audit Versions'!$A$6:$A$605,$A283,'Audit Versions'!$L$6:$L$605,"Active"))</f>
        <v/>
      </c>
      <c r="Q283" s="15" t="n"/>
      <c r="R283" s="26">
        <f>IF(OR($A283="",$P283=0),"",MOD(N($Q283),$P283)+1)</f>
        <v/>
      </c>
      <c r="S283" s="15" t="n"/>
      <c r="T283" s="25" t="n"/>
      <c r="U283" s="26">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Builder'!$B$12="",N($S283)&lt;='Assignment Builder'!$B$12)))</f>
        <v/>
      </c>
      <c r="V283" s="23" t="n"/>
    </row>
    <row r="284">
      <c r="A284" s="23" t="n"/>
      <c r="B284" s="23" t="n"/>
      <c r="C284" s="24" t="n"/>
      <c r="D284" s="15" t="n"/>
      <c r="E284" s="23" t="n"/>
      <c r="F284" s="15" t="n"/>
      <c r="G284" s="23" t="n"/>
      <c r="H284" s="25" t="n"/>
      <c r="I284" s="15" t="n"/>
      <c r="J284" s="26">
        <f>IF($A284="","",LEN($C284)-LEN(SUBSTITUTE($C284,",",""))+1)</f>
        <v/>
      </c>
      <c r="K284" s="26">
        <f>IF($A284="","",SUMPRODUCT(--ISNUMBER(SEARCH('Category Dictionary'!$D$5:$D$135&amp;"",$C284)),--('Category Dictionary'!$D$5:$D$135&lt;&gt;"")))</f>
        <v/>
      </c>
      <c r="L284" s="27">
        <f>IF($A284="","",TRIM(IF(ISERROR(FIND(",",$C284)),$C284,LEFT($C284,FIND(",",$C284)-1))))</f>
        <v/>
      </c>
      <c r="M284" s="28">
        <f>IF($H284="","",DATE(YEAR($H284),MONTH($H284),1))</f>
        <v/>
      </c>
      <c r="N284" s="26">
        <f>IF($H284="","",TODAY()-$H284)</f>
        <v/>
      </c>
      <c r="O284" s="15" t="n"/>
      <c r="P284" s="26">
        <f>IF($A284="","",COUNTIFS('Audit Versions'!$A$6:$A$605,$A284,'Audit Versions'!$L$6:$L$605,"Active"))</f>
        <v/>
      </c>
      <c r="Q284" s="15" t="n"/>
      <c r="R284" s="26">
        <f>IF(OR($A284="",$P284=0),"",MOD(N($Q284),$P284)+1)</f>
        <v/>
      </c>
      <c r="S284" s="15" t="n"/>
      <c r="T284" s="25" t="n"/>
      <c r="U284" s="26">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Builder'!$B$12="",N($S284)&lt;='Assignment Builder'!$B$12)))</f>
        <v/>
      </c>
      <c r="V284" s="23" t="n"/>
    </row>
    <row r="285">
      <c r="A285" s="23" t="n"/>
      <c r="B285" s="23" t="n"/>
      <c r="C285" s="24" t="n"/>
      <c r="D285" s="15" t="n"/>
      <c r="E285" s="23" t="n"/>
      <c r="F285" s="15" t="n"/>
      <c r="G285" s="23" t="n"/>
      <c r="H285" s="25" t="n"/>
      <c r="I285" s="15" t="n"/>
      <c r="J285" s="26">
        <f>IF($A285="","",LEN($C285)-LEN(SUBSTITUTE($C285,",",""))+1)</f>
        <v/>
      </c>
      <c r="K285" s="26">
        <f>IF($A285="","",SUMPRODUCT(--ISNUMBER(SEARCH('Category Dictionary'!$D$5:$D$135&amp;"",$C285)),--('Category Dictionary'!$D$5:$D$135&lt;&gt;"")))</f>
        <v/>
      </c>
      <c r="L285" s="27">
        <f>IF($A285="","",TRIM(IF(ISERROR(FIND(",",$C285)),$C285,LEFT($C285,FIND(",",$C285)-1))))</f>
        <v/>
      </c>
      <c r="M285" s="28">
        <f>IF($H285="","",DATE(YEAR($H285),MONTH($H285),1))</f>
        <v/>
      </c>
      <c r="N285" s="26">
        <f>IF($H285="","",TODAY()-$H285)</f>
        <v/>
      </c>
      <c r="O285" s="15" t="n"/>
      <c r="P285" s="26">
        <f>IF($A285="","",COUNTIFS('Audit Versions'!$A$6:$A$605,$A285,'Audit Versions'!$L$6:$L$605,"Active"))</f>
        <v/>
      </c>
      <c r="Q285" s="15" t="n"/>
      <c r="R285" s="26">
        <f>IF(OR($A285="",$P285=0),"",MOD(N($Q285),$P285)+1)</f>
        <v/>
      </c>
      <c r="S285" s="15" t="n"/>
      <c r="T285" s="25" t="n"/>
      <c r="U285" s="26">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Builder'!$B$12="",N($S285)&lt;='Assignment Builder'!$B$12)))</f>
        <v/>
      </c>
      <c r="V285" s="23" t="n"/>
    </row>
    <row r="286">
      <c r="A286" s="23" t="n"/>
      <c r="B286" s="23" t="n"/>
      <c r="C286" s="24" t="n"/>
      <c r="D286" s="15" t="n"/>
      <c r="E286" s="23" t="n"/>
      <c r="F286" s="15" t="n"/>
      <c r="G286" s="23" t="n"/>
      <c r="H286" s="25" t="n"/>
      <c r="I286" s="15" t="n"/>
      <c r="J286" s="26">
        <f>IF($A286="","",LEN($C286)-LEN(SUBSTITUTE($C286,",",""))+1)</f>
        <v/>
      </c>
      <c r="K286" s="26">
        <f>IF($A286="","",SUMPRODUCT(--ISNUMBER(SEARCH('Category Dictionary'!$D$5:$D$135&amp;"",$C286)),--('Category Dictionary'!$D$5:$D$135&lt;&gt;"")))</f>
        <v/>
      </c>
      <c r="L286" s="27">
        <f>IF($A286="","",TRIM(IF(ISERROR(FIND(",",$C286)),$C286,LEFT($C286,FIND(",",$C286)-1))))</f>
        <v/>
      </c>
      <c r="M286" s="28">
        <f>IF($H286="","",DATE(YEAR($H286),MONTH($H286),1))</f>
        <v/>
      </c>
      <c r="N286" s="26">
        <f>IF($H286="","",TODAY()-$H286)</f>
        <v/>
      </c>
      <c r="O286" s="15" t="n"/>
      <c r="P286" s="26">
        <f>IF($A286="","",COUNTIFS('Audit Versions'!$A$6:$A$605,$A286,'Audit Versions'!$L$6:$L$605,"Active"))</f>
        <v/>
      </c>
      <c r="Q286" s="15" t="n"/>
      <c r="R286" s="26">
        <f>IF(OR($A286="",$P286=0),"",MOD(N($Q286),$P286)+1)</f>
        <v/>
      </c>
      <c r="S286" s="15" t="n"/>
      <c r="T286" s="25" t="n"/>
      <c r="U286" s="26">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Builder'!$B$12="",N($S286)&lt;='Assignment Builder'!$B$12)))</f>
        <v/>
      </c>
      <c r="V286" s="23" t="n"/>
    </row>
    <row r="287">
      <c r="A287" s="23" t="n"/>
      <c r="B287" s="23" t="n"/>
      <c r="C287" s="24" t="n"/>
      <c r="D287" s="15" t="n"/>
      <c r="E287" s="23" t="n"/>
      <c r="F287" s="15" t="n"/>
      <c r="G287" s="23" t="n"/>
      <c r="H287" s="25" t="n"/>
      <c r="I287" s="15" t="n"/>
      <c r="J287" s="26">
        <f>IF($A287="","",LEN($C287)-LEN(SUBSTITUTE($C287,",",""))+1)</f>
        <v/>
      </c>
      <c r="K287" s="26">
        <f>IF($A287="","",SUMPRODUCT(--ISNUMBER(SEARCH('Category Dictionary'!$D$5:$D$135&amp;"",$C287)),--('Category Dictionary'!$D$5:$D$135&lt;&gt;"")))</f>
        <v/>
      </c>
      <c r="L287" s="27">
        <f>IF($A287="","",TRIM(IF(ISERROR(FIND(",",$C287)),$C287,LEFT($C287,FIND(",",$C287)-1))))</f>
        <v/>
      </c>
      <c r="M287" s="28">
        <f>IF($H287="","",DATE(YEAR($H287),MONTH($H287),1))</f>
        <v/>
      </c>
      <c r="N287" s="26">
        <f>IF($H287="","",TODAY()-$H287)</f>
        <v/>
      </c>
      <c r="O287" s="15" t="n"/>
      <c r="P287" s="26">
        <f>IF($A287="","",COUNTIFS('Audit Versions'!$A$6:$A$605,$A287,'Audit Versions'!$L$6:$L$605,"Active"))</f>
        <v/>
      </c>
      <c r="Q287" s="15" t="n"/>
      <c r="R287" s="26">
        <f>IF(OR($A287="",$P287=0),"",MOD(N($Q287),$P287)+1)</f>
        <v/>
      </c>
      <c r="S287" s="15" t="n"/>
      <c r="T287" s="25" t="n"/>
      <c r="U287" s="26">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Builder'!$B$12="",N($S287)&lt;='Assignment Builder'!$B$12)))</f>
        <v/>
      </c>
      <c r="V287" s="23" t="n"/>
    </row>
    <row r="288">
      <c r="A288" s="23" t="n"/>
      <c r="B288" s="23" t="n"/>
      <c r="C288" s="24" t="n"/>
      <c r="D288" s="15" t="n"/>
      <c r="E288" s="23" t="n"/>
      <c r="F288" s="15" t="n"/>
      <c r="G288" s="23" t="n"/>
      <c r="H288" s="25" t="n"/>
      <c r="I288" s="15" t="n"/>
      <c r="J288" s="26">
        <f>IF($A288="","",LEN($C288)-LEN(SUBSTITUTE($C288,",",""))+1)</f>
        <v/>
      </c>
      <c r="K288" s="26">
        <f>IF($A288="","",SUMPRODUCT(--ISNUMBER(SEARCH('Category Dictionary'!$D$5:$D$135&amp;"",$C288)),--('Category Dictionary'!$D$5:$D$135&lt;&gt;"")))</f>
        <v/>
      </c>
      <c r="L288" s="27">
        <f>IF($A288="","",TRIM(IF(ISERROR(FIND(",",$C288)),$C288,LEFT($C288,FIND(",",$C288)-1))))</f>
        <v/>
      </c>
      <c r="M288" s="28">
        <f>IF($H288="","",DATE(YEAR($H288),MONTH($H288),1))</f>
        <v/>
      </c>
      <c r="N288" s="26">
        <f>IF($H288="","",TODAY()-$H288)</f>
        <v/>
      </c>
      <c r="O288" s="15" t="n"/>
      <c r="P288" s="26">
        <f>IF($A288="","",COUNTIFS('Audit Versions'!$A$6:$A$605,$A288,'Audit Versions'!$L$6:$L$605,"Active"))</f>
        <v/>
      </c>
      <c r="Q288" s="15" t="n"/>
      <c r="R288" s="26">
        <f>IF(OR($A288="",$P288=0),"",MOD(N($Q288),$P288)+1)</f>
        <v/>
      </c>
      <c r="S288" s="15" t="n"/>
      <c r="T288" s="25" t="n"/>
      <c r="U288" s="26">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Builder'!$B$12="",N($S288)&lt;='Assignment Builder'!$B$12)))</f>
        <v/>
      </c>
      <c r="V288" s="23" t="n"/>
    </row>
    <row r="289">
      <c r="A289" s="23" t="n"/>
      <c r="B289" s="23" t="n"/>
      <c r="C289" s="24" t="n"/>
      <c r="D289" s="15" t="n"/>
      <c r="E289" s="23" t="n"/>
      <c r="F289" s="15" t="n"/>
      <c r="G289" s="23" t="n"/>
      <c r="H289" s="25" t="n"/>
      <c r="I289" s="15" t="n"/>
      <c r="J289" s="26">
        <f>IF($A289="","",LEN($C289)-LEN(SUBSTITUTE($C289,",",""))+1)</f>
        <v/>
      </c>
      <c r="K289" s="26">
        <f>IF($A289="","",SUMPRODUCT(--ISNUMBER(SEARCH('Category Dictionary'!$D$5:$D$135&amp;"",$C289)),--('Category Dictionary'!$D$5:$D$135&lt;&gt;"")))</f>
        <v/>
      </c>
      <c r="L289" s="27">
        <f>IF($A289="","",TRIM(IF(ISERROR(FIND(",",$C289)),$C289,LEFT($C289,FIND(",",$C289)-1))))</f>
        <v/>
      </c>
      <c r="M289" s="28">
        <f>IF($H289="","",DATE(YEAR($H289),MONTH($H289),1))</f>
        <v/>
      </c>
      <c r="N289" s="26">
        <f>IF($H289="","",TODAY()-$H289)</f>
        <v/>
      </c>
      <c r="O289" s="15" t="n"/>
      <c r="P289" s="26">
        <f>IF($A289="","",COUNTIFS('Audit Versions'!$A$6:$A$605,$A289,'Audit Versions'!$L$6:$L$605,"Active"))</f>
        <v/>
      </c>
      <c r="Q289" s="15" t="n"/>
      <c r="R289" s="26">
        <f>IF(OR($A289="",$P289=0),"",MOD(N($Q289),$P289)+1)</f>
        <v/>
      </c>
      <c r="S289" s="15" t="n"/>
      <c r="T289" s="25" t="n"/>
      <c r="U289" s="26">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Builder'!$B$12="",N($S289)&lt;='Assignment Builder'!$B$12)))</f>
        <v/>
      </c>
      <c r="V289" s="23" t="n"/>
    </row>
    <row r="290">
      <c r="A290" s="23" t="n"/>
      <c r="B290" s="23" t="n"/>
      <c r="C290" s="24" t="n"/>
      <c r="D290" s="15" t="n"/>
      <c r="E290" s="23" t="n"/>
      <c r="F290" s="15" t="n"/>
      <c r="G290" s="23" t="n"/>
      <c r="H290" s="25" t="n"/>
      <c r="I290" s="15" t="n"/>
      <c r="J290" s="26">
        <f>IF($A290="","",LEN($C290)-LEN(SUBSTITUTE($C290,",",""))+1)</f>
        <v/>
      </c>
      <c r="K290" s="26">
        <f>IF($A290="","",SUMPRODUCT(--ISNUMBER(SEARCH('Category Dictionary'!$D$5:$D$135&amp;"",$C290)),--('Category Dictionary'!$D$5:$D$135&lt;&gt;"")))</f>
        <v/>
      </c>
      <c r="L290" s="27">
        <f>IF($A290="","",TRIM(IF(ISERROR(FIND(",",$C290)),$C290,LEFT($C290,FIND(",",$C290)-1))))</f>
        <v/>
      </c>
      <c r="M290" s="28">
        <f>IF($H290="","",DATE(YEAR($H290),MONTH($H290),1))</f>
        <v/>
      </c>
      <c r="N290" s="26">
        <f>IF($H290="","",TODAY()-$H290)</f>
        <v/>
      </c>
      <c r="O290" s="15" t="n"/>
      <c r="P290" s="26">
        <f>IF($A290="","",COUNTIFS('Audit Versions'!$A$6:$A$605,$A290,'Audit Versions'!$L$6:$L$605,"Active"))</f>
        <v/>
      </c>
      <c r="Q290" s="15" t="n"/>
      <c r="R290" s="26">
        <f>IF(OR($A290="",$P290=0),"",MOD(N($Q290),$P290)+1)</f>
        <v/>
      </c>
      <c r="S290" s="15" t="n"/>
      <c r="T290" s="25" t="n"/>
      <c r="U290" s="26">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Builder'!$B$12="",N($S290)&lt;='Assignment Builder'!$B$12)))</f>
        <v/>
      </c>
      <c r="V290" s="23" t="n"/>
    </row>
    <row r="291">
      <c r="A291" s="23" t="n"/>
      <c r="B291" s="23" t="n"/>
      <c r="C291" s="24" t="n"/>
      <c r="D291" s="15" t="n"/>
      <c r="E291" s="23" t="n"/>
      <c r="F291" s="15" t="n"/>
      <c r="G291" s="23" t="n"/>
      <c r="H291" s="25" t="n"/>
      <c r="I291" s="15" t="n"/>
      <c r="J291" s="26">
        <f>IF($A291="","",LEN($C291)-LEN(SUBSTITUTE($C291,",",""))+1)</f>
        <v/>
      </c>
      <c r="K291" s="26">
        <f>IF($A291="","",SUMPRODUCT(--ISNUMBER(SEARCH('Category Dictionary'!$D$5:$D$135&amp;"",$C291)),--('Category Dictionary'!$D$5:$D$135&lt;&gt;"")))</f>
        <v/>
      </c>
      <c r="L291" s="27">
        <f>IF($A291="","",TRIM(IF(ISERROR(FIND(",",$C291)),$C291,LEFT($C291,FIND(",",$C291)-1))))</f>
        <v/>
      </c>
      <c r="M291" s="28">
        <f>IF($H291="","",DATE(YEAR($H291),MONTH($H291),1))</f>
        <v/>
      </c>
      <c r="N291" s="26">
        <f>IF($H291="","",TODAY()-$H291)</f>
        <v/>
      </c>
      <c r="O291" s="15" t="n"/>
      <c r="P291" s="26">
        <f>IF($A291="","",COUNTIFS('Audit Versions'!$A$6:$A$605,$A291,'Audit Versions'!$L$6:$L$605,"Active"))</f>
        <v/>
      </c>
      <c r="Q291" s="15" t="n"/>
      <c r="R291" s="26">
        <f>IF(OR($A291="",$P291=0),"",MOD(N($Q291),$P291)+1)</f>
        <v/>
      </c>
      <c r="S291" s="15" t="n"/>
      <c r="T291" s="25" t="n"/>
      <c r="U291" s="26">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Builder'!$B$12="",N($S291)&lt;='Assignment Builder'!$B$12)))</f>
        <v/>
      </c>
      <c r="V291" s="23" t="n"/>
    </row>
    <row r="292">
      <c r="A292" s="23" t="n"/>
      <c r="B292" s="23" t="n"/>
      <c r="C292" s="24" t="n"/>
      <c r="D292" s="15" t="n"/>
      <c r="E292" s="23" t="n"/>
      <c r="F292" s="15" t="n"/>
      <c r="G292" s="23" t="n"/>
      <c r="H292" s="25" t="n"/>
      <c r="I292" s="15" t="n"/>
      <c r="J292" s="26">
        <f>IF($A292="","",LEN($C292)-LEN(SUBSTITUTE($C292,",",""))+1)</f>
        <v/>
      </c>
      <c r="K292" s="26">
        <f>IF($A292="","",SUMPRODUCT(--ISNUMBER(SEARCH('Category Dictionary'!$D$5:$D$135&amp;"",$C292)),--('Category Dictionary'!$D$5:$D$135&lt;&gt;"")))</f>
        <v/>
      </c>
      <c r="L292" s="27">
        <f>IF($A292="","",TRIM(IF(ISERROR(FIND(",",$C292)),$C292,LEFT($C292,FIND(",",$C292)-1))))</f>
        <v/>
      </c>
      <c r="M292" s="28">
        <f>IF($H292="","",DATE(YEAR($H292),MONTH($H292),1))</f>
        <v/>
      </c>
      <c r="N292" s="26">
        <f>IF($H292="","",TODAY()-$H292)</f>
        <v/>
      </c>
      <c r="O292" s="15" t="n"/>
      <c r="P292" s="26">
        <f>IF($A292="","",COUNTIFS('Audit Versions'!$A$6:$A$605,$A292,'Audit Versions'!$L$6:$L$605,"Active"))</f>
        <v/>
      </c>
      <c r="Q292" s="15" t="n"/>
      <c r="R292" s="26">
        <f>IF(OR($A292="",$P292=0),"",MOD(N($Q292),$P292)+1)</f>
        <v/>
      </c>
      <c r="S292" s="15" t="n"/>
      <c r="T292" s="25" t="n"/>
      <c r="U292" s="26">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Builder'!$B$12="",N($S292)&lt;='Assignment Builder'!$B$12)))</f>
        <v/>
      </c>
      <c r="V292" s="23" t="n"/>
    </row>
    <row r="293">
      <c r="A293" s="23" t="n"/>
      <c r="B293" s="23" t="n"/>
      <c r="C293" s="24" t="n"/>
      <c r="D293" s="15" t="n"/>
      <c r="E293" s="23" t="n"/>
      <c r="F293" s="15" t="n"/>
      <c r="G293" s="23" t="n"/>
      <c r="H293" s="25" t="n"/>
      <c r="I293" s="15" t="n"/>
      <c r="J293" s="26">
        <f>IF($A293="","",LEN($C293)-LEN(SUBSTITUTE($C293,",",""))+1)</f>
        <v/>
      </c>
      <c r="K293" s="26">
        <f>IF($A293="","",SUMPRODUCT(--ISNUMBER(SEARCH('Category Dictionary'!$D$5:$D$135&amp;"",$C293)),--('Category Dictionary'!$D$5:$D$135&lt;&gt;"")))</f>
        <v/>
      </c>
      <c r="L293" s="27">
        <f>IF($A293="","",TRIM(IF(ISERROR(FIND(",",$C293)),$C293,LEFT($C293,FIND(",",$C293)-1))))</f>
        <v/>
      </c>
      <c r="M293" s="28">
        <f>IF($H293="","",DATE(YEAR($H293),MONTH($H293),1))</f>
        <v/>
      </c>
      <c r="N293" s="26">
        <f>IF($H293="","",TODAY()-$H293)</f>
        <v/>
      </c>
      <c r="O293" s="15" t="n"/>
      <c r="P293" s="26">
        <f>IF($A293="","",COUNTIFS('Audit Versions'!$A$6:$A$605,$A293,'Audit Versions'!$L$6:$L$605,"Active"))</f>
        <v/>
      </c>
      <c r="Q293" s="15" t="n"/>
      <c r="R293" s="26">
        <f>IF(OR($A293="",$P293=0),"",MOD(N($Q293),$P293)+1)</f>
        <v/>
      </c>
      <c r="S293" s="15" t="n"/>
      <c r="T293" s="25" t="n"/>
      <c r="U293" s="26">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Builder'!$B$12="",N($S293)&lt;='Assignment Builder'!$B$12)))</f>
        <v/>
      </c>
      <c r="V293" s="23" t="n"/>
    </row>
    <row r="294">
      <c r="A294" s="23" t="n"/>
      <c r="B294" s="23" t="n"/>
      <c r="C294" s="24" t="n"/>
      <c r="D294" s="15" t="n"/>
      <c r="E294" s="23" t="n"/>
      <c r="F294" s="15" t="n"/>
      <c r="G294" s="23" t="n"/>
      <c r="H294" s="25" t="n"/>
      <c r="I294" s="15" t="n"/>
      <c r="J294" s="26">
        <f>IF($A294="","",LEN($C294)-LEN(SUBSTITUTE($C294,",",""))+1)</f>
        <v/>
      </c>
      <c r="K294" s="26">
        <f>IF($A294="","",SUMPRODUCT(--ISNUMBER(SEARCH('Category Dictionary'!$D$5:$D$135&amp;"",$C294)),--('Category Dictionary'!$D$5:$D$135&lt;&gt;"")))</f>
        <v/>
      </c>
      <c r="L294" s="27">
        <f>IF($A294="","",TRIM(IF(ISERROR(FIND(",",$C294)),$C294,LEFT($C294,FIND(",",$C294)-1))))</f>
        <v/>
      </c>
      <c r="M294" s="28">
        <f>IF($H294="","",DATE(YEAR($H294),MONTH($H294),1))</f>
        <v/>
      </c>
      <c r="N294" s="26">
        <f>IF($H294="","",TODAY()-$H294)</f>
        <v/>
      </c>
      <c r="O294" s="15" t="n"/>
      <c r="P294" s="26">
        <f>IF($A294="","",COUNTIFS('Audit Versions'!$A$6:$A$605,$A294,'Audit Versions'!$L$6:$L$605,"Active"))</f>
        <v/>
      </c>
      <c r="Q294" s="15" t="n"/>
      <c r="R294" s="26">
        <f>IF(OR($A294="",$P294=0),"",MOD(N($Q294),$P294)+1)</f>
        <v/>
      </c>
      <c r="S294" s="15" t="n"/>
      <c r="T294" s="25" t="n"/>
      <c r="U294" s="26">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Builder'!$B$12="",N($S294)&lt;='Assignment Builder'!$B$12)))</f>
        <v/>
      </c>
      <c r="V294" s="23" t="n"/>
    </row>
    <row r="295">
      <c r="A295" s="23" t="n"/>
      <c r="B295" s="23" t="n"/>
      <c r="C295" s="24" t="n"/>
      <c r="D295" s="15" t="n"/>
      <c r="E295" s="23" t="n"/>
      <c r="F295" s="15" t="n"/>
      <c r="G295" s="23" t="n"/>
      <c r="H295" s="25" t="n"/>
      <c r="I295" s="15" t="n"/>
      <c r="J295" s="26">
        <f>IF($A295="","",LEN($C295)-LEN(SUBSTITUTE($C295,",",""))+1)</f>
        <v/>
      </c>
      <c r="K295" s="26">
        <f>IF($A295="","",SUMPRODUCT(--ISNUMBER(SEARCH('Category Dictionary'!$D$5:$D$135&amp;"",$C295)),--('Category Dictionary'!$D$5:$D$135&lt;&gt;"")))</f>
        <v/>
      </c>
      <c r="L295" s="27">
        <f>IF($A295="","",TRIM(IF(ISERROR(FIND(",",$C295)),$C295,LEFT($C295,FIND(",",$C295)-1))))</f>
        <v/>
      </c>
      <c r="M295" s="28">
        <f>IF($H295="","",DATE(YEAR($H295),MONTH($H295),1))</f>
        <v/>
      </c>
      <c r="N295" s="26">
        <f>IF($H295="","",TODAY()-$H295)</f>
        <v/>
      </c>
      <c r="O295" s="15" t="n"/>
      <c r="P295" s="26">
        <f>IF($A295="","",COUNTIFS('Audit Versions'!$A$6:$A$605,$A295,'Audit Versions'!$L$6:$L$605,"Active"))</f>
        <v/>
      </c>
      <c r="Q295" s="15" t="n"/>
      <c r="R295" s="26">
        <f>IF(OR($A295="",$P295=0),"",MOD(N($Q295),$P295)+1)</f>
        <v/>
      </c>
      <c r="S295" s="15" t="n"/>
      <c r="T295" s="25" t="n"/>
      <c r="U295" s="26">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Builder'!$B$12="",N($S295)&lt;='Assignment Builder'!$B$12)))</f>
        <v/>
      </c>
      <c r="V295" s="23" t="n"/>
    </row>
    <row r="296">
      <c r="A296" s="23" t="n"/>
      <c r="B296" s="23" t="n"/>
      <c r="C296" s="24" t="n"/>
      <c r="D296" s="15" t="n"/>
      <c r="E296" s="23" t="n"/>
      <c r="F296" s="15" t="n"/>
      <c r="G296" s="23" t="n"/>
      <c r="H296" s="25" t="n"/>
      <c r="I296" s="15" t="n"/>
      <c r="J296" s="26">
        <f>IF($A296="","",LEN($C296)-LEN(SUBSTITUTE($C296,",",""))+1)</f>
        <v/>
      </c>
      <c r="K296" s="26">
        <f>IF($A296="","",SUMPRODUCT(--ISNUMBER(SEARCH('Category Dictionary'!$D$5:$D$135&amp;"",$C296)),--('Category Dictionary'!$D$5:$D$135&lt;&gt;"")))</f>
        <v/>
      </c>
      <c r="L296" s="27">
        <f>IF($A296="","",TRIM(IF(ISERROR(FIND(",",$C296)),$C296,LEFT($C296,FIND(",",$C296)-1))))</f>
        <v/>
      </c>
      <c r="M296" s="28">
        <f>IF($H296="","",DATE(YEAR($H296),MONTH($H296),1))</f>
        <v/>
      </c>
      <c r="N296" s="26">
        <f>IF($H296="","",TODAY()-$H296)</f>
        <v/>
      </c>
      <c r="O296" s="15" t="n"/>
      <c r="P296" s="26">
        <f>IF($A296="","",COUNTIFS('Audit Versions'!$A$6:$A$605,$A296,'Audit Versions'!$L$6:$L$605,"Active"))</f>
        <v/>
      </c>
      <c r="Q296" s="15" t="n"/>
      <c r="R296" s="26">
        <f>IF(OR($A296="",$P296=0),"",MOD(N($Q296),$P296)+1)</f>
        <v/>
      </c>
      <c r="S296" s="15" t="n"/>
      <c r="T296" s="25" t="n"/>
      <c r="U296" s="26">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Builder'!$B$12="",N($S296)&lt;='Assignment Builder'!$B$12)))</f>
        <v/>
      </c>
      <c r="V296" s="23" t="n"/>
    </row>
    <row r="297">
      <c r="A297" s="23" t="n"/>
      <c r="B297" s="23" t="n"/>
      <c r="C297" s="24" t="n"/>
      <c r="D297" s="15" t="n"/>
      <c r="E297" s="23" t="n"/>
      <c r="F297" s="15" t="n"/>
      <c r="G297" s="23" t="n"/>
      <c r="H297" s="25" t="n"/>
      <c r="I297" s="15" t="n"/>
      <c r="J297" s="26">
        <f>IF($A297="","",LEN($C297)-LEN(SUBSTITUTE($C297,",",""))+1)</f>
        <v/>
      </c>
      <c r="K297" s="26">
        <f>IF($A297="","",SUMPRODUCT(--ISNUMBER(SEARCH('Category Dictionary'!$D$5:$D$135&amp;"",$C297)),--('Category Dictionary'!$D$5:$D$135&lt;&gt;"")))</f>
        <v/>
      </c>
      <c r="L297" s="27">
        <f>IF($A297="","",TRIM(IF(ISERROR(FIND(",",$C297)),$C297,LEFT($C297,FIND(",",$C297)-1))))</f>
        <v/>
      </c>
      <c r="M297" s="28">
        <f>IF($H297="","",DATE(YEAR($H297),MONTH($H297),1))</f>
        <v/>
      </c>
      <c r="N297" s="26">
        <f>IF($H297="","",TODAY()-$H297)</f>
        <v/>
      </c>
      <c r="O297" s="15" t="n"/>
      <c r="P297" s="26">
        <f>IF($A297="","",COUNTIFS('Audit Versions'!$A$6:$A$605,$A297,'Audit Versions'!$L$6:$L$605,"Active"))</f>
        <v/>
      </c>
      <c r="Q297" s="15" t="n"/>
      <c r="R297" s="26">
        <f>IF(OR($A297="",$P297=0),"",MOD(N($Q297),$P297)+1)</f>
        <v/>
      </c>
      <c r="S297" s="15" t="n"/>
      <c r="T297" s="25" t="n"/>
      <c r="U297" s="26">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Builder'!$B$12="",N($S297)&lt;='Assignment Builder'!$B$12)))</f>
        <v/>
      </c>
      <c r="V297" s="23" t="n"/>
    </row>
    <row r="298">
      <c r="A298" s="23" t="n"/>
      <c r="B298" s="23" t="n"/>
      <c r="C298" s="24" t="n"/>
      <c r="D298" s="15" t="n"/>
      <c r="E298" s="23" t="n"/>
      <c r="F298" s="15" t="n"/>
      <c r="G298" s="23" t="n"/>
      <c r="H298" s="25" t="n"/>
      <c r="I298" s="15" t="n"/>
      <c r="J298" s="26">
        <f>IF($A298="","",LEN($C298)-LEN(SUBSTITUTE($C298,",",""))+1)</f>
        <v/>
      </c>
      <c r="K298" s="26">
        <f>IF($A298="","",SUMPRODUCT(--ISNUMBER(SEARCH('Category Dictionary'!$D$5:$D$135&amp;"",$C298)),--('Category Dictionary'!$D$5:$D$135&lt;&gt;"")))</f>
        <v/>
      </c>
      <c r="L298" s="27">
        <f>IF($A298="","",TRIM(IF(ISERROR(FIND(",",$C298)),$C298,LEFT($C298,FIND(",",$C298)-1))))</f>
        <v/>
      </c>
      <c r="M298" s="28">
        <f>IF($H298="","",DATE(YEAR($H298),MONTH($H298),1))</f>
        <v/>
      </c>
      <c r="N298" s="26">
        <f>IF($H298="","",TODAY()-$H298)</f>
        <v/>
      </c>
      <c r="O298" s="15" t="n"/>
      <c r="P298" s="26">
        <f>IF($A298="","",COUNTIFS('Audit Versions'!$A$6:$A$605,$A298,'Audit Versions'!$L$6:$L$605,"Active"))</f>
        <v/>
      </c>
      <c r="Q298" s="15" t="n"/>
      <c r="R298" s="26">
        <f>IF(OR($A298="",$P298=0),"",MOD(N($Q298),$P298)+1)</f>
        <v/>
      </c>
      <c r="S298" s="15" t="n"/>
      <c r="T298" s="25" t="n"/>
      <c r="U298" s="26">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Builder'!$B$12="",N($S298)&lt;='Assignment Builder'!$B$12)))</f>
        <v/>
      </c>
      <c r="V298" s="23" t="n"/>
    </row>
    <row r="299">
      <c r="A299" s="23" t="n"/>
      <c r="B299" s="23" t="n"/>
      <c r="C299" s="24" t="n"/>
      <c r="D299" s="15" t="n"/>
      <c r="E299" s="23" t="n"/>
      <c r="F299" s="15" t="n"/>
      <c r="G299" s="23" t="n"/>
      <c r="H299" s="25" t="n"/>
      <c r="I299" s="15" t="n"/>
      <c r="J299" s="26">
        <f>IF($A299="","",LEN($C299)-LEN(SUBSTITUTE($C299,",",""))+1)</f>
        <v/>
      </c>
      <c r="K299" s="26">
        <f>IF($A299="","",SUMPRODUCT(--ISNUMBER(SEARCH('Category Dictionary'!$D$5:$D$135&amp;"",$C299)),--('Category Dictionary'!$D$5:$D$135&lt;&gt;"")))</f>
        <v/>
      </c>
      <c r="L299" s="27">
        <f>IF($A299="","",TRIM(IF(ISERROR(FIND(",",$C299)),$C299,LEFT($C299,FIND(",",$C299)-1))))</f>
        <v/>
      </c>
      <c r="M299" s="28">
        <f>IF($H299="","",DATE(YEAR($H299),MONTH($H299),1))</f>
        <v/>
      </c>
      <c r="N299" s="26">
        <f>IF($H299="","",TODAY()-$H299)</f>
        <v/>
      </c>
      <c r="O299" s="15" t="n"/>
      <c r="P299" s="26">
        <f>IF($A299="","",COUNTIFS('Audit Versions'!$A$6:$A$605,$A299,'Audit Versions'!$L$6:$L$605,"Active"))</f>
        <v/>
      </c>
      <c r="Q299" s="15" t="n"/>
      <c r="R299" s="26">
        <f>IF(OR($A299="",$P299=0),"",MOD(N($Q299),$P299)+1)</f>
        <v/>
      </c>
      <c r="S299" s="15" t="n"/>
      <c r="T299" s="25" t="n"/>
      <c r="U299" s="26">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Builder'!$B$12="",N($S299)&lt;='Assignment Builder'!$B$12)))</f>
        <v/>
      </c>
      <c r="V299" s="23" t="n"/>
    </row>
    <row r="300">
      <c r="A300" s="23" t="n"/>
      <c r="B300" s="23" t="n"/>
      <c r="C300" s="24" t="n"/>
      <c r="D300" s="15" t="n"/>
      <c r="E300" s="23" t="n"/>
      <c r="F300" s="15" t="n"/>
      <c r="G300" s="23" t="n"/>
      <c r="H300" s="25" t="n"/>
      <c r="I300" s="15" t="n"/>
      <c r="J300" s="26">
        <f>IF($A300="","",LEN($C300)-LEN(SUBSTITUTE($C300,",",""))+1)</f>
        <v/>
      </c>
      <c r="K300" s="26">
        <f>IF($A300="","",SUMPRODUCT(--ISNUMBER(SEARCH('Category Dictionary'!$D$5:$D$135&amp;"",$C300)),--('Category Dictionary'!$D$5:$D$135&lt;&gt;"")))</f>
        <v/>
      </c>
      <c r="L300" s="27">
        <f>IF($A300="","",TRIM(IF(ISERROR(FIND(",",$C300)),$C300,LEFT($C300,FIND(",",$C300)-1))))</f>
        <v/>
      </c>
      <c r="M300" s="28">
        <f>IF($H300="","",DATE(YEAR($H300),MONTH($H300),1))</f>
        <v/>
      </c>
      <c r="N300" s="26">
        <f>IF($H300="","",TODAY()-$H300)</f>
        <v/>
      </c>
      <c r="O300" s="15" t="n"/>
      <c r="P300" s="26">
        <f>IF($A300="","",COUNTIFS('Audit Versions'!$A$6:$A$605,$A300,'Audit Versions'!$L$6:$L$605,"Active"))</f>
        <v/>
      </c>
      <c r="Q300" s="15" t="n"/>
      <c r="R300" s="26">
        <f>IF(OR($A300="",$P300=0),"",MOD(N($Q300),$P300)+1)</f>
        <v/>
      </c>
      <c r="S300" s="15" t="n"/>
      <c r="T300" s="25" t="n"/>
      <c r="U300" s="26">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Builder'!$B$12="",N($S300)&lt;='Assignment Builder'!$B$12)))</f>
        <v/>
      </c>
      <c r="V300" s="23" t="n"/>
    </row>
    <row r="301">
      <c r="A301" s="23" t="n"/>
      <c r="B301" s="23" t="n"/>
      <c r="C301" s="24" t="n"/>
      <c r="D301" s="15" t="n"/>
      <c r="E301" s="23" t="n"/>
      <c r="F301" s="15" t="n"/>
      <c r="G301" s="23" t="n"/>
      <c r="H301" s="25" t="n"/>
      <c r="I301" s="15" t="n"/>
      <c r="J301" s="26">
        <f>IF($A301="","",LEN($C301)-LEN(SUBSTITUTE($C301,",",""))+1)</f>
        <v/>
      </c>
      <c r="K301" s="26">
        <f>IF($A301="","",SUMPRODUCT(--ISNUMBER(SEARCH('Category Dictionary'!$D$5:$D$135&amp;"",$C301)),--('Category Dictionary'!$D$5:$D$135&lt;&gt;"")))</f>
        <v/>
      </c>
      <c r="L301" s="27">
        <f>IF($A301="","",TRIM(IF(ISERROR(FIND(",",$C301)),$C301,LEFT($C301,FIND(",",$C301)-1))))</f>
        <v/>
      </c>
      <c r="M301" s="28">
        <f>IF($H301="","",DATE(YEAR($H301),MONTH($H301),1))</f>
        <v/>
      </c>
      <c r="N301" s="26">
        <f>IF($H301="","",TODAY()-$H301)</f>
        <v/>
      </c>
      <c r="O301" s="15" t="n"/>
      <c r="P301" s="26">
        <f>IF($A301="","",COUNTIFS('Audit Versions'!$A$6:$A$605,$A301,'Audit Versions'!$L$6:$L$605,"Active"))</f>
        <v/>
      </c>
      <c r="Q301" s="15" t="n"/>
      <c r="R301" s="26">
        <f>IF(OR($A301="",$P301=0),"",MOD(N($Q301),$P301)+1)</f>
        <v/>
      </c>
      <c r="S301" s="15" t="n"/>
      <c r="T301" s="25" t="n"/>
      <c r="U301" s="26">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Builder'!$B$12="",N($S301)&lt;='Assignment Builder'!$B$12)))</f>
        <v/>
      </c>
      <c r="V301" s="23" t="n"/>
    </row>
    <row r="302">
      <c r="A302" s="23" t="n"/>
      <c r="B302" s="23" t="n"/>
      <c r="C302" s="24" t="n"/>
      <c r="D302" s="15" t="n"/>
      <c r="E302" s="23" t="n"/>
      <c r="F302" s="15" t="n"/>
      <c r="G302" s="23" t="n"/>
      <c r="H302" s="25" t="n"/>
      <c r="I302" s="15" t="n"/>
      <c r="J302" s="26">
        <f>IF($A302="","",LEN($C302)-LEN(SUBSTITUTE($C302,",",""))+1)</f>
        <v/>
      </c>
      <c r="K302" s="26">
        <f>IF($A302="","",SUMPRODUCT(--ISNUMBER(SEARCH('Category Dictionary'!$D$5:$D$135&amp;"",$C302)),--('Category Dictionary'!$D$5:$D$135&lt;&gt;"")))</f>
        <v/>
      </c>
      <c r="L302" s="27">
        <f>IF($A302="","",TRIM(IF(ISERROR(FIND(",",$C302)),$C302,LEFT($C302,FIND(",",$C302)-1))))</f>
        <v/>
      </c>
      <c r="M302" s="28">
        <f>IF($H302="","",DATE(YEAR($H302),MONTH($H302),1))</f>
        <v/>
      </c>
      <c r="N302" s="26">
        <f>IF($H302="","",TODAY()-$H302)</f>
        <v/>
      </c>
      <c r="O302" s="15" t="n"/>
      <c r="P302" s="26">
        <f>IF($A302="","",COUNTIFS('Audit Versions'!$A$6:$A$605,$A302,'Audit Versions'!$L$6:$L$605,"Active"))</f>
        <v/>
      </c>
      <c r="Q302" s="15" t="n"/>
      <c r="R302" s="26">
        <f>IF(OR($A302="",$P302=0),"",MOD(N($Q302),$P302)+1)</f>
        <v/>
      </c>
      <c r="S302" s="15" t="n"/>
      <c r="T302" s="25" t="n"/>
      <c r="U302" s="26">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Builder'!$B$12="",N($S302)&lt;='Assignment Builder'!$B$12)))</f>
        <v/>
      </c>
      <c r="V302" s="23" t="n"/>
    </row>
    <row r="303">
      <c r="A303" s="23" t="n"/>
      <c r="B303" s="23" t="n"/>
      <c r="C303" s="24" t="n"/>
      <c r="D303" s="15" t="n"/>
      <c r="E303" s="23" t="n"/>
      <c r="F303" s="15" t="n"/>
      <c r="G303" s="23" t="n"/>
      <c r="H303" s="25" t="n"/>
      <c r="I303" s="15" t="n"/>
      <c r="J303" s="26">
        <f>IF($A303="","",LEN($C303)-LEN(SUBSTITUTE($C303,",",""))+1)</f>
        <v/>
      </c>
      <c r="K303" s="26">
        <f>IF($A303="","",SUMPRODUCT(--ISNUMBER(SEARCH('Category Dictionary'!$D$5:$D$135&amp;"",$C303)),--('Category Dictionary'!$D$5:$D$135&lt;&gt;"")))</f>
        <v/>
      </c>
      <c r="L303" s="27">
        <f>IF($A303="","",TRIM(IF(ISERROR(FIND(",",$C303)),$C303,LEFT($C303,FIND(",",$C303)-1))))</f>
        <v/>
      </c>
      <c r="M303" s="28">
        <f>IF($H303="","",DATE(YEAR($H303),MONTH($H303),1))</f>
        <v/>
      </c>
      <c r="N303" s="26">
        <f>IF($H303="","",TODAY()-$H303)</f>
        <v/>
      </c>
      <c r="O303" s="15" t="n"/>
      <c r="P303" s="26">
        <f>IF($A303="","",COUNTIFS('Audit Versions'!$A$6:$A$605,$A303,'Audit Versions'!$L$6:$L$605,"Active"))</f>
        <v/>
      </c>
      <c r="Q303" s="15" t="n"/>
      <c r="R303" s="26">
        <f>IF(OR($A303="",$P303=0),"",MOD(N($Q303),$P303)+1)</f>
        <v/>
      </c>
      <c r="S303" s="15" t="n"/>
      <c r="T303" s="25" t="n"/>
      <c r="U303" s="26">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Builder'!$B$12="",N($S303)&lt;='Assignment Builder'!$B$12)))</f>
        <v/>
      </c>
      <c r="V303" s="23" t="n"/>
    </row>
    <row r="304">
      <c r="A304" s="23" t="n"/>
      <c r="B304" s="23" t="n"/>
      <c r="C304" s="24" t="n"/>
      <c r="D304" s="15" t="n"/>
      <c r="E304" s="23" t="n"/>
      <c r="F304" s="15" t="n"/>
      <c r="G304" s="23" t="n"/>
      <c r="H304" s="25" t="n"/>
      <c r="I304" s="15" t="n"/>
      <c r="J304" s="26">
        <f>IF($A304="","",LEN($C304)-LEN(SUBSTITUTE($C304,",",""))+1)</f>
        <v/>
      </c>
      <c r="K304" s="26">
        <f>IF($A304="","",SUMPRODUCT(--ISNUMBER(SEARCH('Category Dictionary'!$D$5:$D$135&amp;"",$C304)),--('Category Dictionary'!$D$5:$D$135&lt;&gt;"")))</f>
        <v/>
      </c>
      <c r="L304" s="27">
        <f>IF($A304="","",TRIM(IF(ISERROR(FIND(",",$C304)),$C304,LEFT($C304,FIND(",",$C304)-1))))</f>
        <v/>
      </c>
      <c r="M304" s="28">
        <f>IF($H304="","",DATE(YEAR($H304),MONTH($H304),1))</f>
        <v/>
      </c>
      <c r="N304" s="26">
        <f>IF($H304="","",TODAY()-$H304)</f>
        <v/>
      </c>
      <c r="O304" s="15" t="n"/>
      <c r="P304" s="26">
        <f>IF($A304="","",COUNTIFS('Audit Versions'!$A$6:$A$605,$A304,'Audit Versions'!$L$6:$L$605,"Active"))</f>
        <v/>
      </c>
      <c r="Q304" s="15" t="n"/>
      <c r="R304" s="26">
        <f>IF(OR($A304="",$P304=0),"",MOD(N($Q304),$P304)+1)</f>
        <v/>
      </c>
      <c r="S304" s="15" t="n"/>
      <c r="T304" s="25" t="n"/>
      <c r="U304" s="26">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Builder'!$B$12="",N($S304)&lt;='Assignment Builder'!$B$12)))</f>
        <v/>
      </c>
      <c r="V304" s="23" t="n"/>
    </row>
    <row r="305">
      <c r="A305" s="23" t="n"/>
      <c r="B305" s="23" t="n"/>
      <c r="C305" s="24" t="n"/>
      <c r="D305" s="15" t="n"/>
      <c r="E305" s="23" t="n"/>
      <c r="F305" s="15" t="n"/>
      <c r="G305" s="23" t="n"/>
      <c r="H305" s="25" t="n"/>
      <c r="I305" s="15" t="n"/>
      <c r="J305" s="26">
        <f>IF($A305="","",LEN($C305)-LEN(SUBSTITUTE($C305,",",""))+1)</f>
        <v/>
      </c>
      <c r="K305" s="26">
        <f>IF($A305="","",SUMPRODUCT(--ISNUMBER(SEARCH('Category Dictionary'!$D$5:$D$135&amp;"",$C305)),--('Category Dictionary'!$D$5:$D$135&lt;&gt;"")))</f>
        <v/>
      </c>
      <c r="L305" s="27">
        <f>IF($A305="","",TRIM(IF(ISERROR(FIND(",",$C305)),$C305,LEFT($C305,FIND(",",$C305)-1))))</f>
        <v/>
      </c>
      <c r="M305" s="28">
        <f>IF($H305="","",DATE(YEAR($H305),MONTH($H305),1))</f>
        <v/>
      </c>
      <c r="N305" s="26">
        <f>IF($H305="","",TODAY()-$H305)</f>
        <v/>
      </c>
      <c r="O305" s="15" t="n"/>
      <c r="P305" s="26">
        <f>IF($A305="","",COUNTIFS('Audit Versions'!$A$6:$A$605,$A305,'Audit Versions'!$L$6:$L$605,"Active"))</f>
        <v/>
      </c>
      <c r="Q305" s="15" t="n"/>
      <c r="R305" s="26">
        <f>IF(OR($A305="",$P305=0),"",MOD(N($Q305),$P305)+1)</f>
        <v/>
      </c>
      <c r="S305" s="15" t="n"/>
      <c r="T305" s="25" t="n"/>
      <c r="U305" s="26">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Builder'!$B$12="",N($S305)&lt;='Assignment Builder'!$B$12)))</f>
        <v/>
      </c>
      <c r="V305" s="23" t="n"/>
    </row>
    <row r="306">
      <c r="A306" s="23" t="n"/>
      <c r="B306" s="23" t="n"/>
      <c r="C306" s="24" t="n"/>
      <c r="D306" s="15" t="n"/>
      <c r="E306" s="23" t="n"/>
      <c r="F306" s="15" t="n"/>
      <c r="G306" s="23" t="n"/>
      <c r="H306" s="25" t="n"/>
      <c r="I306" s="15" t="n"/>
      <c r="J306" s="26">
        <f>IF($A306="","",LEN($C306)-LEN(SUBSTITUTE($C306,",",""))+1)</f>
        <v/>
      </c>
      <c r="K306" s="26">
        <f>IF($A306="","",SUMPRODUCT(--ISNUMBER(SEARCH('Category Dictionary'!$D$5:$D$135&amp;"",$C306)),--('Category Dictionary'!$D$5:$D$135&lt;&gt;"")))</f>
        <v/>
      </c>
      <c r="L306" s="27">
        <f>IF($A306="","",TRIM(IF(ISERROR(FIND(",",$C306)),$C306,LEFT($C306,FIND(",",$C306)-1))))</f>
        <v/>
      </c>
      <c r="M306" s="28">
        <f>IF($H306="","",DATE(YEAR($H306),MONTH($H306),1))</f>
        <v/>
      </c>
      <c r="N306" s="26">
        <f>IF($H306="","",TODAY()-$H306)</f>
        <v/>
      </c>
      <c r="O306" s="15" t="n"/>
      <c r="P306" s="26">
        <f>IF($A306="","",COUNTIFS('Audit Versions'!$A$6:$A$605,$A306,'Audit Versions'!$L$6:$L$605,"Active"))</f>
        <v/>
      </c>
      <c r="Q306" s="15" t="n"/>
      <c r="R306" s="26">
        <f>IF(OR($A306="",$P306=0),"",MOD(N($Q306),$P306)+1)</f>
        <v/>
      </c>
      <c r="S306" s="15" t="n"/>
      <c r="T306" s="25" t="n"/>
      <c r="U306" s="26">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Builder'!$B$12="",N($S306)&lt;='Assignment Builder'!$B$12)))</f>
        <v/>
      </c>
      <c r="V306" s="23" t="n"/>
    </row>
    <row r="307">
      <c r="A307" s="23" t="n"/>
      <c r="B307" s="23" t="n"/>
      <c r="C307" s="24" t="n"/>
      <c r="D307" s="15" t="n"/>
      <c r="E307" s="23" t="n"/>
      <c r="F307" s="15" t="n"/>
      <c r="G307" s="23" t="n"/>
      <c r="H307" s="25" t="n"/>
      <c r="I307" s="15" t="n"/>
      <c r="J307" s="26">
        <f>IF($A307="","",LEN($C307)-LEN(SUBSTITUTE($C307,",",""))+1)</f>
        <v/>
      </c>
      <c r="K307" s="26">
        <f>IF($A307="","",SUMPRODUCT(--ISNUMBER(SEARCH('Category Dictionary'!$D$5:$D$135&amp;"",$C307)),--('Category Dictionary'!$D$5:$D$135&lt;&gt;"")))</f>
        <v/>
      </c>
      <c r="L307" s="27">
        <f>IF($A307="","",TRIM(IF(ISERROR(FIND(",",$C307)),$C307,LEFT($C307,FIND(",",$C307)-1))))</f>
        <v/>
      </c>
      <c r="M307" s="28">
        <f>IF($H307="","",DATE(YEAR($H307),MONTH($H307),1))</f>
        <v/>
      </c>
      <c r="N307" s="26">
        <f>IF($H307="","",TODAY()-$H307)</f>
        <v/>
      </c>
      <c r="O307" s="15" t="n"/>
      <c r="P307" s="26">
        <f>IF($A307="","",COUNTIFS('Audit Versions'!$A$6:$A$605,$A307,'Audit Versions'!$L$6:$L$605,"Active"))</f>
        <v/>
      </c>
      <c r="Q307" s="15" t="n"/>
      <c r="R307" s="26">
        <f>IF(OR($A307="",$P307=0),"",MOD(N($Q307),$P307)+1)</f>
        <v/>
      </c>
      <c r="S307" s="15" t="n"/>
      <c r="T307" s="25" t="n"/>
      <c r="U307" s="26">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Builder'!$B$12="",N($S307)&lt;='Assignment Builder'!$B$12)))</f>
        <v/>
      </c>
      <c r="V307" s="23" t="n"/>
    </row>
    <row r="308">
      <c r="A308" s="23" t="n"/>
      <c r="B308" s="23" t="n"/>
      <c r="C308" s="24" t="n"/>
      <c r="D308" s="15" t="n"/>
      <c r="E308" s="23" t="n"/>
      <c r="F308" s="15" t="n"/>
      <c r="G308" s="23" t="n"/>
      <c r="H308" s="25" t="n"/>
      <c r="I308" s="15" t="n"/>
      <c r="J308" s="26">
        <f>IF($A308="","",LEN($C308)-LEN(SUBSTITUTE($C308,",",""))+1)</f>
        <v/>
      </c>
      <c r="K308" s="26">
        <f>IF($A308="","",SUMPRODUCT(--ISNUMBER(SEARCH('Category Dictionary'!$D$5:$D$135&amp;"",$C308)),--('Category Dictionary'!$D$5:$D$135&lt;&gt;"")))</f>
        <v/>
      </c>
      <c r="L308" s="27">
        <f>IF($A308="","",TRIM(IF(ISERROR(FIND(",",$C308)),$C308,LEFT($C308,FIND(",",$C308)-1))))</f>
        <v/>
      </c>
      <c r="M308" s="28">
        <f>IF($H308="","",DATE(YEAR($H308),MONTH($H308),1))</f>
        <v/>
      </c>
      <c r="N308" s="26">
        <f>IF($H308="","",TODAY()-$H308)</f>
        <v/>
      </c>
      <c r="O308" s="15" t="n"/>
      <c r="P308" s="26">
        <f>IF($A308="","",COUNTIFS('Audit Versions'!$A$6:$A$605,$A308,'Audit Versions'!$L$6:$L$605,"Active"))</f>
        <v/>
      </c>
      <c r="Q308" s="15" t="n"/>
      <c r="R308" s="26">
        <f>IF(OR($A308="",$P308=0),"",MOD(N($Q308),$P308)+1)</f>
        <v/>
      </c>
      <c r="S308" s="15" t="n"/>
      <c r="T308" s="25" t="n"/>
      <c r="U308" s="26">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Builder'!$B$12="",N($S308)&lt;='Assignment Builder'!$B$12)))</f>
        <v/>
      </c>
      <c r="V308" s="23" t="n"/>
    </row>
    <row r="309">
      <c r="A309" s="23" t="n"/>
      <c r="B309" s="23" t="n"/>
      <c r="C309" s="24" t="n"/>
      <c r="D309" s="15" t="n"/>
      <c r="E309" s="23" t="n"/>
      <c r="F309" s="15" t="n"/>
      <c r="G309" s="23" t="n"/>
      <c r="H309" s="25" t="n"/>
      <c r="I309" s="15" t="n"/>
      <c r="J309" s="26">
        <f>IF($A309="","",LEN($C309)-LEN(SUBSTITUTE($C309,",",""))+1)</f>
        <v/>
      </c>
      <c r="K309" s="26">
        <f>IF($A309="","",SUMPRODUCT(--ISNUMBER(SEARCH('Category Dictionary'!$D$5:$D$135&amp;"",$C309)),--('Category Dictionary'!$D$5:$D$135&lt;&gt;"")))</f>
        <v/>
      </c>
      <c r="L309" s="27">
        <f>IF($A309="","",TRIM(IF(ISERROR(FIND(",",$C309)),$C309,LEFT($C309,FIND(",",$C309)-1))))</f>
        <v/>
      </c>
      <c r="M309" s="28">
        <f>IF($H309="","",DATE(YEAR($H309),MONTH($H309),1))</f>
        <v/>
      </c>
      <c r="N309" s="26">
        <f>IF($H309="","",TODAY()-$H309)</f>
        <v/>
      </c>
      <c r="O309" s="15" t="n"/>
      <c r="P309" s="26">
        <f>IF($A309="","",COUNTIFS('Audit Versions'!$A$6:$A$605,$A309,'Audit Versions'!$L$6:$L$605,"Active"))</f>
        <v/>
      </c>
      <c r="Q309" s="15" t="n"/>
      <c r="R309" s="26">
        <f>IF(OR($A309="",$P309=0),"",MOD(N($Q309),$P309)+1)</f>
        <v/>
      </c>
      <c r="S309" s="15" t="n"/>
      <c r="T309" s="25" t="n"/>
      <c r="U309" s="26">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Builder'!$B$12="",N($S309)&lt;='Assignment Builder'!$B$12)))</f>
        <v/>
      </c>
      <c r="V309" s="23" t="n"/>
    </row>
    <row r="310">
      <c r="A310" s="23" t="n"/>
      <c r="B310" s="23" t="n"/>
      <c r="C310" s="24" t="n"/>
      <c r="D310" s="15" t="n"/>
      <c r="E310" s="23" t="n"/>
      <c r="F310" s="15" t="n"/>
      <c r="G310" s="23" t="n"/>
      <c r="H310" s="25" t="n"/>
      <c r="I310" s="15" t="n"/>
      <c r="J310" s="26">
        <f>IF($A310="","",LEN($C310)-LEN(SUBSTITUTE($C310,",",""))+1)</f>
        <v/>
      </c>
      <c r="K310" s="26">
        <f>IF($A310="","",SUMPRODUCT(--ISNUMBER(SEARCH('Category Dictionary'!$D$5:$D$135&amp;"",$C310)),--('Category Dictionary'!$D$5:$D$135&lt;&gt;"")))</f>
        <v/>
      </c>
      <c r="L310" s="27">
        <f>IF($A310="","",TRIM(IF(ISERROR(FIND(",",$C310)),$C310,LEFT($C310,FIND(",",$C310)-1))))</f>
        <v/>
      </c>
      <c r="M310" s="28">
        <f>IF($H310="","",DATE(YEAR($H310),MONTH($H310),1))</f>
        <v/>
      </c>
      <c r="N310" s="26">
        <f>IF($H310="","",TODAY()-$H310)</f>
        <v/>
      </c>
      <c r="O310" s="15" t="n"/>
      <c r="P310" s="26">
        <f>IF($A310="","",COUNTIFS('Audit Versions'!$A$6:$A$605,$A310,'Audit Versions'!$L$6:$L$605,"Active"))</f>
        <v/>
      </c>
      <c r="Q310" s="15" t="n"/>
      <c r="R310" s="26">
        <f>IF(OR($A310="",$P310=0),"",MOD(N($Q310),$P310)+1)</f>
        <v/>
      </c>
      <c r="S310" s="15" t="n"/>
      <c r="T310" s="25" t="n"/>
      <c r="U310" s="26">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Builder'!$B$12="",N($S310)&lt;='Assignment Builder'!$B$12)))</f>
        <v/>
      </c>
      <c r="V310" s="23" t="n"/>
    </row>
    <row r="311">
      <c r="A311" s="23" t="n"/>
      <c r="B311" s="23" t="n"/>
      <c r="C311" s="24" t="n"/>
      <c r="D311" s="15" t="n"/>
      <c r="E311" s="23" t="n"/>
      <c r="F311" s="15" t="n"/>
      <c r="G311" s="23" t="n"/>
      <c r="H311" s="25" t="n"/>
      <c r="I311" s="15" t="n"/>
      <c r="J311" s="26">
        <f>IF($A311="","",LEN($C311)-LEN(SUBSTITUTE($C311,",",""))+1)</f>
        <v/>
      </c>
      <c r="K311" s="26">
        <f>IF($A311="","",SUMPRODUCT(--ISNUMBER(SEARCH('Category Dictionary'!$D$5:$D$135&amp;"",$C311)),--('Category Dictionary'!$D$5:$D$135&lt;&gt;"")))</f>
        <v/>
      </c>
      <c r="L311" s="27">
        <f>IF($A311="","",TRIM(IF(ISERROR(FIND(",",$C311)),$C311,LEFT($C311,FIND(",",$C311)-1))))</f>
        <v/>
      </c>
      <c r="M311" s="28">
        <f>IF($H311="","",DATE(YEAR($H311),MONTH($H311),1))</f>
        <v/>
      </c>
      <c r="N311" s="26">
        <f>IF($H311="","",TODAY()-$H311)</f>
        <v/>
      </c>
      <c r="O311" s="15" t="n"/>
      <c r="P311" s="26">
        <f>IF($A311="","",COUNTIFS('Audit Versions'!$A$6:$A$605,$A311,'Audit Versions'!$L$6:$L$605,"Active"))</f>
        <v/>
      </c>
      <c r="Q311" s="15" t="n"/>
      <c r="R311" s="26">
        <f>IF(OR($A311="",$P311=0),"",MOD(N($Q311),$P311)+1)</f>
        <v/>
      </c>
      <c r="S311" s="15" t="n"/>
      <c r="T311" s="25" t="n"/>
      <c r="U311" s="26">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Builder'!$B$12="",N($S311)&lt;='Assignment Builder'!$B$12)))</f>
        <v/>
      </c>
      <c r="V311" s="23" t="n"/>
    </row>
    <row r="312">
      <c r="A312" s="23" t="n"/>
      <c r="B312" s="23" t="n"/>
      <c r="C312" s="24" t="n"/>
      <c r="D312" s="15" t="n"/>
      <c r="E312" s="23" t="n"/>
      <c r="F312" s="15" t="n"/>
      <c r="G312" s="23" t="n"/>
      <c r="H312" s="25" t="n"/>
      <c r="I312" s="15" t="n"/>
      <c r="J312" s="26">
        <f>IF($A312="","",LEN($C312)-LEN(SUBSTITUTE($C312,",",""))+1)</f>
        <v/>
      </c>
      <c r="K312" s="26">
        <f>IF($A312="","",SUMPRODUCT(--ISNUMBER(SEARCH('Category Dictionary'!$D$5:$D$135&amp;"",$C312)),--('Category Dictionary'!$D$5:$D$135&lt;&gt;"")))</f>
        <v/>
      </c>
      <c r="L312" s="27">
        <f>IF($A312="","",TRIM(IF(ISERROR(FIND(",",$C312)),$C312,LEFT($C312,FIND(",",$C312)-1))))</f>
        <v/>
      </c>
      <c r="M312" s="28">
        <f>IF($H312="","",DATE(YEAR($H312),MONTH($H312),1))</f>
        <v/>
      </c>
      <c r="N312" s="26">
        <f>IF($H312="","",TODAY()-$H312)</f>
        <v/>
      </c>
      <c r="O312" s="15" t="n"/>
      <c r="P312" s="26">
        <f>IF($A312="","",COUNTIFS('Audit Versions'!$A$6:$A$605,$A312,'Audit Versions'!$L$6:$L$605,"Active"))</f>
        <v/>
      </c>
      <c r="Q312" s="15" t="n"/>
      <c r="R312" s="26">
        <f>IF(OR($A312="",$P312=0),"",MOD(N($Q312),$P312)+1)</f>
        <v/>
      </c>
      <c r="S312" s="15" t="n"/>
      <c r="T312" s="25" t="n"/>
      <c r="U312" s="26">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Builder'!$B$12="",N($S312)&lt;='Assignment Builder'!$B$12)))</f>
        <v/>
      </c>
      <c r="V312" s="23" t="n"/>
    </row>
    <row r="313">
      <c r="A313" s="23" t="n"/>
      <c r="B313" s="23" t="n"/>
      <c r="C313" s="24" t="n"/>
      <c r="D313" s="15" t="n"/>
      <c r="E313" s="23" t="n"/>
      <c r="F313" s="15" t="n"/>
      <c r="G313" s="23" t="n"/>
      <c r="H313" s="25" t="n"/>
      <c r="I313" s="15" t="n"/>
      <c r="J313" s="26">
        <f>IF($A313="","",LEN($C313)-LEN(SUBSTITUTE($C313,",",""))+1)</f>
        <v/>
      </c>
      <c r="K313" s="26">
        <f>IF($A313="","",SUMPRODUCT(--ISNUMBER(SEARCH('Category Dictionary'!$D$5:$D$135&amp;"",$C313)),--('Category Dictionary'!$D$5:$D$135&lt;&gt;"")))</f>
        <v/>
      </c>
      <c r="L313" s="27">
        <f>IF($A313="","",TRIM(IF(ISERROR(FIND(",",$C313)),$C313,LEFT($C313,FIND(",",$C313)-1))))</f>
        <v/>
      </c>
      <c r="M313" s="28">
        <f>IF($H313="","",DATE(YEAR($H313),MONTH($H313),1))</f>
        <v/>
      </c>
      <c r="N313" s="26">
        <f>IF($H313="","",TODAY()-$H313)</f>
        <v/>
      </c>
      <c r="O313" s="15" t="n"/>
      <c r="P313" s="26">
        <f>IF($A313="","",COUNTIFS('Audit Versions'!$A$6:$A$605,$A313,'Audit Versions'!$L$6:$L$605,"Active"))</f>
        <v/>
      </c>
      <c r="Q313" s="15" t="n"/>
      <c r="R313" s="26">
        <f>IF(OR($A313="",$P313=0),"",MOD(N($Q313),$P313)+1)</f>
        <v/>
      </c>
      <c r="S313" s="15" t="n"/>
      <c r="T313" s="25" t="n"/>
      <c r="U313" s="26">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Builder'!$B$12="",N($S313)&lt;='Assignment Builder'!$B$12)))</f>
        <v/>
      </c>
      <c r="V313" s="23" t="n"/>
    </row>
    <row r="314">
      <c r="A314" s="23" t="n"/>
      <c r="B314" s="23" t="n"/>
      <c r="C314" s="24" t="n"/>
      <c r="D314" s="15" t="n"/>
      <c r="E314" s="23" t="n"/>
      <c r="F314" s="15" t="n"/>
      <c r="G314" s="23" t="n"/>
      <c r="H314" s="25" t="n"/>
      <c r="I314" s="15" t="n"/>
      <c r="J314" s="26">
        <f>IF($A314="","",LEN($C314)-LEN(SUBSTITUTE($C314,",",""))+1)</f>
        <v/>
      </c>
      <c r="K314" s="26">
        <f>IF($A314="","",SUMPRODUCT(--ISNUMBER(SEARCH('Category Dictionary'!$D$5:$D$135&amp;"",$C314)),--('Category Dictionary'!$D$5:$D$135&lt;&gt;"")))</f>
        <v/>
      </c>
      <c r="L314" s="27">
        <f>IF($A314="","",TRIM(IF(ISERROR(FIND(",",$C314)),$C314,LEFT($C314,FIND(",",$C314)-1))))</f>
        <v/>
      </c>
      <c r="M314" s="28">
        <f>IF($H314="","",DATE(YEAR($H314),MONTH($H314),1))</f>
        <v/>
      </c>
      <c r="N314" s="26">
        <f>IF($H314="","",TODAY()-$H314)</f>
        <v/>
      </c>
      <c r="O314" s="15" t="n"/>
      <c r="P314" s="26">
        <f>IF($A314="","",COUNTIFS('Audit Versions'!$A$6:$A$605,$A314,'Audit Versions'!$L$6:$L$605,"Active"))</f>
        <v/>
      </c>
      <c r="Q314" s="15" t="n"/>
      <c r="R314" s="26">
        <f>IF(OR($A314="",$P314=0),"",MOD(N($Q314),$P314)+1)</f>
        <v/>
      </c>
      <c r="S314" s="15" t="n"/>
      <c r="T314" s="25" t="n"/>
      <c r="U314" s="26">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Builder'!$B$12="",N($S314)&lt;='Assignment Builder'!$B$12)))</f>
        <v/>
      </c>
      <c r="V314" s="23" t="n"/>
    </row>
    <row r="315">
      <c r="A315" s="23" t="n"/>
      <c r="B315" s="23" t="n"/>
      <c r="C315" s="24" t="n"/>
      <c r="D315" s="15" t="n"/>
      <c r="E315" s="23" t="n"/>
      <c r="F315" s="15" t="n"/>
      <c r="G315" s="23" t="n"/>
      <c r="H315" s="25" t="n"/>
      <c r="I315" s="15" t="n"/>
      <c r="J315" s="26">
        <f>IF($A315="","",LEN($C315)-LEN(SUBSTITUTE($C315,",",""))+1)</f>
        <v/>
      </c>
      <c r="K315" s="26">
        <f>IF($A315="","",SUMPRODUCT(--ISNUMBER(SEARCH('Category Dictionary'!$D$5:$D$135&amp;"",$C315)),--('Category Dictionary'!$D$5:$D$135&lt;&gt;"")))</f>
        <v/>
      </c>
      <c r="L315" s="27">
        <f>IF($A315="","",TRIM(IF(ISERROR(FIND(",",$C315)),$C315,LEFT($C315,FIND(",",$C315)-1))))</f>
        <v/>
      </c>
      <c r="M315" s="28">
        <f>IF($H315="","",DATE(YEAR($H315),MONTH($H315),1))</f>
        <v/>
      </c>
      <c r="N315" s="26">
        <f>IF($H315="","",TODAY()-$H315)</f>
        <v/>
      </c>
      <c r="O315" s="15" t="n"/>
      <c r="P315" s="26">
        <f>IF($A315="","",COUNTIFS('Audit Versions'!$A$6:$A$605,$A315,'Audit Versions'!$L$6:$L$605,"Active"))</f>
        <v/>
      </c>
      <c r="Q315" s="15" t="n"/>
      <c r="R315" s="26">
        <f>IF(OR($A315="",$P315=0),"",MOD(N($Q315),$P315)+1)</f>
        <v/>
      </c>
      <c r="S315" s="15" t="n"/>
      <c r="T315" s="25" t="n"/>
      <c r="U315" s="26">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Builder'!$B$12="",N($S315)&lt;='Assignment Builder'!$B$12)))</f>
        <v/>
      </c>
      <c r="V315" s="23" t="n"/>
    </row>
    <row r="316">
      <c r="A316" s="23" t="n"/>
      <c r="B316" s="23" t="n"/>
      <c r="C316" s="24" t="n"/>
      <c r="D316" s="15" t="n"/>
      <c r="E316" s="23" t="n"/>
      <c r="F316" s="15" t="n"/>
      <c r="G316" s="23" t="n"/>
      <c r="H316" s="25" t="n"/>
      <c r="I316" s="15" t="n"/>
      <c r="J316" s="26">
        <f>IF($A316="","",LEN($C316)-LEN(SUBSTITUTE($C316,",",""))+1)</f>
        <v/>
      </c>
      <c r="K316" s="26">
        <f>IF($A316="","",SUMPRODUCT(--ISNUMBER(SEARCH('Category Dictionary'!$D$5:$D$135&amp;"",$C316)),--('Category Dictionary'!$D$5:$D$135&lt;&gt;"")))</f>
        <v/>
      </c>
      <c r="L316" s="27">
        <f>IF($A316="","",TRIM(IF(ISERROR(FIND(",",$C316)),$C316,LEFT($C316,FIND(",",$C316)-1))))</f>
        <v/>
      </c>
      <c r="M316" s="28">
        <f>IF($H316="","",DATE(YEAR($H316),MONTH($H316),1))</f>
        <v/>
      </c>
      <c r="N316" s="26">
        <f>IF($H316="","",TODAY()-$H316)</f>
        <v/>
      </c>
      <c r="O316" s="15" t="n"/>
      <c r="P316" s="26">
        <f>IF($A316="","",COUNTIFS('Audit Versions'!$A$6:$A$605,$A316,'Audit Versions'!$L$6:$L$605,"Active"))</f>
        <v/>
      </c>
      <c r="Q316" s="15" t="n"/>
      <c r="R316" s="26">
        <f>IF(OR($A316="",$P316=0),"",MOD(N($Q316),$P316)+1)</f>
        <v/>
      </c>
      <c r="S316" s="15" t="n"/>
      <c r="T316" s="25" t="n"/>
      <c r="U316" s="26">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Builder'!$B$12="",N($S316)&lt;='Assignment Builder'!$B$12)))</f>
        <v/>
      </c>
      <c r="V316" s="23" t="n"/>
    </row>
    <row r="317">
      <c r="A317" s="23" t="n"/>
      <c r="B317" s="23" t="n"/>
      <c r="C317" s="24" t="n"/>
      <c r="D317" s="15" t="n"/>
      <c r="E317" s="23" t="n"/>
      <c r="F317" s="15" t="n"/>
      <c r="G317" s="23" t="n"/>
      <c r="H317" s="25" t="n"/>
      <c r="I317" s="15" t="n"/>
      <c r="J317" s="26">
        <f>IF($A317="","",LEN($C317)-LEN(SUBSTITUTE($C317,",",""))+1)</f>
        <v/>
      </c>
      <c r="K317" s="26">
        <f>IF($A317="","",SUMPRODUCT(--ISNUMBER(SEARCH('Category Dictionary'!$D$5:$D$135&amp;"",$C317)),--('Category Dictionary'!$D$5:$D$135&lt;&gt;"")))</f>
        <v/>
      </c>
      <c r="L317" s="27">
        <f>IF($A317="","",TRIM(IF(ISERROR(FIND(",",$C317)),$C317,LEFT($C317,FIND(",",$C317)-1))))</f>
        <v/>
      </c>
      <c r="M317" s="28">
        <f>IF($H317="","",DATE(YEAR($H317),MONTH($H317),1))</f>
        <v/>
      </c>
      <c r="N317" s="26">
        <f>IF($H317="","",TODAY()-$H317)</f>
        <v/>
      </c>
      <c r="O317" s="15" t="n"/>
      <c r="P317" s="26">
        <f>IF($A317="","",COUNTIFS('Audit Versions'!$A$6:$A$605,$A317,'Audit Versions'!$L$6:$L$605,"Active"))</f>
        <v/>
      </c>
      <c r="Q317" s="15" t="n"/>
      <c r="R317" s="26">
        <f>IF(OR($A317="",$P317=0),"",MOD(N($Q317),$P317)+1)</f>
        <v/>
      </c>
      <c r="S317" s="15" t="n"/>
      <c r="T317" s="25" t="n"/>
      <c r="U317" s="26">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Builder'!$B$12="",N($S317)&lt;='Assignment Builder'!$B$12)))</f>
        <v/>
      </c>
      <c r="V317" s="23" t="n"/>
    </row>
    <row r="318">
      <c r="A318" s="23" t="n"/>
      <c r="B318" s="23" t="n"/>
      <c r="C318" s="24" t="n"/>
      <c r="D318" s="15" t="n"/>
      <c r="E318" s="23" t="n"/>
      <c r="F318" s="15" t="n"/>
      <c r="G318" s="23" t="n"/>
      <c r="H318" s="25" t="n"/>
      <c r="I318" s="15" t="n"/>
      <c r="J318" s="26">
        <f>IF($A318="","",LEN($C318)-LEN(SUBSTITUTE($C318,",",""))+1)</f>
        <v/>
      </c>
      <c r="K318" s="26">
        <f>IF($A318="","",SUMPRODUCT(--ISNUMBER(SEARCH('Category Dictionary'!$D$5:$D$135&amp;"",$C318)),--('Category Dictionary'!$D$5:$D$135&lt;&gt;"")))</f>
        <v/>
      </c>
      <c r="L318" s="27">
        <f>IF($A318="","",TRIM(IF(ISERROR(FIND(",",$C318)),$C318,LEFT($C318,FIND(",",$C318)-1))))</f>
        <v/>
      </c>
      <c r="M318" s="28">
        <f>IF($H318="","",DATE(YEAR($H318),MONTH($H318),1))</f>
        <v/>
      </c>
      <c r="N318" s="26">
        <f>IF($H318="","",TODAY()-$H318)</f>
        <v/>
      </c>
      <c r="O318" s="15" t="n"/>
      <c r="P318" s="26">
        <f>IF($A318="","",COUNTIFS('Audit Versions'!$A$6:$A$605,$A318,'Audit Versions'!$L$6:$L$605,"Active"))</f>
        <v/>
      </c>
      <c r="Q318" s="15" t="n"/>
      <c r="R318" s="26">
        <f>IF(OR($A318="",$P318=0),"",MOD(N($Q318),$P318)+1)</f>
        <v/>
      </c>
      <c r="S318" s="15" t="n"/>
      <c r="T318" s="25" t="n"/>
      <c r="U318" s="26">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Builder'!$B$12="",N($S318)&lt;='Assignment Builder'!$B$12)))</f>
        <v/>
      </c>
      <c r="V318" s="23" t="n"/>
    </row>
    <row r="319">
      <c r="A319" s="23" t="n"/>
      <c r="B319" s="23" t="n"/>
      <c r="C319" s="24" t="n"/>
      <c r="D319" s="15" t="n"/>
      <c r="E319" s="23" t="n"/>
      <c r="F319" s="15" t="n"/>
      <c r="G319" s="23" t="n"/>
      <c r="H319" s="25" t="n"/>
      <c r="I319" s="15" t="n"/>
      <c r="J319" s="26">
        <f>IF($A319="","",LEN($C319)-LEN(SUBSTITUTE($C319,",",""))+1)</f>
        <v/>
      </c>
      <c r="K319" s="26">
        <f>IF($A319="","",SUMPRODUCT(--ISNUMBER(SEARCH('Category Dictionary'!$D$5:$D$135&amp;"",$C319)),--('Category Dictionary'!$D$5:$D$135&lt;&gt;"")))</f>
        <v/>
      </c>
      <c r="L319" s="27">
        <f>IF($A319="","",TRIM(IF(ISERROR(FIND(",",$C319)),$C319,LEFT($C319,FIND(",",$C319)-1))))</f>
        <v/>
      </c>
      <c r="M319" s="28">
        <f>IF($H319="","",DATE(YEAR($H319),MONTH($H319),1))</f>
        <v/>
      </c>
      <c r="N319" s="26">
        <f>IF($H319="","",TODAY()-$H319)</f>
        <v/>
      </c>
      <c r="O319" s="15" t="n"/>
      <c r="P319" s="26">
        <f>IF($A319="","",COUNTIFS('Audit Versions'!$A$6:$A$605,$A319,'Audit Versions'!$L$6:$L$605,"Active"))</f>
        <v/>
      </c>
      <c r="Q319" s="15" t="n"/>
      <c r="R319" s="26">
        <f>IF(OR($A319="",$P319=0),"",MOD(N($Q319),$P319)+1)</f>
        <v/>
      </c>
      <c r="S319" s="15" t="n"/>
      <c r="T319" s="25" t="n"/>
      <c r="U319" s="26">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Builder'!$B$12="",N($S319)&lt;='Assignment Builder'!$B$12)))</f>
        <v/>
      </c>
      <c r="V319" s="23" t="n"/>
    </row>
    <row r="320">
      <c r="A320" s="23" t="n"/>
      <c r="B320" s="23" t="n"/>
      <c r="C320" s="24" t="n"/>
      <c r="D320" s="15" t="n"/>
      <c r="E320" s="23" t="n"/>
      <c r="F320" s="15" t="n"/>
      <c r="G320" s="23" t="n"/>
      <c r="H320" s="25" t="n"/>
      <c r="I320" s="15" t="n"/>
      <c r="J320" s="26">
        <f>IF($A320="","",LEN($C320)-LEN(SUBSTITUTE($C320,",",""))+1)</f>
        <v/>
      </c>
      <c r="K320" s="26">
        <f>IF($A320="","",SUMPRODUCT(--ISNUMBER(SEARCH('Category Dictionary'!$D$5:$D$135&amp;"",$C320)),--('Category Dictionary'!$D$5:$D$135&lt;&gt;"")))</f>
        <v/>
      </c>
      <c r="L320" s="27">
        <f>IF($A320="","",TRIM(IF(ISERROR(FIND(",",$C320)),$C320,LEFT($C320,FIND(",",$C320)-1))))</f>
        <v/>
      </c>
      <c r="M320" s="28">
        <f>IF($H320="","",DATE(YEAR($H320),MONTH($H320),1))</f>
        <v/>
      </c>
      <c r="N320" s="26">
        <f>IF($H320="","",TODAY()-$H320)</f>
        <v/>
      </c>
      <c r="O320" s="15" t="n"/>
      <c r="P320" s="26">
        <f>IF($A320="","",COUNTIFS('Audit Versions'!$A$6:$A$605,$A320,'Audit Versions'!$L$6:$L$605,"Active"))</f>
        <v/>
      </c>
      <c r="Q320" s="15" t="n"/>
      <c r="R320" s="26">
        <f>IF(OR($A320="",$P320=0),"",MOD(N($Q320),$P320)+1)</f>
        <v/>
      </c>
      <c r="S320" s="15" t="n"/>
      <c r="T320" s="25" t="n"/>
      <c r="U320" s="26">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Builder'!$B$12="",N($S320)&lt;='Assignment Builder'!$B$12)))</f>
        <v/>
      </c>
      <c r="V320" s="23" t="n"/>
    </row>
    <row r="321">
      <c r="A321" s="23" t="n"/>
      <c r="B321" s="23" t="n"/>
      <c r="C321" s="24" t="n"/>
      <c r="D321" s="15" t="n"/>
      <c r="E321" s="23" t="n"/>
      <c r="F321" s="15" t="n"/>
      <c r="G321" s="23" t="n"/>
      <c r="H321" s="25" t="n"/>
      <c r="I321" s="15" t="n"/>
      <c r="J321" s="26">
        <f>IF($A321="","",LEN($C321)-LEN(SUBSTITUTE($C321,",",""))+1)</f>
        <v/>
      </c>
      <c r="K321" s="26">
        <f>IF($A321="","",SUMPRODUCT(--ISNUMBER(SEARCH('Category Dictionary'!$D$5:$D$135&amp;"",$C321)),--('Category Dictionary'!$D$5:$D$135&lt;&gt;"")))</f>
        <v/>
      </c>
      <c r="L321" s="27">
        <f>IF($A321="","",TRIM(IF(ISERROR(FIND(",",$C321)),$C321,LEFT($C321,FIND(",",$C321)-1))))</f>
        <v/>
      </c>
      <c r="M321" s="28">
        <f>IF($H321="","",DATE(YEAR($H321),MONTH($H321),1))</f>
        <v/>
      </c>
      <c r="N321" s="26">
        <f>IF($H321="","",TODAY()-$H321)</f>
        <v/>
      </c>
      <c r="O321" s="15" t="n"/>
      <c r="P321" s="26">
        <f>IF($A321="","",COUNTIFS('Audit Versions'!$A$6:$A$605,$A321,'Audit Versions'!$L$6:$L$605,"Active"))</f>
        <v/>
      </c>
      <c r="Q321" s="15" t="n"/>
      <c r="R321" s="26">
        <f>IF(OR($A321="",$P321=0),"",MOD(N($Q321),$P321)+1)</f>
        <v/>
      </c>
      <c r="S321" s="15" t="n"/>
      <c r="T321" s="25" t="n"/>
      <c r="U321" s="26">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Builder'!$B$12="",N($S321)&lt;='Assignment Builder'!$B$12)))</f>
        <v/>
      </c>
      <c r="V321" s="23" t="n"/>
    </row>
    <row r="322">
      <c r="A322" s="23" t="n"/>
      <c r="B322" s="23" t="n"/>
      <c r="C322" s="24" t="n"/>
      <c r="D322" s="15" t="n"/>
      <c r="E322" s="23" t="n"/>
      <c r="F322" s="15" t="n"/>
      <c r="G322" s="23" t="n"/>
      <c r="H322" s="25" t="n"/>
      <c r="I322" s="15" t="n"/>
      <c r="J322" s="26">
        <f>IF($A322="","",LEN($C322)-LEN(SUBSTITUTE($C322,",",""))+1)</f>
        <v/>
      </c>
      <c r="K322" s="26">
        <f>IF($A322="","",SUMPRODUCT(--ISNUMBER(SEARCH('Category Dictionary'!$D$5:$D$135&amp;"",$C322)),--('Category Dictionary'!$D$5:$D$135&lt;&gt;"")))</f>
        <v/>
      </c>
      <c r="L322" s="27">
        <f>IF($A322="","",TRIM(IF(ISERROR(FIND(",",$C322)),$C322,LEFT($C322,FIND(",",$C322)-1))))</f>
        <v/>
      </c>
      <c r="M322" s="28">
        <f>IF($H322="","",DATE(YEAR($H322),MONTH($H322),1))</f>
        <v/>
      </c>
      <c r="N322" s="26">
        <f>IF($H322="","",TODAY()-$H322)</f>
        <v/>
      </c>
      <c r="O322" s="15" t="n"/>
      <c r="P322" s="26">
        <f>IF($A322="","",COUNTIFS('Audit Versions'!$A$6:$A$605,$A322,'Audit Versions'!$L$6:$L$605,"Active"))</f>
        <v/>
      </c>
      <c r="Q322" s="15" t="n"/>
      <c r="R322" s="26">
        <f>IF(OR($A322="",$P322=0),"",MOD(N($Q322),$P322)+1)</f>
        <v/>
      </c>
      <c r="S322" s="15" t="n"/>
      <c r="T322" s="25" t="n"/>
      <c r="U322" s="26">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Builder'!$B$12="",N($S322)&lt;='Assignment Builder'!$B$12)))</f>
        <v/>
      </c>
      <c r="V322" s="23" t="n"/>
    </row>
    <row r="323">
      <c r="A323" s="23" t="n"/>
      <c r="B323" s="23" t="n"/>
      <c r="C323" s="24" t="n"/>
      <c r="D323" s="15" t="n"/>
      <c r="E323" s="23" t="n"/>
      <c r="F323" s="15" t="n"/>
      <c r="G323" s="23" t="n"/>
      <c r="H323" s="25" t="n"/>
      <c r="I323" s="15" t="n"/>
      <c r="J323" s="26">
        <f>IF($A323="","",LEN($C323)-LEN(SUBSTITUTE($C323,",",""))+1)</f>
        <v/>
      </c>
      <c r="K323" s="26">
        <f>IF($A323="","",SUMPRODUCT(--ISNUMBER(SEARCH('Category Dictionary'!$D$5:$D$135&amp;"",$C323)),--('Category Dictionary'!$D$5:$D$135&lt;&gt;"")))</f>
        <v/>
      </c>
      <c r="L323" s="27">
        <f>IF($A323="","",TRIM(IF(ISERROR(FIND(",",$C323)),$C323,LEFT($C323,FIND(",",$C323)-1))))</f>
        <v/>
      </c>
      <c r="M323" s="28">
        <f>IF($H323="","",DATE(YEAR($H323),MONTH($H323),1))</f>
        <v/>
      </c>
      <c r="N323" s="26">
        <f>IF($H323="","",TODAY()-$H323)</f>
        <v/>
      </c>
      <c r="O323" s="15" t="n"/>
      <c r="P323" s="26">
        <f>IF($A323="","",COUNTIFS('Audit Versions'!$A$6:$A$605,$A323,'Audit Versions'!$L$6:$L$605,"Active"))</f>
        <v/>
      </c>
      <c r="Q323" s="15" t="n"/>
      <c r="R323" s="26">
        <f>IF(OR($A323="",$P323=0),"",MOD(N($Q323),$P323)+1)</f>
        <v/>
      </c>
      <c r="S323" s="15" t="n"/>
      <c r="T323" s="25" t="n"/>
      <c r="U323" s="26">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Builder'!$B$12="",N($S323)&lt;='Assignment Builder'!$B$12)))</f>
        <v/>
      </c>
      <c r="V323" s="23" t="n"/>
    </row>
    <row r="324">
      <c r="A324" s="23" t="n"/>
      <c r="B324" s="23" t="n"/>
      <c r="C324" s="24" t="n"/>
      <c r="D324" s="15" t="n"/>
      <c r="E324" s="23" t="n"/>
      <c r="F324" s="15" t="n"/>
      <c r="G324" s="23" t="n"/>
      <c r="H324" s="25" t="n"/>
      <c r="I324" s="15" t="n"/>
      <c r="J324" s="26">
        <f>IF($A324="","",LEN($C324)-LEN(SUBSTITUTE($C324,",",""))+1)</f>
        <v/>
      </c>
      <c r="K324" s="26">
        <f>IF($A324="","",SUMPRODUCT(--ISNUMBER(SEARCH('Category Dictionary'!$D$5:$D$135&amp;"",$C324)),--('Category Dictionary'!$D$5:$D$135&lt;&gt;"")))</f>
        <v/>
      </c>
      <c r="L324" s="27">
        <f>IF($A324="","",TRIM(IF(ISERROR(FIND(",",$C324)),$C324,LEFT($C324,FIND(",",$C324)-1))))</f>
        <v/>
      </c>
      <c r="M324" s="28">
        <f>IF($H324="","",DATE(YEAR($H324),MONTH($H324),1))</f>
        <v/>
      </c>
      <c r="N324" s="26">
        <f>IF($H324="","",TODAY()-$H324)</f>
        <v/>
      </c>
      <c r="O324" s="15" t="n"/>
      <c r="P324" s="26">
        <f>IF($A324="","",COUNTIFS('Audit Versions'!$A$6:$A$605,$A324,'Audit Versions'!$L$6:$L$605,"Active"))</f>
        <v/>
      </c>
      <c r="Q324" s="15" t="n"/>
      <c r="R324" s="26">
        <f>IF(OR($A324="",$P324=0),"",MOD(N($Q324),$P324)+1)</f>
        <v/>
      </c>
      <c r="S324" s="15" t="n"/>
      <c r="T324" s="25" t="n"/>
      <c r="U324" s="26">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Builder'!$B$12="",N($S324)&lt;='Assignment Builder'!$B$12)))</f>
        <v/>
      </c>
      <c r="V324" s="23" t="n"/>
    </row>
    <row r="325">
      <c r="A325" s="23" t="n"/>
      <c r="B325" s="23" t="n"/>
      <c r="C325" s="24" t="n"/>
      <c r="D325" s="15" t="n"/>
      <c r="E325" s="23" t="n"/>
      <c r="F325" s="15" t="n"/>
      <c r="G325" s="23" t="n"/>
      <c r="H325" s="25" t="n"/>
      <c r="I325" s="15" t="n"/>
      <c r="J325" s="26">
        <f>IF($A325="","",LEN($C325)-LEN(SUBSTITUTE($C325,",",""))+1)</f>
        <v/>
      </c>
      <c r="K325" s="26">
        <f>IF($A325="","",SUMPRODUCT(--ISNUMBER(SEARCH('Category Dictionary'!$D$5:$D$135&amp;"",$C325)),--('Category Dictionary'!$D$5:$D$135&lt;&gt;"")))</f>
        <v/>
      </c>
      <c r="L325" s="27">
        <f>IF($A325="","",TRIM(IF(ISERROR(FIND(",",$C325)),$C325,LEFT($C325,FIND(",",$C325)-1))))</f>
        <v/>
      </c>
      <c r="M325" s="28">
        <f>IF($H325="","",DATE(YEAR($H325),MONTH($H325),1))</f>
        <v/>
      </c>
      <c r="N325" s="26">
        <f>IF($H325="","",TODAY()-$H325)</f>
        <v/>
      </c>
      <c r="O325" s="15" t="n"/>
      <c r="P325" s="26">
        <f>IF($A325="","",COUNTIFS('Audit Versions'!$A$6:$A$605,$A325,'Audit Versions'!$L$6:$L$605,"Active"))</f>
        <v/>
      </c>
      <c r="Q325" s="15" t="n"/>
      <c r="R325" s="26">
        <f>IF(OR($A325="",$P325=0),"",MOD(N($Q325),$P325)+1)</f>
        <v/>
      </c>
      <c r="S325" s="15" t="n"/>
      <c r="T325" s="25" t="n"/>
      <c r="U325" s="26">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Builder'!$B$12="",N($S325)&lt;='Assignment Builder'!$B$12)))</f>
        <v/>
      </c>
      <c r="V325" s="23" t="n"/>
    </row>
    <row r="326">
      <c r="A326" s="23" t="n"/>
      <c r="B326" s="23" t="n"/>
      <c r="C326" s="24" t="n"/>
      <c r="D326" s="15" t="n"/>
      <c r="E326" s="23" t="n"/>
      <c r="F326" s="15" t="n"/>
      <c r="G326" s="23" t="n"/>
      <c r="H326" s="25" t="n"/>
      <c r="I326" s="15" t="n"/>
      <c r="J326" s="26">
        <f>IF($A326="","",LEN($C326)-LEN(SUBSTITUTE($C326,",",""))+1)</f>
        <v/>
      </c>
      <c r="K326" s="26">
        <f>IF($A326="","",SUMPRODUCT(--ISNUMBER(SEARCH('Category Dictionary'!$D$5:$D$135&amp;"",$C326)),--('Category Dictionary'!$D$5:$D$135&lt;&gt;"")))</f>
        <v/>
      </c>
      <c r="L326" s="27">
        <f>IF($A326="","",TRIM(IF(ISERROR(FIND(",",$C326)),$C326,LEFT($C326,FIND(",",$C326)-1))))</f>
        <v/>
      </c>
      <c r="M326" s="28">
        <f>IF($H326="","",DATE(YEAR($H326),MONTH($H326),1))</f>
        <v/>
      </c>
      <c r="N326" s="26">
        <f>IF($H326="","",TODAY()-$H326)</f>
        <v/>
      </c>
      <c r="O326" s="15" t="n"/>
      <c r="P326" s="26">
        <f>IF($A326="","",COUNTIFS('Audit Versions'!$A$6:$A$605,$A326,'Audit Versions'!$L$6:$L$605,"Active"))</f>
        <v/>
      </c>
      <c r="Q326" s="15" t="n"/>
      <c r="R326" s="26">
        <f>IF(OR($A326="",$P326=0),"",MOD(N($Q326),$P326)+1)</f>
        <v/>
      </c>
      <c r="S326" s="15" t="n"/>
      <c r="T326" s="25" t="n"/>
      <c r="U326" s="26">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Builder'!$B$12="",N($S326)&lt;='Assignment Builder'!$B$12)))</f>
        <v/>
      </c>
      <c r="V326" s="23" t="n"/>
    </row>
    <row r="327">
      <c r="A327" s="23" t="n"/>
      <c r="B327" s="23" t="n"/>
      <c r="C327" s="24" t="n"/>
      <c r="D327" s="15" t="n"/>
      <c r="E327" s="23" t="n"/>
      <c r="F327" s="15" t="n"/>
      <c r="G327" s="23" t="n"/>
      <c r="H327" s="25" t="n"/>
      <c r="I327" s="15" t="n"/>
      <c r="J327" s="26">
        <f>IF($A327="","",LEN($C327)-LEN(SUBSTITUTE($C327,",",""))+1)</f>
        <v/>
      </c>
      <c r="K327" s="26">
        <f>IF($A327="","",SUMPRODUCT(--ISNUMBER(SEARCH('Category Dictionary'!$D$5:$D$135&amp;"",$C327)),--('Category Dictionary'!$D$5:$D$135&lt;&gt;"")))</f>
        <v/>
      </c>
      <c r="L327" s="27">
        <f>IF($A327="","",TRIM(IF(ISERROR(FIND(",",$C327)),$C327,LEFT($C327,FIND(",",$C327)-1))))</f>
        <v/>
      </c>
      <c r="M327" s="28">
        <f>IF($H327="","",DATE(YEAR($H327),MONTH($H327),1))</f>
        <v/>
      </c>
      <c r="N327" s="26">
        <f>IF($H327="","",TODAY()-$H327)</f>
        <v/>
      </c>
      <c r="O327" s="15" t="n"/>
      <c r="P327" s="26">
        <f>IF($A327="","",COUNTIFS('Audit Versions'!$A$6:$A$605,$A327,'Audit Versions'!$L$6:$L$605,"Active"))</f>
        <v/>
      </c>
      <c r="Q327" s="15" t="n"/>
      <c r="R327" s="26">
        <f>IF(OR($A327="",$P327=0),"",MOD(N($Q327),$P327)+1)</f>
        <v/>
      </c>
      <c r="S327" s="15" t="n"/>
      <c r="T327" s="25" t="n"/>
      <c r="U327" s="26">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Builder'!$B$12="",N($S327)&lt;='Assignment Builder'!$B$12)))</f>
        <v/>
      </c>
      <c r="V327" s="23" t="n"/>
    </row>
    <row r="328">
      <c r="A328" s="23" t="n"/>
      <c r="B328" s="23" t="n"/>
      <c r="C328" s="24" t="n"/>
      <c r="D328" s="15" t="n"/>
      <c r="E328" s="23" t="n"/>
      <c r="F328" s="15" t="n"/>
      <c r="G328" s="23" t="n"/>
      <c r="H328" s="25" t="n"/>
      <c r="I328" s="15" t="n"/>
      <c r="J328" s="26">
        <f>IF($A328="","",LEN($C328)-LEN(SUBSTITUTE($C328,",",""))+1)</f>
        <v/>
      </c>
      <c r="K328" s="26">
        <f>IF($A328="","",SUMPRODUCT(--ISNUMBER(SEARCH('Category Dictionary'!$D$5:$D$135&amp;"",$C328)),--('Category Dictionary'!$D$5:$D$135&lt;&gt;"")))</f>
        <v/>
      </c>
      <c r="L328" s="27">
        <f>IF($A328="","",TRIM(IF(ISERROR(FIND(",",$C328)),$C328,LEFT($C328,FIND(",",$C328)-1))))</f>
        <v/>
      </c>
      <c r="M328" s="28">
        <f>IF($H328="","",DATE(YEAR($H328),MONTH($H328),1))</f>
        <v/>
      </c>
      <c r="N328" s="26">
        <f>IF($H328="","",TODAY()-$H328)</f>
        <v/>
      </c>
      <c r="O328" s="15" t="n"/>
      <c r="P328" s="26">
        <f>IF($A328="","",COUNTIFS('Audit Versions'!$A$6:$A$605,$A328,'Audit Versions'!$L$6:$L$605,"Active"))</f>
        <v/>
      </c>
      <c r="Q328" s="15" t="n"/>
      <c r="R328" s="26">
        <f>IF(OR($A328="",$P328=0),"",MOD(N($Q328),$P328)+1)</f>
        <v/>
      </c>
      <c r="S328" s="15" t="n"/>
      <c r="T328" s="25" t="n"/>
      <c r="U328" s="26">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Builder'!$B$12="",N($S328)&lt;='Assignment Builder'!$B$12)))</f>
        <v/>
      </c>
      <c r="V328" s="23" t="n"/>
    </row>
    <row r="329">
      <c r="A329" s="23" t="n"/>
      <c r="B329" s="23" t="n"/>
      <c r="C329" s="24" t="n"/>
      <c r="D329" s="15" t="n"/>
      <c r="E329" s="23" t="n"/>
      <c r="F329" s="15" t="n"/>
      <c r="G329" s="23" t="n"/>
      <c r="H329" s="25" t="n"/>
      <c r="I329" s="15" t="n"/>
      <c r="J329" s="26">
        <f>IF($A329="","",LEN($C329)-LEN(SUBSTITUTE($C329,",",""))+1)</f>
        <v/>
      </c>
      <c r="K329" s="26">
        <f>IF($A329="","",SUMPRODUCT(--ISNUMBER(SEARCH('Category Dictionary'!$D$5:$D$135&amp;"",$C329)),--('Category Dictionary'!$D$5:$D$135&lt;&gt;"")))</f>
        <v/>
      </c>
      <c r="L329" s="27">
        <f>IF($A329="","",TRIM(IF(ISERROR(FIND(",",$C329)),$C329,LEFT($C329,FIND(",",$C329)-1))))</f>
        <v/>
      </c>
      <c r="M329" s="28">
        <f>IF($H329="","",DATE(YEAR($H329),MONTH($H329),1))</f>
        <v/>
      </c>
      <c r="N329" s="26">
        <f>IF($H329="","",TODAY()-$H329)</f>
        <v/>
      </c>
      <c r="O329" s="15" t="n"/>
      <c r="P329" s="26">
        <f>IF($A329="","",COUNTIFS('Audit Versions'!$A$6:$A$605,$A329,'Audit Versions'!$L$6:$L$605,"Active"))</f>
        <v/>
      </c>
      <c r="Q329" s="15" t="n"/>
      <c r="R329" s="26">
        <f>IF(OR($A329="",$P329=0),"",MOD(N($Q329),$P329)+1)</f>
        <v/>
      </c>
      <c r="S329" s="15" t="n"/>
      <c r="T329" s="25" t="n"/>
      <c r="U329" s="26">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Builder'!$B$12="",N($S329)&lt;='Assignment Builder'!$B$12)))</f>
        <v/>
      </c>
      <c r="V329" s="23" t="n"/>
    </row>
    <row r="330">
      <c r="A330" s="23" t="n"/>
      <c r="B330" s="23" t="n"/>
      <c r="C330" s="24" t="n"/>
      <c r="D330" s="15" t="n"/>
      <c r="E330" s="23" t="n"/>
      <c r="F330" s="15" t="n"/>
      <c r="G330" s="23" t="n"/>
      <c r="H330" s="25" t="n"/>
      <c r="I330" s="15" t="n"/>
      <c r="J330" s="26">
        <f>IF($A330="","",LEN($C330)-LEN(SUBSTITUTE($C330,",",""))+1)</f>
        <v/>
      </c>
      <c r="K330" s="26">
        <f>IF($A330="","",SUMPRODUCT(--ISNUMBER(SEARCH('Category Dictionary'!$D$5:$D$135&amp;"",$C330)),--('Category Dictionary'!$D$5:$D$135&lt;&gt;"")))</f>
        <v/>
      </c>
      <c r="L330" s="27">
        <f>IF($A330="","",TRIM(IF(ISERROR(FIND(",",$C330)),$C330,LEFT($C330,FIND(",",$C330)-1))))</f>
        <v/>
      </c>
      <c r="M330" s="28">
        <f>IF($H330="","",DATE(YEAR($H330),MONTH($H330),1))</f>
        <v/>
      </c>
      <c r="N330" s="26">
        <f>IF($H330="","",TODAY()-$H330)</f>
        <v/>
      </c>
      <c r="O330" s="15" t="n"/>
      <c r="P330" s="26">
        <f>IF($A330="","",COUNTIFS('Audit Versions'!$A$6:$A$605,$A330,'Audit Versions'!$L$6:$L$605,"Active"))</f>
        <v/>
      </c>
      <c r="Q330" s="15" t="n"/>
      <c r="R330" s="26">
        <f>IF(OR($A330="",$P330=0),"",MOD(N($Q330),$P330)+1)</f>
        <v/>
      </c>
      <c r="S330" s="15" t="n"/>
      <c r="T330" s="25" t="n"/>
      <c r="U330" s="26">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Builder'!$B$12="",N($S330)&lt;='Assignment Builder'!$B$12)))</f>
        <v/>
      </c>
      <c r="V330" s="23" t="n"/>
    </row>
    <row r="331">
      <c r="A331" s="23" t="n"/>
      <c r="B331" s="23" t="n"/>
      <c r="C331" s="24" t="n"/>
      <c r="D331" s="15" t="n"/>
      <c r="E331" s="23" t="n"/>
      <c r="F331" s="15" t="n"/>
      <c r="G331" s="23" t="n"/>
      <c r="H331" s="25" t="n"/>
      <c r="I331" s="15" t="n"/>
      <c r="J331" s="26">
        <f>IF($A331="","",LEN($C331)-LEN(SUBSTITUTE($C331,",",""))+1)</f>
        <v/>
      </c>
      <c r="K331" s="26">
        <f>IF($A331="","",SUMPRODUCT(--ISNUMBER(SEARCH('Category Dictionary'!$D$5:$D$135&amp;"",$C331)),--('Category Dictionary'!$D$5:$D$135&lt;&gt;"")))</f>
        <v/>
      </c>
      <c r="L331" s="27">
        <f>IF($A331="","",TRIM(IF(ISERROR(FIND(",",$C331)),$C331,LEFT($C331,FIND(",",$C331)-1))))</f>
        <v/>
      </c>
      <c r="M331" s="28">
        <f>IF($H331="","",DATE(YEAR($H331),MONTH($H331),1))</f>
        <v/>
      </c>
      <c r="N331" s="26">
        <f>IF($H331="","",TODAY()-$H331)</f>
        <v/>
      </c>
      <c r="O331" s="15" t="n"/>
      <c r="P331" s="26">
        <f>IF($A331="","",COUNTIFS('Audit Versions'!$A$6:$A$605,$A331,'Audit Versions'!$L$6:$L$605,"Active"))</f>
        <v/>
      </c>
      <c r="Q331" s="15" t="n"/>
      <c r="R331" s="26">
        <f>IF(OR($A331="",$P331=0),"",MOD(N($Q331),$P331)+1)</f>
        <v/>
      </c>
      <c r="S331" s="15" t="n"/>
      <c r="T331" s="25" t="n"/>
      <c r="U331" s="26">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Builder'!$B$12="",N($S331)&lt;='Assignment Builder'!$B$12)))</f>
        <v/>
      </c>
      <c r="V331" s="23" t="n"/>
    </row>
    <row r="332">
      <c r="A332" s="23" t="n"/>
      <c r="B332" s="23" t="n"/>
      <c r="C332" s="24" t="n"/>
      <c r="D332" s="15" t="n"/>
      <c r="E332" s="23" t="n"/>
      <c r="F332" s="15" t="n"/>
      <c r="G332" s="23" t="n"/>
      <c r="H332" s="25" t="n"/>
      <c r="I332" s="15" t="n"/>
      <c r="J332" s="26">
        <f>IF($A332="","",LEN($C332)-LEN(SUBSTITUTE($C332,",",""))+1)</f>
        <v/>
      </c>
      <c r="K332" s="26">
        <f>IF($A332="","",SUMPRODUCT(--ISNUMBER(SEARCH('Category Dictionary'!$D$5:$D$135&amp;"",$C332)),--('Category Dictionary'!$D$5:$D$135&lt;&gt;"")))</f>
        <v/>
      </c>
      <c r="L332" s="27">
        <f>IF($A332="","",TRIM(IF(ISERROR(FIND(",",$C332)),$C332,LEFT($C332,FIND(",",$C332)-1))))</f>
        <v/>
      </c>
      <c r="M332" s="28">
        <f>IF($H332="","",DATE(YEAR($H332),MONTH($H332),1))</f>
        <v/>
      </c>
      <c r="N332" s="26">
        <f>IF($H332="","",TODAY()-$H332)</f>
        <v/>
      </c>
      <c r="O332" s="15" t="n"/>
      <c r="P332" s="26">
        <f>IF($A332="","",COUNTIFS('Audit Versions'!$A$6:$A$605,$A332,'Audit Versions'!$L$6:$L$605,"Active"))</f>
        <v/>
      </c>
      <c r="Q332" s="15" t="n"/>
      <c r="R332" s="26">
        <f>IF(OR($A332="",$P332=0),"",MOD(N($Q332),$P332)+1)</f>
        <v/>
      </c>
      <c r="S332" s="15" t="n"/>
      <c r="T332" s="25" t="n"/>
      <c r="U332" s="26">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Builder'!$B$12="",N($S332)&lt;='Assignment Builder'!$B$12)))</f>
        <v/>
      </c>
      <c r="V332" s="23" t="n"/>
    </row>
    <row r="333">
      <c r="A333" s="23" t="n"/>
      <c r="B333" s="23" t="n"/>
      <c r="C333" s="24" t="n"/>
      <c r="D333" s="15" t="n"/>
      <c r="E333" s="23" t="n"/>
      <c r="F333" s="15" t="n"/>
      <c r="G333" s="23" t="n"/>
      <c r="H333" s="25" t="n"/>
      <c r="I333" s="15" t="n"/>
      <c r="J333" s="26">
        <f>IF($A333="","",LEN($C333)-LEN(SUBSTITUTE($C333,",",""))+1)</f>
        <v/>
      </c>
      <c r="K333" s="26">
        <f>IF($A333="","",SUMPRODUCT(--ISNUMBER(SEARCH('Category Dictionary'!$D$5:$D$135&amp;"",$C333)),--('Category Dictionary'!$D$5:$D$135&lt;&gt;"")))</f>
        <v/>
      </c>
      <c r="L333" s="27">
        <f>IF($A333="","",TRIM(IF(ISERROR(FIND(",",$C333)),$C333,LEFT($C333,FIND(",",$C333)-1))))</f>
        <v/>
      </c>
      <c r="M333" s="28">
        <f>IF($H333="","",DATE(YEAR($H333),MONTH($H333),1))</f>
        <v/>
      </c>
      <c r="N333" s="26">
        <f>IF($H333="","",TODAY()-$H333)</f>
        <v/>
      </c>
      <c r="O333" s="15" t="n"/>
      <c r="P333" s="26">
        <f>IF($A333="","",COUNTIFS('Audit Versions'!$A$6:$A$605,$A333,'Audit Versions'!$L$6:$L$605,"Active"))</f>
        <v/>
      </c>
      <c r="Q333" s="15" t="n"/>
      <c r="R333" s="26">
        <f>IF(OR($A333="",$P333=0),"",MOD(N($Q333),$P333)+1)</f>
        <v/>
      </c>
      <c r="S333" s="15" t="n"/>
      <c r="T333" s="25" t="n"/>
      <c r="U333" s="26">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Builder'!$B$12="",N($S333)&lt;='Assignment Builder'!$B$12)))</f>
        <v/>
      </c>
      <c r="V333" s="23" t="n"/>
    </row>
    <row r="334">
      <c r="A334" s="23" t="n"/>
      <c r="B334" s="23" t="n"/>
      <c r="C334" s="24" t="n"/>
      <c r="D334" s="15" t="n"/>
      <c r="E334" s="23" t="n"/>
      <c r="F334" s="15" t="n"/>
      <c r="G334" s="23" t="n"/>
      <c r="H334" s="25" t="n"/>
      <c r="I334" s="15" t="n"/>
      <c r="J334" s="26">
        <f>IF($A334="","",LEN($C334)-LEN(SUBSTITUTE($C334,",",""))+1)</f>
        <v/>
      </c>
      <c r="K334" s="26">
        <f>IF($A334="","",SUMPRODUCT(--ISNUMBER(SEARCH('Category Dictionary'!$D$5:$D$135&amp;"",$C334)),--('Category Dictionary'!$D$5:$D$135&lt;&gt;"")))</f>
        <v/>
      </c>
      <c r="L334" s="27">
        <f>IF($A334="","",TRIM(IF(ISERROR(FIND(",",$C334)),$C334,LEFT($C334,FIND(",",$C334)-1))))</f>
        <v/>
      </c>
      <c r="M334" s="28">
        <f>IF($H334="","",DATE(YEAR($H334),MONTH($H334),1))</f>
        <v/>
      </c>
      <c r="N334" s="26">
        <f>IF($H334="","",TODAY()-$H334)</f>
        <v/>
      </c>
      <c r="O334" s="15" t="n"/>
      <c r="P334" s="26">
        <f>IF($A334="","",COUNTIFS('Audit Versions'!$A$6:$A$605,$A334,'Audit Versions'!$L$6:$L$605,"Active"))</f>
        <v/>
      </c>
      <c r="Q334" s="15" t="n"/>
      <c r="R334" s="26">
        <f>IF(OR($A334="",$P334=0),"",MOD(N($Q334),$P334)+1)</f>
        <v/>
      </c>
      <c r="S334" s="15" t="n"/>
      <c r="T334" s="25" t="n"/>
      <c r="U334" s="26">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Builder'!$B$12="",N($S334)&lt;='Assignment Builder'!$B$12)))</f>
        <v/>
      </c>
      <c r="V334" s="23" t="n"/>
    </row>
    <row r="335">
      <c r="A335" s="23" t="n"/>
      <c r="B335" s="23" t="n"/>
      <c r="C335" s="24" t="n"/>
      <c r="D335" s="15" t="n"/>
      <c r="E335" s="23" t="n"/>
      <c r="F335" s="15" t="n"/>
      <c r="G335" s="23" t="n"/>
      <c r="H335" s="25" t="n"/>
      <c r="I335" s="15" t="n"/>
      <c r="J335" s="26">
        <f>IF($A335="","",LEN($C335)-LEN(SUBSTITUTE($C335,",",""))+1)</f>
        <v/>
      </c>
      <c r="K335" s="26">
        <f>IF($A335="","",SUMPRODUCT(--ISNUMBER(SEARCH('Category Dictionary'!$D$5:$D$135&amp;"",$C335)),--('Category Dictionary'!$D$5:$D$135&lt;&gt;"")))</f>
        <v/>
      </c>
      <c r="L335" s="27">
        <f>IF($A335="","",TRIM(IF(ISERROR(FIND(",",$C335)),$C335,LEFT($C335,FIND(",",$C335)-1))))</f>
        <v/>
      </c>
      <c r="M335" s="28">
        <f>IF($H335="","",DATE(YEAR($H335),MONTH($H335),1))</f>
        <v/>
      </c>
      <c r="N335" s="26">
        <f>IF($H335="","",TODAY()-$H335)</f>
        <v/>
      </c>
      <c r="O335" s="15" t="n"/>
      <c r="P335" s="26">
        <f>IF($A335="","",COUNTIFS('Audit Versions'!$A$6:$A$605,$A335,'Audit Versions'!$L$6:$L$605,"Active"))</f>
        <v/>
      </c>
      <c r="Q335" s="15" t="n"/>
      <c r="R335" s="26">
        <f>IF(OR($A335="",$P335=0),"",MOD(N($Q335),$P335)+1)</f>
        <v/>
      </c>
      <c r="S335" s="15" t="n"/>
      <c r="T335" s="25" t="n"/>
      <c r="U335" s="26">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Builder'!$B$12="",N($S335)&lt;='Assignment Builder'!$B$12)))</f>
        <v/>
      </c>
      <c r="V335" s="23" t="n"/>
    </row>
    <row r="336">
      <c r="A336" s="23" t="n"/>
      <c r="B336" s="23" t="n"/>
      <c r="C336" s="24" t="n"/>
      <c r="D336" s="15" t="n"/>
      <c r="E336" s="23" t="n"/>
      <c r="F336" s="15" t="n"/>
      <c r="G336" s="23" t="n"/>
      <c r="H336" s="25" t="n"/>
      <c r="I336" s="15" t="n"/>
      <c r="J336" s="26">
        <f>IF($A336="","",LEN($C336)-LEN(SUBSTITUTE($C336,",",""))+1)</f>
        <v/>
      </c>
      <c r="K336" s="26">
        <f>IF($A336="","",SUMPRODUCT(--ISNUMBER(SEARCH('Category Dictionary'!$D$5:$D$135&amp;"",$C336)),--('Category Dictionary'!$D$5:$D$135&lt;&gt;"")))</f>
        <v/>
      </c>
      <c r="L336" s="27">
        <f>IF($A336="","",TRIM(IF(ISERROR(FIND(",",$C336)),$C336,LEFT($C336,FIND(",",$C336)-1))))</f>
        <v/>
      </c>
      <c r="M336" s="28">
        <f>IF($H336="","",DATE(YEAR($H336),MONTH($H336),1))</f>
        <v/>
      </c>
      <c r="N336" s="26">
        <f>IF($H336="","",TODAY()-$H336)</f>
        <v/>
      </c>
      <c r="O336" s="15" t="n"/>
      <c r="P336" s="26">
        <f>IF($A336="","",COUNTIFS('Audit Versions'!$A$6:$A$605,$A336,'Audit Versions'!$L$6:$L$605,"Active"))</f>
        <v/>
      </c>
      <c r="Q336" s="15" t="n"/>
      <c r="R336" s="26">
        <f>IF(OR($A336="",$P336=0),"",MOD(N($Q336),$P336)+1)</f>
        <v/>
      </c>
      <c r="S336" s="15" t="n"/>
      <c r="T336" s="25" t="n"/>
      <c r="U336" s="26">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Builder'!$B$12="",N($S336)&lt;='Assignment Builder'!$B$12)))</f>
        <v/>
      </c>
      <c r="V336" s="23" t="n"/>
    </row>
    <row r="337">
      <c r="A337" s="23" t="n"/>
      <c r="B337" s="23" t="n"/>
      <c r="C337" s="24" t="n"/>
      <c r="D337" s="15" t="n"/>
      <c r="E337" s="23" t="n"/>
      <c r="F337" s="15" t="n"/>
      <c r="G337" s="23" t="n"/>
      <c r="H337" s="25" t="n"/>
      <c r="I337" s="15" t="n"/>
      <c r="J337" s="26">
        <f>IF($A337="","",LEN($C337)-LEN(SUBSTITUTE($C337,",",""))+1)</f>
        <v/>
      </c>
      <c r="K337" s="26">
        <f>IF($A337="","",SUMPRODUCT(--ISNUMBER(SEARCH('Category Dictionary'!$D$5:$D$135&amp;"",$C337)),--('Category Dictionary'!$D$5:$D$135&lt;&gt;"")))</f>
        <v/>
      </c>
      <c r="L337" s="27">
        <f>IF($A337="","",TRIM(IF(ISERROR(FIND(",",$C337)),$C337,LEFT($C337,FIND(",",$C337)-1))))</f>
        <v/>
      </c>
      <c r="M337" s="28">
        <f>IF($H337="","",DATE(YEAR($H337),MONTH($H337),1))</f>
        <v/>
      </c>
      <c r="N337" s="26">
        <f>IF($H337="","",TODAY()-$H337)</f>
        <v/>
      </c>
      <c r="O337" s="15" t="n"/>
      <c r="P337" s="26">
        <f>IF($A337="","",COUNTIFS('Audit Versions'!$A$6:$A$605,$A337,'Audit Versions'!$L$6:$L$605,"Active"))</f>
        <v/>
      </c>
      <c r="Q337" s="15" t="n"/>
      <c r="R337" s="26">
        <f>IF(OR($A337="",$P337=0),"",MOD(N($Q337),$P337)+1)</f>
        <v/>
      </c>
      <c r="S337" s="15" t="n"/>
      <c r="T337" s="25" t="n"/>
      <c r="U337" s="26">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Builder'!$B$12="",N($S337)&lt;='Assignment Builder'!$B$12)))</f>
        <v/>
      </c>
      <c r="V337" s="23" t="n"/>
    </row>
    <row r="338">
      <c r="A338" s="23" t="n"/>
      <c r="B338" s="23" t="n"/>
      <c r="C338" s="24" t="n"/>
      <c r="D338" s="15" t="n"/>
      <c r="E338" s="23" t="n"/>
      <c r="F338" s="15" t="n"/>
      <c r="G338" s="23" t="n"/>
      <c r="H338" s="25" t="n"/>
      <c r="I338" s="15" t="n"/>
      <c r="J338" s="26">
        <f>IF($A338="","",LEN($C338)-LEN(SUBSTITUTE($C338,",",""))+1)</f>
        <v/>
      </c>
      <c r="K338" s="26">
        <f>IF($A338="","",SUMPRODUCT(--ISNUMBER(SEARCH('Category Dictionary'!$D$5:$D$135&amp;"",$C338)),--('Category Dictionary'!$D$5:$D$135&lt;&gt;"")))</f>
        <v/>
      </c>
      <c r="L338" s="27">
        <f>IF($A338="","",TRIM(IF(ISERROR(FIND(",",$C338)),$C338,LEFT($C338,FIND(",",$C338)-1))))</f>
        <v/>
      </c>
      <c r="M338" s="28">
        <f>IF($H338="","",DATE(YEAR($H338),MONTH($H338),1))</f>
        <v/>
      </c>
      <c r="N338" s="26">
        <f>IF($H338="","",TODAY()-$H338)</f>
        <v/>
      </c>
      <c r="O338" s="15" t="n"/>
      <c r="P338" s="26">
        <f>IF($A338="","",COUNTIFS('Audit Versions'!$A$6:$A$605,$A338,'Audit Versions'!$L$6:$L$605,"Active"))</f>
        <v/>
      </c>
      <c r="Q338" s="15" t="n"/>
      <c r="R338" s="26">
        <f>IF(OR($A338="",$P338=0),"",MOD(N($Q338),$P338)+1)</f>
        <v/>
      </c>
      <c r="S338" s="15" t="n"/>
      <c r="T338" s="25" t="n"/>
      <c r="U338" s="26">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Builder'!$B$12="",N($S338)&lt;='Assignment Builder'!$B$12)))</f>
        <v/>
      </c>
      <c r="V338" s="23" t="n"/>
    </row>
    <row r="339">
      <c r="A339" s="23" t="n"/>
      <c r="B339" s="23" t="n"/>
      <c r="C339" s="24" t="n"/>
      <c r="D339" s="15" t="n"/>
      <c r="E339" s="23" t="n"/>
      <c r="F339" s="15" t="n"/>
      <c r="G339" s="23" t="n"/>
      <c r="H339" s="25" t="n"/>
      <c r="I339" s="15" t="n"/>
      <c r="J339" s="26">
        <f>IF($A339="","",LEN($C339)-LEN(SUBSTITUTE($C339,",",""))+1)</f>
        <v/>
      </c>
      <c r="K339" s="26">
        <f>IF($A339="","",SUMPRODUCT(--ISNUMBER(SEARCH('Category Dictionary'!$D$5:$D$135&amp;"",$C339)),--('Category Dictionary'!$D$5:$D$135&lt;&gt;"")))</f>
        <v/>
      </c>
      <c r="L339" s="27">
        <f>IF($A339="","",TRIM(IF(ISERROR(FIND(",",$C339)),$C339,LEFT($C339,FIND(",",$C339)-1))))</f>
        <v/>
      </c>
      <c r="M339" s="28">
        <f>IF($H339="","",DATE(YEAR($H339),MONTH($H339),1))</f>
        <v/>
      </c>
      <c r="N339" s="26">
        <f>IF($H339="","",TODAY()-$H339)</f>
        <v/>
      </c>
      <c r="O339" s="15" t="n"/>
      <c r="P339" s="26">
        <f>IF($A339="","",COUNTIFS('Audit Versions'!$A$6:$A$605,$A339,'Audit Versions'!$L$6:$L$605,"Active"))</f>
        <v/>
      </c>
      <c r="Q339" s="15" t="n"/>
      <c r="R339" s="26">
        <f>IF(OR($A339="",$P339=0),"",MOD(N($Q339),$P339)+1)</f>
        <v/>
      </c>
      <c r="S339" s="15" t="n"/>
      <c r="T339" s="25" t="n"/>
      <c r="U339" s="26">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Builder'!$B$12="",N($S339)&lt;='Assignment Builder'!$B$12)))</f>
        <v/>
      </c>
      <c r="V339" s="23" t="n"/>
    </row>
    <row r="340">
      <c r="A340" s="23" t="n"/>
      <c r="B340" s="23" t="n"/>
      <c r="C340" s="24" t="n"/>
      <c r="D340" s="15" t="n"/>
      <c r="E340" s="23" t="n"/>
      <c r="F340" s="15" t="n"/>
      <c r="G340" s="23" t="n"/>
      <c r="H340" s="25" t="n"/>
      <c r="I340" s="15" t="n"/>
      <c r="J340" s="26">
        <f>IF($A340="","",LEN($C340)-LEN(SUBSTITUTE($C340,",",""))+1)</f>
        <v/>
      </c>
      <c r="K340" s="26">
        <f>IF($A340="","",SUMPRODUCT(--ISNUMBER(SEARCH('Category Dictionary'!$D$5:$D$135&amp;"",$C340)),--('Category Dictionary'!$D$5:$D$135&lt;&gt;"")))</f>
        <v/>
      </c>
      <c r="L340" s="27">
        <f>IF($A340="","",TRIM(IF(ISERROR(FIND(",",$C340)),$C340,LEFT($C340,FIND(",",$C340)-1))))</f>
        <v/>
      </c>
      <c r="M340" s="28">
        <f>IF($H340="","",DATE(YEAR($H340),MONTH($H340),1))</f>
        <v/>
      </c>
      <c r="N340" s="26">
        <f>IF($H340="","",TODAY()-$H340)</f>
        <v/>
      </c>
      <c r="O340" s="15" t="n"/>
      <c r="P340" s="26">
        <f>IF($A340="","",COUNTIFS('Audit Versions'!$A$6:$A$605,$A340,'Audit Versions'!$L$6:$L$605,"Active"))</f>
        <v/>
      </c>
      <c r="Q340" s="15" t="n"/>
      <c r="R340" s="26">
        <f>IF(OR($A340="",$P340=0),"",MOD(N($Q340),$P340)+1)</f>
        <v/>
      </c>
      <c r="S340" s="15" t="n"/>
      <c r="T340" s="25" t="n"/>
      <c r="U340" s="26">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Builder'!$B$12="",N($S340)&lt;='Assignment Builder'!$B$12)))</f>
        <v/>
      </c>
      <c r="V340" s="23" t="n"/>
    </row>
    <row r="341">
      <c r="A341" s="23" t="n"/>
      <c r="B341" s="23" t="n"/>
      <c r="C341" s="24" t="n"/>
      <c r="D341" s="15" t="n"/>
      <c r="E341" s="23" t="n"/>
      <c r="F341" s="15" t="n"/>
      <c r="G341" s="23" t="n"/>
      <c r="H341" s="25" t="n"/>
      <c r="I341" s="15" t="n"/>
      <c r="J341" s="26">
        <f>IF($A341="","",LEN($C341)-LEN(SUBSTITUTE($C341,",",""))+1)</f>
        <v/>
      </c>
      <c r="K341" s="26">
        <f>IF($A341="","",SUMPRODUCT(--ISNUMBER(SEARCH('Category Dictionary'!$D$5:$D$135&amp;"",$C341)),--('Category Dictionary'!$D$5:$D$135&lt;&gt;"")))</f>
        <v/>
      </c>
      <c r="L341" s="27">
        <f>IF($A341="","",TRIM(IF(ISERROR(FIND(",",$C341)),$C341,LEFT($C341,FIND(",",$C341)-1))))</f>
        <v/>
      </c>
      <c r="M341" s="28">
        <f>IF($H341="","",DATE(YEAR($H341),MONTH($H341),1))</f>
        <v/>
      </c>
      <c r="N341" s="26">
        <f>IF($H341="","",TODAY()-$H341)</f>
        <v/>
      </c>
      <c r="O341" s="15" t="n"/>
      <c r="P341" s="26">
        <f>IF($A341="","",COUNTIFS('Audit Versions'!$A$6:$A$605,$A341,'Audit Versions'!$L$6:$L$605,"Active"))</f>
        <v/>
      </c>
      <c r="Q341" s="15" t="n"/>
      <c r="R341" s="26">
        <f>IF(OR($A341="",$P341=0),"",MOD(N($Q341),$P341)+1)</f>
        <v/>
      </c>
      <c r="S341" s="15" t="n"/>
      <c r="T341" s="25" t="n"/>
      <c r="U341" s="26">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Builder'!$B$12="",N($S341)&lt;='Assignment Builder'!$B$12)))</f>
        <v/>
      </c>
      <c r="V341" s="23" t="n"/>
    </row>
    <row r="342">
      <c r="A342" s="23" t="n"/>
      <c r="B342" s="23" t="n"/>
      <c r="C342" s="24" t="n"/>
      <c r="D342" s="15" t="n"/>
      <c r="E342" s="23" t="n"/>
      <c r="F342" s="15" t="n"/>
      <c r="G342" s="23" t="n"/>
      <c r="H342" s="25" t="n"/>
      <c r="I342" s="15" t="n"/>
      <c r="J342" s="26">
        <f>IF($A342="","",LEN($C342)-LEN(SUBSTITUTE($C342,",",""))+1)</f>
        <v/>
      </c>
      <c r="K342" s="26">
        <f>IF($A342="","",SUMPRODUCT(--ISNUMBER(SEARCH('Category Dictionary'!$D$5:$D$135&amp;"",$C342)),--('Category Dictionary'!$D$5:$D$135&lt;&gt;"")))</f>
        <v/>
      </c>
      <c r="L342" s="27">
        <f>IF($A342="","",TRIM(IF(ISERROR(FIND(",",$C342)),$C342,LEFT($C342,FIND(",",$C342)-1))))</f>
        <v/>
      </c>
      <c r="M342" s="28">
        <f>IF($H342="","",DATE(YEAR($H342),MONTH($H342),1))</f>
        <v/>
      </c>
      <c r="N342" s="26">
        <f>IF($H342="","",TODAY()-$H342)</f>
        <v/>
      </c>
      <c r="O342" s="15" t="n"/>
      <c r="P342" s="26">
        <f>IF($A342="","",COUNTIFS('Audit Versions'!$A$6:$A$605,$A342,'Audit Versions'!$L$6:$L$605,"Active"))</f>
        <v/>
      </c>
      <c r="Q342" s="15" t="n"/>
      <c r="R342" s="26">
        <f>IF(OR($A342="",$P342=0),"",MOD(N($Q342),$P342)+1)</f>
        <v/>
      </c>
      <c r="S342" s="15" t="n"/>
      <c r="T342" s="25" t="n"/>
      <c r="U342" s="26">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Builder'!$B$12="",N($S342)&lt;='Assignment Builder'!$B$12)))</f>
        <v/>
      </c>
      <c r="V342" s="23" t="n"/>
    </row>
    <row r="343">
      <c r="A343" s="23" t="n"/>
      <c r="B343" s="23" t="n"/>
      <c r="C343" s="24" t="n"/>
      <c r="D343" s="15" t="n"/>
      <c r="E343" s="23" t="n"/>
      <c r="F343" s="15" t="n"/>
      <c r="G343" s="23" t="n"/>
      <c r="H343" s="25" t="n"/>
      <c r="I343" s="15" t="n"/>
      <c r="J343" s="26">
        <f>IF($A343="","",LEN($C343)-LEN(SUBSTITUTE($C343,",",""))+1)</f>
        <v/>
      </c>
      <c r="K343" s="26">
        <f>IF($A343="","",SUMPRODUCT(--ISNUMBER(SEARCH('Category Dictionary'!$D$5:$D$135&amp;"",$C343)),--('Category Dictionary'!$D$5:$D$135&lt;&gt;"")))</f>
        <v/>
      </c>
      <c r="L343" s="27">
        <f>IF($A343="","",TRIM(IF(ISERROR(FIND(",",$C343)),$C343,LEFT($C343,FIND(",",$C343)-1))))</f>
        <v/>
      </c>
      <c r="M343" s="28">
        <f>IF($H343="","",DATE(YEAR($H343),MONTH($H343),1))</f>
        <v/>
      </c>
      <c r="N343" s="26">
        <f>IF($H343="","",TODAY()-$H343)</f>
        <v/>
      </c>
      <c r="O343" s="15" t="n"/>
      <c r="P343" s="26">
        <f>IF($A343="","",COUNTIFS('Audit Versions'!$A$6:$A$605,$A343,'Audit Versions'!$L$6:$L$605,"Active"))</f>
        <v/>
      </c>
      <c r="Q343" s="15" t="n"/>
      <c r="R343" s="26">
        <f>IF(OR($A343="",$P343=0),"",MOD(N($Q343),$P343)+1)</f>
        <v/>
      </c>
      <c r="S343" s="15" t="n"/>
      <c r="T343" s="25" t="n"/>
      <c r="U343" s="26">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Builder'!$B$12="",N($S343)&lt;='Assignment Builder'!$B$12)))</f>
        <v/>
      </c>
      <c r="V343" s="23" t="n"/>
    </row>
    <row r="344">
      <c r="A344" s="23" t="n"/>
      <c r="B344" s="23" t="n"/>
      <c r="C344" s="24" t="n"/>
      <c r="D344" s="15" t="n"/>
      <c r="E344" s="23" t="n"/>
      <c r="F344" s="15" t="n"/>
      <c r="G344" s="23" t="n"/>
      <c r="H344" s="25" t="n"/>
      <c r="I344" s="15" t="n"/>
      <c r="J344" s="26">
        <f>IF($A344="","",LEN($C344)-LEN(SUBSTITUTE($C344,",",""))+1)</f>
        <v/>
      </c>
      <c r="K344" s="26">
        <f>IF($A344="","",SUMPRODUCT(--ISNUMBER(SEARCH('Category Dictionary'!$D$5:$D$135&amp;"",$C344)),--('Category Dictionary'!$D$5:$D$135&lt;&gt;"")))</f>
        <v/>
      </c>
      <c r="L344" s="27">
        <f>IF($A344="","",TRIM(IF(ISERROR(FIND(",",$C344)),$C344,LEFT($C344,FIND(",",$C344)-1))))</f>
        <v/>
      </c>
      <c r="M344" s="28">
        <f>IF($H344="","",DATE(YEAR($H344),MONTH($H344),1))</f>
        <v/>
      </c>
      <c r="N344" s="26">
        <f>IF($H344="","",TODAY()-$H344)</f>
        <v/>
      </c>
      <c r="O344" s="15" t="n"/>
      <c r="P344" s="26">
        <f>IF($A344="","",COUNTIFS('Audit Versions'!$A$6:$A$605,$A344,'Audit Versions'!$L$6:$L$605,"Active"))</f>
        <v/>
      </c>
      <c r="Q344" s="15" t="n"/>
      <c r="R344" s="26">
        <f>IF(OR($A344="",$P344=0),"",MOD(N($Q344),$P344)+1)</f>
        <v/>
      </c>
      <c r="S344" s="15" t="n"/>
      <c r="T344" s="25" t="n"/>
      <c r="U344" s="26">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Builder'!$B$12="",N($S344)&lt;='Assignment Builder'!$B$12)))</f>
        <v/>
      </c>
      <c r="V344" s="23" t="n"/>
    </row>
    <row r="345">
      <c r="A345" s="23" t="n"/>
      <c r="B345" s="23" t="n"/>
      <c r="C345" s="24" t="n"/>
      <c r="D345" s="15" t="n"/>
      <c r="E345" s="23" t="n"/>
      <c r="F345" s="15" t="n"/>
      <c r="G345" s="23" t="n"/>
      <c r="H345" s="25" t="n"/>
      <c r="I345" s="15" t="n"/>
      <c r="J345" s="26">
        <f>IF($A345="","",LEN($C345)-LEN(SUBSTITUTE($C345,",",""))+1)</f>
        <v/>
      </c>
      <c r="K345" s="26">
        <f>IF($A345="","",SUMPRODUCT(--ISNUMBER(SEARCH('Category Dictionary'!$D$5:$D$135&amp;"",$C345)),--('Category Dictionary'!$D$5:$D$135&lt;&gt;"")))</f>
        <v/>
      </c>
      <c r="L345" s="27">
        <f>IF($A345="","",TRIM(IF(ISERROR(FIND(",",$C345)),$C345,LEFT($C345,FIND(",",$C345)-1))))</f>
        <v/>
      </c>
      <c r="M345" s="28">
        <f>IF($H345="","",DATE(YEAR($H345),MONTH($H345),1))</f>
        <v/>
      </c>
      <c r="N345" s="26">
        <f>IF($H345="","",TODAY()-$H345)</f>
        <v/>
      </c>
      <c r="O345" s="15" t="n"/>
      <c r="P345" s="26">
        <f>IF($A345="","",COUNTIFS('Audit Versions'!$A$6:$A$605,$A345,'Audit Versions'!$L$6:$L$605,"Active"))</f>
        <v/>
      </c>
      <c r="Q345" s="15" t="n"/>
      <c r="R345" s="26">
        <f>IF(OR($A345="",$P345=0),"",MOD(N($Q345),$P345)+1)</f>
        <v/>
      </c>
      <c r="S345" s="15" t="n"/>
      <c r="T345" s="25" t="n"/>
      <c r="U345" s="26">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Builder'!$B$12="",N($S345)&lt;='Assignment Builder'!$B$12)))</f>
        <v/>
      </c>
      <c r="V345" s="23" t="n"/>
    </row>
    <row r="346">
      <c r="A346" s="23" t="n"/>
      <c r="B346" s="23" t="n"/>
      <c r="C346" s="24" t="n"/>
      <c r="D346" s="15" t="n"/>
      <c r="E346" s="23" t="n"/>
      <c r="F346" s="15" t="n"/>
      <c r="G346" s="23" t="n"/>
      <c r="H346" s="25" t="n"/>
      <c r="I346" s="15" t="n"/>
      <c r="J346" s="26">
        <f>IF($A346="","",LEN($C346)-LEN(SUBSTITUTE($C346,",",""))+1)</f>
        <v/>
      </c>
      <c r="K346" s="26">
        <f>IF($A346="","",SUMPRODUCT(--ISNUMBER(SEARCH('Category Dictionary'!$D$5:$D$135&amp;"",$C346)),--('Category Dictionary'!$D$5:$D$135&lt;&gt;"")))</f>
        <v/>
      </c>
      <c r="L346" s="27">
        <f>IF($A346="","",TRIM(IF(ISERROR(FIND(",",$C346)),$C346,LEFT($C346,FIND(",",$C346)-1))))</f>
        <v/>
      </c>
      <c r="M346" s="28">
        <f>IF($H346="","",DATE(YEAR($H346),MONTH($H346),1))</f>
        <v/>
      </c>
      <c r="N346" s="26">
        <f>IF($H346="","",TODAY()-$H346)</f>
        <v/>
      </c>
      <c r="O346" s="15" t="n"/>
      <c r="P346" s="26">
        <f>IF($A346="","",COUNTIFS('Audit Versions'!$A$6:$A$605,$A346,'Audit Versions'!$L$6:$L$605,"Active"))</f>
        <v/>
      </c>
      <c r="Q346" s="15" t="n"/>
      <c r="R346" s="26">
        <f>IF(OR($A346="",$P346=0),"",MOD(N($Q346),$P346)+1)</f>
        <v/>
      </c>
      <c r="S346" s="15" t="n"/>
      <c r="T346" s="25" t="n"/>
      <c r="U346" s="26">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Builder'!$B$12="",N($S346)&lt;='Assignment Builder'!$B$12)))</f>
        <v/>
      </c>
      <c r="V346" s="23" t="n"/>
    </row>
    <row r="347">
      <c r="A347" s="23" t="n"/>
      <c r="B347" s="23" t="n"/>
      <c r="C347" s="24" t="n"/>
      <c r="D347" s="15" t="n"/>
      <c r="E347" s="23" t="n"/>
      <c r="F347" s="15" t="n"/>
      <c r="G347" s="23" t="n"/>
      <c r="H347" s="25" t="n"/>
      <c r="I347" s="15" t="n"/>
      <c r="J347" s="26">
        <f>IF($A347="","",LEN($C347)-LEN(SUBSTITUTE($C347,",",""))+1)</f>
        <v/>
      </c>
      <c r="K347" s="26">
        <f>IF($A347="","",SUMPRODUCT(--ISNUMBER(SEARCH('Category Dictionary'!$D$5:$D$135&amp;"",$C347)),--('Category Dictionary'!$D$5:$D$135&lt;&gt;"")))</f>
        <v/>
      </c>
      <c r="L347" s="27">
        <f>IF($A347="","",TRIM(IF(ISERROR(FIND(",",$C347)),$C347,LEFT($C347,FIND(",",$C347)-1))))</f>
        <v/>
      </c>
      <c r="M347" s="28">
        <f>IF($H347="","",DATE(YEAR($H347),MONTH($H347),1))</f>
        <v/>
      </c>
      <c r="N347" s="26">
        <f>IF($H347="","",TODAY()-$H347)</f>
        <v/>
      </c>
      <c r="O347" s="15" t="n"/>
      <c r="P347" s="26">
        <f>IF($A347="","",COUNTIFS('Audit Versions'!$A$6:$A$605,$A347,'Audit Versions'!$L$6:$L$605,"Active"))</f>
        <v/>
      </c>
      <c r="Q347" s="15" t="n"/>
      <c r="R347" s="26">
        <f>IF(OR($A347="",$P347=0),"",MOD(N($Q347),$P347)+1)</f>
        <v/>
      </c>
      <c r="S347" s="15" t="n"/>
      <c r="T347" s="25" t="n"/>
      <c r="U347" s="26">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Builder'!$B$12="",N($S347)&lt;='Assignment Builder'!$B$12)))</f>
        <v/>
      </c>
      <c r="V347" s="23" t="n"/>
    </row>
    <row r="348">
      <c r="A348" s="23" t="n"/>
      <c r="B348" s="23" t="n"/>
      <c r="C348" s="24" t="n"/>
      <c r="D348" s="15" t="n"/>
      <c r="E348" s="23" t="n"/>
      <c r="F348" s="15" t="n"/>
      <c r="G348" s="23" t="n"/>
      <c r="H348" s="25" t="n"/>
      <c r="I348" s="15" t="n"/>
      <c r="J348" s="26">
        <f>IF($A348="","",LEN($C348)-LEN(SUBSTITUTE($C348,",",""))+1)</f>
        <v/>
      </c>
      <c r="K348" s="26">
        <f>IF($A348="","",SUMPRODUCT(--ISNUMBER(SEARCH('Category Dictionary'!$D$5:$D$135&amp;"",$C348)),--('Category Dictionary'!$D$5:$D$135&lt;&gt;"")))</f>
        <v/>
      </c>
      <c r="L348" s="27">
        <f>IF($A348="","",TRIM(IF(ISERROR(FIND(",",$C348)),$C348,LEFT($C348,FIND(",",$C348)-1))))</f>
        <v/>
      </c>
      <c r="M348" s="28">
        <f>IF($H348="","",DATE(YEAR($H348),MONTH($H348),1))</f>
        <v/>
      </c>
      <c r="N348" s="26">
        <f>IF($H348="","",TODAY()-$H348)</f>
        <v/>
      </c>
      <c r="O348" s="15" t="n"/>
      <c r="P348" s="26">
        <f>IF($A348="","",COUNTIFS('Audit Versions'!$A$6:$A$605,$A348,'Audit Versions'!$L$6:$L$605,"Active"))</f>
        <v/>
      </c>
      <c r="Q348" s="15" t="n"/>
      <c r="R348" s="26">
        <f>IF(OR($A348="",$P348=0),"",MOD(N($Q348),$P348)+1)</f>
        <v/>
      </c>
      <c r="S348" s="15" t="n"/>
      <c r="T348" s="25" t="n"/>
      <c r="U348" s="26">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Builder'!$B$12="",N($S348)&lt;='Assignment Builder'!$B$12)))</f>
        <v/>
      </c>
      <c r="V348" s="23" t="n"/>
    </row>
    <row r="349">
      <c r="A349" s="23" t="n"/>
      <c r="B349" s="23" t="n"/>
      <c r="C349" s="24" t="n"/>
      <c r="D349" s="15" t="n"/>
      <c r="E349" s="23" t="n"/>
      <c r="F349" s="15" t="n"/>
      <c r="G349" s="23" t="n"/>
      <c r="H349" s="25" t="n"/>
      <c r="I349" s="15" t="n"/>
      <c r="J349" s="26">
        <f>IF($A349="","",LEN($C349)-LEN(SUBSTITUTE($C349,",",""))+1)</f>
        <v/>
      </c>
      <c r="K349" s="26">
        <f>IF($A349="","",SUMPRODUCT(--ISNUMBER(SEARCH('Category Dictionary'!$D$5:$D$135&amp;"",$C349)),--('Category Dictionary'!$D$5:$D$135&lt;&gt;"")))</f>
        <v/>
      </c>
      <c r="L349" s="27">
        <f>IF($A349="","",TRIM(IF(ISERROR(FIND(",",$C349)),$C349,LEFT($C349,FIND(",",$C349)-1))))</f>
        <v/>
      </c>
      <c r="M349" s="28">
        <f>IF($H349="","",DATE(YEAR($H349),MONTH($H349),1))</f>
        <v/>
      </c>
      <c r="N349" s="26">
        <f>IF($H349="","",TODAY()-$H349)</f>
        <v/>
      </c>
      <c r="O349" s="15" t="n"/>
      <c r="P349" s="26">
        <f>IF($A349="","",COUNTIFS('Audit Versions'!$A$6:$A$605,$A349,'Audit Versions'!$L$6:$L$605,"Active"))</f>
        <v/>
      </c>
      <c r="Q349" s="15" t="n"/>
      <c r="R349" s="26">
        <f>IF(OR($A349="",$P349=0),"",MOD(N($Q349),$P349)+1)</f>
        <v/>
      </c>
      <c r="S349" s="15" t="n"/>
      <c r="T349" s="25" t="n"/>
      <c r="U349" s="26">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Builder'!$B$12="",N($S349)&lt;='Assignment Builder'!$B$12)))</f>
        <v/>
      </c>
      <c r="V349" s="23" t="n"/>
    </row>
    <row r="350">
      <c r="A350" s="23" t="n"/>
      <c r="B350" s="23" t="n"/>
      <c r="C350" s="24" t="n"/>
      <c r="D350" s="15" t="n"/>
      <c r="E350" s="23" t="n"/>
      <c r="F350" s="15" t="n"/>
      <c r="G350" s="23" t="n"/>
      <c r="H350" s="25" t="n"/>
      <c r="I350" s="15" t="n"/>
      <c r="J350" s="26">
        <f>IF($A350="","",LEN($C350)-LEN(SUBSTITUTE($C350,",",""))+1)</f>
        <v/>
      </c>
      <c r="K350" s="26">
        <f>IF($A350="","",SUMPRODUCT(--ISNUMBER(SEARCH('Category Dictionary'!$D$5:$D$135&amp;"",$C350)),--('Category Dictionary'!$D$5:$D$135&lt;&gt;"")))</f>
        <v/>
      </c>
      <c r="L350" s="27">
        <f>IF($A350="","",TRIM(IF(ISERROR(FIND(",",$C350)),$C350,LEFT($C350,FIND(",",$C350)-1))))</f>
        <v/>
      </c>
      <c r="M350" s="28">
        <f>IF($H350="","",DATE(YEAR($H350),MONTH($H350),1))</f>
        <v/>
      </c>
      <c r="N350" s="26">
        <f>IF($H350="","",TODAY()-$H350)</f>
        <v/>
      </c>
      <c r="O350" s="15" t="n"/>
      <c r="P350" s="26">
        <f>IF($A350="","",COUNTIFS('Audit Versions'!$A$6:$A$605,$A350,'Audit Versions'!$L$6:$L$605,"Active"))</f>
        <v/>
      </c>
      <c r="Q350" s="15" t="n"/>
      <c r="R350" s="26">
        <f>IF(OR($A350="",$P350=0),"",MOD(N($Q350),$P350)+1)</f>
        <v/>
      </c>
      <c r="S350" s="15" t="n"/>
      <c r="T350" s="25" t="n"/>
      <c r="U350" s="26">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Builder'!$B$12="",N($S350)&lt;='Assignment Builder'!$B$12)))</f>
        <v/>
      </c>
      <c r="V350" s="23" t="n"/>
    </row>
    <row r="351">
      <c r="A351" s="23" t="n"/>
      <c r="B351" s="23" t="n"/>
      <c r="C351" s="24" t="n"/>
      <c r="D351" s="15" t="n"/>
      <c r="E351" s="23" t="n"/>
      <c r="F351" s="15" t="n"/>
      <c r="G351" s="23" t="n"/>
      <c r="H351" s="25" t="n"/>
      <c r="I351" s="15" t="n"/>
      <c r="J351" s="26">
        <f>IF($A351="","",LEN($C351)-LEN(SUBSTITUTE($C351,",",""))+1)</f>
        <v/>
      </c>
      <c r="K351" s="26">
        <f>IF($A351="","",SUMPRODUCT(--ISNUMBER(SEARCH('Category Dictionary'!$D$5:$D$135&amp;"",$C351)),--('Category Dictionary'!$D$5:$D$135&lt;&gt;"")))</f>
        <v/>
      </c>
      <c r="L351" s="27">
        <f>IF($A351="","",TRIM(IF(ISERROR(FIND(",",$C351)),$C351,LEFT($C351,FIND(",",$C351)-1))))</f>
        <v/>
      </c>
      <c r="M351" s="28">
        <f>IF($H351="","",DATE(YEAR($H351),MONTH($H351),1))</f>
        <v/>
      </c>
      <c r="N351" s="26">
        <f>IF($H351="","",TODAY()-$H351)</f>
        <v/>
      </c>
      <c r="O351" s="15" t="n"/>
      <c r="P351" s="26">
        <f>IF($A351="","",COUNTIFS('Audit Versions'!$A$6:$A$605,$A351,'Audit Versions'!$L$6:$L$605,"Active"))</f>
        <v/>
      </c>
      <c r="Q351" s="15" t="n"/>
      <c r="R351" s="26">
        <f>IF(OR($A351="",$P351=0),"",MOD(N($Q351),$P351)+1)</f>
        <v/>
      </c>
      <c r="S351" s="15" t="n"/>
      <c r="T351" s="25" t="n"/>
      <c r="U351" s="26">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Builder'!$B$12="",N($S351)&lt;='Assignment Builder'!$B$12)))</f>
        <v/>
      </c>
      <c r="V351" s="23" t="n"/>
    </row>
    <row r="352">
      <c r="A352" s="23" t="n"/>
      <c r="B352" s="23" t="n"/>
      <c r="C352" s="24" t="n"/>
      <c r="D352" s="15" t="n"/>
      <c r="E352" s="23" t="n"/>
      <c r="F352" s="15" t="n"/>
      <c r="G352" s="23" t="n"/>
      <c r="H352" s="25" t="n"/>
      <c r="I352" s="15" t="n"/>
      <c r="J352" s="26">
        <f>IF($A352="","",LEN($C352)-LEN(SUBSTITUTE($C352,",",""))+1)</f>
        <v/>
      </c>
      <c r="K352" s="26">
        <f>IF($A352="","",SUMPRODUCT(--ISNUMBER(SEARCH('Category Dictionary'!$D$5:$D$135&amp;"",$C352)),--('Category Dictionary'!$D$5:$D$135&lt;&gt;"")))</f>
        <v/>
      </c>
      <c r="L352" s="27">
        <f>IF($A352="","",TRIM(IF(ISERROR(FIND(",",$C352)),$C352,LEFT($C352,FIND(",",$C352)-1))))</f>
        <v/>
      </c>
      <c r="M352" s="28">
        <f>IF($H352="","",DATE(YEAR($H352),MONTH($H352),1))</f>
        <v/>
      </c>
      <c r="N352" s="26">
        <f>IF($H352="","",TODAY()-$H352)</f>
        <v/>
      </c>
      <c r="O352" s="15" t="n"/>
      <c r="P352" s="26">
        <f>IF($A352="","",COUNTIFS('Audit Versions'!$A$6:$A$605,$A352,'Audit Versions'!$L$6:$L$605,"Active"))</f>
        <v/>
      </c>
      <c r="Q352" s="15" t="n"/>
      <c r="R352" s="26">
        <f>IF(OR($A352="",$P352=0),"",MOD(N($Q352),$P352)+1)</f>
        <v/>
      </c>
      <c r="S352" s="15" t="n"/>
      <c r="T352" s="25" t="n"/>
      <c r="U352" s="26">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Builder'!$B$12="",N($S352)&lt;='Assignment Builder'!$B$12)))</f>
        <v/>
      </c>
      <c r="V352" s="23" t="n"/>
    </row>
    <row r="353">
      <c r="A353" s="23" t="n"/>
      <c r="B353" s="23" t="n"/>
      <c r="C353" s="24" t="n"/>
      <c r="D353" s="15" t="n"/>
      <c r="E353" s="23" t="n"/>
      <c r="F353" s="15" t="n"/>
      <c r="G353" s="23" t="n"/>
      <c r="H353" s="25" t="n"/>
      <c r="I353" s="15" t="n"/>
      <c r="J353" s="26">
        <f>IF($A353="","",LEN($C353)-LEN(SUBSTITUTE($C353,",",""))+1)</f>
        <v/>
      </c>
      <c r="K353" s="26">
        <f>IF($A353="","",SUMPRODUCT(--ISNUMBER(SEARCH('Category Dictionary'!$D$5:$D$135&amp;"",$C353)),--('Category Dictionary'!$D$5:$D$135&lt;&gt;"")))</f>
        <v/>
      </c>
      <c r="L353" s="27">
        <f>IF($A353="","",TRIM(IF(ISERROR(FIND(",",$C353)),$C353,LEFT($C353,FIND(",",$C353)-1))))</f>
        <v/>
      </c>
      <c r="M353" s="28">
        <f>IF($H353="","",DATE(YEAR($H353),MONTH($H353),1))</f>
        <v/>
      </c>
      <c r="N353" s="26">
        <f>IF($H353="","",TODAY()-$H353)</f>
        <v/>
      </c>
      <c r="O353" s="15" t="n"/>
      <c r="P353" s="26">
        <f>IF($A353="","",COUNTIFS('Audit Versions'!$A$6:$A$605,$A353,'Audit Versions'!$L$6:$L$605,"Active"))</f>
        <v/>
      </c>
      <c r="Q353" s="15" t="n"/>
      <c r="R353" s="26">
        <f>IF(OR($A353="",$P353=0),"",MOD(N($Q353),$P353)+1)</f>
        <v/>
      </c>
      <c r="S353" s="15" t="n"/>
      <c r="T353" s="25" t="n"/>
      <c r="U353" s="26">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Builder'!$B$12="",N($S353)&lt;='Assignment Builder'!$B$12)))</f>
        <v/>
      </c>
      <c r="V353" s="23" t="n"/>
    </row>
    <row r="354">
      <c r="A354" s="23" t="n"/>
      <c r="B354" s="23" t="n"/>
      <c r="C354" s="24" t="n"/>
      <c r="D354" s="15" t="n"/>
      <c r="E354" s="23" t="n"/>
      <c r="F354" s="15" t="n"/>
      <c r="G354" s="23" t="n"/>
      <c r="H354" s="25" t="n"/>
      <c r="I354" s="15" t="n"/>
      <c r="J354" s="26">
        <f>IF($A354="","",LEN($C354)-LEN(SUBSTITUTE($C354,",",""))+1)</f>
        <v/>
      </c>
      <c r="K354" s="26">
        <f>IF($A354="","",SUMPRODUCT(--ISNUMBER(SEARCH('Category Dictionary'!$D$5:$D$135&amp;"",$C354)),--('Category Dictionary'!$D$5:$D$135&lt;&gt;"")))</f>
        <v/>
      </c>
      <c r="L354" s="27">
        <f>IF($A354="","",TRIM(IF(ISERROR(FIND(",",$C354)),$C354,LEFT($C354,FIND(",",$C354)-1))))</f>
        <v/>
      </c>
      <c r="M354" s="28">
        <f>IF($H354="","",DATE(YEAR($H354),MONTH($H354),1))</f>
        <v/>
      </c>
      <c r="N354" s="26">
        <f>IF($H354="","",TODAY()-$H354)</f>
        <v/>
      </c>
      <c r="O354" s="15" t="n"/>
      <c r="P354" s="26">
        <f>IF($A354="","",COUNTIFS('Audit Versions'!$A$6:$A$605,$A354,'Audit Versions'!$L$6:$L$605,"Active"))</f>
        <v/>
      </c>
      <c r="Q354" s="15" t="n"/>
      <c r="R354" s="26">
        <f>IF(OR($A354="",$P354=0),"",MOD(N($Q354),$P354)+1)</f>
        <v/>
      </c>
      <c r="S354" s="15" t="n"/>
      <c r="T354" s="25" t="n"/>
      <c r="U354" s="26">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Builder'!$B$12="",N($S354)&lt;='Assignment Builder'!$B$12)))</f>
        <v/>
      </c>
      <c r="V354" s="23" t="n"/>
    </row>
    <row r="355">
      <c r="A355" s="23" t="n"/>
      <c r="B355" s="23" t="n"/>
      <c r="C355" s="24" t="n"/>
      <c r="D355" s="15" t="n"/>
      <c r="E355" s="23" t="n"/>
      <c r="F355" s="15" t="n"/>
      <c r="G355" s="23" t="n"/>
      <c r="H355" s="25" t="n"/>
      <c r="I355" s="15" t="n"/>
      <c r="J355" s="26">
        <f>IF($A355="","",LEN($C355)-LEN(SUBSTITUTE($C355,",",""))+1)</f>
        <v/>
      </c>
      <c r="K355" s="26">
        <f>IF($A355="","",SUMPRODUCT(--ISNUMBER(SEARCH('Category Dictionary'!$D$5:$D$135&amp;"",$C355)),--('Category Dictionary'!$D$5:$D$135&lt;&gt;"")))</f>
        <v/>
      </c>
      <c r="L355" s="27">
        <f>IF($A355="","",TRIM(IF(ISERROR(FIND(",",$C355)),$C355,LEFT($C355,FIND(",",$C355)-1))))</f>
        <v/>
      </c>
      <c r="M355" s="28">
        <f>IF($H355="","",DATE(YEAR($H355),MONTH($H355),1))</f>
        <v/>
      </c>
      <c r="N355" s="26">
        <f>IF($H355="","",TODAY()-$H355)</f>
        <v/>
      </c>
      <c r="O355" s="15" t="n"/>
      <c r="P355" s="26">
        <f>IF($A355="","",COUNTIFS('Audit Versions'!$A$6:$A$605,$A355,'Audit Versions'!$L$6:$L$605,"Active"))</f>
        <v/>
      </c>
      <c r="Q355" s="15" t="n"/>
      <c r="R355" s="26">
        <f>IF(OR($A355="",$P355=0),"",MOD(N($Q355),$P355)+1)</f>
        <v/>
      </c>
      <c r="S355" s="15" t="n"/>
      <c r="T355" s="25" t="n"/>
      <c r="U355" s="26">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Builder'!$B$12="",N($S355)&lt;='Assignment Builder'!$B$12)))</f>
        <v/>
      </c>
      <c r="V355" s="23" t="n"/>
    </row>
    <row r="356">
      <c r="A356" s="23" t="n"/>
      <c r="B356" s="23" t="n"/>
      <c r="C356" s="24" t="n"/>
      <c r="D356" s="15" t="n"/>
      <c r="E356" s="23" t="n"/>
      <c r="F356" s="15" t="n"/>
      <c r="G356" s="23" t="n"/>
      <c r="H356" s="25" t="n"/>
      <c r="I356" s="15" t="n"/>
      <c r="J356" s="26">
        <f>IF($A356="","",LEN($C356)-LEN(SUBSTITUTE($C356,",",""))+1)</f>
        <v/>
      </c>
      <c r="K356" s="26">
        <f>IF($A356="","",SUMPRODUCT(--ISNUMBER(SEARCH('Category Dictionary'!$D$5:$D$135&amp;"",$C356)),--('Category Dictionary'!$D$5:$D$135&lt;&gt;"")))</f>
        <v/>
      </c>
      <c r="L356" s="27">
        <f>IF($A356="","",TRIM(IF(ISERROR(FIND(",",$C356)),$C356,LEFT($C356,FIND(",",$C356)-1))))</f>
        <v/>
      </c>
      <c r="M356" s="28">
        <f>IF($H356="","",DATE(YEAR($H356),MONTH($H356),1))</f>
        <v/>
      </c>
      <c r="N356" s="26">
        <f>IF($H356="","",TODAY()-$H356)</f>
        <v/>
      </c>
      <c r="O356" s="15" t="n"/>
      <c r="P356" s="26">
        <f>IF($A356="","",COUNTIFS('Audit Versions'!$A$6:$A$605,$A356,'Audit Versions'!$L$6:$L$605,"Active"))</f>
        <v/>
      </c>
      <c r="Q356" s="15" t="n"/>
      <c r="R356" s="26">
        <f>IF(OR($A356="",$P356=0),"",MOD(N($Q356),$P356)+1)</f>
        <v/>
      </c>
      <c r="S356" s="15" t="n"/>
      <c r="T356" s="25" t="n"/>
      <c r="U356" s="26">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Builder'!$B$12="",N($S356)&lt;='Assignment Builder'!$B$12)))</f>
        <v/>
      </c>
      <c r="V356" s="23" t="n"/>
    </row>
    <row r="357">
      <c r="A357" s="23" t="n"/>
      <c r="B357" s="23" t="n"/>
      <c r="C357" s="24" t="n"/>
      <c r="D357" s="15" t="n"/>
      <c r="E357" s="23" t="n"/>
      <c r="F357" s="15" t="n"/>
      <c r="G357" s="23" t="n"/>
      <c r="H357" s="25" t="n"/>
      <c r="I357" s="15" t="n"/>
      <c r="J357" s="26">
        <f>IF($A357="","",LEN($C357)-LEN(SUBSTITUTE($C357,",",""))+1)</f>
        <v/>
      </c>
      <c r="K357" s="26">
        <f>IF($A357="","",SUMPRODUCT(--ISNUMBER(SEARCH('Category Dictionary'!$D$5:$D$135&amp;"",$C357)),--('Category Dictionary'!$D$5:$D$135&lt;&gt;"")))</f>
        <v/>
      </c>
      <c r="L357" s="27">
        <f>IF($A357="","",TRIM(IF(ISERROR(FIND(",",$C357)),$C357,LEFT($C357,FIND(",",$C357)-1))))</f>
        <v/>
      </c>
      <c r="M357" s="28">
        <f>IF($H357="","",DATE(YEAR($H357),MONTH($H357),1))</f>
        <v/>
      </c>
      <c r="N357" s="26">
        <f>IF($H357="","",TODAY()-$H357)</f>
        <v/>
      </c>
      <c r="O357" s="15" t="n"/>
      <c r="P357" s="26">
        <f>IF($A357="","",COUNTIFS('Audit Versions'!$A$6:$A$605,$A357,'Audit Versions'!$L$6:$L$605,"Active"))</f>
        <v/>
      </c>
      <c r="Q357" s="15" t="n"/>
      <c r="R357" s="26">
        <f>IF(OR($A357="",$P357=0),"",MOD(N($Q357),$P357)+1)</f>
        <v/>
      </c>
      <c r="S357" s="15" t="n"/>
      <c r="T357" s="25" t="n"/>
      <c r="U357" s="26">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Builder'!$B$12="",N($S357)&lt;='Assignment Builder'!$B$12)))</f>
        <v/>
      </c>
      <c r="V357" s="23" t="n"/>
    </row>
    <row r="358">
      <c r="A358" s="23" t="n"/>
      <c r="B358" s="23" t="n"/>
      <c r="C358" s="24" t="n"/>
      <c r="D358" s="15" t="n"/>
      <c r="E358" s="23" t="n"/>
      <c r="F358" s="15" t="n"/>
      <c r="G358" s="23" t="n"/>
      <c r="H358" s="25" t="n"/>
      <c r="I358" s="15" t="n"/>
      <c r="J358" s="26">
        <f>IF($A358="","",LEN($C358)-LEN(SUBSTITUTE($C358,",",""))+1)</f>
        <v/>
      </c>
      <c r="K358" s="26">
        <f>IF($A358="","",SUMPRODUCT(--ISNUMBER(SEARCH('Category Dictionary'!$D$5:$D$135&amp;"",$C358)),--('Category Dictionary'!$D$5:$D$135&lt;&gt;"")))</f>
        <v/>
      </c>
      <c r="L358" s="27">
        <f>IF($A358="","",TRIM(IF(ISERROR(FIND(",",$C358)),$C358,LEFT($C358,FIND(",",$C358)-1))))</f>
        <v/>
      </c>
      <c r="M358" s="28">
        <f>IF($H358="","",DATE(YEAR($H358),MONTH($H358),1))</f>
        <v/>
      </c>
      <c r="N358" s="26">
        <f>IF($H358="","",TODAY()-$H358)</f>
        <v/>
      </c>
      <c r="O358" s="15" t="n"/>
      <c r="P358" s="26">
        <f>IF($A358="","",COUNTIFS('Audit Versions'!$A$6:$A$605,$A358,'Audit Versions'!$L$6:$L$605,"Active"))</f>
        <v/>
      </c>
      <c r="Q358" s="15" t="n"/>
      <c r="R358" s="26">
        <f>IF(OR($A358="",$P358=0),"",MOD(N($Q358),$P358)+1)</f>
        <v/>
      </c>
      <c r="S358" s="15" t="n"/>
      <c r="T358" s="25" t="n"/>
      <c r="U358" s="26">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Builder'!$B$12="",N($S358)&lt;='Assignment Builder'!$B$12)))</f>
        <v/>
      </c>
      <c r="V358" s="23" t="n"/>
    </row>
    <row r="359">
      <c r="A359" s="23" t="n"/>
      <c r="B359" s="23" t="n"/>
      <c r="C359" s="24" t="n"/>
      <c r="D359" s="15" t="n"/>
      <c r="E359" s="23" t="n"/>
      <c r="F359" s="15" t="n"/>
      <c r="G359" s="23" t="n"/>
      <c r="H359" s="25" t="n"/>
      <c r="I359" s="15" t="n"/>
      <c r="J359" s="26">
        <f>IF($A359="","",LEN($C359)-LEN(SUBSTITUTE($C359,",",""))+1)</f>
        <v/>
      </c>
      <c r="K359" s="26">
        <f>IF($A359="","",SUMPRODUCT(--ISNUMBER(SEARCH('Category Dictionary'!$D$5:$D$135&amp;"",$C359)),--('Category Dictionary'!$D$5:$D$135&lt;&gt;"")))</f>
        <v/>
      </c>
      <c r="L359" s="27">
        <f>IF($A359="","",TRIM(IF(ISERROR(FIND(",",$C359)),$C359,LEFT($C359,FIND(",",$C359)-1))))</f>
        <v/>
      </c>
      <c r="M359" s="28">
        <f>IF($H359="","",DATE(YEAR($H359),MONTH($H359),1))</f>
        <v/>
      </c>
      <c r="N359" s="26">
        <f>IF($H359="","",TODAY()-$H359)</f>
        <v/>
      </c>
      <c r="O359" s="15" t="n"/>
      <c r="P359" s="26">
        <f>IF($A359="","",COUNTIFS('Audit Versions'!$A$6:$A$605,$A359,'Audit Versions'!$L$6:$L$605,"Active"))</f>
        <v/>
      </c>
      <c r="Q359" s="15" t="n"/>
      <c r="R359" s="26">
        <f>IF(OR($A359="",$P359=0),"",MOD(N($Q359),$P359)+1)</f>
        <v/>
      </c>
      <c r="S359" s="15" t="n"/>
      <c r="T359" s="25" t="n"/>
      <c r="U359" s="26">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Builder'!$B$12="",N($S359)&lt;='Assignment Builder'!$B$12)))</f>
        <v/>
      </c>
      <c r="V359" s="23" t="n"/>
    </row>
    <row r="360">
      <c r="A360" s="23" t="n"/>
      <c r="B360" s="23" t="n"/>
      <c r="C360" s="24" t="n"/>
      <c r="D360" s="15" t="n"/>
      <c r="E360" s="23" t="n"/>
      <c r="F360" s="15" t="n"/>
      <c r="G360" s="23" t="n"/>
      <c r="H360" s="25" t="n"/>
      <c r="I360" s="15" t="n"/>
      <c r="J360" s="26">
        <f>IF($A360="","",LEN($C360)-LEN(SUBSTITUTE($C360,",",""))+1)</f>
        <v/>
      </c>
      <c r="K360" s="26">
        <f>IF($A360="","",SUMPRODUCT(--ISNUMBER(SEARCH('Category Dictionary'!$D$5:$D$135&amp;"",$C360)),--('Category Dictionary'!$D$5:$D$135&lt;&gt;"")))</f>
        <v/>
      </c>
      <c r="L360" s="27">
        <f>IF($A360="","",TRIM(IF(ISERROR(FIND(",",$C360)),$C360,LEFT($C360,FIND(",",$C360)-1))))</f>
        <v/>
      </c>
      <c r="M360" s="28">
        <f>IF($H360="","",DATE(YEAR($H360),MONTH($H360),1))</f>
        <v/>
      </c>
      <c r="N360" s="26">
        <f>IF($H360="","",TODAY()-$H360)</f>
        <v/>
      </c>
      <c r="O360" s="15" t="n"/>
      <c r="P360" s="26">
        <f>IF($A360="","",COUNTIFS('Audit Versions'!$A$6:$A$605,$A360,'Audit Versions'!$L$6:$L$605,"Active"))</f>
        <v/>
      </c>
      <c r="Q360" s="15" t="n"/>
      <c r="R360" s="26">
        <f>IF(OR($A360="",$P360=0),"",MOD(N($Q360),$P360)+1)</f>
        <v/>
      </c>
      <c r="S360" s="15" t="n"/>
      <c r="T360" s="25" t="n"/>
      <c r="U360" s="26">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Builder'!$B$12="",N($S360)&lt;='Assignment Builder'!$B$12)))</f>
        <v/>
      </c>
      <c r="V360" s="23" t="n"/>
    </row>
    <row r="361">
      <c r="A361" s="23" t="n"/>
      <c r="B361" s="23" t="n"/>
      <c r="C361" s="24" t="n"/>
      <c r="D361" s="15" t="n"/>
      <c r="E361" s="23" t="n"/>
      <c r="F361" s="15" t="n"/>
      <c r="G361" s="23" t="n"/>
      <c r="H361" s="25" t="n"/>
      <c r="I361" s="15" t="n"/>
      <c r="J361" s="26">
        <f>IF($A361="","",LEN($C361)-LEN(SUBSTITUTE($C361,",",""))+1)</f>
        <v/>
      </c>
      <c r="K361" s="26">
        <f>IF($A361="","",SUMPRODUCT(--ISNUMBER(SEARCH('Category Dictionary'!$D$5:$D$135&amp;"",$C361)),--('Category Dictionary'!$D$5:$D$135&lt;&gt;"")))</f>
        <v/>
      </c>
      <c r="L361" s="27">
        <f>IF($A361="","",TRIM(IF(ISERROR(FIND(",",$C361)),$C361,LEFT($C361,FIND(",",$C361)-1))))</f>
        <v/>
      </c>
      <c r="M361" s="28">
        <f>IF($H361="","",DATE(YEAR($H361),MONTH($H361),1))</f>
        <v/>
      </c>
      <c r="N361" s="26">
        <f>IF($H361="","",TODAY()-$H361)</f>
        <v/>
      </c>
      <c r="O361" s="15" t="n"/>
      <c r="P361" s="26">
        <f>IF($A361="","",COUNTIFS('Audit Versions'!$A$6:$A$605,$A361,'Audit Versions'!$L$6:$L$605,"Active"))</f>
        <v/>
      </c>
      <c r="Q361" s="15" t="n"/>
      <c r="R361" s="26">
        <f>IF(OR($A361="",$P361=0),"",MOD(N($Q361),$P361)+1)</f>
        <v/>
      </c>
      <c r="S361" s="15" t="n"/>
      <c r="T361" s="25" t="n"/>
      <c r="U361" s="26">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Builder'!$B$12="",N($S361)&lt;='Assignment Builder'!$B$12)))</f>
        <v/>
      </c>
      <c r="V361" s="23" t="n"/>
    </row>
    <row r="362">
      <c r="A362" s="23" t="n"/>
      <c r="B362" s="23" t="n"/>
      <c r="C362" s="24" t="n"/>
      <c r="D362" s="15" t="n"/>
      <c r="E362" s="23" t="n"/>
      <c r="F362" s="15" t="n"/>
      <c r="G362" s="23" t="n"/>
      <c r="H362" s="25" t="n"/>
      <c r="I362" s="15" t="n"/>
      <c r="J362" s="26">
        <f>IF($A362="","",LEN($C362)-LEN(SUBSTITUTE($C362,",",""))+1)</f>
        <v/>
      </c>
      <c r="K362" s="26">
        <f>IF($A362="","",SUMPRODUCT(--ISNUMBER(SEARCH('Category Dictionary'!$D$5:$D$135&amp;"",$C362)),--('Category Dictionary'!$D$5:$D$135&lt;&gt;"")))</f>
        <v/>
      </c>
      <c r="L362" s="27">
        <f>IF($A362="","",TRIM(IF(ISERROR(FIND(",",$C362)),$C362,LEFT($C362,FIND(",",$C362)-1))))</f>
        <v/>
      </c>
      <c r="M362" s="28">
        <f>IF($H362="","",DATE(YEAR($H362),MONTH($H362),1))</f>
        <v/>
      </c>
      <c r="N362" s="26">
        <f>IF($H362="","",TODAY()-$H362)</f>
        <v/>
      </c>
      <c r="O362" s="15" t="n"/>
      <c r="P362" s="26">
        <f>IF($A362="","",COUNTIFS('Audit Versions'!$A$6:$A$605,$A362,'Audit Versions'!$L$6:$L$605,"Active"))</f>
        <v/>
      </c>
      <c r="Q362" s="15" t="n"/>
      <c r="R362" s="26">
        <f>IF(OR($A362="",$P362=0),"",MOD(N($Q362),$P362)+1)</f>
        <v/>
      </c>
      <c r="S362" s="15" t="n"/>
      <c r="T362" s="25" t="n"/>
      <c r="U362" s="26">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Builder'!$B$12="",N($S362)&lt;='Assignment Builder'!$B$12)))</f>
        <v/>
      </c>
      <c r="V362" s="23" t="n"/>
    </row>
    <row r="363">
      <c r="A363" s="23" t="n"/>
      <c r="B363" s="23" t="n"/>
      <c r="C363" s="24" t="n"/>
      <c r="D363" s="15" t="n"/>
      <c r="E363" s="23" t="n"/>
      <c r="F363" s="15" t="n"/>
      <c r="G363" s="23" t="n"/>
      <c r="H363" s="25" t="n"/>
      <c r="I363" s="15" t="n"/>
      <c r="J363" s="26">
        <f>IF($A363="","",LEN($C363)-LEN(SUBSTITUTE($C363,",",""))+1)</f>
        <v/>
      </c>
      <c r="K363" s="26">
        <f>IF($A363="","",SUMPRODUCT(--ISNUMBER(SEARCH('Category Dictionary'!$D$5:$D$135&amp;"",$C363)),--('Category Dictionary'!$D$5:$D$135&lt;&gt;"")))</f>
        <v/>
      </c>
      <c r="L363" s="27">
        <f>IF($A363="","",TRIM(IF(ISERROR(FIND(",",$C363)),$C363,LEFT($C363,FIND(",",$C363)-1))))</f>
        <v/>
      </c>
      <c r="M363" s="28">
        <f>IF($H363="","",DATE(YEAR($H363),MONTH($H363),1))</f>
        <v/>
      </c>
      <c r="N363" s="26">
        <f>IF($H363="","",TODAY()-$H363)</f>
        <v/>
      </c>
      <c r="O363" s="15" t="n"/>
      <c r="P363" s="26">
        <f>IF($A363="","",COUNTIFS('Audit Versions'!$A$6:$A$605,$A363,'Audit Versions'!$L$6:$L$605,"Active"))</f>
        <v/>
      </c>
      <c r="Q363" s="15" t="n"/>
      <c r="R363" s="26">
        <f>IF(OR($A363="",$P363=0),"",MOD(N($Q363),$P363)+1)</f>
        <v/>
      </c>
      <c r="S363" s="15" t="n"/>
      <c r="T363" s="25" t="n"/>
      <c r="U363" s="26">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Builder'!$B$12="",N($S363)&lt;='Assignment Builder'!$B$12)))</f>
        <v/>
      </c>
      <c r="V363" s="23" t="n"/>
    </row>
    <row r="364">
      <c r="A364" s="23" t="n"/>
      <c r="B364" s="23" t="n"/>
      <c r="C364" s="24" t="n"/>
      <c r="D364" s="15" t="n"/>
      <c r="E364" s="23" t="n"/>
      <c r="F364" s="15" t="n"/>
      <c r="G364" s="23" t="n"/>
      <c r="H364" s="25" t="n"/>
      <c r="I364" s="15" t="n"/>
      <c r="J364" s="26">
        <f>IF($A364="","",LEN($C364)-LEN(SUBSTITUTE($C364,",",""))+1)</f>
        <v/>
      </c>
      <c r="K364" s="26">
        <f>IF($A364="","",SUMPRODUCT(--ISNUMBER(SEARCH('Category Dictionary'!$D$5:$D$135&amp;"",$C364)),--('Category Dictionary'!$D$5:$D$135&lt;&gt;"")))</f>
        <v/>
      </c>
      <c r="L364" s="27">
        <f>IF($A364="","",TRIM(IF(ISERROR(FIND(",",$C364)),$C364,LEFT($C364,FIND(",",$C364)-1))))</f>
        <v/>
      </c>
      <c r="M364" s="28">
        <f>IF($H364="","",DATE(YEAR($H364),MONTH($H364),1))</f>
        <v/>
      </c>
      <c r="N364" s="26">
        <f>IF($H364="","",TODAY()-$H364)</f>
        <v/>
      </c>
      <c r="O364" s="15" t="n"/>
      <c r="P364" s="26">
        <f>IF($A364="","",COUNTIFS('Audit Versions'!$A$6:$A$605,$A364,'Audit Versions'!$L$6:$L$605,"Active"))</f>
        <v/>
      </c>
      <c r="Q364" s="15" t="n"/>
      <c r="R364" s="26">
        <f>IF(OR($A364="",$P364=0),"",MOD(N($Q364),$P364)+1)</f>
        <v/>
      </c>
      <c r="S364" s="15" t="n"/>
      <c r="T364" s="25" t="n"/>
      <c r="U364" s="26">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Builder'!$B$12="",N($S364)&lt;='Assignment Builder'!$B$12)))</f>
        <v/>
      </c>
      <c r="V364" s="23" t="n"/>
    </row>
    <row r="365">
      <c r="A365" s="23" t="n"/>
      <c r="B365" s="23" t="n"/>
      <c r="C365" s="24" t="n"/>
      <c r="D365" s="15" t="n"/>
      <c r="E365" s="23" t="n"/>
      <c r="F365" s="15" t="n"/>
      <c r="G365" s="23" t="n"/>
      <c r="H365" s="25" t="n"/>
      <c r="I365" s="15" t="n"/>
      <c r="J365" s="26">
        <f>IF($A365="","",LEN($C365)-LEN(SUBSTITUTE($C365,",",""))+1)</f>
        <v/>
      </c>
      <c r="K365" s="26">
        <f>IF($A365="","",SUMPRODUCT(--ISNUMBER(SEARCH('Category Dictionary'!$D$5:$D$135&amp;"",$C365)),--('Category Dictionary'!$D$5:$D$135&lt;&gt;"")))</f>
        <v/>
      </c>
      <c r="L365" s="27">
        <f>IF($A365="","",TRIM(IF(ISERROR(FIND(",",$C365)),$C365,LEFT($C365,FIND(",",$C365)-1))))</f>
        <v/>
      </c>
      <c r="M365" s="28">
        <f>IF($H365="","",DATE(YEAR($H365),MONTH($H365),1))</f>
        <v/>
      </c>
      <c r="N365" s="26">
        <f>IF($H365="","",TODAY()-$H365)</f>
        <v/>
      </c>
      <c r="O365" s="15" t="n"/>
      <c r="P365" s="26">
        <f>IF($A365="","",COUNTIFS('Audit Versions'!$A$6:$A$605,$A365,'Audit Versions'!$L$6:$L$605,"Active"))</f>
        <v/>
      </c>
      <c r="Q365" s="15" t="n"/>
      <c r="R365" s="26">
        <f>IF(OR($A365="",$P365=0),"",MOD(N($Q365),$P365)+1)</f>
        <v/>
      </c>
      <c r="S365" s="15" t="n"/>
      <c r="T365" s="25" t="n"/>
      <c r="U365" s="26">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Builder'!$B$12="",N($S365)&lt;='Assignment Builder'!$B$12)))</f>
        <v/>
      </c>
      <c r="V365" s="23" t="n"/>
    </row>
    <row r="366">
      <c r="A366" s="23" t="n"/>
      <c r="B366" s="23" t="n"/>
      <c r="C366" s="24" t="n"/>
      <c r="D366" s="15" t="n"/>
      <c r="E366" s="23" t="n"/>
      <c r="F366" s="15" t="n"/>
      <c r="G366" s="23" t="n"/>
      <c r="H366" s="25" t="n"/>
      <c r="I366" s="15" t="n"/>
      <c r="J366" s="26">
        <f>IF($A366="","",LEN($C366)-LEN(SUBSTITUTE($C366,",",""))+1)</f>
        <v/>
      </c>
      <c r="K366" s="26">
        <f>IF($A366="","",SUMPRODUCT(--ISNUMBER(SEARCH('Category Dictionary'!$D$5:$D$135&amp;"",$C366)),--('Category Dictionary'!$D$5:$D$135&lt;&gt;"")))</f>
        <v/>
      </c>
      <c r="L366" s="27">
        <f>IF($A366="","",TRIM(IF(ISERROR(FIND(",",$C366)),$C366,LEFT($C366,FIND(",",$C366)-1))))</f>
        <v/>
      </c>
      <c r="M366" s="28">
        <f>IF($H366="","",DATE(YEAR($H366),MONTH($H366),1))</f>
        <v/>
      </c>
      <c r="N366" s="26">
        <f>IF($H366="","",TODAY()-$H366)</f>
        <v/>
      </c>
      <c r="O366" s="15" t="n"/>
      <c r="P366" s="26">
        <f>IF($A366="","",COUNTIFS('Audit Versions'!$A$6:$A$605,$A366,'Audit Versions'!$L$6:$L$605,"Active"))</f>
        <v/>
      </c>
      <c r="Q366" s="15" t="n"/>
      <c r="R366" s="26">
        <f>IF(OR($A366="",$P366=0),"",MOD(N($Q366),$P366)+1)</f>
        <v/>
      </c>
      <c r="S366" s="15" t="n"/>
      <c r="T366" s="25" t="n"/>
      <c r="U366" s="26">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Builder'!$B$12="",N($S366)&lt;='Assignment Builder'!$B$12)))</f>
        <v/>
      </c>
      <c r="V366" s="23" t="n"/>
    </row>
    <row r="367">
      <c r="A367" s="23" t="n"/>
      <c r="B367" s="23" t="n"/>
      <c r="C367" s="24" t="n"/>
      <c r="D367" s="15" t="n"/>
      <c r="E367" s="23" t="n"/>
      <c r="F367" s="15" t="n"/>
      <c r="G367" s="23" t="n"/>
      <c r="H367" s="25" t="n"/>
      <c r="I367" s="15" t="n"/>
      <c r="J367" s="26">
        <f>IF($A367="","",LEN($C367)-LEN(SUBSTITUTE($C367,",",""))+1)</f>
        <v/>
      </c>
      <c r="K367" s="26">
        <f>IF($A367="","",SUMPRODUCT(--ISNUMBER(SEARCH('Category Dictionary'!$D$5:$D$135&amp;"",$C367)),--('Category Dictionary'!$D$5:$D$135&lt;&gt;"")))</f>
        <v/>
      </c>
      <c r="L367" s="27">
        <f>IF($A367="","",TRIM(IF(ISERROR(FIND(",",$C367)),$C367,LEFT($C367,FIND(",",$C367)-1))))</f>
        <v/>
      </c>
      <c r="M367" s="28">
        <f>IF($H367="","",DATE(YEAR($H367),MONTH($H367),1))</f>
        <v/>
      </c>
      <c r="N367" s="26">
        <f>IF($H367="","",TODAY()-$H367)</f>
        <v/>
      </c>
      <c r="O367" s="15" t="n"/>
      <c r="P367" s="26">
        <f>IF($A367="","",COUNTIFS('Audit Versions'!$A$6:$A$605,$A367,'Audit Versions'!$L$6:$L$605,"Active"))</f>
        <v/>
      </c>
      <c r="Q367" s="15" t="n"/>
      <c r="R367" s="26">
        <f>IF(OR($A367="",$P367=0),"",MOD(N($Q367),$P367)+1)</f>
        <v/>
      </c>
      <c r="S367" s="15" t="n"/>
      <c r="T367" s="25" t="n"/>
      <c r="U367" s="26">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Builder'!$B$12="",N($S367)&lt;='Assignment Builder'!$B$12)))</f>
        <v/>
      </c>
      <c r="V367" s="23" t="n"/>
    </row>
    <row r="368">
      <c r="A368" s="23" t="n"/>
      <c r="B368" s="23" t="n"/>
      <c r="C368" s="24" t="n"/>
      <c r="D368" s="15" t="n"/>
      <c r="E368" s="23" t="n"/>
      <c r="F368" s="15" t="n"/>
      <c r="G368" s="23" t="n"/>
      <c r="H368" s="25" t="n"/>
      <c r="I368" s="15" t="n"/>
      <c r="J368" s="26">
        <f>IF($A368="","",LEN($C368)-LEN(SUBSTITUTE($C368,",",""))+1)</f>
        <v/>
      </c>
      <c r="K368" s="26">
        <f>IF($A368="","",SUMPRODUCT(--ISNUMBER(SEARCH('Category Dictionary'!$D$5:$D$135&amp;"",$C368)),--('Category Dictionary'!$D$5:$D$135&lt;&gt;"")))</f>
        <v/>
      </c>
      <c r="L368" s="27">
        <f>IF($A368="","",TRIM(IF(ISERROR(FIND(",",$C368)),$C368,LEFT($C368,FIND(",",$C368)-1))))</f>
        <v/>
      </c>
      <c r="M368" s="28">
        <f>IF($H368="","",DATE(YEAR($H368),MONTH($H368),1))</f>
        <v/>
      </c>
      <c r="N368" s="26">
        <f>IF($H368="","",TODAY()-$H368)</f>
        <v/>
      </c>
      <c r="O368" s="15" t="n"/>
      <c r="P368" s="26">
        <f>IF($A368="","",COUNTIFS('Audit Versions'!$A$6:$A$605,$A368,'Audit Versions'!$L$6:$L$605,"Active"))</f>
        <v/>
      </c>
      <c r="Q368" s="15" t="n"/>
      <c r="R368" s="26">
        <f>IF(OR($A368="",$P368=0),"",MOD(N($Q368),$P368)+1)</f>
        <v/>
      </c>
      <c r="S368" s="15" t="n"/>
      <c r="T368" s="25" t="n"/>
      <c r="U368" s="26">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Builder'!$B$12="",N($S368)&lt;='Assignment Builder'!$B$12)))</f>
        <v/>
      </c>
      <c r="V368" s="23" t="n"/>
    </row>
    <row r="369">
      <c r="A369" s="23" t="n"/>
      <c r="B369" s="23" t="n"/>
      <c r="C369" s="24" t="n"/>
      <c r="D369" s="15" t="n"/>
      <c r="E369" s="23" t="n"/>
      <c r="F369" s="15" t="n"/>
      <c r="G369" s="23" t="n"/>
      <c r="H369" s="25" t="n"/>
      <c r="I369" s="15" t="n"/>
      <c r="J369" s="26">
        <f>IF($A369="","",LEN($C369)-LEN(SUBSTITUTE($C369,",",""))+1)</f>
        <v/>
      </c>
      <c r="K369" s="26">
        <f>IF($A369="","",SUMPRODUCT(--ISNUMBER(SEARCH('Category Dictionary'!$D$5:$D$135&amp;"",$C369)),--('Category Dictionary'!$D$5:$D$135&lt;&gt;"")))</f>
        <v/>
      </c>
      <c r="L369" s="27">
        <f>IF($A369="","",TRIM(IF(ISERROR(FIND(",",$C369)),$C369,LEFT($C369,FIND(",",$C369)-1))))</f>
        <v/>
      </c>
      <c r="M369" s="28">
        <f>IF($H369="","",DATE(YEAR($H369),MONTH($H369),1))</f>
        <v/>
      </c>
      <c r="N369" s="26">
        <f>IF($H369="","",TODAY()-$H369)</f>
        <v/>
      </c>
      <c r="O369" s="15" t="n"/>
      <c r="P369" s="26">
        <f>IF($A369="","",COUNTIFS('Audit Versions'!$A$6:$A$605,$A369,'Audit Versions'!$L$6:$L$605,"Active"))</f>
        <v/>
      </c>
      <c r="Q369" s="15" t="n"/>
      <c r="R369" s="26">
        <f>IF(OR($A369="",$P369=0),"",MOD(N($Q369),$P369)+1)</f>
        <v/>
      </c>
      <c r="S369" s="15" t="n"/>
      <c r="T369" s="25" t="n"/>
      <c r="U369" s="26">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Builder'!$B$12="",N($S369)&lt;='Assignment Builder'!$B$12)))</f>
        <v/>
      </c>
      <c r="V369" s="23" t="n"/>
    </row>
    <row r="370">
      <c r="A370" s="23" t="n"/>
      <c r="B370" s="23" t="n"/>
      <c r="C370" s="24" t="n"/>
      <c r="D370" s="15" t="n"/>
      <c r="E370" s="23" t="n"/>
      <c r="F370" s="15" t="n"/>
      <c r="G370" s="23" t="n"/>
      <c r="H370" s="25" t="n"/>
      <c r="I370" s="15" t="n"/>
      <c r="J370" s="26">
        <f>IF($A370="","",LEN($C370)-LEN(SUBSTITUTE($C370,",",""))+1)</f>
        <v/>
      </c>
      <c r="K370" s="26">
        <f>IF($A370="","",SUMPRODUCT(--ISNUMBER(SEARCH('Category Dictionary'!$D$5:$D$135&amp;"",$C370)),--('Category Dictionary'!$D$5:$D$135&lt;&gt;"")))</f>
        <v/>
      </c>
      <c r="L370" s="27">
        <f>IF($A370="","",TRIM(IF(ISERROR(FIND(",",$C370)),$C370,LEFT($C370,FIND(",",$C370)-1))))</f>
        <v/>
      </c>
      <c r="M370" s="28">
        <f>IF($H370="","",DATE(YEAR($H370),MONTH($H370),1))</f>
        <v/>
      </c>
      <c r="N370" s="26">
        <f>IF($H370="","",TODAY()-$H370)</f>
        <v/>
      </c>
      <c r="O370" s="15" t="n"/>
      <c r="P370" s="26">
        <f>IF($A370="","",COUNTIFS('Audit Versions'!$A$6:$A$605,$A370,'Audit Versions'!$L$6:$L$605,"Active"))</f>
        <v/>
      </c>
      <c r="Q370" s="15" t="n"/>
      <c r="R370" s="26">
        <f>IF(OR($A370="",$P370=0),"",MOD(N($Q370),$P370)+1)</f>
        <v/>
      </c>
      <c r="S370" s="15" t="n"/>
      <c r="T370" s="25" t="n"/>
      <c r="U370" s="26">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Builder'!$B$12="",N($S370)&lt;='Assignment Builder'!$B$12)))</f>
        <v/>
      </c>
      <c r="V370" s="23" t="n"/>
    </row>
    <row r="371">
      <c r="A371" s="23" t="n"/>
      <c r="B371" s="23" t="n"/>
      <c r="C371" s="24" t="n"/>
      <c r="D371" s="15" t="n"/>
      <c r="E371" s="23" t="n"/>
      <c r="F371" s="15" t="n"/>
      <c r="G371" s="23" t="n"/>
      <c r="H371" s="25" t="n"/>
      <c r="I371" s="15" t="n"/>
      <c r="J371" s="26">
        <f>IF($A371="","",LEN($C371)-LEN(SUBSTITUTE($C371,",",""))+1)</f>
        <v/>
      </c>
      <c r="K371" s="26">
        <f>IF($A371="","",SUMPRODUCT(--ISNUMBER(SEARCH('Category Dictionary'!$D$5:$D$135&amp;"",$C371)),--('Category Dictionary'!$D$5:$D$135&lt;&gt;"")))</f>
        <v/>
      </c>
      <c r="L371" s="27">
        <f>IF($A371="","",TRIM(IF(ISERROR(FIND(",",$C371)),$C371,LEFT($C371,FIND(",",$C371)-1))))</f>
        <v/>
      </c>
      <c r="M371" s="28">
        <f>IF($H371="","",DATE(YEAR($H371),MONTH($H371),1))</f>
        <v/>
      </c>
      <c r="N371" s="26">
        <f>IF($H371="","",TODAY()-$H371)</f>
        <v/>
      </c>
      <c r="O371" s="15" t="n"/>
      <c r="P371" s="26">
        <f>IF($A371="","",COUNTIFS('Audit Versions'!$A$6:$A$605,$A371,'Audit Versions'!$L$6:$L$605,"Active"))</f>
        <v/>
      </c>
      <c r="Q371" s="15" t="n"/>
      <c r="R371" s="26">
        <f>IF(OR($A371="",$P371=0),"",MOD(N($Q371),$P371)+1)</f>
        <v/>
      </c>
      <c r="S371" s="15" t="n"/>
      <c r="T371" s="25" t="n"/>
      <c r="U371" s="26">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Builder'!$B$12="",N($S371)&lt;='Assignment Builder'!$B$12)))</f>
        <v/>
      </c>
      <c r="V371" s="23" t="n"/>
    </row>
    <row r="372">
      <c r="A372" s="23" t="n"/>
      <c r="B372" s="23" t="n"/>
      <c r="C372" s="24" t="n"/>
      <c r="D372" s="15" t="n"/>
      <c r="E372" s="23" t="n"/>
      <c r="F372" s="15" t="n"/>
      <c r="G372" s="23" t="n"/>
      <c r="H372" s="25" t="n"/>
      <c r="I372" s="15" t="n"/>
      <c r="J372" s="26">
        <f>IF($A372="","",LEN($C372)-LEN(SUBSTITUTE($C372,",",""))+1)</f>
        <v/>
      </c>
      <c r="K372" s="26">
        <f>IF($A372="","",SUMPRODUCT(--ISNUMBER(SEARCH('Category Dictionary'!$D$5:$D$135&amp;"",$C372)),--('Category Dictionary'!$D$5:$D$135&lt;&gt;"")))</f>
        <v/>
      </c>
      <c r="L372" s="27">
        <f>IF($A372="","",TRIM(IF(ISERROR(FIND(",",$C372)),$C372,LEFT($C372,FIND(",",$C372)-1))))</f>
        <v/>
      </c>
      <c r="M372" s="28">
        <f>IF($H372="","",DATE(YEAR($H372),MONTH($H372),1))</f>
        <v/>
      </c>
      <c r="N372" s="26">
        <f>IF($H372="","",TODAY()-$H372)</f>
        <v/>
      </c>
      <c r="O372" s="15" t="n"/>
      <c r="P372" s="26">
        <f>IF($A372="","",COUNTIFS('Audit Versions'!$A$6:$A$605,$A372,'Audit Versions'!$L$6:$L$605,"Active"))</f>
        <v/>
      </c>
      <c r="Q372" s="15" t="n"/>
      <c r="R372" s="26">
        <f>IF(OR($A372="",$P372=0),"",MOD(N($Q372),$P372)+1)</f>
        <v/>
      </c>
      <c r="S372" s="15" t="n"/>
      <c r="T372" s="25" t="n"/>
      <c r="U372" s="26">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Builder'!$B$12="",N($S372)&lt;='Assignment Builder'!$B$12)))</f>
        <v/>
      </c>
      <c r="V372" s="23" t="n"/>
    </row>
    <row r="373">
      <c r="A373" s="23" t="n"/>
      <c r="B373" s="23" t="n"/>
      <c r="C373" s="24" t="n"/>
      <c r="D373" s="15" t="n"/>
      <c r="E373" s="23" t="n"/>
      <c r="F373" s="15" t="n"/>
      <c r="G373" s="23" t="n"/>
      <c r="H373" s="25" t="n"/>
      <c r="I373" s="15" t="n"/>
      <c r="J373" s="26">
        <f>IF($A373="","",LEN($C373)-LEN(SUBSTITUTE($C373,",",""))+1)</f>
        <v/>
      </c>
      <c r="K373" s="26">
        <f>IF($A373="","",SUMPRODUCT(--ISNUMBER(SEARCH('Category Dictionary'!$D$5:$D$135&amp;"",$C373)),--('Category Dictionary'!$D$5:$D$135&lt;&gt;"")))</f>
        <v/>
      </c>
      <c r="L373" s="27">
        <f>IF($A373="","",TRIM(IF(ISERROR(FIND(",",$C373)),$C373,LEFT($C373,FIND(",",$C373)-1))))</f>
        <v/>
      </c>
      <c r="M373" s="28">
        <f>IF($H373="","",DATE(YEAR($H373),MONTH($H373),1))</f>
        <v/>
      </c>
      <c r="N373" s="26">
        <f>IF($H373="","",TODAY()-$H373)</f>
        <v/>
      </c>
      <c r="O373" s="15" t="n"/>
      <c r="P373" s="26">
        <f>IF($A373="","",COUNTIFS('Audit Versions'!$A$6:$A$605,$A373,'Audit Versions'!$L$6:$L$605,"Active"))</f>
        <v/>
      </c>
      <c r="Q373" s="15" t="n"/>
      <c r="R373" s="26">
        <f>IF(OR($A373="",$P373=0),"",MOD(N($Q373),$P373)+1)</f>
        <v/>
      </c>
      <c r="S373" s="15" t="n"/>
      <c r="T373" s="25" t="n"/>
      <c r="U373" s="26">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Builder'!$B$12="",N($S373)&lt;='Assignment Builder'!$B$12)))</f>
        <v/>
      </c>
      <c r="V373" s="23" t="n"/>
    </row>
    <row r="374">
      <c r="A374" s="23" t="n"/>
      <c r="B374" s="23" t="n"/>
      <c r="C374" s="24" t="n"/>
      <c r="D374" s="15" t="n"/>
      <c r="E374" s="23" t="n"/>
      <c r="F374" s="15" t="n"/>
      <c r="G374" s="23" t="n"/>
      <c r="H374" s="25" t="n"/>
      <c r="I374" s="15" t="n"/>
      <c r="J374" s="26">
        <f>IF($A374="","",LEN($C374)-LEN(SUBSTITUTE($C374,",",""))+1)</f>
        <v/>
      </c>
      <c r="K374" s="26">
        <f>IF($A374="","",SUMPRODUCT(--ISNUMBER(SEARCH('Category Dictionary'!$D$5:$D$135&amp;"",$C374)),--('Category Dictionary'!$D$5:$D$135&lt;&gt;"")))</f>
        <v/>
      </c>
      <c r="L374" s="27">
        <f>IF($A374="","",TRIM(IF(ISERROR(FIND(",",$C374)),$C374,LEFT($C374,FIND(",",$C374)-1))))</f>
        <v/>
      </c>
      <c r="M374" s="28">
        <f>IF($H374="","",DATE(YEAR($H374),MONTH($H374),1))</f>
        <v/>
      </c>
      <c r="N374" s="26">
        <f>IF($H374="","",TODAY()-$H374)</f>
        <v/>
      </c>
      <c r="O374" s="15" t="n"/>
      <c r="P374" s="26">
        <f>IF($A374="","",COUNTIFS('Audit Versions'!$A$6:$A$605,$A374,'Audit Versions'!$L$6:$L$605,"Active"))</f>
        <v/>
      </c>
      <c r="Q374" s="15" t="n"/>
      <c r="R374" s="26">
        <f>IF(OR($A374="",$P374=0),"",MOD(N($Q374),$P374)+1)</f>
        <v/>
      </c>
      <c r="S374" s="15" t="n"/>
      <c r="T374" s="25" t="n"/>
      <c r="U374" s="26">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Builder'!$B$12="",N($S374)&lt;='Assignment Builder'!$B$12)))</f>
        <v/>
      </c>
      <c r="V374" s="23" t="n"/>
    </row>
    <row r="375">
      <c r="A375" s="23" t="n"/>
      <c r="B375" s="23" t="n"/>
      <c r="C375" s="24" t="n"/>
      <c r="D375" s="15" t="n"/>
      <c r="E375" s="23" t="n"/>
      <c r="F375" s="15" t="n"/>
      <c r="G375" s="23" t="n"/>
      <c r="H375" s="25" t="n"/>
      <c r="I375" s="15" t="n"/>
      <c r="J375" s="26">
        <f>IF($A375="","",LEN($C375)-LEN(SUBSTITUTE($C375,",",""))+1)</f>
        <v/>
      </c>
      <c r="K375" s="26">
        <f>IF($A375="","",SUMPRODUCT(--ISNUMBER(SEARCH('Category Dictionary'!$D$5:$D$135&amp;"",$C375)),--('Category Dictionary'!$D$5:$D$135&lt;&gt;"")))</f>
        <v/>
      </c>
      <c r="L375" s="27">
        <f>IF($A375="","",TRIM(IF(ISERROR(FIND(",",$C375)),$C375,LEFT($C375,FIND(",",$C375)-1))))</f>
        <v/>
      </c>
      <c r="M375" s="28">
        <f>IF($H375="","",DATE(YEAR($H375),MONTH($H375),1))</f>
        <v/>
      </c>
      <c r="N375" s="26">
        <f>IF($H375="","",TODAY()-$H375)</f>
        <v/>
      </c>
      <c r="O375" s="15" t="n"/>
      <c r="P375" s="26">
        <f>IF($A375="","",COUNTIFS('Audit Versions'!$A$6:$A$605,$A375,'Audit Versions'!$L$6:$L$605,"Active"))</f>
        <v/>
      </c>
      <c r="Q375" s="15" t="n"/>
      <c r="R375" s="26">
        <f>IF(OR($A375="",$P375=0),"",MOD(N($Q375),$P375)+1)</f>
        <v/>
      </c>
      <c r="S375" s="15" t="n"/>
      <c r="T375" s="25" t="n"/>
      <c r="U375" s="26">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Builder'!$B$12="",N($S375)&lt;='Assignment Builder'!$B$12)))</f>
        <v/>
      </c>
      <c r="V375" s="23" t="n"/>
    </row>
    <row r="376">
      <c r="A376" s="23" t="n"/>
      <c r="B376" s="23" t="n"/>
      <c r="C376" s="24" t="n"/>
      <c r="D376" s="15" t="n"/>
      <c r="E376" s="23" t="n"/>
      <c r="F376" s="15" t="n"/>
      <c r="G376" s="23" t="n"/>
      <c r="H376" s="25" t="n"/>
      <c r="I376" s="15" t="n"/>
      <c r="J376" s="26">
        <f>IF($A376="","",LEN($C376)-LEN(SUBSTITUTE($C376,",",""))+1)</f>
        <v/>
      </c>
      <c r="K376" s="26">
        <f>IF($A376="","",SUMPRODUCT(--ISNUMBER(SEARCH('Category Dictionary'!$D$5:$D$135&amp;"",$C376)),--('Category Dictionary'!$D$5:$D$135&lt;&gt;"")))</f>
        <v/>
      </c>
      <c r="L376" s="27">
        <f>IF($A376="","",TRIM(IF(ISERROR(FIND(",",$C376)),$C376,LEFT($C376,FIND(",",$C376)-1))))</f>
        <v/>
      </c>
      <c r="M376" s="28">
        <f>IF($H376="","",DATE(YEAR($H376),MONTH($H376),1))</f>
        <v/>
      </c>
      <c r="N376" s="26">
        <f>IF($H376="","",TODAY()-$H376)</f>
        <v/>
      </c>
      <c r="O376" s="15" t="n"/>
      <c r="P376" s="26">
        <f>IF($A376="","",COUNTIFS('Audit Versions'!$A$6:$A$605,$A376,'Audit Versions'!$L$6:$L$605,"Active"))</f>
        <v/>
      </c>
      <c r="Q376" s="15" t="n"/>
      <c r="R376" s="26">
        <f>IF(OR($A376="",$P376=0),"",MOD(N($Q376),$P376)+1)</f>
        <v/>
      </c>
      <c r="S376" s="15" t="n"/>
      <c r="T376" s="25" t="n"/>
      <c r="U376" s="26">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Builder'!$B$12="",N($S376)&lt;='Assignment Builder'!$B$12)))</f>
        <v/>
      </c>
      <c r="V376" s="23" t="n"/>
    </row>
    <row r="377">
      <c r="A377" s="23" t="n"/>
      <c r="B377" s="23" t="n"/>
      <c r="C377" s="24" t="n"/>
      <c r="D377" s="15" t="n"/>
      <c r="E377" s="23" t="n"/>
      <c r="F377" s="15" t="n"/>
      <c r="G377" s="23" t="n"/>
      <c r="H377" s="25" t="n"/>
      <c r="I377" s="15" t="n"/>
      <c r="J377" s="26">
        <f>IF($A377="","",LEN($C377)-LEN(SUBSTITUTE($C377,",",""))+1)</f>
        <v/>
      </c>
      <c r="K377" s="26">
        <f>IF($A377="","",SUMPRODUCT(--ISNUMBER(SEARCH('Category Dictionary'!$D$5:$D$135&amp;"",$C377)),--('Category Dictionary'!$D$5:$D$135&lt;&gt;"")))</f>
        <v/>
      </c>
      <c r="L377" s="27">
        <f>IF($A377="","",TRIM(IF(ISERROR(FIND(",",$C377)),$C377,LEFT($C377,FIND(",",$C377)-1))))</f>
        <v/>
      </c>
      <c r="M377" s="28">
        <f>IF($H377="","",DATE(YEAR($H377),MONTH($H377),1))</f>
        <v/>
      </c>
      <c r="N377" s="26">
        <f>IF($H377="","",TODAY()-$H377)</f>
        <v/>
      </c>
      <c r="O377" s="15" t="n"/>
      <c r="P377" s="26">
        <f>IF($A377="","",COUNTIFS('Audit Versions'!$A$6:$A$605,$A377,'Audit Versions'!$L$6:$L$605,"Active"))</f>
        <v/>
      </c>
      <c r="Q377" s="15" t="n"/>
      <c r="R377" s="26">
        <f>IF(OR($A377="",$P377=0),"",MOD(N($Q377),$P377)+1)</f>
        <v/>
      </c>
      <c r="S377" s="15" t="n"/>
      <c r="T377" s="25" t="n"/>
      <c r="U377" s="26">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Builder'!$B$12="",N($S377)&lt;='Assignment Builder'!$B$12)))</f>
        <v/>
      </c>
      <c r="V377" s="23" t="n"/>
    </row>
    <row r="378">
      <c r="A378" s="23" t="n"/>
      <c r="B378" s="23" t="n"/>
      <c r="C378" s="24" t="n"/>
      <c r="D378" s="15" t="n"/>
      <c r="E378" s="23" t="n"/>
      <c r="F378" s="15" t="n"/>
      <c r="G378" s="23" t="n"/>
      <c r="H378" s="25" t="n"/>
      <c r="I378" s="15" t="n"/>
      <c r="J378" s="26">
        <f>IF($A378="","",LEN($C378)-LEN(SUBSTITUTE($C378,",",""))+1)</f>
        <v/>
      </c>
      <c r="K378" s="26">
        <f>IF($A378="","",SUMPRODUCT(--ISNUMBER(SEARCH('Category Dictionary'!$D$5:$D$135&amp;"",$C378)),--('Category Dictionary'!$D$5:$D$135&lt;&gt;"")))</f>
        <v/>
      </c>
      <c r="L378" s="27">
        <f>IF($A378="","",TRIM(IF(ISERROR(FIND(",",$C378)),$C378,LEFT($C378,FIND(",",$C378)-1))))</f>
        <v/>
      </c>
      <c r="M378" s="28">
        <f>IF($H378="","",DATE(YEAR($H378),MONTH($H378),1))</f>
        <v/>
      </c>
      <c r="N378" s="26">
        <f>IF($H378="","",TODAY()-$H378)</f>
        <v/>
      </c>
      <c r="O378" s="15" t="n"/>
      <c r="P378" s="26">
        <f>IF($A378="","",COUNTIFS('Audit Versions'!$A$6:$A$605,$A378,'Audit Versions'!$L$6:$L$605,"Active"))</f>
        <v/>
      </c>
      <c r="Q378" s="15" t="n"/>
      <c r="R378" s="26">
        <f>IF(OR($A378="",$P378=0),"",MOD(N($Q378),$P378)+1)</f>
        <v/>
      </c>
      <c r="S378" s="15" t="n"/>
      <c r="T378" s="25" t="n"/>
      <c r="U378" s="26">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Builder'!$B$12="",N($S378)&lt;='Assignment Builder'!$B$12)))</f>
        <v/>
      </c>
      <c r="V378" s="23" t="n"/>
    </row>
    <row r="379">
      <c r="A379" s="23" t="n"/>
      <c r="B379" s="23" t="n"/>
      <c r="C379" s="24" t="n"/>
      <c r="D379" s="15" t="n"/>
      <c r="E379" s="23" t="n"/>
      <c r="F379" s="15" t="n"/>
      <c r="G379" s="23" t="n"/>
      <c r="H379" s="25" t="n"/>
      <c r="I379" s="15" t="n"/>
      <c r="J379" s="26">
        <f>IF($A379="","",LEN($C379)-LEN(SUBSTITUTE($C379,",",""))+1)</f>
        <v/>
      </c>
      <c r="K379" s="26">
        <f>IF($A379="","",SUMPRODUCT(--ISNUMBER(SEARCH('Category Dictionary'!$D$5:$D$135&amp;"",$C379)),--('Category Dictionary'!$D$5:$D$135&lt;&gt;"")))</f>
        <v/>
      </c>
      <c r="L379" s="27">
        <f>IF($A379="","",TRIM(IF(ISERROR(FIND(",",$C379)),$C379,LEFT($C379,FIND(",",$C379)-1))))</f>
        <v/>
      </c>
      <c r="M379" s="28">
        <f>IF($H379="","",DATE(YEAR($H379),MONTH($H379),1))</f>
        <v/>
      </c>
      <c r="N379" s="26">
        <f>IF($H379="","",TODAY()-$H379)</f>
        <v/>
      </c>
      <c r="O379" s="15" t="n"/>
      <c r="P379" s="26">
        <f>IF($A379="","",COUNTIFS('Audit Versions'!$A$6:$A$605,$A379,'Audit Versions'!$L$6:$L$605,"Active"))</f>
        <v/>
      </c>
      <c r="Q379" s="15" t="n"/>
      <c r="R379" s="26">
        <f>IF(OR($A379="",$P379=0),"",MOD(N($Q379),$P379)+1)</f>
        <v/>
      </c>
      <c r="S379" s="15" t="n"/>
      <c r="T379" s="25" t="n"/>
      <c r="U379" s="26">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Builder'!$B$12="",N($S379)&lt;='Assignment Builder'!$B$12)))</f>
        <v/>
      </c>
      <c r="V379" s="23" t="n"/>
    </row>
    <row r="380">
      <c r="A380" s="23" t="n"/>
      <c r="B380" s="23" t="n"/>
      <c r="C380" s="24" t="n"/>
      <c r="D380" s="15" t="n"/>
      <c r="E380" s="23" t="n"/>
      <c r="F380" s="15" t="n"/>
      <c r="G380" s="23" t="n"/>
      <c r="H380" s="25" t="n"/>
      <c r="I380" s="15" t="n"/>
      <c r="J380" s="26">
        <f>IF($A380="","",LEN($C380)-LEN(SUBSTITUTE($C380,",",""))+1)</f>
        <v/>
      </c>
      <c r="K380" s="26">
        <f>IF($A380="","",SUMPRODUCT(--ISNUMBER(SEARCH('Category Dictionary'!$D$5:$D$135&amp;"",$C380)),--('Category Dictionary'!$D$5:$D$135&lt;&gt;"")))</f>
        <v/>
      </c>
      <c r="L380" s="27">
        <f>IF($A380="","",TRIM(IF(ISERROR(FIND(",",$C380)),$C380,LEFT($C380,FIND(",",$C380)-1))))</f>
        <v/>
      </c>
      <c r="M380" s="28">
        <f>IF($H380="","",DATE(YEAR($H380),MONTH($H380),1))</f>
        <v/>
      </c>
      <c r="N380" s="26">
        <f>IF($H380="","",TODAY()-$H380)</f>
        <v/>
      </c>
      <c r="O380" s="15" t="n"/>
      <c r="P380" s="26">
        <f>IF($A380="","",COUNTIFS('Audit Versions'!$A$6:$A$605,$A380,'Audit Versions'!$L$6:$L$605,"Active"))</f>
        <v/>
      </c>
      <c r="Q380" s="15" t="n"/>
      <c r="R380" s="26">
        <f>IF(OR($A380="",$P380=0),"",MOD(N($Q380),$P380)+1)</f>
        <v/>
      </c>
      <c r="S380" s="15" t="n"/>
      <c r="T380" s="25" t="n"/>
      <c r="U380" s="26">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Builder'!$B$12="",N($S380)&lt;='Assignment Builder'!$B$12)))</f>
        <v/>
      </c>
      <c r="V380" s="23" t="n"/>
    </row>
    <row r="381">
      <c r="A381" s="23" t="n"/>
      <c r="B381" s="23" t="n"/>
      <c r="C381" s="24" t="n"/>
      <c r="D381" s="15" t="n"/>
      <c r="E381" s="23" t="n"/>
      <c r="F381" s="15" t="n"/>
      <c r="G381" s="23" t="n"/>
      <c r="H381" s="25" t="n"/>
      <c r="I381" s="15" t="n"/>
      <c r="J381" s="26">
        <f>IF($A381="","",LEN($C381)-LEN(SUBSTITUTE($C381,",",""))+1)</f>
        <v/>
      </c>
      <c r="K381" s="26">
        <f>IF($A381="","",SUMPRODUCT(--ISNUMBER(SEARCH('Category Dictionary'!$D$5:$D$135&amp;"",$C381)),--('Category Dictionary'!$D$5:$D$135&lt;&gt;"")))</f>
        <v/>
      </c>
      <c r="L381" s="27">
        <f>IF($A381="","",TRIM(IF(ISERROR(FIND(",",$C381)),$C381,LEFT($C381,FIND(",",$C381)-1))))</f>
        <v/>
      </c>
      <c r="M381" s="28">
        <f>IF($H381="","",DATE(YEAR($H381),MONTH($H381),1))</f>
        <v/>
      </c>
      <c r="N381" s="26">
        <f>IF($H381="","",TODAY()-$H381)</f>
        <v/>
      </c>
      <c r="O381" s="15" t="n"/>
      <c r="P381" s="26">
        <f>IF($A381="","",COUNTIFS('Audit Versions'!$A$6:$A$605,$A381,'Audit Versions'!$L$6:$L$605,"Active"))</f>
        <v/>
      </c>
      <c r="Q381" s="15" t="n"/>
      <c r="R381" s="26">
        <f>IF(OR($A381="",$P381=0),"",MOD(N($Q381),$P381)+1)</f>
        <v/>
      </c>
      <c r="S381" s="15" t="n"/>
      <c r="T381" s="25" t="n"/>
      <c r="U381" s="26">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Builder'!$B$12="",N($S381)&lt;='Assignment Builder'!$B$12)))</f>
        <v/>
      </c>
      <c r="V381" s="23" t="n"/>
    </row>
    <row r="382">
      <c r="A382" s="23" t="n"/>
      <c r="B382" s="23" t="n"/>
      <c r="C382" s="24" t="n"/>
      <c r="D382" s="15" t="n"/>
      <c r="E382" s="23" t="n"/>
      <c r="F382" s="15" t="n"/>
      <c r="G382" s="23" t="n"/>
      <c r="H382" s="25" t="n"/>
      <c r="I382" s="15" t="n"/>
      <c r="J382" s="26">
        <f>IF($A382="","",LEN($C382)-LEN(SUBSTITUTE($C382,",",""))+1)</f>
        <v/>
      </c>
      <c r="K382" s="26">
        <f>IF($A382="","",SUMPRODUCT(--ISNUMBER(SEARCH('Category Dictionary'!$D$5:$D$135&amp;"",$C382)),--('Category Dictionary'!$D$5:$D$135&lt;&gt;"")))</f>
        <v/>
      </c>
      <c r="L382" s="27">
        <f>IF($A382="","",TRIM(IF(ISERROR(FIND(",",$C382)),$C382,LEFT($C382,FIND(",",$C382)-1))))</f>
        <v/>
      </c>
      <c r="M382" s="28">
        <f>IF($H382="","",DATE(YEAR($H382),MONTH($H382),1))</f>
        <v/>
      </c>
      <c r="N382" s="26">
        <f>IF($H382="","",TODAY()-$H382)</f>
        <v/>
      </c>
      <c r="O382" s="15" t="n"/>
      <c r="P382" s="26">
        <f>IF($A382="","",COUNTIFS('Audit Versions'!$A$6:$A$605,$A382,'Audit Versions'!$L$6:$L$605,"Active"))</f>
        <v/>
      </c>
      <c r="Q382" s="15" t="n"/>
      <c r="R382" s="26">
        <f>IF(OR($A382="",$P382=0),"",MOD(N($Q382),$P382)+1)</f>
        <v/>
      </c>
      <c r="S382" s="15" t="n"/>
      <c r="T382" s="25" t="n"/>
      <c r="U382" s="26">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Builder'!$B$12="",N($S382)&lt;='Assignment Builder'!$B$12)))</f>
        <v/>
      </c>
      <c r="V382" s="23" t="n"/>
    </row>
    <row r="383">
      <c r="A383" s="23" t="n"/>
      <c r="B383" s="23" t="n"/>
      <c r="C383" s="24" t="n"/>
      <c r="D383" s="15" t="n"/>
      <c r="E383" s="23" t="n"/>
      <c r="F383" s="15" t="n"/>
      <c r="G383" s="23" t="n"/>
      <c r="H383" s="25" t="n"/>
      <c r="I383" s="15" t="n"/>
      <c r="J383" s="26">
        <f>IF($A383="","",LEN($C383)-LEN(SUBSTITUTE($C383,",",""))+1)</f>
        <v/>
      </c>
      <c r="K383" s="26">
        <f>IF($A383="","",SUMPRODUCT(--ISNUMBER(SEARCH('Category Dictionary'!$D$5:$D$135&amp;"",$C383)),--('Category Dictionary'!$D$5:$D$135&lt;&gt;"")))</f>
        <v/>
      </c>
      <c r="L383" s="27">
        <f>IF($A383="","",TRIM(IF(ISERROR(FIND(",",$C383)),$C383,LEFT($C383,FIND(",",$C383)-1))))</f>
        <v/>
      </c>
      <c r="M383" s="28">
        <f>IF($H383="","",DATE(YEAR($H383),MONTH($H383),1))</f>
        <v/>
      </c>
      <c r="N383" s="26">
        <f>IF($H383="","",TODAY()-$H383)</f>
        <v/>
      </c>
      <c r="O383" s="15" t="n"/>
      <c r="P383" s="26">
        <f>IF($A383="","",COUNTIFS('Audit Versions'!$A$6:$A$605,$A383,'Audit Versions'!$L$6:$L$605,"Active"))</f>
        <v/>
      </c>
      <c r="Q383" s="15" t="n"/>
      <c r="R383" s="26">
        <f>IF(OR($A383="",$P383=0),"",MOD(N($Q383),$P383)+1)</f>
        <v/>
      </c>
      <c r="S383" s="15" t="n"/>
      <c r="T383" s="25" t="n"/>
      <c r="U383" s="26">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Builder'!$B$12="",N($S383)&lt;='Assignment Builder'!$B$12)))</f>
        <v/>
      </c>
      <c r="V383" s="23" t="n"/>
    </row>
    <row r="384">
      <c r="A384" s="23" t="n"/>
      <c r="B384" s="23" t="n"/>
      <c r="C384" s="24" t="n"/>
      <c r="D384" s="15" t="n"/>
      <c r="E384" s="23" t="n"/>
      <c r="F384" s="15" t="n"/>
      <c r="G384" s="23" t="n"/>
      <c r="H384" s="25" t="n"/>
      <c r="I384" s="15" t="n"/>
      <c r="J384" s="26">
        <f>IF($A384="","",LEN($C384)-LEN(SUBSTITUTE($C384,",",""))+1)</f>
        <v/>
      </c>
      <c r="K384" s="26">
        <f>IF($A384="","",SUMPRODUCT(--ISNUMBER(SEARCH('Category Dictionary'!$D$5:$D$135&amp;"",$C384)),--('Category Dictionary'!$D$5:$D$135&lt;&gt;"")))</f>
        <v/>
      </c>
      <c r="L384" s="27">
        <f>IF($A384="","",TRIM(IF(ISERROR(FIND(",",$C384)),$C384,LEFT($C384,FIND(",",$C384)-1))))</f>
        <v/>
      </c>
      <c r="M384" s="28">
        <f>IF($H384="","",DATE(YEAR($H384),MONTH($H384),1))</f>
        <v/>
      </c>
      <c r="N384" s="26">
        <f>IF($H384="","",TODAY()-$H384)</f>
        <v/>
      </c>
      <c r="O384" s="15" t="n"/>
      <c r="P384" s="26">
        <f>IF($A384="","",COUNTIFS('Audit Versions'!$A$6:$A$605,$A384,'Audit Versions'!$L$6:$L$605,"Active"))</f>
        <v/>
      </c>
      <c r="Q384" s="15" t="n"/>
      <c r="R384" s="26">
        <f>IF(OR($A384="",$P384=0),"",MOD(N($Q384),$P384)+1)</f>
        <v/>
      </c>
      <c r="S384" s="15" t="n"/>
      <c r="T384" s="25" t="n"/>
      <c r="U384" s="26">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Builder'!$B$12="",N($S384)&lt;='Assignment Builder'!$B$12)))</f>
        <v/>
      </c>
      <c r="V384" s="23" t="n"/>
    </row>
    <row r="385">
      <c r="A385" s="23" t="n"/>
      <c r="B385" s="23" t="n"/>
      <c r="C385" s="24" t="n"/>
      <c r="D385" s="15" t="n"/>
      <c r="E385" s="23" t="n"/>
      <c r="F385" s="15" t="n"/>
      <c r="G385" s="23" t="n"/>
      <c r="H385" s="25" t="n"/>
      <c r="I385" s="15" t="n"/>
      <c r="J385" s="26">
        <f>IF($A385="","",LEN($C385)-LEN(SUBSTITUTE($C385,",",""))+1)</f>
        <v/>
      </c>
      <c r="K385" s="26">
        <f>IF($A385="","",SUMPRODUCT(--ISNUMBER(SEARCH('Category Dictionary'!$D$5:$D$135&amp;"",$C385)),--('Category Dictionary'!$D$5:$D$135&lt;&gt;"")))</f>
        <v/>
      </c>
      <c r="L385" s="27">
        <f>IF($A385="","",TRIM(IF(ISERROR(FIND(",",$C385)),$C385,LEFT($C385,FIND(",",$C385)-1))))</f>
        <v/>
      </c>
      <c r="M385" s="28">
        <f>IF($H385="","",DATE(YEAR($H385),MONTH($H385),1))</f>
        <v/>
      </c>
      <c r="N385" s="26">
        <f>IF($H385="","",TODAY()-$H385)</f>
        <v/>
      </c>
      <c r="O385" s="15" t="n"/>
      <c r="P385" s="26">
        <f>IF($A385="","",COUNTIFS('Audit Versions'!$A$6:$A$605,$A385,'Audit Versions'!$L$6:$L$605,"Active"))</f>
        <v/>
      </c>
      <c r="Q385" s="15" t="n"/>
      <c r="R385" s="26">
        <f>IF(OR($A385="",$P385=0),"",MOD(N($Q385),$P385)+1)</f>
        <v/>
      </c>
      <c r="S385" s="15" t="n"/>
      <c r="T385" s="25" t="n"/>
      <c r="U385" s="26">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Builder'!$B$12="",N($S385)&lt;='Assignment Builder'!$B$12)))</f>
        <v/>
      </c>
      <c r="V385" s="23" t="n"/>
    </row>
    <row r="386">
      <c r="A386" s="23" t="n"/>
      <c r="B386" s="23" t="n"/>
      <c r="C386" s="24" t="n"/>
      <c r="D386" s="15" t="n"/>
      <c r="E386" s="23" t="n"/>
      <c r="F386" s="15" t="n"/>
      <c r="G386" s="23" t="n"/>
      <c r="H386" s="25" t="n"/>
      <c r="I386" s="15" t="n"/>
      <c r="J386" s="26">
        <f>IF($A386="","",LEN($C386)-LEN(SUBSTITUTE($C386,",",""))+1)</f>
        <v/>
      </c>
      <c r="K386" s="26">
        <f>IF($A386="","",SUMPRODUCT(--ISNUMBER(SEARCH('Category Dictionary'!$D$5:$D$135&amp;"",$C386)),--('Category Dictionary'!$D$5:$D$135&lt;&gt;"")))</f>
        <v/>
      </c>
      <c r="L386" s="27">
        <f>IF($A386="","",TRIM(IF(ISERROR(FIND(",",$C386)),$C386,LEFT($C386,FIND(",",$C386)-1))))</f>
        <v/>
      </c>
      <c r="M386" s="28">
        <f>IF($H386="","",DATE(YEAR($H386),MONTH($H386),1))</f>
        <v/>
      </c>
      <c r="N386" s="26">
        <f>IF($H386="","",TODAY()-$H386)</f>
        <v/>
      </c>
      <c r="O386" s="15" t="n"/>
      <c r="P386" s="26">
        <f>IF($A386="","",COUNTIFS('Audit Versions'!$A$6:$A$605,$A386,'Audit Versions'!$L$6:$L$605,"Active"))</f>
        <v/>
      </c>
      <c r="Q386" s="15" t="n"/>
      <c r="R386" s="26">
        <f>IF(OR($A386="",$P386=0),"",MOD(N($Q386),$P386)+1)</f>
        <v/>
      </c>
      <c r="S386" s="15" t="n"/>
      <c r="T386" s="25" t="n"/>
      <c r="U386" s="26">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Builder'!$B$12="",N($S386)&lt;='Assignment Builder'!$B$12)))</f>
        <v/>
      </c>
      <c r="V386" s="23" t="n"/>
    </row>
    <row r="387">
      <c r="A387" s="23" t="n"/>
      <c r="B387" s="23" t="n"/>
      <c r="C387" s="24" t="n"/>
      <c r="D387" s="15" t="n"/>
      <c r="E387" s="23" t="n"/>
      <c r="F387" s="15" t="n"/>
      <c r="G387" s="23" t="n"/>
      <c r="H387" s="25" t="n"/>
      <c r="I387" s="15" t="n"/>
      <c r="J387" s="26">
        <f>IF($A387="","",LEN($C387)-LEN(SUBSTITUTE($C387,",",""))+1)</f>
        <v/>
      </c>
      <c r="K387" s="26">
        <f>IF($A387="","",SUMPRODUCT(--ISNUMBER(SEARCH('Category Dictionary'!$D$5:$D$135&amp;"",$C387)),--('Category Dictionary'!$D$5:$D$135&lt;&gt;"")))</f>
        <v/>
      </c>
      <c r="L387" s="27">
        <f>IF($A387="","",TRIM(IF(ISERROR(FIND(",",$C387)),$C387,LEFT($C387,FIND(",",$C387)-1))))</f>
        <v/>
      </c>
      <c r="M387" s="28">
        <f>IF($H387="","",DATE(YEAR($H387),MONTH($H387),1))</f>
        <v/>
      </c>
      <c r="N387" s="26">
        <f>IF($H387="","",TODAY()-$H387)</f>
        <v/>
      </c>
      <c r="O387" s="15" t="n"/>
      <c r="P387" s="26">
        <f>IF($A387="","",COUNTIFS('Audit Versions'!$A$6:$A$605,$A387,'Audit Versions'!$L$6:$L$605,"Active"))</f>
        <v/>
      </c>
      <c r="Q387" s="15" t="n"/>
      <c r="R387" s="26">
        <f>IF(OR($A387="",$P387=0),"",MOD(N($Q387),$P387)+1)</f>
        <v/>
      </c>
      <c r="S387" s="15" t="n"/>
      <c r="T387" s="25" t="n"/>
      <c r="U387" s="26">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Builder'!$B$12="",N($S387)&lt;='Assignment Builder'!$B$12)))</f>
        <v/>
      </c>
      <c r="V387" s="23" t="n"/>
    </row>
    <row r="388">
      <c r="A388" s="23" t="n"/>
      <c r="B388" s="23" t="n"/>
      <c r="C388" s="24" t="n"/>
      <c r="D388" s="15" t="n"/>
      <c r="E388" s="23" t="n"/>
      <c r="F388" s="15" t="n"/>
      <c r="G388" s="23" t="n"/>
      <c r="H388" s="25" t="n"/>
      <c r="I388" s="15" t="n"/>
      <c r="J388" s="26">
        <f>IF($A388="","",LEN($C388)-LEN(SUBSTITUTE($C388,",",""))+1)</f>
        <v/>
      </c>
      <c r="K388" s="26">
        <f>IF($A388="","",SUMPRODUCT(--ISNUMBER(SEARCH('Category Dictionary'!$D$5:$D$135&amp;"",$C388)),--('Category Dictionary'!$D$5:$D$135&lt;&gt;"")))</f>
        <v/>
      </c>
      <c r="L388" s="27">
        <f>IF($A388="","",TRIM(IF(ISERROR(FIND(",",$C388)),$C388,LEFT($C388,FIND(",",$C388)-1))))</f>
        <v/>
      </c>
      <c r="M388" s="28">
        <f>IF($H388="","",DATE(YEAR($H388),MONTH($H388),1))</f>
        <v/>
      </c>
      <c r="N388" s="26">
        <f>IF($H388="","",TODAY()-$H388)</f>
        <v/>
      </c>
      <c r="O388" s="15" t="n"/>
      <c r="P388" s="26">
        <f>IF($A388="","",COUNTIFS('Audit Versions'!$A$6:$A$605,$A388,'Audit Versions'!$L$6:$L$605,"Active"))</f>
        <v/>
      </c>
      <c r="Q388" s="15" t="n"/>
      <c r="R388" s="26">
        <f>IF(OR($A388="",$P388=0),"",MOD(N($Q388),$P388)+1)</f>
        <v/>
      </c>
      <c r="S388" s="15" t="n"/>
      <c r="T388" s="25" t="n"/>
      <c r="U388" s="26">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Builder'!$B$12="",N($S388)&lt;='Assignment Builder'!$B$12)))</f>
        <v/>
      </c>
      <c r="V388" s="23" t="n"/>
    </row>
    <row r="389">
      <c r="A389" s="23" t="n"/>
      <c r="B389" s="23" t="n"/>
      <c r="C389" s="24" t="n"/>
      <c r="D389" s="15" t="n"/>
      <c r="E389" s="23" t="n"/>
      <c r="F389" s="15" t="n"/>
      <c r="G389" s="23" t="n"/>
      <c r="H389" s="25" t="n"/>
      <c r="I389" s="15" t="n"/>
      <c r="J389" s="26">
        <f>IF($A389="","",LEN($C389)-LEN(SUBSTITUTE($C389,",",""))+1)</f>
        <v/>
      </c>
      <c r="K389" s="26">
        <f>IF($A389="","",SUMPRODUCT(--ISNUMBER(SEARCH('Category Dictionary'!$D$5:$D$135&amp;"",$C389)),--('Category Dictionary'!$D$5:$D$135&lt;&gt;"")))</f>
        <v/>
      </c>
      <c r="L389" s="27">
        <f>IF($A389="","",TRIM(IF(ISERROR(FIND(",",$C389)),$C389,LEFT($C389,FIND(",",$C389)-1))))</f>
        <v/>
      </c>
      <c r="M389" s="28">
        <f>IF($H389="","",DATE(YEAR($H389),MONTH($H389),1))</f>
        <v/>
      </c>
      <c r="N389" s="26">
        <f>IF($H389="","",TODAY()-$H389)</f>
        <v/>
      </c>
      <c r="O389" s="15" t="n"/>
      <c r="P389" s="26">
        <f>IF($A389="","",COUNTIFS('Audit Versions'!$A$6:$A$605,$A389,'Audit Versions'!$L$6:$L$605,"Active"))</f>
        <v/>
      </c>
      <c r="Q389" s="15" t="n"/>
      <c r="R389" s="26">
        <f>IF(OR($A389="",$P389=0),"",MOD(N($Q389),$P389)+1)</f>
        <v/>
      </c>
      <c r="S389" s="15" t="n"/>
      <c r="T389" s="25" t="n"/>
      <c r="U389" s="26">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Builder'!$B$12="",N($S389)&lt;='Assignment Builder'!$B$12)))</f>
        <v/>
      </c>
      <c r="V389" s="23" t="n"/>
    </row>
    <row r="390">
      <c r="A390" s="23" t="n"/>
      <c r="B390" s="23" t="n"/>
      <c r="C390" s="24" t="n"/>
      <c r="D390" s="15" t="n"/>
      <c r="E390" s="23" t="n"/>
      <c r="F390" s="15" t="n"/>
      <c r="G390" s="23" t="n"/>
      <c r="H390" s="25" t="n"/>
      <c r="I390" s="15" t="n"/>
      <c r="J390" s="26">
        <f>IF($A390="","",LEN($C390)-LEN(SUBSTITUTE($C390,",",""))+1)</f>
        <v/>
      </c>
      <c r="K390" s="26">
        <f>IF($A390="","",SUMPRODUCT(--ISNUMBER(SEARCH('Category Dictionary'!$D$5:$D$135&amp;"",$C390)),--('Category Dictionary'!$D$5:$D$135&lt;&gt;"")))</f>
        <v/>
      </c>
      <c r="L390" s="27">
        <f>IF($A390="","",TRIM(IF(ISERROR(FIND(",",$C390)),$C390,LEFT($C390,FIND(",",$C390)-1))))</f>
        <v/>
      </c>
      <c r="M390" s="28">
        <f>IF($H390="","",DATE(YEAR($H390),MONTH($H390),1))</f>
        <v/>
      </c>
      <c r="N390" s="26">
        <f>IF($H390="","",TODAY()-$H390)</f>
        <v/>
      </c>
      <c r="O390" s="15" t="n"/>
      <c r="P390" s="26">
        <f>IF($A390="","",COUNTIFS('Audit Versions'!$A$6:$A$605,$A390,'Audit Versions'!$L$6:$L$605,"Active"))</f>
        <v/>
      </c>
      <c r="Q390" s="15" t="n"/>
      <c r="R390" s="26">
        <f>IF(OR($A390="",$P390=0),"",MOD(N($Q390),$P390)+1)</f>
        <v/>
      </c>
      <c r="S390" s="15" t="n"/>
      <c r="T390" s="25" t="n"/>
      <c r="U390" s="26">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Builder'!$B$12="",N($S390)&lt;='Assignment Builder'!$B$12)))</f>
        <v/>
      </c>
      <c r="V390" s="23" t="n"/>
    </row>
    <row r="391">
      <c r="A391" s="23" t="n"/>
      <c r="B391" s="23" t="n"/>
      <c r="C391" s="24" t="n"/>
      <c r="D391" s="15" t="n"/>
      <c r="E391" s="23" t="n"/>
      <c r="F391" s="15" t="n"/>
      <c r="G391" s="23" t="n"/>
      <c r="H391" s="25" t="n"/>
      <c r="I391" s="15" t="n"/>
      <c r="J391" s="26">
        <f>IF($A391="","",LEN($C391)-LEN(SUBSTITUTE($C391,",",""))+1)</f>
        <v/>
      </c>
      <c r="K391" s="26">
        <f>IF($A391="","",SUMPRODUCT(--ISNUMBER(SEARCH('Category Dictionary'!$D$5:$D$135&amp;"",$C391)),--('Category Dictionary'!$D$5:$D$135&lt;&gt;"")))</f>
        <v/>
      </c>
      <c r="L391" s="27">
        <f>IF($A391="","",TRIM(IF(ISERROR(FIND(",",$C391)),$C391,LEFT($C391,FIND(",",$C391)-1))))</f>
        <v/>
      </c>
      <c r="M391" s="28">
        <f>IF($H391="","",DATE(YEAR($H391),MONTH($H391),1))</f>
        <v/>
      </c>
      <c r="N391" s="26">
        <f>IF($H391="","",TODAY()-$H391)</f>
        <v/>
      </c>
      <c r="O391" s="15" t="n"/>
      <c r="P391" s="26">
        <f>IF($A391="","",COUNTIFS('Audit Versions'!$A$6:$A$605,$A391,'Audit Versions'!$L$6:$L$605,"Active"))</f>
        <v/>
      </c>
      <c r="Q391" s="15" t="n"/>
      <c r="R391" s="26">
        <f>IF(OR($A391="",$P391=0),"",MOD(N($Q391),$P391)+1)</f>
        <v/>
      </c>
      <c r="S391" s="15" t="n"/>
      <c r="T391" s="25" t="n"/>
      <c r="U391" s="26">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Builder'!$B$12="",N($S391)&lt;='Assignment Builder'!$B$12)))</f>
        <v/>
      </c>
      <c r="V391" s="23" t="n"/>
    </row>
    <row r="392">
      <c r="A392" s="23" t="n"/>
      <c r="B392" s="23" t="n"/>
      <c r="C392" s="24" t="n"/>
      <c r="D392" s="15" t="n"/>
      <c r="E392" s="23" t="n"/>
      <c r="F392" s="15" t="n"/>
      <c r="G392" s="23" t="n"/>
      <c r="H392" s="25" t="n"/>
      <c r="I392" s="15" t="n"/>
      <c r="J392" s="26">
        <f>IF($A392="","",LEN($C392)-LEN(SUBSTITUTE($C392,",",""))+1)</f>
        <v/>
      </c>
      <c r="K392" s="26">
        <f>IF($A392="","",SUMPRODUCT(--ISNUMBER(SEARCH('Category Dictionary'!$D$5:$D$135&amp;"",$C392)),--('Category Dictionary'!$D$5:$D$135&lt;&gt;"")))</f>
        <v/>
      </c>
      <c r="L392" s="27">
        <f>IF($A392="","",TRIM(IF(ISERROR(FIND(",",$C392)),$C392,LEFT($C392,FIND(",",$C392)-1))))</f>
        <v/>
      </c>
      <c r="M392" s="28">
        <f>IF($H392="","",DATE(YEAR($H392),MONTH($H392),1))</f>
        <v/>
      </c>
      <c r="N392" s="26">
        <f>IF($H392="","",TODAY()-$H392)</f>
        <v/>
      </c>
      <c r="O392" s="15" t="n"/>
      <c r="P392" s="26">
        <f>IF($A392="","",COUNTIFS('Audit Versions'!$A$6:$A$605,$A392,'Audit Versions'!$L$6:$L$605,"Active"))</f>
        <v/>
      </c>
      <c r="Q392" s="15" t="n"/>
      <c r="R392" s="26">
        <f>IF(OR($A392="",$P392=0),"",MOD(N($Q392),$P392)+1)</f>
        <v/>
      </c>
      <c r="S392" s="15" t="n"/>
      <c r="T392" s="25" t="n"/>
      <c r="U392" s="26">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Builder'!$B$12="",N($S392)&lt;='Assignment Builder'!$B$12)))</f>
        <v/>
      </c>
      <c r="V392" s="23" t="n"/>
    </row>
    <row r="393">
      <c r="A393" s="23" t="n"/>
      <c r="B393" s="23" t="n"/>
      <c r="C393" s="24" t="n"/>
      <c r="D393" s="15" t="n"/>
      <c r="E393" s="23" t="n"/>
      <c r="F393" s="15" t="n"/>
      <c r="G393" s="23" t="n"/>
      <c r="H393" s="25" t="n"/>
      <c r="I393" s="15" t="n"/>
      <c r="J393" s="26">
        <f>IF($A393="","",LEN($C393)-LEN(SUBSTITUTE($C393,",",""))+1)</f>
        <v/>
      </c>
      <c r="K393" s="26">
        <f>IF($A393="","",SUMPRODUCT(--ISNUMBER(SEARCH('Category Dictionary'!$D$5:$D$135&amp;"",$C393)),--('Category Dictionary'!$D$5:$D$135&lt;&gt;"")))</f>
        <v/>
      </c>
      <c r="L393" s="27">
        <f>IF($A393="","",TRIM(IF(ISERROR(FIND(",",$C393)),$C393,LEFT($C393,FIND(",",$C393)-1))))</f>
        <v/>
      </c>
      <c r="M393" s="28">
        <f>IF($H393="","",DATE(YEAR($H393),MONTH($H393),1))</f>
        <v/>
      </c>
      <c r="N393" s="26">
        <f>IF($H393="","",TODAY()-$H393)</f>
        <v/>
      </c>
      <c r="O393" s="15" t="n"/>
      <c r="P393" s="26">
        <f>IF($A393="","",COUNTIFS('Audit Versions'!$A$6:$A$605,$A393,'Audit Versions'!$L$6:$L$605,"Active"))</f>
        <v/>
      </c>
      <c r="Q393" s="15" t="n"/>
      <c r="R393" s="26">
        <f>IF(OR($A393="",$P393=0),"",MOD(N($Q393),$P393)+1)</f>
        <v/>
      </c>
      <c r="S393" s="15" t="n"/>
      <c r="T393" s="25" t="n"/>
      <c r="U393" s="26">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Builder'!$B$12="",N($S393)&lt;='Assignment Builder'!$B$12)))</f>
        <v/>
      </c>
      <c r="V393" s="23" t="n"/>
    </row>
    <row r="394">
      <c r="A394" s="23" t="n"/>
      <c r="B394" s="23" t="n"/>
      <c r="C394" s="24" t="n"/>
      <c r="D394" s="15" t="n"/>
      <c r="E394" s="23" t="n"/>
      <c r="F394" s="15" t="n"/>
      <c r="G394" s="23" t="n"/>
      <c r="H394" s="25" t="n"/>
      <c r="I394" s="15" t="n"/>
      <c r="J394" s="26">
        <f>IF($A394="","",LEN($C394)-LEN(SUBSTITUTE($C394,",",""))+1)</f>
        <v/>
      </c>
      <c r="K394" s="26">
        <f>IF($A394="","",SUMPRODUCT(--ISNUMBER(SEARCH('Category Dictionary'!$D$5:$D$135&amp;"",$C394)),--('Category Dictionary'!$D$5:$D$135&lt;&gt;"")))</f>
        <v/>
      </c>
      <c r="L394" s="27">
        <f>IF($A394="","",TRIM(IF(ISERROR(FIND(",",$C394)),$C394,LEFT($C394,FIND(",",$C394)-1))))</f>
        <v/>
      </c>
      <c r="M394" s="28">
        <f>IF($H394="","",DATE(YEAR($H394),MONTH($H394),1))</f>
        <v/>
      </c>
      <c r="N394" s="26">
        <f>IF($H394="","",TODAY()-$H394)</f>
        <v/>
      </c>
      <c r="O394" s="15" t="n"/>
      <c r="P394" s="26">
        <f>IF($A394="","",COUNTIFS('Audit Versions'!$A$6:$A$605,$A394,'Audit Versions'!$L$6:$L$605,"Active"))</f>
        <v/>
      </c>
      <c r="Q394" s="15" t="n"/>
      <c r="R394" s="26">
        <f>IF(OR($A394="",$P394=0),"",MOD(N($Q394),$P394)+1)</f>
        <v/>
      </c>
      <c r="S394" s="15" t="n"/>
      <c r="T394" s="25" t="n"/>
      <c r="U394" s="26">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Builder'!$B$12="",N($S394)&lt;='Assignment Builder'!$B$12)))</f>
        <v/>
      </c>
      <c r="V394" s="23" t="n"/>
    </row>
    <row r="395">
      <c r="A395" s="23" t="n"/>
      <c r="B395" s="23" t="n"/>
      <c r="C395" s="24" t="n"/>
      <c r="D395" s="15" t="n"/>
      <c r="E395" s="23" t="n"/>
      <c r="F395" s="15" t="n"/>
      <c r="G395" s="23" t="n"/>
      <c r="H395" s="25" t="n"/>
      <c r="I395" s="15" t="n"/>
      <c r="J395" s="26">
        <f>IF($A395="","",LEN($C395)-LEN(SUBSTITUTE($C395,",",""))+1)</f>
        <v/>
      </c>
      <c r="K395" s="26">
        <f>IF($A395="","",SUMPRODUCT(--ISNUMBER(SEARCH('Category Dictionary'!$D$5:$D$135&amp;"",$C395)),--('Category Dictionary'!$D$5:$D$135&lt;&gt;"")))</f>
        <v/>
      </c>
      <c r="L395" s="27">
        <f>IF($A395="","",TRIM(IF(ISERROR(FIND(",",$C395)),$C395,LEFT($C395,FIND(",",$C395)-1))))</f>
        <v/>
      </c>
      <c r="M395" s="28">
        <f>IF($H395="","",DATE(YEAR($H395),MONTH($H395),1))</f>
        <v/>
      </c>
      <c r="N395" s="26">
        <f>IF($H395="","",TODAY()-$H395)</f>
        <v/>
      </c>
      <c r="O395" s="15" t="n"/>
      <c r="P395" s="26">
        <f>IF($A395="","",COUNTIFS('Audit Versions'!$A$6:$A$605,$A395,'Audit Versions'!$L$6:$L$605,"Active"))</f>
        <v/>
      </c>
      <c r="Q395" s="15" t="n"/>
      <c r="R395" s="26">
        <f>IF(OR($A395="",$P395=0),"",MOD(N($Q395),$P395)+1)</f>
        <v/>
      </c>
      <c r="S395" s="15" t="n"/>
      <c r="T395" s="25" t="n"/>
      <c r="U395" s="26">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Builder'!$B$12="",N($S395)&lt;='Assignment Builder'!$B$12)))</f>
        <v/>
      </c>
      <c r="V395" s="23" t="n"/>
    </row>
    <row r="396">
      <c r="A396" s="23" t="n"/>
      <c r="B396" s="23" t="n"/>
      <c r="C396" s="24" t="n"/>
      <c r="D396" s="15" t="n"/>
      <c r="E396" s="23" t="n"/>
      <c r="F396" s="15" t="n"/>
      <c r="G396" s="23" t="n"/>
      <c r="H396" s="25" t="n"/>
      <c r="I396" s="15" t="n"/>
      <c r="J396" s="26">
        <f>IF($A396="","",LEN($C396)-LEN(SUBSTITUTE($C396,",",""))+1)</f>
        <v/>
      </c>
      <c r="K396" s="26">
        <f>IF($A396="","",SUMPRODUCT(--ISNUMBER(SEARCH('Category Dictionary'!$D$5:$D$135&amp;"",$C396)),--('Category Dictionary'!$D$5:$D$135&lt;&gt;"")))</f>
        <v/>
      </c>
      <c r="L396" s="27">
        <f>IF($A396="","",TRIM(IF(ISERROR(FIND(",",$C396)),$C396,LEFT($C396,FIND(",",$C396)-1))))</f>
        <v/>
      </c>
      <c r="M396" s="28">
        <f>IF($H396="","",DATE(YEAR($H396),MONTH($H396),1))</f>
        <v/>
      </c>
      <c r="N396" s="26">
        <f>IF($H396="","",TODAY()-$H396)</f>
        <v/>
      </c>
      <c r="O396" s="15" t="n"/>
      <c r="P396" s="26">
        <f>IF($A396="","",COUNTIFS('Audit Versions'!$A$6:$A$605,$A396,'Audit Versions'!$L$6:$L$605,"Active"))</f>
        <v/>
      </c>
      <c r="Q396" s="15" t="n"/>
      <c r="R396" s="26">
        <f>IF(OR($A396="",$P396=0),"",MOD(N($Q396),$P396)+1)</f>
        <v/>
      </c>
      <c r="S396" s="15" t="n"/>
      <c r="T396" s="25" t="n"/>
      <c r="U396" s="26">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Builder'!$B$12="",N($S396)&lt;='Assignment Builder'!$B$12)))</f>
        <v/>
      </c>
      <c r="V396" s="23" t="n"/>
    </row>
    <row r="397">
      <c r="A397" s="23" t="n"/>
      <c r="B397" s="23" t="n"/>
      <c r="C397" s="24" t="n"/>
      <c r="D397" s="15" t="n"/>
      <c r="E397" s="23" t="n"/>
      <c r="F397" s="15" t="n"/>
      <c r="G397" s="23" t="n"/>
      <c r="H397" s="25" t="n"/>
      <c r="I397" s="15" t="n"/>
      <c r="J397" s="26">
        <f>IF($A397="","",LEN($C397)-LEN(SUBSTITUTE($C397,",",""))+1)</f>
        <v/>
      </c>
      <c r="K397" s="26">
        <f>IF($A397="","",SUMPRODUCT(--ISNUMBER(SEARCH('Category Dictionary'!$D$5:$D$135&amp;"",$C397)),--('Category Dictionary'!$D$5:$D$135&lt;&gt;"")))</f>
        <v/>
      </c>
      <c r="L397" s="27">
        <f>IF($A397="","",TRIM(IF(ISERROR(FIND(",",$C397)),$C397,LEFT($C397,FIND(",",$C397)-1))))</f>
        <v/>
      </c>
      <c r="M397" s="28">
        <f>IF($H397="","",DATE(YEAR($H397),MONTH($H397),1))</f>
        <v/>
      </c>
      <c r="N397" s="26">
        <f>IF($H397="","",TODAY()-$H397)</f>
        <v/>
      </c>
      <c r="O397" s="15" t="n"/>
      <c r="P397" s="26">
        <f>IF($A397="","",COUNTIFS('Audit Versions'!$A$6:$A$605,$A397,'Audit Versions'!$L$6:$L$605,"Active"))</f>
        <v/>
      </c>
      <c r="Q397" s="15" t="n"/>
      <c r="R397" s="26">
        <f>IF(OR($A397="",$P397=0),"",MOD(N($Q397),$P397)+1)</f>
        <v/>
      </c>
      <c r="S397" s="15" t="n"/>
      <c r="T397" s="25" t="n"/>
      <c r="U397" s="26">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Builder'!$B$12="",N($S397)&lt;='Assignment Builder'!$B$12)))</f>
        <v/>
      </c>
      <c r="V397" s="23" t="n"/>
    </row>
    <row r="398">
      <c r="A398" s="23" t="n"/>
      <c r="B398" s="23" t="n"/>
      <c r="C398" s="24" t="n"/>
      <c r="D398" s="15" t="n"/>
      <c r="E398" s="23" t="n"/>
      <c r="F398" s="15" t="n"/>
      <c r="G398" s="23" t="n"/>
      <c r="H398" s="25" t="n"/>
      <c r="I398" s="15" t="n"/>
      <c r="J398" s="26">
        <f>IF($A398="","",LEN($C398)-LEN(SUBSTITUTE($C398,",",""))+1)</f>
        <v/>
      </c>
      <c r="K398" s="26">
        <f>IF($A398="","",SUMPRODUCT(--ISNUMBER(SEARCH('Category Dictionary'!$D$5:$D$135&amp;"",$C398)),--('Category Dictionary'!$D$5:$D$135&lt;&gt;"")))</f>
        <v/>
      </c>
      <c r="L398" s="27">
        <f>IF($A398="","",TRIM(IF(ISERROR(FIND(",",$C398)),$C398,LEFT($C398,FIND(",",$C398)-1))))</f>
        <v/>
      </c>
      <c r="M398" s="28">
        <f>IF($H398="","",DATE(YEAR($H398),MONTH($H398),1))</f>
        <v/>
      </c>
      <c r="N398" s="26">
        <f>IF($H398="","",TODAY()-$H398)</f>
        <v/>
      </c>
      <c r="O398" s="15" t="n"/>
      <c r="P398" s="26">
        <f>IF($A398="","",COUNTIFS('Audit Versions'!$A$6:$A$605,$A398,'Audit Versions'!$L$6:$L$605,"Active"))</f>
        <v/>
      </c>
      <c r="Q398" s="15" t="n"/>
      <c r="R398" s="26">
        <f>IF(OR($A398="",$P398=0),"",MOD(N($Q398),$P398)+1)</f>
        <v/>
      </c>
      <c r="S398" s="15" t="n"/>
      <c r="T398" s="25" t="n"/>
      <c r="U398" s="26">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Builder'!$B$12="",N($S398)&lt;='Assignment Builder'!$B$12)))</f>
        <v/>
      </c>
      <c r="V398" s="23" t="n"/>
    </row>
    <row r="399">
      <c r="A399" s="23" t="n"/>
      <c r="B399" s="23" t="n"/>
      <c r="C399" s="24" t="n"/>
      <c r="D399" s="15" t="n"/>
      <c r="E399" s="23" t="n"/>
      <c r="F399" s="15" t="n"/>
      <c r="G399" s="23" t="n"/>
      <c r="H399" s="25" t="n"/>
      <c r="I399" s="15" t="n"/>
      <c r="J399" s="26">
        <f>IF($A399="","",LEN($C399)-LEN(SUBSTITUTE($C399,",",""))+1)</f>
        <v/>
      </c>
      <c r="K399" s="26">
        <f>IF($A399="","",SUMPRODUCT(--ISNUMBER(SEARCH('Category Dictionary'!$D$5:$D$135&amp;"",$C399)),--('Category Dictionary'!$D$5:$D$135&lt;&gt;"")))</f>
        <v/>
      </c>
      <c r="L399" s="27">
        <f>IF($A399="","",TRIM(IF(ISERROR(FIND(",",$C399)),$C399,LEFT($C399,FIND(",",$C399)-1))))</f>
        <v/>
      </c>
      <c r="M399" s="28">
        <f>IF($H399="","",DATE(YEAR($H399),MONTH($H399),1))</f>
        <v/>
      </c>
      <c r="N399" s="26">
        <f>IF($H399="","",TODAY()-$H399)</f>
        <v/>
      </c>
      <c r="O399" s="15" t="n"/>
      <c r="P399" s="26">
        <f>IF($A399="","",COUNTIFS('Audit Versions'!$A$6:$A$605,$A399,'Audit Versions'!$L$6:$L$605,"Active"))</f>
        <v/>
      </c>
      <c r="Q399" s="15" t="n"/>
      <c r="R399" s="26">
        <f>IF(OR($A399="",$P399=0),"",MOD(N($Q399),$P399)+1)</f>
        <v/>
      </c>
      <c r="S399" s="15" t="n"/>
      <c r="T399" s="25" t="n"/>
      <c r="U399" s="26">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Builder'!$B$12="",N($S399)&lt;='Assignment Builder'!$B$12)))</f>
        <v/>
      </c>
      <c r="V399" s="23" t="n"/>
    </row>
    <row r="400">
      <c r="A400" s="23" t="n"/>
      <c r="B400" s="23" t="n"/>
      <c r="C400" s="24" t="n"/>
      <c r="D400" s="15" t="n"/>
      <c r="E400" s="23" t="n"/>
      <c r="F400" s="15" t="n"/>
      <c r="G400" s="23" t="n"/>
      <c r="H400" s="25" t="n"/>
      <c r="I400" s="15" t="n"/>
      <c r="J400" s="26">
        <f>IF($A400="","",LEN($C400)-LEN(SUBSTITUTE($C400,",",""))+1)</f>
        <v/>
      </c>
      <c r="K400" s="26">
        <f>IF($A400="","",SUMPRODUCT(--ISNUMBER(SEARCH('Category Dictionary'!$D$5:$D$135&amp;"",$C400)),--('Category Dictionary'!$D$5:$D$135&lt;&gt;"")))</f>
        <v/>
      </c>
      <c r="L400" s="27">
        <f>IF($A400="","",TRIM(IF(ISERROR(FIND(",",$C400)),$C400,LEFT($C400,FIND(",",$C400)-1))))</f>
        <v/>
      </c>
      <c r="M400" s="28">
        <f>IF($H400="","",DATE(YEAR($H400),MONTH($H400),1))</f>
        <v/>
      </c>
      <c r="N400" s="26">
        <f>IF($H400="","",TODAY()-$H400)</f>
        <v/>
      </c>
      <c r="O400" s="15" t="n"/>
      <c r="P400" s="26">
        <f>IF($A400="","",COUNTIFS('Audit Versions'!$A$6:$A$605,$A400,'Audit Versions'!$L$6:$L$605,"Active"))</f>
        <v/>
      </c>
      <c r="Q400" s="15" t="n"/>
      <c r="R400" s="26">
        <f>IF(OR($A400="",$P400=0),"",MOD(N($Q400),$P400)+1)</f>
        <v/>
      </c>
      <c r="S400" s="15" t="n"/>
      <c r="T400" s="25" t="n"/>
      <c r="U400" s="26">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Builder'!$B$12="",N($S400)&lt;='Assignment Builder'!$B$12)))</f>
        <v/>
      </c>
      <c r="V400" s="23" t="n"/>
    </row>
    <row r="401">
      <c r="A401" s="23" t="n"/>
      <c r="B401" s="23" t="n"/>
      <c r="C401" s="24" t="n"/>
      <c r="D401" s="15" t="n"/>
      <c r="E401" s="23" t="n"/>
      <c r="F401" s="15" t="n"/>
      <c r="G401" s="23" t="n"/>
      <c r="H401" s="25" t="n"/>
      <c r="I401" s="15" t="n"/>
      <c r="J401" s="26">
        <f>IF($A401="","",LEN($C401)-LEN(SUBSTITUTE($C401,",",""))+1)</f>
        <v/>
      </c>
      <c r="K401" s="26">
        <f>IF($A401="","",SUMPRODUCT(--ISNUMBER(SEARCH('Category Dictionary'!$D$5:$D$135&amp;"",$C401)),--('Category Dictionary'!$D$5:$D$135&lt;&gt;"")))</f>
        <v/>
      </c>
      <c r="L401" s="27">
        <f>IF($A401="","",TRIM(IF(ISERROR(FIND(",",$C401)),$C401,LEFT($C401,FIND(",",$C401)-1))))</f>
        <v/>
      </c>
      <c r="M401" s="28">
        <f>IF($H401="","",DATE(YEAR($H401),MONTH($H401),1))</f>
        <v/>
      </c>
      <c r="N401" s="26">
        <f>IF($H401="","",TODAY()-$H401)</f>
        <v/>
      </c>
      <c r="O401" s="15" t="n"/>
      <c r="P401" s="26">
        <f>IF($A401="","",COUNTIFS('Audit Versions'!$A$6:$A$605,$A401,'Audit Versions'!$L$6:$L$605,"Active"))</f>
        <v/>
      </c>
      <c r="Q401" s="15" t="n"/>
      <c r="R401" s="26">
        <f>IF(OR($A401="",$P401=0),"",MOD(N($Q401),$P401)+1)</f>
        <v/>
      </c>
      <c r="S401" s="15" t="n"/>
      <c r="T401" s="25" t="n"/>
      <c r="U401" s="26">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Builder'!$B$12="",N($S401)&lt;='Assignment Builder'!$B$12)))</f>
        <v/>
      </c>
      <c r="V401" s="23" t="n"/>
    </row>
    <row r="402">
      <c r="A402" s="23" t="n"/>
      <c r="B402" s="23" t="n"/>
      <c r="C402" s="24" t="n"/>
      <c r="D402" s="15" t="n"/>
      <c r="E402" s="23" t="n"/>
      <c r="F402" s="15" t="n"/>
      <c r="G402" s="23" t="n"/>
      <c r="H402" s="25" t="n"/>
      <c r="I402" s="15" t="n"/>
      <c r="J402" s="26">
        <f>IF($A402="","",LEN($C402)-LEN(SUBSTITUTE($C402,",",""))+1)</f>
        <v/>
      </c>
      <c r="K402" s="26">
        <f>IF($A402="","",SUMPRODUCT(--ISNUMBER(SEARCH('Category Dictionary'!$D$5:$D$135&amp;"",$C402)),--('Category Dictionary'!$D$5:$D$135&lt;&gt;"")))</f>
        <v/>
      </c>
      <c r="L402" s="27">
        <f>IF($A402="","",TRIM(IF(ISERROR(FIND(",",$C402)),$C402,LEFT($C402,FIND(",",$C402)-1))))</f>
        <v/>
      </c>
      <c r="M402" s="28">
        <f>IF($H402="","",DATE(YEAR($H402),MONTH($H402),1))</f>
        <v/>
      </c>
      <c r="N402" s="26">
        <f>IF($H402="","",TODAY()-$H402)</f>
        <v/>
      </c>
      <c r="O402" s="15" t="n"/>
      <c r="P402" s="26">
        <f>IF($A402="","",COUNTIFS('Audit Versions'!$A$6:$A$605,$A402,'Audit Versions'!$L$6:$L$605,"Active"))</f>
        <v/>
      </c>
      <c r="Q402" s="15" t="n"/>
      <c r="R402" s="26">
        <f>IF(OR($A402="",$P402=0),"",MOD(N($Q402),$P402)+1)</f>
        <v/>
      </c>
      <c r="S402" s="15" t="n"/>
      <c r="T402" s="25" t="n"/>
      <c r="U402" s="26">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Builder'!$B$12="",N($S402)&lt;='Assignment Builder'!$B$12)))</f>
        <v/>
      </c>
      <c r="V402" s="23" t="n"/>
    </row>
    <row r="403">
      <c r="A403" s="23" t="n"/>
      <c r="B403" s="23" t="n"/>
      <c r="C403" s="24" t="n"/>
      <c r="D403" s="15" t="n"/>
      <c r="E403" s="23" t="n"/>
      <c r="F403" s="15" t="n"/>
      <c r="G403" s="23" t="n"/>
      <c r="H403" s="25" t="n"/>
      <c r="I403" s="15" t="n"/>
      <c r="J403" s="26">
        <f>IF($A403="","",LEN($C403)-LEN(SUBSTITUTE($C403,",",""))+1)</f>
        <v/>
      </c>
      <c r="K403" s="26">
        <f>IF($A403="","",SUMPRODUCT(--ISNUMBER(SEARCH('Category Dictionary'!$D$5:$D$135&amp;"",$C403)),--('Category Dictionary'!$D$5:$D$135&lt;&gt;"")))</f>
        <v/>
      </c>
      <c r="L403" s="27">
        <f>IF($A403="","",TRIM(IF(ISERROR(FIND(",",$C403)),$C403,LEFT($C403,FIND(",",$C403)-1))))</f>
        <v/>
      </c>
      <c r="M403" s="28">
        <f>IF($H403="","",DATE(YEAR($H403),MONTH($H403),1))</f>
        <v/>
      </c>
      <c r="N403" s="26">
        <f>IF($H403="","",TODAY()-$H403)</f>
        <v/>
      </c>
      <c r="O403" s="15" t="n"/>
      <c r="P403" s="26">
        <f>IF($A403="","",COUNTIFS('Audit Versions'!$A$6:$A$605,$A403,'Audit Versions'!$L$6:$L$605,"Active"))</f>
        <v/>
      </c>
      <c r="Q403" s="15" t="n"/>
      <c r="R403" s="26">
        <f>IF(OR($A403="",$P403=0),"",MOD(N($Q403),$P403)+1)</f>
        <v/>
      </c>
      <c r="S403" s="15" t="n"/>
      <c r="T403" s="25" t="n"/>
      <c r="U403" s="26">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Builder'!$B$12="",N($S403)&lt;='Assignment Builder'!$B$12)))</f>
        <v/>
      </c>
      <c r="V403" s="23" t="n"/>
    </row>
    <row r="404">
      <c r="A404" s="23" t="n"/>
      <c r="B404" s="23" t="n"/>
      <c r="C404" s="24" t="n"/>
      <c r="D404" s="15" t="n"/>
      <c r="E404" s="23" t="n"/>
      <c r="F404" s="15" t="n"/>
      <c r="G404" s="23" t="n"/>
      <c r="H404" s="25" t="n"/>
      <c r="I404" s="15" t="n"/>
      <c r="J404" s="26">
        <f>IF($A404="","",LEN($C404)-LEN(SUBSTITUTE($C404,",",""))+1)</f>
        <v/>
      </c>
      <c r="K404" s="26">
        <f>IF($A404="","",SUMPRODUCT(--ISNUMBER(SEARCH('Category Dictionary'!$D$5:$D$135&amp;"",$C404)),--('Category Dictionary'!$D$5:$D$135&lt;&gt;"")))</f>
        <v/>
      </c>
      <c r="L404" s="27">
        <f>IF($A404="","",TRIM(IF(ISERROR(FIND(",",$C404)),$C404,LEFT($C404,FIND(",",$C404)-1))))</f>
        <v/>
      </c>
      <c r="M404" s="28">
        <f>IF($H404="","",DATE(YEAR($H404),MONTH($H404),1))</f>
        <v/>
      </c>
      <c r="N404" s="26">
        <f>IF($H404="","",TODAY()-$H404)</f>
        <v/>
      </c>
      <c r="O404" s="15" t="n"/>
      <c r="P404" s="26">
        <f>IF($A404="","",COUNTIFS('Audit Versions'!$A$6:$A$605,$A404,'Audit Versions'!$L$6:$L$605,"Active"))</f>
        <v/>
      </c>
      <c r="Q404" s="15" t="n"/>
      <c r="R404" s="26">
        <f>IF(OR($A404="",$P404=0),"",MOD(N($Q404),$P404)+1)</f>
        <v/>
      </c>
      <c r="S404" s="15" t="n"/>
      <c r="T404" s="25" t="n"/>
      <c r="U404" s="26">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Builder'!$B$12="",N($S404)&lt;='Assignment Builder'!$B$12)))</f>
        <v/>
      </c>
      <c r="V404" s="23" t="n"/>
    </row>
    <row r="405">
      <c r="A405" s="23" t="n"/>
      <c r="B405" s="23" t="n"/>
      <c r="C405" s="24" t="n"/>
      <c r="D405" s="15" t="n"/>
      <c r="E405" s="23" t="n"/>
      <c r="F405" s="15" t="n"/>
      <c r="G405" s="23" t="n"/>
      <c r="H405" s="25" t="n"/>
      <c r="I405" s="15" t="n"/>
      <c r="J405" s="26">
        <f>IF($A405="","",LEN($C405)-LEN(SUBSTITUTE($C405,",",""))+1)</f>
        <v/>
      </c>
      <c r="K405" s="26">
        <f>IF($A405="","",SUMPRODUCT(--ISNUMBER(SEARCH('Category Dictionary'!$D$5:$D$135&amp;"",$C405)),--('Category Dictionary'!$D$5:$D$135&lt;&gt;"")))</f>
        <v/>
      </c>
      <c r="L405" s="27">
        <f>IF($A405="","",TRIM(IF(ISERROR(FIND(",",$C405)),$C405,LEFT($C405,FIND(",",$C405)-1))))</f>
        <v/>
      </c>
      <c r="M405" s="28">
        <f>IF($H405="","",DATE(YEAR($H405),MONTH($H405),1))</f>
        <v/>
      </c>
      <c r="N405" s="26">
        <f>IF($H405="","",TODAY()-$H405)</f>
        <v/>
      </c>
      <c r="O405" s="15" t="n"/>
      <c r="P405" s="26">
        <f>IF($A405="","",COUNTIFS('Audit Versions'!$A$6:$A$605,$A405,'Audit Versions'!$L$6:$L$605,"Active"))</f>
        <v/>
      </c>
      <c r="Q405" s="15" t="n"/>
      <c r="R405" s="26">
        <f>IF(OR($A405="",$P405=0),"",MOD(N($Q405),$P405)+1)</f>
        <v/>
      </c>
      <c r="S405" s="15" t="n"/>
      <c r="T405" s="25" t="n"/>
      <c r="U405" s="26">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Builder'!$B$12="",N($S405)&lt;='Assignment Builder'!$B$12)))</f>
        <v/>
      </c>
      <c r="V405" s="23" t="n"/>
    </row>
    <row r="406">
      <c r="A406" s="23" t="n"/>
      <c r="B406" s="23" t="n"/>
      <c r="C406" s="24" t="n"/>
      <c r="D406" s="15" t="n"/>
      <c r="E406" s="23" t="n"/>
      <c r="F406" s="15" t="n"/>
      <c r="G406" s="23" t="n"/>
      <c r="H406" s="25" t="n"/>
      <c r="I406" s="15" t="n"/>
      <c r="J406" s="26">
        <f>IF($A406="","",LEN($C406)-LEN(SUBSTITUTE($C406,",",""))+1)</f>
        <v/>
      </c>
      <c r="K406" s="26">
        <f>IF($A406="","",SUMPRODUCT(--ISNUMBER(SEARCH('Category Dictionary'!$D$5:$D$135&amp;"",$C406)),--('Category Dictionary'!$D$5:$D$135&lt;&gt;"")))</f>
        <v/>
      </c>
      <c r="L406" s="27">
        <f>IF($A406="","",TRIM(IF(ISERROR(FIND(",",$C406)),$C406,LEFT($C406,FIND(",",$C406)-1))))</f>
        <v/>
      </c>
      <c r="M406" s="28">
        <f>IF($H406="","",DATE(YEAR($H406),MONTH($H406),1))</f>
        <v/>
      </c>
      <c r="N406" s="26">
        <f>IF($H406="","",TODAY()-$H406)</f>
        <v/>
      </c>
      <c r="O406" s="15" t="n"/>
      <c r="P406" s="26">
        <f>IF($A406="","",COUNTIFS('Audit Versions'!$A$6:$A$605,$A406,'Audit Versions'!$L$6:$L$605,"Active"))</f>
        <v/>
      </c>
      <c r="Q406" s="15" t="n"/>
      <c r="R406" s="26">
        <f>IF(OR($A406="",$P406=0),"",MOD(N($Q406),$P406)+1)</f>
        <v/>
      </c>
      <c r="S406" s="15" t="n"/>
      <c r="T406" s="25" t="n"/>
      <c r="U406" s="26">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Builder'!$B$12="",N($S406)&lt;='Assignment Builder'!$B$12)))</f>
        <v/>
      </c>
      <c r="V406" s="23" t="n"/>
    </row>
    <row r="407">
      <c r="A407" s="23" t="n"/>
      <c r="B407" s="23" t="n"/>
      <c r="C407" s="24" t="n"/>
      <c r="D407" s="15" t="n"/>
      <c r="E407" s="23" t="n"/>
      <c r="F407" s="15" t="n"/>
      <c r="G407" s="23" t="n"/>
      <c r="H407" s="25" t="n"/>
      <c r="I407" s="15" t="n"/>
      <c r="J407" s="26">
        <f>IF($A407="","",LEN($C407)-LEN(SUBSTITUTE($C407,",",""))+1)</f>
        <v/>
      </c>
      <c r="K407" s="26">
        <f>IF($A407="","",SUMPRODUCT(--ISNUMBER(SEARCH('Category Dictionary'!$D$5:$D$135&amp;"",$C407)),--('Category Dictionary'!$D$5:$D$135&lt;&gt;"")))</f>
        <v/>
      </c>
      <c r="L407" s="27">
        <f>IF($A407="","",TRIM(IF(ISERROR(FIND(",",$C407)),$C407,LEFT($C407,FIND(",",$C407)-1))))</f>
        <v/>
      </c>
      <c r="M407" s="28">
        <f>IF($H407="","",DATE(YEAR($H407),MONTH($H407),1))</f>
        <v/>
      </c>
      <c r="N407" s="26">
        <f>IF($H407="","",TODAY()-$H407)</f>
        <v/>
      </c>
      <c r="O407" s="15" t="n"/>
      <c r="P407" s="26">
        <f>IF($A407="","",COUNTIFS('Audit Versions'!$A$6:$A$605,$A407,'Audit Versions'!$L$6:$L$605,"Active"))</f>
        <v/>
      </c>
      <c r="Q407" s="15" t="n"/>
      <c r="R407" s="26">
        <f>IF(OR($A407="",$P407=0),"",MOD(N($Q407),$P407)+1)</f>
        <v/>
      </c>
      <c r="S407" s="15" t="n"/>
      <c r="T407" s="25" t="n"/>
      <c r="U407" s="26">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Builder'!$B$12="",N($S407)&lt;='Assignment Builder'!$B$12)))</f>
        <v/>
      </c>
      <c r="V407" s="23" t="n"/>
    </row>
    <row r="408">
      <c r="A408" s="23" t="n"/>
      <c r="B408" s="23" t="n"/>
      <c r="C408" s="24" t="n"/>
      <c r="D408" s="15" t="n"/>
      <c r="E408" s="23" t="n"/>
      <c r="F408" s="15" t="n"/>
      <c r="G408" s="23" t="n"/>
      <c r="H408" s="25" t="n"/>
      <c r="I408" s="15" t="n"/>
      <c r="J408" s="26">
        <f>IF($A408="","",LEN($C408)-LEN(SUBSTITUTE($C408,",",""))+1)</f>
        <v/>
      </c>
      <c r="K408" s="26">
        <f>IF($A408="","",SUMPRODUCT(--ISNUMBER(SEARCH('Category Dictionary'!$D$5:$D$135&amp;"",$C408)),--('Category Dictionary'!$D$5:$D$135&lt;&gt;"")))</f>
        <v/>
      </c>
      <c r="L408" s="27">
        <f>IF($A408="","",TRIM(IF(ISERROR(FIND(",",$C408)),$C408,LEFT($C408,FIND(",",$C408)-1))))</f>
        <v/>
      </c>
      <c r="M408" s="28">
        <f>IF($H408="","",DATE(YEAR($H408),MONTH($H408),1))</f>
        <v/>
      </c>
      <c r="N408" s="26">
        <f>IF($H408="","",TODAY()-$H408)</f>
        <v/>
      </c>
      <c r="O408" s="15" t="n"/>
      <c r="P408" s="26">
        <f>IF($A408="","",COUNTIFS('Audit Versions'!$A$6:$A$605,$A408,'Audit Versions'!$L$6:$L$605,"Active"))</f>
        <v/>
      </c>
      <c r="Q408" s="15" t="n"/>
      <c r="R408" s="26">
        <f>IF(OR($A408="",$P408=0),"",MOD(N($Q408),$P408)+1)</f>
        <v/>
      </c>
      <c r="S408" s="15" t="n"/>
      <c r="T408" s="25" t="n"/>
      <c r="U408" s="26">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Builder'!$B$12="",N($S408)&lt;='Assignment Builder'!$B$12)))</f>
        <v/>
      </c>
      <c r="V408" s="23" t="n"/>
    </row>
    <row r="409">
      <c r="A409" s="23" t="n"/>
      <c r="B409" s="23" t="n"/>
      <c r="C409" s="24" t="n"/>
      <c r="D409" s="15" t="n"/>
      <c r="E409" s="23" t="n"/>
      <c r="F409" s="15" t="n"/>
      <c r="G409" s="23" t="n"/>
      <c r="H409" s="25" t="n"/>
      <c r="I409" s="15" t="n"/>
      <c r="J409" s="26">
        <f>IF($A409="","",LEN($C409)-LEN(SUBSTITUTE($C409,",",""))+1)</f>
        <v/>
      </c>
      <c r="K409" s="26">
        <f>IF($A409="","",SUMPRODUCT(--ISNUMBER(SEARCH('Category Dictionary'!$D$5:$D$135&amp;"",$C409)),--('Category Dictionary'!$D$5:$D$135&lt;&gt;"")))</f>
        <v/>
      </c>
      <c r="L409" s="27">
        <f>IF($A409="","",TRIM(IF(ISERROR(FIND(",",$C409)),$C409,LEFT($C409,FIND(",",$C409)-1))))</f>
        <v/>
      </c>
      <c r="M409" s="28">
        <f>IF($H409="","",DATE(YEAR($H409),MONTH($H409),1))</f>
        <v/>
      </c>
      <c r="N409" s="26">
        <f>IF($H409="","",TODAY()-$H409)</f>
        <v/>
      </c>
      <c r="O409" s="15" t="n"/>
      <c r="P409" s="26">
        <f>IF($A409="","",COUNTIFS('Audit Versions'!$A$6:$A$605,$A409,'Audit Versions'!$L$6:$L$605,"Active"))</f>
        <v/>
      </c>
      <c r="Q409" s="15" t="n"/>
      <c r="R409" s="26">
        <f>IF(OR($A409="",$P409=0),"",MOD(N($Q409),$P409)+1)</f>
        <v/>
      </c>
      <c r="S409" s="15" t="n"/>
      <c r="T409" s="25" t="n"/>
      <c r="U409" s="26">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Builder'!$B$12="",N($S409)&lt;='Assignment Builder'!$B$12)))</f>
        <v/>
      </c>
      <c r="V409" s="23" t="n"/>
    </row>
    <row r="410">
      <c r="A410" s="23" t="n"/>
      <c r="B410" s="23" t="n"/>
      <c r="C410" s="24" t="n"/>
      <c r="D410" s="15" t="n"/>
      <c r="E410" s="23" t="n"/>
      <c r="F410" s="15" t="n"/>
      <c r="G410" s="23" t="n"/>
      <c r="H410" s="25" t="n"/>
      <c r="I410" s="15" t="n"/>
      <c r="J410" s="26">
        <f>IF($A410="","",LEN($C410)-LEN(SUBSTITUTE($C410,",",""))+1)</f>
        <v/>
      </c>
      <c r="K410" s="26">
        <f>IF($A410="","",SUMPRODUCT(--ISNUMBER(SEARCH('Category Dictionary'!$D$5:$D$135&amp;"",$C410)),--('Category Dictionary'!$D$5:$D$135&lt;&gt;"")))</f>
        <v/>
      </c>
      <c r="L410" s="27">
        <f>IF($A410="","",TRIM(IF(ISERROR(FIND(",",$C410)),$C410,LEFT($C410,FIND(",",$C410)-1))))</f>
        <v/>
      </c>
      <c r="M410" s="28">
        <f>IF($H410="","",DATE(YEAR($H410),MONTH($H410),1))</f>
        <v/>
      </c>
      <c r="N410" s="26">
        <f>IF($H410="","",TODAY()-$H410)</f>
        <v/>
      </c>
      <c r="O410" s="15" t="n"/>
      <c r="P410" s="26">
        <f>IF($A410="","",COUNTIFS('Audit Versions'!$A$6:$A$605,$A410,'Audit Versions'!$L$6:$L$605,"Active"))</f>
        <v/>
      </c>
      <c r="Q410" s="15" t="n"/>
      <c r="R410" s="26">
        <f>IF(OR($A410="",$P410=0),"",MOD(N($Q410),$P410)+1)</f>
        <v/>
      </c>
      <c r="S410" s="15" t="n"/>
      <c r="T410" s="25" t="n"/>
      <c r="U410" s="26">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Builder'!$B$12="",N($S410)&lt;='Assignment Builder'!$B$12)))</f>
        <v/>
      </c>
      <c r="V410" s="23" t="n"/>
    </row>
    <row r="411">
      <c r="A411" s="23" t="n"/>
      <c r="B411" s="23" t="n"/>
      <c r="C411" s="24" t="n"/>
      <c r="D411" s="15" t="n"/>
      <c r="E411" s="23" t="n"/>
      <c r="F411" s="15" t="n"/>
      <c r="G411" s="23" t="n"/>
      <c r="H411" s="25" t="n"/>
      <c r="I411" s="15" t="n"/>
      <c r="J411" s="26">
        <f>IF($A411="","",LEN($C411)-LEN(SUBSTITUTE($C411,",",""))+1)</f>
        <v/>
      </c>
      <c r="K411" s="26">
        <f>IF($A411="","",SUMPRODUCT(--ISNUMBER(SEARCH('Category Dictionary'!$D$5:$D$135&amp;"",$C411)),--('Category Dictionary'!$D$5:$D$135&lt;&gt;"")))</f>
        <v/>
      </c>
      <c r="L411" s="27">
        <f>IF($A411="","",TRIM(IF(ISERROR(FIND(",",$C411)),$C411,LEFT($C411,FIND(",",$C411)-1))))</f>
        <v/>
      </c>
      <c r="M411" s="28">
        <f>IF($H411="","",DATE(YEAR($H411),MONTH($H411),1))</f>
        <v/>
      </c>
      <c r="N411" s="26">
        <f>IF($H411="","",TODAY()-$H411)</f>
        <v/>
      </c>
      <c r="O411" s="15" t="n"/>
      <c r="P411" s="26">
        <f>IF($A411="","",COUNTIFS('Audit Versions'!$A$6:$A$605,$A411,'Audit Versions'!$L$6:$L$605,"Active"))</f>
        <v/>
      </c>
      <c r="Q411" s="15" t="n"/>
      <c r="R411" s="26">
        <f>IF(OR($A411="",$P411=0),"",MOD(N($Q411),$P411)+1)</f>
        <v/>
      </c>
      <c r="S411" s="15" t="n"/>
      <c r="T411" s="25" t="n"/>
      <c r="U411" s="26">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Builder'!$B$12="",N($S411)&lt;='Assignment Builder'!$B$12)))</f>
        <v/>
      </c>
      <c r="V411" s="23" t="n"/>
    </row>
    <row r="412">
      <c r="A412" s="23" t="n"/>
      <c r="B412" s="23" t="n"/>
      <c r="C412" s="24" t="n"/>
      <c r="D412" s="15" t="n"/>
      <c r="E412" s="23" t="n"/>
      <c r="F412" s="15" t="n"/>
      <c r="G412" s="23" t="n"/>
      <c r="H412" s="25" t="n"/>
      <c r="I412" s="15" t="n"/>
      <c r="J412" s="26">
        <f>IF($A412="","",LEN($C412)-LEN(SUBSTITUTE($C412,",",""))+1)</f>
        <v/>
      </c>
      <c r="K412" s="26">
        <f>IF($A412="","",SUMPRODUCT(--ISNUMBER(SEARCH('Category Dictionary'!$D$5:$D$135&amp;"",$C412)),--('Category Dictionary'!$D$5:$D$135&lt;&gt;"")))</f>
        <v/>
      </c>
      <c r="L412" s="27">
        <f>IF($A412="","",TRIM(IF(ISERROR(FIND(",",$C412)),$C412,LEFT($C412,FIND(",",$C412)-1))))</f>
        <v/>
      </c>
      <c r="M412" s="28">
        <f>IF($H412="","",DATE(YEAR($H412),MONTH($H412),1))</f>
        <v/>
      </c>
      <c r="N412" s="26">
        <f>IF($H412="","",TODAY()-$H412)</f>
        <v/>
      </c>
      <c r="O412" s="15" t="n"/>
      <c r="P412" s="26">
        <f>IF($A412="","",COUNTIFS('Audit Versions'!$A$6:$A$605,$A412,'Audit Versions'!$L$6:$L$605,"Active"))</f>
        <v/>
      </c>
      <c r="Q412" s="15" t="n"/>
      <c r="R412" s="26">
        <f>IF(OR($A412="",$P412=0),"",MOD(N($Q412),$P412)+1)</f>
        <v/>
      </c>
      <c r="S412" s="15" t="n"/>
      <c r="T412" s="25" t="n"/>
      <c r="U412" s="26">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Builder'!$B$12="",N($S412)&lt;='Assignment Builder'!$B$12)))</f>
        <v/>
      </c>
      <c r="V412" s="23" t="n"/>
    </row>
    <row r="413">
      <c r="A413" s="23" t="n"/>
      <c r="B413" s="23" t="n"/>
      <c r="C413" s="24" t="n"/>
      <c r="D413" s="15" t="n"/>
      <c r="E413" s="23" t="n"/>
      <c r="F413" s="15" t="n"/>
      <c r="G413" s="23" t="n"/>
      <c r="H413" s="25" t="n"/>
      <c r="I413" s="15" t="n"/>
      <c r="J413" s="26">
        <f>IF($A413="","",LEN($C413)-LEN(SUBSTITUTE($C413,",",""))+1)</f>
        <v/>
      </c>
      <c r="K413" s="26">
        <f>IF($A413="","",SUMPRODUCT(--ISNUMBER(SEARCH('Category Dictionary'!$D$5:$D$135&amp;"",$C413)),--('Category Dictionary'!$D$5:$D$135&lt;&gt;"")))</f>
        <v/>
      </c>
      <c r="L413" s="27">
        <f>IF($A413="","",TRIM(IF(ISERROR(FIND(",",$C413)),$C413,LEFT($C413,FIND(",",$C413)-1))))</f>
        <v/>
      </c>
      <c r="M413" s="28">
        <f>IF($H413="","",DATE(YEAR($H413),MONTH($H413),1))</f>
        <v/>
      </c>
      <c r="N413" s="26">
        <f>IF($H413="","",TODAY()-$H413)</f>
        <v/>
      </c>
      <c r="O413" s="15" t="n"/>
      <c r="P413" s="26">
        <f>IF($A413="","",COUNTIFS('Audit Versions'!$A$6:$A$605,$A413,'Audit Versions'!$L$6:$L$605,"Active"))</f>
        <v/>
      </c>
      <c r="Q413" s="15" t="n"/>
      <c r="R413" s="26">
        <f>IF(OR($A413="",$P413=0),"",MOD(N($Q413),$P413)+1)</f>
        <v/>
      </c>
      <c r="S413" s="15" t="n"/>
      <c r="T413" s="25" t="n"/>
      <c r="U413" s="26">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Builder'!$B$12="",N($S413)&lt;='Assignment Builder'!$B$12)))</f>
        <v/>
      </c>
      <c r="V413" s="23" t="n"/>
    </row>
    <row r="414">
      <c r="A414" s="23" t="n"/>
      <c r="B414" s="23" t="n"/>
      <c r="C414" s="24" t="n"/>
      <c r="D414" s="15" t="n"/>
      <c r="E414" s="23" t="n"/>
      <c r="F414" s="15" t="n"/>
      <c r="G414" s="23" t="n"/>
      <c r="H414" s="25" t="n"/>
      <c r="I414" s="15" t="n"/>
      <c r="J414" s="26">
        <f>IF($A414="","",LEN($C414)-LEN(SUBSTITUTE($C414,",",""))+1)</f>
        <v/>
      </c>
      <c r="K414" s="26">
        <f>IF($A414="","",SUMPRODUCT(--ISNUMBER(SEARCH('Category Dictionary'!$D$5:$D$135&amp;"",$C414)),--('Category Dictionary'!$D$5:$D$135&lt;&gt;"")))</f>
        <v/>
      </c>
      <c r="L414" s="27">
        <f>IF($A414="","",TRIM(IF(ISERROR(FIND(",",$C414)),$C414,LEFT($C414,FIND(",",$C414)-1))))</f>
        <v/>
      </c>
      <c r="M414" s="28">
        <f>IF($H414="","",DATE(YEAR($H414),MONTH($H414),1))</f>
        <v/>
      </c>
      <c r="N414" s="26">
        <f>IF($H414="","",TODAY()-$H414)</f>
        <v/>
      </c>
      <c r="O414" s="15" t="n"/>
      <c r="P414" s="26">
        <f>IF($A414="","",COUNTIFS('Audit Versions'!$A$6:$A$605,$A414,'Audit Versions'!$L$6:$L$605,"Active"))</f>
        <v/>
      </c>
      <c r="Q414" s="15" t="n"/>
      <c r="R414" s="26">
        <f>IF(OR($A414="",$P414=0),"",MOD(N($Q414),$P414)+1)</f>
        <v/>
      </c>
      <c r="S414" s="15" t="n"/>
      <c r="T414" s="25" t="n"/>
      <c r="U414" s="26">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Builder'!$B$12="",N($S414)&lt;='Assignment Builder'!$B$12)))</f>
        <v/>
      </c>
      <c r="V414" s="23" t="n"/>
    </row>
    <row r="415">
      <c r="A415" s="23" t="n"/>
      <c r="B415" s="23" t="n"/>
      <c r="C415" s="24" t="n"/>
      <c r="D415" s="15" t="n"/>
      <c r="E415" s="23" t="n"/>
      <c r="F415" s="15" t="n"/>
      <c r="G415" s="23" t="n"/>
      <c r="H415" s="25" t="n"/>
      <c r="I415" s="15" t="n"/>
      <c r="J415" s="26">
        <f>IF($A415="","",LEN($C415)-LEN(SUBSTITUTE($C415,",",""))+1)</f>
        <v/>
      </c>
      <c r="K415" s="26">
        <f>IF($A415="","",SUMPRODUCT(--ISNUMBER(SEARCH('Category Dictionary'!$D$5:$D$135&amp;"",$C415)),--('Category Dictionary'!$D$5:$D$135&lt;&gt;"")))</f>
        <v/>
      </c>
      <c r="L415" s="27">
        <f>IF($A415="","",TRIM(IF(ISERROR(FIND(",",$C415)),$C415,LEFT($C415,FIND(",",$C415)-1))))</f>
        <v/>
      </c>
      <c r="M415" s="28">
        <f>IF($H415="","",DATE(YEAR($H415),MONTH($H415),1))</f>
        <v/>
      </c>
      <c r="N415" s="26">
        <f>IF($H415="","",TODAY()-$H415)</f>
        <v/>
      </c>
      <c r="O415" s="15" t="n"/>
      <c r="P415" s="26">
        <f>IF($A415="","",COUNTIFS('Audit Versions'!$A$6:$A$605,$A415,'Audit Versions'!$L$6:$L$605,"Active"))</f>
        <v/>
      </c>
      <c r="Q415" s="15" t="n"/>
      <c r="R415" s="26">
        <f>IF(OR($A415="",$P415=0),"",MOD(N($Q415),$P415)+1)</f>
        <v/>
      </c>
      <c r="S415" s="15" t="n"/>
      <c r="T415" s="25" t="n"/>
      <c r="U415" s="26">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Builder'!$B$12="",N($S415)&lt;='Assignment Builder'!$B$12)))</f>
        <v/>
      </c>
      <c r="V415" s="23" t="n"/>
    </row>
    <row r="416">
      <c r="A416" s="23" t="n"/>
      <c r="B416" s="23" t="n"/>
      <c r="C416" s="24" t="n"/>
      <c r="D416" s="15" t="n"/>
      <c r="E416" s="23" t="n"/>
      <c r="F416" s="15" t="n"/>
      <c r="G416" s="23" t="n"/>
      <c r="H416" s="25" t="n"/>
      <c r="I416" s="15" t="n"/>
      <c r="J416" s="26">
        <f>IF($A416="","",LEN($C416)-LEN(SUBSTITUTE($C416,",",""))+1)</f>
        <v/>
      </c>
      <c r="K416" s="26">
        <f>IF($A416="","",SUMPRODUCT(--ISNUMBER(SEARCH('Category Dictionary'!$D$5:$D$135&amp;"",$C416)),--('Category Dictionary'!$D$5:$D$135&lt;&gt;"")))</f>
        <v/>
      </c>
      <c r="L416" s="27">
        <f>IF($A416="","",TRIM(IF(ISERROR(FIND(",",$C416)),$C416,LEFT($C416,FIND(",",$C416)-1))))</f>
        <v/>
      </c>
      <c r="M416" s="28">
        <f>IF($H416="","",DATE(YEAR($H416),MONTH($H416),1))</f>
        <v/>
      </c>
      <c r="N416" s="26">
        <f>IF($H416="","",TODAY()-$H416)</f>
        <v/>
      </c>
      <c r="O416" s="15" t="n"/>
      <c r="P416" s="26">
        <f>IF($A416="","",COUNTIFS('Audit Versions'!$A$6:$A$605,$A416,'Audit Versions'!$L$6:$L$605,"Active"))</f>
        <v/>
      </c>
      <c r="Q416" s="15" t="n"/>
      <c r="R416" s="26">
        <f>IF(OR($A416="",$P416=0),"",MOD(N($Q416),$P416)+1)</f>
        <v/>
      </c>
      <c r="S416" s="15" t="n"/>
      <c r="T416" s="25" t="n"/>
      <c r="U416" s="26">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Builder'!$B$12="",N($S416)&lt;='Assignment Builder'!$B$12)))</f>
        <v/>
      </c>
      <c r="V416" s="23" t="n"/>
    </row>
    <row r="417">
      <c r="A417" s="23" t="n"/>
      <c r="B417" s="23" t="n"/>
      <c r="C417" s="24" t="n"/>
      <c r="D417" s="15" t="n"/>
      <c r="E417" s="23" t="n"/>
      <c r="F417" s="15" t="n"/>
      <c r="G417" s="23" t="n"/>
      <c r="H417" s="25" t="n"/>
      <c r="I417" s="15" t="n"/>
      <c r="J417" s="26">
        <f>IF($A417="","",LEN($C417)-LEN(SUBSTITUTE($C417,",",""))+1)</f>
        <v/>
      </c>
      <c r="K417" s="26">
        <f>IF($A417="","",SUMPRODUCT(--ISNUMBER(SEARCH('Category Dictionary'!$D$5:$D$135&amp;"",$C417)),--('Category Dictionary'!$D$5:$D$135&lt;&gt;"")))</f>
        <v/>
      </c>
      <c r="L417" s="27">
        <f>IF($A417="","",TRIM(IF(ISERROR(FIND(",",$C417)),$C417,LEFT($C417,FIND(",",$C417)-1))))</f>
        <v/>
      </c>
      <c r="M417" s="28">
        <f>IF($H417="","",DATE(YEAR($H417),MONTH($H417),1))</f>
        <v/>
      </c>
      <c r="N417" s="26">
        <f>IF($H417="","",TODAY()-$H417)</f>
        <v/>
      </c>
      <c r="O417" s="15" t="n"/>
      <c r="P417" s="26">
        <f>IF($A417="","",COUNTIFS('Audit Versions'!$A$6:$A$605,$A417,'Audit Versions'!$L$6:$L$605,"Active"))</f>
        <v/>
      </c>
      <c r="Q417" s="15" t="n"/>
      <c r="R417" s="26">
        <f>IF(OR($A417="",$P417=0),"",MOD(N($Q417),$P417)+1)</f>
        <v/>
      </c>
      <c r="S417" s="15" t="n"/>
      <c r="T417" s="25" t="n"/>
      <c r="U417" s="26">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Builder'!$B$12="",N($S417)&lt;='Assignment Builder'!$B$12)))</f>
        <v/>
      </c>
      <c r="V417" s="23" t="n"/>
    </row>
    <row r="418">
      <c r="A418" s="23" t="n"/>
      <c r="B418" s="23" t="n"/>
      <c r="C418" s="24" t="n"/>
      <c r="D418" s="15" t="n"/>
      <c r="E418" s="23" t="n"/>
      <c r="F418" s="15" t="n"/>
      <c r="G418" s="23" t="n"/>
      <c r="H418" s="25" t="n"/>
      <c r="I418" s="15" t="n"/>
      <c r="J418" s="26">
        <f>IF($A418="","",LEN($C418)-LEN(SUBSTITUTE($C418,",",""))+1)</f>
        <v/>
      </c>
      <c r="K418" s="26">
        <f>IF($A418="","",SUMPRODUCT(--ISNUMBER(SEARCH('Category Dictionary'!$D$5:$D$135&amp;"",$C418)),--('Category Dictionary'!$D$5:$D$135&lt;&gt;"")))</f>
        <v/>
      </c>
      <c r="L418" s="27">
        <f>IF($A418="","",TRIM(IF(ISERROR(FIND(",",$C418)),$C418,LEFT($C418,FIND(",",$C418)-1))))</f>
        <v/>
      </c>
      <c r="M418" s="28">
        <f>IF($H418="","",DATE(YEAR($H418),MONTH($H418),1))</f>
        <v/>
      </c>
      <c r="N418" s="26">
        <f>IF($H418="","",TODAY()-$H418)</f>
        <v/>
      </c>
      <c r="O418" s="15" t="n"/>
      <c r="P418" s="26">
        <f>IF($A418="","",COUNTIFS('Audit Versions'!$A$6:$A$605,$A418,'Audit Versions'!$L$6:$L$605,"Active"))</f>
        <v/>
      </c>
      <c r="Q418" s="15" t="n"/>
      <c r="R418" s="26">
        <f>IF(OR($A418="",$P418=0),"",MOD(N($Q418),$P418)+1)</f>
        <v/>
      </c>
      <c r="S418" s="15" t="n"/>
      <c r="T418" s="25" t="n"/>
      <c r="U418" s="26">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Builder'!$B$12="",N($S418)&lt;='Assignment Builder'!$B$12)))</f>
        <v/>
      </c>
      <c r="V418" s="23" t="n"/>
    </row>
    <row r="419">
      <c r="A419" s="23" t="n"/>
      <c r="B419" s="23" t="n"/>
      <c r="C419" s="24" t="n"/>
      <c r="D419" s="15" t="n"/>
      <c r="E419" s="23" t="n"/>
      <c r="F419" s="15" t="n"/>
      <c r="G419" s="23" t="n"/>
      <c r="H419" s="25" t="n"/>
      <c r="I419" s="15" t="n"/>
      <c r="J419" s="26">
        <f>IF($A419="","",LEN($C419)-LEN(SUBSTITUTE($C419,",",""))+1)</f>
        <v/>
      </c>
      <c r="K419" s="26">
        <f>IF($A419="","",SUMPRODUCT(--ISNUMBER(SEARCH('Category Dictionary'!$D$5:$D$135&amp;"",$C419)),--('Category Dictionary'!$D$5:$D$135&lt;&gt;"")))</f>
        <v/>
      </c>
      <c r="L419" s="27">
        <f>IF($A419="","",TRIM(IF(ISERROR(FIND(",",$C419)),$C419,LEFT($C419,FIND(",",$C419)-1))))</f>
        <v/>
      </c>
      <c r="M419" s="28">
        <f>IF($H419="","",DATE(YEAR($H419),MONTH($H419),1))</f>
        <v/>
      </c>
      <c r="N419" s="26">
        <f>IF($H419="","",TODAY()-$H419)</f>
        <v/>
      </c>
      <c r="O419" s="15" t="n"/>
      <c r="P419" s="26">
        <f>IF($A419="","",COUNTIFS('Audit Versions'!$A$6:$A$605,$A419,'Audit Versions'!$L$6:$L$605,"Active"))</f>
        <v/>
      </c>
      <c r="Q419" s="15" t="n"/>
      <c r="R419" s="26">
        <f>IF(OR($A419="",$P419=0),"",MOD(N($Q419),$P419)+1)</f>
        <v/>
      </c>
      <c r="S419" s="15" t="n"/>
      <c r="T419" s="25" t="n"/>
      <c r="U419" s="26">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Builder'!$B$12="",N($S419)&lt;='Assignment Builder'!$B$12)))</f>
        <v/>
      </c>
      <c r="V419" s="23" t="n"/>
    </row>
    <row r="420">
      <c r="A420" s="23" t="n"/>
      <c r="B420" s="23" t="n"/>
      <c r="C420" s="24" t="n"/>
      <c r="D420" s="15" t="n"/>
      <c r="E420" s="23" t="n"/>
      <c r="F420" s="15" t="n"/>
      <c r="G420" s="23" t="n"/>
      <c r="H420" s="25" t="n"/>
      <c r="I420" s="15" t="n"/>
      <c r="J420" s="26">
        <f>IF($A420="","",LEN($C420)-LEN(SUBSTITUTE($C420,",",""))+1)</f>
        <v/>
      </c>
      <c r="K420" s="26">
        <f>IF($A420="","",SUMPRODUCT(--ISNUMBER(SEARCH('Category Dictionary'!$D$5:$D$135&amp;"",$C420)),--('Category Dictionary'!$D$5:$D$135&lt;&gt;"")))</f>
        <v/>
      </c>
      <c r="L420" s="27">
        <f>IF($A420="","",TRIM(IF(ISERROR(FIND(",",$C420)),$C420,LEFT($C420,FIND(",",$C420)-1))))</f>
        <v/>
      </c>
      <c r="M420" s="28">
        <f>IF($H420="","",DATE(YEAR($H420),MONTH($H420),1))</f>
        <v/>
      </c>
      <c r="N420" s="26">
        <f>IF($H420="","",TODAY()-$H420)</f>
        <v/>
      </c>
      <c r="O420" s="15" t="n"/>
      <c r="P420" s="26">
        <f>IF($A420="","",COUNTIFS('Audit Versions'!$A$6:$A$605,$A420,'Audit Versions'!$L$6:$L$605,"Active"))</f>
        <v/>
      </c>
      <c r="Q420" s="15" t="n"/>
      <c r="R420" s="26">
        <f>IF(OR($A420="",$P420=0),"",MOD(N($Q420),$P420)+1)</f>
        <v/>
      </c>
      <c r="S420" s="15" t="n"/>
      <c r="T420" s="25" t="n"/>
      <c r="U420" s="26">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Builder'!$B$12="",N($S420)&lt;='Assignment Builder'!$B$12)))</f>
        <v/>
      </c>
      <c r="V420" s="23" t="n"/>
    </row>
    <row r="421">
      <c r="A421" s="23" t="n"/>
      <c r="B421" s="23" t="n"/>
      <c r="C421" s="24" t="n"/>
      <c r="D421" s="15" t="n"/>
      <c r="E421" s="23" t="n"/>
      <c r="F421" s="15" t="n"/>
      <c r="G421" s="23" t="n"/>
      <c r="H421" s="25" t="n"/>
      <c r="I421" s="15" t="n"/>
      <c r="J421" s="26">
        <f>IF($A421="","",LEN($C421)-LEN(SUBSTITUTE($C421,",",""))+1)</f>
        <v/>
      </c>
      <c r="K421" s="26">
        <f>IF($A421="","",SUMPRODUCT(--ISNUMBER(SEARCH('Category Dictionary'!$D$5:$D$135&amp;"",$C421)),--('Category Dictionary'!$D$5:$D$135&lt;&gt;"")))</f>
        <v/>
      </c>
      <c r="L421" s="27">
        <f>IF($A421="","",TRIM(IF(ISERROR(FIND(",",$C421)),$C421,LEFT($C421,FIND(",",$C421)-1))))</f>
        <v/>
      </c>
      <c r="M421" s="28">
        <f>IF($H421="","",DATE(YEAR($H421),MONTH($H421),1))</f>
        <v/>
      </c>
      <c r="N421" s="26">
        <f>IF($H421="","",TODAY()-$H421)</f>
        <v/>
      </c>
      <c r="O421" s="15" t="n"/>
      <c r="P421" s="26">
        <f>IF($A421="","",COUNTIFS('Audit Versions'!$A$6:$A$605,$A421,'Audit Versions'!$L$6:$L$605,"Active"))</f>
        <v/>
      </c>
      <c r="Q421" s="15" t="n"/>
      <c r="R421" s="26">
        <f>IF(OR($A421="",$P421=0),"",MOD(N($Q421),$P421)+1)</f>
        <v/>
      </c>
      <c r="S421" s="15" t="n"/>
      <c r="T421" s="25" t="n"/>
      <c r="U421" s="26">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Builder'!$B$12="",N($S421)&lt;='Assignment Builder'!$B$12)))</f>
        <v/>
      </c>
      <c r="V421" s="23" t="n"/>
    </row>
    <row r="422">
      <c r="A422" s="23" t="n"/>
      <c r="B422" s="23" t="n"/>
      <c r="C422" s="24" t="n"/>
      <c r="D422" s="15" t="n"/>
      <c r="E422" s="23" t="n"/>
      <c r="F422" s="15" t="n"/>
      <c r="G422" s="23" t="n"/>
      <c r="H422" s="25" t="n"/>
      <c r="I422" s="15" t="n"/>
      <c r="J422" s="26">
        <f>IF($A422="","",LEN($C422)-LEN(SUBSTITUTE($C422,",",""))+1)</f>
        <v/>
      </c>
      <c r="K422" s="26">
        <f>IF($A422="","",SUMPRODUCT(--ISNUMBER(SEARCH('Category Dictionary'!$D$5:$D$135&amp;"",$C422)),--('Category Dictionary'!$D$5:$D$135&lt;&gt;"")))</f>
        <v/>
      </c>
      <c r="L422" s="27">
        <f>IF($A422="","",TRIM(IF(ISERROR(FIND(",",$C422)),$C422,LEFT($C422,FIND(",",$C422)-1))))</f>
        <v/>
      </c>
      <c r="M422" s="28">
        <f>IF($H422="","",DATE(YEAR($H422),MONTH($H422),1))</f>
        <v/>
      </c>
      <c r="N422" s="26">
        <f>IF($H422="","",TODAY()-$H422)</f>
        <v/>
      </c>
      <c r="O422" s="15" t="n"/>
      <c r="P422" s="26">
        <f>IF($A422="","",COUNTIFS('Audit Versions'!$A$6:$A$605,$A422,'Audit Versions'!$L$6:$L$605,"Active"))</f>
        <v/>
      </c>
      <c r="Q422" s="15" t="n"/>
      <c r="R422" s="26">
        <f>IF(OR($A422="",$P422=0),"",MOD(N($Q422),$P422)+1)</f>
        <v/>
      </c>
      <c r="S422" s="15" t="n"/>
      <c r="T422" s="25" t="n"/>
      <c r="U422" s="26">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Builder'!$B$12="",N($S422)&lt;='Assignment Builder'!$B$12)))</f>
        <v/>
      </c>
      <c r="V422" s="23" t="n"/>
    </row>
    <row r="423">
      <c r="A423" s="23" t="n"/>
      <c r="B423" s="23" t="n"/>
      <c r="C423" s="24" t="n"/>
      <c r="D423" s="15" t="n"/>
      <c r="E423" s="23" t="n"/>
      <c r="F423" s="15" t="n"/>
      <c r="G423" s="23" t="n"/>
      <c r="H423" s="25" t="n"/>
      <c r="I423" s="15" t="n"/>
      <c r="J423" s="26">
        <f>IF($A423="","",LEN($C423)-LEN(SUBSTITUTE($C423,",",""))+1)</f>
        <v/>
      </c>
      <c r="K423" s="26">
        <f>IF($A423="","",SUMPRODUCT(--ISNUMBER(SEARCH('Category Dictionary'!$D$5:$D$135&amp;"",$C423)),--('Category Dictionary'!$D$5:$D$135&lt;&gt;"")))</f>
        <v/>
      </c>
      <c r="L423" s="27">
        <f>IF($A423="","",TRIM(IF(ISERROR(FIND(",",$C423)),$C423,LEFT($C423,FIND(",",$C423)-1))))</f>
        <v/>
      </c>
      <c r="M423" s="28">
        <f>IF($H423="","",DATE(YEAR($H423),MONTH($H423),1))</f>
        <v/>
      </c>
      <c r="N423" s="26">
        <f>IF($H423="","",TODAY()-$H423)</f>
        <v/>
      </c>
      <c r="O423" s="15" t="n"/>
      <c r="P423" s="26">
        <f>IF($A423="","",COUNTIFS('Audit Versions'!$A$6:$A$605,$A423,'Audit Versions'!$L$6:$L$605,"Active"))</f>
        <v/>
      </c>
      <c r="Q423" s="15" t="n"/>
      <c r="R423" s="26">
        <f>IF(OR($A423="",$P423=0),"",MOD(N($Q423),$P423)+1)</f>
        <v/>
      </c>
      <c r="S423" s="15" t="n"/>
      <c r="T423" s="25" t="n"/>
      <c r="U423" s="26">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Builder'!$B$12="",N($S423)&lt;='Assignment Builder'!$B$12)))</f>
        <v/>
      </c>
      <c r="V423" s="23" t="n"/>
    </row>
    <row r="424">
      <c r="A424" s="23" t="n"/>
      <c r="B424" s="23" t="n"/>
      <c r="C424" s="24" t="n"/>
      <c r="D424" s="15" t="n"/>
      <c r="E424" s="23" t="n"/>
      <c r="F424" s="15" t="n"/>
      <c r="G424" s="23" t="n"/>
      <c r="H424" s="25" t="n"/>
      <c r="I424" s="15" t="n"/>
      <c r="J424" s="26">
        <f>IF($A424="","",LEN($C424)-LEN(SUBSTITUTE($C424,",",""))+1)</f>
        <v/>
      </c>
      <c r="K424" s="26">
        <f>IF($A424="","",SUMPRODUCT(--ISNUMBER(SEARCH('Category Dictionary'!$D$5:$D$135&amp;"",$C424)),--('Category Dictionary'!$D$5:$D$135&lt;&gt;"")))</f>
        <v/>
      </c>
      <c r="L424" s="27">
        <f>IF($A424="","",TRIM(IF(ISERROR(FIND(",",$C424)),$C424,LEFT($C424,FIND(",",$C424)-1))))</f>
        <v/>
      </c>
      <c r="M424" s="28">
        <f>IF($H424="","",DATE(YEAR($H424),MONTH($H424),1))</f>
        <v/>
      </c>
      <c r="N424" s="26">
        <f>IF($H424="","",TODAY()-$H424)</f>
        <v/>
      </c>
      <c r="O424" s="15" t="n"/>
      <c r="P424" s="26">
        <f>IF($A424="","",COUNTIFS('Audit Versions'!$A$6:$A$605,$A424,'Audit Versions'!$L$6:$L$605,"Active"))</f>
        <v/>
      </c>
      <c r="Q424" s="15" t="n"/>
      <c r="R424" s="26">
        <f>IF(OR($A424="",$P424=0),"",MOD(N($Q424),$P424)+1)</f>
        <v/>
      </c>
      <c r="S424" s="15" t="n"/>
      <c r="T424" s="25" t="n"/>
      <c r="U424" s="26">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Builder'!$B$12="",N($S424)&lt;='Assignment Builder'!$B$12)))</f>
        <v/>
      </c>
      <c r="V424" s="23" t="n"/>
    </row>
    <row r="425">
      <c r="A425" s="23" t="n"/>
      <c r="B425" s="23" t="n"/>
      <c r="C425" s="24" t="n"/>
      <c r="D425" s="15" t="n"/>
      <c r="E425" s="23" t="n"/>
      <c r="F425" s="15" t="n"/>
      <c r="G425" s="23" t="n"/>
      <c r="H425" s="25" t="n"/>
      <c r="I425" s="15" t="n"/>
      <c r="J425" s="26">
        <f>IF($A425="","",LEN($C425)-LEN(SUBSTITUTE($C425,",",""))+1)</f>
        <v/>
      </c>
      <c r="K425" s="26">
        <f>IF($A425="","",SUMPRODUCT(--ISNUMBER(SEARCH('Category Dictionary'!$D$5:$D$135&amp;"",$C425)),--('Category Dictionary'!$D$5:$D$135&lt;&gt;"")))</f>
        <v/>
      </c>
      <c r="L425" s="27">
        <f>IF($A425="","",TRIM(IF(ISERROR(FIND(",",$C425)),$C425,LEFT($C425,FIND(",",$C425)-1))))</f>
        <v/>
      </c>
      <c r="M425" s="28">
        <f>IF($H425="","",DATE(YEAR($H425),MONTH($H425),1))</f>
        <v/>
      </c>
      <c r="N425" s="26">
        <f>IF($H425="","",TODAY()-$H425)</f>
        <v/>
      </c>
      <c r="O425" s="15" t="n"/>
      <c r="P425" s="26">
        <f>IF($A425="","",COUNTIFS('Audit Versions'!$A$6:$A$605,$A425,'Audit Versions'!$L$6:$L$605,"Active"))</f>
        <v/>
      </c>
      <c r="Q425" s="15" t="n"/>
      <c r="R425" s="26">
        <f>IF(OR($A425="",$P425=0),"",MOD(N($Q425),$P425)+1)</f>
        <v/>
      </c>
      <c r="S425" s="15" t="n"/>
      <c r="T425" s="25" t="n"/>
      <c r="U425" s="26">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Builder'!$B$12="",N($S425)&lt;='Assignment Builder'!$B$12)))</f>
        <v/>
      </c>
      <c r="V425" s="23" t="n"/>
    </row>
    <row r="426">
      <c r="A426" s="23" t="n"/>
      <c r="B426" s="23" t="n"/>
      <c r="C426" s="24" t="n"/>
      <c r="D426" s="15" t="n"/>
      <c r="E426" s="23" t="n"/>
      <c r="F426" s="15" t="n"/>
      <c r="G426" s="23" t="n"/>
      <c r="H426" s="25" t="n"/>
      <c r="I426" s="15" t="n"/>
      <c r="J426" s="26">
        <f>IF($A426="","",LEN($C426)-LEN(SUBSTITUTE($C426,",",""))+1)</f>
        <v/>
      </c>
      <c r="K426" s="26">
        <f>IF($A426="","",SUMPRODUCT(--ISNUMBER(SEARCH('Category Dictionary'!$D$5:$D$135&amp;"",$C426)),--('Category Dictionary'!$D$5:$D$135&lt;&gt;"")))</f>
        <v/>
      </c>
      <c r="L426" s="27">
        <f>IF($A426="","",TRIM(IF(ISERROR(FIND(",",$C426)),$C426,LEFT($C426,FIND(",",$C426)-1))))</f>
        <v/>
      </c>
      <c r="M426" s="28">
        <f>IF($H426="","",DATE(YEAR($H426),MONTH($H426),1))</f>
        <v/>
      </c>
      <c r="N426" s="26">
        <f>IF($H426="","",TODAY()-$H426)</f>
        <v/>
      </c>
      <c r="O426" s="15" t="n"/>
      <c r="P426" s="26">
        <f>IF($A426="","",COUNTIFS('Audit Versions'!$A$6:$A$605,$A426,'Audit Versions'!$L$6:$L$605,"Active"))</f>
        <v/>
      </c>
      <c r="Q426" s="15" t="n"/>
      <c r="R426" s="26">
        <f>IF(OR($A426="",$P426=0),"",MOD(N($Q426),$P426)+1)</f>
        <v/>
      </c>
      <c r="S426" s="15" t="n"/>
      <c r="T426" s="25" t="n"/>
      <c r="U426" s="26">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Builder'!$B$12="",N($S426)&lt;='Assignment Builder'!$B$12)))</f>
        <v/>
      </c>
      <c r="V426" s="23" t="n"/>
    </row>
    <row r="427">
      <c r="A427" s="23" t="n"/>
      <c r="B427" s="23" t="n"/>
      <c r="C427" s="24" t="n"/>
      <c r="D427" s="15" t="n"/>
      <c r="E427" s="23" t="n"/>
      <c r="F427" s="15" t="n"/>
      <c r="G427" s="23" t="n"/>
      <c r="H427" s="25" t="n"/>
      <c r="I427" s="15" t="n"/>
      <c r="J427" s="26">
        <f>IF($A427="","",LEN($C427)-LEN(SUBSTITUTE($C427,",",""))+1)</f>
        <v/>
      </c>
      <c r="K427" s="26">
        <f>IF($A427="","",SUMPRODUCT(--ISNUMBER(SEARCH('Category Dictionary'!$D$5:$D$135&amp;"",$C427)),--('Category Dictionary'!$D$5:$D$135&lt;&gt;"")))</f>
        <v/>
      </c>
      <c r="L427" s="27">
        <f>IF($A427="","",TRIM(IF(ISERROR(FIND(",",$C427)),$C427,LEFT($C427,FIND(",",$C427)-1))))</f>
        <v/>
      </c>
      <c r="M427" s="28">
        <f>IF($H427="","",DATE(YEAR($H427),MONTH($H427),1))</f>
        <v/>
      </c>
      <c r="N427" s="26">
        <f>IF($H427="","",TODAY()-$H427)</f>
        <v/>
      </c>
      <c r="O427" s="15" t="n"/>
      <c r="P427" s="26">
        <f>IF($A427="","",COUNTIFS('Audit Versions'!$A$6:$A$605,$A427,'Audit Versions'!$L$6:$L$605,"Active"))</f>
        <v/>
      </c>
      <c r="Q427" s="15" t="n"/>
      <c r="R427" s="26">
        <f>IF(OR($A427="",$P427=0),"",MOD(N($Q427),$P427)+1)</f>
        <v/>
      </c>
      <c r="S427" s="15" t="n"/>
      <c r="T427" s="25" t="n"/>
      <c r="U427" s="26">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Builder'!$B$12="",N($S427)&lt;='Assignment Builder'!$B$12)))</f>
        <v/>
      </c>
      <c r="V427" s="23" t="n"/>
    </row>
    <row r="428">
      <c r="A428" s="23" t="n"/>
      <c r="B428" s="23" t="n"/>
      <c r="C428" s="24" t="n"/>
      <c r="D428" s="15" t="n"/>
      <c r="E428" s="23" t="n"/>
      <c r="F428" s="15" t="n"/>
      <c r="G428" s="23" t="n"/>
      <c r="H428" s="25" t="n"/>
      <c r="I428" s="15" t="n"/>
      <c r="J428" s="26">
        <f>IF($A428="","",LEN($C428)-LEN(SUBSTITUTE($C428,",",""))+1)</f>
        <v/>
      </c>
      <c r="K428" s="26">
        <f>IF($A428="","",SUMPRODUCT(--ISNUMBER(SEARCH('Category Dictionary'!$D$5:$D$135&amp;"",$C428)),--('Category Dictionary'!$D$5:$D$135&lt;&gt;"")))</f>
        <v/>
      </c>
      <c r="L428" s="27">
        <f>IF($A428="","",TRIM(IF(ISERROR(FIND(",",$C428)),$C428,LEFT($C428,FIND(",",$C428)-1))))</f>
        <v/>
      </c>
      <c r="M428" s="28">
        <f>IF($H428="","",DATE(YEAR($H428),MONTH($H428),1))</f>
        <v/>
      </c>
      <c r="N428" s="26">
        <f>IF($H428="","",TODAY()-$H428)</f>
        <v/>
      </c>
      <c r="O428" s="15" t="n"/>
      <c r="P428" s="26">
        <f>IF($A428="","",COUNTIFS('Audit Versions'!$A$6:$A$605,$A428,'Audit Versions'!$L$6:$L$605,"Active"))</f>
        <v/>
      </c>
      <c r="Q428" s="15" t="n"/>
      <c r="R428" s="26">
        <f>IF(OR($A428="",$P428=0),"",MOD(N($Q428),$P428)+1)</f>
        <v/>
      </c>
      <c r="S428" s="15" t="n"/>
      <c r="T428" s="25" t="n"/>
      <c r="U428" s="26">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Builder'!$B$12="",N($S428)&lt;='Assignment Builder'!$B$12)))</f>
        <v/>
      </c>
      <c r="V428" s="23" t="n"/>
    </row>
    <row r="429">
      <c r="A429" s="23" t="n"/>
      <c r="B429" s="23" t="n"/>
      <c r="C429" s="24" t="n"/>
      <c r="D429" s="15" t="n"/>
      <c r="E429" s="23" t="n"/>
      <c r="F429" s="15" t="n"/>
      <c r="G429" s="23" t="n"/>
      <c r="H429" s="25" t="n"/>
      <c r="I429" s="15" t="n"/>
      <c r="J429" s="26">
        <f>IF($A429="","",LEN($C429)-LEN(SUBSTITUTE($C429,",",""))+1)</f>
        <v/>
      </c>
      <c r="K429" s="26">
        <f>IF($A429="","",SUMPRODUCT(--ISNUMBER(SEARCH('Category Dictionary'!$D$5:$D$135&amp;"",$C429)),--('Category Dictionary'!$D$5:$D$135&lt;&gt;"")))</f>
        <v/>
      </c>
      <c r="L429" s="27">
        <f>IF($A429="","",TRIM(IF(ISERROR(FIND(",",$C429)),$C429,LEFT($C429,FIND(",",$C429)-1))))</f>
        <v/>
      </c>
      <c r="M429" s="28">
        <f>IF($H429="","",DATE(YEAR($H429),MONTH($H429),1))</f>
        <v/>
      </c>
      <c r="N429" s="26">
        <f>IF($H429="","",TODAY()-$H429)</f>
        <v/>
      </c>
      <c r="O429" s="15" t="n"/>
      <c r="P429" s="26">
        <f>IF($A429="","",COUNTIFS('Audit Versions'!$A$6:$A$605,$A429,'Audit Versions'!$L$6:$L$605,"Active"))</f>
        <v/>
      </c>
      <c r="Q429" s="15" t="n"/>
      <c r="R429" s="26">
        <f>IF(OR($A429="",$P429=0),"",MOD(N($Q429),$P429)+1)</f>
        <v/>
      </c>
      <c r="S429" s="15" t="n"/>
      <c r="T429" s="25" t="n"/>
      <c r="U429" s="26">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Builder'!$B$12="",N($S429)&lt;='Assignment Builder'!$B$12)))</f>
        <v/>
      </c>
      <c r="V429" s="23" t="n"/>
    </row>
    <row r="430">
      <c r="A430" s="23" t="n"/>
      <c r="B430" s="23" t="n"/>
      <c r="C430" s="24" t="n"/>
      <c r="D430" s="15" t="n"/>
      <c r="E430" s="23" t="n"/>
      <c r="F430" s="15" t="n"/>
      <c r="G430" s="23" t="n"/>
      <c r="H430" s="25" t="n"/>
      <c r="I430" s="15" t="n"/>
      <c r="J430" s="26">
        <f>IF($A430="","",LEN($C430)-LEN(SUBSTITUTE($C430,",",""))+1)</f>
        <v/>
      </c>
      <c r="K430" s="26">
        <f>IF($A430="","",SUMPRODUCT(--ISNUMBER(SEARCH('Category Dictionary'!$D$5:$D$135&amp;"",$C430)),--('Category Dictionary'!$D$5:$D$135&lt;&gt;"")))</f>
        <v/>
      </c>
      <c r="L430" s="27">
        <f>IF($A430="","",TRIM(IF(ISERROR(FIND(",",$C430)),$C430,LEFT($C430,FIND(",",$C430)-1))))</f>
        <v/>
      </c>
      <c r="M430" s="28">
        <f>IF($H430="","",DATE(YEAR($H430),MONTH($H430),1))</f>
        <v/>
      </c>
      <c r="N430" s="26">
        <f>IF($H430="","",TODAY()-$H430)</f>
        <v/>
      </c>
      <c r="O430" s="15" t="n"/>
      <c r="P430" s="26">
        <f>IF($A430="","",COUNTIFS('Audit Versions'!$A$6:$A$605,$A430,'Audit Versions'!$L$6:$L$605,"Active"))</f>
        <v/>
      </c>
      <c r="Q430" s="15" t="n"/>
      <c r="R430" s="26">
        <f>IF(OR($A430="",$P430=0),"",MOD(N($Q430),$P430)+1)</f>
        <v/>
      </c>
      <c r="S430" s="15" t="n"/>
      <c r="T430" s="25" t="n"/>
      <c r="U430" s="26">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Builder'!$B$12="",N($S430)&lt;='Assignment Builder'!$B$12)))</f>
        <v/>
      </c>
      <c r="V430" s="23" t="n"/>
    </row>
    <row r="431">
      <c r="A431" s="23" t="n"/>
      <c r="B431" s="23" t="n"/>
      <c r="C431" s="24" t="n"/>
      <c r="D431" s="15" t="n"/>
      <c r="E431" s="23" t="n"/>
      <c r="F431" s="15" t="n"/>
      <c r="G431" s="23" t="n"/>
      <c r="H431" s="25" t="n"/>
      <c r="I431" s="15" t="n"/>
      <c r="J431" s="26">
        <f>IF($A431="","",LEN($C431)-LEN(SUBSTITUTE($C431,",",""))+1)</f>
        <v/>
      </c>
      <c r="K431" s="26">
        <f>IF($A431="","",SUMPRODUCT(--ISNUMBER(SEARCH('Category Dictionary'!$D$5:$D$135&amp;"",$C431)),--('Category Dictionary'!$D$5:$D$135&lt;&gt;"")))</f>
        <v/>
      </c>
      <c r="L431" s="27">
        <f>IF($A431="","",TRIM(IF(ISERROR(FIND(",",$C431)),$C431,LEFT($C431,FIND(",",$C431)-1))))</f>
        <v/>
      </c>
      <c r="M431" s="28">
        <f>IF($H431="","",DATE(YEAR($H431),MONTH($H431),1))</f>
        <v/>
      </c>
      <c r="N431" s="26">
        <f>IF($H431="","",TODAY()-$H431)</f>
        <v/>
      </c>
      <c r="O431" s="15" t="n"/>
      <c r="P431" s="26">
        <f>IF($A431="","",COUNTIFS('Audit Versions'!$A$6:$A$605,$A431,'Audit Versions'!$L$6:$L$605,"Active"))</f>
        <v/>
      </c>
      <c r="Q431" s="15" t="n"/>
      <c r="R431" s="26">
        <f>IF(OR($A431="",$P431=0),"",MOD(N($Q431),$P431)+1)</f>
        <v/>
      </c>
      <c r="S431" s="15" t="n"/>
      <c r="T431" s="25" t="n"/>
      <c r="U431" s="26">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Builder'!$B$12="",N($S431)&lt;='Assignment Builder'!$B$12)))</f>
        <v/>
      </c>
      <c r="V431" s="23" t="n"/>
    </row>
    <row r="432">
      <c r="A432" s="23" t="n"/>
      <c r="B432" s="23" t="n"/>
      <c r="C432" s="24" t="n"/>
      <c r="D432" s="15" t="n"/>
      <c r="E432" s="23" t="n"/>
      <c r="F432" s="15" t="n"/>
      <c r="G432" s="23" t="n"/>
      <c r="H432" s="25" t="n"/>
      <c r="I432" s="15" t="n"/>
      <c r="J432" s="26">
        <f>IF($A432="","",LEN($C432)-LEN(SUBSTITUTE($C432,",",""))+1)</f>
        <v/>
      </c>
      <c r="K432" s="26">
        <f>IF($A432="","",SUMPRODUCT(--ISNUMBER(SEARCH('Category Dictionary'!$D$5:$D$135&amp;"",$C432)),--('Category Dictionary'!$D$5:$D$135&lt;&gt;"")))</f>
        <v/>
      </c>
      <c r="L432" s="27">
        <f>IF($A432="","",TRIM(IF(ISERROR(FIND(",",$C432)),$C432,LEFT($C432,FIND(",",$C432)-1))))</f>
        <v/>
      </c>
      <c r="M432" s="28">
        <f>IF($H432="","",DATE(YEAR($H432),MONTH($H432),1))</f>
        <v/>
      </c>
      <c r="N432" s="26">
        <f>IF($H432="","",TODAY()-$H432)</f>
        <v/>
      </c>
      <c r="O432" s="15" t="n"/>
      <c r="P432" s="26">
        <f>IF($A432="","",COUNTIFS('Audit Versions'!$A$6:$A$605,$A432,'Audit Versions'!$L$6:$L$605,"Active"))</f>
        <v/>
      </c>
      <c r="Q432" s="15" t="n"/>
      <c r="R432" s="26">
        <f>IF(OR($A432="",$P432=0),"",MOD(N($Q432),$P432)+1)</f>
        <v/>
      </c>
      <c r="S432" s="15" t="n"/>
      <c r="T432" s="25" t="n"/>
      <c r="U432" s="26">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Builder'!$B$12="",N($S432)&lt;='Assignment Builder'!$B$12)))</f>
        <v/>
      </c>
      <c r="V432" s="23" t="n"/>
    </row>
    <row r="433">
      <c r="A433" s="23" t="n"/>
      <c r="B433" s="23" t="n"/>
      <c r="C433" s="24" t="n"/>
      <c r="D433" s="15" t="n"/>
      <c r="E433" s="23" t="n"/>
      <c r="F433" s="15" t="n"/>
      <c r="G433" s="23" t="n"/>
      <c r="H433" s="25" t="n"/>
      <c r="I433" s="15" t="n"/>
      <c r="J433" s="26">
        <f>IF($A433="","",LEN($C433)-LEN(SUBSTITUTE($C433,",",""))+1)</f>
        <v/>
      </c>
      <c r="K433" s="26">
        <f>IF($A433="","",SUMPRODUCT(--ISNUMBER(SEARCH('Category Dictionary'!$D$5:$D$135&amp;"",$C433)),--('Category Dictionary'!$D$5:$D$135&lt;&gt;"")))</f>
        <v/>
      </c>
      <c r="L433" s="27">
        <f>IF($A433="","",TRIM(IF(ISERROR(FIND(",",$C433)),$C433,LEFT($C433,FIND(",",$C433)-1))))</f>
        <v/>
      </c>
      <c r="M433" s="28">
        <f>IF($H433="","",DATE(YEAR($H433),MONTH($H433),1))</f>
        <v/>
      </c>
      <c r="N433" s="26">
        <f>IF($H433="","",TODAY()-$H433)</f>
        <v/>
      </c>
      <c r="O433" s="15" t="n"/>
      <c r="P433" s="26">
        <f>IF($A433="","",COUNTIFS('Audit Versions'!$A$6:$A$605,$A433,'Audit Versions'!$L$6:$L$605,"Active"))</f>
        <v/>
      </c>
      <c r="Q433" s="15" t="n"/>
      <c r="R433" s="26">
        <f>IF(OR($A433="",$P433=0),"",MOD(N($Q433),$P433)+1)</f>
        <v/>
      </c>
      <c r="S433" s="15" t="n"/>
      <c r="T433" s="25" t="n"/>
      <c r="U433" s="26">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Builder'!$B$12="",N($S433)&lt;='Assignment Builder'!$B$12)))</f>
        <v/>
      </c>
      <c r="V433" s="23" t="n"/>
    </row>
    <row r="434">
      <c r="A434" s="23" t="n"/>
      <c r="B434" s="23" t="n"/>
      <c r="C434" s="24" t="n"/>
      <c r="D434" s="15" t="n"/>
      <c r="E434" s="23" t="n"/>
      <c r="F434" s="15" t="n"/>
      <c r="G434" s="23" t="n"/>
      <c r="H434" s="25" t="n"/>
      <c r="I434" s="15" t="n"/>
      <c r="J434" s="26">
        <f>IF($A434="","",LEN($C434)-LEN(SUBSTITUTE($C434,",",""))+1)</f>
        <v/>
      </c>
      <c r="K434" s="26">
        <f>IF($A434="","",SUMPRODUCT(--ISNUMBER(SEARCH('Category Dictionary'!$D$5:$D$135&amp;"",$C434)),--('Category Dictionary'!$D$5:$D$135&lt;&gt;"")))</f>
        <v/>
      </c>
      <c r="L434" s="27">
        <f>IF($A434="","",TRIM(IF(ISERROR(FIND(",",$C434)),$C434,LEFT($C434,FIND(",",$C434)-1))))</f>
        <v/>
      </c>
      <c r="M434" s="28">
        <f>IF($H434="","",DATE(YEAR($H434),MONTH($H434),1))</f>
        <v/>
      </c>
      <c r="N434" s="26">
        <f>IF($H434="","",TODAY()-$H434)</f>
        <v/>
      </c>
      <c r="O434" s="15" t="n"/>
      <c r="P434" s="26">
        <f>IF($A434="","",COUNTIFS('Audit Versions'!$A$6:$A$605,$A434,'Audit Versions'!$L$6:$L$605,"Active"))</f>
        <v/>
      </c>
      <c r="Q434" s="15" t="n"/>
      <c r="R434" s="26">
        <f>IF(OR($A434="",$P434=0),"",MOD(N($Q434),$P434)+1)</f>
        <v/>
      </c>
      <c r="S434" s="15" t="n"/>
      <c r="T434" s="25" t="n"/>
      <c r="U434" s="26">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Builder'!$B$12="",N($S434)&lt;='Assignment Builder'!$B$12)))</f>
        <v/>
      </c>
      <c r="V434" s="23" t="n"/>
    </row>
    <row r="435">
      <c r="A435" s="23" t="n"/>
      <c r="B435" s="23" t="n"/>
      <c r="C435" s="24" t="n"/>
      <c r="D435" s="15" t="n"/>
      <c r="E435" s="23" t="n"/>
      <c r="F435" s="15" t="n"/>
      <c r="G435" s="23" t="n"/>
      <c r="H435" s="25" t="n"/>
      <c r="I435" s="15" t="n"/>
      <c r="J435" s="26">
        <f>IF($A435="","",LEN($C435)-LEN(SUBSTITUTE($C435,",",""))+1)</f>
        <v/>
      </c>
      <c r="K435" s="26">
        <f>IF($A435="","",SUMPRODUCT(--ISNUMBER(SEARCH('Category Dictionary'!$D$5:$D$135&amp;"",$C435)),--('Category Dictionary'!$D$5:$D$135&lt;&gt;"")))</f>
        <v/>
      </c>
      <c r="L435" s="27">
        <f>IF($A435="","",TRIM(IF(ISERROR(FIND(",",$C435)),$C435,LEFT($C435,FIND(",",$C435)-1))))</f>
        <v/>
      </c>
      <c r="M435" s="28">
        <f>IF($H435="","",DATE(YEAR($H435),MONTH($H435),1))</f>
        <v/>
      </c>
      <c r="N435" s="26">
        <f>IF($H435="","",TODAY()-$H435)</f>
        <v/>
      </c>
      <c r="O435" s="15" t="n"/>
      <c r="P435" s="26">
        <f>IF($A435="","",COUNTIFS('Audit Versions'!$A$6:$A$605,$A435,'Audit Versions'!$L$6:$L$605,"Active"))</f>
        <v/>
      </c>
      <c r="Q435" s="15" t="n"/>
      <c r="R435" s="26">
        <f>IF(OR($A435="",$P435=0),"",MOD(N($Q435),$P435)+1)</f>
        <v/>
      </c>
      <c r="S435" s="15" t="n"/>
      <c r="T435" s="25" t="n"/>
      <c r="U435" s="26">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Builder'!$B$12="",N($S435)&lt;='Assignment Builder'!$B$12)))</f>
        <v/>
      </c>
      <c r="V435" s="23" t="n"/>
    </row>
    <row r="436">
      <c r="A436" s="23" t="n"/>
      <c r="B436" s="23" t="n"/>
      <c r="C436" s="24" t="n"/>
      <c r="D436" s="15" t="n"/>
      <c r="E436" s="23" t="n"/>
      <c r="F436" s="15" t="n"/>
      <c r="G436" s="23" t="n"/>
      <c r="H436" s="25" t="n"/>
      <c r="I436" s="15" t="n"/>
      <c r="J436" s="26">
        <f>IF($A436="","",LEN($C436)-LEN(SUBSTITUTE($C436,",",""))+1)</f>
        <v/>
      </c>
      <c r="K436" s="26">
        <f>IF($A436="","",SUMPRODUCT(--ISNUMBER(SEARCH('Category Dictionary'!$D$5:$D$135&amp;"",$C436)),--('Category Dictionary'!$D$5:$D$135&lt;&gt;"")))</f>
        <v/>
      </c>
      <c r="L436" s="27">
        <f>IF($A436="","",TRIM(IF(ISERROR(FIND(",",$C436)),$C436,LEFT($C436,FIND(",",$C436)-1))))</f>
        <v/>
      </c>
      <c r="M436" s="28">
        <f>IF($H436="","",DATE(YEAR($H436),MONTH($H436),1))</f>
        <v/>
      </c>
      <c r="N436" s="26">
        <f>IF($H436="","",TODAY()-$H436)</f>
        <v/>
      </c>
      <c r="O436" s="15" t="n"/>
      <c r="P436" s="26">
        <f>IF($A436="","",COUNTIFS('Audit Versions'!$A$6:$A$605,$A436,'Audit Versions'!$L$6:$L$605,"Active"))</f>
        <v/>
      </c>
      <c r="Q436" s="15" t="n"/>
      <c r="R436" s="26">
        <f>IF(OR($A436="",$P436=0),"",MOD(N($Q436),$P436)+1)</f>
        <v/>
      </c>
      <c r="S436" s="15" t="n"/>
      <c r="T436" s="25" t="n"/>
      <c r="U436" s="26">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Builder'!$B$12="",N($S436)&lt;='Assignment Builder'!$B$12)))</f>
        <v/>
      </c>
      <c r="V436" s="23" t="n"/>
    </row>
    <row r="437">
      <c r="A437" s="23" t="n"/>
      <c r="B437" s="23" t="n"/>
      <c r="C437" s="24" t="n"/>
      <c r="D437" s="15" t="n"/>
      <c r="E437" s="23" t="n"/>
      <c r="F437" s="15" t="n"/>
      <c r="G437" s="23" t="n"/>
      <c r="H437" s="25" t="n"/>
      <c r="I437" s="15" t="n"/>
      <c r="J437" s="26">
        <f>IF($A437="","",LEN($C437)-LEN(SUBSTITUTE($C437,",",""))+1)</f>
        <v/>
      </c>
      <c r="K437" s="26">
        <f>IF($A437="","",SUMPRODUCT(--ISNUMBER(SEARCH('Category Dictionary'!$D$5:$D$135&amp;"",$C437)),--('Category Dictionary'!$D$5:$D$135&lt;&gt;"")))</f>
        <v/>
      </c>
      <c r="L437" s="27">
        <f>IF($A437="","",TRIM(IF(ISERROR(FIND(",",$C437)),$C437,LEFT($C437,FIND(",",$C437)-1))))</f>
        <v/>
      </c>
      <c r="M437" s="28">
        <f>IF($H437="","",DATE(YEAR($H437),MONTH($H437),1))</f>
        <v/>
      </c>
      <c r="N437" s="26">
        <f>IF($H437="","",TODAY()-$H437)</f>
        <v/>
      </c>
      <c r="O437" s="15" t="n"/>
      <c r="P437" s="26">
        <f>IF($A437="","",COUNTIFS('Audit Versions'!$A$6:$A$605,$A437,'Audit Versions'!$L$6:$L$605,"Active"))</f>
        <v/>
      </c>
      <c r="Q437" s="15" t="n"/>
      <c r="R437" s="26">
        <f>IF(OR($A437="",$P437=0),"",MOD(N($Q437),$P437)+1)</f>
        <v/>
      </c>
      <c r="S437" s="15" t="n"/>
      <c r="T437" s="25" t="n"/>
      <c r="U437" s="26">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Builder'!$B$12="",N($S437)&lt;='Assignment Builder'!$B$12)))</f>
        <v/>
      </c>
      <c r="V437" s="23" t="n"/>
    </row>
    <row r="438">
      <c r="A438" s="23" t="n"/>
      <c r="B438" s="23" t="n"/>
      <c r="C438" s="24" t="n"/>
      <c r="D438" s="15" t="n"/>
      <c r="E438" s="23" t="n"/>
      <c r="F438" s="15" t="n"/>
      <c r="G438" s="23" t="n"/>
      <c r="H438" s="25" t="n"/>
      <c r="I438" s="15" t="n"/>
      <c r="J438" s="26">
        <f>IF($A438="","",LEN($C438)-LEN(SUBSTITUTE($C438,",",""))+1)</f>
        <v/>
      </c>
      <c r="K438" s="26">
        <f>IF($A438="","",SUMPRODUCT(--ISNUMBER(SEARCH('Category Dictionary'!$D$5:$D$135&amp;"",$C438)),--('Category Dictionary'!$D$5:$D$135&lt;&gt;"")))</f>
        <v/>
      </c>
      <c r="L438" s="27">
        <f>IF($A438="","",TRIM(IF(ISERROR(FIND(",",$C438)),$C438,LEFT($C438,FIND(",",$C438)-1))))</f>
        <v/>
      </c>
      <c r="M438" s="28">
        <f>IF($H438="","",DATE(YEAR($H438),MONTH($H438),1))</f>
        <v/>
      </c>
      <c r="N438" s="26">
        <f>IF($H438="","",TODAY()-$H438)</f>
        <v/>
      </c>
      <c r="O438" s="15" t="n"/>
      <c r="P438" s="26">
        <f>IF($A438="","",COUNTIFS('Audit Versions'!$A$6:$A$605,$A438,'Audit Versions'!$L$6:$L$605,"Active"))</f>
        <v/>
      </c>
      <c r="Q438" s="15" t="n"/>
      <c r="R438" s="26">
        <f>IF(OR($A438="",$P438=0),"",MOD(N($Q438),$P438)+1)</f>
        <v/>
      </c>
      <c r="S438" s="15" t="n"/>
      <c r="T438" s="25" t="n"/>
      <c r="U438" s="26">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Builder'!$B$12="",N($S438)&lt;='Assignment Builder'!$B$12)))</f>
        <v/>
      </c>
      <c r="V438" s="23" t="n"/>
    </row>
    <row r="439">
      <c r="A439" s="23" t="n"/>
      <c r="B439" s="23" t="n"/>
      <c r="C439" s="24" t="n"/>
      <c r="D439" s="15" t="n"/>
      <c r="E439" s="23" t="n"/>
      <c r="F439" s="15" t="n"/>
      <c r="G439" s="23" t="n"/>
      <c r="H439" s="25" t="n"/>
      <c r="I439" s="15" t="n"/>
      <c r="J439" s="26">
        <f>IF($A439="","",LEN($C439)-LEN(SUBSTITUTE($C439,",",""))+1)</f>
        <v/>
      </c>
      <c r="K439" s="26">
        <f>IF($A439="","",SUMPRODUCT(--ISNUMBER(SEARCH('Category Dictionary'!$D$5:$D$135&amp;"",$C439)),--('Category Dictionary'!$D$5:$D$135&lt;&gt;"")))</f>
        <v/>
      </c>
      <c r="L439" s="27">
        <f>IF($A439="","",TRIM(IF(ISERROR(FIND(",",$C439)),$C439,LEFT($C439,FIND(",",$C439)-1))))</f>
        <v/>
      </c>
      <c r="M439" s="28">
        <f>IF($H439="","",DATE(YEAR($H439),MONTH($H439),1))</f>
        <v/>
      </c>
      <c r="N439" s="26">
        <f>IF($H439="","",TODAY()-$H439)</f>
        <v/>
      </c>
      <c r="O439" s="15" t="n"/>
      <c r="P439" s="26">
        <f>IF($A439="","",COUNTIFS('Audit Versions'!$A$6:$A$605,$A439,'Audit Versions'!$L$6:$L$605,"Active"))</f>
        <v/>
      </c>
      <c r="Q439" s="15" t="n"/>
      <c r="R439" s="26">
        <f>IF(OR($A439="",$P439=0),"",MOD(N($Q439),$P439)+1)</f>
        <v/>
      </c>
      <c r="S439" s="15" t="n"/>
      <c r="T439" s="25" t="n"/>
      <c r="U439" s="26">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Builder'!$B$12="",N($S439)&lt;='Assignment Builder'!$B$12)))</f>
        <v/>
      </c>
      <c r="V439" s="23" t="n"/>
    </row>
    <row r="440">
      <c r="A440" s="23" t="n"/>
      <c r="B440" s="23" t="n"/>
      <c r="C440" s="24" t="n"/>
      <c r="D440" s="15" t="n"/>
      <c r="E440" s="23" t="n"/>
      <c r="F440" s="15" t="n"/>
      <c r="G440" s="23" t="n"/>
      <c r="H440" s="25" t="n"/>
      <c r="I440" s="15" t="n"/>
      <c r="J440" s="26">
        <f>IF($A440="","",LEN($C440)-LEN(SUBSTITUTE($C440,",",""))+1)</f>
        <v/>
      </c>
      <c r="K440" s="26">
        <f>IF($A440="","",SUMPRODUCT(--ISNUMBER(SEARCH('Category Dictionary'!$D$5:$D$135&amp;"",$C440)),--('Category Dictionary'!$D$5:$D$135&lt;&gt;"")))</f>
        <v/>
      </c>
      <c r="L440" s="27">
        <f>IF($A440="","",TRIM(IF(ISERROR(FIND(",",$C440)),$C440,LEFT($C440,FIND(",",$C440)-1))))</f>
        <v/>
      </c>
      <c r="M440" s="28">
        <f>IF($H440="","",DATE(YEAR($H440),MONTH($H440),1))</f>
        <v/>
      </c>
      <c r="N440" s="26">
        <f>IF($H440="","",TODAY()-$H440)</f>
        <v/>
      </c>
      <c r="O440" s="15" t="n"/>
      <c r="P440" s="26">
        <f>IF($A440="","",COUNTIFS('Audit Versions'!$A$6:$A$605,$A440,'Audit Versions'!$L$6:$L$605,"Active"))</f>
        <v/>
      </c>
      <c r="Q440" s="15" t="n"/>
      <c r="R440" s="26">
        <f>IF(OR($A440="",$P440=0),"",MOD(N($Q440),$P440)+1)</f>
        <v/>
      </c>
      <c r="S440" s="15" t="n"/>
      <c r="T440" s="25" t="n"/>
      <c r="U440" s="26">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Builder'!$B$12="",N($S440)&lt;='Assignment Builder'!$B$12)))</f>
        <v/>
      </c>
      <c r="V440" s="23" t="n"/>
    </row>
    <row r="441">
      <c r="A441" s="23" t="n"/>
      <c r="B441" s="23" t="n"/>
      <c r="C441" s="24" t="n"/>
      <c r="D441" s="15" t="n"/>
      <c r="E441" s="23" t="n"/>
      <c r="F441" s="15" t="n"/>
      <c r="G441" s="23" t="n"/>
      <c r="H441" s="25" t="n"/>
      <c r="I441" s="15" t="n"/>
      <c r="J441" s="26">
        <f>IF($A441="","",LEN($C441)-LEN(SUBSTITUTE($C441,",",""))+1)</f>
        <v/>
      </c>
      <c r="K441" s="26">
        <f>IF($A441="","",SUMPRODUCT(--ISNUMBER(SEARCH('Category Dictionary'!$D$5:$D$135&amp;"",$C441)),--('Category Dictionary'!$D$5:$D$135&lt;&gt;"")))</f>
        <v/>
      </c>
      <c r="L441" s="27">
        <f>IF($A441="","",TRIM(IF(ISERROR(FIND(",",$C441)),$C441,LEFT($C441,FIND(",",$C441)-1))))</f>
        <v/>
      </c>
      <c r="M441" s="28">
        <f>IF($H441="","",DATE(YEAR($H441),MONTH($H441),1))</f>
        <v/>
      </c>
      <c r="N441" s="26">
        <f>IF($H441="","",TODAY()-$H441)</f>
        <v/>
      </c>
      <c r="O441" s="15" t="n"/>
      <c r="P441" s="26">
        <f>IF($A441="","",COUNTIFS('Audit Versions'!$A$6:$A$605,$A441,'Audit Versions'!$L$6:$L$605,"Active"))</f>
        <v/>
      </c>
      <c r="Q441" s="15" t="n"/>
      <c r="R441" s="26">
        <f>IF(OR($A441="",$P441=0),"",MOD(N($Q441),$P441)+1)</f>
        <v/>
      </c>
      <c r="S441" s="15" t="n"/>
      <c r="T441" s="25" t="n"/>
      <c r="U441" s="26">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Builder'!$B$12="",N($S441)&lt;='Assignment Builder'!$B$12)))</f>
        <v/>
      </c>
      <c r="V441" s="23" t="n"/>
    </row>
    <row r="442">
      <c r="A442" s="23" t="n"/>
      <c r="B442" s="23" t="n"/>
      <c r="C442" s="24" t="n"/>
      <c r="D442" s="15" t="n"/>
      <c r="E442" s="23" t="n"/>
      <c r="F442" s="15" t="n"/>
      <c r="G442" s="23" t="n"/>
      <c r="H442" s="25" t="n"/>
      <c r="I442" s="15" t="n"/>
      <c r="J442" s="26">
        <f>IF($A442="","",LEN($C442)-LEN(SUBSTITUTE($C442,",",""))+1)</f>
        <v/>
      </c>
      <c r="K442" s="26">
        <f>IF($A442="","",SUMPRODUCT(--ISNUMBER(SEARCH('Category Dictionary'!$D$5:$D$135&amp;"",$C442)),--('Category Dictionary'!$D$5:$D$135&lt;&gt;"")))</f>
        <v/>
      </c>
      <c r="L442" s="27">
        <f>IF($A442="","",TRIM(IF(ISERROR(FIND(",",$C442)),$C442,LEFT($C442,FIND(",",$C442)-1))))</f>
        <v/>
      </c>
      <c r="M442" s="28">
        <f>IF($H442="","",DATE(YEAR($H442),MONTH($H442),1))</f>
        <v/>
      </c>
      <c r="N442" s="26">
        <f>IF($H442="","",TODAY()-$H442)</f>
        <v/>
      </c>
      <c r="O442" s="15" t="n"/>
      <c r="P442" s="26">
        <f>IF($A442="","",COUNTIFS('Audit Versions'!$A$6:$A$605,$A442,'Audit Versions'!$L$6:$L$605,"Active"))</f>
        <v/>
      </c>
      <c r="Q442" s="15" t="n"/>
      <c r="R442" s="26">
        <f>IF(OR($A442="",$P442=0),"",MOD(N($Q442),$P442)+1)</f>
        <v/>
      </c>
      <c r="S442" s="15" t="n"/>
      <c r="T442" s="25" t="n"/>
      <c r="U442" s="26">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Builder'!$B$12="",N($S442)&lt;='Assignment Builder'!$B$12)))</f>
        <v/>
      </c>
      <c r="V442" s="23" t="n"/>
    </row>
    <row r="443">
      <c r="A443" s="23" t="n"/>
      <c r="B443" s="23" t="n"/>
      <c r="C443" s="24" t="n"/>
      <c r="D443" s="15" t="n"/>
      <c r="E443" s="23" t="n"/>
      <c r="F443" s="15" t="n"/>
      <c r="G443" s="23" t="n"/>
      <c r="H443" s="25" t="n"/>
      <c r="I443" s="15" t="n"/>
      <c r="J443" s="26">
        <f>IF($A443="","",LEN($C443)-LEN(SUBSTITUTE($C443,",",""))+1)</f>
        <v/>
      </c>
      <c r="K443" s="26">
        <f>IF($A443="","",SUMPRODUCT(--ISNUMBER(SEARCH('Category Dictionary'!$D$5:$D$135&amp;"",$C443)),--('Category Dictionary'!$D$5:$D$135&lt;&gt;"")))</f>
        <v/>
      </c>
      <c r="L443" s="27">
        <f>IF($A443="","",TRIM(IF(ISERROR(FIND(",",$C443)),$C443,LEFT($C443,FIND(",",$C443)-1))))</f>
        <v/>
      </c>
      <c r="M443" s="28">
        <f>IF($H443="","",DATE(YEAR($H443),MONTH($H443),1))</f>
        <v/>
      </c>
      <c r="N443" s="26">
        <f>IF($H443="","",TODAY()-$H443)</f>
        <v/>
      </c>
      <c r="O443" s="15" t="n"/>
      <c r="P443" s="26">
        <f>IF($A443="","",COUNTIFS('Audit Versions'!$A$6:$A$605,$A443,'Audit Versions'!$L$6:$L$605,"Active"))</f>
        <v/>
      </c>
      <c r="Q443" s="15" t="n"/>
      <c r="R443" s="26">
        <f>IF(OR($A443="",$P443=0),"",MOD(N($Q443),$P443)+1)</f>
        <v/>
      </c>
      <c r="S443" s="15" t="n"/>
      <c r="T443" s="25" t="n"/>
      <c r="U443" s="26">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Builder'!$B$12="",N($S443)&lt;='Assignment Builder'!$B$12)))</f>
        <v/>
      </c>
      <c r="V443" s="23" t="n"/>
    </row>
    <row r="444">
      <c r="A444" s="23" t="n"/>
      <c r="B444" s="23" t="n"/>
      <c r="C444" s="24" t="n"/>
      <c r="D444" s="15" t="n"/>
      <c r="E444" s="23" t="n"/>
      <c r="F444" s="15" t="n"/>
      <c r="G444" s="23" t="n"/>
      <c r="H444" s="25" t="n"/>
      <c r="I444" s="15" t="n"/>
      <c r="J444" s="26">
        <f>IF($A444="","",LEN($C444)-LEN(SUBSTITUTE($C444,",",""))+1)</f>
        <v/>
      </c>
      <c r="K444" s="26">
        <f>IF($A444="","",SUMPRODUCT(--ISNUMBER(SEARCH('Category Dictionary'!$D$5:$D$135&amp;"",$C444)),--('Category Dictionary'!$D$5:$D$135&lt;&gt;"")))</f>
        <v/>
      </c>
      <c r="L444" s="27">
        <f>IF($A444="","",TRIM(IF(ISERROR(FIND(",",$C444)),$C444,LEFT($C444,FIND(",",$C444)-1))))</f>
        <v/>
      </c>
      <c r="M444" s="28">
        <f>IF($H444="","",DATE(YEAR($H444),MONTH($H444),1))</f>
        <v/>
      </c>
      <c r="N444" s="26">
        <f>IF($H444="","",TODAY()-$H444)</f>
        <v/>
      </c>
      <c r="O444" s="15" t="n"/>
      <c r="P444" s="26">
        <f>IF($A444="","",COUNTIFS('Audit Versions'!$A$6:$A$605,$A444,'Audit Versions'!$L$6:$L$605,"Active"))</f>
        <v/>
      </c>
      <c r="Q444" s="15" t="n"/>
      <c r="R444" s="26">
        <f>IF(OR($A444="",$P444=0),"",MOD(N($Q444),$P444)+1)</f>
        <v/>
      </c>
      <c r="S444" s="15" t="n"/>
      <c r="T444" s="25" t="n"/>
      <c r="U444" s="26">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Builder'!$B$12="",N($S444)&lt;='Assignment Builder'!$B$12)))</f>
        <v/>
      </c>
      <c r="V444" s="23" t="n"/>
    </row>
    <row r="445">
      <c r="A445" s="23" t="n"/>
      <c r="B445" s="23" t="n"/>
      <c r="C445" s="24" t="n"/>
      <c r="D445" s="15" t="n"/>
      <c r="E445" s="23" t="n"/>
      <c r="F445" s="15" t="n"/>
      <c r="G445" s="23" t="n"/>
      <c r="H445" s="25" t="n"/>
      <c r="I445" s="15" t="n"/>
      <c r="J445" s="26">
        <f>IF($A445="","",LEN($C445)-LEN(SUBSTITUTE($C445,",",""))+1)</f>
        <v/>
      </c>
      <c r="K445" s="26">
        <f>IF($A445="","",SUMPRODUCT(--ISNUMBER(SEARCH('Category Dictionary'!$D$5:$D$135&amp;"",$C445)),--('Category Dictionary'!$D$5:$D$135&lt;&gt;"")))</f>
        <v/>
      </c>
      <c r="L445" s="27">
        <f>IF($A445="","",TRIM(IF(ISERROR(FIND(",",$C445)),$C445,LEFT($C445,FIND(",",$C445)-1))))</f>
        <v/>
      </c>
      <c r="M445" s="28">
        <f>IF($H445="","",DATE(YEAR($H445),MONTH($H445),1))</f>
        <v/>
      </c>
      <c r="N445" s="26">
        <f>IF($H445="","",TODAY()-$H445)</f>
        <v/>
      </c>
      <c r="O445" s="15" t="n"/>
      <c r="P445" s="26">
        <f>IF($A445="","",COUNTIFS('Audit Versions'!$A$6:$A$605,$A445,'Audit Versions'!$L$6:$L$605,"Active"))</f>
        <v/>
      </c>
      <c r="Q445" s="15" t="n"/>
      <c r="R445" s="26">
        <f>IF(OR($A445="",$P445=0),"",MOD(N($Q445),$P445)+1)</f>
        <v/>
      </c>
      <c r="S445" s="15" t="n"/>
      <c r="T445" s="25" t="n"/>
      <c r="U445" s="26">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Builder'!$B$12="",N($S445)&lt;='Assignment Builder'!$B$12)))</f>
        <v/>
      </c>
      <c r="V445" s="23" t="n"/>
    </row>
    <row r="446">
      <c r="A446" s="23" t="n"/>
      <c r="B446" s="23" t="n"/>
      <c r="C446" s="24" t="n"/>
      <c r="D446" s="15" t="n"/>
      <c r="E446" s="23" t="n"/>
      <c r="F446" s="15" t="n"/>
      <c r="G446" s="23" t="n"/>
      <c r="H446" s="25" t="n"/>
      <c r="I446" s="15" t="n"/>
      <c r="J446" s="26">
        <f>IF($A446="","",LEN($C446)-LEN(SUBSTITUTE($C446,",",""))+1)</f>
        <v/>
      </c>
      <c r="K446" s="26">
        <f>IF($A446="","",SUMPRODUCT(--ISNUMBER(SEARCH('Category Dictionary'!$D$5:$D$135&amp;"",$C446)),--('Category Dictionary'!$D$5:$D$135&lt;&gt;"")))</f>
        <v/>
      </c>
      <c r="L446" s="27">
        <f>IF($A446="","",TRIM(IF(ISERROR(FIND(",",$C446)),$C446,LEFT($C446,FIND(",",$C446)-1))))</f>
        <v/>
      </c>
      <c r="M446" s="28">
        <f>IF($H446="","",DATE(YEAR($H446),MONTH($H446),1))</f>
        <v/>
      </c>
      <c r="N446" s="26">
        <f>IF($H446="","",TODAY()-$H446)</f>
        <v/>
      </c>
      <c r="O446" s="15" t="n"/>
      <c r="P446" s="26">
        <f>IF($A446="","",COUNTIFS('Audit Versions'!$A$6:$A$605,$A446,'Audit Versions'!$L$6:$L$605,"Active"))</f>
        <v/>
      </c>
      <c r="Q446" s="15" t="n"/>
      <c r="R446" s="26">
        <f>IF(OR($A446="",$P446=0),"",MOD(N($Q446),$P446)+1)</f>
        <v/>
      </c>
      <c r="S446" s="15" t="n"/>
      <c r="T446" s="25" t="n"/>
      <c r="U446" s="26">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Builder'!$B$12="",N($S446)&lt;='Assignment Builder'!$B$12)))</f>
        <v/>
      </c>
      <c r="V446" s="23" t="n"/>
    </row>
    <row r="447">
      <c r="A447" s="23" t="n"/>
      <c r="B447" s="23" t="n"/>
      <c r="C447" s="24" t="n"/>
      <c r="D447" s="15" t="n"/>
      <c r="E447" s="23" t="n"/>
      <c r="F447" s="15" t="n"/>
      <c r="G447" s="23" t="n"/>
      <c r="H447" s="25" t="n"/>
      <c r="I447" s="15" t="n"/>
      <c r="J447" s="26">
        <f>IF($A447="","",LEN($C447)-LEN(SUBSTITUTE($C447,",",""))+1)</f>
        <v/>
      </c>
      <c r="K447" s="26">
        <f>IF($A447="","",SUMPRODUCT(--ISNUMBER(SEARCH('Category Dictionary'!$D$5:$D$135&amp;"",$C447)),--('Category Dictionary'!$D$5:$D$135&lt;&gt;"")))</f>
        <v/>
      </c>
      <c r="L447" s="27">
        <f>IF($A447="","",TRIM(IF(ISERROR(FIND(",",$C447)),$C447,LEFT($C447,FIND(",",$C447)-1))))</f>
        <v/>
      </c>
      <c r="M447" s="28">
        <f>IF($H447="","",DATE(YEAR($H447),MONTH($H447),1))</f>
        <v/>
      </c>
      <c r="N447" s="26">
        <f>IF($H447="","",TODAY()-$H447)</f>
        <v/>
      </c>
      <c r="O447" s="15" t="n"/>
      <c r="P447" s="26">
        <f>IF($A447="","",COUNTIFS('Audit Versions'!$A$6:$A$605,$A447,'Audit Versions'!$L$6:$L$605,"Active"))</f>
        <v/>
      </c>
      <c r="Q447" s="15" t="n"/>
      <c r="R447" s="26">
        <f>IF(OR($A447="",$P447=0),"",MOD(N($Q447),$P447)+1)</f>
        <v/>
      </c>
      <c r="S447" s="15" t="n"/>
      <c r="T447" s="25" t="n"/>
      <c r="U447" s="26">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Builder'!$B$12="",N($S447)&lt;='Assignment Builder'!$B$12)))</f>
        <v/>
      </c>
      <c r="V447" s="23" t="n"/>
    </row>
    <row r="448">
      <c r="A448" s="23" t="n"/>
      <c r="B448" s="23" t="n"/>
      <c r="C448" s="24" t="n"/>
      <c r="D448" s="15" t="n"/>
      <c r="E448" s="23" t="n"/>
      <c r="F448" s="15" t="n"/>
      <c r="G448" s="23" t="n"/>
      <c r="H448" s="25" t="n"/>
      <c r="I448" s="15" t="n"/>
      <c r="J448" s="26">
        <f>IF($A448="","",LEN($C448)-LEN(SUBSTITUTE($C448,",",""))+1)</f>
        <v/>
      </c>
      <c r="K448" s="26">
        <f>IF($A448="","",SUMPRODUCT(--ISNUMBER(SEARCH('Category Dictionary'!$D$5:$D$135&amp;"",$C448)),--('Category Dictionary'!$D$5:$D$135&lt;&gt;"")))</f>
        <v/>
      </c>
      <c r="L448" s="27">
        <f>IF($A448="","",TRIM(IF(ISERROR(FIND(",",$C448)),$C448,LEFT($C448,FIND(",",$C448)-1))))</f>
        <v/>
      </c>
      <c r="M448" s="28">
        <f>IF($H448="","",DATE(YEAR($H448),MONTH($H448),1))</f>
        <v/>
      </c>
      <c r="N448" s="26">
        <f>IF($H448="","",TODAY()-$H448)</f>
        <v/>
      </c>
      <c r="O448" s="15" t="n"/>
      <c r="P448" s="26">
        <f>IF($A448="","",COUNTIFS('Audit Versions'!$A$6:$A$605,$A448,'Audit Versions'!$L$6:$L$605,"Active"))</f>
        <v/>
      </c>
      <c r="Q448" s="15" t="n"/>
      <c r="R448" s="26">
        <f>IF(OR($A448="",$P448=0),"",MOD(N($Q448),$P448)+1)</f>
        <v/>
      </c>
      <c r="S448" s="15" t="n"/>
      <c r="T448" s="25" t="n"/>
      <c r="U448" s="26">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Builder'!$B$12="",N($S448)&lt;='Assignment Builder'!$B$12)))</f>
        <v/>
      </c>
      <c r="V448" s="23" t="n"/>
    </row>
    <row r="449">
      <c r="A449" s="23" t="n"/>
      <c r="B449" s="23" t="n"/>
      <c r="C449" s="24" t="n"/>
      <c r="D449" s="15" t="n"/>
      <c r="E449" s="23" t="n"/>
      <c r="F449" s="15" t="n"/>
      <c r="G449" s="23" t="n"/>
      <c r="H449" s="25" t="n"/>
      <c r="I449" s="15" t="n"/>
      <c r="J449" s="26">
        <f>IF($A449="","",LEN($C449)-LEN(SUBSTITUTE($C449,",",""))+1)</f>
        <v/>
      </c>
      <c r="K449" s="26">
        <f>IF($A449="","",SUMPRODUCT(--ISNUMBER(SEARCH('Category Dictionary'!$D$5:$D$135&amp;"",$C449)),--('Category Dictionary'!$D$5:$D$135&lt;&gt;"")))</f>
        <v/>
      </c>
      <c r="L449" s="27">
        <f>IF($A449="","",TRIM(IF(ISERROR(FIND(",",$C449)),$C449,LEFT($C449,FIND(",",$C449)-1))))</f>
        <v/>
      </c>
      <c r="M449" s="28">
        <f>IF($H449="","",DATE(YEAR($H449),MONTH($H449),1))</f>
        <v/>
      </c>
      <c r="N449" s="26">
        <f>IF($H449="","",TODAY()-$H449)</f>
        <v/>
      </c>
      <c r="O449" s="15" t="n"/>
      <c r="P449" s="26">
        <f>IF($A449="","",COUNTIFS('Audit Versions'!$A$6:$A$605,$A449,'Audit Versions'!$L$6:$L$605,"Active"))</f>
        <v/>
      </c>
      <c r="Q449" s="15" t="n"/>
      <c r="R449" s="26">
        <f>IF(OR($A449="",$P449=0),"",MOD(N($Q449),$P449)+1)</f>
        <v/>
      </c>
      <c r="S449" s="15" t="n"/>
      <c r="T449" s="25" t="n"/>
      <c r="U449" s="26">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Builder'!$B$12="",N($S449)&lt;='Assignment Builder'!$B$12)))</f>
        <v/>
      </c>
      <c r="V449" s="23" t="n"/>
    </row>
    <row r="450">
      <c r="A450" s="23" t="n"/>
      <c r="B450" s="23" t="n"/>
      <c r="C450" s="24" t="n"/>
      <c r="D450" s="15" t="n"/>
      <c r="E450" s="23" t="n"/>
      <c r="F450" s="15" t="n"/>
      <c r="G450" s="23" t="n"/>
      <c r="H450" s="25" t="n"/>
      <c r="I450" s="15" t="n"/>
      <c r="J450" s="26">
        <f>IF($A450="","",LEN($C450)-LEN(SUBSTITUTE($C450,",",""))+1)</f>
        <v/>
      </c>
      <c r="K450" s="26">
        <f>IF($A450="","",SUMPRODUCT(--ISNUMBER(SEARCH('Category Dictionary'!$D$5:$D$135&amp;"",$C450)),--('Category Dictionary'!$D$5:$D$135&lt;&gt;"")))</f>
        <v/>
      </c>
      <c r="L450" s="27">
        <f>IF($A450="","",TRIM(IF(ISERROR(FIND(",",$C450)),$C450,LEFT($C450,FIND(",",$C450)-1))))</f>
        <v/>
      </c>
      <c r="M450" s="28">
        <f>IF($H450="","",DATE(YEAR($H450),MONTH($H450),1))</f>
        <v/>
      </c>
      <c r="N450" s="26">
        <f>IF($H450="","",TODAY()-$H450)</f>
        <v/>
      </c>
      <c r="O450" s="15" t="n"/>
      <c r="P450" s="26">
        <f>IF($A450="","",COUNTIFS('Audit Versions'!$A$6:$A$605,$A450,'Audit Versions'!$L$6:$L$605,"Active"))</f>
        <v/>
      </c>
      <c r="Q450" s="15" t="n"/>
      <c r="R450" s="26">
        <f>IF(OR($A450="",$P450=0),"",MOD(N($Q450),$P450)+1)</f>
        <v/>
      </c>
      <c r="S450" s="15" t="n"/>
      <c r="T450" s="25" t="n"/>
      <c r="U450" s="26">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Builder'!$B$12="",N($S450)&lt;='Assignment Builder'!$B$12)))</f>
        <v/>
      </c>
      <c r="V450" s="23" t="n"/>
    </row>
    <row r="451">
      <c r="A451" s="23" t="n"/>
      <c r="B451" s="23" t="n"/>
      <c r="C451" s="24" t="n"/>
      <c r="D451" s="15" t="n"/>
      <c r="E451" s="23" t="n"/>
      <c r="F451" s="15" t="n"/>
      <c r="G451" s="23" t="n"/>
      <c r="H451" s="25" t="n"/>
      <c r="I451" s="15" t="n"/>
      <c r="J451" s="26">
        <f>IF($A451="","",LEN($C451)-LEN(SUBSTITUTE($C451,",",""))+1)</f>
        <v/>
      </c>
      <c r="K451" s="26">
        <f>IF($A451="","",SUMPRODUCT(--ISNUMBER(SEARCH('Category Dictionary'!$D$5:$D$135&amp;"",$C451)),--('Category Dictionary'!$D$5:$D$135&lt;&gt;"")))</f>
        <v/>
      </c>
      <c r="L451" s="27">
        <f>IF($A451="","",TRIM(IF(ISERROR(FIND(",",$C451)),$C451,LEFT($C451,FIND(",",$C451)-1))))</f>
        <v/>
      </c>
      <c r="M451" s="28">
        <f>IF($H451="","",DATE(YEAR($H451),MONTH($H451),1))</f>
        <v/>
      </c>
      <c r="N451" s="26">
        <f>IF($H451="","",TODAY()-$H451)</f>
        <v/>
      </c>
      <c r="O451" s="15" t="n"/>
      <c r="P451" s="26">
        <f>IF($A451="","",COUNTIFS('Audit Versions'!$A$6:$A$605,$A451,'Audit Versions'!$L$6:$L$605,"Active"))</f>
        <v/>
      </c>
      <c r="Q451" s="15" t="n"/>
      <c r="R451" s="26">
        <f>IF(OR($A451="",$P451=0),"",MOD(N($Q451),$P451)+1)</f>
        <v/>
      </c>
      <c r="S451" s="15" t="n"/>
      <c r="T451" s="25" t="n"/>
      <c r="U451" s="26">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Builder'!$B$12="",N($S451)&lt;='Assignment Builder'!$B$12)))</f>
        <v/>
      </c>
      <c r="V451" s="23" t="n"/>
    </row>
    <row r="452">
      <c r="A452" s="23" t="n"/>
      <c r="B452" s="23" t="n"/>
      <c r="C452" s="24" t="n"/>
      <c r="D452" s="15" t="n"/>
      <c r="E452" s="23" t="n"/>
      <c r="F452" s="15" t="n"/>
      <c r="G452" s="23" t="n"/>
      <c r="H452" s="25" t="n"/>
      <c r="I452" s="15" t="n"/>
      <c r="J452" s="26">
        <f>IF($A452="","",LEN($C452)-LEN(SUBSTITUTE($C452,",",""))+1)</f>
        <v/>
      </c>
      <c r="K452" s="26">
        <f>IF($A452="","",SUMPRODUCT(--ISNUMBER(SEARCH('Category Dictionary'!$D$5:$D$135&amp;"",$C452)),--('Category Dictionary'!$D$5:$D$135&lt;&gt;"")))</f>
        <v/>
      </c>
      <c r="L452" s="27">
        <f>IF($A452="","",TRIM(IF(ISERROR(FIND(",",$C452)),$C452,LEFT($C452,FIND(",",$C452)-1))))</f>
        <v/>
      </c>
      <c r="M452" s="28">
        <f>IF($H452="","",DATE(YEAR($H452),MONTH($H452),1))</f>
        <v/>
      </c>
      <c r="N452" s="26">
        <f>IF($H452="","",TODAY()-$H452)</f>
        <v/>
      </c>
      <c r="O452" s="15" t="n"/>
      <c r="P452" s="26">
        <f>IF($A452="","",COUNTIFS('Audit Versions'!$A$6:$A$605,$A452,'Audit Versions'!$L$6:$L$605,"Active"))</f>
        <v/>
      </c>
      <c r="Q452" s="15" t="n"/>
      <c r="R452" s="26">
        <f>IF(OR($A452="",$P452=0),"",MOD(N($Q452),$P452)+1)</f>
        <v/>
      </c>
      <c r="S452" s="15" t="n"/>
      <c r="T452" s="25" t="n"/>
      <c r="U452" s="26">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Builder'!$B$12="",N($S452)&lt;='Assignment Builder'!$B$12)))</f>
        <v/>
      </c>
      <c r="V452" s="23" t="n"/>
    </row>
    <row r="453">
      <c r="A453" s="23" t="n"/>
      <c r="B453" s="23" t="n"/>
      <c r="C453" s="24" t="n"/>
      <c r="D453" s="15" t="n"/>
      <c r="E453" s="23" t="n"/>
      <c r="F453" s="15" t="n"/>
      <c r="G453" s="23" t="n"/>
      <c r="H453" s="25" t="n"/>
      <c r="I453" s="15" t="n"/>
      <c r="J453" s="26">
        <f>IF($A453="","",LEN($C453)-LEN(SUBSTITUTE($C453,",",""))+1)</f>
        <v/>
      </c>
      <c r="K453" s="26">
        <f>IF($A453="","",SUMPRODUCT(--ISNUMBER(SEARCH('Category Dictionary'!$D$5:$D$135&amp;"",$C453)),--('Category Dictionary'!$D$5:$D$135&lt;&gt;"")))</f>
        <v/>
      </c>
      <c r="L453" s="27">
        <f>IF($A453="","",TRIM(IF(ISERROR(FIND(",",$C453)),$C453,LEFT($C453,FIND(",",$C453)-1))))</f>
        <v/>
      </c>
      <c r="M453" s="28">
        <f>IF($H453="","",DATE(YEAR($H453),MONTH($H453),1))</f>
        <v/>
      </c>
      <c r="N453" s="26">
        <f>IF($H453="","",TODAY()-$H453)</f>
        <v/>
      </c>
      <c r="O453" s="15" t="n"/>
      <c r="P453" s="26">
        <f>IF($A453="","",COUNTIFS('Audit Versions'!$A$6:$A$605,$A453,'Audit Versions'!$L$6:$L$605,"Active"))</f>
        <v/>
      </c>
      <c r="Q453" s="15" t="n"/>
      <c r="R453" s="26">
        <f>IF(OR($A453="",$P453=0),"",MOD(N($Q453),$P453)+1)</f>
        <v/>
      </c>
      <c r="S453" s="15" t="n"/>
      <c r="T453" s="25" t="n"/>
      <c r="U453" s="26">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Builder'!$B$12="",N($S453)&lt;='Assignment Builder'!$B$12)))</f>
        <v/>
      </c>
      <c r="V453" s="23" t="n"/>
    </row>
    <row r="454">
      <c r="A454" s="23" t="n"/>
      <c r="B454" s="23" t="n"/>
      <c r="C454" s="24" t="n"/>
      <c r="D454" s="15" t="n"/>
      <c r="E454" s="23" t="n"/>
      <c r="F454" s="15" t="n"/>
      <c r="G454" s="23" t="n"/>
      <c r="H454" s="25" t="n"/>
      <c r="I454" s="15" t="n"/>
      <c r="J454" s="26">
        <f>IF($A454="","",LEN($C454)-LEN(SUBSTITUTE($C454,",",""))+1)</f>
        <v/>
      </c>
      <c r="K454" s="26">
        <f>IF($A454="","",SUMPRODUCT(--ISNUMBER(SEARCH('Category Dictionary'!$D$5:$D$135&amp;"",$C454)),--('Category Dictionary'!$D$5:$D$135&lt;&gt;"")))</f>
        <v/>
      </c>
      <c r="L454" s="27">
        <f>IF($A454="","",TRIM(IF(ISERROR(FIND(",",$C454)),$C454,LEFT($C454,FIND(",",$C454)-1))))</f>
        <v/>
      </c>
      <c r="M454" s="28">
        <f>IF($H454="","",DATE(YEAR($H454),MONTH($H454),1))</f>
        <v/>
      </c>
      <c r="N454" s="26">
        <f>IF($H454="","",TODAY()-$H454)</f>
        <v/>
      </c>
      <c r="O454" s="15" t="n"/>
      <c r="P454" s="26">
        <f>IF($A454="","",COUNTIFS('Audit Versions'!$A$6:$A$605,$A454,'Audit Versions'!$L$6:$L$605,"Active"))</f>
        <v/>
      </c>
      <c r="Q454" s="15" t="n"/>
      <c r="R454" s="26">
        <f>IF(OR($A454="",$P454=0),"",MOD(N($Q454),$P454)+1)</f>
        <v/>
      </c>
      <c r="S454" s="15" t="n"/>
      <c r="T454" s="25" t="n"/>
      <c r="U454" s="26">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Builder'!$B$12="",N($S454)&lt;='Assignment Builder'!$B$12)))</f>
        <v/>
      </c>
      <c r="V454" s="23" t="n"/>
    </row>
    <row r="455">
      <c r="A455" s="23" t="n"/>
      <c r="B455" s="23" t="n"/>
      <c r="C455" s="24" t="n"/>
      <c r="D455" s="15" t="n"/>
      <c r="E455" s="23" t="n"/>
      <c r="F455" s="15" t="n"/>
      <c r="G455" s="23" t="n"/>
      <c r="H455" s="25" t="n"/>
      <c r="I455" s="15" t="n"/>
      <c r="J455" s="26">
        <f>IF($A455="","",LEN($C455)-LEN(SUBSTITUTE($C455,",",""))+1)</f>
        <v/>
      </c>
      <c r="K455" s="26">
        <f>IF($A455="","",SUMPRODUCT(--ISNUMBER(SEARCH('Category Dictionary'!$D$5:$D$135&amp;"",$C455)),--('Category Dictionary'!$D$5:$D$135&lt;&gt;"")))</f>
        <v/>
      </c>
      <c r="L455" s="27">
        <f>IF($A455="","",TRIM(IF(ISERROR(FIND(",",$C455)),$C455,LEFT($C455,FIND(",",$C455)-1))))</f>
        <v/>
      </c>
      <c r="M455" s="28">
        <f>IF($H455="","",DATE(YEAR($H455),MONTH($H455),1))</f>
        <v/>
      </c>
      <c r="N455" s="26">
        <f>IF($H455="","",TODAY()-$H455)</f>
        <v/>
      </c>
      <c r="O455" s="15" t="n"/>
      <c r="P455" s="26">
        <f>IF($A455="","",COUNTIFS('Audit Versions'!$A$6:$A$605,$A455,'Audit Versions'!$L$6:$L$605,"Active"))</f>
        <v/>
      </c>
      <c r="Q455" s="15" t="n"/>
      <c r="R455" s="26">
        <f>IF(OR($A455="",$P455=0),"",MOD(N($Q455),$P455)+1)</f>
        <v/>
      </c>
      <c r="S455" s="15" t="n"/>
      <c r="T455" s="25" t="n"/>
      <c r="U455" s="26">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Builder'!$B$12="",N($S455)&lt;='Assignment Builder'!$B$12)))</f>
        <v/>
      </c>
      <c r="V455" s="23" t="n"/>
    </row>
    <row r="456">
      <c r="A456" s="23" t="n"/>
      <c r="B456" s="23" t="n"/>
      <c r="C456" s="24" t="n"/>
      <c r="D456" s="15" t="n"/>
      <c r="E456" s="23" t="n"/>
      <c r="F456" s="15" t="n"/>
      <c r="G456" s="23" t="n"/>
      <c r="H456" s="25" t="n"/>
      <c r="I456" s="15" t="n"/>
      <c r="J456" s="26">
        <f>IF($A456="","",LEN($C456)-LEN(SUBSTITUTE($C456,",",""))+1)</f>
        <v/>
      </c>
      <c r="K456" s="26">
        <f>IF($A456="","",SUMPRODUCT(--ISNUMBER(SEARCH('Category Dictionary'!$D$5:$D$135&amp;"",$C456)),--('Category Dictionary'!$D$5:$D$135&lt;&gt;"")))</f>
        <v/>
      </c>
      <c r="L456" s="27">
        <f>IF($A456="","",TRIM(IF(ISERROR(FIND(",",$C456)),$C456,LEFT($C456,FIND(",",$C456)-1))))</f>
        <v/>
      </c>
      <c r="M456" s="28">
        <f>IF($H456="","",DATE(YEAR($H456),MONTH($H456),1))</f>
        <v/>
      </c>
      <c r="N456" s="26">
        <f>IF($H456="","",TODAY()-$H456)</f>
        <v/>
      </c>
      <c r="O456" s="15" t="n"/>
      <c r="P456" s="26">
        <f>IF($A456="","",COUNTIFS('Audit Versions'!$A$6:$A$605,$A456,'Audit Versions'!$L$6:$L$605,"Active"))</f>
        <v/>
      </c>
      <c r="Q456" s="15" t="n"/>
      <c r="R456" s="26">
        <f>IF(OR($A456="",$P456=0),"",MOD(N($Q456),$P456)+1)</f>
        <v/>
      </c>
      <c r="S456" s="15" t="n"/>
      <c r="T456" s="25" t="n"/>
      <c r="U456" s="26">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Builder'!$B$12="",N($S456)&lt;='Assignment Builder'!$B$12)))</f>
        <v/>
      </c>
      <c r="V456" s="23" t="n"/>
    </row>
    <row r="457">
      <c r="A457" s="23" t="n"/>
      <c r="B457" s="23" t="n"/>
      <c r="C457" s="24" t="n"/>
      <c r="D457" s="15" t="n"/>
      <c r="E457" s="23" t="n"/>
      <c r="F457" s="15" t="n"/>
      <c r="G457" s="23" t="n"/>
      <c r="H457" s="25" t="n"/>
      <c r="I457" s="15" t="n"/>
      <c r="J457" s="26">
        <f>IF($A457="","",LEN($C457)-LEN(SUBSTITUTE($C457,",",""))+1)</f>
        <v/>
      </c>
      <c r="K457" s="26">
        <f>IF($A457="","",SUMPRODUCT(--ISNUMBER(SEARCH('Category Dictionary'!$D$5:$D$135&amp;"",$C457)),--('Category Dictionary'!$D$5:$D$135&lt;&gt;"")))</f>
        <v/>
      </c>
      <c r="L457" s="27">
        <f>IF($A457="","",TRIM(IF(ISERROR(FIND(",",$C457)),$C457,LEFT($C457,FIND(",",$C457)-1))))</f>
        <v/>
      </c>
      <c r="M457" s="28">
        <f>IF($H457="","",DATE(YEAR($H457),MONTH($H457),1))</f>
        <v/>
      </c>
      <c r="N457" s="26">
        <f>IF($H457="","",TODAY()-$H457)</f>
        <v/>
      </c>
      <c r="O457" s="15" t="n"/>
      <c r="P457" s="26">
        <f>IF($A457="","",COUNTIFS('Audit Versions'!$A$6:$A$605,$A457,'Audit Versions'!$L$6:$L$605,"Active"))</f>
        <v/>
      </c>
      <c r="Q457" s="15" t="n"/>
      <c r="R457" s="26">
        <f>IF(OR($A457="",$P457=0),"",MOD(N($Q457),$P457)+1)</f>
        <v/>
      </c>
      <c r="S457" s="15" t="n"/>
      <c r="T457" s="25" t="n"/>
      <c r="U457" s="26">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Builder'!$B$12="",N($S457)&lt;='Assignment Builder'!$B$12)))</f>
        <v/>
      </c>
      <c r="V457" s="23" t="n"/>
    </row>
    <row r="458">
      <c r="A458" s="23" t="n"/>
      <c r="B458" s="23" t="n"/>
      <c r="C458" s="24" t="n"/>
      <c r="D458" s="15" t="n"/>
      <c r="E458" s="23" t="n"/>
      <c r="F458" s="15" t="n"/>
      <c r="G458" s="23" t="n"/>
      <c r="H458" s="25" t="n"/>
      <c r="I458" s="15" t="n"/>
      <c r="J458" s="26">
        <f>IF($A458="","",LEN($C458)-LEN(SUBSTITUTE($C458,",",""))+1)</f>
        <v/>
      </c>
      <c r="K458" s="26">
        <f>IF($A458="","",SUMPRODUCT(--ISNUMBER(SEARCH('Category Dictionary'!$D$5:$D$135&amp;"",$C458)),--('Category Dictionary'!$D$5:$D$135&lt;&gt;"")))</f>
        <v/>
      </c>
      <c r="L458" s="27">
        <f>IF($A458="","",TRIM(IF(ISERROR(FIND(",",$C458)),$C458,LEFT($C458,FIND(",",$C458)-1))))</f>
        <v/>
      </c>
      <c r="M458" s="28">
        <f>IF($H458="","",DATE(YEAR($H458),MONTH($H458),1))</f>
        <v/>
      </c>
      <c r="N458" s="26">
        <f>IF($H458="","",TODAY()-$H458)</f>
        <v/>
      </c>
      <c r="O458" s="15" t="n"/>
      <c r="P458" s="26">
        <f>IF($A458="","",COUNTIFS('Audit Versions'!$A$6:$A$605,$A458,'Audit Versions'!$L$6:$L$605,"Active"))</f>
        <v/>
      </c>
      <c r="Q458" s="15" t="n"/>
      <c r="R458" s="26">
        <f>IF(OR($A458="",$P458=0),"",MOD(N($Q458),$P458)+1)</f>
        <v/>
      </c>
      <c r="S458" s="15" t="n"/>
      <c r="T458" s="25" t="n"/>
      <c r="U458" s="26">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Builder'!$B$12="",N($S458)&lt;='Assignment Builder'!$B$12)))</f>
        <v/>
      </c>
      <c r="V458" s="23" t="n"/>
    </row>
    <row r="459">
      <c r="A459" s="23" t="n"/>
      <c r="B459" s="23" t="n"/>
      <c r="C459" s="24" t="n"/>
      <c r="D459" s="15" t="n"/>
      <c r="E459" s="23" t="n"/>
      <c r="F459" s="15" t="n"/>
      <c r="G459" s="23" t="n"/>
      <c r="H459" s="25" t="n"/>
      <c r="I459" s="15" t="n"/>
      <c r="J459" s="26">
        <f>IF($A459="","",LEN($C459)-LEN(SUBSTITUTE($C459,",",""))+1)</f>
        <v/>
      </c>
      <c r="K459" s="26">
        <f>IF($A459="","",SUMPRODUCT(--ISNUMBER(SEARCH('Category Dictionary'!$D$5:$D$135&amp;"",$C459)),--('Category Dictionary'!$D$5:$D$135&lt;&gt;"")))</f>
        <v/>
      </c>
      <c r="L459" s="27">
        <f>IF($A459="","",TRIM(IF(ISERROR(FIND(",",$C459)),$C459,LEFT($C459,FIND(",",$C459)-1))))</f>
        <v/>
      </c>
      <c r="M459" s="28">
        <f>IF($H459="","",DATE(YEAR($H459),MONTH($H459),1))</f>
        <v/>
      </c>
      <c r="N459" s="26">
        <f>IF($H459="","",TODAY()-$H459)</f>
        <v/>
      </c>
      <c r="O459" s="15" t="n"/>
      <c r="P459" s="26">
        <f>IF($A459="","",COUNTIFS('Audit Versions'!$A$6:$A$605,$A459,'Audit Versions'!$L$6:$L$605,"Active"))</f>
        <v/>
      </c>
      <c r="Q459" s="15" t="n"/>
      <c r="R459" s="26">
        <f>IF(OR($A459="",$P459=0),"",MOD(N($Q459),$P459)+1)</f>
        <v/>
      </c>
      <c r="S459" s="15" t="n"/>
      <c r="T459" s="25" t="n"/>
      <c r="U459" s="26">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Builder'!$B$12="",N($S459)&lt;='Assignment Builder'!$B$12)))</f>
        <v/>
      </c>
      <c r="V459" s="23" t="n"/>
    </row>
    <row r="460">
      <c r="A460" s="23" t="n"/>
      <c r="B460" s="23" t="n"/>
      <c r="C460" s="24" t="n"/>
      <c r="D460" s="15" t="n"/>
      <c r="E460" s="23" t="n"/>
      <c r="F460" s="15" t="n"/>
      <c r="G460" s="23" t="n"/>
      <c r="H460" s="25" t="n"/>
      <c r="I460" s="15" t="n"/>
      <c r="J460" s="26">
        <f>IF($A460="","",LEN($C460)-LEN(SUBSTITUTE($C460,",",""))+1)</f>
        <v/>
      </c>
      <c r="K460" s="26">
        <f>IF($A460="","",SUMPRODUCT(--ISNUMBER(SEARCH('Category Dictionary'!$D$5:$D$135&amp;"",$C460)),--('Category Dictionary'!$D$5:$D$135&lt;&gt;"")))</f>
        <v/>
      </c>
      <c r="L460" s="27">
        <f>IF($A460="","",TRIM(IF(ISERROR(FIND(",",$C460)),$C460,LEFT($C460,FIND(",",$C460)-1))))</f>
        <v/>
      </c>
      <c r="M460" s="28">
        <f>IF($H460="","",DATE(YEAR($H460),MONTH($H460),1))</f>
        <v/>
      </c>
      <c r="N460" s="26">
        <f>IF($H460="","",TODAY()-$H460)</f>
        <v/>
      </c>
      <c r="O460" s="15" t="n"/>
      <c r="P460" s="26">
        <f>IF($A460="","",COUNTIFS('Audit Versions'!$A$6:$A$605,$A460,'Audit Versions'!$L$6:$L$605,"Active"))</f>
        <v/>
      </c>
      <c r="Q460" s="15" t="n"/>
      <c r="R460" s="26">
        <f>IF(OR($A460="",$P460=0),"",MOD(N($Q460),$P460)+1)</f>
        <v/>
      </c>
      <c r="S460" s="15" t="n"/>
      <c r="T460" s="25" t="n"/>
      <c r="U460" s="26">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Builder'!$B$12="",N($S460)&lt;='Assignment Builder'!$B$12)))</f>
        <v/>
      </c>
      <c r="V460" s="23" t="n"/>
    </row>
    <row r="461">
      <c r="A461" s="23" t="n"/>
      <c r="B461" s="23" t="n"/>
      <c r="C461" s="24" t="n"/>
      <c r="D461" s="15" t="n"/>
      <c r="E461" s="23" t="n"/>
      <c r="F461" s="15" t="n"/>
      <c r="G461" s="23" t="n"/>
      <c r="H461" s="25" t="n"/>
      <c r="I461" s="15" t="n"/>
      <c r="J461" s="26">
        <f>IF($A461="","",LEN($C461)-LEN(SUBSTITUTE($C461,",",""))+1)</f>
        <v/>
      </c>
      <c r="K461" s="26">
        <f>IF($A461="","",SUMPRODUCT(--ISNUMBER(SEARCH('Category Dictionary'!$D$5:$D$135&amp;"",$C461)),--('Category Dictionary'!$D$5:$D$135&lt;&gt;"")))</f>
        <v/>
      </c>
      <c r="L461" s="27">
        <f>IF($A461="","",TRIM(IF(ISERROR(FIND(",",$C461)),$C461,LEFT($C461,FIND(",",$C461)-1))))</f>
        <v/>
      </c>
      <c r="M461" s="28">
        <f>IF($H461="","",DATE(YEAR($H461),MONTH($H461),1))</f>
        <v/>
      </c>
      <c r="N461" s="26">
        <f>IF($H461="","",TODAY()-$H461)</f>
        <v/>
      </c>
      <c r="O461" s="15" t="n"/>
      <c r="P461" s="26">
        <f>IF($A461="","",COUNTIFS('Audit Versions'!$A$6:$A$605,$A461,'Audit Versions'!$L$6:$L$605,"Active"))</f>
        <v/>
      </c>
      <c r="Q461" s="15" t="n"/>
      <c r="R461" s="26">
        <f>IF(OR($A461="",$P461=0),"",MOD(N($Q461),$P461)+1)</f>
        <v/>
      </c>
      <c r="S461" s="15" t="n"/>
      <c r="T461" s="25" t="n"/>
      <c r="U461" s="26">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Builder'!$B$12="",N($S461)&lt;='Assignment Builder'!$B$12)))</f>
        <v/>
      </c>
      <c r="V461" s="23" t="n"/>
    </row>
    <row r="462">
      <c r="A462" s="23" t="n"/>
      <c r="B462" s="23" t="n"/>
      <c r="C462" s="24" t="n"/>
      <c r="D462" s="15" t="n"/>
      <c r="E462" s="23" t="n"/>
      <c r="F462" s="15" t="n"/>
      <c r="G462" s="23" t="n"/>
      <c r="H462" s="25" t="n"/>
      <c r="I462" s="15" t="n"/>
      <c r="J462" s="26">
        <f>IF($A462="","",LEN($C462)-LEN(SUBSTITUTE($C462,",",""))+1)</f>
        <v/>
      </c>
      <c r="K462" s="26">
        <f>IF($A462="","",SUMPRODUCT(--ISNUMBER(SEARCH('Category Dictionary'!$D$5:$D$135&amp;"",$C462)),--('Category Dictionary'!$D$5:$D$135&lt;&gt;"")))</f>
        <v/>
      </c>
      <c r="L462" s="27">
        <f>IF($A462="","",TRIM(IF(ISERROR(FIND(",",$C462)),$C462,LEFT($C462,FIND(",",$C462)-1))))</f>
        <v/>
      </c>
      <c r="M462" s="28">
        <f>IF($H462="","",DATE(YEAR($H462),MONTH($H462),1))</f>
        <v/>
      </c>
      <c r="N462" s="26">
        <f>IF($H462="","",TODAY()-$H462)</f>
        <v/>
      </c>
      <c r="O462" s="15" t="n"/>
      <c r="P462" s="26">
        <f>IF($A462="","",COUNTIFS('Audit Versions'!$A$6:$A$605,$A462,'Audit Versions'!$L$6:$L$605,"Active"))</f>
        <v/>
      </c>
      <c r="Q462" s="15" t="n"/>
      <c r="R462" s="26">
        <f>IF(OR($A462="",$P462=0),"",MOD(N($Q462),$P462)+1)</f>
        <v/>
      </c>
      <c r="S462" s="15" t="n"/>
      <c r="T462" s="25" t="n"/>
      <c r="U462" s="26">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Builder'!$B$12="",N($S462)&lt;='Assignment Builder'!$B$12)))</f>
        <v/>
      </c>
      <c r="V462" s="23" t="n"/>
    </row>
    <row r="463">
      <c r="A463" s="23" t="n"/>
      <c r="B463" s="23" t="n"/>
      <c r="C463" s="24" t="n"/>
      <c r="D463" s="15" t="n"/>
      <c r="E463" s="23" t="n"/>
      <c r="F463" s="15" t="n"/>
      <c r="G463" s="23" t="n"/>
      <c r="H463" s="25" t="n"/>
      <c r="I463" s="15" t="n"/>
      <c r="J463" s="26">
        <f>IF($A463="","",LEN($C463)-LEN(SUBSTITUTE($C463,",",""))+1)</f>
        <v/>
      </c>
      <c r="K463" s="26">
        <f>IF($A463="","",SUMPRODUCT(--ISNUMBER(SEARCH('Category Dictionary'!$D$5:$D$135&amp;"",$C463)),--('Category Dictionary'!$D$5:$D$135&lt;&gt;"")))</f>
        <v/>
      </c>
      <c r="L463" s="27">
        <f>IF($A463="","",TRIM(IF(ISERROR(FIND(",",$C463)),$C463,LEFT($C463,FIND(",",$C463)-1))))</f>
        <v/>
      </c>
      <c r="M463" s="28">
        <f>IF($H463="","",DATE(YEAR($H463),MONTH($H463),1))</f>
        <v/>
      </c>
      <c r="N463" s="26">
        <f>IF($H463="","",TODAY()-$H463)</f>
        <v/>
      </c>
      <c r="O463" s="15" t="n"/>
      <c r="P463" s="26">
        <f>IF($A463="","",COUNTIFS('Audit Versions'!$A$6:$A$605,$A463,'Audit Versions'!$L$6:$L$605,"Active"))</f>
        <v/>
      </c>
      <c r="Q463" s="15" t="n"/>
      <c r="R463" s="26">
        <f>IF(OR($A463="",$P463=0),"",MOD(N($Q463),$P463)+1)</f>
        <v/>
      </c>
      <c r="S463" s="15" t="n"/>
      <c r="T463" s="25" t="n"/>
      <c r="U463" s="26">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Builder'!$B$12="",N($S463)&lt;='Assignment Builder'!$B$12)))</f>
        <v/>
      </c>
      <c r="V463" s="23" t="n"/>
    </row>
    <row r="464">
      <c r="A464" s="23" t="n"/>
      <c r="B464" s="23" t="n"/>
      <c r="C464" s="24" t="n"/>
      <c r="D464" s="15" t="n"/>
      <c r="E464" s="23" t="n"/>
      <c r="F464" s="15" t="n"/>
      <c r="G464" s="23" t="n"/>
      <c r="H464" s="25" t="n"/>
      <c r="I464" s="15" t="n"/>
      <c r="J464" s="26">
        <f>IF($A464="","",LEN($C464)-LEN(SUBSTITUTE($C464,",",""))+1)</f>
        <v/>
      </c>
      <c r="K464" s="26">
        <f>IF($A464="","",SUMPRODUCT(--ISNUMBER(SEARCH('Category Dictionary'!$D$5:$D$135&amp;"",$C464)),--('Category Dictionary'!$D$5:$D$135&lt;&gt;"")))</f>
        <v/>
      </c>
      <c r="L464" s="27">
        <f>IF($A464="","",TRIM(IF(ISERROR(FIND(",",$C464)),$C464,LEFT($C464,FIND(",",$C464)-1))))</f>
        <v/>
      </c>
      <c r="M464" s="28">
        <f>IF($H464="","",DATE(YEAR($H464),MONTH($H464),1))</f>
        <v/>
      </c>
      <c r="N464" s="26">
        <f>IF($H464="","",TODAY()-$H464)</f>
        <v/>
      </c>
      <c r="O464" s="15" t="n"/>
      <c r="P464" s="26">
        <f>IF($A464="","",COUNTIFS('Audit Versions'!$A$6:$A$605,$A464,'Audit Versions'!$L$6:$L$605,"Active"))</f>
        <v/>
      </c>
      <c r="Q464" s="15" t="n"/>
      <c r="R464" s="26">
        <f>IF(OR($A464="",$P464=0),"",MOD(N($Q464),$P464)+1)</f>
        <v/>
      </c>
      <c r="S464" s="15" t="n"/>
      <c r="T464" s="25" t="n"/>
      <c r="U464" s="26">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Builder'!$B$12="",N($S464)&lt;='Assignment Builder'!$B$12)))</f>
        <v/>
      </c>
      <c r="V464" s="23" t="n"/>
    </row>
    <row r="465">
      <c r="A465" s="23" t="n"/>
      <c r="B465" s="23" t="n"/>
      <c r="C465" s="24" t="n"/>
      <c r="D465" s="15" t="n"/>
      <c r="E465" s="23" t="n"/>
      <c r="F465" s="15" t="n"/>
      <c r="G465" s="23" t="n"/>
      <c r="H465" s="25" t="n"/>
      <c r="I465" s="15" t="n"/>
      <c r="J465" s="26">
        <f>IF($A465="","",LEN($C465)-LEN(SUBSTITUTE($C465,",",""))+1)</f>
        <v/>
      </c>
      <c r="K465" s="26">
        <f>IF($A465="","",SUMPRODUCT(--ISNUMBER(SEARCH('Category Dictionary'!$D$5:$D$135&amp;"",$C465)),--('Category Dictionary'!$D$5:$D$135&lt;&gt;"")))</f>
        <v/>
      </c>
      <c r="L465" s="27">
        <f>IF($A465="","",TRIM(IF(ISERROR(FIND(",",$C465)),$C465,LEFT($C465,FIND(",",$C465)-1))))</f>
        <v/>
      </c>
      <c r="M465" s="28">
        <f>IF($H465="","",DATE(YEAR($H465),MONTH($H465),1))</f>
        <v/>
      </c>
      <c r="N465" s="26">
        <f>IF($H465="","",TODAY()-$H465)</f>
        <v/>
      </c>
      <c r="O465" s="15" t="n"/>
      <c r="P465" s="26">
        <f>IF($A465="","",COUNTIFS('Audit Versions'!$A$6:$A$605,$A465,'Audit Versions'!$L$6:$L$605,"Active"))</f>
        <v/>
      </c>
      <c r="Q465" s="15" t="n"/>
      <c r="R465" s="26">
        <f>IF(OR($A465="",$P465=0),"",MOD(N($Q465),$P465)+1)</f>
        <v/>
      </c>
      <c r="S465" s="15" t="n"/>
      <c r="T465" s="25" t="n"/>
      <c r="U465" s="26">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Builder'!$B$12="",N($S465)&lt;='Assignment Builder'!$B$12)))</f>
        <v/>
      </c>
      <c r="V465" s="23" t="n"/>
    </row>
    <row r="466">
      <c r="A466" s="23" t="n"/>
      <c r="B466" s="23" t="n"/>
      <c r="C466" s="24" t="n"/>
      <c r="D466" s="15" t="n"/>
      <c r="E466" s="23" t="n"/>
      <c r="F466" s="15" t="n"/>
      <c r="G466" s="23" t="n"/>
      <c r="H466" s="25" t="n"/>
      <c r="I466" s="15" t="n"/>
      <c r="J466" s="26">
        <f>IF($A466="","",LEN($C466)-LEN(SUBSTITUTE($C466,",",""))+1)</f>
        <v/>
      </c>
      <c r="K466" s="26">
        <f>IF($A466="","",SUMPRODUCT(--ISNUMBER(SEARCH('Category Dictionary'!$D$5:$D$135&amp;"",$C466)),--('Category Dictionary'!$D$5:$D$135&lt;&gt;"")))</f>
        <v/>
      </c>
      <c r="L466" s="27">
        <f>IF($A466="","",TRIM(IF(ISERROR(FIND(",",$C466)),$C466,LEFT($C466,FIND(",",$C466)-1))))</f>
        <v/>
      </c>
      <c r="M466" s="28">
        <f>IF($H466="","",DATE(YEAR($H466),MONTH($H466),1))</f>
        <v/>
      </c>
      <c r="N466" s="26">
        <f>IF($H466="","",TODAY()-$H466)</f>
        <v/>
      </c>
      <c r="O466" s="15" t="n"/>
      <c r="P466" s="26">
        <f>IF($A466="","",COUNTIFS('Audit Versions'!$A$6:$A$605,$A466,'Audit Versions'!$L$6:$L$605,"Active"))</f>
        <v/>
      </c>
      <c r="Q466" s="15" t="n"/>
      <c r="R466" s="26">
        <f>IF(OR($A466="",$P466=0),"",MOD(N($Q466),$P466)+1)</f>
        <v/>
      </c>
      <c r="S466" s="15" t="n"/>
      <c r="T466" s="25" t="n"/>
      <c r="U466" s="26">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Builder'!$B$12="",N($S466)&lt;='Assignment Builder'!$B$12)))</f>
        <v/>
      </c>
      <c r="V466" s="23" t="n"/>
    </row>
    <row r="467">
      <c r="A467" s="23" t="n"/>
      <c r="B467" s="23" t="n"/>
      <c r="C467" s="24" t="n"/>
      <c r="D467" s="15" t="n"/>
      <c r="E467" s="23" t="n"/>
      <c r="F467" s="15" t="n"/>
      <c r="G467" s="23" t="n"/>
      <c r="H467" s="25" t="n"/>
      <c r="I467" s="15" t="n"/>
      <c r="J467" s="26">
        <f>IF($A467="","",LEN($C467)-LEN(SUBSTITUTE($C467,",",""))+1)</f>
        <v/>
      </c>
      <c r="K467" s="26">
        <f>IF($A467="","",SUMPRODUCT(--ISNUMBER(SEARCH('Category Dictionary'!$D$5:$D$135&amp;"",$C467)),--('Category Dictionary'!$D$5:$D$135&lt;&gt;"")))</f>
        <v/>
      </c>
      <c r="L467" s="27">
        <f>IF($A467="","",TRIM(IF(ISERROR(FIND(",",$C467)),$C467,LEFT($C467,FIND(",",$C467)-1))))</f>
        <v/>
      </c>
      <c r="M467" s="28">
        <f>IF($H467="","",DATE(YEAR($H467),MONTH($H467),1))</f>
        <v/>
      </c>
      <c r="N467" s="26">
        <f>IF($H467="","",TODAY()-$H467)</f>
        <v/>
      </c>
      <c r="O467" s="15" t="n"/>
      <c r="P467" s="26">
        <f>IF($A467="","",COUNTIFS('Audit Versions'!$A$6:$A$605,$A467,'Audit Versions'!$L$6:$L$605,"Active"))</f>
        <v/>
      </c>
      <c r="Q467" s="15" t="n"/>
      <c r="R467" s="26">
        <f>IF(OR($A467="",$P467=0),"",MOD(N($Q467),$P467)+1)</f>
        <v/>
      </c>
      <c r="S467" s="15" t="n"/>
      <c r="T467" s="25" t="n"/>
      <c r="U467" s="26">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Builder'!$B$12="",N($S467)&lt;='Assignment Builder'!$B$12)))</f>
        <v/>
      </c>
      <c r="V467" s="23" t="n"/>
    </row>
    <row r="468">
      <c r="A468" s="23" t="n"/>
      <c r="B468" s="23" t="n"/>
      <c r="C468" s="24" t="n"/>
      <c r="D468" s="15" t="n"/>
      <c r="E468" s="23" t="n"/>
      <c r="F468" s="15" t="n"/>
      <c r="G468" s="23" t="n"/>
      <c r="H468" s="25" t="n"/>
      <c r="I468" s="15" t="n"/>
      <c r="J468" s="26">
        <f>IF($A468="","",LEN($C468)-LEN(SUBSTITUTE($C468,",",""))+1)</f>
        <v/>
      </c>
      <c r="K468" s="26">
        <f>IF($A468="","",SUMPRODUCT(--ISNUMBER(SEARCH('Category Dictionary'!$D$5:$D$135&amp;"",$C468)),--('Category Dictionary'!$D$5:$D$135&lt;&gt;"")))</f>
        <v/>
      </c>
      <c r="L468" s="27">
        <f>IF($A468="","",TRIM(IF(ISERROR(FIND(",",$C468)),$C468,LEFT($C468,FIND(",",$C468)-1))))</f>
        <v/>
      </c>
      <c r="M468" s="28">
        <f>IF($H468="","",DATE(YEAR($H468),MONTH($H468),1))</f>
        <v/>
      </c>
      <c r="N468" s="26">
        <f>IF($H468="","",TODAY()-$H468)</f>
        <v/>
      </c>
      <c r="O468" s="15" t="n"/>
      <c r="P468" s="26">
        <f>IF($A468="","",COUNTIFS('Audit Versions'!$A$6:$A$605,$A468,'Audit Versions'!$L$6:$L$605,"Active"))</f>
        <v/>
      </c>
      <c r="Q468" s="15" t="n"/>
      <c r="R468" s="26">
        <f>IF(OR($A468="",$P468=0),"",MOD(N($Q468),$P468)+1)</f>
        <v/>
      </c>
      <c r="S468" s="15" t="n"/>
      <c r="T468" s="25" t="n"/>
      <c r="U468" s="26">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Builder'!$B$12="",N($S468)&lt;='Assignment Builder'!$B$12)))</f>
        <v/>
      </c>
      <c r="V468" s="23" t="n"/>
    </row>
    <row r="469">
      <c r="A469" s="23" t="n"/>
      <c r="B469" s="23" t="n"/>
      <c r="C469" s="24" t="n"/>
      <c r="D469" s="15" t="n"/>
      <c r="E469" s="23" t="n"/>
      <c r="F469" s="15" t="n"/>
      <c r="G469" s="23" t="n"/>
      <c r="H469" s="25" t="n"/>
      <c r="I469" s="15" t="n"/>
      <c r="J469" s="26">
        <f>IF($A469="","",LEN($C469)-LEN(SUBSTITUTE($C469,",",""))+1)</f>
        <v/>
      </c>
      <c r="K469" s="26">
        <f>IF($A469="","",SUMPRODUCT(--ISNUMBER(SEARCH('Category Dictionary'!$D$5:$D$135&amp;"",$C469)),--('Category Dictionary'!$D$5:$D$135&lt;&gt;"")))</f>
        <v/>
      </c>
      <c r="L469" s="27">
        <f>IF($A469="","",TRIM(IF(ISERROR(FIND(",",$C469)),$C469,LEFT($C469,FIND(",",$C469)-1))))</f>
        <v/>
      </c>
      <c r="M469" s="28">
        <f>IF($H469="","",DATE(YEAR($H469),MONTH($H469),1))</f>
        <v/>
      </c>
      <c r="N469" s="26">
        <f>IF($H469="","",TODAY()-$H469)</f>
        <v/>
      </c>
      <c r="O469" s="15" t="n"/>
      <c r="P469" s="26">
        <f>IF($A469="","",COUNTIFS('Audit Versions'!$A$6:$A$605,$A469,'Audit Versions'!$L$6:$L$605,"Active"))</f>
        <v/>
      </c>
      <c r="Q469" s="15" t="n"/>
      <c r="R469" s="26">
        <f>IF(OR($A469="",$P469=0),"",MOD(N($Q469),$P469)+1)</f>
        <v/>
      </c>
      <c r="S469" s="15" t="n"/>
      <c r="T469" s="25" t="n"/>
      <c r="U469" s="26">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Builder'!$B$12="",N($S469)&lt;='Assignment Builder'!$B$12)))</f>
        <v/>
      </c>
      <c r="V469" s="23" t="n"/>
    </row>
    <row r="470">
      <c r="A470" s="23" t="n"/>
      <c r="B470" s="23" t="n"/>
      <c r="C470" s="24" t="n"/>
      <c r="D470" s="15" t="n"/>
      <c r="E470" s="23" t="n"/>
      <c r="F470" s="15" t="n"/>
      <c r="G470" s="23" t="n"/>
      <c r="H470" s="25" t="n"/>
      <c r="I470" s="15" t="n"/>
      <c r="J470" s="26">
        <f>IF($A470="","",LEN($C470)-LEN(SUBSTITUTE($C470,",",""))+1)</f>
        <v/>
      </c>
      <c r="K470" s="26">
        <f>IF($A470="","",SUMPRODUCT(--ISNUMBER(SEARCH('Category Dictionary'!$D$5:$D$135&amp;"",$C470)),--('Category Dictionary'!$D$5:$D$135&lt;&gt;"")))</f>
        <v/>
      </c>
      <c r="L470" s="27">
        <f>IF($A470="","",TRIM(IF(ISERROR(FIND(",",$C470)),$C470,LEFT($C470,FIND(",",$C470)-1))))</f>
        <v/>
      </c>
      <c r="M470" s="28">
        <f>IF($H470="","",DATE(YEAR($H470),MONTH($H470),1))</f>
        <v/>
      </c>
      <c r="N470" s="26">
        <f>IF($H470="","",TODAY()-$H470)</f>
        <v/>
      </c>
      <c r="O470" s="15" t="n"/>
      <c r="P470" s="26">
        <f>IF($A470="","",COUNTIFS('Audit Versions'!$A$6:$A$605,$A470,'Audit Versions'!$L$6:$L$605,"Active"))</f>
        <v/>
      </c>
      <c r="Q470" s="15" t="n"/>
      <c r="R470" s="26">
        <f>IF(OR($A470="",$P470=0),"",MOD(N($Q470),$P470)+1)</f>
        <v/>
      </c>
      <c r="S470" s="15" t="n"/>
      <c r="T470" s="25" t="n"/>
      <c r="U470" s="26">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Builder'!$B$12="",N($S470)&lt;='Assignment Builder'!$B$12)))</f>
        <v/>
      </c>
      <c r="V470" s="23" t="n"/>
    </row>
    <row r="471">
      <c r="A471" s="23" t="n"/>
      <c r="B471" s="23" t="n"/>
      <c r="C471" s="24" t="n"/>
      <c r="D471" s="15" t="n"/>
      <c r="E471" s="23" t="n"/>
      <c r="F471" s="15" t="n"/>
      <c r="G471" s="23" t="n"/>
      <c r="H471" s="25" t="n"/>
      <c r="I471" s="15" t="n"/>
      <c r="J471" s="26">
        <f>IF($A471="","",LEN($C471)-LEN(SUBSTITUTE($C471,",",""))+1)</f>
        <v/>
      </c>
      <c r="K471" s="26">
        <f>IF($A471="","",SUMPRODUCT(--ISNUMBER(SEARCH('Category Dictionary'!$D$5:$D$135&amp;"",$C471)),--('Category Dictionary'!$D$5:$D$135&lt;&gt;"")))</f>
        <v/>
      </c>
      <c r="L471" s="27">
        <f>IF($A471="","",TRIM(IF(ISERROR(FIND(",",$C471)),$C471,LEFT($C471,FIND(",",$C471)-1))))</f>
        <v/>
      </c>
      <c r="M471" s="28">
        <f>IF($H471="","",DATE(YEAR($H471),MONTH($H471),1))</f>
        <v/>
      </c>
      <c r="N471" s="26">
        <f>IF($H471="","",TODAY()-$H471)</f>
        <v/>
      </c>
      <c r="O471" s="15" t="n"/>
      <c r="P471" s="26">
        <f>IF($A471="","",COUNTIFS('Audit Versions'!$A$6:$A$605,$A471,'Audit Versions'!$L$6:$L$605,"Active"))</f>
        <v/>
      </c>
      <c r="Q471" s="15" t="n"/>
      <c r="R471" s="26">
        <f>IF(OR($A471="",$P471=0),"",MOD(N($Q471),$P471)+1)</f>
        <v/>
      </c>
      <c r="S471" s="15" t="n"/>
      <c r="T471" s="25" t="n"/>
      <c r="U471" s="26">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Builder'!$B$12="",N($S471)&lt;='Assignment Builder'!$B$12)))</f>
        <v/>
      </c>
      <c r="V471" s="23" t="n"/>
    </row>
    <row r="472">
      <c r="A472" s="23" t="n"/>
      <c r="B472" s="23" t="n"/>
      <c r="C472" s="24" t="n"/>
      <c r="D472" s="15" t="n"/>
      <c r="E472" s="23" t="n"/>
      <c r="F472" s="15" t="n"/>
      <c r="G472" s="23" t="n"/>
      <c r="H472" s="25" t="n"/>
      <c r="I472" s="15" t="n"/>
      <c r="J472" s="26">
        <f>IF($A472="","",LEN($C472)-LEN(SUBSTITUTE($C472,",",""))+1)</f>
        <v/>
      </c>
      <c r="K472" s="26">
        <f>IF($A472="","",SUMPRODUCT(--ISNUMBER(SEARCH('Category Dictionary'!$D$5:$D$135&amp;"",$C472)),--('Category Dictionary'!$D$5:$D$135&lt;&gt;"")))</f>
        <v/>
      </c>
      <c r="L472" s="27">
        <f>IF($A472="","",TRIM(IF(ISERROR(FIND(",",$C472)),$C472,LEFT($C472,FIND(",",$C472)-1))))</f>
        <v/>
      </c>
      <c r="M472" s="28">
        <f>IF($H472="","",DATE(YEAR($H472),MONTH($H472),1))</f>
        <v/>
      </c>
      <c r="N472" s="26">
        <f>IF($H472="","",TODAY()-$H472)</f>
        <v/>
      </c>
      <c r="O472" s="15" t="n"/>
      <c r="P472" s="26">
        <f>IF($A472="","",COUNTIFS('Audit Versions'!$A$6:$A$605,$A472,'Audit Versions'!$L$6:$L$605,"Active"))</f>
        <v/>
      </c>
      <c r="Q472" s="15" t="n"/>
      <c r="R472" s="26">
        <f>IF(OR($A472="",$P472=0),"",MOD(N($Q472),$P472)+1)</f>
        <v/>
      </c>
      <c r="S472" s="15" t="n"/>
      <c r="T472" s="25" t="n"/>
      <c r="U472" s="26">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Builder'!$B$12="",N($S472)&lt;='Assignment Builder'!$B$12)))</f>
        <v/>
      </c>
      <c r="V472" s="23" t="n"/>
    </row>
    <row r="473">
      <c r="A473" s="23" t="n"/>
      <c r="B473" s="23" t="n"/>
      <c r="C473" s="24" t="n"/>
      <c r="D473" s="15" t="n"/>
      <c r="E473" s="23" t="n"/>
      <c r="F473" s="15" t="n"/>
      <c r="G473" s="23" t="n"/>
      <c r="H473" s="25" t="n"/>
      <c r="I473" s="15" t="n"/>
      <c r="J473" s="26">
        <f>IF($A473="","",LEN($C473)-LEN(SUBSTITUTE($C473,",",""))+1)</f>
        <v/>
      </c>
      <c r="K473" s="26">
        <f>IF($A473="","",SUMPRODUCT(--ISNUMBER(SEARCH('Category Dictionary'!$D$5:$D$135&amp;"",$C473)),--('Category Dictionary'!$D$5:$D$135&lt;&gt;"")))</f>
        <v/>
      </c>
      <c r="L473" s="27">
        <f>IF($A473="","",TRIM(IF(ISERROR(FIND(",",$C473)),$C473,LEFT($C473,FIND(",",$C473)-1))))</f>
        <v/>
      </c>
      <c r="M473" s="28">
        <f>IF($H473="","",DATE(YEAR($H473),MONTH($H473),1))</f>
        <v/>
      </c>
      <c r="N473" s="26">
        <f>IF($H473="","",TODAY()-$H473)</f>
        <v/>
      </c>
      <c r="O473" s="15" t="n"/>
      <c r="P473" s="26">
        <f>IF($A473="","",COUNTIFS('Audit Versions'!$A$6:$A$605,$A473,'Audit Versions'!$L$6:$L$605,"Active"))</f>
        <v/>
      </c>
      <c r="Q473" s="15" t="n"/>
      <c r="R473" s="26">
        <f>IF(OR($A473="",$P473=0),"",MOD(N($Q473),$P473)+1)</f>
        <v/>
      </c>
      <c r="S473" s="15" t="n"/>
      <c r="T473" s="25" t="n"/>
      <c r="U473" s="26">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Builder'!$B$12="",N($S473)&lt;='Assignment Builder'!$B$12)))</f>
        <v/>
      </c>
      <c r="V473" s="23" t="n"/>
    </row>
    <row r="474">
      <c r="A474" s="23" t="n"/>
      <c r="B474" s="23" t="n"/>
      <c r="C474" s="24" t="n"/>
      <c r="D474" s="15" t="n"/>
      <c r="E474" s="23" t="n"/>
      <c r="F474" s="15" t="n"/>
      <c r="G474" s="23" t="n"/>
      <c r="H474" s="25" t="n"/>
      <c r="I474" s="15" t="n"/>
      <c r="J474" s="26">
        <f>IF($A474="","",LEN($C474)-LEN(SUBSTITUTE($C474,",",""))+1)</f>
        <v/>
      </c>
      <c r="K474" s="26">
        <f>IF($A474="","",SUMPRODUCT(--ISNUMBER(SEARCH('Category Dictionary'!$D$5:$D$135&amp;"",$C474)),--('Category Dictionary'!$D$5:$D$135&lt;&gt;"")))</f>
        <v/>
      </c>
      <c r="L474" s="27">
        <f>IF($A474="","",TRIM(IF(ISERROR(FIND(",",$C474)),$C474,LEFT($C474,FIND(",",$C474)-1))))</f>
        <v/>
      </c>
      <c r="M474" s="28">
        <f>IF($H474="","",DATE(YEAR($H474),MONTH($H474),1))</f>
        <v/>
      </c>
      <c r="N474" s="26">
        <f>IF($H474="","",TODAY()-$H474)</f>
        <v/>
      </c>
      <c r="O474" s="15" t="n"/>
      <c r="P474" s="26">
        <f>IF($A474="","",COUNTIFS('Audit Versions'!$A$6:$A$605,$A474,'Audit Versions'!$L$6:$L$605,"Active"))</f>
        <v/>
      </c>
      <c r="Q474" s="15" t="n"/>
      <c r="R474" s="26">
        <f>IF(OR($A474="",$P474=0),"",MOD(N($Q474),$P474)+1)</f>
        <v/>
      </c>
      <c r="S474" s="15" t="n"/>
      <c r="T474" s="25" t="n"/>
      <c r="U474" s="26">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Builder'!$B$12="",N($S474)&lt;='Assignment Builder'!$B$12)))</f>
        <v/>
      </c>
      <c r="V474" s="23" t="n"/>
    </row>
    <row r="475">
      <c r="A475" s="23" t="n"/>
      <c r="B475" s="23" t="n"/>
      <c r="C475" s="24" t="n"/>
      <c r="D475" s="15" t="n"/>
      <c r="E475" s="23" t="n"/>
      <c r="F475" s="15" t="n"/>
      <c r="G475" s="23" t="n"/>
      <c r="H475" s="25" t="n"/>
      <c r="I475" s="15" t="n"/>
      <c r="J475" s="26">
        <f>IF($A475="","",LEN($C475)-LEN(SUBSTITUTE($C475,",",""))+1)</f>
        <v/>
      </c>
      <c r="K475" s="26">
        <f>IF($A475="","",SUMPRODUCT(--ISNUMBER(SEARCH('Category Dictionary'!$D$5:$D$135&amp;"",$C475)),--('Category Dictionary'!$D$5:$D$135&lt;&gt;"")))</f>
        <v/>
      </c>
      <c r="L475" s="27">
        <f>IF($A475="","",TRIM(IF(ISERROR(FIND(",",$C475)),$C475,LEFT($C475,FIND(",",$C475)-1))))</f>
        <v/>
      </c>
      <c r="M475" s="28">
        <f>IF($H475="","",DATE(YEAR($H475),MONTH($H475),1))</f>
        <v/>
      </c>
      <c r="N475" s="26">
        <f>IF($H475="","",TODAY()-$H475)</f>
        <v/>
      </c>
      <c r="O475" s="15" t="n"/>
      <c r="P475" s="26">
        <f>IF($A475="","",COUNTIFS('Audit Versions'!$A$6:$A$605,$A475,'Audit Versions'!$L$6:$L$605,"Active"))</f>
        <v/>
      </c>
      <c r="Q475" s="15" t="n"/>
      <c r="R475" s="26">
        <f>IF(OR($A475="",$P475=0),"",MOD(N($Q475),$P475)+1)</f>
        <v/>
      </c>
      <c r="S475" s="15" t="n"/>
      <c r="T475" s="25" t="n"/>
      <c r="U475" s="26">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Builder'!$B$12="",N($S475)&lt;='Assignment Builder'!$B$12)))</f>
        <v/>
      </c>
      <c r="V475" s="23" t="n"/>
    </row>
    <row r="476">
      <c r="A476" s="23" t="n"/>
      <c r="B476" s="23" t="n"/>
      <c r="C476" s="24" t="n"/>
      <c r="D476" s="15" t="n"/>
      <c r="E476" s="23" t="n"/>
      <c r="F476" s="15" t="n"/>
      <c r="G476" s="23" t="n"/>
      <c r="H476" s="25" t="n"/>
      <c r="I476" s="15" t="n"/>
      <c r="J476" s="26">
        <f>IF($A476="","",LEN($C476)-LEN(SUBSTITUTE($C476,",",""))+1)</f>
        <v/>
      </c>
      <c r="K476" s="26">
        <f>IF($A476="","",SUMPRODUCT(--ISNUMBER(SEARCH('Category Dictionary'!$D$5:$D$135&amp;"",$C476)),--('Category Dictionary'!$D$5:$D$135&lt;&gt;"")))</f>
        <v/>
      </c>
      <c r="L476" s="27">
        <f>IF($A476="","",TRIM(IF(ISERROR(FIND(",",$C476)),$C476,LEFT($C476,FIND(",",$C476)-1))))</f>
        <v/>
      </c>
      <c r="M476" s="28">
        <f>IF($H476="","",DATE(YEAR($H476),MONTH($H476),1))</f>
        <v/>
      </c>
      <c r="N476" s="26">
        <f>IF($H476="","",TODAY()-$H476)</f>
        <v/>
      </c>
      <c r="O476" s="15" t="n"/>
      <c r="P476" s="26">
        <f>IF($A476="","",COUNTIFS('Audit Versions'!$A$6:$A$605,$A476,'Audit Versions'!$L$6:$L$605,"Active"))</f>
        <v/>
      </c>
      <c r="Q476" s="15" t="n"/>
      <c r="R476" s="26">
        <f>IF(OR($A476="",$P476=0),"",MOD(N($Q476),$P476)+1)</f>
        <v/>
      </c>
      <c r="S476" s="15" t="n"/>
      <c r="T476" s="25" t="n"/>
      <c r="U476" s="26">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Builder'!$B$12="",N($S476)&lt;='Assignment Builder'!$B$12)))</f>
        <v/>
      </c>
      <c r="V476" s="23" t="n"/>
    </row>
    <row r="477">
      <c r="A477" s="23" t="n"/>
      <c r="B477" s="23" t="n"/>
      <c r="C477" s="24" t="n"/>
      <c r="D477" s="15" t="n"/>
      <c r="E477" s="23" t="n"/>
      <c r="F477" s="15" t="n"/>
      <c r="G477" s="23" t="n"/>
      <c r="H477" s="25" t="n"/>
      <c r="I477" s="15" t="n"/>
      <c r="J477" s="26">
        <f>IF($A477="","",LEN($C477)-LEN(SUBSTITUTE($C477,",",""))+1)</f>
        <v/>
      </c>
      <c r="K477" s="26">
        <f>IF($A477="","",SUMPRODUCT(--ISNUMBER(SEARCH('Category Dictionary'!$D$5:$D$135&amp;"",$C477)),--('Category Dictionary'!$D$5:$D$135&lt;&gt;"")))</f>
        <v/>
      </c>
      <c r="L477" s="27">
        <f>IF($A477="","",TRIM(IF(ISERROR(FIND(",",$C477)),$C477,LEFT($C477,FIND(",",$C477)-1))))</f>
        <v/>
      </c>
      <c r="M477" s="28">
        <f>IF($H477="","",DATE(YEAR($H477),MONTH($H477),1))</f>
        <v/>
      </c>
      <c r="N477" s="26">
        <f>IF($H477="","",TODAY()-$H477)</f>
        <v/>
      </c>
      <c r="O477" s="15" t="n"/>
      <c r="P477" s="26">
        <f>IF($A477="","",COUNTIFS('Audit Versions'!$A$6:$A$605,$A477,'Audit Versions'!$L$6:$L$605,"Active"))</f>
        <v/>
      </c>
      <c r="Q477" s="15" t="n"/>
      <c r="R477" s="26">
        <f>IF(OR($A477="",$P477=0),"",MOD(N($Q477),$P477)+1)</f>
        <v/>
      </c>
      <c r="S477" s="15" t="n"/>
      <c r="T477" s="25" t="n"/>
      <c r="U477" s="26">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Builder'!$B$12="",N($S477)&lt;='Assignment Builder'!$B$12)))</f>
        <v/>
      </c>
      <c r="V477" s="23" t="n"/>
    </row>
    <row r="478">
      <c r="A478" s="23" t="n"/>
      <c r="B478" s="23" t="n"/>
      <c r="C478" s="24" t="n"/>
      <c r="D478" s="15" t="n"/>
      <c r="E478" s="23" t="n"/>
      <c r="F478" s="15" t="n"/>
      <c r="G478" s="23" t="n"/>
      <c r="H478" s="25" t="n"/>
      <c r="I478" s="15" t="n"/>
      <c r="J478" s="26">
        <f>IF($A478="","",LEN($C478)-LEN(SUBSTITUTE($C478,",",""))+1)</f>
        <v/>
      </c>
      <c r="K478" s="26">
        <f>IF($A478="","",SUMPRODUCT(--ISNUMBER(SEARCH('Category Dictionary'!$D$5:$D$135&amp;"",$C478)),--('Category Dictionary'!$D$5:$D$135&lt;&gt;"")))</f>
        <v/>
      </c>
      <c r="L478" s="27">
        <f>IF($A478="","",TRIM(IF(ISERROR(FIND(",",$C478)),$C478,LEFT($C478,FIND(",",$C478)-1))))</f>
        <v/>
      </c>
      <c r="M478" s="28">
        <f>IF($H478="","",DATE(YEAR($H478),MONTH($H478),1))</f>
        <v/>
      </c>
      <c r="N478" s="26">
        <f>IF($H478="","",TODAY()-$H478)</f>
        <v/>
      </c>
      <c r="O478" s="15" t="n"/>
      <c r="P478" s="26">
        <f>IF($A478="","",COUNTIFS('Audit Versions'!$A$6:$A$605,$A478,'Audit Versions'!$L$6:$L$605,"Active"))</f>
        <v/>
      </c>
      <c r="Q478" s="15" t="n"/>
      <c r="R478" s="26">
        <f>IF(OR($A478="",$P478=0),"",MOD(N($Q478),$P478)+1)</f>
        <v/>
      </c>
      <c r="S478" s="15" t="n"/>
      <c r="T478" s="25" t="n"/>
      <c r="U478" s="26">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Builder'!$B$12="",N($S478)&lt;='Assignment Builder'!$B$12)))</f>
        <v/>
      </c>
      <c r="V478" s="23" t="n"/>
    </row>
    <row r="479">
      <c r="A479" s="23" t="n"/>
      <c r="B479" s="23" t="n"/>
      <c r="C479" s="24" t="n"/>
      <c r="D479" s="15" t="n"/>
      <c r="E479" s="23" t="n"/>
      <c r="F479" s="15" t="n"/>
      <c r="G479" s="23" t="n"/>
      <c r="H479" s="25" t="n"/>
      <c r="I479" s="15" t="n"/>
      <c r="J479" s="26">
        <f>IF($A479="","",LEN($C479)-LEN(SUBSTITUTE($C479,",",""))+1)</f>
        <v/>
      </c>
      <c r="K479" s="26">
        <f>IF($A479="","",SUMPRODUCT(--ISNUMBER(SEARCH('Category Dictionary'!$D$5:$D$135&amp;"",$C479)),--('Category Dictionary'!$D$5:$D$135&lt;&gt;"")))</f>
        <v/>
      </c>
      <c r="L479" s="27">
        <f>IF($A479="","",TRIM(IF(ISERROR(FIND(",",$C479)),$C479,LEFT($C479,FIND(",",$C479)-1))))</f>
        <v/>
      </c>
      <c r="M479" s="28">
        <f>IF($H479="","",DATE(YEAR($H479),MONTH($H479),1))</f>
        <v/>
      </c>
      <c r="N479" s="26">
        <f>IF($H479="","",TODAY()-$H479)</f>
        <v/>
      </c>
      <c r="O479" s="15" t="n"/>
      <c r="P479" s="26">
        <f>IF($A479="","",COUNTIFS('Audit Versions'!$A$6:$A$605,$A479,'Audit Versions'!$L$6:$L$605,"Active"))</f>
        <v/>
      </c>
      <c r="Q479" s="15" t="n"/>
      <c r="R479" s="26">
        <f>IF(OR($A479="",$P479=0),"",MOD(N($Q479),$P479)+1)</f>
        <v/>
      </c>
      <c r="S479" s="15" t="n"/>
      <c r="T479" s="25" t="n"/>
      <c r="U479" s="26">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Builder'!$B$12="",N($S479)&lt;='Assignment Builder'!$B$12)))</f>
        <v/>
      </c>
      <c r="V479" s="23" t="n"/>
    </row>
    <row r="480">
      <c r="A480" s="23" t="n"/>
      <c r="B480" s="23" t="n"/>
      <c r="C480" s="24" t="n"/>
      <c r="D480" s="15" t="n"/>
      <c r="E480" s="23" t="n"/>
      <c r="F480" s="15" t="n"/>
      <c r="G480" s="23" t="n"/>
      <c r="H480" s="25" t="n"/>
      <c r="I480" s="15" t="n"/>
      <c r="J480" s="26">
        <f>IF($A480="","",LEN($C480)-LEN(SUBSTITUTE($C480,",",""))+1)</f>
        <v/>
      </c>
      <c r="K480" s="26">
        <f>IF($A480="","",SUMPRODUCT(--ISNUMBER(SEARCH('Category Dictionary'!$D$5:$D$135&amp;"",$C480)),--('Category Dictionary'!$D$5:$D$135&lt;&gt;"")))</f>
        <v/>
      </c>
      <c r="L480" s="27">
        <f>IF($A480="","",TRIM(IF(ISERROR(FIND(",",$C480)),$C480,LEFT($C480,FIND(",",$C480)-1))))</f>
        <v/>
      </c>
      <c r="M480" s="28">
        <f>IF($H480="","",DATE(YEAR($H480),MONTH($H480),1))</f>
        <v/>
      </c>
      <c r="N480" s="26">
        <f>IF($H480="","",TODAY()-$H480)</f>
        <v/>
      </c>
      <c r="O480" s="15" t="n"/>
      <c r="P480" s="26">
        <f>IF($A480="","",COUNTIFS('Audit Versions'!$A$6:$A$605,$A480,'Audit Versions'!$L$6:$L$605,"Active"))</f>
        <v/>
      </c>
      <c r="Q480" s="15" t="n"/>
      <c r="R480" s="26">
        <f>IF(OR($A480="",$P480=0),"",MOD(N($Q480),$P480)+1)</f>
        <v/>
      </c>
      <c r="S480" s="15" t="n"/>
      <c r="T480" s="25" t="n"/>
      <c r="U480" s="26">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Builder'!$B$12="",N($S480)&lt;='Assignment Builder'!$B$12)))</f>
        <v/>
      </c>
      <c r="V480" s="23" t="n"/>
    </row>
    <row r="481">
      <c r="A481" s="23" t="n"/>
      <c r="B481" s="23" t="n"/>
      <c r="C481" s="24" t="n"/>
      <c r="D481" s="15" t="n"/>
      <c r="E481" s="23" t="n"/>
      <c r="F481" s="15" t="n"/>
      <c r="G481" s="23" t="n"/>
      <c r="H481" s="25" t="n"/>
      <c r="I481" s="15" t="n"/>
      <c r="J481" s="26">
        <f>IF($A481="","",LEN($C481)-LEN(SUBSTITUTE($C481,",",""))+1)</f>
        <v/>
      </c>
      <c r="K481" s="26">
        <f>IF($A481="","",SUMPRODUCT(--ISNUMBER(SEARCH('Category Dictionary'!$D$5:$D$135&amp;"",$C481)),--('Category Dictionary'!$D$5:$D$135&lt;&gt;"")))</f>
        <v/>
      </c>
      <c r="L481" s="27">
        <f>IF($A481="","",TRIM(IF(ISERROR(FIND(",",$C481)),$C481,LEFT($C481,FIND(",",$C481)-1))))</f>
        <v/>
      </c>
      <c r="M481" s="28">
        <f>IF($H481="","",DATE(YEAR($H481),MONTH($H481),1))</f>
        <v/>
      </c>
      <c r="N481" s="26">
        <f>IF($H481="","",TODAY()-$H481)</f>
        <v/>
      </c>
      <c r="O481" s="15" t="n"/>
      <c r="P481" s="26">
        <f>IF($A481="","",COUNTIFS('Audit Versions'!$A$6:$A$605,$A481,'Audit Versions'!$L$6:$L$605,"Active"))</f>
        <v/>
      </c>
      <c r="Q481" s="15" t="n"/>
      <c r="R481" s="26">
        <f>IF(OR($A481="",$P481=0),"",MOD(N($Q481),$P481)+1)</f>
        <v/>
      </c>
      <c r="S481" s="15" t="n"/>
      <c r="T481" s="25" t="n"/>
      <c r="U481" s="26">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Builder'!$B$12="",N($S481)&lt;='Assignment Builder'!$B$12)))</f>
        <v/>
      </c>
      <c r="V481" s="23" t="n"/>
    </row>
    <row r="482">
      <c r="A482" s="23" t="n"/>
      <c r="B482" s="23" t="n"/>
      <c r="C482" s="24" t="n"/>
      <c r="D482" s="15" t="n"/>
      <c r="E482" s="23" t="n"/>
      <c r="F482" s="15" t="n"/>
      <c r="G482" s="23" t="n"/>
      <c r="H482" s="25" t="n"/>
      <c r="I482" s="15" t="n"/>
      <c r="J482" s="26">
        <f>IF($A482="","",LEN($C482)-LEN(SUBSTITUTE($C482,",",""))+1)</f>
        <v/>
      </c>
      <c r="K482" s="26">
        <f>IF($A482="","",SUMPRODUCT(--ISNUMBER(SEARCH('Category Dictionary'!$D$5:$D$135&amp;"",$C482)),--('Category Dictionary'!$D$5:$D$135&lt;&gt;"")))</f>
        <v/>
      </c>
      <c r="L482" s="27">
        <f>IF($A482="","",TRIM(IF(ISERROR(FIND(",",$C482)),$C482,LEFT($C482,FIND(",",$C482)-1))))</f>
        <v/>
      </c>
      <c r="M482" s="28">
        <f>IF($H482="","",DATE(YEAR($H482),MONTH($H482),1))</f>
        <v/>
      </c>
      <c r="N482" s="26">
        <f>IF($H482="","",TODAY()-$H482)</f>
        <v/>
      </c>
      <c r="O482" s="15" t="n"/>
      <c r="P482" s="26">
        <f>IF($A482="","",COUNTIFS('Audit Versions'!$A$6:$A$605,$A482,'Audit Versions'!$L$6:$L$605,"Active"))</f>
        <v/>
      </c>
      <c r="Q482" s="15" t="n"/>
      <c r="R482" s="26">
        <f>IF(OR($A482="",$P482=0),"",MOD(N($Q482),$P482)+1)</f>
        <v/>
      </c>
      <c r="S482" s="15" t="n"/>
      <c r="T482" s="25" t="n"/>
      <c r="U482" s="26">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Builder'!$B$12="",N($S482)&lt;='Assignment Builder'!$B$12)))</f>
        <v/>
      </c>
      <c r="V482" s="23" t="n"/>
    </row>
    <row r="483">
      <c r="A483" s="23" t="n"/>
      <c r="B483" s="23" t="n"/>
      <c r="C483" s="24" t="n"/>
      <c r="D483" s="15" t="n"/>
      <c r="E483" s="23" t="n"/>
      <c r="F483" s="15" t="n"/>
      <c r="G483" s="23" t="n"/>
      <c r="H483" s="25" t="n"/>
      <c r="I483" s="15" t="n"/>
      <c r="J483" s="26">
        <f>IF($A483="","",LEN($C483)-LEN(SUBSTITUTE($C483,",",""))+1)</f>
        <v/>
      </c>
      <c r="K483" s="26">
        <f>IF($A483="","",SUMPRODUCT(--ISNUMBER(SEARCH('Category Dictionary'!$D$5:$D$135&amp;"",$C483)),--('Category Dictionary'!$D$5:$D$135&lt;&gt;"")))</f>
        <v/>
      </c>
      <c r="L483" s="27">
        <f>IF($A483="","",TRIM(IF(ISERROR(FIND(",",$C483)),$C483,LEFT($C483,FIND(",",$C483)-1))))</f>
        <v/>
      </c>
      <c r="M483" s="28">
        <f>IF($H483="","",DATE(YEAR($H483),MONTH($H483),1))</f>
        <v/>
      </c>
      <c r="N483" s="26">
        <f>IF($H483="","",TODAY()-$H483)</f>
        <v/>
      </c>
      <c r="O483" s="15" t="n"/>
      <c r="P483" s="26">
        <f>IF($A483="","",COUNTIFS('Audit Versions'!$A$6:$A$605,$A483,'Audit Versions'!$L$6:$L$605,"Active"))</f>
        <v/>
      </c>
      <c r="Q483" s="15" t="n"/>
      <c r="R483" s="26">
        <f>IF(OR($A483="",$P483=0),"",MOD(N($Q483),$P483)+1)</f>
        <v/>
      </c>
      <c r="S483" s="15" t="n"/>
      <c r="T483" s="25" t="n"/>
      <c r="U483" s="26">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Builder'!$B$12="",N($S483)&lt;='Assignment Builder'!$B$12)))</f>
        <v/>
      </c>
      <c r="V483" s="23" t="n"/>
    </row>
    <row r="484">
      <c r="A484" s="23" t="n"/>
      <c r="B484" s="23" t="n"/>
      <c r="C484" s="24" t="n"/>
      <c r="D484" s="15" t="n"/>
      <c r="E484" s="23" t="n"/>
      <c r="F484" s="15" t="n"/>
      <c r="G484" s="23" t="n"/>
      <c r="H484" s="25" t="n"/>
      <c r="I484" s="15" t="n"/>
      <c r="J484" s="26">
        <f>IF($A484="","",LEN($C484)-LEN(SUBSTITUTE($C484,",",""))+1)</f>
        <v/>
      </c>
      <c r="K484" s="26">
        <f>IF($A484="","",SUMPRODUCT(--ISNUMBER(SEARCH('Category Dictionary'!$D$5:$D$135&amp;"",$C484)),--('Category Dictionary'!$D$5:$D$135&lt;&gt;"")))</f>
        <v/>
      </c>
      <c r="L484" s="27">
        <f>IF($A484="","",TRIM(IF(ISERROR(FIND(",",$C484)),$C484,LEFT($C484,FIND(",",$C484)-1))))</f>
        <v/>
      </c>
      <c r="M484" s="28">
        <f>IF($H484="","",DATE(YEAR($H484),MONTH($H484),1))</f>
        <v/>
      </c>
      <c r="N484" s="26">
        <f>IF($H484="","",TODAY()-$H484)</f>
        <v/>
      </c>
      <c r="O484" s="15" t="n"/>
      <c r="P484" s="26">
        <f>IF($A484="","",COUNTIFS('Audit Versions'!$A$6:$A$605,$A484,'Audit Versions'!$L$6:$L$605,"Active"))</f>
        <v/>
      </c>
      <c r="Q484" s="15" t="n"/>
      <c r="R484" s="26">
        <f>IF(OR($A484="",$P484=0),"",MOD(N($Q484),$P484)+1)</f>
        <v/>
      </c>
      <c r="S484" s="15" t="n"/>
      <c r="T484" s="25" t="n"/>
      <c r="U484" s="26">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Builder'!$B$12="",N($S484)&lt;='Assignment Builder'!$B$12)))</f>
        <v/>
      </c>
      <c r="V484" s="23" t="n"/>
    </row>
    <row r="485">
      <c r="A485" s="23" t="n"/>
      <c r="B485" s="23" t="n"/>
      <c r="C485" s="24" t="n"/>
      <c r="D485" s="15" t="n"/>
      <c r="E485" s="23" t="n"/>
      <c r="F485" s="15" t="n"/>
      <c r="G485" s="23" t="n"/>
      <c r="H485" s="25" t="n"/>
      <c r="I485" s="15" t="n"/>
      <c r="J485" s="26">
        <f>IF($A485="","",LEN($C485)-LEN(SUBSTITUTE($C485,",",""))+1)</f>
        <v/>
      </c>
      <c r="K485" s="26">
        <f>IF($A485="","",SUMPRODUCT(--ISNUMBER(SEARCH('Category Dictionary'!$D$5:$D$135&amp;"",$C485)),--('Category Dictionary'!$D$5:$D$135&lt;&gt;"")))</f>
        <v/>
      </c>
      <c r="L485" s="27">
        <f>IF($A485="","",TRIM(IF(ISERROR(FIND(",",$C485)),$C485,LEFT($C485,FIND(",",$C485)-1))))</f>
        <v/>
      </c>
      <c r="M485" s="28">
        <f>IF($H485="","",DATE(YEAR($H485),MONTH($H485),1))</f>
        <v/>
      </c>
      <c r="N485" s="26">
        <f>IF($H485="","",TODAY()-$H485)</f>
        <v/>
      </c>
      <c r="O485" s="15" t="n"/>
      <c r="P485" s="26">
        <f>IF($A485="","",COUNTIFS('Audit Versions'!$A$6:$A$605,$A485,'Audit Versions'!$L$6:$L$605,"Active"))</f>
        <v/>
      </c>
      <c r="Q485" s="15" t="n"/>
      <c r="R485" s="26">
        <f>IF(OR($A485="",$P485=0),"",MOD(N($Q485),$P485)+1)</f>
        <v/>
      </c>
      <c r="S485" s="15" t="n"/>
      <c r="T485" s="25" t="n"/>
      <c r="U485" s="26">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Builder'!$B$12="",N($S485)&lt;='Assignment Builder'!$B$12)))</f>
        <v/>
      </c>
      <c r="V485" s="23" t="n"/>
    </row>
    <row r="486">
      <c r="A486" s="23" t="n"/>
      <c r="B486" s="23" t="n"/>
      <c r="C486" s="24" t="n"/>
      <c r="D486" s="15" t="n"/>
      <c r="E486" s="23" t="n"/>
      <c r="F486" s="15" t="n"/>
      <c r="G486" s="23" t="n"/>
      <c r="H486" s="25" t="n"/>
      <c r="I486" s="15" t="n"/>
      <c r="J486" s="26">
        <f>IF($A486="","",LEN($C486)-LEN(SUBSTITUTE($C486,",",""))+1)</f>
        <v/>
      </c>
      <c r="K486" s="26">
        <f>IF($A486="","",SUMPRODUCT(--ISNUMBER(SEARCH('Category Dictionary'!$D$5:$D$135&amp;"",$C486)),--('Category Dictionary'!$D$5:$D$135&lt;&gt;"")))</f>
        <v/>
      </c>
      <c r="L486" s="27">
        <f>IF($A486="","",TRIM(IF(ISERROR(FIND(",",$C486)),$C486,LEFT($C486,FIND(",",$C486)-1))))</f>
        <v/>
      </c>
      <c r="M486" s="28">
        <f>IF($H486="","",DATE(YEAR($H486),MONTH($H486),1))</f>
        <v/>
      </c>
      <c r="N486" s="26">
        <f>IF($H486="","",TODAY()-$H486)</f>
        <v/>
      </c>
      <c r="O486" s="15" t="n"/>
      <c r="P486" s="26">
        <f>IF($A486="","",COUNTIFS('Audit Versions'!$A$6:$A$605,$A486,'Audit Versions'!$L$6:$L$605,"Active"))</f>
        <v/>
      </c>
      <c r="Q486" s="15" t="n"/>
      <c r="R486" s="26">
        <f>IF(OR($A486="",$P486=0),"",MOD(N($Q486),$P486)+1)</f>
        <v/>
      </c>
      <c r="S486" s="15" t="n"/>
      <c r="T486" s="25" t="n"/>
      <c r="U486" s="26">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Builder'!$B$12="",N($S486)&lt;='Assignment Builder'!$B$12)))</f>
        <v/>
      </c>
      <c r="V486" s="23" t="n"/>
    </row>
    <row r="487">
      <c r="A487" s="23" t="n"/>
      <c r="B487" s="23" t="n"/>
      <c r="C487" s="24" t="n"/>
      <c r="D487" s="15" t="n"/>
      <c r="E487" s="23" t="n"/>
      <c r="F487" s="15" t="n"/>
      <c r="G487" s="23" t="n"/>
      <c r="H487" s="25" t="n"/>
      <c r="I487" s="15" t="n"/>
      <c r="J487" s="26">
        <f>IF($A487="","",LEN($C487)-LEN(SUBSTITUTE($C487,",",""))+1)</f>
        <v/>
      </c>
      <c r="K487" s="26">
        <f>IF($A487="","",SUMPRODUCT(--ISNUMBER(SEARCH('Category Dictionary'!$D$5:$D$135&amp;"",$C487)),--('Category Dictionary'!$D$5:$D$135&lt;&gt;"")))</f>
        <v/>
      </c>
      <c r="L487" s="27">
        <f>IF($A487="","",TRIM(IF(ISERROR(FIND(",",$C487)),$C487,LEFT($C487,FIND(",",$C487)-1))))</f>
        <v/>
      </c>
      <c r="M487" s="28">
        <f>IF($H487="","",DATE(YEAR($H487),MONTH($H487),1))</f>
        <v/>
      </c>
      <c r="N487" s="26">
        <f>IF($H487="","",TODAY()-$H487)</f>
        <v/>
      </c>
      <c r="O487" s="15" t="n"/>
      <c r="P487" s="26">
        <f>IF($A487="","",COUNTIFS('Audit Versions'!$A$6:$A$605,$A487,'Audit Versions'!$L$6:$L$605,"Active"))</f>
        <v/>
      </c>
      <c r="Q487" s="15" t="n"/>
      <c r="R487" s="26">
        <f>IF(OR($A487="",$P487=0),"",MOD(N($Q487),$P487)+1)</f>
        <v/>
      </c>
      <c r="S487" s="15" t="n"/>
      <c r="T487" s="25" t="n"/>
      <c r="U487" s="26">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Builder'!$B$12="",N($S487)&lt;='Assignment Builder'!$B$12)))</f>
        <v/>
      </c>
      <c r="V487" s="23" t="n"/>
    </row>
    <row r="488">
      <c r="A488" s="23" t="n"/>
      <c r="B488" s="23" t="n"/>
      <c r="C488" s="24" t="n"/>
      <c r="D488" s="15" t="n"/>
      <c r="E488" s="23" t="n"/>
      <c r="F488" s="15" t="n"/>
      <c r="G488" s="23" t="n"/>
      <c r="H488" s="25" t="n"/>
      <c r="I488" s="15" t="n"/>
      <c r="J488" s="26">
        <f>IF($A488="","",LEN($C488)-LEN(SUBSTITUTE($C488,",",""))+1)</f>
        <v/>
      </c>
      <c r="K488" s="26">
        <f>IF($A488="","",SUMPRODUCT(--ISNUMBER(SEARCH('Category Dictionary'!$D$5:$D$135&amp;"",$C488)),--('Category Dictionary'!$D$5:$D$135&lt;&gt;"")))</f>
        <v/>
      </c>
      <c r="L488" s="27">
        <f>IF($A488="","",TRIM(IF(ISERROR(FIND(",",$C488)),$C488,LEFT($C488,FIND(",",$C488)-1))))</f>
        <v/>
      </c>
      <c r="M488" s="28">
        <f>IF($H488="","",DATE(YEAR($H488),MONTH($H488),1))</f>
        <v/>
      </c>
      <c r="N488" s="26">
        <f>IF($H488="","",TODAY()-$H488)</f>
        <v/>
      </c>
      <c r="O488" s="15" t="n"/>
      <c r="P488" s="26">
        <f>IF($A488="","",COUNTIFS('Audit Versions'!$A$6:$A$605,$A488,'Audit Versions'!$L$6:$L$605,"Active"))</f>
        <v/>
      </c>
      <c r="Q488" s="15" t="n"/>
      <c r="R488" s="26">
        <f>IF(OR($A488="",$P488=0),"",MOD(N($Q488),$P488)+1)</f>
        <v/>
      </c>
      <c r="S488" s="15" t="n"/>
      <c r="T488" s="25" t="n"/>
      <c r="U488" s="26">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Builder'!$B$12="",N($S488)&lt;='Assignment Builder'!$B$12)))</f>
        <v/>
      </c>
      <c r="V488" s="23" t="n"/>
    </row>
    <row r="489">
      <c r="A489" s="23" t="n"/>
      <c r="B489" s="23" t="n"/>
      <c r="C489" s="24" t="n"/>
      <c r="D489" s="15" t="n"/>
      <c r="E489" s="23" t="n"/>
      <c r="F489" s="15" t="n"/>
      <c r="G489" s="23" t="n"/>
      <c r="H489" s="25" t="n"/>
      <c r="I489" s="15" t="n"/>
      <c r="J489" s="26">
        <f>IF($A489="","",LEN($C489)-LEN(SUBSTITUTE($C489,",",""))+1)</f>
        <v/>
      </c>
      <c r="K489" s="26">
        <f>IF($A489="","",SUMPRODUCT(--ISNUMBER(SEARCH('Category Dictionary'!$D$5:$D$135&amp;"",$C489)),--('Category Dictionary'!$D$5:$D$135&lt;&gt;"")))</f>
        <v/>
      </c>
      <c r="L489" s="27">
        <f>IF($A489="","",TRIM(IF(ISERROR(FIND(",",$C489)),$C489,LEFT($C489,FIND(",",$C489)-1))))</f>
        <v/>
      </c>
      <c r="M489" s="28">
        <f>IF($H489="","",DATE(YEAR($H489),MONTH($H489),1))</f>
        <v/>
      </c>
      <c r="N489" s="26">
        <f>IF($H489="","",TODAY()-$H489)</f>
        <v/>
      </c>
      <c r="O489" s="15" t="n"/>
      <c r="P489" s="26">
        <f>IF($A489="","",COUNTIFS('Audit Versions'!$A$6:$A$605,$A489,'Audit Versions'!$L$6:$L$605,"Active"))</f>
        <v/>
      </c>
      <c r="Q489" s="15" t="n"/>
      <c r="R489" s="26">
        <f>IF(OR($A489="",$P489=0),"",MOD(N($Q489),$P489)+1)</f>
        <v/>
      </c>
      <c r="S489" s="15" t="n"/>
      <c r="T489" s="25" t="n"/>
      <c r="U489" s="26">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Builder'!$B$12="",N($S489)&lt;='Assignment Builder'!$B$12)))</f>
        <v/>
      </c>
      <c r="V489" s="23" t="n"/>
    </row>
    <row r="490">
      <c r="A490" s="23" t="n"/>
      <c r="B490" s="23" t="n"/>
      <c r="C490" s="24" t="n"/>
      <c r="D490" s="15" t="n"/>
      <c r="E490" s="23" t="n"/>
      <c r="F490" s="15" t="n"/>
      <c r="G490" s="23" t="n"/>
      <c r="H490" s="25" t="n"/>
      <c r="I490" s="15" t="n"/>
      <c r="J490" s="26">
        <f>IF($A490="","",LEN($C490)-LEN(SUBSTITUTE($C490,",",""))+1)</f>
        <v/>
      </c>
      <c r="K490" s="26">
        <f>IF($A490="","",SUMPRODUCT(--ISNUMBER(SEARCH('Category Dictionary'!$D$5:$D$135&amp;"",$C490)),--('Category Dictionary'!$D$5:$D$135&lt;&gt;"")))</f>
        <v/>
      </c>
      <c r="L490" s="27">
        <f>IF($A490="","",TRIM(IF(ISERROR(FIND(",",$C490)),$C490,LEFT($C490,FIND(",",$C490)-1))))</f>
        <v/>
      </c>
      <c r="M490" s="28">
        <f>IF($H490="","",DATE(YEAR($H490),MONTH($H490),1))</f>
        <v/>
      </c>
      <c r="N490" s="26">
        <f>IF($H490="","",TODAY()-$H490)</f>
        <v/>
      </c>
      <c r="O490" s="15" t="n"/>
      <c r="P490" s="26">
        <f>IF($A490="","",COUNTIFS('Audit Versions'!$A$6:$A$605,$A490,'Audit Versions'!$L$6:$L$605,"Active"))</f>
        <v/>
      </c>
      <c r="Q490" s="15" t="n"/>
      <c r="R490" s="26">
        <f>IF(OR($A490="",$P490=0),"",MOD(N($Q490),$P490)+1)</f>
        <v/>
      </c>
      <c r="S490" s="15" t="n"/>
      <c r="T490" s="25" t="n"/>
      <c r="U490" s="26">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Builder'!$B$12="",N($S490)&lt;='Assignment Builder'!$B$12)))</f>
        <v/>
      </c>
      <c r="V490" s="23" t="n"/>
    </row>
    <row r="491">
      <c r="A491" s="23" t="n"/>
      <c r="B491" s="23" t="n"/>
      <c r="C491" s="24" t="n"/>
      <c r="D491" s="15" t="n"/>
      <c r="E491" s="23" t="n"/>
      <c r="F491" s="15" t="n"/>
      <c r="G491" s="23" t="n"/>
      <c r="H491" s="25" t="n"/>
      <c r="I491" s="15" t="n"/>
      <c r="J491" s="26">
        <f>IF($A491="","",LEN($C491)-LEN(SUBSTITUTE($C491,",",""))+1)</f>
        <v/>
      </c>
      <c r="K491" s="26">
        <f>IF($A491="","",SUMPRODUCT(--ISNUMBER(SEARCH('Category Dictionary'!$D$5:$D$135&amp;"",$C491)),--('Category Dictionary'!$D$5:$D$135&lt;&gt;"")))</f>
        <v/>
      </c>
      <c r="L491" s="27">
        <f>IF($A491="","",TRIM(IF(ISERROR(FIND(",",$C491)),$C491,LEFT($C491,FIND(",",$C491)-1))))</f>
        <v/>
      </c>
      <c r="M491" s="28">
        <f>IF($H491="","",DATE(YEAR($H491),MONTH($H491),1))</f>
        <v/>
      </c>
      <c r="N491" s="26">
        <f>IF($H491="","",TODAY()-$H491)</f>
        <v/>
      </c>
      <c r="O491" s="15" t="n"/>
      <c r="P491" s="26">
        <f>IF($A491="","",COUNTIFS('Audit Versions'!$A$6:$A$605,$A491,'Audit Versions'!$L$6:$L$605,"Active"))</f>
        <v/>
      </c>
      <c r="Q491" s="15" t="n"/>
      <c r="R491" s="26">
        <f>IF(OR($A491="",$P491=0),"",MOD(N($Q491),$P491)+1)</f>
        <v/>
      </c>
      <c r="S491" s="15" t="n"/>
      <c r="T491" s="25" t="n"/>
      <c r="U491" s="26">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Builder'!$B$12="",N($S491)&lt;='Assignment Builder'!$B$12)))</f>
        <v/>
      </c>
      <c r="V491" s="23" t="n"/>
    </row>
    <row r="492">
      <c r="A492" s="23" t="n"/>
      <c r="B492" s="23" t="n"/>
      <c r="C492" s="24" t="n"/>
      <c r="D492" s="15" t="n"/>
      <c r="E492" s="23" t="n"/>
      <c r="F492" s="15" t="n"/>
      <c r="G492" s="23" t="n"/>
      <c r="H492" s="25" t="n"/>
      <c r="I492" s="15" t="n"/>
      <c r="J492" s="26">
        <f>IF($A492="","",LEN($C492)-LEN(SUBSTITUTE($C492,",",""))+1)</f>
        <v/>
      </c>
      <c r="K492" s="26">
        <f>IF($A492="","",SUMPRODUCT(--ISNUMBER(SEARCH('Category Dictionary'!$D$5:$D$135&amp;"",$C492)),--('Category Dictionary'!$D$5:$D$135&lt;&gt;"")))</f>
        <v/>
      </c>
      <c r="L492" s="27">
        <f>IF($A492="","",TRIM(IF(ISERROR(FIND(",",$C492)),$C492,LEFT($C492,FIND(",",$C492)-1))))</f>
        <v/>
      </c>
      <c r="M492" s="28">
        <f>IF($H492="","",DATE(YEAR($H492),MONTH($H492),1))</f>
        <v/>
      </c>
      <c r="N492" s="26">
        <f>IF($H492="","",TODAY()-$H492)</f>
        <v/>
      </c>
      <c r="O492" s="15" t="n"/>
      <c r="P492" s="26">
        <f>IF($A492="","",COUNTIFS('Audit Versions'!$A$6:$A$605,$A492,'Audit Versions'!$L$6:$L$605,"Active"))</f>
        <v/>
      </c>
      <c r="Q492" s="15" t="n"/>
      <c r="R492" s="26">
        <f>IF(OR($A492="",$P492=0),"",MOD(N($Q492),$P492)+1)</f>
        <v/>
      </c>
      <c r="S492" s="15" t="n"/>
      <c r="T492" s="25" t="n"/>
      <c r="U492" s="26">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Builder'!$B$12="",N($S492)&lt;='Assignment Builder'!$B$12)))</f>
        <v/>
      </c>
      <c r="V492" s="23" t="n"/>
    </row>
    <row r="493">
      <c r="A493" s="23" t="n"/>
      <c r="B493" s="23" t="n"/>
      <c r="C493" s="24" t="n"/>
      <c r="D493" s="15" t="n"/>
      <c r="E493" s="23" t="n"/>
      <c r="F493" s="15" t="n"/>
      <c r="G493" s="23" t="n"/>
      <c r="H493" s="25" t="n"/>
      <c r="I493" s="15" t="n"/>
      <c r="J493" s="26">
        <f>IF($A493="","",LEN($C493)-LEN(SUBSTITUTE($C493,",",""))+1)</f>
        <v/>
      </c>
      <c r="K493" s="26">
        <f>IF($A493="","",SUMPRODUCT(--ISNUMBER(SEARCH('Category Dictionary'!$D$5:$D$135&amp;"",$C493)),--('Category Dictionary'!$D$5:$D$135&lt;&gt;"")))</f>
        <v/>
      </c>
      <c r="L493" s="27">
        <f>IF($A493="","",TRIM(IF(ISERROR(FIND(",",$C493)),$C493,LEFT($C493,FIND(",",$C493)-1))))</f>
        <v/>
      </c>
      <c r="M493" s="28">
        <f>IF($H493="","",DATE(YEAR($H493),MONTH($H493),1))</f>
        <v/>
      </c>
      <c r="N493" s="26">
        <f>IF($H493="","",TODAY()-$H493)</f>
        <v/>
      </c>
      <c r="O493" s="15" t="n"/>
      <c r="P493" s="26">
        <f>IF($A493="","",COUNTIFS('Audit Versions'!$A$6:$A$605,$A493,'Audit Versions'!$L$6:$L$605,"Active"))</f>
        <v/>
      </c>
      <c r="Q493" s="15" t="n"/>
      <c r="R493" s="26">
        <f>IF(OR($A493="",$P493=0),"",MOD(N($Q493),$P493)+1)</f>
        <v/>
      </c>
      <c r="S493" s="15" t="n"/>
      <c r="T493" s="25" t="n"/>
      <c r="U493" s="26">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Builder'!$B$12="",N($S493)&lt;='Assignment Builder'!$B$12)))</f>
        <v/>
      </c>
      <c r="V493" s="23" t="n"/>
    </row>
    <row r="494">
      <c r="A494" s="23" t="n"/>
      <c r="B494" s="23" t="n"/>
      <c r="C494" s="24" t="n"/>
      <c r="D494" s="15" t="n"/>
      <c r="E494" s="23" t="n"/>
      <c r="F494" s="15" t="n"/>
      <c r="G494" s="23" t="n"/>
      <c r="H494" s="25" t="n"/>
      <c r="I494" s="15" t="n"/>
      <c r="J494" s="26">
        <f>IF($A494="","",LEN($C494)-LEN(SUBSTITUTE($C494,",",""))+1)</f>
        <v/>
      </c>
      <c r="K494" s="26">
        <f>IF($A494="","",SUMPRODUCT(--ISNUMBER(SEARCH('Category Dictionary'!$D$5:$D$135&amp;"",$C494)),--('Category Dictionary'!$D$5:$D$135&lt;&gt;"")))</f>
        <v/>
      </c>
      <c r="L494" s="27">
        <f>IF($A494="","",TRIM(IF(ISERROR(FIND(",",$C494)),$C494,LEFT($C494,FIND(",",$C494)-1))))</f>
        <v/>
      </c>
      <c r="M494" s="28">
        <f>IF($H494="","",DATE(YEAR($H494),MONTH($H494),1))</f>
        <v/>
      </c>
      <c r="N494" s="26">
        <f>IF($H494="","",TODAY()-$H494)</f>
        <v/>
      </c>
      <c r="O494" s="15" t="n"/>
      <c r="P494" s="26">
        <f>IF($A494="","",COUNTIFS('Audit Versions'!$A$6:$A$605,$A494,'Audit Versions'!$L$6:$L$605,"Active"))</f>
        <v/>
      </c>
      <c r="Q494" s="15" t="n"/>
      <c r="R494" s="26">
        <f>IF(OR($A494="",$P494=0),"",MOD(N($Q494),$P494)+1)</f>
        <v/>
      </c>
      <c r="S494" s="15" t="n"/>
      <c r="T494" s="25" t="n"/>
      <c r="U494" s="26">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Builder'!$B$12="",N($S494)&lt;='Assignment Builder'!$B$12)))</f>
        <v/>
      </c>
      <c r="V494" s="23" t="n"/>
    </row>
    <row r="495">
      <c r="A495" s="23" t="n"/>
      <c r="B495" s="23" t="n"/>
      <c r="C495" s="24" t="n"/>
      <c r="D495" s="15" t="n"/>
      <c r="E495" s="23" t="n"/>
      <c r="F495" s="15" t="n"/>
      <c r="G495" s="23" t="n"/>
      <c r="H495" s="25" t="n"/>
      <c r="I495" s="15" t="n"/>
      <c r="J495" s="26">
        <f>IF($A495="","",LEN($C495)-LEN(SUBSTITUTE($C495,",",""))+1)</f>
        <v/>
      </c>
      <c r="K495" s="26">
        <f>IF($A495="","",SUMPRODUCT(--ISNUMBER(SEARCH('Category Dictionary'!$D$5:$D$135&amp;"",$C495)),--('Category Dictionary'!$D$5:$D$135&lt;&gt;"")))</f>
        <v/>
      </c>
      <c r="L495" s="27">
        <f>IF($A495="","",TRIM(IF(ISERROR(FIND(",",$C495)),$C495,LEFT($C495,FIND(",",$C495)-1))))</f>
        <v/>
      </c>
      <c r="M495" s="28">
        <f>IF($H495="","",DATE(YEAR($H495),MONTH($H495),1))</f>
        <v/>
      </c>
      <c r="N495" s="26">
        <f>IF($H495="","",TODAY()-$H495)</f>
        <v/>
      </c>
      <c r="O495" s="15" t="n"/>
      <c r="P495" s="26">
        <f>IF($A495="","",COUNTIFS('Audit Versions'!$A$6:$A$605,$A495,'Audit Versions'!$L$6:$L$605,"Active"))</f>
        <v/>
      </c>
      <c r="Q495" s="15" t="n"/>
      <c r="R495" s="26">
        <f>IF(OR($A495="",$P495=0),"",MOD(N($Q495),$P495)+1)</f>
        <v/>
      </c>
      <c r="S495" s="15" t="n"/>
      <c r="T495" s="25" t="n"/>
      <c r="U495" s="26">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Builder'!$B$12="",N($S495)&lt;='Assignment Builder'!$B$12)))</f>
        <v/>
      </c>
      <c r="V495" s="23" t="n"/>
    </row>
    <row r="496">
      <c r="A496" s="23" t="n"/>
      <c r="B496" s="23" t="n"/>
      <c r="C496" s="24" t="n"/>
      <c r="D496" s="15" t="n"/>
      <c r="E496" s="23" t="n"/>
      <c r="F496" s="15" t="n"/>
      <c r="G496" s="23" t="n"/>
      <c r="H496" s="25" t="n"/>
      <c r="I496" s="15" t="n"/>
      <c r="J496" s="26">
        <f>IF($A496="","",LEN($C496)-LEN(SUBSTITUTE($C496,",",""))+1)</f>
        <v/>
      </c>
      <c r="K496" s="26">
        <f>IF($A496="","",SUMPRODUCT(--ISNUMBER(SEARCH('Category Dictionary'!$D$5:$D$135&amp;"",$C496)),--('Category Dictionary'!$D$5:$D$135&lt;&gt;"")))</f>
        <v/>
      </c>
      <c r="L496" s="27">
        <f>IF($A496="","",TRIM(IF(ISERROR(FIND(",",$C496)),$C496,LEFT($C496,FIND(",",$C496)-1))))</f>
        <v/>
      </c>
      <c r="M496" s="28">
        <f>IF($H496="","",DATE(YEAR($H496),MONTH($H496),1))</f>
        <v/>
      </c>
      <c r="N496" s="26">
        <f>IF($H496="","",TODAY()-$H496)</f>
        <v/>
      </c>
      <c r="O496" s="15" t="n"/>
      <c r="P496" s="26">
        <f>IF($A496="","",COUNTIFS('Audit Versions'!$A$6:$A$605,$A496,'Audit Versions'!$L$6:$L$605,"Active"))</f>
        <v/>
      </c>
      <c r="Q496" s="15" t="n"/>
      <c r="R496" s="26">
        <f>IF(OR($A496="",$P496=0),"",MOD(N($Q496),$P496)+1)</f>
        <v/>
      </c>
      <c r="S496" s="15" t="n"/>
      <c r="T496" s="25" t="n"/>
      <c r="U496" s="26">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Builder'!$B$12="",N($S496)&lt;='Assignment Builder'!$B$12)))</f>
        <v/>
      </c>
      <c r="V496" s="23" t="n"/>
    </row>
    <row r="497">
      <c r="A497" s="23" t="n"/>
      <c r="B497" s="23" t="n"/>
      <c r="C497" s="24" t="n"/>
      <c r="D497" s="15" t="n"/>
      <c r="E497" s="23" t="n"/>
      <c r="F497" s="15" t="n"/>
      <c r="G497" s="23" t="n"/>
      <c r="H497" s="25" t="n"/>
      <c r="I497" s="15" t="n"/>
      <c r="J497" s="26">
        <f>IF($A497="","",LEN($C497)-LEN(SUBSTITUTE($C497,",",""))+1)</f>
        <v/>
      </c>
      <c r="K497" s="26">
        <f>IF($A497="","",SUMPRODUCT(--ISNUMBER(SEARCH('Category Dictionary'!$D$5:$D$135&amp;"",$C497)),--('Category Dictionary'!$D$5:$D$135&lt;&gt;"")))</f>
        <v/>
      </c>
      <c r="L497" s="27">
        <f>IF($A497="","",TRIM(IF(ISERROR(FIND(",",$C497)),$C497,LEFT($C497,FIND(",",$C497)-1))))</f>
        <v/>
      </c>
      <c r="M497" s="28">
        <f>IF($H497="","",DATE(YEAR($H497),MONTH($H497),1))</f>
        <v/>
      </c>
      <c r="N497" s="26">
        <f>IF($H497="","",TODAY()-$H497)</f>
        <v/>
      </c>
      <c r="O497" s="15" t="n"/>
      <c r="P497" s="26">
        <f>IF($A497="","",COUNTIFS('Audit Versions'!$A$6:$A$605,$A497,'Audit Versions'!$L$6:$L$605,"Active"))</f>
        <v/>
      </c>
      <c r="Q497" s="15" t="n"/>
      <c r="R497" s="26">
        <f>IF(OR($A497="",$P497=0),"",MOD(N($Q497),$P497)+1)</f>
        <v/>
      </c>
      <c r="S497" s="15" t="n"/>
      <c r="T497" s="25" t="n"/>
      <c r="U497" s="26">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Builder'!$B$12="",N($S497)&lt;='Assignment Builder'!$B$12)))</f>
        <v/>
      </c>
      <c r="V497" s="23" t="n"/>
    </row>
    <row r="498">
      <c r="A498" s="23" t="n"/>
      <c r="B498" s="23" t="n"/>
      <c r="C498" s="24" t="n"/>
      <c r="D498" s="15" t="n"/>
      <c r="E498" s="23" t="n"/>
      <c r="F498" s="15" t="n"/>
      <c r="G498" s="23" t="n"/>
      <c r="H498" s="25" t="n"/>
      <c r="I498" s="15" t="n"/>
      <c r="J498" s="26">
        <f>IF($A498="","",LEN($C498)-LEN(SUBSTITUTE($C498,",",""))+1)</f>
        <v/>
      </c>
      <c r="K498" s="26">
        <f>IF($A498="","",SUMPRODUCT(--ISNUMBER(SEARCH('Category Dictionary'!$D$5:$D$135&amp;"",$C498)),--('Category Dictionary'!$D$5:$D$135&lt;&gt;"")))</f>
        <v/>
      </c>
      <c r="L498" s="27">
        <f>IF($A498="","",TRIM(IF(ISERROR(FIND(",",$C498)),$C498,LEFT($C498,FIND(",",$C498)-1))))</f>
        <v/>
      </c>
      <c r="M498" s="28">
        <f>IF($H498="","",DATE(YEAR($H498),MONTH($H498),1))</f>
        <v/>
      </c>
      <c r="N498" s="26">
        <f>IF($H498="","",TODAY()-$H498)</f>
        <v/>
      </c>
      <c r="O498" s="15" t="n"/>
      <c r="P498" s="26">
        <f>IF($A498="","",COUNTIFS('Audit Versions'!$A$6:$A$605,$A498,'Audit Versions'!$L$6:$L$605,"Active"))</f>
        <v/>
      </c>
      <c r="Q498" s="15" t="n"/>
      <c r="R498" s="26">
        <f>IF(OR($A498="",$P498=0),"",MOD(N($Q498),$P498)+1)</f>
        <v/>
      </c>
      <c r="S498" s="15" t="n"/>
      <c r="T498" s="25" t="n"/>
      <c r="U498" s="26">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Builder'!$B$12="",N($S498)&lt;='Assignment Builder'!$B$12)))</f>
        <v/>
      </c>
      <c r="V498" s="23" t="n"/>
    </row>
    <row r="499">
      <c r="A499" s="23" t="n"/>
      <c r="B499" s="23" t="n"/>
      <c r="C499" s="24" t="n"/>
      <c r="D499" s="15" t="n"/>
      <c r="E499" s="23" t="n"/>
      <c r="F499" s="15" t="n"/>
      <c r="G499" s="23" t="n"/>
      <c r="H499" s="25" t="n"/>
      <c r="I499" s="15" t="n"/>
      <c r="J499" s="26">
        <f>IF($A499="","",LEN($C499)-LEN(SUBSTITUTE($C499,",",""))+1)</f>
        <v/>
      </c>
      <c r="K499" s="26">
        <f>IF($A499="","",SUMPRODUCT(--ISNUMBER(SEARCH('Category Dictionary'!$D$5:$D$135&amp;"",$C499)),--('Category Dictionary'!$D$5:$D$135&lt;&gt;"")))</f>
        <v/>
      </c>
      <c r="L499" s="27">
        <f>IF($A499="","",TRIM(IF(ISERROR(FIND(",",$C499)),$C499,LEFT($C499,FIND(",",$C499)-1))))</f>
        <v/>
      </c>
      <c r="M499" s="28">
        <f>IF($H499="","",DATE(YEAR($H499),MONTH($H499),1))</f>
        <v/>
      </c>
      <c r="N499" s="26">
        <f>IF($H499="","",TODAY()-$H499)</f>
        <v/>
      </c>
      <c r="O499" s="15" t="n"/>
      <c r="P499" s="26">
        <f>IF($A499="","",COUNTIFS('Audit Versions'!$A$6:$A$605,$A499,'Audit Versions'!$L$6:$L$605,"Active"))</f>
        <v/>
      </c>
      <c r="Q499" s="15" t="n"/>
      <c r="R499" s="26">
        <f>IF(OR($A499="",$P499=0),"",MOD(N($Q499),$P499)+1)</f>
        <v/>
      </c>
      <c r="S499" s="15" t="n"/>
      <c r="T499" s="25" t="n"/>
      <c r="U499" s="26">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Builder'!$B$12="",N($S499)&lt;='Assignment Builder'!$B$12)))</f>
        <v/>
      </c>
      <c r="V499" s="23" t="n"/>
    </row>
    <row r="500">
      <c r="A500" s="23" t="n"/>
      <c r="B500" s="23" t="n"/>
      <c r="C500" s="24" t="n"/>
      <c r="D500" s="15" t="n"/>
      <c r="E500" s="23" t="n"/>
      <c r="F500" s="15" t="n"/>
      <c r="G500" s="23" t="n"/>
      <c r="H500" s="25" t="n"/>
      <c r="I500" s="15" t="n"/>
      <c r="J500" s="26">
        <f>IF($A500="","",LEN($C500)-LEN(SUBSTITUTE($C500,",",""))+1)</f>
        <v/>
      </c>
      <c r="K500" s="26">
        <f>IF($A500="","",SUMPRODUCT(--ISNUMBER(SEARCH('Category Dictionary'!$D$5:$D$135&amp;"",$C500)),--('Category Dictionary'!$D$5:$D$135&lt;&gt;"")))</f>
        <v/>
      </c>
      <c r="L500" s="27">
        <f>IF($A500="","",TRIM(IF(ISERROR(FIND(",",$C500)),$C500,LEFT($C500,FIND(",",$C500)-1))))</f>
        <v/>
      </c>
      <c r="M500" s="28">
        <f>IF($H500="","",DATE(YEAR($H500),MONTH($H500),1))</f>
        <v/>
      </c>
      <c r="N500" s="26">
        <f>IF($H500="","",TODAY()-$H500)</f>
        <v/>
      </c>
      <c r="O500" s="15" t="n"/>
      <c r="P500" s="26">
        <f>IF($A500="","",COUNTIFS('Audit Versions'!$A$6:$A$605,$A500,'Audit Versions'!$L$6:$L$605,"Active"))</f>
        <v/>
      </c>
      <c r="Q500" s="15" t="n"/>
      <c r="R500" s="26">
        <f>IF(OR($A500="",$P500=0),"",MOD(N($Q500),$P500)+1)</f>
        <v/>
      </c>
      <c r="S500" s="15" t="n"/>
      <c r="T500" s="25" t="n"/>
      <c r="U500" s="26">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Builder'!$B$12="",N($S500)&lt;='Assignment Builder'!$B$12)))</f>
        <v/>
      </c>
      <c r="V500" s="23" t="n"/>
    </row>
    <row r="501">
      <c r="A501" s="23" t="n"/>
      <c r="B501" s="23" t="n"/>
      <c r="C501" s="24" t="n"/>
      <c r="D501" s="15" t="n"/>
      <c r="E501" s="23" t="n"/>
      <c r="F501" s="15" t="n"/>
      <c r="G501" s="23" t="n"/>
      <c r="H501" s="25" t="n"/>
      <c r="I501" s="15" t="n"/>
      <c r="J501" s="26">
        <f>IF($A501="","",LEN($C501)-LEN(SUBSTITUTE($C501,",",""))+1)</f>
        <v/>
      </c>
      <c r="K501" s="26">
        <f>IF($A501="","",SUMPRODUCT(--ISNUMBER(SEARCH('Category Dictionary'!$D$5:$D$135&amp;"",$C501)),--('Category Dictionary'!$D$5:$D$135&lt;&gt;"")))</f>
        <v/>
      </c>
      <c r="L501" s="27">
        <f>IF($A501="","",TRIM(IF(ISERROR(FIND(",",$C501)),$C501,LEFT($C501,FIND(",",$C501)-1))))</f>
        <v/>
      </c>
      <c r="M501" s="28">
        <f>IF($H501="","",DATE(YEAR($H501),MONTH($H501),1))</f>
        <v/>
      </c>
      <c r="N501" s="26">
        <f>IF($H501="","",TODAY()-$H501)</f>
        <v/>
      </c>
      <c r="O501" s="15" t="n"/>
      <c r="P501" s="26">
        <f>IF($A501="","",COUNTIFS('Audit Versions'!$A$6:$A$605,$A501,'Audit Versions'!$L$6:$L$605,"Active"))</f>
        <v/>
      </c>
      <c r="Q501" s="15" t="n"/>
      <c r="R501" s="26">
        <f>IF(OR($A501="",$P501=0),"",MOD(N($Q501),$P501)+1)</f>
        <v/>
      </c>
      <c r="S501" s="15" t="n"/>
      <c r="T501" s="25" t="n"/>
      <c r="U501" s="26">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Builder'!$B$12="",N($S501)&lt;='Assignment Builder'!$B$12)))</f>
        <v/>
      </c>
      <c r="V501" s="23" t="n"/>
    </row>
    <row r="502">
      <c r="A502" s="23" t="n"/>
      <c r="B502" s="23" t="n"/>
      <c r="C502" s="24" t="n"/>
      <c r="D502" s="15" t="n"/>
      <c r="E502" s="23" t="n"/>
      <c r="F502" s="15" t="n"/>
      <c r="G502" s="23" t="n"/>
      <c r="H502" s="25" t="n"/>
      <c r="I502" s="15" t="n"/>
      <c r="J502" s="26">
        <f>IF($A502="","",LEN($C502)-LEN(SUBSTITUTE($C502,",",""))+1)</f>
        <v/>
      </c>
      <c r="K502" s="26">
        <f>IF($A502="","",SUMPRODUCT(--ISNUMBER(SEARCH('Category Dictionary'!$D$5:$D$135&amp;"",$C502)),--('Category Dictionary'!$D$5:$D$135&lt;&gt;"")))</f>
        <v/>
      </c>
      <c r="L502" s="27">
        <f>IF($A502="","",TRIM(IF(ISERROR(FIND(",",$C502)),$C502,LEFT($C502,FIND(",",$C502)-1))))</f>
        <v/>
      </c>
      <c r="M502" s="28">
        <f>IF($H502="","",DATE(YEAR($H502),MONTH($H502),1))</f>
        <v/>
      </c>
      <c r="N502" s="26">
        <f>IF($H502="","",TODAY()-$H502)</f>
        <v/>
      </c>
      <c r="O502" s="15" t="n"/>
      <c r="P502" s="26">
        <f>IF($A502="","",COUNTIFS('Audit Versions'!$A$6:$A$605,$A502,'Audit Versions'!$L$6:$L$605,"Active"))</f>
        <v/>
      </c>
      <c r="Q502" s="15" t="n"/>
      <c r="R502" s="26">
        <f>IF(OR($A502="",$P502=0),"",MOD(N($Q502),$P502)+1)</f>
        <v/>
      </c>
      <c r="S502" s="15" t="n"/>
      <c r="T502" s="25" t="n"/>
      <c r="U502" s="26">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Builder'!$B$12="",N($S502)&lt;='Assignment Builder'!$B$12)))</f>
        <v/>
      </c>
      <c r="V502" s="23" t="n"/>
    </row>
    <row r="503">
      <c r="A503" s="23" t="n"/>
      <c r="B503" s="23" t="n"/>
      <c r="C503" s="24" t="n"/>
      <c r="D503" s="15" t="n"/>
      <c r="E503" s="23" t="n"/>
      <c r="F503" s="15" t="n"/>
      <c r="G503" s="23" t="n"/>
      <c r="H503" s="25" t="n"/>
      <c r="I503" s="15" t="n"/>
      <c r="J503" s="26">
        <f>IF($A503="","",LEN($C503)-LEN(SUBSTITUTE($C503,",",""))+1)</f>
        <v/>
      </c>
      <c r="K503" s="26">
        <f>IF($A503="","",SUMPRODUCT(--ISNUMBER(SEARCH('Category Dictionary'!$D$5:$D$135&amp;"",$C503)),--('Category Dictionary'!$D$5:$D$135&lt;&gt;"")))</f>
        <v/>
      </c>
      <c r="L503" s="27">
        <f>IF($A503="","",TRIM(IF(ISERROR(FIND(",",$C503)),$C503,LEFT($C503,FIND(",",$C503)-1))))</f>
        <v/>
      </c>
      <c r="M503" s="28">
        <f>IF($H503="","",DATE(YEAR($H503),MONTH($H503),1))</f>
        <v/>
      </c>
      <c r="N503" s="26">
        <f>IF($H503="","",TODAY()-$H503)</f>
        <v/>
      </c>
      <c r="O503" s="15" t="n"/>
      <c r="P503" s="26">
        <f>IF($A503="","",COUNTIFS('Audit Versions'!$A$6:$A$605,$A503,'Audit Versions'!$L$6:$L$605,"Active"))</f>
        <v/>
      </c>
      <c r="Q503" s="15" t="n"/>
      <c r="R503" s="26">
        <f>IF(OR($A503="",$P503=0),"",MOD(N($Q503),$P503)+1)</f>
        <v/>
      </c>
      <c r="S503" s="15" t="n"/>
      <c r="T503" s="25" t="n"/>
      <c r="U503" s="26">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Builder'!$B$12="",N($S503)&lt;='Assignment Builder'!$B$12)))</f>
        <v/>
      </c>
      <c r="V503" s="23" t="n"/>
    </row>
    <row r="504">
      <c r="A504" s="23" t="n"/>
      <c r="B504" s="23" t="n"/>
      <c r="C504" s="24" t="n"/>
      <c r="D504" s="15" t="n"/>
      <c r="E504" s="23" t="n"/>
      <c r="F504" s="15" t="n"/>
      <c r="G504" s="23" t="n"/>
      <c r="H504" s="25" t="n"/>
      <c r="I504" s="15" t="n"/>
      <c r="J504" s="26">
        <f>IF($A504="","",LEN($C504)-LEN(SUBSTITUTE($C504,",",""))+1)</f>
        <v/>
      </c>
      <c r="K504" s="26">
        <f>IF($A504="","",SUMPRODUCT(--ISNUMBER(SEARCH('Category Dictionary'!$D$5:$D$135&amp;"",$C504)),--('Category Dictionary'!$D$5:$D$135&lt;&gt;"")))</f>
        <v/>
      </c>
      <c r="L504" s="27">
        <f>IF($A504="","",TRIM(IF(ISERROR(FIND(",",$C504)),$C504,LEFT($C504,FIND(",",$C504)-1))))</f>
        <v/>
      </c>
      <c r="M504" s="28">
        <f>IF($H504="","",DATE(YEAR($H504),MONTH($H504),1))</f>
        <v/>
      </c>
      <c r="N504" s="26">
        <f>IF($H504="","",TODAY()-$H504)</f>
        <v/>
      </c>
      <c r="O504" s="15" t="n"/>
      <c r="P504" s="26">
        <f>IF($A504="","",COUNTIFS('Audit Versions'!$A$6:$A$605,$A504,'Audit Versions'!$L$6:$L$605,"Active"))</f>
        <v/>
      </c>
      <c r="Q504" s="15" t="n"/>
      <c r="R504" s="26">
        <f>IF(OR($A504="",$P504=0),"",MOD(N($Q504),$P504)+1)</f>
        <v/>
      </c>
      <c r="S504" s="15" t="n"/>
      <c r="T504" s="25" t="n"/>
      <c r="U504" s="26">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Builder'!$B$12="",N($S504)&lt;='Assignment Builder'!$B$12)))</f>
        <v/>
      </c>
      <c r="V504" s="23" t="n"/>
    </row>
    <row r="505">
      <c r="A505" s="23" t="n"/>
      <c r="B505" s="23" t="n"/>
      <c r="C505" s="24" t="n"/>
      <c r="D505" s="15" t="n"/>
      <c r="E505" s="23" t="n"/>
      <c r="F505" s="15" t="n"/>
      <c r="G505" s="23" t="n"/>
      <c r="H505" s="25" t="n"/>
      <c r="I505" s="15" t="n"/>
      <c r="J505" s="26">
        <f>IF($A505="","",LEN($C505)-LEN(SUBSTITUTE($C505,",",""))+1)</f>
        <v/>
      </c>
      <c r="K505" s="26">
        <f>IF($A505="","",SUMPRODUCT(--ISNUMBER(SEARCH('Category Dictionary'!$D$5:$D$135&amp;"",$C505)),--('Category Dictionary'!$D$5:$D$135&lt;&gt;"")))</f>
        <v/>
      </c>
      <c r="L505" s="27">
        <f>IF($A505="","",TRIM(IF(ISERROR(FIND(",",$C505)),$C505,LEFT($C505,FIND(",",$C505)-1))))</f>
        <v/>
      </c>
      <c r="M505" s="28">
        <f>IF($H505="","",DATE(YEAR($H505),MONTH($H505),1))</f>
        <v/>
      </c>
      <c r="N505" s="26">
        <f>IF($H505="","",TODAY()-$H505)</f>
        <v/>
      </c>
      <c r="O505" s="15" t="n"/>
      <c r="P505" s="26">
        <f>IF($A505="","",COUNTIFS('Audit Versions'!$A$6:$A$605,$A505,'Audit Versions'!$L$6:$L$605,"Active"))</f>
        <v/>
      </c>
      <c r="Q505" s="15" t="n"/>
      <c r="R505" s="26">
        <f>IF(OR($A505="",$P505=0),"",MOD(N($Q505),$P505)+1)</f>
        <v/>
      </c>
      <c r="S505" s="15" t="n"/>
      <c r="T505" s="25" t="n"/>
      <c r="U505" s="26">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Builder'!$B$12="",N($S505)&lt;='Assignment Builder'!$B$12)))</f>
        <v/>
      </c>
      <c r="V505" s="23" t="n"/>
    </row>
    <row r="506">
      <c r="A506" s="23" t="n"/>
      <c r="B506" s="23" t="n"/>
      <c r="C506" s="24" t="n"/>
      <c r="D506" s="15" t="n"/>
      <c r="E506" s="23" t="n"/>
      <c r="F506" s="15" t="n"/>
      <c r="G506" s="23" t="n"/>
      <c r="H506" s="25" t="n"/>
      <c r="I506" s="15" t="n"/>
      <c r="J506" s="26">
        <f>IF($A506="","",LEN($C506)-LEN(SUBSTITUTE($C506,",",""))+1)</f>
        <v/>
      </c>
      <c r="K506" s="26">
        <f>IF($A506="","",SUMPRODUCT(--ISNUMBER(SEARCH('Category Dictionary'!$D$5:$D$135&amp;"",$C506)),--('Category Dictionary'!$D$5:$D$135&lt;&gt;"")))</f>
        <v/>
      </c>
      <c r="L506" s="27">
        <f>IF($A506="","",TRIM(IF(ISERROR(FIND(",",$C506)),$C506,LEFT($C506,FIND(",",$C506)-1))))</f>
        <v/>
      </c>
      <c r="M506" s="28">
        <f>IF($H506="","",DATE(YEAR($H506),MONTH($H506),1))</f>
        <v/>
      </c>
      <c r="N506" s="26">
        <f>IF($H506="","",TODAY()-$H506)</f>
        <v/>
      </c>
      <c r="O506" s="15" t="n"/>
      <c r="P506" s="26">
        <f>IF($A506="","",COUNTIFS('Audit Versions'!$A$6:$A$605,$A506,'Audit Versions'!$L$6:$L$605,"Active"))</f>
        <v/>
      </c>
      <c r="Q506" s="15" t="n"/>
      <c r="R506" s="26">
        <f>IF(OR($A506="",$P506=0),"",MOD(N($Q506),$P506)+1)</f>
        <v/>
      </c>
      <c r="S506" s="15" t="n"/>
      <c r="T506" s="25" t="n"/>
      <c r="U506" s="26">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Builder'!$B$12="",N($S506)&lt;='Assignment Builder'!$B$12)))</f>
        <v/>
      </c>
      <c r="V506" s="23" t="n"/>
    </row>
    <row r="507">
      <c r="A507" s="23" t="n"/>
      <c r="B507" s="23" t="n"/>
      <c r="C507" s="24" t="n"/>
      <c r="D507" s="15" t="n"/>
      <c r="E507" s="23" t="n"/>
      <c r="F507" s="15" t="n"/>
      <c r="G507" s="23" t="n"/>
      <c r="H507" s="25" t="n"/>
      <c r="I507" s="15" t="n"/>
      <c r="J507" s="26">
        <f>IF($A507="","",LEN($C507)-LEN(SUBSTITUTE($C507,",",""))+1)</f>
        <v/>
      </c>
      <c r="K507" s="26">
        <f>IF($A507="","",SUMPRODUCT(--ISNUMBER(SEARCH('Category Dictionary'!$D$5:$D$135&amp;"",$C507)),--('Category Dictionary'!$D$5:$D$135&lt;&gt;"")))</f>
        <v/>
      </c>
      <c r="L507" s="27">
        <f>IF($A507="","",TRIM(IF(ISERROR(FIND(",",$C507)),$C507,LEFT($C507,FIND(",",$C507)-1))))</f>
        <v/>
      </c>
      <c r="M507" s="28">
        <f>IF($H507="","",DATE(YEAR($H507),MONTH($H507),1))</f>
        <v/>
      </c>
      <c r="N507" s="26">
        <f>IF($H507="","",TODAY()-$H507)</f>
        <v/>
      </c>
      <c r="O507" s="15" t="n"/>
      <c r="P507" s="26">
        <f>IF($A507="","",COUNTIFS('Audit Versions'!$A$6:$A$605,$A507,'Audit Versions'!$L$6:$L$605,"Active"))</f>
        <v/>
      </c>
      <c r="Q507" s="15" t="n"/>
      <c r="R507" s="26">
        <f>IF(OR($A507="",$P507=0),"",MOD(N($Q507),$P507)+1)</f>
        <v/>
      </c>
      <c r="S507" s="15" t="n"/>
      <c r="T507" s="25" t="n"/>
      <c r="U507" s="26">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Builder'!$B$12="",N($S507)&lt;='Assignment Builder'!$B$12)))</f>
        <v/>
      </c>
      <c r="V507" s="23" t="n"/>
    </row>
    <row r="508">
      <c r="A508" s="23" t="n"/>
      <c r="B508" s="23" t="n"/>
      <c r="C508" s="24" t="n"/>
      <c r="D508" s="15" t="n"/>
      <c r="E508" s="23" t="n"/>
      <c r="F508" s="15" t="n"/>
      <c r="G508" s="23" t="n"/>
      <c r="H508" s="25" t="n"/>
      <c r="I508" s="15" t="n"/>
      <c r="J508" s="26">
        <f>IF($A508="","",LEN($C508)-LEN(SUBSTITUTE($C508,",",""))+1)</f>
        <v/>
      </c>
      <c r="K508" s="26">
        <f>IF($A508="","",SUMPRODUCT(--ISNUMBER(SEARCH('Category Dictionary'!$D$5:$D$135&amp;"",$C508)),--('Category Dictionary'!$D$5:$D$135&lt;&gt;"")))</f>
        <v/>
      </c>
      <c r="L508" s="27">
        <f>IF($A508="","",TRIM(IF(ISERROR(FIND(",",$C508)),$C508,LEFT($C508,FIND(",",$C508)-1))))</f>
        <v/>
      </c>
      <c r="M508" s="28">
        <f>IF($H508="","",DATE(YEAR($H508),MONTH($H508),1))</f>
        <v/>
      </c>
      <c r="N508" s="26">
        <f>IF($H508="","",TODAY()-$H508)</f>
        <v/>
      </c>
      <c r="O508" s="15" t="n"/>
      <c r="P508" s="26">
        <f>IF($A508="","",COUNTIFS('Audit Versions'!$A$6:$A$605,$A508,'Audit Versions'!$L$6:$L$605,"Active"))</f>
        <v/>
      </c>
      <c r="Q508" s="15" t="n"/>
      <c r="R508" s="26">
        <f>IF(OR($A508="",$P508=0),"",MOD(N($Q508),$P508)+1)</f>
        <v/>
      </c>
      <c r="S508" s="15" t="n"/>
      <c r="T508" s="25" t="n"/>
      <c r="U508" s="26">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Builder'!$B$12="",N($S508)&lt;='Assignment Builder'!$B$12)))</f>
        <v/>
      </c>
      <c r="V508" s="23" t="n"/>
    </row>
    <row r="509">
      <c r="A509" s="23" t="n"/>
      <c r="B509" s="23" t="n"/>
      <c r="C509" s="24" t="n"/>
      <c r="D509" s="15" t="n"/>
      <c r="E509" s="23" t="n"/>
      <c r="F509" s="15" t="n"/>
      <c r="G509" s="23" t="n"/>
      <c r="H509" s="25" t="n"/>
      <c r="I509" s="15" t="n"/>
      <c r="J509" s="26">
        <f>IF($A509="","",LEN($C509)-LEN(SUBSTITUTE($C509,",",""))+1)</f>
        <v/>
      </c>
      <c r="K509" s="26">
        <f>IF($A509="","",SUMPRODUCT(--ISNUMBER(SEARCH('Category Dictionary'!$D$5:$D$135&amp;"",$C509)),--('Category Dictionary'!$D$5:$D$135&lt;&gt;"")))</f>
        <v/>
      </c>
      <c r="L509" s="27">
        <f>IF($A509="","",TRIM(IF(ISERROR(FIND(",",$C509)),$C509,LEFT($C509,FIND(",",$C509)-1))))</f>
        <v/>
      </c>
      <c r="M509" s="28">
        <f>IF($H509="","",DATE(YEAR($H509),MONTH($H509),1))</f>
        <v/>
      </c>
      <c r="N509" s="26">
        <f>IF($H509="","",TODAY()-$H509)</f>
        <v/>
      </c>
      <c r="O509" s="15" t="n"/>
      <c r="P509" s="26">
        <f>IF($A509="","",COUNTIFS('Audit Versions'!$A$6:$A$605,$A509,'Audit Versions'!$L$6:$L$605,"Active"))</f>
        <v/>
      </c>
      <c r="Q509" s="15" t="n"/>
      <c r="R509" s="26">
        <f>IF(OR($A509="",$P509=0),"",MOD(N($Q509),$P509)+1)</f>
        <v/>
      </c>
      <c r="S509" s="15" t="n"/>
      <c r="T509" s="25" t="n"/>
      <c r="U509" s="26">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Builder'!$B$12="",N($S509)&lt;='Assignment Builder'!$B$12)))</f>
        <v/>
      </c>
      <c r="V509" s="23" t="n"/>
    </row>
    <row r="510">
      <c r="A510" s="23" t="n"/>
      <c r="B510" s="23" t="n"/>
      <c r="C510" s="24" t="n"/>
      <c r="D510" s="15" t="n"/>
      <c r="E510" s="23" t="n"/>
      <c r="F510" s="15" t="n"/>
      <c r="G510" s="23" t="n"/>
      <c r="H510" s="25" t="n"/>
      <c r="I510" s="15" t="n"/>
      <c r="J510" s="26">
        <f>IF($A510="","",LEN($C510)-LEN(SUBSTITUTE($C510,",",""))+1)</f>
        <v/>
      </c>
      <c r="K510" s="26">
        <f>IF($A510="","",SUMPRODUCT(--ISNUMBER(SEARCH('Category Dictionary'!$D$5:$D$135&amp;"",$C510)),--('Category Dictionary'!$D$5:$D$135&lt;&gt;"")))</f>
        <v/>
      </c>
      <c r="L510" s="27">
        <f>IF($A510="","",TRIM(IF(ISERROR(FIND(",",$C510)),$C510,LEFT($C510,FIND(",",$C510)-1))))</f>
        <v/>
      </c>
      <c r="M510" s="28">
        <f>IF($H510="","",DATE(YEAR($H510),MONTH($H510),1))</f>
        <v/>
      </c>
      <c r="N510" s="26">
        <f>IF($H510="","",TODAY()-$H510)</f>
        <v/>
      </c>
      <c r="O510" s="15" t="n"/>
      <c r="P510" s="26">
        <f>IF($A510="","",COUNTIFS('Audit Versions'!$A$6:$A$605,$A510,'Audit Versions'!$L$6:$L$605,"Active"))</f>
        <v/>
      </c>
      <c r="Q510" s="15" t="n"/>
      <c r="R510" s="26">
        <f>IF(OR($A510="",$P510=0),"",MOD(N($Q510),$P510)+1)</f>
        <v/>
      </c>
      <c r="S510" s="15" t="n"/>
      <c r="T510" s="25" t="n"/>
      <c r="U510" s="26">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Builder'!$B$12="",N($S510)&lt;='Assignment Builder'!$B$12)))</f>
        <v/>
      </c>
      <c r="V510" s="23" t="n"/>
    </row>
    <row r="511">
      <c r="A511" s="23" t="n"/>
      <c r="B511" s="23" t="n"/>
      <c r="C511" s="24" t="n"/>
      <c r="D511" s="15" t="n"/>
      <c r="E511" s="23" t="n"/>
      <c r="F511" s="15" t="n"/>
      <c r="G511" s="23" t="n"/>
      <c r="H511" s="25" t="n"/>
      <c r="I511" s="15" t="n"/>
      <c r="J511" s="26">
        <f>IF($A511="","",LEN($C511)-LEN(SUBSTITUTE($C511,",",""))+1)</f>
        <v/>
      </c>
      <c r="K511" s="26">
        <f>IF($A511="","",SUMPRODUCT(--ISNUMBER(SEARCH('Category Dictionary'!$D$5:$D$135&amp;"",$C511)),--('Category Dictionary'!$D$5:$D$135&lt;&gt;"")))</f>
        <v/>
      </c>
      <c r="L511" s="27">
        <f>IF($A511="","",TRIM(IF(ISERROR(FIND(",",$C511)),$C511,LEFT($C511,FIND(",",$C511)-1))))</f>
        <v/>
      </c>
      <c r="M511" s="28">
        <f>IF($H511="","",DATE(YEAR($H511),MONTH($H511),1))</f>
        <v/>
      </c>
      <c r="N511" s="26">
        <f>IF($H511="","",TODAY()-$H511)</f>
        <v/>
      </c>
      <c r="O511" s="15" t="n"/>
      <c r="P511" s="26">
        <f>IF($A511="","",COUNTIFS('Audit Versions'!$A$6:$A$605,$A511,'Audit Versions'!$L$6:$L$605,"Active"))</f>
        <v/>
      </c>
      <c r="Q511" s="15" t="n"/>
      <c r="R511" s="26">
        <f>IF(OR($A511="",$P511=0),"",MOD(N($Q511),$P511)+1)</f>
        <v/>
      </c>
      <c r="S511" s="15" t="n"/>
      <c r="T511" s="25" t="n"/>
      <c r="U511" s="26">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Builder'!$B$12="",N($S511)&lt;='Assignment Builder'!$B$12)))</f>
        <v/>
      </c>
      <c r="V511" s="23" t="n"/>
    </row>
    <row r="512">
      <c r="A512" s="23" t="n"/>
      <c r="B512" s="23" t="n"/>
      <c r="C512" s="24" t="n"/>
      <c r="D512" s="15" t="n"/>
      <c r="E512" s="23" t="n"/>
      <c r="F512" s="15" t="n"/>
      <c r="G512" s="23" t="n"/>
      <c r="H512" s="25" t="n"/>
      <c r="I512" s="15" t="n"/>
      <c r="J512" s="26">
        <f>IF($A512="","",LEN($C512)-LEN(SUBSTITUTE($C512,",",""))+1)</f>
        <v/>
      </c>
      <c r="K512" s="26">
        <f>IF($A512="","",SUMPRODUCT(--ISNUMBER(SEARCH('Category Dictionary'!$D$5:$D$135&amp;"",$C512)),--('Category Dictionary'!$D$5:$D$135&lt;&gt;"")))</f>
        <v/>
      </c>
      <c r="L512" s="27">
        <f>IF($A512="","",TRIM(IF(ISERROR(FIND(",",$C512)),$C512,LEFT($C512,FIND(",",$C512)-1))))</f>
        <v/>
      </c>
      <c r="M512" s="28">
        <f>IF($H512="","",DATE(YEAR($H512),MONTH($H512),1))</f>
        <v/>
      </c>
      <c r="N512" s="26">
        <f>IF($H512="","",TODAY()-$H512)</f>
        <v/>
      </c>
      <c r="O512" s="15" t="n"/>
      <c r="P512" s="26">
        <f>IF($A512="","",COUNTIFS('Audit Versions'!$A$6:$A$605,$A512,'Audit Versions'!$L$6:$L$605,"Active"))</f>
        <v/>
      </c>
      <c r="Q512" s="15" t="n"/>
      <c r="R512" s="26">
        <f>IF(OR($A512="",$P512=0),"",MOD(N($Q512),$P512)+1)</f>
        <v/>
      </c>
      <c r="S512" s="15" t="n"/>
      <c r="T512" s="25" t="n"/>
      <c r="U512" s="26">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Builder'!$B$12="",N($S512)&lt;='Assignment Builder'!$B$12)))</f>
        <v/>
      </c>
      <c r="V512" s="23" t="n"/>
    </row>
    <row r="513">
      <c r="A513" s="23" t="n"/>
      <c r="B513" s="23" t="n"/>
      <c r="C513" s="24" t="n"/>
      <c r="D513" s="15" t="n"/>
      <c r="E513" s="23" t="n"/>
      <c r="F513" s="15" t="n"/>
      <c r="G513" s="23" t="n"/>
      <c r="H513" s="25" t="n"/>
      <c r="I513" s="15" t="n"/>
      <c r="J513" s="26">
        <f>IF($A513="","",LEN($C513)-LEN(SUBSTITUTE($C513,",",""))+1)</f>
        <v/>
      </c>
      <c r="K513" s="26">
        <f>IF($A513="","",SUMPRODUCT(--ISNUMBER(SEARCH('Category Dictionary'!$D$5:$D$135&amp;"",$C513)),--('Category Dictionary'!$D$5:$D$135&lt;&gt;"")))</f>
        <v/>
      </c>
      <c r="L513" s="27">
        <f>IF($A513="","",TRIM(IF(ISERROR(FIND(",",$C513)),$C513,LEFT($C513,FIND(",",$C513)-1))))</f>
        <v/>
      </c>
      <c r="M513" s="28">
        <f>IF($H513="","",DATE(YEAR($H513),MONTH($H513),1))</f>
        <v/>
      </c>
      <c r="N513" s="26">
        <f>IF($H513="","",TODAY()-$H513)</f>
        <v/>
      </c>
      <c r="O513" s="15" t="n"/>
      <c r="P513" s="26">
        <f>IF($A513="","",COUNTIFS('Audit Versions'!$A$6:$A$605,$A513,'Audit Versions'!$L$6:$L$605,"Active"))</f>
        <v/>
      </c>
      <c r="Q513" s="15" t="n"/>
      <c r="R513" s="26">
        <f>IF(OR($A513="",$P513=0),"",MOD(N($Q513),$P513)+1)</f>
        <v/>
      </c>
      <c r="S513" s="15" t="n"/>
      <c r="T513" s="25" t="n"/>
      <c r="U513" s="26">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Builder'!$B$12="",N($S513)&lt;='Assignment Builder'!$B$12)))</f>
        <v/>
      </c>
      <c r="V513" s="23" t="n"/>
    </row>
    <row r="514">
      <c r="A514" s="23" t="n"/>
      <c r="B514" s="23" t="n"/>
      <c r="C514" s="24" t="n"/>
      <c r="D514" s="15" t="n"/>
      <c r="E514" s="23" t="n"/>
      <c r="F514" s="15" t="n"/>
      <c r="G514" s="23" t="n"/>
      <c r="H514" s="25" t="n"/>
      <c r="I514" s="15" t="n"/>
      <c r="J514" s="26">
        <f>IF($A514="","",LEN($C514)-LEN(SUBSTITUTE($C514,",",""))+1)</f>
        <v/>
      </c>
      <c r="K514" s="26">
        <f>IF($A514="","",SUMPRODUCT(--ISNUMBER(SEARCH('Category Dictionary'!$D$5:$D$135&amp;"",$C514)),--('Category Dictionary'!$D$5:$D$135&lt;&gt;"")))</f>
        <v/>
      </c>
      <c r="L514" s="27">
        <f>IF($A514="","",TRIM(IF(ISERROR(FIND(",",$C514)),$C514,LEFT($C514,FIND(",",$C514)-1))))</f>
        <v/>
      </c>
      <c r="M514" s="28">
        <f>IF($H514="","",DATE(YEAR($H514),MONTH($H514),1))</f>
        <v/>
      </c>
      <c r="N514" s="26">
        <f>IF($H514="","",TODAY()-$H514)</f>
        <v/>
      </c>
      <c r="O514" s="15" t="n"/>
      <c r="P514" s="26">
        <f>IF($A514="","",COUNTIFS('Audit Versions'!$A$6:$A$605,$A514,'Audit Versions'!$L$6:$L$605,"Active"))</f>
        <v/>
      </c>
      <c r="Q514" s="15" t="n"/>
      <c r="R514" s="26">
        <f>IF(OR($A514="",$P514=0),"",MOD(N($Q514),$P514)+1)</f>
        <v/>
      </c>
      <c r="S514" s="15" t="n"/>
      <c r="T514" s="25" t="n"/>
      <c r="U514" s="26">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Builder'!$B$12="",N($S514)&lt;='Assignment Builder'!$B$12)))</f>
        <v/>
      </c>
      <c r="V514" s="23" t="n"/>
    </row>
    <row r="515">
      <c r="A515" s="23" t="n"/>
      <c r="B515" s="23" t="n"/>
      <c r="C515" s="24" t="n"/>
      <c r="D515" s="15" t="n"/>
      <c r="E515" s="23" t="n"/>
      <c r="F515" s="15" t="n"/>
      <c r="G515" s="23" t="n"/>
      <c r="H515" s="25" t="n"/>
      <c r="I515" s="15" t="n"/>
      <c r="J515" s="26">
        <f>IF($A515="","",LEN($C515)-LEN(SUBSTITUTE($C515,",",""))+1)</f>
        <v/>
      </c>
      <c r="K515" s="26">
        <f>IF($A515="","",SUMPRODUCT(--ISNUMBER(SEARCH('Category Dictionary'!$D$5:$D$135&amp;"",$C515)),--('Category Dictionary'!$D$5:$D$135&lt;&gt;"")))</f>
        <v/>
      </c>
      <c r="L515" s="27">
        <f>IF($A515="","",TRIM(IF(ISERROR(FIND(",",$C515)),$C515,LEFT($C515,FIND(",",$C515)-1))))</f>
        <v/>
      </c>
      <c r="M515" s="28">
        <f>IF($H515="","",DATE(YEAR($H515),MONTH($H515),1))</f>
        <v/>
      </c>
      <c r="N515" s="26">
        <f>IF($H515="","",TODAY()-$H515)</f>
        <v/>
      </c>
      <c r="O515" s="15" t="n"/>
      <c r="P515" s="26">
        <f>IF($A515="","",COUNTIFS('Audit Versions'!$A$6:$A$605,$A515,'Audit Versions'!$L$6:$L$605,"Active"))</f>
        <v/>
      </c>
      <c r="Q515" s="15" t="n"/>
      <c r="R515" s="26">
        <f>IF(OR($A515="",$P515=0),"",MOD(N($Q515),$P515)+1)</f>
        <v/>
      </c>
      <c r="S515" s="15" t="n"/>
      <c r="T515" s="25" t="n"/>
      <c r="U515" s="26">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Builder'!$B$12="",N($S515)&lt;='Assignment Builder'!$B$12)))</f>
        <v/>
      </c>
      <c r="V515" s="23" t="n"/>
    </row>
    <row r="516">
      <c r="A516" s="23" t="n"/>
      <c r="B516" s="23" t="n"/>
      <c r="C516" s="24" t="n"/>
      <c r="D516" s="15" t="n"/>
      <c r="E516" s="23" t="n"/>
      <c r="F516" s="15" t="n"/>
      <c r="G516" s="23" t="n"/>
      <c r="H516" s="25" t="n"/>
      <c r="I516" s="15" t="n"/>
      <c r="J516" s="26">
        <f>IF($A516="","",LEN($C516)-LEN(SUBSTITUTE($C516,",",""))+1)</f>
        <v/>
      </c>
      <c r="K516" s="26">
        <f>IF($A516="","",SUMPRODUCT(--ISNUMBER(SEARCH('Category Dictionary'!$D$5:$D$135&amp;"",$C516)),--('Category Dictionary'!$D$5:$D$135&lt;&gt;"")))</f>
        <v/>
      </c>
      <c r="L516" s="27">
        <f>IF($A516="","",TRIM(IF(ISERROR(FIND(",",$C516)),$C516,LEFT($C516,FIND(",",$C516)-1))))</f>
        <v/>
      </c>
      <c r="M516" s="28">
        <f>IF($H516="","",DATE(YEAR($H516),MONTH($H516),1))</f>
        <v/>
      </c>
      <c r="N516" s="26">
        <f>IF($H516="","",TODAY()-$H516)</f>
        <v/>
      </c>
      <c r="O516" s="15" t="n"/>
      <c r="P516" s="26">
        <f>IF($A516="","",COUNTIFS('Audit Versions'!$A$6:$A$605,$A516,'Audit Versions'!$L$6:$L$605,"Active"))</f>
        <v/>
      </c>
      <c r="Q516" s="15" t="n"/>
      <c r="R516" s="26">
        <f>IF(OR($A516="",$P516=0),"",MOD(N($Q516),$P516)+1)</f>
        <v/>
      </c>
      <c r="S516" s="15" t="n"/>
      <c r="T516" s="25" t="n"/>
      <c r="U516" s="26">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Builder'!$B$12="",N($S516)&lt;='Assignment Builder'!$B$12)))</f>
        <v/>
      </c>
      <c r="V516" s="23" t="n"/>
    </row>
    <row r="517">
      <c r="A517" s="23" t="n"/>
      <c r="B517" s="23" t="n"/>
      <c r="C517" s="24" t="n"/>
      <c r="D517" s="15" t="n"/>
      <c r="E517" s="23" t="n"/>
      <c r="F517" s="15" t="n"/>
      <c r="G517" s="23" t="n"/>
      <c r="H517" s="25" t="n"/>
      <c r="I517" s="15" t="n"/>
      <c r="J517" s="26">
        <f>IF($A517="","",LEN($C517)-LEN(SUBSTITUTE($C517,",",""))+1)</f>
        <v/>
      </c>
      <c r="K517" s="26">
        <f>IF($A517="","",SUMPRODUCT(--ISNUMBER(SEARCH('Category Dictionary'!$D$5:$D$135&amp;"",$C517)),--('Category Dictionary'!$D$5:$D$135&lt;&gt;"")))</f>
        <v/>
      </c>
      <c r="L517" s="27">
        <f>IF($A517="","",TRIM(IF(ISERROR(FIND(",",$C517)),$C517,LEFT($C517,FIND(",",$C517)-1))))</f>
        <v/>
      </c>
      <c r="M517" s="28">
        <f>IF($H517="","",DATE(YEAR($H517),MONTH($H517),1))</f>
        <v/>
      </c>
      <c r="N517" s="26">
        <f>IF($H517="","",TODAY()-$H517)</f>
        <v/>
      </c>
      <c r="O517" s="15" t="n"/>
      <c r="P517" s="26">
        <f>IF($A517="","",COUNTIFS('Audit Versions'!$A$6:$A$605,$A517,'Audit Versions'!$L$6:$L$605,"Active"))</f>
        <v/>
      </c>
      <c r="Q517" s="15" t="n"/>
      <c r="R517" s="26">
        <f>IF(OR($A517="",$P517=0),"",MOD(N($Q517),$P517)+1)</f>
        <v/>
      </c>
      <c r="S517" s="15" t="n"/>
      <c r="T517" s="25" t="n"/>
      <c r="U517" s="26">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Builder'!$B$12="",N($S517)&lt;='Assignment Builder'!$B$12)))</f>
        <v/>
      </c>
      <c r="V517" s="23" t="n"/>
    </row>
    <row r="518">
      <c r="A518" s="23" t="n"/>
      <c r="B518" s="23" t="n"/>
      <c r="C518" s="24" t="n"/>
      <c r="D518" s="15" t="n"/>
      <c r="E518" s="23" t="n"/>
      <c r="F518" s="15" t="n"/>
      <c r="G518" s="23" t="n"/>
      <c r="H518" s="25" t="n"/>
      <c r="I518" s="15" t="n"/>
      <c r="J518" s="26">
        <f>IF($A518="","",LEN($C518)-LEN(SUBSTITUTE($C518,",",""))+1)</f>
        <v/>
      </c>
      <c r="K518" s="26">
        <f>IF($A518="","",SUMPRODUCT(--ISNUMBER(SEARCH('Category Dictionary'!$D$5:$D$135&amp;"",$C518)),--('Category Dictionary'!$D$5:$D$135&lt;&gt;"")))</f>
        <v/>
      </c>
      <c r="L518" s="27">
        <f>IF($A518="","",TRIM(IF(ISERROR(FIND(",",$C518)),$C518,LEFT($C518,FIND(",",$C518)-1))))</f>
        <v/>
      </c>
      <c r="M518" s="28">
        <f>IF($H518="","",DATE(YEAR($H518),MONTH($H518),1))</f>
        <v/>
      </c>
      <c r="N518" s="26">
        <f>IF($H518="","",TODAY()-$H518)</f>
        <v/>
      </c>
      <c r="O518" s="15" t="n"/>
      <c r="P518" s="26">
        <f>IF($A518="","",COUNTIFS('Audit Versions'!$A$6:$A$605,$A518,'Audit Versions'!$L$6:$L$605,"Active"))</f>
        <v/>
      </c>
      <c r="Q518" s="15" t="n"/>
      <c r="R518" s="26">
        <f>IF(OR($A518="",$P518=0),"",MOD(N($Q518),$P518)+1)</f>
        <v/>
      </c>
      <c r="S518" s="15" t="n"/>
      <c r="T518" s="25" t="n"/>
      <c r="U518" s="26">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Builder'!$B$12="",N($S518)&lt;='Assignment Builder'!$B$12)))</f>
        <v/>
      </c>
      <c r="V518" s="23" t="n"/>
    </row>
    <row r="519">
      <c r="A519" s="23" t="n"/>
      <c r="B519" s="23" t="n"/>
      <c r="C519" s="24" t="n"/>
      <c r="D519" s="15" t="n"/>
      <c r="E519" s="23" t="n"/>
      <c r="F519" s="15" t="n"/>
      <c r="G519" s="23" t="n"/>
      <c r="H519" s="25" t="n"/>
      <c r="I519" s="15" t="n"/>
      <c r="J519" s="26">
        <f>IF($A519="","",LEN($C519)-LEN(SUBSTITUTE($C519,",",""))+1)</f>
        <v/>
      </c>
      <c r="K519" s="26">
        <f>IF($A519="","",SUMPRODUCT(--ISNUMBER(SEARCH('Category Dictionary'!$D$5:$D$135&amp;"",$C519)),--('Category Dictionary'!$D$5:$D$135&lt;&gt;"")))</f>
        <v/>
      </c>
      <c r="L519" s="27">
        <f>IF($A519="","",TRIM(IF(ISERROR(FIND(",",$C519)),$C519,LEFT($C519,FIND(",",$C519)-1))))</f>
        <v/>
      </c>
      <c r="M519" s="28">
        <f>IF($H519="","",DATE(YEAR($H519),MONTH($H519),1))</f>
        <v/>
      </c>
      <c r="N519" s="26">
        <f>IF($H519="","",TODAY()-$H519)</f>
        <v/>
      </c>
      <c r="O519" s="15" t="n"/>
      <c r="P519" s="26">
        <f>IF($A519="","",COUNTIFS('Audit Versions'!$A$6:$A$605,$A519,'Audit Versions'!$L$6:$L$605,"Active"))</f>
        <v/>
      </c>
      <c r="Q519" s="15" t="n"/>
      <c r="R519" s="26">
        <f>IF(OR($A519="",$P519=0),"",MOD(N($Q519),$P519)+1)</f>
        <v/>
      </c>
      <c r="S519" s="15" t="n"/>
      <c r="T519" s="25" t="n"/>
      <c r="U519" s="26">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Builder'!$B$12="",N($S519)&lt;='Assignment Builder'!$B$12)))</f>
        <v/>
      </c>
      <c r="V519" s="23" t="n"/>
    </row>
    <row r="520">
      <c r="A520" s="23" t="n"/>
      <c r="B520" s="23" t="n"/>
      <c r="C520" s="24" t="n"/>
      <c r="D520" s="15" t="n"/>
      <c r="E520" s="23" t="n"/>
      <c r="F520" s="15" t="n"/>
      <c r="G520" s="23" t="n"/>
      <c r="H520" s="25" t="n"/>
      <c r="I520" s="15" t="n"/>
      <c r="J520" s="26">
        <f>IF($A520="","",LEN($C520)-LEN(SUBSTITUTE($C520,",",""))+1)</f>
        <v/>
      </c>
      <c r="K520" s="26">
        <f>IF($A520="","",SUMPRODUCT(--ISNUMBER(SEARCH('Category Dictionary'!$D$5:$D$135&amp;"",$C520)),--('Category Dictionary'!$D$5:$D$135&lt;&gt;"")))</f>
        <v/>
      </c>
      <c r="L520" s="27">
        <f>IF($A520="","",TRIM(IF(ISERROR(FIND(",",$C520)),$C520,LEFT($C520,FIND(",",$C520)-1))))</f>
        <v/>
      </c>
      <c r="M520" s="28">
        <f>IF($H520="","",DATE(YEAR($H520),MONTH($H520),1))</f>
        <v/>
      </c>
      <c r="N520" s="26">
        <f>IF($H520="","",TODAY()-$H520)</f>
        <v/>
      </c>
      <c r="O520" s="15" t="n"/>
      <c r="P520" s="26">
        <f>IF($A520="","",COUNTIFS('Audit Versions'!$A$6:$A$605,$A520,'Audit Versions'!$L$6:$L$605,"Active"))</f>
        <v/>
      </c>
      <c r="Q520" s="15" t="n"/>
      <c r="R520" s="26">
        <f>IF(OR($A520="",$P520=0),"",MOD(N($Q520),$P520)+1)</f>
        <v/>
      </c>
      <c r="S520" s="15" t="n"/>
      <c r="T520" s="25" t="n"/>
      <c r="U520" s="26">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Builder'!$B$12="",N($S520)&lt;='Assignment Builder'!$B$12)))</f>
        <v/>
      </c>
      <c r="V520" s="23" t="n"/>
    </row>
    <row r="521">
      <c r="A521" s="23" t="n"/>
      <c r="B521" s="23" t="n"/>
      <c r="C521" s="24" t="n"/>
      <c r="D521" s="15" t="n"/>
      <c r="E521" s="23" t="n"/>
      <c r="F521" s="15" t="n"/>
      <c r="G521" s="23" t="n"/>
      <c r="H521" s="25" t="n"/>
      <c r="I521" s="15" t="n"/>
      <c r="J521" s="26">
        <f>IF($A521="","",LEN($C521)-LEN(SUBSTITUTE($C521,",",""))+1)</f>
        <v/>
      </c>
      <c r="K521" s="26">
        <f>IF($A521="","",SUMPRODUCT(--ISNUMBER(SEARCH('Category Dictionary'!$D$5:$D$135&amp;"",$C521)),--('Category Dictionary'!$D$5:$D$135&lt;&gt;"")))</f>
        <v/>
      </c>
      <c r="L521" s="27">
        <f>IF($A521="","",TRIM(IF(ISERROR(FIND(",",$C521)),$C521,LEFT($C521,FIND(",",$C521)-1))))</f>
        <v/>
      </c>
      <c r="M521" s="28">
        <f>IF($H521="","",DATE(YEAR($H521),MONTH($H521),1))</f>
        <v/>
      </c>
      <c r="N521" s="26">
        <f>IF($H521="","",TODAY()-$H521)</f>
        <v/>
      </c>
      <c r="O521" s="15" t="n"/>
      <c r="P521" s="26">
        <f>IF($A521="","",COUNTIFS('Audit Versions'!$A$6:$A$605,$A521,'Audit Versions'!$L$6:$L$605,"Active"))</f>
        <v/>
      </c>
      <c r="Q521" s="15" t="n"/>
      <c r="R521" s="26">
        <f>IF(OR($A521="",$P521=0),"",MOD(N($Q521),$P521)+1)</f>
        <v/>
      </c>
      <c r="S521" s="15" t="n"/>
      <c r="T521" s="25" t="n"/>
      <c r="U521" s="26">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Builder'!$B$12="",N($S521)&lt;='Assignment Builder'!$B$12)))</f>
        <v/>
      </c>
      <c r="V521" s="23" t="n"/>
    </row>
    <row r="522">
      <c r="A522" s="23" t="n"/>
      <c r="B522" s="23" t="n"/>
      <c r="C522" s="24" t="n"/>
      <c r="D522" s="15" t="n"/>
      <c r="E522" s="23" t="n"/>
      <c r="F522" s="15" t="n"/>
      <c r="G522" s="23" t="n"/>
      <c r="H522" s="25" t="n"/>
      <c r="I522" s="15" t="n"/>
      <c r="J522" s="26">
        <f>IF($A522="","",LEN($C522)-LEN(SUBSTITUTE($C522,",",""))+1)</f>
        <v/>
      </c>
      <c r="K522" s="26">
        <f>IF($A522="","",SUMPRODUCT(--ISNUMBER(SEARCH('Category Dictionary'!$D$5:$D$135&amp;"",$C522)),--('Category Dictionary'!$D$5:$D$135&lt;&gt;"")))</f>
        <v/>
      </c>
      <c r="L522" s="27">
        <f>IF($A522="","",TRIM(IF(ISERROR(FIND(",",$C522)),$C522,LEFT($C522,FIND(",",$C522)-1))))</f>
        <v/>
      </c>
      <c r="M522" s="28">
        <f>IF($H522="","",DATE(YEAR($H522),MONTH($H522),1))</f>
        <v/>
      </c>
      <c r="N522" s="26">
        <f>IF($H522="","",TODAY()-$H522)</f>
        <v/>
      </c>
      <c r="O522" s="15" t="n"/>
      <c r="P522" s="26">
        <f>IF($A522="","",COUNTIFS('Audit Versions'!$A$6:$A$605,$A522,'Audit Versions'!$L$6:$L$605,"Active"))</f>
        <v/>
      </c>
      <c r="Q522" s="15" t="n"/>
      <c r="R522" s="26">
        <f>IF(OR($A522="",$P522=0),"",MOD(N($Q522),$P522)+1)</f>
        <v/>
      </c>
      <c r="S522" s="15" t="n"/>
      <c r="T522" s="25" t="n"/>
      <c r="U522" s="26">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Builder'!$B$12="",N($S522)&lt;='Assignment Builder'!$B$12)))</f>
        <v/>
      </c>
      <c r="V522" s="23" t="n"/>
    </row>
    <row r="523">
      <c r="A523" s="23" t="n"/>
      <c r="B523" s="23" t="n"/>
      <c r="C523" s="24" t="n"/>
      <c r="D523" s="15" t="n"/>
      <c r="E523" s="23" t="n"/>
      <c r="F523" s="15" t="n"/>
      <c r="G523" s="23" t="n"/>
      <c r="H523" s="25" t="n"/>
      <c r="I523" s="15" t="n"/>
      <c r="J523" s="26">
        <f>IF($A523="","",LEN($C523)-LEN(SUBSTITUTE($C523,",",""))+1)</f>
        <v/>
      </c>
      <c r="K523" s="26">
        <f>IF($A523="","",SUMPRODUCT(--ISNUMBER(SEARCH('Category Dictionary'!$D$5:$D$135&amp;"",$C523)),--('Category Dictionary'!$D$5:$D$135&lt;&gt;"")))</f>
        <v/>
      </c>
      <c r="L523" s="27">
        <f>IF($A523="","",TRIM(IF(ISERROR(FIND(",",$C523)),$C523,LEFT($C523,FIND(",",$C523)-1))))</f>
        <v/>
      </c>
      <c r="M523" s="28">
        <f>IF($H523="","",DATE(YEAR($H523),MONTH($H523),1))</f>
        <v/>
      </c>
      <c r="N523" s="26">
        <f>IF($H523="","",TODAY()-$H523)</f>
        <v/>
      </c>
      <c r="O523" s="15" t="n"/>
      <c r="P523" s="26">
        <f>IF($A523="","",COUNTIFS('Audit Versions'!$A$6:$A$605,$A523,'Audit Versions'!$L$6:$L$605,"Active"))</f>
        <v/>
      </c>
      <c r="Q523" s="15" t="n"/>
      <c r="R523" s="26">
        <f>IF(OR($A523="",$P523=0),"",MOD(N($Q523),$P523)+1)</f>
        <v/>
      </c>
      <c r="S523" s="15" t="n"/>
      <c r="T523" s="25" t="n"/>
      <c r="U523" s="26">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Builder'!$B$12="",N($S523)&lt;='Assignment Builder'!$B$12)))</f>
        <v/>
      </c>
      <c r="V523" s="23" t="n"/>
    </row>
    <row r="524">
      <c r="A524" s="23" t="n"/>
      <c r="B524" s="23" t="n"/>
      <c r="C524" s="24" t="n"/>
      <c r="D524" s="15" t="n"/>
      <c r="E524" s="23" t="n"/>
      <c r="F524" s="15" t="n"/>
      <c r="G524" s="23" t="n"/>
      <c r="H524" s="25" t="n"/>
      <c r="I524" s="15" t="n"/>
      <c r="J524" s="26">
        <f>IF($A524="","",LEN($C524)-LEN(SUBSTITUTE($C524,",",""))+1)</f>
        <v/>
      </c>
      <c r="K524" s="26">
        <f>IF($A524="","",SUMPRODUCT(--ISNUMBER(SEARCH('Category Dictionary'!$D$5:$D$135&amp;"",$C524)),--('Category Dictionary'!$D$5:$D$135&lt;&gt;"")))</f>
        <v/>
      </c>
      <c r="L524" s="27">
        <f>IF($A524="","",TRIM(IF(ISERROR(FIND(",",$C524)),$C524,LEFT($C524,FIND(",",$C524)-1))))</f>
        <v/>
      </c>
      <c r="M524" s="28">
        <f>IF($H524="","",DATE(YEAR($H524),MONTH($H524),1))</f>
        <v/>
      </c>
      <c r="N524" s="26">
        <f>IF($H524="","",TODAY()-$H524)</f>
        <v/>
      </c>
      <c r="O524" s="15" t="n"/>
      <c r="P524" s="26">
        <f>IF($A524="","",COUNTIFS('Audit Versions'!$A$6:$A$605,$A524,'Audit Versions'!$L$6:$L$605,"Active"))</f>
        <v/>
      </c>
      <c r="Q524" s="15" t="n"/>
      <c r="R524" s="26">
        <f>IF(OR($A524="",$P524=0),"",MOD(N($Q524),$P524)+1)</f>
        <v/>
      </c>
      <c r="S524" s="15" t="n"/>
      <c r="T524" s="25" t="n"/>
      <c r="U524" s="26">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Builder'!$B$12="",N($S524)&lt;='Assignment Builder'!$B$12)))</f>
        <v/>
      </c>
      <c r="V524" s="23" t="n"/>
    </row>
    <row r="525">
      <c r="A525" s="23" t="n"/>
      <c r="B525" s="23" t="n"/>
      <c r="C525" s="24" t="n"/>
      <c r="D525" s="15" t="n"/>
      <c r="E525" s="23" t="n"/>
      <c r="F525" s="15" t="n"/>
      <c r="G525" s="23" t="n"/>
      <c r="H525" s="25" t="n"/>
      <c r="I525" s="15" t="n"/>
      <c r="J525" s="26">
        <f>IF($A525="","",LEN($C525)-LEN(SUBSTITUTE($C525,",",""))+1)</f>
        <v/>
      </c>
      <c r="K525" s="26">
        <f>IF($A525="","",SUMPRODUCT(--ISNUMBER(SEARCH('Category Dictionary'!$D$5:$D$135&amp;"",$C525)),--('Category Dictionary'!$D$5:$D$135&lt;&gt;"")))</f>
        <v/>
      </c>
      <c r="L525" s="27">
        <f>IF($A525="","",TRIM(IF(ISERROR(FIND(",",$C525)),$C525,LEFT($C525,FIND(",",$C525)-1))))</f>
        <v/>
      </c>
      <c r="M525" s="28">
        <f>IF($H525="","",DATE(YEAR($H525),MONTH($H525),1))</f>
        <v/>
      </c>
      <c r="N525" s="26">
        <f>IF($H525="","",TODAY()-$H525)</f>
        <v/>
      </c>
      <c r="O525" s="15" t="n"/>
      <c r="P525" s="26">
        <f>IF($A525="","",COUNTIFS('Audit Versions'!$A$6:$A$605,$A525,'Audit Versions'!$L$6:$L$605,"Active"))</f>
        <v/>
      </c>
      <c r="Q525" s="15" t="n"/>
      <c r="R525" s="26">
        <f>IF(OR($A525="",$P525=0),"",MOD(N($Q525),$P525)+1)</f>
        <v/>
      </c>
      <c r="S525" s="15" t="n"/>
      <c r="T525" s="25" t="n"/>
      <c r="U525" s="26">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Builder'!$B$12="",N($S525)&lt;='Assignment Builder'!$B$12)))</f>
        <v/>
      </c>
      <c r="V525" s="23" t="n"/>
    </row>
    <row r="526">
      <c r="A526" s="23" t="n"/>
      <c r="B526" s="23" t="n"/>
      <c r="C526" s="24" t="n"/>
      <c r="D526" s="15" t="n"/>
      <c r="E526" s="23" t="n"/>
      <c r="F526" s="15" t="n"/>
      <c r="G526" s="23" t="n"/>
      <c r="H526" s="25" t="n"/>
      <c r="I526" s="15" t="n"/>
      <c r="J526" s="26">
        <f>IF($A526="","",LEN($C526)-LEN(SUBSTITUTE($C526,",",""))+1)</f>
        <v/>
      </c>
      <c r="K526" s="26">
        <f>IF($A526="","",SUMPRODUCT(--ISNUMBER(SEARCH('Category Dictionary'!$D$5:$D$135&amp;"",$C526)),--('Category Dictionary'!$D$5:$D$135&lt;&gt;"")))</f>
        <v/>
      </c>
      <c r="L526" s="27">
        <f>IF($A526="","",TRIM(IF(ISERROR(FIND(",",$C526)),$C526,LEFT($C526,FIND(",",$C526)-1))))</f>
        <v/>
      </c>
      <c r="M526" s="28">
        <f>IF($H526="","",DATE(YEAR($H526),MONTH($H526),1))</f>
        <v/>
      </c>
      <c r="N526" s="26">
        <f>IF($H526="","",TODAY()-$H526)</f>
        <v/>
      </c>
      <c r="O526" s="15" t="n"/>
      <c r="P526" s="26">
        <f>IF($A526="","",COUNTIFS('Audit Versions'!$A$6:$A$605,$A526,'Audit Versions'!$L$6:$L$605,"Active"))</f>
        <v/>
      </c>
      <c r="Q526" s="15" t="n"/>
      <c r="R526" s="26">
        <f>IF(OR($A526="",$P526=0),"",MOD(N($Q526),$P526)+1)</f>
        <v/>
      </c>
      <c r="S526" s="15" t="n"/>
      <c r="T526" s="25" t="n"/>
      <c r="U526" s="26">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Builder'!$B$12="",N($S526)&lt;='Assignment Builder'!$B$12)))</f>
        <v/>
      </c>
      <c r="V526" s="23" t="n"/>
    </row>
    <row r="527">
      <c r="A527" s="23" t="n"/>
      <c r="B527" s="23" t="n"/>
      <c r="C527" s="24" t="n"/>
      <c r="D527" s="15" t="n"/>
      <c r="E527" s="23" t="n"/>
      <c r="F527" s="15" t="n"/>
      <c r="G527" s="23" t="n"/>
      <c r="H527" s="25" t="n"/>
      <c r="I527" s="15" t="n"/>
      <c r="J527" s="26">
        <f>IF($A527="","",LEN($C527)-LEN(SUBSTITUTE($C527,",",""))+1)</f>
        <v/>
      </c>
      <c r="K527" s="26">
        <f>IF($A527="","",SUMPRODUCT(--ISNUMBER(SEARCH('Category Dictionary'!$D$5:$D$135&amp;"",$C527)),--('Category Dictionary'!$D$5:$D$135&lt;&gt;"")))</f>
        <v/>
      </c>
      <c r="L527" s="27">
        <f>IF($A527="","",TRIM(IF(ISERROR(FIND(",",$C527)),$C527,LEFT($C527,FIND(",",$C527)-1))))</f>
        <v/>
      </c>
      <c r="M527" s="28">
        <f>IF($H527="","",DATE(YEAR($H527),MONTH($H527),1))</f>
        <v/>
      </c>
      <c r="N527" s="26">
        <f>IF($H527="","",TODAY()-$H527)</f>
        <v/>
      </c>
      <c r="O527" s="15" t="n"/>
      <c r="P527" s="26">
        <f>IF($A527="","",COUNTIFS('Audit Versions'!$A$6:$A$605,$A527,'Audit Versions'!$L$6:$L$605,"Active"))</f>
        <v/>
      </c>
      <c r="Q527" s="15" t="n"/>
      <c r="R527" s="26">
        <f>IF(OR($A527="",$P527=0),"",MOD(N($Q527),$P527)+1)</f>
        <v/>
      </c>
      <c r="S527" s="15" t="n"/>
      <c r="T527" s="25" t="n"/>
      <c r="U527" s="26">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Builder'!$B$12="",N($S527)&lt;='Assignment Builder'!$B$12)))</f>
        <v/>
      </c>
      <c r="V527" s="23" t="n"/>
    </row>
    <row r="528">
      <c r="A528" s="23" t="n"/>
      <c r="B528" s="23" t="n"/>
      <c r="C528" s="24" t="n"/>
      <c r="D528" s="15" t="n"/>
      <c r="E528" s="23" t="n"/>
      <c r="F528" s="15" t="n"/>
      <c r="G528" s="23" t="n"/>
      <c r="H528" s="25" t="n"/>
      <c r="I528" s="15" t="n"/>
      <c r="J528" s="26">
        <f>IF($A528="","",LEN($C528)-LEN(SUBSTITUTE($C528,",",""))+1)</f>
        <v/>
      </c>
      <c r="K528" s="26">
        <f>IF($A528="","",SUMPRODUCT(--ISNUMBER(SEARCH('Category Dictionary'!$D$5:$D$135&amp;"",$C528)),--('Category Dictionary'!$D$5:$D$135&lt;&gt;"")))</f>
        <v/>
      </c>
      <c r="L528" s="27">
        <f>IF($A528="","",TRIM(IF(ISERROR(FIND(",",$C528)),$C528,LEFT($C528,FIND(",",$C528)-1))))</f>
        <v/>
      </c>
      <c r="M528" s="28">
        <f>IF($H528="","",DATE(YEAR($H528),MONTH($H528),1))</f>
        <v/>
      </c>
      <c r="N528" s="26">
        <f>IF($H528="","",TODAY()-$H528)</f>
        <v/>
      </c>
      <c r="O528" s="15" t="n"/>
      <c r="P528" s="26">
        <f>IF($A528="","",COUNTIFS('Audit Versions'!$A$6:$A$605,$A528,'Audit Versions'!$L$6:$L$605,"Active"))</f>
        <v/>
      </c>
      <c r="Q528" s="15" t="n"/>
      <c r="R528" s="26">
        <f>IF(OR($A528="",$P528=0),"",MOD(N($Q528),$P528)+1)</f>
        <v/>
      </c>
      <c r="S528" s="15" t="n"/>
      <c r="T528" s="25" t="n"/>
      <c r="U528" s="26">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Builder'!$B$12="",N($S528)&lt;='Assignment Builder'!$B$12)))</f>
        <v/>
      </c>
      <c r="V528" s="23" t="n"/>
    </row>
    <row r="529">
      <c r="A529" s="23" t="n"/>
      <c r="B529" s="23" t="n"/>
      <c r="C529" s="24" t="n"/>
      <c r="D529" s="15" t="n"/>
      <c r="E529" s="23" t="n"/>
      <c r="F529" s="15" t="n"/>
      <c r="G529" s="23" t="n"/>
      <c r="H529" s="25" t="n"/>
      <c r="I529" s="15" t="n"/>
      <c r="J529" s="26">
        <f>IF($A529="","",LEN($C529)-LEN(SUBSTITUTE($C529,",",""))+1)</f>
        <v/>
      </c>
      <c r="K529" s="26">
        <f>IF($A529="","",SUMPRODUCT(--ISNUMBER(SEARCH('Category Dictionary'!$D$5:$D$135&amp;"",$C529)),--('Category Dictionary'!$D$5:$D$135&lt;&gt;"")))</f>
        <v/>
      </c>
      <c r="L529" s="27">
        <f>IF($A529="","",TRIM(IF(ISERROR(FIND(",",$C529)),$C529,LEFT($C529,FIND(",",$C529)-1))))</f>
        <v/>
      </c>
      <c r="M529" s="28">
        <f>IF($H529="","",DATE(YEAR($H529),MONTH($H529),1))</f>
        <v/>
      </c>
      <c r="N529" s="26">
        <f>IF($H529="","",TODAY()-$H529)</f>
        <v/>
      </c>
      <c r="O529" s="15" t="n"/>
      <c r="P529" s="26">
        <f>IF($A529="","",COUNTIFS('Audit Versions'!$A$6:$A$605,$A529,'Audit Versions'!$L$6:$L$605,"Active"))</f>
        <v/>
      </c>
      <c r="Q529" s="15" t="n"/>
      <c r="R529" s="26">
        <f>IF(OR($A529="",$P529=0),"",MOD(N($Q529),$P529)+1)</f>
        <v/>
      </c>
      <c r="S529" s="15" t="n"/>
      <c r="T529" s="25" t="n"/>
      <c r="U529" s="26">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Builder'!$B$12="",N($S529)&lt;='Assignment Builder'!$B$12)))</f>
        <v/>
      </c>
      <c r="V529" s="23" t="n"/>
    </row>
    <row r="530">
      <c r="A530" s="23" t="n"/>
      <c r="B530" s="23" t="n"/>
      <c r="C530" s="24" t="n"/>
      <c r="D530" s="15" t="n"/>
      <c r="E530" s="23" t="n"/>
      <c r="F530" s="15" t="n"/>
      <c r="G530" s="23" t="n"/>
      <c r="H530" s="25" t="n"/>
      <c r="I530" s="15" t="n"/>
      <c r="J530" s="26">
        <f>IF($A530="","",LEN($C530)-LEN(SUBSTITUTE($C530,",",""))+1)</f>
        <v/>
      </c>
      <c r="K530" s="26">
        <f>IF($A530="","",SUMPRODUCT(--ISNUMBER(SEARCH('Category Dictionary'!$D$5:$D$135&amp;"",$C530)),--('Category Dictionary'!$D$5:$D$135&lt;&gt;"")))</f>
        <v/>
      </c>
      <c r="L530" s="27">
        <f>IF($A530="","",TRIM(IF(ISERROR(FIND(",",$C530)),$C530,LEFT($C530,FIND(",",$C530)-1))))</f>
        <v/>
      </c>
      <c r="M530" s="28">
        <f>IF($H530="","",DATE(YEAR($H530),MONTH($H530),1))</f>
        <v/>
      </c>
      <c r="N530" s="26">
        <f>IF($H530="","",TODAY()-$H530)</f>
        <v/>
      </c>
      <c r="O530" s="15" t="n"/>
      <c r="P530" s="26">
        <f>IF($A530="","",COUNTIFS('Audit Versions'!$A$6:$A$605,$A530,'Audit Versions'!$L$6:$L$605,"Active"))</f>
        <v/>
      </c>
      <c r="Q530" s="15" t="n"/>
      <c r="R530" s="26">
        <f>IF(OR($A530="",$P530=0),"",MOD(N($Q530),$P530)+1)</f>
        <v/>
      </c>
      <c r="S530" s="15" t="n"/>
      <c r="T530" s="25" t="n"/>
      <c r="U530" s="26">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Builder'!$B$12="",N($S530)&lt;='Assignment Builder'!$B$12)))</f>
        <v/>
      </c>
      <c r="V530" s="23" t="n"/>
    </row>
    <row r="531">
      <c r="A531" s="23" t="n"/>
      <c r="B531" s="23" t="n"/>
      <c r="C531" s="24" t="n"/>
      <c r="D531" s="15" t="n"/>
      <c r="E531" s="23" t="n"/>
      <c r="F531" s="15" t="n"/>
      <c r="G531" s="23" t="n"/>
      <c r="H531" s="25" t="n"/>
      <c r="I531" s="15" t="n"/>
      <c r="J531" s="26">
        <f>IF($A531="","",LEN($C531)-LEN(SUBSTITUTE($C531,",",""))+1)</f>
        <v/>
      </c>
      <c r="K531" s="26">
        <f>IF($A531="","",SUMPRODUCT(--ISNUMBER(SEARCH('Category Dictionary'!$D$5:$D$135&amp;"",$C531)),--('Category Dictionary'!$D$5:$D$135&lt;&gt;"")))</f>
        <v/>
      </c>
      <c r="L531" s="27">
        <f>IF($A531="","",TRIM(IF(ISERROR(FIND(",",$C531)),$C531,LEFT($C531,FIND(",",$C531)-1))))</f>
        <v/>
      </c>
      <c r="M531" s="28">
        <f>IF($H531="","",DATE(YEAR($H531),MONTH($H531),1))</f>
        <v/>
      </c>
      <c r="N531" s="26">
        <f>IF($H531="","",TODAY()-$H531)</f>
        <v/>
      </c>
      <c r="O531" s="15" t="n"/>
      <c r="P531" s="26">
        <f>IF($A531="","",COUNTIFS('Audit Versions'!$A$6:$A$605,$A531,'Audit Versions'!$L$6:$L$605,"Active"))</f>
        <v/>
      </c>
      <c r="Q531" s="15" t="n"/>
      <c r="R531" s="26">
        <f>IF(OR($A531="",$P531=0),"",MOD(N($Q531),$P531)+1)</f>
        <v/>
      </c>
      <c r="S531" s="15" t="n"/>
      <c r="T531" s="25" t="n"/>
      <c r="U531" s="26">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Builder'!$B$12="",N($S531)&lt;='Assignment Builder'!$B$12)))</f>
        <v/>
      </c>
      <c r="V531" s="23" t="n"/>
    </row>
    <row r="532">
      <c r="A532" s="23" t="n"/>
      <c r="B532" s="23" t="n"/>
      <c r="C532" s="24" t="n"/>
      <c r="D532" s="15" t="n"/>
      <c r="E532" s="23" t="n"/>
      <c r="F532" s="15" t="n"/>
      <c r="G532" s="23" t="n"/>
      <c r="H532" s="25" t="n"/>
      <c r="I532" s="15" t="n"/>
      <c r="J532" s="26">
        <f>IF($A532="","",LEN($C532)-LEN(SUBSTITUTE($C532,",",""))+1)</f>
        <v/>
      </c>
      <c r="K532" s="26">
        <f>IF($A532="","",SUMPRODUCT(--ISNUMBER(SEARCH('Category Dictionary'!$D$5:$D$135&amp;"",$C532)),--('Category Dictionary'!$D$5:$D$135&lt;&gt;"")))</f>
        <v/>
      </c>
      <c r="L532" s="27">
        <f>IF($A532="","",TRIM(IF(ISERROR(FIND(",",$C532)),$C532,LEFT($C532,FIND(",",$C532)-1))))</f>
        <v/>
      </c>
      <c r="M532" s="28">
        <f>IF($H532="","",DATE(YEAR($H532),MONTH($H532),1))</f>
        <v/>
      </c>
      <c r="N532" s="26">
        <f>IF($H532="","",TODAY()-$H532)</f>
        <v/>
      </c>
      <c r="O532" s="15" t="n"/>
      <c r="P532" s="26">
        <f>IF($A532="","",COUNTIFS('Audit Versions'!$A$6:$A$605,$A532,'Audit Versions'!$L$6:$L$605,"Active"))</f>
        <v/>
      </c>
      <c r="Q532" s="15" t="n"/>
      <c r="R532" s="26">
        <f>IF(OR($A532="",$P532=0),"",MOD(N($Q532),$P532)+1)</f>
        <v/>
      </c>
      <c r="S532" s="15" t="n"/>
      <c r="T532" s="25" t="n"/>
      <c r="U532" s="26">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Builder'!$B$12="",N($S532)&lt;='Assignment Builder'!$B$12)))</f>
        <v/>
      </c>
      <c r="V532" s="23" t="n"/>
    </row>
    <row r="533">
      <c r="A533" s="23" t="n"/>
      <c r="B533" s="23" t="n"/>
      <c r="C533" s="24" t="n"/>
      <c r="D533" s="15" t="n"/>
      <c r="E533" s="23" t="n"/>
      <c r="F533" s="15" t="n"/>
      <c r="G533" s="23" t="n"/>
      <c r="H533" s="25" t="n"/>
      <c r="I533" s="15" t="n"/>
      <c r="J533" s="26">
        <f>IF($A533="","",LEN($C533)-LEN(SUBSTITUTE($C533,",",""))+1)</f>
        <v/>
      </c>
      <c r="K533" s="26">
        <f>IF($A533="","",SUMPRODUCT(--ISNUMBER(SEARCH('Category Dictionary'!$D$5:$D$135&amp;"",$C533)),--('Category Dictionary'!$D$5:$D$135&lt;&gt;"")))</f>
        <v/>
      </c>
      <c r="L533" s="27">
        <f>IF($A533="","",TRIM(IF(ISERROR(FIND(",",$C533)),$C533,LEFT($C533,FIND(",",$C533)-1))))</f>
        <v/>
      </c>
      <c r="M533" s="28">
        <f>IF($H533="","",DATE(YEAR($H533),MONTH($H533),1))</f>
        <v/>
      </c>
      <c r="N533" s="26">
        <f>IF($H533="","",TODAY()-$H533)</f>
        <v/>
      </c>
      <c r="O533" s="15" t="n"/>
      <c r="P533" s="26">
        <f>IF($A533="","",COUNTIFS('Audit Versions'!$A$6:$A$605,$A533,'Audit Versions'!$L$6:$L$605,"Active"))</f>
        <v/>
      </c>
      <c r="Q533" s="15" t="n"/>
      <c r="R533" s="26">
        <f>IF(OR($A533="",$P533=0),"",MOD(N($Q533),$P533)+1)</f>
        <v/>
      </c>
      <c r="S533" s="15" t="n"/>
      <c r="T533" s="25" t="n"/>
      <c r="U533" s="26">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Builder'!$B$12="",N($S533)&lt;='Assignment Builder'!$B$12)))</f>
        <v/>
      </c>
      <c r="V533" s="23" t="n"/>
    </row>
    <row r="534">
      <c r="A534" s="23" t="n"/>
      <c r="B534" s="23" t="n"/>
      <c r="C534" s="24" t="n"/>
      <c r="D534" s="15" t="n"/>
      <c r="E534" s="23" t="n"/>
      <c r="F534" s="15" t="n"/>
      <c r="G534" s="23" t="n"/>
      <c r="H534" s="25" t="n"/>
      <c r="I534" s="15" t="n"/>
      <c r="J534" s="26">
        <f>IF($A534="","",LEN($C534)-LEN(SUBSTITUTE($C534,",",""))+1)</f>
        <v/>
      </c>
      <c r="K534" s="26">
        <f>IF($A534="","",SUMPRODUCT(--ISNUMBER(SEARCH('Category Dictionary'!$D$5:$D$135&amp;"",$C534)),--('Category Dictionary'!$D$5:$D$135&lt;&gt;"")))</f>
        <v/>
      </c>
      <c r="L534" s="27">
        <f>IF($A534="","",TRIM(IF(ISERROR(FIND(",",$C534)),$C534,LEFT($C534,FIND(",",$C534)-1))))</f>
        <v/>
      </c>
      <c r="M534" s="28">
        <f>IF($H534="","",DATE(YEAR($H534),MONTH($H534),1))</f>
        <v/>
      </c>
      <c r="N534" s="26">
        <f>IF($H534="","",TODAY()-$H534)</f>
        <v/>
      </c>
      <c r="O534" s="15" t="n"/>
      <c r="P534" s="26">
        <f>IF($A534="","",COUNTIFS('Audit Versions'!$A$6:$A$605,$A534,'Audit Versions'!$L$6:$L$605,"Active"))</f>
        <v/>
      </c>
      <c r="Q534" s="15" t="n"/>
      <c r="R534" s="26">
        <f>IF(OR($A534="",$P534=0),"",MOD(N($Q534),$P534)+1)</f>
        <v/>
      </c>
      <c r="S534" s="15" t="n"/>
      <c r="T534" s="25" t="n"/>
      <c r="U534" s="26">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Builder'!$B$12="",N($S534)&lt;='Assignment Builder'!$B$12)))</f>
        <v/>
      </c>
      <c r="V534" s="23" t="n"/>
    </row>
    <row r="535">
      <c r="A535" s="23" t="n"/>
      <c r="B535" s="23" t="n"/>
      <c r="C535" s="24" t="n"/>
      <c r="D535" s="15" t="n"/>
      <c r="E535" s="23" t="n"/>
      <c r="F535" s="15" t="n"/>
      <c r="G535" s="23" t="n"/>
      <c r="H535" s="25" t="n"/>
      <c r="I535" s="15" t="n"/>
      <c r="J535" s="26">
        <f>IF($A535="","",LEN($C535)-LEN(SUBSTITUTE($C535,",",""))+1)</f>
        <v/>
      </c>
      <c r="K535" s="26">
        <f>IF($A535="","",SUMPRODUCT(--ISNUMBER(SEARCH('Category Dictionary'!$D$5:$D$135&amp;"",$C535)),--('Category Dictionary'!$D$5:$D$135&lt;&gt;"")))</f>
        <v/>
      </c>
      <c r="L535" s="27">
        <f>IF($A535="","",TRIM(IF(ISERROR(FIND(",",$C535)),$C535,LEFT($C535,FIND(",",$C535)-1))))</f>
        <v/>
      </c>
      <c r="M535" s="28">
        <f>IF($H535="","",DATE(YEAR($H535),MONTH($H535),1))</f>
        <v/>
      </c>
      <c r="N535" s="26">
        <f>IF($H535="","",TODAY()-$H535)</f>
        <v/>
      </c>
      <c r="O535" s="15" t="n"/>
      <c r="P535" s="26">
        <f>IF($A535="","",COUNTIFS('Audit Versions'!$A$6:$A$605,$A535,'Audit Versions'!$L$6:$L$605,"Active"))</f>
        <v/>
      </c>
      <c r="Q535" s="15" t="n"/>
      <c r="R535" s="26">
        <f>IF(OR($A535="",$P535=0),"",MOD(N($Q535),$P535)+1)</f>
        <v/>
      </c>
      <c r="S535" s="15" t="n"/>
      <c r="T535" s="25" t="n"/>
      <c r="U535" s="26">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Builder'!$B$12="",N($S535)&lt;='Assignment Builder'!$B$12)))</f>
        <v/>
      </c>
      <c r="V535" s="23" t="n"/>
    </row>
    <row r="536">
      <c r="A536" s="23" t="n"/>
      <c r="B536" s="23" t="n"/>
      <c r="C536" s="24" t="n"/>
      <c r="D536" s="15" t="n"/>
      <c r="E536" s="23" t="n"/>
      <c r="F536" s="15" t="n"/>
      <c r="G536" s="23" t="n"/>
      <c r="H536" s="25" t="n"/>
      <c r="I536" s="15" t="n"/>
      <c r="J536" s="26">
        <f>IF($A536="","",LEN($C536)-LEN(SUBSTITUTE($C536,",",""))+1)</f>
        <v/>
      </c>
      <c r="K536" s="26">
        <f>IF($A536="","",SUMPRODUCT(--ISNUMBER(SEARCH('Category Dictionary'!$D$5:$D$135&amp;"",$C536)),--('Category Dictionary'!$D$5:$D$135&lt;&gt;"")))</f>
        <v/>
      </c>
      <c r="L536" s="27">
        <f>IF($A536="","",TRIM(IF(ISERROR(FIND(",",$C536)),$C536,LEFT($C536,FIND(",",$C536)-1))))</f>
        <v/>
      </c>
      <c r="M536" s="28">
        <f>IF($H536="","",DATE(YEAR($H536),MONTH($H536),1))</f>
        <v/>
      </c>
      <c r="N536" s="26">
        <f>IF($H536="","",TODAY()-$H536)</f>
        <v/>
      </c>
      <c r="O536" s="15" t="n"/>
      <c r="P536" s="26">
        <f>IF($A536="","",COUNTIFS('Audit Versions'!$A$6:$A$605,$A536,'Audit Versions'!$L$6:$L$605,"Active"))</f>
        <v/>
      </c>
      <c r="Q536" s="15" t="n"/>
      <c r="R536" s="26">
        <f>IF(OR($A536="",$P536=0),"",MOD(N($Q536),$P536)+1)</f>
        <v/>
      </c>
      <c r="S536" s="15" t="n"/>
      <c r="T536" s="25" t="n"/>
      <c r="U536" s="26">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Builder'!$B$12="",N($S536)&lt;='Assignment Builder'!$B$12)))</f>
        <v/>
      </c>
      <c r="V536" s="23" t="n"/>
    </row>
    <row r="537">
      <c r="A537" s="23" t="n"/>
      <c r="B537" s="23" t="n"/>
      <c r="C537" s="24" t="n"/>
      <c r="D537" s="15" t="n"/>
      <c r="E537" s="23" t="n"/>
      <c r="F537" s="15" t="n"/>
      <c r="G537" s="23" t="n"/>
      <c r="H537" s="25" t="n"/>
      <c r="I537" s="15" t="n"/>
      <c r="J537" s="26">
        <f>IF($A537="","",LEN($C537)-LEN(SUBSTITUTE($C537,",",""))+1)</f>
        <v/>
      </c>
      <c r="K537" s="26">
        <f>IF($A537="","",SUMPRODUCT(--ISNUMBER(SEARCH('Category Dictionary'!$D$5:$D$135&amp;"",$C537)),--('Category Dictionary'!$D$5:$D$135&lt;&gt;"")))</f>
        <v/>
      </c>
      <c r="L537" s="27">
        <f>IF($A537="","",TRIM(IF(ISERROR(FIND(",",$C537)),$C537,LEFT($C537,FIND(",",$C537)-1))))</f>
        <v/>
      </c>
      <c r="M537" s="28">
        <f>IF($H537="","",DATE(YEAR($H537),MONTH($H537),1))</f>
        <v/>
      </c>
      <c r="N537" s="26">
        <f>IF($H537="","",TODAY()-$H537)</f>
        <v/>
      </c>
      <c r="O537" s="15" t="n"/>
      <c r="P537" s="26">
        <f>IF($A537="","",COUNTIFS('Audit Versions'!$A$6:$A$605,$A537,'Audit Versions'!$L$6:$L$605,"Active"))</f>
        <v/>
      </c>
      <c r="Q537" s="15" t="n"/>
      <c r="R537" s="26">
        <f>IF(OR($A537="",$P537=0),"",MOD(N($Q537),$P537)+1)</f>
        <v/>
      </c>
      <c r="S537" s="15" t="n"/>
      <c r="T537" s="25" t="n"/>
      <c r="U537" s="26">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Builder'!$B$12="",N($S537)&lt;='Assignment Builder'!$B$12)))</f>
        <v/>
      </c>
      <c r="V537" s="23" t="n"/>
    </row>
    <row r="538">
      <c r="A538" s="23" t="n"/>
      <c r="B538" s="23" t="n"/>
      <c r="C538" s="24" t="n"/>
      <c r="D538" s="15" t="n"/>
      <c r="E538" s="23" t="n"/>
      <c r="F538" s="15" t="n"/>
      <c r="G538" s="23" t="n"/>
      <c r="H538" s="25" t="n"/>
      <c r="I538" s="15" t="n"/>
      <c r="J538" s="26">
        <f>IF($A538="","",LEN($C538)-LEN(SUBSTITUTE($C538,",",""))+1)</f>
        <v/>
      </c>
      <c r="K538" s="26">
        <f>IF($A538="","",SUMPRODUCT(--ISNUMBER(SEARCH('Category Dictionary'!$D$5:$D$135&amp;"",$C538)),--('Category Dictionary'!$D$5:$D$135&lt;&gt;"")))</f>
        <v/>
      </c>
      <c r="L538" s="27">
        <f>IF($A538="","",TRIM(IF(ISERROR(FIND(",",$C538)),$C538,LEFT($C538,FIND(",",$C538)-1))))</f>
        <v/>
      </c>
      <c r="M538" s="28">
        <f>IF($H538="","",DATE(YEAR($H538),MONTH($H538),1))</f>
        <v/>
      </c>
      <c r="N538" s="26">
        <f>IF($H538="","",TODAY()-$H538)</f>
        <v/>
      </c>
      <c r="O538" s="15" t="n"/>
      <c r="P538" s="26">
        <f>IF($A538="","",COUNTIFS('Audit Versions'!$A$6:$A$605,$A538,'Audit Versions'!$L$6:$L$605,"Active"))</f>
        <v/>
      </c>
      <c r="Q538" s="15" t="n"/>
      <c r="R538" s="26">
        <f>IF(OR($A538="",$P538=0),"",MOD(N($Q538),$P538)+1)</f>
        <v/>
      </c>
      <c r="S538" s="15" t="n"/>
      <c r="T538" s="25" t="n"/>
      <c r="U538" s="26">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Builder'!$B$12="",N($S538)&lt;='Assignment Builder'!$B$12)))</f>
        <v/>
      </c>
      <c r="V538" s="23" t="n"/>
    </row>
    <row r="539">
      <c r="A539" s="23" t="n"/>
      <c r="B539" s="23" t="n"/>
      <c r="C539" s="24" t="n"/>
      <c r="D539" s="15" t="n"/>
      <c r="E539" s="23" t="n"/>
      <c r="F539" s="15" t="n"/>
      <c r="G539" s="23" t="n"/>
      <c r="H539" s="25" t="n"/>
      <c r="I539" s="15" t="n"/>
      <c r="J539" s="26">
        <f>IF($A539="","",LEN($C539)-LEN(SUBSTITUTE($C539,",",""))+1)</f>
        <v/>
      </c>
      <c r="K539" s="26">
        <f>IF($A539="","",SUMPRODUCT(--ISNUMBER(SEARCH('Category Dictionary'!$D$5:$D$135&amp;"",$C539)),--('Category Dictionary'!$D$5:$D$135&lt;&gt;"")))</f>
        <v/>
      </c>
      <c r="L539" s="27">
        <f>IF($A539="","",TRIM(IF(ISERROR(FIND(",",$C539)),$C539,LEFT($C539,FIND(",",$C539)-1))))</f>
        <v/>
      </c>
      <c r="M539" s="28">
        <f>IF($H539="","",DATE(YEAR($H539),MONTH($H539),1))</f>
        <v/>
      </c>
      <c r="N539" s="26">
        <f>IF($H539="","",TODAY()-$H539)</f>
        <v/>
      </c>
      <c r="O539" s="15" t="n"/>
      <c r="P539" s="26">
        <f>IF($A539="","",COUNTIFS('Audit Versions'!$A$6:$A$605,$A539,'Audit Versions'!$L$6:$L$605,"Active"))</f>
        <v/>
      </c>
      <c r="Q539" s="15" t="n"/>
      <c r="R539" s="26">
        <f>IF(OR($A539="",$P539=0),"",MOD(N($Q539),$P539)+1)</f>
        <v/>
      </c>
      <c r="S539" s="15" t="n"/>
      <c r="T539" s="25" t="n"/>
      <c r="U539" s="26">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Builder'!$B$12="",N($S539)&lt;='Assignment Builder'!$B$12)))</f>
        <v/>
      </c>
      <c r="V539" s="23" t="n"/>
    </row>
    <row r="540">
      <c r="A540" s="23" t="n"/>
      <c r="B540" s="23" t="n"/>
      <c r="C540" s="24" t="n"/>
      <c r="D540" s="15" t="n"/>
      <c r="E540" s="23" t="n"/>
      <c r="F540" s="15" t="n"/>
      <c r="G540" s="23" t="n"/>
      <c r="H540" s="25" t="n"/>
      <c r="I540" s="15" t="n"/>
      <c r="J540" s="26">
        <f>IF($A540="","",LEN($C540)-LEN(SUBSTITUTE($C540,",",""))+1)</f>
        <v/>
      </c>
      <c r="K540" s="26">
        <f>IF($A540="","",SUMPRODUCT(--ISNUMBER(SEARCH('Category Dictionary'!$D$5:$D$135&amp;"",$C540)),--('Category Dictionary'!$D$5:$D$135&lt;&gt;"")))</f>
        <v/>
      </c>
      <c r="L540" s="27">
        <f>IF($A540="","",TRIM(IF(ISERROR(FIND(",",$C540)),$C540,LEFT($C540,FIND(",",$C540)-1))))</f>
        <v/>
      </c>
      <c r="M540" s="28">
        <f>IF($H540="","",DATE(YEAR($H540),MONTH($H540),1))</f>
        <v/>
      </c>
      <c r="N540" s="26">
        <f>IF($H540="","",TODAY()-$H540)</f>
        <v/>
      </c>
      <c r="O540" s="15" t="n"/>
      <c r="P540" s="26">
        <f>IF($A540="","",COUNTIFS('Audit Versions'!$A$6:$A$605,$A540,'Audit Versions'!$L$6:$L$605,"Active"))</f>
        <v/>
      </c>
      <c r="Q540" s="15" t="n"/>
      <c r="R540" s="26">
        <f>IF(OR($A540="",$P540=0),"",MOD(N($Q540),$P540)+1)</f>
        <v/>
      </c>
      <c r="S540" s="15" t="n"/>
      <c r="T540" s="25" t="n"/>
      <c r="U540" s="26">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Builder'!$B$12="",N($S540)&lt;='Assignment Builder'!$B$12)))</f>
        <v/>
      </c>
      <c r="V540" s="23" t="n"/>
    </row>
    <row r="541">
      <c r="A541" s="23" t="n"/>
      <c r="B541" s="23" t="n"/>
      <c r="C541" s="24" t="n"/>
      <c r="D541" s="15" t="n"/>
      <c r="E541" s="23" t="n"/>
      <c r="F541" s="15" t="n"/>
      <c r="G541" s="23" t="n"/>
      <c r="H541" s="25" t="n"/>
      <c r="I541" s="15" t="n"/>
      <c r="J541" s="26">
        <f>IF($A541="","",LEN($C541)-LEN(SUBSTITUTE($C541,",",""))+1)</f>
        <v/>
      </c>
      <c r="K541" s="26">
        <f>IF($A541="","",SUMPRODUCT(--ISNUMBER(SEARCH('Category Dictionary'!$D$5:$D$135&amp;"",$C541)),--('Category Dictionary'!$D$5:$D$135&lt;&gt;"")))</f>
        <v/>
      </c>
      <c r="L541" s="27">
        <f>IF($A541="","",TRIM(IF(ISERROR(FIND(",",$C541)),$C541,LEFT($C541,FIND(",",$C541)-1))))</f>
        <v/>
      </c>
      <c r="M541" s="28">
        <f>IF($H541="","",DATE(YEAR($H541),MONTH($H541),1))</f>
        <v/>
      </c>
      <c r="N541" s="26">
        <f>IF($H541="","",TODAY()-$H541)</f>
        <v/>
      </c>
      <c r="O541" s="15" t="n"/>
      <c r="P541" s="26">
        <f>IF($A541="","",COUNTIFS('Audit Versions'!$A$6:$A$605,$A541,'Audit Versions'!$L$6:$L$605,"Active"))</f>
        <v/>
      </c>
      <c r="Q541" s="15" t="n"/>
      <c r="R541" s="26">
        <f>IF(OR($A541="",$P541=0),"",MOD(N($Q541),$P541)+1)</f>
        <v/>
      </c>
      <c r="S541" s="15" t="n"/>
      <c r="T541" s="25" t="n"/>
      <c r="U541" s="26">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Builder'!$B$12="",N($S541)&lt;='Assignment Builder'!$B$12)))</f>
        <v/>
      </c>
      <c r="V541" s="23" t="n"/>
    </row>
    <row r="542">
      <c r="A542" s="23" t="n"/>
      <c r="B542" s="23" t="n"/>
      <c r="C542" s="24" t="n"/>
      <c r="D542" s="15" t="n"/>
      <c r="E542" s="23" t="n"/>
      <c r="F542" s="15" t="n"/>
      <c r="G542" s="23" t="n"/>
      <c r="H542" s="25" t="n"/>
      <c r="I542" s="15" t="n"/>
      <c r="J542" s="26">
        <f>IF($A542="","",LEN($C542)-LEN(SUBSTITUTE($C542,",",""))+1)</f>
        <v/>
      </c>
      <c r="K542" s="26">
        <f>IF($A542="","",SUMPRODUCT(--ISNUMBER(SEARCH('Category Dictionary'!$D$5:$D$135&amp;"",$C542)),--('Category Dictionary'!$D$5:$D$135&lt;&gt;"")))</f>
        <v/>
      </c>
      <c r="L542" s="27">
        <f>IF($A542="","",TRIM(IF(ISERROR(FIND(",",$C542)),$C542,LEFT($C542,FIND(",",$C542)-1))))</f>
        <v/>
      </c>
      <c r="M542" s="28">
        <f>IF($H542="","",DATE(YEAR($H542),MONTH($H542),1))</f>
        <v/>
      </c>
      <c r="N542" s="26">
        <f>IF($H542="","",TODAY()-$H542)</f>
        <v/>
      </c>
      <c r="O542" s="15" t="n"/>
      <c r="P542" s="26">
        <f>IF($A542="","",COUNTIFS('Audit Versions'!$A$6:$A$605,$A542,'Audit Versions'!$L$6:$L$605,"Active"))</f>
        <v/>
      </c>
      <c r="Q542" s="15" t="n"/>
      <c r="R542" s="26">
        <f>IF(OR($A542="",$P542=0),"",MOD(N($Q542),$P542)+1)</f>
        <v/>
      </c>
      <c r="S542" s="15" t="n"/>
      <c r="T542" s="25" t="n"/>
      <c r="U542" s="26">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Builder'!$B$12="",N($S542)&lt;='Assignment Builder'!$B$12)))</f>
        <v/>
      </c>
      <c r="V542" s="23" t="n"/>
    </row>
    <row r="543">
      <c r="A543" s="23" t="n"/>
      <c r="B543" s="23" t="n"/>
      <c r="C543" s="24" t="n"/>
      <c r="D543" s="15" t="n"/>
      <c r="E543" s="23" t="n"/>
      <c r="F543" s="15" t="n"/>
      <c r="G543" s="23" t="n"/>
      <c r="H543" s="25" t="n"/>
      <c r="I543" s="15" t="n"/>
      <c r="J543" s="26">
        <f>IF($A543="","",LEN($C543)-LEN(SUBSTITUTE($C543,",",""))+1)</f>
        <v/>
      </c>
      <c r="K543" s="26">
        <f>IF($A543="","",SUMPRODUCT(--ISNUMBER(SEARCH('Category Dictionary'!$D$5:$D$135&amp;"",$C543)),--('Category Dictionary'!$D$5:$D$135&lt;&gt;"")))</f>
        <v/>
      </c>
      <c r="L543" s="27">
        <f>IF($A543="","",TRIM(IF(ISERROR(FIND(",",$C543)),$C543,LEFT($C543,FIND(",",$C543)-1))))</f>
        <v/>
      </c>
      <c r="M543" s="28">
        <f>IF($H543="","",DATE(YEAR($H543),MONTH($H543),1))</f>
        <v/>
      </c>
      <c r="N543" s="26">
        <f>IF($H543="","",TODAY()-$H543)</f>
        <v/>
      </c>
      <c r="O543" s="15" t="n"/>
      <c r="P543" s="26">
        <f>IF($A543="","",COUNTIFS('Audit Versions'!$A$6:$A$605,$A543,'Audit Versions'!$L$6:$L$605,"Active"))</f>
        <v/>
      </c>
      <c r="Q543" s="15" t="n"/>
      <c r="R543" s="26">
        <f>IF(OR($A543="",$P543=0),"",MOD(N($Q543),$P543)+1)</f>
        <v/>
      </c>
      <c r="S543" s="15" t="n"/>
      <c r="T543" s="25" t="n"/>
      <c r="U543" s="26">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Builder'!$B$12="",N($S543)&lt;='Assignment Builder'!$B$12)))</f>
        <v/>
      </c>
      <c r="V543" s="23" t="n"/>
    </row>
    <row r="544">
      <c r="A544" s="23" t="n"/>
      <c r="B544" s="23" t="n"/>
      <c r="C544" s="24" t="n"/>
      <c r="D544" s="15" t="n"/>
      <c r="E544" s="23" t="n"/>
      <c r="F544" s="15" t="n"/>
      <c r="G544" s="23" t="n"/>
      <c r="H544" s="25" t="n"/>
      <c r="I544" s="15" t="n"/>
      <c r="J544" s="26">
        <f>IF($A544="","",LEN($C544)-LEN(SUBSTITUTE($C544,",",""))+1)</f>
        <v/>
      </c>
      <c r="K544" s="26">
        <f>IF($A544="","",SUMPRODUCT(--ISNUMBER(SEARCH('Category Dictionary'!$D$5:$D$135&amp;"",$C544)),--('Category Dictionary'!$D$5:$D$135&lt;&gt;"")))</f>
        <v/>
      </c>
      <c r="L544" s="27">
        <f>IF($A544="","",TRIM(IF(ISERROR(FIND(",",$C544)),$C544,LEFT($C544,FIND(",",$C544)-1))))</f>
        <v/>
      </c>
      <c r="M544" s="28">
        <f>IF($H544="","",DATE(YEAR($H544),MONTH($H544),1))</f>
        <v/>
      </c>
      <c r="N544" s="26">
        <f>IF($H544="","",TODAY()-$H544)</f>
        <v/>
      </c>
      <c r="O544" s="15" t="n"/>
      <c r="P544" s="26">
        <f>IF($A544="","",COUNTIFS('Audit Versions'!$A$6:$A$605,$A544,'Audit Versions'!$L$6:$L$605,"Active"))</f>
        <v/>
      </c>
      <c r="Q544" s="15" t="n"/>
      <c r="R544" s="26">
        <f>IF(OR($A544="",$P544=0),"",MOD(N($Q544),$P544)+1)</f>
        <v/>
      </c>
      <c r="S544" s="15" t="n"/>
      <c r="T544" s="25" t="n"/>
      <c r="U544" s="26">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Builder'!$B$12="",N($S544)&lt;='Assignment Builder'!$B$12)))</f>
        <v/>
      </c>
      <c r="V544" s="23" t="n"/>
    </row>
    <row r="545">
      <c r="A545" s="23" t="n"/>
      <c r="B545" s="23" t="n"/>
      <c r="C545" s="24" t="n"/>
      <c r="D545" s="15" t="n"/>
      <c r="E545" s="23" t="n"/>
      <c r="F545" s="15" t="n"/>
      <c r="G545" s="23" t="n"/>
      <c r="H545" s="25" t="n"/>
      <c r="I545" s="15" t="n"/>
      <c r="J545" s="26">
        <f>IF($A545="","",LEN($C545)-LEN(SUBSTITUTE($C545,",",""))+1)</f>
        <v/>
      </c>
      <c r="K545" s="26">
        <f>IF($A545="","",SUMPRODUCT(--ISNUMBER(SEARCH('Category Dictionary'!$D$5:$D$135&amp;"",$C545)),--('Category Dictionary'!$D$5:$D$135&lt;&gt;"")))</f>
        <v/>
      </c>
      <c r="L545" s="27">
        <f>IF($A545="","",TRIM(IF(ISERROR(FIND(",",$C545)),$C545,LEFT($C545,FIND(",",$C545)-1))))</f>
        <v/>
      </c>
      <c r="M545" s="28">
        <f>IF($H545="","",DATE(YEAR($H545),MONTH($H545),1))</f>
        <v/>
      </c>
      <c r="N545" s="26">
        <f>IF($H545="","",TODAY()-$H545)</f>
        <v/>
      </c>
      <c r="O545" s="15" t="n"/>
      <c r="P545" s="26">
        <f>IF($A545="","",COUNTIFS('Audit Versions'!$A$6:$A$605,$A545,'Audit Versions'!$L$6:$L$605,"Active"))</f>
        <v/>
      </c>
      <c r="Q545" s="15" t="n"/>
      <c r="R545" s="26">
        <f>IF(OR($A545="",$P545=0),"",MOD(N($Q545),$P545)+1)</f>
        <v/>
      </c>
      <c r="S545" s="15" t="n"/>
      <c r="T545" s="25" t="n"/>
      <c r="U545" s="26">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Builder'!$B$12="",N($S545)&lt;='Assignment Builder'!$B$12)))</f>
        <v/>
      </c>
      <c r="V545" s="23" t="n"/>
    </row>
    <row r="546">
      <c r="A546" s="23" t="n"/>
      <c r="B546" s="23" t="n"/>
      <c r="C546" s="24" t="n"/>
      <c r="D546" s="15" t="n"/>
      <c r="E546" s="23" t="n"/>
      <c r="F546" s="15" t="n"/>
      <c r="G546" s="23" t="n"/>
      <c r="H546" s="25" t="n"/>
      <c r="I546" s="15" t="n"/>
      <c r="J546" s="26">
        <f>IF($A546="","",LEN($C546)-LEN(SUBSTITUTE($C546,",",""))+1)</f>
        <v/>
      </c>
      <c r="K546" s="26">
        <f>IF($A546="","",SUMPRODUCT(--ISNUMBER(SEARCH('Category Dictionary'!$D$5:$D$135&amp;"",$C546)),--('Category Dictionary'!$D$5:$D$135&lt;&gt;"")))</f>
        <v/>
      </c>
      <c r="L546" s="27">
        <f>IF($A546="","",TRIM(IF(ISERROR(FIND(",",$C546)),$C546,LEFT($C546,FIND(",",$C546)-1))))</f>
        <v/>
      </c>
      <c r="M546" s="28">
        <f>IF($H546="","",DATE(YEAR($H546),MONTH($H546),1))</f>
        <v/>
      </c>
      <c r="N546" s="26">
        <f>IF($H546="","",TODAY()-$H546)</f>
        <v/>
      </c>
      <c r="O546" s="15" t="n"/>
      <c r="P546" s="26">
        <f>IF($A546="","",COUNTIFS('Audit Versions'!$A$6:$A$605,$A546,'Audit Versions'!$L$6:$L$605,"Active"))</f>
        <v/>
      </c>
      <c r="Q546" s="15" t="n"/>
      <c r="R546" s="26">
        <f>IF(OR($A546="",$P546=0),"",MOD(N($Q546),$P546)+1)</f>
        <v/>
      </c>
      <c r="S546" s="15" t="n"/>
      <c r="T546" s="25" t="n"/>
      <c r="U546" s="26">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Builder'!$B$12="",N($S546)&lt;='Assignment Builder'!$B$12)))</f>
        <v/>
      </c>
      <c r="V546" s="23" t="n"/>
    </row>
    <row r="547">
      <c r="A547" s="23" t="n"/>
      <c r="B547" s="23" t="n"/>
      <c r="C547" s="24" t="n"/>
      <c r="D547" s="15" t="n"/>
      <c r="E547" s="23" t="n"/>
      <c r="F547" s="15" t="n"/>
      <c r="G547" s="23" t="n"/>
      <c r="H547" s="25" t="n"/>
      <c r="I547" s="15" t="n"/>
      <c r="J547" s="26">
        <f>IF($A547="","",LEN($C547)-LEN(SUBSTITUTE($C547,",",""))+1)</f>
        <v/>
      </c>
      <c r="K547" s="26">
        <f>IF($A547="","",SUMPRODUCT(--ISNUMBER(SEARCH('Category Dictionary'!$D$5:$D$135&amp;"",$C547)),--('Category Dictionary'!$D$5:$D$135&lt;&gt;"")))</f>
        <v/>
      </c>
      <c r="L547" s="27">
        <f>IF($A547="","",TRIM(IF(ISERROR(FIND(",",$C547)),$C547,LEFT($C547,FIND(",",$C547)-1))))</f>
        <v/>
      </c>
      <c r="M547" s="28">
        <f>IF($H547="","",DATE(YEAR($H547),MONTH($H547),1))</f>
        <v/>
      </c>
      <c r="N547" s="26">
        <f>IF($H547="","",TODAY()-$H547)</f>
        <v/>
      </c>
      <c r="O547" s="15" t="n"/>
      <c r="P547" s="26">
        <f>IF($A547="","",COUNTIFS('Audit Versions'!$A$6:$A$605,$A547,'Audit Versions'!$L$6:$L$605,"Active"))</f>
        <v/>
      </c>
      <c r="Q547" s="15" t="n"/>
      <c r="R547" s="26">
        <f>IF(OR($A547="",$P547=0),"",MOD(N($Q547),$P547)+1)</f>
        <v/>
      </c>
      <c r="S547" s="15" t="n"/>
      <c r="T547" s="25" t="n"/>
      <c r="U547" s="26">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Builder'!$B$12="",N($S547)&lt;='Assignment Builder'!$B$12)))</f>
        <v/>
      </c>
      <c r="V547" s="23" t="n"/>
    </row>
    <row r="548">
      <c r="A548" s="23" t="n"/>
      <c r="B548" s="23" t="n"/>
      <c r="C548" s="24" t="n"/>
      <c r="D548" s="15" t="n"/>
      <c r="E548" s="23" t="n"/>
      <c r="F548" s="15" t="n"/>
      <c r="G548" s="23" t="n"/>
      <c r="H548" s="25" t="n"/>
      <c r="I548" s="15" t="n"/>
      <c r="J548" s="26">
        <f>IF($A548="","",LEN($C548)-LEN(SUBSTITUTE($C548,",",""))+1)</f>
        <v/>
      </c>
      <c r="K548" s="26">
        <f>IF($A548="","",SUMPRODUCT(--ISNUMBER(SEARCH('Category Dictionary'!$D$5:$D$135&amp;"",$C548)),--('Category Dictionary'!$D$5:$D$135&lt;&gt;"")))</f>
        <v/>
      </c>
      <c r="L548" s="27">
        <f>IF($A548="","",TRIM(IF(ISERROR(FIND(",",$C548)),$C548,LEFT($C548,FIND(",",$C548)-1))))</f>
        <v/>
      </c>
      <c r="M548" s="28">
        <f>IF($H548="","",DATE(YEAR($H548),MONTH($H548),1))</f>
        <v/>
      </c>
      <c r="N548" s="26">
        <f>IF($H548="","",TODAY()-$H548)</f>
        <v/>
      </c>
      <c r="O548" s="15" t="n"/>
      <c r="P548" s="26">
        <f>IF($A548="","",COUNTIFS('Audit Versions'!$A$6:$A$605,$A548,'Audit Versions'!$L$6:$L$605,"Active"))</f>
        <v/>
      </c>
      <c r="Q548" s="15" t="n"/>
      <c r="R548" s="26">
        <f>IF(OR($A548="",$P548=0),"",MOD(N($Q548),$P548)+1)</f>
        <v/>
      </c>
      <c r="S548" s="15" t="n"/>
      <c r="T548" s="25" t="n"/>
      <c r="U548" s="26">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Builder'!$B$12="",N($S548)&lt;='Assignment Builder'!$B$12)))</f>
        <v/>
      </c>
      <c r="V548" s="23" t="n"/>
    </row>
    <row r="549">
      <c r="A549" s="23" t="n"/>
      <c r="B549" s="23" t="n"/>
      <c r="C549" s="24" t="n"/>
      <c r="D549" s="15" t="n"/>
      <c r="E549" s="23" t="n"/>
      <c r="F549" s="15" t="n"/>
      <c r="G549" s="23" t="n"/>
      <c r="H549" s="25" t="n"/>
      <c r="I549" s="15" t="n"/>
      <c r="J549" s="26">
        <f>IF($A549="","",LEN($C549)-LEN(SUBSTITUTE($C549,",",""))+1)</f>
        <v/>
      </c>
      <c r="K549" s="26">
        <f>IF($A549="","",SUMPRODUCT(--ISNUMBER(SEARCH('Category Dictionary'!$D$5:$D$135&amp;"",$C549)),--('Category Dictionary'!$D$5:$D$135&lt;&gt;"")))</f>
        <v/>
      </c>
      <c r="L549" s="27">
        <f>IF($A549="","",TRIM(IF(ISERROR(FIND(",",$C549)),$C549,LEFT($C549,FIND(",",$C549)-1))))</f>
        <v/>
      </c>
      <c r="M549" s="28">
        <f>IF($H549="","",DATE(YEAR($H549),MONTH($H549),1))</f>
        <v/>
      </c>
      <c r="N549" s="26">
        <f>IF($H549="","",TODAY()-$H549)</f>
        <v/>
      </c>
      <c r="O549" s="15" t="n"/>
      <c r="P549" s="26">
        <f>IF($A549="","",COUNTIFS('Audit Versions'!$A$6:$A$605,$A549,'Audit Versions'!$L$6:$L$605,"Active"))</f>
        <v/>
      </c>
      <c r="Q549" s="15" t="n"/>
      <c r="R549" s="26">
        <f>IF(OR($A549="",$P549=0),"",MOD(N($Q549),$P549)+1)</f>
        <v/>
      </c>
      <c r="S549" s="15" t="n"/>
      <c r="T549" s="25" t="n"/>
      <c r="U549" s="26">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Builder'!$B$12="",N($S549)&lt;='Assignment Builder'!$B$12)))</f>
        <v/>
      </c>
      <c r="V549" s="23" t="n"/>
    </row>
    <row r="550">
      <c r="A550" s="23" t="n"/>
      <c r="B550" s="23" t="n"/>
      <c r="C550" s="24" t="n"/>
      <c r="D550" s="15" t="n"/>
      <c r="E550" s="23" t="n"/>
      <c r="F550" s="15" t="n"/>
      <c r="G550" s="23" t="n"/>
      <c r="H550" s="25" t="n"/>
      <c r="I550" s="15" t="n"/>
      <c r="J550" s="26">
        <f>IF($A550="","",LEN($C550)-LEN(SUBSTITUTE($C550,",",""))+1)</f>
        <v/>
      </c>
      <c r="K550" s="26">
        <f>IF($A550="","",SUMPRODUCT(--ISNUMBER(SEARCH('Category Dictionary'!$D$5:$D$135&amp;"",$C550)),--('Category Dictionary'!$D$5:$D$135&lt;&gt;"")))</f>
        <v/>
      </c>
      <c r="L550" s="27">
        <f>IF($A550="","",TRIM(IF(ISERROR(FIND(",",$C550)),$C550,LEFT($C550,FIND(",",$C550)-1))))</f>
        <v/>
      </c>
      <c r="M550" s="28">
        <f>IF($H550="","",DATE(YEAR($H550),MONTH($H550),1))</f>
        <v/>
      </c>
      <c r="N550" s="26">
        <f>IF($H550="","",TODAY()-$H550)</f>
        <v/>
      </c>
      <c r="O550" s="15" t="n"/>
      <c r="P550" s="26">
        <f>IF($A550="","",COUNTIFS('Audit Versions'!$A$6:$A$605,$A550,'Audit Versions'!$L$6:$L$605,"Active"))</f>
        <v/>
      </c>
      <c r="Q550" s="15" t="n"/>
      <c r="R550" s="26">
        <f>IF(OR($A550="",$P550=0),"",MOD(N($Q550),$P550)+1)</f>
        <v/>
      </c>
      <c r="S550" s="15" t="n"/>
      <c r="T550" s="25" t="n"/>
      <c r="U550" s="26">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Builder'!$B$12="",N($S550)&lt;='Assignment Builder'!$B$12)))</f>
        <v/>
      </c>
      <c r="V550" s="23" t="n"/>
    </row>
    <row r="551">
      <c r="A551" s="23" t="n"/>
      <c r="B551" s="23" t="n"/>
      <c r="C551" s="24" t="n"/>
      <c r="D551" s="15" t="n"/>
      <c r="E551" s="23" t="n"/>
      <c r="F551" s="15" t="n"/>
      <c r="G551" s="23" t="n"/>
      <c r="H551" s="25" t="n"/>
      <c r="I551" s="15" t="n"/>
      <c r="J551" s="26">
        <f>IF($A551="","",LEN($C551)-LEN(SUBSTITUTE($C551,",",""))+1)</f>
        <v/>
      </c>
      <c r="K551" s="26">
        <f>IF($A551="","",SUMPRODUCT(--ISNUMBER(SEARCH('Category Dictionary'!$D$5:$D$135&amp;"",$C551)),--('Category Dictionary'!$D$5:$D$135&lt;&gt;"")))</f>
        <v/>
      </c>
      <c r="L551" s="27">
        <f>IF($A551="","",TRIM(IF(ISERROR(FIND(",",$C551)),$C551,LEFT($C551,FIND(",",$C551)-1))))</f>
        <v/>
      </c>
      <c r="M551" s="28">
        <f>IF($H551="","",DATE(YEAR($H551),MONTH($H551),1))</f>
        <v/>
      </c>
      <c r="N551" s="26">
        <f>IF($H551="","",TODAY()-$H551)</f>
        <v/>
      </c>
      <c r="O551" s="15" t="n"/>
      <c r="P551" s="26">
        <f>IF($A551="","",COUNTIFS('Audit Versions'!$A$6:$A$605,$A551,'Audit Versions'!$L$6:$L$605,"Active"))</f>
        <v/>
      </c>
      <c r="Q551" s="15" t="n"/>
      <c r="R551" s="26">
        <f>IF(OR($A551="",$P551=0),"",MOD(N($Q551),$P551)+1)</f>
        <v/>
      </c>
      <c r="S551" s="15" t="n"/>
      <c r="T551" s="25" t="n"/>
      <c r="U551" s="26">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Builder'!$B$12="",N($S551)&lt;='Assignment Builder'!$B$12)))</f>
        <v/>
      </c>
      <c r="V551" s="23" t="n"/>
    </row>
    <row r="552">
      <c r="A552" s="23" t="n"/>
      <c r="B552" s="23" t="n"/>
      <c r="C552" s="24" t="n"/>
      <c r="D552" s="15" t="n"/>
      <c r="E552" s="23" t="n"/>
      <c r="F552" s="15" t="n"/>
      <c r="G552" s="23" t="n"/>
      <c r="H552" s="25" t="n"/>
      <c r="I552" s="15" t="n"/>
      <c r="J552" s="26">
        <f>IF($A552="","",LEN($C552)-LEN(SUBSTITUTE($C552,",",""))+1)</f>
        <v/>
      </c>
      <c r="K552" s="26">
        <f>IF($A552="","",SUMPRODUCT(--ISNUMBER(SEARCH('Category Dictionary'!$D$5:$D$135&amp;"",$C552)),--('Category Dictionary'!$D$5:$D$135&lt;&gt;"")))</f>
        <v/>
      </c>
      <c r="L552" s="27">
        <f>IF($A552="","",TRIM(IF(ISERROR(FIND(",",$C552)),$C552,LEFT($C552,FIND(",",$C552)-1))))</f>
        <v/>
      </c>
      <c r="M552" s="28">
        <f>IF($H552="","",DATE(YEAR($H552),MONTH($H552),1))</f>
        <v/>
      </c>
      <c r="N552" s="26">
        <f>IF($H552="","",TODAY()-$H552)</f>
        <v/>
      </c>
      <c r="O552" s="15" t="n"/>
      <c r="P552" s="26">
        <f>IF($A552="","",COUNTIFS('Audit Versions'!$A$6:$A$605,$A552,'Audit Versions'!$L$6:$L$605,"Active"))</f>
        <v/>
      </c>
      <c r="Q552" s="15" t="n"/>
      <c r="R552" s="26">
        <f>IF(OR($A552="",$P552=0),"",MOD(N($Q552),$P552)+1)</f>
        <v/>
      </c>
      <c r="S552" s="15" t="n"/>
      <c r="T552" s="25" t="n"/>
      <c r="U552" s="26">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Builder'!$B$12="",N($S552)&lt;='Assignment Builder'!$B$12)))</f>
        <v/>
      </c>
      <c r="V552" s="23" t="n"/>
    </row>
    <row r="553">
      <c r="A553" s="23" t="n"/>
      <c r="B553" s="23" t="n"/>
      <c r="C553" s="24" t="n"/>
      <c r="D553" s="15" t="n"/>
      <c r="E553" s="23" t="n"/>
      <c r="F553" s="15" t="n"/>
      <c r="G553" s="23" t="n"/>
      <c r="H553" s="25" t="n"/>
      <c r="I553" s="15" t="n"/>
      <c r="J553" s="26">
        <f>IF($A553="","",LEN($C553)-LEN(SUBSTITUTE($C553,",",""))+1)</f>
        <v/>
      </c>
      <c r="K553" s="26">
        <f>IF($A553="","",SUMPRODUCT(--ISNUMBER(SEARCH('Category Dictionary'!$D$5:$D$135&amp;"",$C553)),--('Category Dictionary'!$D$5:$D$135&lt;&gt;"")))</f>
        <v/>
      </c>
      <c r="L553" s="27">
        <f>IF($A553="","",TRIM(IF(ISERROR(FIND(",",$C553)),$C553,LEFT($C553,FIND(",",$C553)-1))))</f>
        <v/>
      </c>
      <c r="M553" s="28">
        <f>IF($H553="","",DATE(YEAR($H553),MONTH($H553),1))</f>
        <v/>
      </c>
      <c r="N553" s="26">
        <f>IF($H553="","",TODAY()-$H553)</f>
        <v/>
      </c>
      <c r="O553" s="15" t="n"/>
      <c r="P553" s="26">
        <f>IF($A553="","",COUNTIFS('Audit Versions'!$A$6:$A$605,$A553,'Audit Versions'!$L$6:$L$605,"Active"))</f>
        <v/>
      </c>
      <c r="Q553" s="15" t="n"/>
      <c r="R553" s="26">
        <f>IF(OR($A553="",$P553=0),"",MOD(N($Q553),$P553)+1)</f>
        <v/>
      </c>
      <c r="S553" s="15" t="n"/>
      <c r="T553" s="25" t="n"/>
      <c r="U553" s="26">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Builder'!$B$12="",N($S553)&lt;='Assignment Builder'!$B$12)))</f>
        <v/>
      </c>
      <c r="V553" s="23" t="n"/>
    </row>
    <row r="554">
      <c r="A554" s="23" t="n"/>
      <c r="B554" s="23" t="n"/>
      <c r="C554" s="24" t="n"/>
      <c r="D554" s="15" t="n"/>
      <c r="E554" s="23" t="n"/>
      <c r="F554" s="15" t="n"/>
      <c r="G554" s="23" t="n"/>
      <c r="H554" s="25" t="n"/>
      <c r="I554" s="15" t="n"/>
      <c r="J554" s="26">
        <f>IF($A554="","",LEN($C554)-LEN(SUBSTITUTE($C554,",",""))+1)</f>
        <v/>
      </c>
      <c r="K554" s="26">
        <f>IF($A554="","",SUMPRODUCT(--ISNUMBER(SEARCH('Category Dictionary'!$D$5:$D$135&amp;"",$C554)),--('Category Dictionary'!$D$5:$D$135&lt;&gt;"")))</f>
        <v/>
      </c>
      <c r="L554" s="27">
        <f>IF($A554="","",TRIM(IF(ISERROR(FIND(",",$C554)),$C554,LEFT($C554,FIND(",",$C554)-1))))</f>
        <v/>
      </c>
      <c r="M554" s="28">
        <f>IF($H554="","",DATE(YEAR($H554),MONTH($H554),1))</f>
        <v/>
      </c>
      <c r="N554" s="26">
        <f>IF($H554="","",TODAY()-$H554)</f>
        <v/>
      </c>
      <c r="O554" s="15" t="n"/>
      <c r="P554" s="26">
        <f>IF($A554="","",COUNTIFS('Audit Versions'!$A$6:$A$605,$A554,'Audit Versions'!$L$6:$L$605,"Active"))</f>
        <v/>
      </c>
      <c r="Q554" s="15" t="n"/>
      <c r="R554" s="26">
        <f>IF(OR($A554="",$P554=0),"",MOD(N($Q554),$P554)+1)</f>
        <v/>
      </c>
      <c r="S554" s="15" t="n"/>
      <c r="T554" s="25" t="n"/>
      <c r="U554" s="26">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Builder'!$B$12="",N($S554)&lt;='Assignment Builder'!$B$12)))</f>
        <v/>
      </c>
      <c r="V554" s="23" t="n"/>
    </row>
    <row r="555">
      <c r="A555" s="23" t="n"/>
      <c r="B555" s="23" t="n"/>
      <c r="C555" s="24" t="n"/>
      <c r="D555" s="15" t="n"/>
      <c r="E555" s="23" t="n"/>
      <c r="F555" s="15" t="n"/>
      <c r="G555" s="23" t="n"/>
      <c r="H555" s="25" t="n"/>
      <c r="I555" s="15" t="n"/>
      <c r="J555" s="26">
        <f>IF($A555="","",LEN($C555)-LEN(SUBSTITUTE($C555,",",""))+1)</f>
        <v/>
      </c>
      <c r="K555" s="26">
        <f>IF($A555="","",SUMPRODUCT(--ISNUMBER(SEARCH('Category Dictionary'!$D$5:$D$135&amp;"",$C555)),--('Category Dictionary'!$D$5:$D$135&lt;&gt;"")))</f>
        <v/>
      </c>
      <c r="L555" s="27">
        <f>IF($A555="","",TRIM(IF(ISERROR(FIND(",",$C555)),$C555,LEFT($C555,FIND(",",$C555)-1))))</f>
        <v/>
      </c>
      <c r="M555" s="28">
        <f>IF($H555="","",DATE(YEAR($H555),MONTH($H555),1))</f>
        <v/>
      </c>
      <c r="N555" s="26">
        <f>IF($H555="","",TODAY()-$H555)</f>
        <v/>
      </c>
      <c r="O555" s="15" t="n"/>
      <c r="P555" s="26">
        <f>IF($A555="","",COUNTIFS('Audit Versions'!$A$6:$A$605,$A555,'Audit Versions'!$L$6:$L$605,"Active"))</f>
        <v/>
      </c>
      <c r="Q555" s="15" t="n"/>
      <c r="R555" s="26">
        <f>IF(OR($A555="",$P555=0),"",MOD(N($Q555),$P555)+1)</f>
        <v/>
      </c>
      <c r="S555" s="15" t="n"/>
      <c r="T555" s="25" t="n"/>
      <c r="U555" s="26">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Builder'!$B$12="",N($S555)&lt;='Assignment Builder'!$B$12)))</f>
        <v/>
      </c>
      <c r="V555" s="23" t="n"/>
    </row>
    <row r="556">
      <c r="A556" s="23" t="n"/>
      <c r="B556" s="23" t="n"/>
      <c r="C556" s="24" t="n"/>
      <c r="D556" s="15" t="n"/>
      <c r="E556" s="23" t="n"/>
      <c r="F556" s="15" t="n"/>
      <c r="G556" s="23" t="n"/>
      <c r="H556" s="25" t="n"/>
      <c r="I556" s="15" t="n"/>
      <c r="J556" s="26">
        <f>IF($A556="","",LEN($C556)-LEN(SUBSTITUTE($C556,",",""))+1)</f>
        <v/>
      </c>
      <c r="K556" s="26">
        <f>IF($A556="","",SUMPRODUCT(--ISNUMBER(SEARCH('Category Dictionary'!$D$5:$D$135&amp;"",$C556)),--('Category Dictionary'!$D$5:$D$135&lt;&gt;"")))</f>
        <v/>
      </c>
      <c r="L556" s="27">
        <f>IF($A556="","",TRIM(IF(ISERROR(FIND(",",$C556)),$C556,LEFT($C556,FIND(",",$C556)-1))))</f>
        <v/>
      </c>
      <c r="M556" s="28">
        <f>IF($H556="","",DATE(YEAR($H556),MONTH($H556),1))</f>
        <v/>
      </c>
      <c r="N556" s="26">
        <f>IF($H556="","",TODAY()-$H556)</f>
        <v/>
      </c>
      <c r="O556" s="15" t="n"/>
      <c r="P556" s="26">
        <f>IF($A556="","",COUNTIFS('Audit Versions'!$A$6:$A$605,$A556,'Audit Versions'!$L$6:$L$605,"Active"))</f>
        <v/>
      </c>
      <c r="Q556" s="15" t="n"/>
      <c r="R556" s="26">
        <f>IF(OR($A556="",$P556=0),"",MOD(N($Q556),$P556)+1)</f>
        <v/>
      </c>
      <c r="S556" s="15" t="n"/>
      <c r="T556" s="25" t="n"/>
      <c r="U556" s="26">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Builder'!$B$12="",N($S556)&lt;='Assignment Builder'!$B$12)))</f>
        <v/>
      </c>
      <c r="V556" s="23" t="n"/>
    </row>
    <row r="557">
      <c r="A557" s="23" t="n"/>
      <c r="B557" s="23" t="n"/>
      <c r="C557" s="24" t="n"/>
      <c r="D557" s="15" t="n"/>
      <c r="E557" s="23" t="n"/>
      <c r="F557" s="15" t="n"/>
      <c r="G557" s="23" t="n"/>
      <c r="H557" s="25" t="n"/>
      <c r="I557" s="15" t="n"/>
      <c r="J557" s="26">
        <f>IF($A557="","",LEN($C557)-LEN(SUBSTITUTE($C557,",",""))+1)</f>
        <v/>
      </c>
      <c r="K557" s="26">
        <f>IF($A557="","",SUMPRODUCT(--ISNUMBER(SEARCH('Category Dictionary'!$D$5:$D$135&amp;"",$C557)),--('Category Dictionary'!$D$5:$D$135&lt;&gt;"")))</f>
        <v/>
      </c>
      <c r="L557" s="27">
        <f>IF($A557="","",TRIM(IF(ISERROR(FIND(",",$C557)),$C557,LEFT($C557,FIND(",",$C557)-1))))</f>
        <v/>
      </c>
      <c r="M557" s="28">
        <f>IF($H557="","",DATE(YEAR($H557),MONTH($H557),1))</f>
        <v/>
      </c>
      <c r="N557" s="26">
        <f>IF($H557="","",TODAY()-$H557)</f>
        <v/>
      </c>
      <c r="O557" s="15" t="n"/>
      <c r="P557" s="26">
        <f>IF($A557="","",COUNTIFS('Audit Versions'!$A$6:$A$605,$A557,'Audit Versions'!$L$6:$L$605,"Active"))</f>
        <v/>
      </c>
      <c r="Q557" s="15" t="n"/>
      <c r="R557" s="26">
        <f>IF(OR($A557="",$P557=0),"",MOD(N($Q557),$P557)+1)</f>
        <v/>
      </c>
      <c r="S557" s="15" t="n"/>
      <c r="T557" s="25" t="n"/>
      <c r="U557" s="26">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Builder'!$B$12="",N($S557)&lt;='Assignment Builder'!$B$12)))</f>
        <v/>
      </c>
      <c r="V557" s="23" t="n"/>
    </row>
    <row r="558">
      <c r="A558" s="23" t="n"/>
      <c r="B558" s="23" t="n"/>
      <c r="C558" s="24" t="n"/>
      <c r="D558" s="15" t="n"/>
      <c r="E558" s="23" t="n"/>
      <c r="F558" s="15" t="n"/>
      <c r="G558" s="23" t="n"/>
      <c r="H558" s="25" t="n"/>
      <c r="I558" s="15" t="n"/>
      <c r="J558" s="26">
        <f>IF($A558="","",LEN($C558)-LEN(SUBSTITUTE($C558,",",""))+1)</f>
        <v/>
      </c>
      <c r="K558" s="26">
        <f>IF($A558="","",SUMPRODUCT(--ISNUMBER(SEARCH('Category Dictionary'!$D$5:$D$135&amp;"",$C558)),--('Category Dictionary'!$D$5:$D$135&lt;&gt;"")))</f>
        <v/>
      </c>
      <c r="L558" s="27">
        <f>IF($A558="","",TRIM(IF(ISERROR(FIND(",",$C558)),$C558,LEFT($C558,FIND(",",$C558)-1))))</f>
        <v/>
      </c>
      <c r="M558" s="28">
        <f>IF($H558="","",DATE(YEAR($H558),MONTH($H558),1))</f>
        <v/>
      </c>
      <c r="N558" s="26">
        <f>IF($H558="","",TODAY()-$H558)</f>
        <v/>
      </c>
      <c r="O558" s="15" t="n"/>
      <c r="P558" s="26">
        <f>IF($A558="","",COUNTIFS('Audit Versions'!$A$6:$A$605,$A558,'Audit Versions'!$L$6:$L$605,"Active"))</f>
        <v/>
      </c>
      <c r="Q558" s="15" t="n"/>
      <c r="R558" s="26">
        <f>IF(OR($A558="",$P558=0),"",MOD(N($Q558),$P558)+1)</f>
        <v/>
      </c>
      <c r="S558" s="15" t="n"/>
      <c r="T558" s="25" t="n"/>
      <c r="U558" s="26">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Builder'!$B$12="",N($S558)&lt;='Assignment Builder'!$B$12)))</f>
        <v/>
      </c>
      <c r="V558" s="23" t="n"/>
    </row>
    <row r="559">
      <c r="A559" s="23" t="n"/>
      <c r="B559" s="23" t="n"/>
      <c r="C559" s="24" t="n"/>
      <c r="D559" s="15" t="n"/>
      <c r="E559" s="23" t="n"/>
      <c r="F559" s="15" t="n"/>
      <c r="G559" s="23" t="n"/>
      <c r="H559" s="25" t="n"/>
      <c r="I559" s="15" t="n"/>
      <c r="J559" s="26">
        <f>IF($A559="","",LEN($C559)-LEN(SUBSTITUTE($C559,",",""))+1)</f>
        <v/>
      </c>
      <c r="K559" s="26">
        <f>IF($A559="","",SUMPRODUCT(--ISNUMBER(SEARCH('Category Dictionary'!$D$5:$D$135&amp;"",$C559)),--('Category Dictionary'!$D$5:$D$135&lt;&gt;"")))</f>
        <v/>
      </c>
      <c r="L559" s="27">
        <f>IF($A559="","",TRIM(IF(ISERROR(FIND(",",$C559)),$C559,LEFT($C559,FIND(",",$C559)-1))))</f>
        <v/>
      </c>
      <c r="M559" s="28">
        <f>IF($H559="","",DATE(YEAR($H559),MONTH($H559),1))</f>
        <v/>
      </c>
      <c r="N559" s="26">
        <f>IF($H559="","",TODAY()-$H559)</f>
        <v/>
      </c>
      <c r="O559" s="15" t="n"/>
      <c r="P559" s="26">
        <f>IF($A559="","",COUNTIFS('Audit Versions'!$A$6:$A$605,$A559,'Audit Versions'!$L$6:$L$605,"Active"))</f>
        <v/>
      </c>
      <c r="Q559" s="15" t="n"/>
      <c r="R559" s="26">
        <f>IF(OR($A559="",$P559=0),"",MOD(N($Q559),$P559)+1)</f>
        <v/>
      </c>
      <c r="S559" s="15" t="n"/>
      <c r="T559" s="25" t="n"/>
      <c r="U559" s="26">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Builder'!$B$12="",N($S559)&lt;='Assignment Builder'!$B$12)))</f>
        <v/>
      </c>
      <c r="V559" s="23" t="n"/>
    </row>
    <row r="560">
      <c r="A560" s="23" t="n"/>
      <c r="B560" s="23" t="n"/>
      <c r="C560" s="24" t="n"/>
      <c r="D560" s="15" t="n"/>
      <c r="E560" s="23" t="n"/>
      <c r="F560" s="15" t="n"/>
      <c r="G560" s="23" t="n"/>
      <c r="H560" s="25" t="n"/>
      <c r="I560" s="15" t="n"/>
      <c r="J560" s="26">
        <f>IF($A560="","",LEN($C560)-LEN(SUBSTITUTE($C560,",",""))+1)</f>
        <v/>
      </c>
      <c r="K560" s="26">
        <f>IF($A560="","",SUMPRODUCT(--ISNUMBER(SEARCH('Category Dictionary'!$D$5:$D$135&amp;"",$C560)),--('Category Dictionary'!$D$5:$D$135&lt;&gt;"")))</f>
        <v/>
      </c>
      <c r="L560" s="27">
        <f>IF($A560="","",TRIM(IF(ISERROR(FIND(",",$C560)),$C560,LEFT($C560,FIND(",",$C560)-1))))</f>
        <v/>
      </c>
      <c r="M560" s="28">
        <f>IF($H560="","",DATE(YEAR($H560),MONTH($H560),1))</f>
        <v/>
      </c>
      <c r="N560" s="26">
        <f>IF($H560="","",TODAY()-$H560)</f>
        <v/>
      </c>
      <c r="O560" s="15" t="n"/>
      <c r="P560" s="26">
        <f>IF($A560="","",COUNTIFS('Audit Versions'!$A$6:$A$605,$A560,'Audit Versions'!$L$6:$L$605,"Active"))</f>
        <v/>
      </c>
      <c r="Q560" s="15" t="n"/>
      <c r="R560" s="26">
        <f>IF(OR($A560="",$P560=0),"",MOD(N($Q560),$P560)+1)</f>
        <v/>
      </c>
      <c r="S560" s="15" t="n"/>
      <c r="T560" s="25" t="n"/>
      <c r="U560" s="26">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Builder'!$B$12="",N($S560)&lt;='Assignment Builder'!$B$12)))</f>
        <v/>
      </c>
      <c r="V560" s="23" t="n"/>
    </row>
    <row r="561">
      <c r="A561" s="23" t="n"/>
      <c r="B561" s="23" t="n"/>
      <c r="C561" s="24" t="n"/>
      <c r="D561" s="15" t="n"/>
      <c r="E561" s="23" t="n"/>
      <c r="F561" s="15" t="n"/>
      <c r="G561" s="23" t="n"/>
      <c r="H561" s="25" t="n"/>
      <c r="I561" s="15" t="n"/>
      <c r="J561" s="26">
        <f>IF($A561="","",LEN($C561)-LEN(SUBSTITUTE($C561,",",""))+1)</f>
        <v/>
      </c>
      <c r="K561" s="26">
        <f>IF($A561="","",SUMPRODUCT(--ISNUMBER(SEARCH('Category Dictionary'!$D$5:$D$135&amp;"",$C561)),--('Category Dictionary'!$D$5:$D$135&lt;&gt;"")))</f>
        <v/>
      </c>
      <c r="L561" s="27">
        <f>IF($A561="","",TRIM(IF(ISERROR(FIND(",",$C561)),$C561,LEFT($C561,FIND(",",$C561)-1))))</f>
        <v/>
      </c>
      <c r="M561" s="28">
        <f>IF($H561="","",DATE(YEAR($H561),MONTH($H561),1))</f>
        <v/>
      </c>
      <c r="N561" s="26">
        <f>IF($H561="","",TODAY()-$H561)</f>
        <v/>
      </c>
      <c r="O561" s="15" t="n"/>
      <c r="P561" s="26">
        <f>IF($A561="","",COUNTIFS('Audit Versions'!$A$6:$A$605,$A561,'Audit Versions'!$L$6:$L$605,"Active"))</f>
        <v/>
      </c>
      <c r="Q561" s="15" t="n"/>
      <c r="R561" s="26">
        <f>IF(OR($A561="",$P561=0),"",MOD(N($Q561),$P561)+1)</f>
        <v/>
      </c>
      <c r="S561" s="15" t="n"/>
      <c r="T561" s="25" t="n"/>
      <c r="U561" s="26">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Builder'!$B$12="",N($S561)&lt;='Assignment Builder'!$B$12)))</f>
        <v/>
      </c>
      <c r="V561" s="23" t="n"/>
    </row>
    <row r="562">
      <c r="A562" s="23" t="n"/>
      <c r="B562" s="23" t="n"/>
      <c r="C562" s="24" t="n"/>
      <c r="D562" s="15" t="n"/>
      <c r="E562" s="23" t="n"/>
      <c r="F562" s="15" t="n"/>
      <c r="G562" s="23" t="n"/>
      <c r="H562" s="25" t="n"/>
      <c r="I562" s="15" t="n"/>
      <c r="J562" s="26">
        <f>IF($A562="","",LEN($C562)-LEN(SUBSTITUTE($C562,",",""))+1)</f>
        <v/>
      </c>
      <c r="K562" s="26">
        <f>IF($A562="","",SUMPRODUCT(--ISNUMBER(SEARCH('Category Dictionary'!$D$5:$D$135&amp;"",$C562)),--('Category Dictionary'!$D$5:$D$135&lt;&gt;"")))</f>
        <v/>
      </c>
      <c r="L562" s="27">
        <f>IF($A562="","",TRIM(IF(ISERROR(FIND(",",$C562)),$C562,LEFT($C562,FIND(",",$C562)-1))))</f>
        <v/>
      </c>
      <c r="M562" s="28">
        <f>IF($H562="","",DATE(YEAR($H562),MONTH($H562),1))</f>
        <v/>
      </c>
      <c r="N562" s="26">
        <f>IF($H562="","",TODAY()-$H562)</f>
        <v/>
      </c>
      <c r="O562" s="15" t="n"/>
      <c r="P562" s="26">
        <f>IF($A562="","",COUNTIFS('Audit Versions'!$A$6:$A$605,$A562,'Audit Versions'!$L$6:$L$605,"Active"))</f>
        <v/>
      </c>
      <c r="Q562" s="15" t="n"/>
      <c r="R562" s="26">
        <f>IF(OR($A562="",$P562=0),"",MOD(N($Q562),$P562)+1)</f>
        <v/>
      </c>
      <c r="S562" s="15" t="n"/>
      <c r="T562" s="25" t="n"/>
      <c r="U562" s="26">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Builder'!$B$12="",N($S562)&lt;='Assignment Builder'!$B$12)))</f>
        <v/>
      </c>
      <c r="V562" s="23" t="n"/>
    </row>
    <row r="563">
      <c r="A563" s="23" t="n"/>
      <c r="B563" s="23" t="n"/>
      <c r="C563" s="24" t="n"/>
      <c r="D563" s="15" t="n"/>
      <c r="E563" s="23" t="n"/>
      <c r="F563" s="15" t="n"/>
      <c r="G563" s="23" t="n"/>
      <c r="H563" s="25" t="n"/>
      <c r="I563" s="15" t="n"/>
      <c r="J563" s="26">
        <f>IF($A563="","",LEN($C563)-LEN(SUBSTITUTE($C563,",",""))+1)</f>
        <v/>
      </c>
      <c r="K563" s="26">
        <f>IF($A563="","",SUMPRODUCT(--ISNUMBER(SEARCH('Category Dictionary'!$D$5:$D$135&amp;"",$C563)),--('Category Dictionary'!$D$5:$D$135&lt;&gt;"")))</f>
        <v/>
      </c>
      <c r="L563" s="27">
        <f>IF($A563="","",TRIM(IF(ISERROR(FIND(",",$C563)),$C563,LEFT($C563,FIND(",",$C563)-1))))</f>
        <v/>
      </c>
      <c r="M563" s="28">
        <f>IF($H563="","",DATE(YEAR($H563),MONTH($H563),1))</f>
        <v/>
      </c>
      <c r="N563" s="26">
        <f>IF($H563="","",TODAY()-$H563)</f>
        <v/>
      </c>
      <c r="O563" s="15" t="n"/>
      <c r="P563" s="26">
        <f>IF($A563="","",COUNTIFS('Audit Versions'!$A$6:$A$605,$A563,'Audit Versions'!$L$6:$L$605,"Active"))</f>
        <v/>
      </c>
      <c r="Q563" s="15" t="n"/>
      <c r="R563" s="26">
        <f>IF(OR($A563="",$P563=0),"",MOD(N($Q563),$P563)+1)</f>
        <v/>
      </c>
      <c r="S563" s="15" t="n"/>
      <c r="T563" s="25" t="n"/>
      <c r="U563" s="26">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Builder'!$B$12="",N($S563)&lt;='Assignment Builder'!$B$12)))</f>
        <v/>
      </c>
      <c r="V563" s="23" t="n"/>
    </row>
    <row r="564">
      <c r="A564" s="23" t="n"/>
      <c r="B564" s="23" t="n"/>
      <c r="C564" s="24" t="n"/>
      <c r="D564" s="15" t="n"/>
      <c r="E564" s="23" t="n"/>
      <c r="F564" s="15" t="n"/>
      <c r="G564" s="23" t="n"/>
      <c r="H564" s="25" t="n"/>
      <c r="I564" s="15" t="n"/>
      <c r="J564" s="26">
        <f>IF($A564="","",LEN($C564)-LEN(SUBSTITUTE($C564,",",""))+1)</f>
        <v/>
      </c>
      <c r="K564" s="26">
        <f>IF($A564="","",SUMPRODUCT(--ISNUMBER(SEARCH('Category Dictionary'!$D$5:$D$135&amp;"",$C564)),--('Category Dictionary'!$D$5:$D$135&lt;&gt;"")))</f>
        <v/>
      </c>
      <c r="L564" s="27">
        <f>IF($A564="","",TRIM(IF(ISERROR(FIND(",",$C564)),$C564,LEFT($C564,FIND(",",$C564)-1))))</f>
        <v/>
      </c>
      <c r="M564" s="28">
        <f>IF($H564="","",DATE(YEAR($H564),MONTH($H564),1))</f>
        <v/>
      </c>
      <c r="N564" s="26">
        <f>IF($H564="","",TODAY()-$H564)</f>
        <v/>
      </c>
      <c r="O564" s="15" t="n"/>
      <c r="P564" s="26">
        <f>IF($A564="","",COUNTIFS('Audit Versions'!$A$6:$A$605,$A564,'Audit Versions'!$L$6:$L$605,"Active"))</f>
        <v/>
      </c>
      <c r="Q564" s="15" t="n"/>
      <c r="R564" s="26">
        <f>IF(OR($A564="",$P564=0),"",MOD(N($Q564),$P564)+1)</f>
        <v/>
      </c>
      <c r="S564" s="15" t="n"/>
      <c r="T564" s="25" t="n"/>
      <c r="U564" s="26">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Builder'!$B$12="",N($S564)&lt;='Assignment Builder'!$B$12)))</f>
        <v/>
      </c>
      <c r="V564" s="23" t="n"/>
    </row>
    <row r="565">
      <c r="A565" s="23" t="n"/>
      <c r="B565" s="23" t="n"/>
      <c r="C565" s="24" t="n"/>
      <c r="D565" s="15" t="n"/>
      <c r="E565" s="23" t="n"/>
      <c r="F565" s="15" t="n"/>
      <c r="G565" s="23" t="n"/>
      <c r="H565" s="25" t="n"/>
      <c r="I565" s="15" t="n"/>
      <c r="J565" s="26">
        <f>IF($A565="","",LEN($C565)-LEN(SUBSTITUTE($C565,",",""))+1)</f>
        <v/>
      </c>
      <c r="K565" s="26">
        <f>IF($A565="","",SUMPRODUCT(--ISNUMBER(SEARCH('Category Dictionary'!$D$5:$D$135&amp;"",$C565)),--('Category Dictionary'!$D$5:$D$135&lt;&gt;"")))</f>
        <v/>
      </c>
      <c r="L565" s="27">
        <f>IF($A565="","",TRIM(IF(ISERROR(FIND(",",$C565)),$C565,LEFT($C565,FIND(",",$C565)-1))))</f>
        <v/>
      </c>
      <c r="M565" s="28">
        <f>IF($H565="","",DATE(YEAR($H565),MONTH($H565),1))</f>
        <v/>
      </c>
      <c r="N565" s="26">
        <f>IF($H565="","",TODAY()-$H565)</f>
        <v/>
      </c>
      <c r="O565" s="15" t="n"/>
      <c r="P565" s="26">
        <f>IF($A565="","",COUNTIFS('Audit Versions'!$A$6:$A$605,$A565,'Audit Versions'!$L$6:$L$605,"Active"))</f>
        <v/>
      </c>
      <c r="Q565" s="15" t="n"/>
      <c r="R565" s="26">
        <f>IF(OR($A565="",$P565=0),"",MOD(N($Q565),$P565)+1)</f>
        <v/>
      </c>
      <c r="S565" s="15" t="n"/>
      <c r="T565" s="25" t="n"/>
      <c r="U565" s="26">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Builder'!$B$12="",N($S565)&lt;='Assignment Builder'!$B$12)))</f>
        <v/>
      </c>
      <c r="V565" s="23" t="n"/>
    </row>
    <row r="566">
      <c r="A566" s="23" t="n"/>
      <c r="B566" s="23" t="n"/>
      <c r="C566" s="24" t="n"/>
      <c r="D566" s="15" t="n"/>
      <c r="E566" s="23" t="n"/>
      <c r="F566" s="15" t="n"/>
      <c r="G566" s="23" t="n"/>
      <c r="H566" s="25" t="n"/>
      <c r="I566" s="15" t="n"/>
      <c r="J566" s="26">
        <f>IF($A566="","",LEN($C566)-LEN(SUBSTITUTE($C566,",",""))+1)</f>
        <v/>
      </c>
      <c r="K566" s="26">
        <f>IF($A566="","",SUMPRODUCT(--ISNUMBER(SEARCH('Category Dictionary'!$D$5:$D$135&amp;"",$C566)),--('Category Dictionary'!$D$5:$D$135&lt;&gt;"")))</f>
        <v/>
      </c>
      <c r="L566" s="27">
        <f>IF($A566="","",TRIM(IF(ISERROR(FIND(",",$C566)),$C566,LEFT($C566,FIND(",",$C566)-1))))</f>
        <v/>
      </c>
      <c r="M566" s="28">
        <f>IF($H566="","",DATE(YEAR($H566),MONTH($H566),1))</f>
        <v/>
      </c>
      <c r="N566" s="26">
        <f>IF($H566="","",TODAY()-$H566)</f>
        <v/>
      </c>
      <c r="O566" s="15" t="n"/>
      <c r="P566" s="26">
        <f>IF($A566="","",COUNTIFS('Audit Versions'!$A$6:$A$605,$A566,'Audit Versions'!$L$6:$L$605,"Active"))</f>
        <v/>
      </c>
      <c r="Q566" s="15" t="n"/>
      <c r="R566" s="26">
        <f>IF(OR($A566="",$P566=0),"",MOD(N($Q566),$P566)+1)</f>
        <v/>
      </c>
      <c r="S566" s="15" t="n"/>
      <c r="T566" s="25" t="n"/>
      <c r="U566" s="26">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Builder'!$B$12="",N($S566)&lt;='Assignment Builder'!$B$12)))</f>
        <v/>
      </c>
      <c r="V566" s="23" t="n"/>
    </row>
    <row r="567">
      <c r="A567" s="23" t="n"/>
      <c r="B567" s="23" t="n"/>
      <c r="C567" s="24" t="n"/>
      <c r="D567" s="15" t="n"/>
      <c r="E567" s="23" t="n"/>
      <c r="F567" s="15" t="n"/>
      <c r="G567" s="23" t="n"/>
      <c r="H567" s="25" t="n"/>
      <c r="I567" s="15" t="n"/>
      <c r="J567" s="26">
        <f>IF($A567="","",LEN($C567)-LEN(SUBSTITUTE($C567,",",""))+1)</f>
        <v/>
      </c>
      <c r="K567" s="26">
        <f>IF($A567="","",SUMPRODUCT(--ISNUMBER(SEARCH('Category Dictionary'!$D$5:$D$135&amp;"",$C567)),--('Category Dictionary'!$D$5:$D$135&lt;&gt;"")))</f>
        <v/>
      </c>
      <c r="L567" s="27">
        <f>IF($A567="","",TRIM(IF(ISERROR(FIND(",",$C567)),$C567,LEFT($C567,FIND(",",$C567)-1))))</f>
        <v/>
      </c>
      <c r="M567" s="28">
        <f>IF($H567="","",DATE(YEAR($H567),MONTH($H567),1))</f>
        <v/>
      </c>
      <c r="N567" s="26">
        <f>IF($H567="","",TODAY()-$H567)</f>
        <v/>
      </c>
      <c r="O567" s="15" t="n"/>
      <c r="P567" s="26">
        <f>IF($A567="","",COUNTIFS('Audit Versions'!$A$6:$A$605,$A567,'Audit Versions'!$L$6:$L$605,"Active"))</f>
        <v/>
      </c>
      <c r="Q567" s="15" t="n"/>
      <c r="R567" s="26">
        <f>IF(OR($A567="",$P567=0),"",MOD(N($Q567),$P567)+1)</f>
        <v/>
      </c>
      <c r="S567" s="15" t="n"/>
      <c r="T567" s="25" t="n"/>
      <c r="U567" s="26">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Builder'!$B$12="",N($S567)&lt;='Assignment Builder'!$B$12)))</f>
        <v/>
      </c>
      <c r="V567" s="23" t="n"/>
    </row>
    <row r="568">
      <c r="A568" s="23" t="n"/>
      <c r="B568" s="23" t="n"/>
      <c r="C568" s="24" t="n"/>
      <c r="D568" s="15" t="n"/>
      <c r="E568" s="23" t="n"/>
      <c r="F568" s="15" t="n"/>
      <c r="G568" s="23" t="n"/>
      <c r="H568" s="25" t="n"/>
      <c r="I568" s="15" t="n"/>
      <c r="J568" s="26">
        <f>IF($A568="","",LEN($C568)-LEN(SUBSTITUTE($C568,",",""))+1)</f>
        <v/>
      </c>
      <c r="K568" s="26">
        <f>IF($A568="","",SUMPRODUCT(--ISNUMBER(SEARCH('Category Dictionary'!$D$5:$D$135&amp;"",$C568)),--('Category Dictionary'!$D$5:$D$135&lt;&gt;"")))</f>
        <v/>
      </c>
      <c r="L568" s="27">
        <f>IF($A568="","",TRIM(IF(ISERROR(FIND(",",$C568)),$C568,LEFT($C568,FIND(",",$C568)-1))))</f>
        <v/>
      </c>
      <c r="M568" s="28">
        <f>IF($H568="","",DATE(YEAR($H568),MONTH($H568),1))</f>
        <v/>
      </c>
      <c r="N568" s="26">
        <f>IF($H568="","",TODAY()-$H568)</f>
        <v/>
      </c>
      <c r="O568" s="15" t="n"/>
      <c r="P568" s="26">
        <f>IF($A568="","",COUNTIFS('Audit Versions'!$A$6:$A$605,$A568,'Audit Versions'!$L$6:$L$605,"Active"))</f>
        <v/>
      </c>
      <c r="Q568" s="15" t="n"/>
      <c r="R568" s="26">
        <f>IF(OR($A568="",$P568=0),"",MOD(N($Q568),$P568)+1)</f>
        <v/>
      </c>
      <c r="S568" s="15" t="n"/>
      <c r="T568" s="25" t="n"/>
      <c r="U568" s="26">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Builder'!$B$12="",N($S568)&lt;='Assignment Builder'!$B$12)))</f>
        <v/>
      </c>
      <c r="V568" s="23" t="n"/>
    </row>
    <row r="569">
      <c r="A569" s="23" t="n"/>
      <c r="B569" s="23" t="n"/>
      <c r="C569" s="24" t="n"/>
      <c r="D569" s="15" t="n"/>
      <c r="E569" s="23" t="n"/>
      <c r="F569" s="15" t="n"/>
      <c r="G569" s="23" t="n"/>
      <c r="H569" s="25" t="n"/>
      <c r="I569" s="15" t="n"/>
      <c r="J569" s="26">
        <f>IF($A569="","",LEN($C569)-LEN(SUBSTITUTE($C569,",",""))+1)</f>
        <v/>
      </c>
      <c r="K569" s="26">
        <f>IF($A569="","",SUMPRODUCT(--ISNUMBER(SEARCH('Category Dictionary'!$D$5:$D$135&amp;"",$C569)),--('Category Dictionary'!$D$5:$D$135&lt;&gt;"")))</f>
        <v/>
      </c>
      <c r="L569" s="27">
        <f>IF($A569="","",TRIM(IF(ISERROR(FIND(",",$C569)),$C569,LEFT($C569,FIND(",",$C569)-1))))</f>
        <v/>
      </c>
      <c r="M569" s="28">
        <f>IF($H569="","",DATE(YEAR($H569),MONTH($H569),1))</f>
        <v/>
      </c>
      <c r="N569" s="26">
        <f>IF($H569="","",TODAY()-$H569)</f>
        <v/>
      </c>
      <c r="O569" s="15" t="n"/>
      <c r="P569" s="26">
        <f>IF($A569="","",COUNTIFS('Audit Versions'!$A$6:$A$605,$A569,'Audit Versions'!$L$6:$L$605,"Active"))</f>
        <v/>
      </c>
      <c r="Q569" s="15" t="n"/>
      <c r="R569" s="26">
        <f>IF(OR($A569="",$P569=0),"",MOD(N($Q569),$P569)+1)</f>
        <v/>
      </c>
      <c r="S569" s="15" t="n"/>
      <c r="T569" s="25" t="n"/>
      <c r="U569" s="26">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Builder'!$B$12="",N($S569)&lt;='Assignment Builder'!$B$12)))</f>
        <v/>
      </c>
      <c r="V569" s="23" t="n"/>
    </row>
    <row r="570">
      <c r="A570" s="23" t="n"/>
      <c r="B570" s="23" t="n"/>
      <c r="C570" s="24" t="n"/>
      <c r="D570" s="15" t="n"/>
      <c r="E570" s="23" t="n"/>
      <c r="F570" s="15" t="n"/>
      <c r="G570" s="23" t="n"/>
      <c r="H570" s="25" t="n"/>
      <c r="I570" s="15" t="n"/>
      <c r="J570" s="26">
        <f>IF($A570="","",LEN($C570)-LEN(SUBSTITUTE($C570,",",""))+1)</f>
        <v/>
      </c>
      <c r="K570" s="26">
        <f>IF($A570="","",SUMPRODUCT(--ISNUMBER(SEARCH('Category Dictionary'!$D$5:$D$135&amp;"",$C570)),--('Category Dictionary'!$D$5:$D$135&lt;&gt;"")))</f>
        <v/>
      </c>
      <c r="L570" s="27">
        <f>IF($A570="","",TRIM(IF(ISERROR(FIND(",",$C570)),$C570,LEFT($C570,FIND(",",$C570)-1))))</f>
        <v/>
      </c>
      <c r="M570" s="28">
        <f>IF($H570="","",DATE(YEAR($H570),MONTH($H570),1))</f>
        <v/>
      </c>
      <c r="N570" s="26">
        <f>IF($H570="","",TODAY()-$H570)</f>
        <v/>
      </c>
      <c r="O570" s="15" t="n"/>
      <c r="P570" s="26">
        <f>IF($A570="","",COUNTIFS('Audit Versions'!$A$6:$A$605,$A570,'Audit Versions'!$L$6:$L$605,"Active"))</f>
        <v/>
      </c>
      <c r="Q570" s="15" t="n"/>
      <c r="R570" s="26">
        <f>IF(OR($A570="",$P570=0),"",MOD(N($Q570),$P570)+1)</f>
        <v/>
      </c>
      <c r="S570" s="15" t="n"/>
      <c r="T570" s="25" t="n"/>
      <c r="U570" s="26">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Builder'!$B$12="",N($S570)&lt;='Assignment Builder'!$B$12)))</f>
        <v/>
      </c>
      <c r="V570" s="23" t="n"/>
    </row>
    <row r="571">
      <c r="A571" s="23" t="n"/>
      <c r="B571" s="23" t="n"/>
      <c r="C571" s="24" t="n"/>
      <c r="D571" s="15" t="n"/>
      <c r="E571" s="23" t="n"/>
      <c r="F571" s="15" t="n"/>
      <c r="G571" s="23" t="n"/>
      <c r="H571" s="25" t="n"/>
      <c r="I571" s="15" t="n"/>
      <c r="J571" s="26">
        <f>IF($A571="","",LEN($C571)-LEN(SUBSTITUTE($C571,",",""))+1)</f>
        <v/>
      </c>
      <c r="K571" s="26">
        <f>IF($A571="","",SUMPRODUCT(--ISNUMBER(SEARCH('Category Dictionary'!$D$5:$D$135&amp;"",$C571)),--('Category Dictionary'!$D$5:$D$135&lt;&gt;"")))</f>
        <v/>
      </c>
      <c r="L571" s="27">
        <f>IF($A571="","",TRIM(IF(ISERROR(FIND(",",$C571)),$C571,LEFT($C571,FIND(",",$C571)-1))))</f>
        <v/>
      </c>
      <c r="M571" s="28">
        <f>IF($H571="","",DATE(YEAR($H571),MONTH($H571),1))</f>
        <v/>
      </c>
      <c r="N571" s="26">
        <f>IF($H571="","",TODAY()-$H571)</f>
        <v/>
      </c>
      <c r="O571" s="15" t="n"/>
      <c r="P571" s="26">
        <f>IF($A571="","",COUNTIFS('Audit Versions'!$A$6:$A$605,$A571,'Audit Versions'!$L$6:$L$605,"Active"))</f>
        <v/>
      </c>
      <c r="Q571" s="15" t="n"/>
      <c r="R571" s="26">
        <f>IF(OR($A571="",$P571=0),"",MOD(N($Q571),$P571)+1)</f>
        <v/>
      </c>
      <c r="S571" s="15" t="n"/>
      <c r="T571" s="25" t="n"/>
      <c r="U571" s="26">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Builder'!$B$12="",N($S571)&lt;='Assignment Builder'!$B$12)))</f>
        <v/>
      </c>
      <c r="V571" s="23" t="n"/>
    </row>
    <row r="572">
      <c r="A572" s="23" t="n"/>
      <c r="B572" s="23" t="n"/>
      <c r="C572" s="24" t="n"/>
      <c r="D572" s="15" t="n"/>
      <c r="E572" s="23" t="n"/>
      <c r="F572" s="15" t="n"/>
      <c r="G572" s="23" t="n"/>
      <c r="H572" s="25" t="n"/>
      <c r="I572" s="15" t="n"/>
      <c r="J572" s="26">
        <f>IF($A572="","",LEN($C572)-LEN(SUBSTITUTE($C572,",",""))+1)</f>
        <v/>
      </c>
      <c r="K572" s="26">
        <f>IF($A572="","",SUMPRODUCT(--ISNUMBER(SEARCH('Category Dictionary'!$D$5:$D$135&amp;"",$C572)),--('Category Dictionary'!$D$5:$D$135&lt;&gt;"")))</f>
        <v/>
      </c>
      <c r="L572" s="27">
        <f>IF($A572="","",TRIM(IF(ISERROR(FIND(",",$C572)),$C572,LEFT($C572,FIND(",",$C572)-1))))</f>
        <v/>
      </c>
      <c r="M572" s="28">
        <f>IF($H572="","",DATE(YEAR($H572),MONTH($H572),1))</f>
        <v/>
      </c>
      <c r="N572" s="26">
        <f>IF($H572="","",TODAY()-$H572)</f>
        <v/>
      </c>
      <c r="O572" s="15" t="n"/>
      <c r="P572" s="26">
        <f>IF($A572="","",COUNTIFS('Audit Versions'!$A$6:$A$605,$A572,'Audit Versions'!$L$6:$L$605,"Active"))</f>
        <v/>
      </c>
      <c r="Q572" s="15" t="n"/>
      <c r="R572" s="26">
        <f>IF(OR($A572="",$P572=0),"",MOD(N($Q572),$P572)+1)</f>
        <v/>
      </c>
      <c r="S572" s="15" t="n"/>
      <c r="T572" s="25" t="n"/>
      <c r="U572" s="26">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Builder'!$B$12="",N($S572)&lt;='Assignment Builder'!$B$12)))</f>
        <v/>
      </c>
      <c r="V572" s="23" t="n"/>
    </row>
    <row r="573">
      <c r="A573" s="23" t="n"/>
      <c r="B573" s="23" t="n"/>
      <c r="C573" s="24" t="n"/>
      <c r="D573" s="15" t="n"/>
      <c r="E573" s="23" t="n"/>
      <c r="F573" s="15" t="n"/>
      <c r="G573" s="23" t="n"/>
      <c r="H573" s="25" t="n"/>
      <c r="I573" s="15" t="n"/>
      <c r="J573" s="26">
        <f>IF($A573="","",LEN($C573)-LEN(SUBSTITUTE($C573,",",""))+1)</f>
        <v/>
      </c>
      <c r="K573" s="26">
        <f>IF($A573="","",SUMPRODUCT(--ISNUMBER(SEARCH('Category Dictionary'!$D$5:$D$135&amp;"",$C573)),--('Category Dictionary'!$D$5:$D$135&lt;&gt;"")))</f>
        <v/>
      </c>
      <c r="L573" s="27">
        <f>IF($A573="","",TRIM(IF(ISERROR(FIND(",",$C573)),$C573,LEFT($C573,FIND(",",$C573)-1))))</f>
        <v/>
      </c>
      <c r="M573" s="28">
        <f>IF($H573="","",DATE(YEAR($H573),MONTH($H573),1))</f>
        <v/>
      </c>
      <c r="N573" s="26">
        <f>IF($H573="","",TODAY()-$H573)</f>
        <v/>
      </c>
      <c r="O573" s="15" t="n"/>
      <c r="P573" s="26">
        <f>IF($A573="","",COUNTIFS('Audit Versions'!$A$6:$A$605,$A573,'Audit Versions'!$L$6:$L$605,"Active"))</f>
        <v/>
      </c>
      <c r="Q573" s="15" t="n"/>
      <c r="R573" s="26">
        <f>IF(OR($A573="",$P573=0),"",MOD(N($Q573),$P573)+1)</f>
        <v/>
      </c>
      <c r="S573" s="15" t="n"/>
      <c r="T573" s="25" t="n"/>
      <c r="U573" s="26">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Builder'!$B$12="",N($S573)&lt;='Assignment Builder'!$B$12)))</f>
        <v/>
      </c>
      <c r="V573" s="23" t="n"/>
    </row>
    <row r="574">
      <c r="A574" s="23" t="n"/>
      <c r="B574" s="23" t="n"/>
      <c r="C574" s="24" t="n"/>
      <c r="D574" s="15" t="n"/>
      <c r="E574" s="23" t="n"/>
      <c r="F574" s="15" t="n"/>
      <c r="G574" s="23" t="n"/>
      <c r="H574" s="25" t="n"/>
      <c r="I574" s="15" t="n"/>
      <c r="J574" s="26">
        <f>IF($A574="","",LEN($C574)-LEN(SUBSTITUTE($C574,",",""))+1)</f>
        <v/>
      </c>
      <c r="K574" s="26">
        <f>IF($A574="","",SUMPRODUCT(--ISNUMBER(SEARCH('Category Dictionary'!$D$5:$D$135&amp;"",$C574)),--('Category Dictionary'!$D$5:$D$135&lt;&gt;"")))</f>
        <v/>
      </c>
      <c r="L574" s="27">
        <f>IF($A574="","",TRIM(IF(ISERROR(FIND(",",$C574)),$C574,LEFT($C574,FIND(",",$C574)-1))))</f>
        <v/>
      </c>
      <c r="M574" s="28">
        <f>IF($H574="","",DATE(YEAR($H574),MONTH($H574),1))</f>
        <v/>
      </c>
      <c r="N574" s="26">
        <f>IF($H574="","",TODAY()-$H574)</f>
        <v/>
      </c>
      <c r="O574" s="15" t="n"/>
      <c r="P574" s="26">
        <f>IF($A574="","",COUNTIFS('Audit Versions'!$A$6:$A$605,$A574,'Audit Versions'!$L$6:$L$605,"Active"))</f>
        <v/>
      </c>
      <c r="Q574" s="15" t="n"/>
      <c r="R574" s="26">
        <f>IF(OR($A574="",$P574=0),"",MOD(N($Q574),$P574)+1)</f>
        <v/>
      </c>
      <c r="S574" s="15" t="n"/>
      <c r="T574" s="25" t="n"/>
      <c r="U574" s="26">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Builder'!$B$12="",N($S574)&lt;='Assignment Builder'!$B$12)))</f>
        <v/>
      </c>
      <c r="V574" s="23" t="n"/>
    </row>
    <row r="575">
      <c r="A575" s="23" t="n"/>
      <c r="B575" s="23" t="n"/>
      <c r="C575" s="24" t="n"/>
      <c r="D575" s="15" t="n"/>
      <c r="E575" s="23" t="n"/>
      <c r="F575" s="15" t="n"/>
      <c r="G575" s="23" t="n"/>
      <c r="H575" s="25" t="n"/>
      <c r="I575" s="15" t="n"/>
      <c r="J575" s="26">
        <f>IF($A575="","",LEN($C575)-LEN(SUBSTITUTE($C575,",",""))+1)</f>
        <v/>
      </c>
      <c r="K575" s="26">
        <f>IF($A575="","",SUMPRODUCT(--ISNUMBER(SEARCH('Category Dictionary'!$D$5:$D$135&amp;"",$C575)),--('Category Dictionary'!$D$5:$D$135&lt;&gt;"")))</f>
        <v/>
      </c>
      <c r="L575" s="27">
        <f>IF($A575="","",TRIM(IF(ISERROR(FIND(",",$C575)),$C575,LEFT($C575,FIND(",",$C575)-1))))</f>
        <v/>
      </c>
      <c r="M575" s="28">
        <f>IF($H575="","",DATE(YEAR($H575),MONTH($H575),1))</f>
        <v/>
      </c>
      <c r="N575" s="26">
        <f>IF($H575="","",TODAY()-$H575)</f>
        <v/>
      </c>
      <c r="O575" s="15" t="n"/>
      <c r="P575" s="26">
        <f>IF($A575="","",COUNTIFS('Audit Versions'!$A$6:$A$605,$A575,'Audit Versions'!$L$6:$L$605,"Active"))</f>
        <v/>
      </c>
      <c r="Q575" s="15" t="n"/>
      <c r="R575" s="26">
        <f>IF(OR($A575="",$P575=0),"",MOD(N($Q575),$P575)+1)</f>
        <v/>
      </c>
      <c r="S575" s="15" t="n"/>
      <c r="T575" s="25" t="n"/>
      <c r="U575" s="26">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Builder'!$B$12="",N($S575)&lt;='Assignment Builder'!$B$12)))</f>
        <v/>
      </c>
      <c r="V575" s="23" t="n"/>
    </row>
    <row r="576">
      <c r="A576" s="23" t="n"/>
      <c r="B576" s="23" t="n"/>
      <c r="C576" s="24" t="n"/>
      <c r="D576" s="15" t="n"/>
      <c r="E576" s="23" t="n"/>
      <c r="F576" s="15" t="n"/>
      <c r="G576" s="23" t="n"/>
      <c r="H576" s="25" t="n"/>
      <c r="I576" s="15" t="n"/>
      <c r="J576" s="26">
        <f>IF($A576="","",LEN($C576)-LEN(SUBSTITUTE($C576,",",""))+1)</f>
        <v/>
      </c>
      <c r="K576" s="26">
        <f>IF($A576="","",SUMPRODUCT(--ISNUMBER(SEARCH('Category Dictionary'!$D$5:$D$135&amp;"",$C576)),--('Category Dictionary'!$D$5:$D$135&lt;&gt;"")))</f>
        <v/>
      </c>
      <c r="L576" s="27">
        <f>IF($A576="","",TRIM(IF(ISERROR(FIND(",",$C576)),$C576,LEFT($C576,FIND(",",$C576)-1))))</f>
        <v/>
      </c>
      <c r="M576" s="28">
        <f>IF($H576="","",DATE(YEAR($H576),MONTH($H576),1))</f>
        <v/>
      </c>
      <c r="N576" s="26">
        <f>IF($H576="","",TODAY()-$H576)</f>
        <v/>
      </c>
      <c r="O576" s="15" t="n"/>
      <c r="P576" s="26">
        <f>IF($A576="","",COUNTIFS('Audit Versions'!$A$6:$A$605,$A576,'Audit Versions'!$L$6:$L$605,"Active"))</f>
        <v/>
      </c>
      <c r="Q576" s="15" t="n"/>
      <c r="R576" s="26">
        <f>IF(OR($A576="",$P576=0),"",MOD(N($Q576),$P576)+1)</f>
        <v/>
      </c>
      <c r="S576" s="15" t="n"/>
      <c r="T576" s="25" t="n"/>
      <c r="U576" s="26">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Builder'!$B$12="",N($S576)&lt;='Assignment Builder'!$B$12)))</f>
        <v/>
      </c>
      <c r="V576" s="23" t="n"/>
    </row>
    <row r="577">
      <c r="A577" s="23" t="n"/>
      <c r="B577" s="23" t="n"/>
      <c r="C577" s="24" t="n"/>
      <c r="D577" s="15" t="n"/>
      <c r="E577" s="23" t="n"/>
      <c r="F577" s="15" t="n"/>
      <c r="G577" s="23" t="n"/>
      <c r="H577" s="25" t="n"/>
      <c r="I577" s="15" t="n"/>
      <c r="J577" s="26">
        <f>IF($A577="","",LEN($C577)-LEN(SUBSTITUTE($C577,",",""))+1)</f>
        <v/>
      </c>
      <c r="K577" s="26">
        <f>IF($A577="","",SUMPRODUCT(--ISNUMBER(SEARCH('Category Dictionary'!$D$5:$D$135&amp;"",$C577)),--('Category Dictionary'!$D$5:$D$135&lt;&gt;"")))</f>
        <v/>
      </c>
      <c r="L577" s="27">
        <f>IF($A577="","",TRIM(IF(ISERROR(FIND(",",$C577)),$C577,LEFT($C577,FIND(",",$C577)-1))))</f>
        <v/>
      </c>
      <c r="M577" s="28">
        <f>IF($H577="","",DATE(YEAR($H577),MONTH($H577),1))</f>
        <v/>
      </c>
      <c r="N577" s="26">
        <f>IF($H577="","",TODAY()-$H577)</f>
        <v/>
      </c>
      <c r="O577" s="15" t="n"/>
      <c r="P577" s="26">
        <f>IF($A577="","",COUNTIFS('Audit Versions'!$A$6:$A$605,$A577,'Audit Versions'!$L$6:$L$605,"Active"))</f>
        <v/>
      </c>
      <c r="Q577" s="15" t="n"/>
      <c r="R577" s="26">
        <f>IF(OR($A577="",$P577=0),"",MOD(N($Q577),$P577)+1)</f>
        <v/>
      </c>
      <c r="S577" s="15" t="n"/>
      <c r="T577" s="25" t="n"/>
      <c r="U577" s="26">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Builder'!$B$12="",N($S577)&lt;='Assignment Builder'!$B$12)))</f>
        <v/>
      </c>
      <c r="V577" s="23" t="n"/>
    </row>
    <row r="578">
      <c r="A578" s="23" t="n"/>
      <c r="B578" s="23" t="n"/>
      <c r="C578" s="24" t="n"/>
      <c r="D578" s="15" t="n"/>
      <c r="E578" s="23" t="n"/>
      <c r="F578" s="15" t="n"/>
      <c r="G578" s="23" t="n"/>
      <c r="H578" s="25" t="n"/>
      <c r="I578" s="15" t="n"/>
      <c r="J578" s="26">
        <f>IF($A578="","",LEN($C578)-LEN(SUBSTITUTE($C578,",",""))+1)</f>
        <v/>
      </c>
      <c r="K578" s="26">
        <f>IF($A578="","",SUMPRODUCT(--ISNUMBER(SEARCH('Category Dictionary'!$D$5:$D$135&amp;"",$C578)),--('Category Dictionary'!$D$5:$D$135&lt;&gt;"")))</f>
        <v/>
      </c>
      <c r="L578" s="27">
        <f>IF($A578="","",TRIM(IF(ISERROR(FIND(",",$C578)),$C578,LEFT($C578,FIND(",",$C578)-1))))</f>
        <v/>
      </c>
      <c r="M578" s="28">
        <f>IF($H578="","",DATE(YEAR($H578),MONTH($H578),1))</f>
        <v/>
      </c>
      <c r="N578" s="26">
        <f>IF($H578="","",TODAY()-$H578)</f>
        <v/>
      </c>
      <c r="O578" s="15" t="n"/>
      <c r="P578" s="26">
        <f>IF($A578="","",COUNTIFS('Audit Versions'!$A$6:$A$605,$A578,'Audit Versions'!$L$6:$L$605,"Active"))</f>
        <v/>
      </c>
      <c r="Q578" s="15" t="n"/>
      <c r="R578" s="26">
        <f>IF(OR($A578="",$P578=0),"",MOD(N($Q578),$P578)+1)</f>
        <v/>
      </c>
      <c r="S578" s="15" t="n"/>
      <c r="T578" s="25" t="n"/>
      <c r="U578" s="26">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Builder'!$B$12="",N($S578)&lt;='Assignment Builder'!$B$12)))</f>
        <v/>
      </c>
      <c r="V578" s="23" t="n"/>
    </row>
    <row r="579">
      <c r="A579" s="23" t="n"/>
      <c r="B579" s="23" t="n"/>
      <c r="C579" s="24" t="n"/>
      <c r="D579" s="15" t="n"/>
      <c r="E579" s="23" t="n"/>
      <c r="F579" s="15" t="n"/>
      <c r="G579" s="23" t="n"/>
      <c r="H579" s="25" t="n"/>
      <c r="I579" s="15" t="n"/>
      <c r="J579" s="26">
        <f>IF($A579="","",LEN($C579)-LEN(SUBSTITUTE($C579,",",""))+1)</f>
        <v/>
      </c>
      <c r="K579" s="26">
        <f>IF($A579="","",SUMPRODUCT(--ISNUMBER(SEARCH('Category Dictionary'!$D$5:$D$135&amp;"",$C579)),--('Category Dictionary'!$D$5:$D$135&lt;&gt;"")))</f>
        <v/>
      </c>
      <c r="L579" s="27">
        <f>IF($A579="","",TRIM(IF(ISERROR(FIND(",",$C579)),$C579,LEFT($C579,FIND(",",$C579)-1))))</f>
        <v/>
      </c>
      <c r="M579" s="28">
        <f>IF($H579="","",DATE(YEAR($H579),MONTH($H579),1))</f>
        <v/>
      </c>
      <c r="N579" s="26">
        <f>IF($H579="","",TODAY()-$H579)</f>
        <v/>
      </c>
      <c r="O579" s="15" t="n"/>
      <c r="P579" s="26">
        <f>IF($A579="","",COUNTIFS('Audit Versions'!$A$6:$A$605,$A579,'Audit Versions'!$L$6:$L$605,"Active"))</f>
        <v/>
      </c>
      <c r="Q579" s="15" t="n"/>
      <c r="R579" s="26">
        <f>IF(OR($A579="",$P579=0),"",MOD(N($Q579),$P579)+1)</f>
        <v/>
      </c>
      <c r="S579" s="15" t="n"/>
      <c r="T579" s="25" t="n"/>
      <c r="U579" s="26">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Builder'!$B$12="",N($S579)&lt;='Assignment Builder'!$B$12)))</f>
        <v/>
      </c>
      <c r="V579" s="23" t="n"/>
    </row>
    <row r="580">
      <c r="A580" s="23" t="n"/>
      <c r="B580" s="23" t="n"/>
      <c r="C580" s="24" t="n"/>
      <c r="D580" s="15" t="n"/>
      <c r="E580" s="23" t="n"/>
      <c r="F580" s="15" t="n"/>
      <c r="G580" s="23" t="n"/>
      <c r="H580" s="25" t="n"/>
      <c r="I580" s="15" t="n"/>
      <c r="J580" s="26">
        <f>IF($A580="","",LEN($C580)-LEN(SUBSTITUTE($C580,",",""))+1)</f>
        <v/>
      </c>
      <c r="K580" s="26">
        <f>IF($A580="","",SUMPRODUCT(--ISNUMBER(SEARCH('Category Dictionary'!$D$5:$D$135&amp;"",$C580)),--('Category Dictionary'!$D$5:$D$135&lt;&gt;"")))</f>
        <v/>
      </c>
      <c r="L580" s="27">
        <f>IF($A580="","",TRIM(IF(ISERROR(FIND(",",$C580)),$C580,LEFT($C580,FIND(",",$C580)-1))))</f>
        <v/>
      </c>
      <c r="M580" s="28">
        <f>IF($H580="","",DATE(YEAR($H580),MONTH($H580),1))</f>
        <v/>
      </c>
      <c r="N580" s="26">
        <f>IF($H580="","",TODAY()-$H580)</f>
        <v/>
      </c>
      <c r="O580" s="15" t="n"/>
      <c r="P580" s="26">
        <f>IF($A580="","",COUNTIFS('Audit Versions'!$A$6:$A$605,$A580,'Audit Versions'!$L$6:$L$605,"Active"))</f>
        <v/>
      </c>
      <c r="Q580" s="15" t="n"/>
      <c r="R580" s="26">
        <f>IF(OR($A580="",$P580=0),"",MOD(N($Q580),$P580)+1)</f>
        <v/>
      </c>
      <c r="S580" s="15" t="n"/>
      <c r="T580" s="25" t="n"/>
      <c r="U580" s="26">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Builder'!$B$12="",N($S580)&lt;='Assignment Builder'!$B$12)))</f>
        <v/>
      </c>
      <c r="V580" s="23" t="n"/>
    </row>
    <row r="581">
      <c r="A581" s="23" t="n"/>
      <c r="B581" s="23" t="n"/>
      <c r="C581" s="24" t="n"/>
      <c r="D581" s="15" t="n"/>
      <c r="E581" s="23" t="n"/>
      <c r="F581" s="15" t="n"/>
      <c r="G581" s="23" t="n"/>
      <c r="H581" s="25" t="n"/>
      <c r="I581" s="15" t="n"/>
      <c r="J581" s="26">
        <f>IF($A581="","",LEN($C581)-LEN(SUBSTITUTE($C581,",",""))+1)</f>
        <v/>
      </c>
      <c r="K581" s="26">
        <f>IF($A581="","",SUMPRODUCT(--ISNUMBER(SEARCH('Category Dictionary'!$D$5:$D$135&amp;"",$C581)),--('Category Dictionary'!$D$5:$D$135&lt;&gt;"")))</f>
        <v/>
      </c>
      <c r="L581" s="27">
        <f>IF($A581="","",TRIM(IF(ISERROR(FIND(",",$C581)),$C581,LEFT($C581,FIND(",",$C581)-1))))</f>
        <v/>
      </c>
      <c r="M581" s="28">
        <f>IF($H581="","",DATE(YEAR($H581),MONTH($H581),1))</f>
        <v/>
      </c>
      <c r="N581" s="26">
        <f>IF($H581="","",TODAY()-$H581)</f>
        <v/>
      </c>
      <c r="O581" s="15" t="n"/>
      <c r="P581" s="26">
        <f>IF($A581="","",COUNTIFS('Audit Versions'!$A$6:$A$605,$A581,'Audit Versions'!$L$6:$L$605,"Active"))</f>
        <v/>
      </c>
      <c r="Q581" s="15" t="n"/>
      <c r="R581" s="26">
        <f>IF(OR($A581="",$P581=0),"",MOD(N($Q581),$P581)+1)</f>
        <v/>
      </c>
      <c r="S581" s="15" t="n"/>
      <c r="T581" s="25" t="n"/>
      <c r="U581" s="26">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Builder'!$B$12="",N($S581)&lt;='Assignment Builder'!$B$12)))</f>
        <v/>
      </c>
      <c r="V581" s="23" t="n"/>
    </row>
    <row r="582">
      <c r="A582" s="23" t="n"/>
      <c r="B582" s="23" t="n"/>
      <c r="C582" s="24" t="n"/>
      <c r="D582" s="15" t="n"/>
      <c r="E582" s="23" t="n"/>
      <c r="F582" s="15" t="n"/>
      <c r="G582" s="23" t="n"/>
      <c r="H582" s="25" t="n"/>
      <c r="I582" s="15" t="n"/>
      <c r="J582" s="26">
        <f>IF($A582="","",LEN($C582)-LEN(SUBSTITUTE($C582,",",""))+1)</f>
        <v/>
      </c>
      <c r="K582" s="26">
        <f>IF($A582="","",SUMPRODUCT(--ISNUMBER(SEARCH('Category Dictionary'!$D$5:$D$135&amp;"",$C582)),--('Category Dictionary'!$D$5:$D$135&lt;&gt;"")))</f>
        <v/>
      </c>
      <c r="L582" s="27">
        <f>IF($A582="","",TRIM(IF(ISERROR(FIND(",",$C582)),$C582,LEFT($C582,FIND(",",$C582)-1))))</f>
        <v/>
      </c>
      <c r="M582" s="28">
        <f>IF($H582="","",DATE(YEAR($H582),MONTH($H582),1))</f>
        <v/>
      </c>
      <c r="N582" s="26">
        <f>IF($H582="","",TODAY()-$H582)</f>
        <v/>
      </c>
      <c r="O582" s="15" t="n"/>
      <c r="P582" s="26">
        <f>IF($A582="","",COUNTIFS('Audit Versions'!$A$6:$A$605,$A582,'Audit Versions'!$L$6:$L$605,"Active"))</f>
        <v/>
      </c>
      <c r="Q582" s="15" t="n"/>
      <c r="R582" s="26">
        <f>IF(OR($A582="",$P582=0),"",MOD(N($Q582),$P582)+1)</f>
        <v/>
      </c>
      <c r="S582" s="15" t="n"/>
      <c r="T582" s="25" t="n"/>
      <c r="U582" s="26">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Builder'!$B$12="",N($S582)&lt;='Assignment Builder'!$B$12)))</f>
        <v/>
      </c>
      <c r="V582" s="23" t="n"/>
    </row>
    <row r="583">
      <c r="A583" s="23" t="n"/>
      <c r="B583" s="23" t="n"/>
      <c r="C583" s="24" t="n"/>
      <c r="D583" s="15" t="n"/>
      <c r="E583" s="23" t="n"/>
      <c r="F583" s="15" t="n"/>
      <c r="G583" s="23" t="n"/>
      <c r="H583" s="25" t="n"/>
      <c r="I583" s="15" t="n"/>
      <c r="J583" s="26">
        <f>IF($A583="","",LEN($C583)-LEN(SUBSTITUTE($C583,",",""))+1)</f>
        <v/>
      </c>
      <c r="K583" s="26">
        <f>IF($A583="","",SUMPRODUCT(--ISNUMBER(SEARCH('Category Dictionary'!$D$5:$D$135&amp;"",$C583)),--('Category Dictionary'!$D$5:$D$135&lt;&gt;"")))</f>
        <v/>
      </c>
      <c r="L583" s="27">
        <f>IF($A583="","",TRIM(IF(ISERROR(FIND(",",$C583)),$C583,LEFT($C583,FIND(",",$C583)-1))))</f>
        <v/>
      </c>
      <c r="M583" s="28">
        <f>IF($H583="","",DATE(YEAR($H583),MONTH($H583),1))</f>
        <v/>
      </c>
      <c r="N583" s="26">
        <f>IF($H583="","",TODAY()-$H583)</f>
        <v/>
      </c>
      <c r="O583" s="15" t="n"/>
      <c r="P583" s="26">
        <f>IF($A583="","",COUNTIFS('Audit Versions'!$A$6:$A$605,$A583,'Audit Versions'!$L$6:$L$605,"Active"))</f>
        <v/>
      </c>
      <c r="Q583" s="15" t="n"/>
      <c r="R583" s="26">
        <f>IF(OR($A583="",$P583=0),"",MOD(N($Q583),$P583)+1)</f>
        <v/>
      </c>
      <c r="S583" s="15" t="n"/>
      <c r="T583" s="25" t="n"/>
      <c r="U583" s="26">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Builder'!$B$12="",N($S583)&lt;='Assignment Builder'!$B$12)))</f>
        <v/>
      </c>
      <c r="V583" s="23" t="n"/>
    </row>
    <row r="584">
      <c r="A584" s="23" t="n"/>
      <c r="B584" s="23" t="n"/>
      <c r="C584" s="24" t="n"/>
      <c r="D584" s="15" t="n"/>
      <c r="E584" s="23" t="n"/>
      <c r="F584" s="15" t="n"/>
      <c r="G584" s="23" t="n"/>
      <c r="H584" s="25" t="n"/>
      <c r="I584" s="15" t="n"/>
      <c r="J584" s="26">
        <f>IF($A584="","",LEN($C584)-LEN(SUBSTITUTE($C584,",",""))+1)</f>
        <v/>
      </c>
      <c r="K584" s="26">
        <f>IF($A584="","",SUMPRODUCT(--ISNUMBER(SEARCH('Category Dictionary'!$D$5:$D$135&amp;"",$C584)),--('Category Dictionary'!$D$5:$D$135&lt;&gt;"")))</f>
        <v/>
      </c>
      <c r="L584" s="27">
        <f>IF($A584="","",TRIM(IF(ISERROR(FIND(",",$C584)),$C584,LEFT($C584,FIND(",",$C584)-1))))</f>
        <v/>
      </c>
      <c r="M584" s="28">
        <f>IF($H584="","",DATE(YEAR($H584),MONTH($H584),1))</f>
        <v/>
      </c>
      <c r="N584" s="26">
        <f>IF($H584="","",TODAY()-$H584)</f>
        <v/>
      </c>
      <c r="O584" s="15" t="n"/>
      <c r="P584" s="26">
        <f>IF($A584="","",COUNTIFS('Audit Versions'!$A$6:$A$605,$A584,'Audit Versions'!$L$6:$L$605,"Active"))</f>
        <v/>
      </c>
      <c r="Q584" s="15" t="n"/>
      <c r="R584" s="26">
        <f>IF(OR($A584="",$P584=0),"",MOD(N($Q584),$P584)+1)</f>
        <v/>
      </c>
      <c r="S584" s="15" t="n"/>
      <c r="T584" s="25" t="n"/>
      <c r="U584" s="26">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Builder'!$B$12="",N($S584)&lt;='Assignment Builder'!$B$12)))</f>
        <v/>
      </c>
      <c r="V584" s="23" t="n"/>
    </row>
    <row r="585">
      <c r="A585" s="23" t="n"/>
      <c r="B585" s="23" t="n"/>
      <c r="C585" s="24" t="n"/>
      <c r="D585" s="15" t="n"/>
      <c r="E585" s="23" t="n"/>
      <c r="F585" s="15" t="n"/>
      <c r="G585" s="23" t="n"/>
      <c r="H585" s="25" t="n"/>
      <c r="I585" s="15" t="n"/>
      <c r="J585" s="26">
        <f>IF($A585="","",LEN($C585)-LEN(SUBSTITUTE($C585,",",""))+1)</f>
        <v/>
      </c>
      <c r="K585" s="26">
        <f>IF($A585="","",SUMPRODUCT(--ISNUMBER(SEARCH('Category Dictionary'!$D$5:$D$135&amp;"",$C585)),--('Category Dictionary'!$D$5:$D$135&lt;&gt;"")))</f>
        <v/>
      </c>
      <c r="L585" s="27">
        <f>IF($A585="","",TRIM(IF(ISERROR(FIND(",",$C585)),$C585,LEFT($C585,FIND(",",$C585)-1))))</f>
        <v/>
      </c>
      <c r="M585" s="28">
        <f>IF($H585="","",DATE(YEAR($H585),MONTH($H585),1))</f>
        <v/>
      </c>
      <c r="N585" s="26">
        <f>IF($H585="","",TODAY()-$H585)</f>
        <v/>
      </c>
      <c r="O585" s="15" t="n"/>
      <c r="P585" s="26">
        <f>IF($A585="","",COUNTIFS('Audit Versions'!$A$6:$A$605,$A585,'Audit Versions'!$L$6:$L$605,"Active"))</f>
        <v/>
      </c>
      <c r="Q585" s="15" t="n"/>
      <c r="R585" s="26">
        <f>IF(OR($A585="",$P585=0),"",MOD(N($Q585),$P585)+1)</f>
        <v/>
      </c>
      <c r="S585" s="15" t="n"/>
      <c r="T585" s="25" t="n"/>
      <c r="U585" s="26">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Builder'!$B$12="",N($S585)&lt;='Assignment Builder'!$B$12)))</f>
        <v/>
      </c>
      <c r="V585" s="23" t="n"/>
    </row>
    <row r="586">
      <c r="A586" s="23" t="n"/>
      <c r="B586" s="23" t="n"/>
      <c r="C586" s="24" t="n"/>
      <c r="D586" s="15" t="n"/>
      <c r="E586" s="23" t="n"/>
      <c r="F586" s="15" t="n"/>
      <c r="G586" s="23" t="n"/>
      <c r="H586" s="25" t="n"/>
      <c r="I586" s="15" t="n"/>
      <c r="J586" s="26">
        <f>IF($A586="","",LEN($C586)-LEN(SUBSTITUTE($C586,",",""))+1)</f>
        <v/>
      </c>
      <c r="K586" s="26">
        <f>IF($A586="","",SUMPRODUCT(--ISNUMBER(SEARCH('Category Dictionary'!$D$5:$D$135&amp;"",$C586)),--('Category Dictionary'!$D$5:$D$135&lt;&gt;"")))</f>
        <v/>
      </c>
      <c r="L586" s="27">
        <f>IF($A586="","",TRIM(IF(ISERROR(FIND(",",$C586)),$C586,LEFT($C586,FIND(",",$C586)-1))))</f>
        <v/>
      </c>
      <c r="M586" s="28">
        <f>IF($H586="","",DATE(YEAR($H586),MONTH($H586),1))</f>
        <v/>
      </c>
      <c r="N586" s="26">
        <f>IF($H586="","",TODAY()-$H586)</f>
        <v/>
      </c>
      <c r="O586" s="15" t="n"/>
      <c r="P586" s="26">
        <f>IF($A586="","",COUNTIFS('Audit Versions'!$A$6:$A$605,$A586,'Audit Versions'!$L$6:$L$605,"Active"))</f>
        <v/>
      </c>
      <c r="Q586" s="15" t="n"/>
      <c r="R586" s="26">
        <f>IF(OR($A586="",$P586=0),"",MOD(N($Q586),$P586)+1)</f>
        <v/>
      </c>
      <c r="S586" s="15" t="n"/>
      <c r="T586" s="25" t="n"/>
      <c r="U586" s="26">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Builder'!$B$12="",N($S586)&lt;='Assignment Builder'!$B$12)))</f>
        <v/>
      </c>
      <c r="V586" s="23" t="n"/>
    </row>
    <row r="587">
      <c r="A587" s="23" t="n"/>
      <c r="B587" s="23" t="n"/>
      <c r="C587" s="24" t="n"/>
      <c r="D587" s="15" t="n"/>
      <c r="E587" s="23" t="n"/>
      <c r="F587" s="15" t="n"/>
      <c r="G587" s="23" t="n"/>
      <c r="H587" s="25" t="n"/>
      <c r="I587" s="15" t="n"/>
      <c r="J587" s="26">
        <f>IF($A587="","",LEN($C587)-LEN(SUBSTITUTE($C587,",",""))+1)</f>
        <v/>
      </c>
      <c r="K587" s="26">
        <f>IF($A587="","",SUMPRODUCT(--ISNUMBER(SEARCH('Category Dictionary'!$D$5:$D$135&amp;"",$C587)),--('Category Dictionary'!$D$5:$D$135&lt;&gt;"")))</f>
        <v/>
      </c>
      <c r="L587" s="27">
        <f>IF($A587="","",TRIM(IF(ISERROR(FIND(",",$C587)),$C587,LEFT($C587,FIND(",",$C587)-1))))</f>
        <v/>
      </c>
      <c r="M587" s="28">
        <f>IF($H587="","",DATE(YEAR($H587),MONTH($H587),1))</f>
        <v/>
      </c>
      <c r="N587" s="26">
        <f>IF($H587="","",TODAY()-$H587)</f>
        <v/>
      </c>
      <c r="O587" s="15" t="n"/>
      <c r="P587" s="26">
        <f>IF($A587="","",COUNTIFS('Audit Versions'!$A$6:$A$605,$A587,'Audit Versions'!$L$6:$L$605,"Active"))</f>
        <v/>
      </c>
      <c r="Q587" s="15" t="n"/>
      <c r="R587" s="26">
        <f>IF(OR($A587="",$P587=0),"",MOD(N($Q587),$P587)+1)</f>
        <v/>
      </c>
      <c r="S587" s="15" t="n"/>
      <c r="T587" s="25" t="n"/>
      <c r="U587" s="26">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Builder'!$B$12="",N($S587)&lt;='Assignment Builder'!$B$12)))</f>
        <v/>
      </c>
      <c r="V587" s="23" t="n"/>
    </row>
    <row r="588">
      <c r="A588" s="23" t="n"/>
      <c r="B588" s="23" t="n"/>
      <c r="C588" s="24" t="n"/>
      <c r="D588" s="15" t="n"/>
      <c r="E588" s="23" t="n"/>
      <c r="F588" s="15" t="n"/>
      <c r="G588" s="23" t="n"/>
      <c r="H588" s="25" t="n"/>
      <c r="I588" s="15" t="n"/>
      <c r="J588" s="26">
        <f>IF($A588="","",LEN($C588)-LEN(SUBSTITUTE($C588,",",""))+1)</f>
        <v/>
      </c>
      <c r="K588" s="26">
        <f>IF($A588="","",SUMPRODUCT(--ISNUMBER(SEARCH('Category Dictionary'!$D$5:$D$135&amp;"",$C588)),--('Category Dictionary'!$D$5:$D$135&lt;&gt;"")))</f>
        <v/>
      </c>
      <c r="L588" s="27">
        <f>IF($A588="","",TRIM(IF(ISERROR(FIND(",",$C588)),$C588,LEFT($C588,FIND(",",$C588)-1))))</f>
        <v/>
      </c>
      <c r="M588" s="28">
        <f>IF($H588="","",DATE(YEAR($H588),MONTH($H588),1))</f>
        <v/>
      </c>
      <c r="N588" s="26">
        <f>IF($H588="","",TODAY()-$H588)</f>
        <v/>
      </c>
      <c r="O588" s="15" t="n"/>
      <c r="P588" s="26">
        <f>IF($A588="","",COUNTIFS('Audit Versions'!$A$6:$A$605,$A588,'Audit Versions'!$L$6:$L$605,"Active"))</f>
        <v/>
      </c>
      <c r="Q588" s="15" t="n"/>
      <c r="R588" s="26">
        <f>IF(OR($A588="",$P588=0),"",MOD(N($Q588),$P588)+1)</f>
        <v/>
      </c>
      <c r="S588" s="15" t="n"/>
      <c r="T588" s="25" t="n"/>
      <c r="U588" s="26">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Builder'!$B$12="",N($S588)&lt;='Assignment Builder'!$B$12)))</f>
        <v/>
      </c>
      <c r="V588" s="23" t="n"/>
    </row>
    <row r="589">
      <c r="A589" s="23" t="n"/>
      <c r="B589" s="23" t="n"/>
      <c r="C589" s="24" t="n"/>
      <c r="D589" s="15" t="n"/>
      <c r="E589" s="23" t="n"/>
      <c r="F589" s="15" t="n"/>
      <c r="G589" s="23" t="n"/>
      <c r="H589" s="25" t="n"/>
      <c r="I589" s="15" t="n"/>
      <c r="J589" s="26">
        <f>IF($A589="","",LEN($C589)-LEN(SUBSTITUTE($C589,",",""))+1)</f>
        <v/>
      </c>
      <c r="K589" s="26">
        <f>IF($A589="","",SUMPRODUCT(--ISNUMBER(SEARCH('Category Dictionary'!$D$5:$D$135&amp;"",$C589)),--('Category Dictionary'!$D$5:$D$135&lt;&gt;"")))</f>
        <v/>
      </c>
      <c r="L589" s="27">
        <f>IF($A589="","",TRIM(IF(ISERROR(FIND(",",$C589)),$C589,LEFT($C589,FIND(",",$C589)-1))))</f>
        <v/>
      </c>
      <c r="M589" s="28">
        <f>IF($H589="","",DATE(YEAR($H589),MONTH($H589),1))</f>
        <v/>
      </c>
      <c r="N589" s="26">
        <f>IF($H589="","",TODAY()-$H589)</f>
        <v/>
      </c>
      <c r="O589" s="15" t="n"/>
      <c r="P589" s="26">
        <f>IF($A589="","",COUNTIFS('Audit Versions'!$A$6:$A$605,$A589,'Audit Versions'!$L$6:$L$605,"Active"))</f>
        <v/>
      </c>
      <c r="Q589" s="15" t="n"/>
      <c r="R589" s="26">
        <f>IF(OR($A589="",$P589=0),"",MOD(N($Q589),$P589)+1)</f>
        <v/>
      </c>
      <c r="S589" s="15" t="n"/>
      <c r="T589" s="25" t="n"/>
      <c r="U589" s="26">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Builder'!$B$12="",N($S589)&lt;='Assignment Builder'!$B$12)))</f>
        <v/>
      </c>
      <c r="V589" s="23" t="n"/>
    </row>
    <row r="590">
      <c r="A590" s="23" t="n"/>
      <c r="B590" s="23" t="n"/>
      <c r="C590" s="24" t="n"/>
      <c r="D590" s="15" t="n"/>
      <c r="E590" s="23" t="n"/>
      <c r="F590" s="15" t="n"/>
      <c r="G590" s="23" t="n"/>
      <c r="H590" s="25" t="n"/>
      <c r="I590" s="15" t="n"/>
      <c r="J590" s="26">
        <f>IF($A590="","",LEN($C590)-LEN(SUBSTITUTE($C590,",",""))+1)</f>
        <v/>
      </c>
      <c r="K590" s="26">
        <f>IF($A590="","",SUMPRODUCT(--ISNUMBER(SEARCH('Category Dictionary'!$D$5:$D$135&amp;"",$C590)),--('Category Dictionary'!$D$5:$D$135&lt;&gt;"")))</f>
        <v/>
      </c>
      <c r="L590" s="27">
        <f>IF($A590="","",TRIM(IF(ISERROR(FIND(",",$C590)),$C590,LEFT($C590,FIND(",",$C590)-1))))</f>
        <v/>
      </c>
      <c r="M590" s="28">
        <f>IF($H590="","",DATE(YEAR($H590),MONTH($H590),1))</f>
        <v/>
      </c>
      <c r="N590" s="26">
        <f>IF($H590="","",TODAY()-$H590)</f>
        <v/>
      </c>
      <c r="O590" s="15" t="n"/>
      <c r="P590" s="26">
        <f>IF($A590="","",COUNTIFS('Audit Versions'!$A$6:$A$605,$A590,'Audit Versions'!$L$6:$L$605,"Active"))</f>
        <v/>
      </c>
      <c r="Q590" s="15" t="n"/>
      <c r="R590" s="26">
        <f>IF(OR($A590="",$P590=0),"",MOD(N($Q590),$P590)+1)</f>
        <v/>
      </c>
      <c r="S590" s="15" t="n"/>
      <c r="T590" s="25" t="n"/>
      <c r="U590" s="26">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Builder'!$B$12="",N($S590)&lt;='Assignment Builder'!$B$12)))</f>
        <v/>
      </c>
      <c r="V590" s="23" t="n"/>
    </row>
    <row r="591">
      <c r="A591" s="23" t="n"/>
      <c r="B591" s="23" t="n"/>
      <c r="C591" s="24" t="n"/>
      <c r="D591" s="15" t="n"/>
      <c r="E591" s="23" t="n"/>
      <c r="F591" s="15" t="n"/>
      <c r="G591" s="23" t="n"/>
      <c r="H591" s="25" t="n"/>
      <c r="I591" s="15" t="n"/>
      <c r="J591" s="26">
        <f>IF($A591="","",LEN($C591)-LEN(SUBSTITUTE($C591,",",""))+1)</f>
        <v/>
      </c>
      <c r="K591" s="26">
        <f>IF($A591="","",SUMPRODUCT(--ISNUMBER(SEARCH('Category Dictionary'!$D$5:$D$135&amp;"",$C591)),--('Category Dictionary'!$D$5:$D$135&lt;&gt;"")))</f>
        <v/>
      </c>
      <c r="L591" s="27">
        <f>IF($A591="","",TRIM(IF(ISERROR(FIND(",",$C591)),$C591,LEFT($C591,FIND(",",$C591)-1))))</f>
        <v/>
      </c>
      <c r="M591" s="28">
        <f>IF($H591="","",DATE(YEAR($H591),MONTH($H591),1))</f>
        <v/>
      </c>
      <c r="N591" s="26">
        <f>IF($H591="","",TODAY()-$H591)</f>
        <v/>
      </c>
      <c r="O591" s="15" t="n"/>
      <c r="P591" s="26">
        <f>IF($A591="","",COUNTIFS('Audit Versions'!$A$6:$A$605,$A591,'Audit Versions'!$L$6:$L$605,"Active"))</f>
        <v/>
      </c>
      <c r="Q591" s="15" t="n"/>
      <c r="R591" s="26">
        <f>IF(OR($A591="",$P591=0),"",MOD(N($Q591),$P591)+1)</f>
        <v/>
      </c>
      <c r="S591" s="15" t="n"/>
      <c r="T591" s="25" t="n"/>
      <c r="U591" s="26">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Builder'!$B$12="",N($S591)&lt;='Assignment Builder'!$B$12)))</f>
        <v/>
      </c>
      <c r="V591" s="23" t="n"/>
    </row>
    <row r="592">
      <c r="A592" s="23" t="n"/>
      <c r="B592" s="23" t="n"/>
      <c r="C592" s="24" t="n"/>
      <c r="D592" s="15" t="n"/>
      <c r="E592" s="23" t="n"/>
      <c r="F592" s="15" t="n"/>
      <c r="G592" s="23" t="n"/>
      <c r="H592" s="25" t="n"/>
      <c r="I592" s="15" t="n"/>
      <c r="J592" s="26">
        <f>IF($A592="","",LEN($C592)-LEN(SUBSTITUTE($C592,",",""))+1)</f>
        <v/>
      </c>
      <c r="K592" s="26">
        <f>IF($A592="","",SUMPRODUCT(--ISNUMBER(SEARCH('Category Dictionary'!$D$5:$D$135&amp;"",$C592)),--('Category Dictionary'!$D$5:$D$135&lt;&gt;"")))</f>
        <v/>
      </c>
      <c r="L592" s="27">
        <f>IF($A592="","",TRIM(IF(ISERROR(FIND(",",$C592)),$C592,LEFT($C592,FIND(",",$C592)-1))))</f>
        <v/>
      </c>
      <c r="M592" s="28">
        <f>IF($H592="","",DATE(YEAR($H592),MONTH($H592),1))</f>
        <v/>
      </c>
      <c r="N592" s="26">
        <f>IF($H592="","",TODAY()-$H592)</f>
        <v/>
      </c>
      <c r="O592" s="15" t="n"/>
      <c r="P592" s="26">
        <f>IF($A592="","",COUNTIFS('Audit Versions'!$A$6:$A$605,$A592,'Audit Versions'!$L$6:$L$605,"Active"))</f>
        <v/>
      </c>
      <c r="Q592" s="15" t="n"/>
      <c r="R592" s="26">
        <f>IF(OR($A592="",$P592=0),"",MOD(N($Q592),$P592)+1)</f>
        <v/>
      </c>
      <c r="S592" s="15" t="n"/>
      <c r="T592" s="25" t="n"/>
      <c r="U592" s="26">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Builder'!$B$12="",N($S592)&lt;='Assignment Builder'!$B$12)))</f>
        <v/>
      </c>
      <c r="V592" s="23" t="n"/>
    </row>
    <row r="593">
      <c r="A593" s="23" t="n"/>
      <c r="B593" s="23" t="n"/>
      <c r="C593" s="24" t="n"/>
      <c r="D593" s="15" t="n"/>
      <c r="E593" s="23" t="n"/>
      <c r="F593" s="15" t="n"/>
      <c r="G593" s="23" t="n"/>
      <c r="H593" s="25" t="n"/>
      <c r="I593" s="15" t="n"/>
      <c r="J593" s="26">
        <f>IF($A593="","",LEN($C593)-LEN(SUBSTITUTE($C593,",",""))+1)</f>
        <v/>
      </c>
      <c r="K593" s="26">
        <f>IF($A593="","",SUMPRODUCT(--ISNUMBER(SEARCH('Category Dictionary'!$D$5:$D$135&amp;"",$C593)),--('Category Dictionary'!$D$5:$D$135&lt;&gt;"")))</f>
        <v/>
      </c>
      <c r="L593" s="27">
        <f>IF($A593="","",TRIM(IF(ISERROR(FIND(",",$C593)),$C593,LEFT($C593,FIND(",",$C593)-1))))</f>
        <v/>
      </c>
      <c r="M593" s="28">
        <f>IF($H593="","",DATE(YEAR($H593),MONTH($H593),1))</f>
        <v/>
      </c>
      <c r="N593" s="26">
        <f>IF($H593="","",TODAY()-$H593)</f>
        <v/>
      </c>
      <c r="O593" s="15" t="n"/>
      <c r="P593" s="26">
        <f>IF($A593="","",COUNTIFS('Audit Versions'!$A$6:$A$605,$A593,'Audit Versions'!$L$6:$L$605,"Active"))</f>
        <v/>
      </c>
      <c r="Q593" s="15" t="n"/>
      <c r="R593" s="26">
        <f>IF(OR($A593="",$P593=0),"",MOD(N($Q593),$P593)+1)</f>
        <v/>
      </c>
      <c r="S593" s="15" t="n"/>
      <c r="T593" s="25" t="n"/>
      <c r="U593" s="26">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Builder'!$B$12="",N($S593)&lt;='Assignment Builder'!$B$12)))</f>
        <v/>
      </c>
      <c r="V593" s="23" t="n"/>
    </row>
    <row r="594">
      <c r="A594" s="23" t="n"/>
      <c r="B594" s="23" t="n"/>
      <c r="C594" s="24" t="n"/>
      <c r="D594" s="15" t="n"/>
      <c r="E594" s="23" t="n"/>
      <c r="F594" s="15" t="n"/>
      <c r="G594" s="23" t="n"/>
      <c r="H594" s="25" t="n"/>
      <c r="I594" s="15" t="n"/>
      <c r="J594" s="26">
        <f>IF($A594="","",LEN($C594)-LEN(SUBSTITUTE($C594,",",""))+1)</f>
        <v/>
      </c>
      <c r="K594" s="26">
        <f>IF($A594="","",SUMPRODUCT(--ISNUMBER(SEARCH('Category Dictionary'!$D$5:$D$135&amp;"",$C594)),--('Category Dictionary'!$D$5:$D$135&lt;&gt;"")))</f>
        <v/>
      </c>
      <c r="L594" s="27">
        <f>IF($A594="","",TRIM(IF(ISERROR(FIND(",",$C594)),$C594,LEFT($C594,FIND(",",$C594)-1))))</f>
        <v/>
      </c>
      <c r="M594" s="28">
        <f>IF($H594="","",DATE(YEAR($H594),MONTH($H594),1))</f>
        <v/>
      </c>
      <c r="N594" s="26">
        <f>IF($H594="","",TODAY()-$H594)</f>
        <v/>
      </c>
      <c r="O594" s="15" t="n"/>
      <c r="P594" s="26">
        <f>IF($A594="","",COUNTIFS('Audit Versions'!$A$6:$A$605,$A594,'Audit Versions'!$L$6:$L$605,"Active"))</f>
        <v/>
      </c>
      <c r="Q594" s="15" t="n"/>
      <c r="R594" s="26">
        <f>IF(OR($A594="",$P594=0),"",MOD(N($Q594),$P594)+1)</f>
        <v/>
      </c>
      <c r="S594" s="15" t="n"/>
      <c r="T594" s="25" t="n"/>
      <c r="U594" s="26">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Builder'!$B$12="",N($S594)&lt;='Assignment Builder'!$B$12)))</f>
        <v/>
      </c>
      <c r="V594" s="23" t="n"/>
    </row>
    <row r="595">
      <c r="A595" s="23" t="n"/>
      <c r="B595" s="23" t="n"/>
      <c r="C595" s="24" t="n"/>
      <c r="D595" s="15" t="n"/>
      <c r="E595" s="23" t="n"/>
      <c r="F595" s="15" t="n"/>
      <c r="G595" s="23" t="n"/>
      <c r="H595" s="25" t="n"/>
      <c r="I595" s="15" t="n"/>
      <c r="J595" s="26">
        <f>IF($A595="","",LEN($C595)-LEN(SUBSTITUTE($C595,",",""))+1)</f>
        <v/>
      </c>
      <c r="K595" s="26">
        <f>IF($A595="","",SUMPRODUCT(--ISNUMBER(SEARCH('Category Dictionary'!$D$5:$D$135&amp;"",$C595)),--('Category Dictionary'!$D$5:$D$135&lt;&gt;"")))</f>
        <v/>
      </c>
      <c r="L595" s="27">
        <f>IF($A595="","",TRIM(IF(ISERROR(FIND(",",$C595)),$C595,LEFT($C595,FIND(",",$C595)-1))))</f>
        <v/>
      </c>
      <c r="M595" s="28">
        <f>IF($H595="","",DATE(YEAR($H595),MONTH($H595),1))</f>
        <v/>
      </c>
      <c r="N595" s="26">
        <f>IF($H595="","",TODAY()-$H595)</f>
        <v/>
      </c>
      <c r="O595" s="15" t="n"/>
      <c r="P595" s="26">
        <f>IF($A595="","",COUNTIFS('Audit Versions'!$A$6:$A$605,$A595,'Audit Versions'!$L$6:$L$605,"Active"))</f>
        <v/>
      </c>
      <c r="Q595" s="15" t="n"/>
      <c r="R595" s="26">
        <f>IF(OR($A595="",$P595=0),"",MOD(N($Q595),$P595)+1)</f>
        <v/>
      </c>
      <c r="S595" s="15" t="n"/>
      <c r="T595" s="25" t="n"/>
      <c r="U595" s="26">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Builder'!$B$12="",N($S595)&lt;='Assignment Builder'!$B$12)))</f>
        <v/>
      </c>
      <c r="V595" s="23" t="n"/>
    </row>
    <row r="596">
      <c r="A596" s="23" t="n"/>
      <c r="B596" s="23" t="n"/>
      <c r="C596" s="24" t="n"/>
      <c r="D596" s="15" t="n"/>
      <c r="E596" s="23" t="n"/>
      <c r="F596" s="15" t="n"/>
      <c r="G596" s="23" t="n"/>
      <c r="H596" s="25" t="n"/>
      <c r="I596" s="15" t="n"/>
      <c r="J596" s="26">
        <f>IF($A596="","",LEN($C596)-LEN(SUBSTITUTE($C596,",",""))+1)</f>
        <v/>
      </c>
      <c r="K596" s="26">
        <f>IF($A596="","",SUMPRODUCT(--ISNUMBER(SEARCH('Category Dictionary'!$D$5:$D$135&amp;"",$C596)),--('Category Dictionary'!$D$5:$D$135&lt;&gt;"")))</f>
        <v/>
      </c>
      <c r="L596" s="27">
        <f>IF($A596="","",TRIM(IF(ISERROR(FIND(",",$C596)),$C596,LEFT($C596,FIND(",",$C596)-1))))</f>
        <v/>
      </c>
      <c r="M596" s="28">
        <f>IF($H596="","",DATE(YEAR($H596),MONTH($H596),1))</f>
        <v/>
      </c>
      <c r="N596" s="26">
        <f>IF($H596="","",TODAY()-$H596)</f>
        <v/>
      </c>
      <c r="O596" s="15" t="n"/>
      <c r="P596" s="26">
        <f>IF($A596="","",COUNTIFS('Audit Versions'!$A$6:$A$605,$A596,'Audit Versions'!$L$6:$L$605,"Active"))</f>
        <v/>
      </c>
      <c r="Q596" s="15" t="n"/>
      <c r="R596" s="26">
        <f>IF(OR($A596="",$P596=0),"",MOD(N($Q596),$P596)+1)</f>
        <v/>
      </c>
      <c r="S596" s="15" t="n"/>
      <c r="T596" s="25" t="n"/>
      <c r="U596" s="26">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Builder'!$B$12="",N($S596)&lt;='Assignment Builder'!$B$12)))</f>
        <v/>
      </c>
      <c r="V596" s="23" t="n"/>
    </row>
    <row r="597">
      <c r="A597" s="23" t="n"/>
      <c r="B597" s="23" t="n"/>
      <c r="C597" s="24" t="n"/>
      <c r="D597" s="15" t="n"/>
      <c r="E597" s="23" t="n"/>
      <c r="F597" s="15" t="n"/>
      <c r="G597" s="23" t="n"/>
      <c r="H597" s="25" t="n"/>
      <c r="I597" s="15" t="n"/>
      <c r="J597" s="26">
        <f>IF($A597="","",LEN($C597)-LEN(SUBSTITUTE($C597,",",""))+1)</f>
        <v/>
      </c>
      <c r="K597" s="26">
        <f>IF($A597="","",SUMPRODUCT(--ISNUMBER(SEARCH('Category Dictionary'!$D$5:$D$135&amp;"",$C597)),--('Category Dictionary'!$D$5:$D$135&lt;&gt;"")))</f>
        <v/>
      </c>
      <c r="L597" s="27">
        <f>IF($A597="","",TRIM(IF(ISERROR(FIND(",",$C597)),$C597,LEFT($C597,FIND(",",$C597)-1))))</f>
        <v/>
      </c>
      <c r="M597" s="28">
        <f>IF($H597="","",DATE(YEAR($H597),MONTH($H597),1))</f>
        <v/>
      </c>
      <c r="N597" s="26">
        <f>IF($H597="","",TODAY()-$H597)</f>
        <v/>
      </c>
      <c r="O597" s="15" t="n"/>
      <c r="P597" s="26">
        <f>IF($A597="","",COUNTIFS('Audit Versions'!$A$6:$A$605,$A597,'Audit Versions'!$L$6:$L$605,"Active"))</f>
        <v/>
      </c>
      <c r="Q597" s="15" t="n"/>
      <c r="R597" s="26">
        <f>IF(OR($A597="",$P597=0),"",MOD(N($Q597),$P597)+1)</f>
        <v/>
      </c>
      <c r="S597" s="15" t="n"/>
      <c r="T597" s="25" t="n"/>
      <c r="U597" s="26">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Builder'!$B$12="",N($S597)&lt;='Assignment Builder'!$B$12)))</f>
        <v/>
      </c>
      <c r="V597" s="23" t="n"/>
    </row>
    <row r="598">
      <c r="A598" s="23" t="n"/>
      <c r="B598" s="23" t="n"/>
      <c r="C598" s="24" t="n"/>
      <c r="D598" s="15" t="n"/>
      <c r="E598" s="23" t="n"/>
      <c r="F598" s="15" t="n"/>
      <c r="G598" s="23" t="n"/>
      <c r="H598" s="25" t="n"/>
      <c r="I598" s="15" t="n"/>
      <c r="J598" s="26">
        <f>IF($A598="","",LEN($C598)-LEN(SUBSTITUTE($C598,",",""))+1)</f>
        <v/>
      </c>
      <c r="K598" s="26">
        <f>IF($A598="","",SUMPRODUCT(--ISNUMBER(SEARCH('Category Dictionary'!$D$5:$D$135&amp;"",$C598)),--('Category Dictionary'!$D$5:$D$135&lt;&gt;"")))</f>
        <v/>
      </c>
      <c r="L598" s="27">
        <f>IF($A598="","",TRIM(IF(ISERROR(FIND(",",$C598)),$C598,LEFT($C598,FIND(",",$C598)-1))))</f>
        <v/>
      </c>
      <c r="M598" s="28">
        <f>IF($H598="","",DATE(YEAR($H598),MONTH($H598),1))</f>
        <v/>
      </c>
      <c r="N598" s="26">
        <f>IF($H598="","",TODAY()-$H598)</f>
        <v/>
      </c>
      <c r="O598" s="15" t="n"/>
      <c r="P598" s="26">
        <f>IF($A598="","",COUNTIFS('Audit Versions'!$A$6:$A$605,$A598,'Audit Versions'!$L$6:$L$605,"Active"))</f>
        <v/>
      </c>
      <c r="Q598" s="15" t="n"/>
      <c r="R598" s="26">
        <f>IF(OR($A598="",$P598=0),"",MOD(N($Q598),$P598)+1)</f>
        <v/>
      </c>
      <c r="S598" s="15" t="n"/>
      <c r="T598" s="25" t="n"/>
      <c r="U598" s="26">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Builder'!$B$12="",N($S598)&lt;='Assignment Builder'!$B$12)))</f>
        <v/>
      </c>
      <c r="V598" s="23" t="n"/>
    </row>
    <row r="599">
      <c r="A599" s="23" t="n"/>
      <c r="B599" s="23" t="n"/>
      <c r="C599" s="24" t="n"/>
      <c r="D599" s="15" t="n"/>
      <c r="E599" s="23" t="n"/>
      <c r="F599" s="15" t="n"/>
      <c r="G599" s="23" t="n"/>
      <c r="H599" s="25" t="n"/>
      <c r="I599" s="15" t="n"/>
      <c r="J599" s="26">
        <f>IF($A599="","",LEN($C599)-LEN(SUBSTITUTE($C599,",",""))+1)</f>
        <v/>
      </c>
      <c r="K599" s="26">
        <f>IF($A599="","",SUMPRODUCT(--ISNUMBER(SEARCH('Category Dictionary'!$D$5:$D$135&amp;"",$C599)),--('Category Dictionary'!$D$5:$D$135&lt;&gt;"")))</f>
        <v/>
      </c>
      <c r="L599" s="27">
        <f>IF($A599="","",TRIM(IF(ISERROR(FIND(",",$C599)),$C599,LEFT($C599,FIND(",",$C599)-1))))</f>
        <v/>
      </c>
      <c r="M599" s="28">
        <f>IF($H599="","",DATE(YEAR($H599),MONTH($H599),1))</f>
        <v/>
      </c>
      <c r="N599" s="26">
        <f>IF($H599="","",TODAY()-$H599)</f>
        <v/>
      </c>
      <c r="O599" s="15" t="n"/>
      <c r="P599" s="26">
        <f>IF($A599="","",COUNTIFS('Audit Versions'!$A$6:$A$605,$A599,'Audit Versions'!$L$6:$L$605,"Active"))</f>
        <v/>
      </c>
      <c r="Q599" s="15" t="n"/>
      <c r="R599" s="26">
        <f>IF(OR($A599="",$P599=0),"",MOD(N($Q599),$P599)+1)</f>
        <v/>
      </c>
      <c r="S599" s="15" t="n"/>
      <c r="T599" s="25" t="n"/>
      <c r="U599" s="26">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Builder'!$B$12="",N($S599)&lt;='Assignment Builder'!$B$12)))</f>
        <v/>
      </c>
      <c r="V599" s="23" t="n"/>
    </row>
    <row r="600">
      <c r="A600" s="23" t="n"/>
      <c r="B600" s="23" t="n"/>
      <c r="C600" s="24" t="n"/>
      <c r="D600" s="15" t="n"/>
      <c r="E600" s="23" t="n"/>
      <c r="F600" s="15" t="n"/>
      <c r="G600" s="23" t="n"/>
      <c r="H600" s="25" t="n"/>
      <c r="I600" s="15" t="n"/>
      <c r="J600" s="26">
        <f>IF($A600="","",LEN($C600)-LEN(SUBSTITUTE($C600,",",""))+1)</f>
        <v/>
      </c>
      <c r="K600" s="26">
        <f>IF($A600="","",SUMPRODUCT(--ISNUMBER(SEARCH('Category Dictionary'!$D$5:$D$135&amp;"",$C600)),--('Category Dictionary'!$D$5:$D$135&lt;&gt;"")))</f>
        <v/>
      </c>
      <c r="L600" s="27">
        <f>IF($A600="","",TRIM(IF(ISERROR(FIND(",",$C600)),$C600,LEFT($C600,FIND(",",$C600)-1))))</f>
        <v/>
      </c>
      <c r="M600" s="28">
        <f>IF($H600="","",DATE(YEAR($H600),MONTH($H600),1))</f>
        <v/>
      </c>
      <c r="N600" s="26">
        <f>IF($H600="","",TODAY()-$H600)</f>
        <v/>
      </c>
      <c r="O600" s="15" t="n"/>
      <c r="P600" s="26">
        <f>IF($A600="","",COUNTIFS('Audit Versions'!$A$6:$A$605,$A600,'Audit Versions'!$L$6:$L$605,"Active"))</f>
        <v/>
      </c>
      <c r="Q600" s="15" t="n"/>
      <c r="R600" s="26">
        <f>IF(OR($A600="",$P600=0),"",MOD(N($Q600),$P600)+1)</f>
        <v/>
      </c>
      <c r="S600" s="15" t="n"/>
      <c r="T600" s="25" t="n"/>
      <c r="U600" s="26">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Builder'!$B$12="",N($S600)&lt;='Assignment Builder'!$B$12)))</f>
        <v/>
      </c>
      <c r="V600" s="23" t="n"/>
    </row>
    <row r="601">
      <c r="A601" s="23" t="n"/>
      <c r="B601" s="23" t="n"/>
      <c r="C601" s="24" t="n"/>
      <c r="D601" s="15" t="n"/>
      <c r="E601" s="23" t="n"/>
      <c r="F601" s="15" t="n"/>
      <c r="G601" s="23" t="n"/>
      <c r="H601" s="25" t="n"/>
      <c r="I601" s="15" t="n"/>
      <c r="J601" s="26">
        <f>IF($A601="","",LEN($C601)-LEN(SUBSTITUTE($C601,",",""))+1)</f>
        <v/>
      </c>
      <c r="K601" s="26">
        <f>IF($A601="","",SUMPRODUCT(--ISNUMBER(SEARCH('Category Dictionary'!$D$5:$D$135&amp;"",$C601)),--('Category Dictionary'!$D$5:$D$135&lt;&gt;"")))</f>
        <v/>
      </c>
      <c r="L601" s="27">
        <f>IF($A601="","",TRIM(IF(ISERROR(FIND(",",$C601)),$C601,LEFT($C601,FIND(",",$C601)-1))))</f>
        <v/>
      </c>
      <c r="M601" s="28">
        <f>IF($H601="","",DATE(YEAR($H601),MONTH($H601),1))</f>
        <v/>
      </c>
      <c r="N601" s="26">
        <f>IF($H601="","",TODAY()-$H601)</f>
        <v/>
      </c>
      <c r="O601" s="15" t="n"/>
      <c r="P601" s="26">
        <f>IF($A601="","",COUNTIFS('Audit Versions'!$A$6:$A$605,$A601,'Audit Versions'!$L$6:$L$605,"Active"))</f>
        <v/>
      </c>
      <c r="Q601" s="15" t="n"/>
      <c r="R601" s="26">
        <f>IF(OR($A601="",$P601=0),"",MOD(N($Q601),$P601)+1)</f>
        <v/>
      </c>
      <c r="S601" s="15" t="n"/>
      <c r="T601" s="25" t="n"/>
      <c r="U601" s="26">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Builder'!$B$12="",N($S601)&lt;='Assignment Builder'!$B$12)))</f>
        <v/>
      </c>
      <c r="V601" s="23" t="n"/>
    </row>
    <row r="602">
      <c r="A602" s="23" t="n"/>
      <c r="B602" s="23" t="n"/>
      <c r="C602" s="24" t="n"/>
      <c r="D602" s="15" t="n"/>
      <c r="E602" s="23" t="n"/>
      <c r="F602" s="15" t="n"/>
      <c r="G602" s="23" t="n"/>
      <c r="H602" s="25" t="n"/>
      <c r="I602" s="15" t="n"/>
      <c r="J602" s="26">
        <f>IF($A602="","",LEN($C602)-LEN(SUBSTITUTE($C602,",",""))+1)</f>
        <v/>
      </c>
      <c r="K602" s="26">
        <f>IF($A602="","",SUMPRODUCT(--ISNUMBER(SEARCH('Category Dictionary'!$D$5:$D$135&amp;"",$C602)),--('Category Dictionary'!$D$5:$D$135&lt;&gt;"")))</f>
        <v/>
      </c>
      <c r="L602" s="27">
        <f>IF($A602="","",TRIM(IF(ISERROR(FIND(",",$C602)),$C602,LEFT($C602,FIND(",",$C602)-1))))</f>
        <v/>
      </c>
      <c r="M602" s="28">
        <f>IF($H602="","",DATE(YEAR($H602),MONTH($H602),1))</f>
        <v/>
      </c>
      <c r="N602" s="26">
        <f>IF($H602="","",TODAY()-$H602)</f>
        <v/>
      </c>
      <c r="O602" s="15" t="n"/>
      <c r="P602" s="26">
        <f>IF($A602="","",COUNTIFS('Audit Versions'!$A$6:$A$605,$A602,'Audit Versions'!$L$6:$L$605,"Active"))</f>
        <v/>
      </c>
      <c r="Q602" s="15" t="n"/>
      <c r="R602" s="26">
        <f>IF(OR($A602="",$P602=0),"",MOD(N($Q602),$P602)+1)</f>
        <v/>
      </c>
      <c r="S602" s="15" t="n"/>
      <c r="T602" s="25" t="n"/>
      <c r="U602" s="26">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Builder'!$B$12="",N($S602)&lt;='Assignment Builder'!$B$12)))</f>
        <v/>
      </c>
      <c r="V602" s="23" t="n"/>
    </row>
    <row r="603">
      <c r="A603" s="23" t="n"/>
      <c r="B603" s="23" t="n"/>
      <c r="C603" s="24" t="n"/>
      <c r="D603" s="15" t="n"/>
      <c r="E603" s="23" t="n"/>
      <c r="F603" s="15" t="n"/>
      <c r="G603" s="23" t="n"/>
      <c r="H603" s="25" t="n"/>
      <c r="I603" s="15" t="n"/>
      <c r="J603" s="26">
        <f>IF($A603="","",LEN($C603)-LEN(SUBSTITUTE($C603,",",""))+1)</f>
        <v/>
      </c>
      <c r="K603" s="26">
        <f>IF($A603="","",SUMPRODUCT(--ISNUMBER(SEARCH('Category Dictionary'!$D$5:$D$135&amp;"",$C603)),--('Category Dictionary'!$D$5:$D$135&lt;&gt;"")))</f>
        <v/>
      </c>
      <c r="L603" s="27">
        <f>IF($A603="","",TRIM(IF(ISERROR(FIND(",",$C603)),$C603,LEFT($C603,FIND(",",$C603)-1))))</f>
        <v/>
      </c>
      <c r="M603" s="28">
        <f>IF($H603="","",DATE(YEAR($H603),MONTH($H603),1))</f>
        <v/>
      </c>
      <c r="N603" s="26">
        <f>IF($H603="","",TODAY()-$H603)</f>
        <v/>
      </c>
      <c r="O603" s="15" t="n"/>
      <c r="P603" s="26">
        <f>IF($A603="","",COUNTIFS('Audit Versions'!$A$6:$A$605,$A603,'Audit Versions'!$L$6:$L$605,"Active"))</f>
        <v/>
      </c>
      <c r="Q603" s="15" t="n"/>
      <c r="R603" s="26">
        <f>IF(OR($A603="",$P603=0),"",MOD(N($Q603),$P603)+1)</f>
        <v/>
      </c>
      <c r="S603" s="15" t="n"/>
      <c r="T603" s="25" t="n"/>
      <c r="U603" s="26">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Builder'!$B$12="",N($S603)&lt;='Assignment Builder'!$B$12)))</f>
        <v/>
      </c>
      <c r="V603" s="23" t="n"/>
    </row>
    <row r="604">
      <c r="A604" s="23" t="n"/>
      <c r="B604" s="23" t="n"/>
      <c r="C604" s="24" t="n"/>
      <c r="D604" s="15" t="n"/>
      <c r="E604" s="23" t="n"/>
      <c r="F604" s="15" t="n"/>
      <c r="G604" s="23" t="n"/>
      <c r="H604" s="25" t="n"/>
      <c r="I604" s="15" t="n"/>
      <c r="J604" s="26">
        <f>IF($A604="","",LEN($C604)-LEN(SUBSTITUTE($C604,",",""))+1)</f>
        <v/>
      </c>
      <c r="K604" s="26">
        <f>IF($A604="","",SUMPRODUCT(--ISNUMBER(SEARCH('Category Dictionary'!$D$5:$D$135&amp;"",$C604)),--('Category Dictionary'!$D$5:$D$135&lt;&gt;"")))</f>
        <v/>
      </c>
      <c r="L604" s="27">
        <f>IF($A604="","",TRIM(IF(ISERROR(FIND(",",$C604)),$C604,LEFT($C604,FIND(",",$C604)-1))))</f>
        <v/>
      </c>
      <c r="M604" s="28">
        <f>IF($H604="","",DATE(YEAR($H604),MONTH($H604),1))</f>
        <v/>
      </c>
      <c r="N604" s="26">
        <f>IF($H604="","",TODAY()-$H604)</f>
        <v/>
      </c>
      <c r="O604" s="15" t="n"/>
      <c r="P604" s="26">
        <f>IF($A604="","",COUNTIFS('Audit Versions'!$A$6:$A$605,$A604,'Audit Versions'!$L$6:$L$605,"Active"))</f>
        <v/>
      </c>
      <c r="Q604" s="15" t="n"/>
      <c r="R604" s="26">
        <f>IF(OR($A604="",$P604=0),"",MOD(N($Q604),$P604)+1)</f>
        <v/>
      </c>
      <c r="S604" s="15" t="n"/>
      <c r="T604" s="25" t="n"/>
      <c r="U604" s="26">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Builder'!$B$12="",N($S604)&lt;='Assignment Builder'!$B$12)))</f>
        <v/>
      </c>
      <c r="V604" s="23" t="n"/>
    </row>
    <row r="605">
      <c r="A605" s="23" t="n"/>
      <c r="B605" s="23" t="n"/>
      <c r="C605" s="24" t="n"/>
      <c r="D605" s="15" t="n"/>
      <c r="E605" s="23" t="n"/>
      <c r="F605" s="15" t="n"/>
      <c r="G605" s="23" t="n"/>
      <c r="H605" s="25" t="n"/>
      <c r="I605" s="15" t="n"/>
      <c r="J605" s="26">
        <f>IF($A605="","",LEN($C605)-LEN(SUBSTITUTE($C605,",",""))+1)</f>
        <v/>
      </c>
      <c r="K605" s="26">
        <f>IF($A605="","",SUMPRODUCT(--ISNUMBER(SEARCH('Category Dictionary'!$D$5:$D$135&amp;"",$C605)),--('Category Dictionary'!$D$5:$D$135&lt;&gt;"")))</f>
        <v/>
      </c>
      <c r="L605" s="27">
        <f>IF($A605="","",TRIM(IF(ISERROR(FIND(",",$C605)),$C605,LEFT($C605,FIND(",",$C605)-1))))</f>
        <v/>
      </c>
      <c r="M605" s="28">
        <f>IF($H605="","",DATE(YEAR($H605),MONTH($H605),1))</f>
        <v/>
      </c>
      <c r="N605" s="26">
        <f>IF($H605="","",TODAY()-$H605)</f>
        <v/>
      </c>
      <c r="O605" s="15" t="n"/>
      <c r="P605" s="26">
        <f>IF($A605="","",COUNTIFS('Audit Versions'!$A$6:$A$605,$A605,'Audit Versions'!$L$6:$L$605,"Active"))</f>
        <v/>
      </c>
      <c r="Q605" s="15" t="n"/>
      <c r="R605" s="26">
        <f>IF(OR($A605="",$P605=0),"",MOD(N($Q605),$P605)+1)</f>
        <v/>
      </c>
      <c r="S605" s="15" t="n"/>
      <c r="T605" s="25" t="n"/>
      <c r="U605" s="26">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Builder'!$B$12="",N($S605)&lt;='Assignment Builder'!$B$12)))</f>
        <v/>
      </c>
      <c r="V605" s="23" t="n"/>
    </row>
    <row r="606">
      <c r="A606" s="23" t="n"/>
      <c r="B606" s="23" t="n"/>
      <c r="C606" s="24" t="n"/>
      <c r="D606" s="15" t="n"/>
      <c r="E606" s="23" t="n"/>
      <c r="F606" s="15" t="n"/>
      <c r="G606" s="23" t="n"/>
      <c r="H606" s="25" t="n"/>
      <c r="I606" s="15" t="n"/>
      <c r="J606" s="26">
        <f>IF($A606="","",LEN($C606)-LEN(SUBSTITUTE($C606,",",""))+1)</f>
        <v/>
      </c>
      <c r="K606" s="26">
        <f>IF($A606="","",SUMPRODUCT(--ISNUMBER(SEARCH('Category Dictionary'!$D$5:$D$135&amp;"",$C606)),--('Category Dictionary'!$D$5:$D$135&lt;&gt;"")))</f>
        <v/>
      </c>
      <c r="L606" s="27">
        <f>IF($A606="","",TRIM(IF(ISERROR(FIND(",",$C606)),$C606,LEFT($C606,FIND(",",$C606)-1))))</f>
        <v/>
      </c>
      <c r="M606" s="28">
        <f>IF($H606="","",DATE(YEAR($H606),MONTH($H606),1))</f>
        <v/>
      </c>
      <c r="N606" s="26">
        <f>IF($H606="","",TODAY()-$H606)</f>
        <v/>
      </c>
      <c r="O606" s="15" t="n"/>
      <c r="P606" s="26">
        <f>IF($A606="","",COUNTIFS('Audit Versions'!$A$6:$A$605,$A606,'Audit Versions'!$L$6:$L$605,"Active"))</f>
        <v/>
      </c>
      <c r="Q606" s="15" t="n"/>
      <c r="R606" s="26">
        <f>IF(OR($A606="",$P606=0),"",MOD(N($Q606),$P606)+1)</f>
        <v/>
      </c>
      <c r="S606" s="15" t="n"/>
      <c r="T606" s="25" t="n"/>
      <c r="U606" s="26">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Builder'!$B$12="",N($S606)&lt;='Assignment Builder'!$B$12)))</f>
        <v/>
      </c>
      <c r="V606" s="23" t="n"/>
    </row>
    <row r="607">
      <c r="A607" s="23" t="n"/>
      <c r="B607" s="23" t="n"/>
      <c r="C607" s="24" t="n"/>
      <c r="D607" s="15" t="n"/>
      <c r="E607" s="23" t="n"/>
      <c r="F607" s="15" t="n"/>
      <c r="G607" s="23" t="n"/>
      <c r="H607" s="25" t="n"/>
      <c r="I607" s="15" t="n"/>
      <c r="J607" s="26">
        <f>IF($A607="","",LEN($C607)-LEN(SUBSTITUTE($C607,",",""))+1)</f>
        <v/>
      </c>
      <c r="K607" s="26">
        <f>IF($A607="","",SUMPRODUCT(--ISNUMBER(SEARCH('Category Dictionary'!$D$5:$D$135&amp;"",$C607)),--('Category Dictionary'!$D$5:$D$135&lt;&gt;"")))</f>
        <v/>
      </c>
      <c r="L607" s="27">
        <f>IF($A607="","",TRIM(IF(ISERROR(FIND(",",$C607)),$C607,LEFT($C607,FIND(",",$C607)-1))))</f>
        <v/>
      </c>
      <c r="M607" s="28">
        <f>IF($H607="","",DATE(YEAR($H607),MONTH($H607),1))</f>
        <v/>
      </c>
      <c r="N607" s="26">
        <f>IF($H607="","",TODAY()-$H607)</f>
        <v/>
      </c>
      <c r="O607" s="15" t="n"/>
      <c r="P607" s="26">
        <f>IF($A607="","",COUNTIFS('Audit Versions'!$A$6:$A$605,$A607,'Audit Versions'!$L$6:$L$605,"Active"))</f>
        <v/>
      </c>
      <c r="Q607" s="15" t="n"/>
      <c r="R607" s="26">
        <f>IF(OR($A607="",$P607=0),"",MOD(N($Q607),$P607)+1)</f>
        <v/>
      </c>
      <c r="S607" s="15" t="n"/>
      <c r="T607" s="25" t="n"/>
      <c r="U607" s="26">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Builder'!$B$12="",N($S607)&lt;='Assignment Builder'!$B$12)))</f>
        <v/>
      </c>
      <c r="V607" s="23" t="n"/>
    </row>
    <row r="608">
      <c r="A608" s="23" t="n"/>
      <c r="B608" s="23" t="n"/>
      <c r="C608" s="24" t="n"/>
      <c r="D608" s="15" t="n"/>
      <c r="E608" s="23" t="n"/>
      <c r="F608" s="15" t="n"/>
      <c r="G608" s="23" t="n"/>
      <c r="H608" s="25" t="n"/>
      <c r="I608" s="15" t="n"/>
      <c r="J608" s="26">
        <f>IF($A608="","",LEN($C608)-LEN(SUBSTITUTE($C608,",",""))+1)</f>
        <v/>
      </c>
      <c r="K608" s="26">
        <f>IF($A608="","",SUMPRODUCT(--ISNUMBER(SEARCH('Category Dictionary'!$D$5:$D$135&amp;"",$C608)),--('Category Dictionary'!$D$5:$D$135&lt;&gt;"")))</f>
        <v/>
      </c>
      <c r="L608" s="27">
        <f>IF($A608="","",TRIM(IF(ISERROR(FIND(",",$C608)),$C608,LEFT($C608,FIND(",",$C608)-1))))</f>
        <v/>
      </c>
      <c r="M608" s="28">
        <f>IF($H608="","",DATE(YEAR($H608),MONTH($H608),1))</f>
        <v/>
      </c>
      <c r="N608" s="26">
        <f>IF($H608="","",TODAY()-$H608)</f>
        <v/>
      </c>
      <c r="O608" s="15" t="n"/>
      <c r="P608" s="26">
        <f>IF($A608="","",COUNTIFS('Audit Versions'!$A$6:$A$605,$A608,'Audit Versions'!$L$6:$L$605,"Active"))</f>
        <v/>
      </c>
      <c r="Q608" s="15" t="n"/>
      <c r="R608" s="26">
        <f>IF(OR($A608="",$P608=0),"",MOD(N($Q608),$P608)+1)</f>
        <v/>
      </c>
      <c r="S608" s="15" t="n"/>
      <c r="T608" s="25" t="n"/>
      <c r="U608" s="26">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Builder'!$B$12="",N($S608)&lt;='Assignment Builder'!$B$12)))</f>
        <v/>
      </c>
      <c r="V608" s="23" t="n"/>
    </row>
    <row r="609">
      <c r="A609" s="23" t="n"/>
      <c r="B609" s="23" t="n"/>
      <c r="C609" s="24" t="n"/>
      <c r="D609" s="15" t="n"/>
      <c r="E609" s="23" t="n"/>
      <c r="F609" s="15" t="n"/>
      <c r="G609" s="23" t="n"/>
      <c r="H609" s="25" t="n"/>
      <c r="I609" s="15" t="n"/>
      <c r="J609" s="26">
        <f>IF($A609="","",LEN($C609)-LEN(SUBSTITUTE($C609,",",""))+1)</f>
        <v/>
      </c>
      <c r="K609" s="26">
        <f>IF($A609="","",SUMPRODUCT(--ISNUMBER(SEARCH('Category Dictionary'!$D$5:$D$135&amp;"",$C609)),--('Category Dictionary'!$D$5:$D$135&lt;&gt;"")))</f>
        <v/>
      </c>
      <c r="L609" s="27">
        <f>IF($A609="","",TRIM(IF(ISERROR(FIND(",",$C609)),$C609,LEFT($C609,FIND(",",$C609)-1))))</f>
        <v/>
      </c>
      <c r="M609" s="28">
        <f>IF($H609="","",DATE(YEAR($H609),MONTH($H609),1))</f>
        <v/>
      </c>
      <c r="N609" s="26">
        <f>IF($H609="","",TODAY()-$H609)</f>
        <v/>
      </c>
      <c r="O609" s="15" t="n"/>
      <c r="P609" s="26">
        <f>IF($A609="","",COUNTIFS('Audit Versions'!$A$6:$A$605,$A609,'Audit Versions'!$L$6:$L$605,"Active"))</f>
        <v/>
      </c>
      <c r="Q609" s="15" t="n"/>
      <c r="R609" s="26">
        <f>IF(OR($A609="",$P609=0),"",MOD(N($Q609),$P609)+1)</f>
        <v/>
      </c>
      <c r="S609" s="15" t="n"/>
      <c r="T609" s="25" t="n"/>
      <c r="U609" s="26">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Builder'!$B$12="",N($S609)&lt;='Assignment Builder'!$B$12)))</f>
        <v/>
      </c>
      <c r="V609" s="23" t="n"/>
    </row>
    <row r="610">
      <c r="A610" s="23" t="n"/>
      <c r="B610" s="23" t="n"/>
      <c r="C610" s="24" t="n"/>
      <c r="D610" s="15" t="n"/>
      <c r="E610" s="23" t="n"/>
      <c r="F610" s="15" t="n"/>
      <c r="G610" s="23" t="n"/>
      <c r="H610" s="25" t="n"/>
      <c r="I610" s="15" t="n"/>
      <c r="J610" s="26">
        <f>IF($A610="","",LEN($C610)-LEN(SUBSTITUTE($C610,",",""))+1)</f>
        <v/>
      </c>
      <c r="K610" s="26">
        <f>IF($A610="","",SUMPRODUCT(--ISNUMBER(SEARCH('Category Dictionary'!$D$5:$D$135&amp;"",$C610)),--('Category Dictionary'!$D$5:$D$135&lt;&gt;"")))</f>
        <v/>
      </c>
      <c r="L610" s="27">
        <f>IF($A610="","",TRIM(IF(ISERROR(FIND(",",$C610)),$C610,LEFT($C610,FIND(",",$C610)-1))))</f>
        <v/>
      </c>
      <c r="M610" s="28">
        <f>IF($H610="","",DATE(YEAR($H610),MONTH($H610),1))</f>
        <v/>
      </c>
      <c r="N610" s="26">
        <f>IF($H610="","",TODAY()-$H610)</f>
        <v/>
      </c>
      <c r="O610" s="15" t="n"/>
      <c r="P610" s="26">
        <f>IF($A610="","",COUNTIFS('Audit Versions'!$A$6:$A$605,$A610,'Audit Versions'!$L$6:$L$605,"Active"))</f>
        <v/>
      </c>
      <c r="Q610" s="15" t="n"/>
      <c r="R610" s="26">
        <f>IF(OR($A610="",$P610=0),"",MOD(N($Q610),$P610)+1)</f>
        <v/>
      </c>
      <c r="S610" s="15" t="n"/>
      <c r="T610" s="25" t="n"/>
      <c r="U610" s="26">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Builder'!$B$12="",N($S610)&lt;='Assignment Builder'!$B$12)))</f>
        <v/>
      </c>
      <c r="V610" s="23" t="n"/>
    </row>
    <row r="611">
      <c r="A611" s="23" t="n"/>
      <c r="B611" s="23" t="n"/>
      <c r="C611" s="24" t="n"/>
      <c r="D611" s="15" t="n"/>
      <c r="E611" s="23" t="n"/>
      <c r="F611" s="15" t="n"/>
      <c r="G611" s="23" t="n"/>
      <c r="H611" s="25" t="n"/>
      <c r="I611" s="15" t="n"/>
      <c r="J611" s="26">
        <f>IF($A611="","",LEN($C611)-LEN(SUBSTITUTE($C611,",",""))+1)</f>
        <v/>
      </c>
      <c r="K611" s="26">
        <f>IF($A611="","",SUMPRODUCT(--ISNUMBER(SEARCH('Category Dictionary'!$D$5:$D$135&amp;"",$C611)),--('Category Dictionary'!$D$5:$D$135&lt;&gt;"")))</f>
        <v/>
      </c>
      <c r="L611" s="27">
        <f>IF($A611="","",TRIM(IF(ISERROR(FIND(",",$C611)),$C611,LEFT($C611,FIND(",",$C611)-1))))</f>
        <v/>
      </c>
      <c r="M611" s="28">
        <f>IF($H611="","",DATE(YEAR($H611),MONTH($H611),1))</f>
        <v/>
      </c>
      <c r="N611" s="26">
        <f>IF($H611="","",TODAY()-$H611)</f>
        <v/>
      </c>
      <c r="O611" s="15" t="n"/>
      <c r="P611" s="26">
        <f>IF($A611="","",COUNTIFS('Audit Versions'!$A$6:$A$605,$A611,'Audit Versions'!$L$6:$L$605,"Active"))</f>
        <v/>
      </c>
      <c r="Q611" s="15" t="n"/>
      <c r="R611" s="26">
        <f>IF(OR($A611="",$P611=0),"",MOD(N($Q611),$P611)+1)</f>
        <v/>
      </c>
      <c r="S611" s="15" t="n"/>
      <c r="T611" s="25" t="n"/>
      <c r="U611" s="26">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Builder'!$B$12="",N($S611)&lt;='Assignment Builder'!$B$12)))</f>
        <v/>
      </c>
      <c r="V611" s="23" t="n"/>
    </row>
    <row r="612">
      <c r="A612" s="23" t="n"/>
      <c r="B612" s="23" t="n"/>
      <c r="C612" s="24" t="n"/>
      <c r="D612" s="15" t="n"/>
      <c r="E612" s="23" t="n"/>
      <c r="F612" s="15" t="n"/>
      <c r="G612" s="23" t="n"/>
      <c r="H612" s="25" t="n"/>
      <c r="I612" s="15" t="n"/>
      <c r="J612" s="26">
        <f>IF($A612="","",LEN($C612)-LEN(SUBSTITUTE($C612,",",""))+1)</f>
        <v/>
      </c>
      <c r="K612" s="26">
        <f>IF($A612="","",SUMPRODUCT(--ISNUMBER(SEARCH('Category Dictionary'!$D$5:$D$135&amp;"",$C612)),--('Category Dictionary'!$D$5:$D$135&lt;&gt;"")))</f>
        <v/>
      </c>
      <c r="L612" s="27">
        <f>IF($A612="","",TRIM(IF(ISERROR(FIND(",",$C612)),$C612,LEFT($C612,FIND(",",$C612)-1))))</f>
        <v/>
      </c>
      <c r="M612" s="28">
        <f>IF($H612="","",DATE(YEAR($H612),MONTH($H612),1))</f>
        <v/>
      </c>
      <c r="N612" s="26">
        <f>IF($H612="","",TODAY()-$H612)</f>
        <v/>
      </c>
      <c r="O612" s="15" t="n"/>
      <c r="P612" s="26">
        <f>IF($A612="","",COUNTIFS('Audit Versions'!$A$6:$A$605,$A612,'Audit Versions'!$L$6:$L$605,"Active"))</f>
        <v/>
      </c>
      <c r="Q612" s="15" t="n"/>
      <c r="R612" s="26">
        <f>IF(OR($A612="",$P612=0),"",MOD(N($Q612),$P612)+1)</f>
        <v/>
      </c>
      <c r="S612" s="15" t="n"/>
      <c r="T612" s="25" t="n"/>
      <c r="U612" s="26">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Builder'!$B$12="",N($S612)&lt;='Assignment Builder'!$B$12)))</f>
        <v/>
      </c>
      <c r="V612" s="23" t="n"/>
    </row>
    <row r="613">
      <c r="A613" s="23" t="n"/>
      <c r="B613" s="23" t="n"/>
      <c r="C613" s="24" t="n"/>
      <c r="D613" s="15" t="n"/>
      <c r="E613" s="23" t="n"/>
      <c r="F613" s="15" t="n"/>
      <c r="G613" s="23" t="n"/>
      <c r="H613" s="25" t="n"/>
      <c r="I613" s="15" t="n"/>
      <c r="J613" s="26">
        <f>IF($A613="","",LEN($C613)-LEN(SUBSTITUTE($C613,",",""))+1)</f>
        <v/>
      </c>
      <c r="K613" s="26">
        <f>IF($A613="","",SUMPRODUCT(--ISNUMBER(SEARCH('Category Dictionary'!$D$5:$D$135&amp;"",$C613)),--('Category Dictionary'!$D$5:$D$135&lt;&gt;"")))</f>
        <v/>
      </c>
      <c r="L613" s="27">
        <f>IF($A613="","",TRIM(IF(ISERROR(FIND(",",$C613)),$C613,LEFT($C613,FIND(",",$C613)-1))))</f>
        <v/>
      </c>
      <c r="M613" s="28">
        <f>IF($H613="","",DATE(YEAR($H613),MONTH($H613),1))</f>
        <v/>
      </c>
      <c r="N613" s="26">
        <f>IF($H613="","",TODAY()-$H613)</f>
        <v/>
      </c>
      <c r="O613" s="15" t="n"/>
      <c r="P613" s="26">
        <f>IF($A613="","",COUNTIFS('Audit Versions'!$A$6:$A$605,$A613,'Audit Versions'!$L$6:$L$605,"Active"))</f>
        <v/>
      </c>
      <c r="Q613" s="15" t="n"/>
      <c r="R613" s="26">
        <f>IF(OR($A613="",$P613=0),"",MOD(N($Q613),$P613)+1)</f>
        <v/>
      </c>
      <c r="S613" s="15" t="n"/>
      <c r="T613" s="25" t="n"/>
      <c r="U613" s="26">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Builder'!$B$12="",N($S613)&lt;='Assignment Builder'!$B$12)))</f>
        <v/>
      </c>
      <c r="V613" s="23" t="n"/>
    </row>
    <row r="614">
      <c r="A614" s="23" t="n"/>
      <c r="B614" s="23" t="n"/>
      <c r="C614" s="24" t="n"/>
      <c r="D614" s="15" t="n"/>
      <c r="E614" s="23" t="n"/>
      <c r="F614" s="15" t="n"/>
      <c r="G614" s="23" t="n"/>
      <c r="H614" s="25" t="n"/>
      <c r="I614" s="15" t="n"/>
      <c r="J614" s="26">
        <f>IF($A614="","",LEN($C614)-LEN(SUBSTITUTE($C614,",",""))+1)</f>
        <v/>
      </c>
      <c r="K614" s="26">
        <f>IF($A614="","",SUMPRODUCT(--ISNUMBER(SEARCH('Category Dictionary'!$D$5:$D$135&amp;"",$C614)),--('Category Dictionary'!$D$5:$D$135&lt;&gt;"")))</f>
        <v/>
      </c>
      <c r="L614" s="27">
        <f>IF($A614="","",TRIM(IF(ISERROR(FIND(",",$C614)),$C614,LEFT($C614,FIND(",",$C614)-1))))</f>
        <v/>
      </c>
      <c r="M614" s="28">
        <f>IF($H614="","",DATE(YEAR($H614),MONTH($H614),1))</f>
        <v/>
      </c>
      <c r="N614" s="26">
        <f>IF($H614="","",TODAY()-$H614)</f>
        <v/>
      </c>
      <c r="O614" s="15" t="n"/>
      <c r="P614" s="26">
        <f>IF($A614="","",COUNTIFS('Audit Versions'!$A$6:$A$605,$A614,'Audit Versions'!$L$6:$L$605,"Active"))</f>
        <v/>
      </c>
      <c r="Q614" s="15" t="n"/>
      <c r="R614" s="26">
        <f>IF(OR($A614="",$P614=0),"",MOD(N($Q614),$P614)+1)</f>
        <v/>
      </c>
      <c r="S614" s="15" t="n"/>
      <c r="T614" s="25" t="n"/>
      <c r="U614" s="26">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Builder'!$B$12="",N($S614)&lt;='Assignment Builder'!$B$12)))</f>
        <v/>
      </c>
      <c r="V614" s="23" t="n"/>
    </row>
    <row r="615">
      <c r="A615" s="23" t="n"/>
      <c r="B615" s="23" t="n"/>
      <c r="C615" s="24" t="n"/>
      <c r="D615" s="15" t="n"/>
      <c r="E615" s="23" t="n"/>
      <c r="F615" s="15" t="n"/>
      <c r="G615" s="23" t="n"/>
      <c r="H615" s="25" t="n"/>
      <c r="I615" s="15" t="n"/>
      <c r="J615" s="26">
        <f>IF($A615="","",LEN($C615)-LEN(SUBSTITUTE($C615,",",""))+1)</f>
        <v/>
      </c>
      <c r="K615" s="26">
        <f>IF($A615="","",SUMPRODUCT(--ISNUMBER(SEARCH('Category Dictionary'!$D$5:$D$135&amp;"",$C615)),--('Category Dictionary'!$D$5:$D$135&lt;&gt;"")))</f>
        <v/>
      </c>
      <c r="L615" s="27">
        <f>IF($A615="","",TRIM(IF(ISERROR(FIND(",",$C615)),$C615,LEFT($C615,FIND(",",$C615)-1))))</f>
        <v/>
      </c>
      <c r="M615" s="28">
        <f>IF($H615="","",DATE(YEAR($H615),MONTH($H615),1))</f>
        <v/>
      </c>
      <c r="N615" s="26">
        <f>IF($H615="","",TODAY()-$H615)</f>
        <v/>
      </c>
      <c r="O615" s="15" t="n"/>
      <c r="P615" s="26">
        <f>IF($A615="","",COUNTIFS('Audit Versions'!$A$6:$A$605,$A615,'Audit Versions'!$L$6:$L$605,"Active"))</f>
        <v/>
      </c>
      <c r="Q615" s="15" t="n"/>
      <c r="R615" s="26">
        <f>IF(OR($A615="",$P615=0),"",MOD(N($Q615),$P615)+1)</f>
        <v/>
      </c>
      <c r="S615" s="15" t="n"/>
      <c r="T615" s="25" t="n"/>
      <c r="U615" s="26">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Builder'!$B$12="",N($S615)&lt;='Assignment Builder'!$B$12)))</f>
        <v/>
      </c>
      <c r="V615" s="23" t="n"/>
    </row>
    <row r="616">
      <c r="A616" s="23" t="n"/>
      <c r="B616" s="23" t="n"/>
      <c r="C616" s="24" t="n"/>
      <c r="D616" s="15" t="n"/>
      <c r="E616" s="23" t="n"/>
      <c r="F616" s="15" t="n"/>
      <c r="G616" s="23" t="n"/>
      <c r="H616" s="25" t="n"/>
      <c r="I616" s="15" t="n"/>
      <c r="J616" s="26">
        <f>IF($A616="","",LEN($C616)-LEN(SUBSTITUTE($C616,",",""))+1)</f>
        <v/>
      </c>
      <c r="K616" s="26">
        <f>IF($A616="","",SUMPRODUCT(--ISNUMBER(SEARCH('Category Dictionary'!$D$5:$D$135&amp;"",$C616)),--('Category Dictionary'!$D$5:$D$135&lt;&gt;"")))</f>
        <v/>
      </c>
      <c r="L616" s="27">
        <f>IF($A616="","",TRIM(IF(ISERROR(FIND(",",$C616)),$C616,LEFT($C616,FIND(",",$C616)-1))))</f>
        <v/>
      </c>
      <c r="M616" s="28">
        <f>IF($H616="","",DATE(YEAR($H616),MONTH($H616),1))</f>
        <v/>
      </c>
      <c r="N616" s="26">
        <f>IF($H616="","",TODAY()-$H616)</f>
        <v/>
      </c>
      <c r="O616" s="15" t="n"/>
      <c r="P616" s="26">
        <f>IF($A616="","",COUNTIFS('Audit Versions'!$A$6:$A$605,$A616,'Audit Versions'!$L$6:$L$605,"Active"))</f>
        <v/>
      </c>
      <c r="Q616" s="15" t="n"/>
      <c r="R616" s="26">
        <f>IF(OR($A616="",$P616=0),"",MOD(N($Q616),$P616)+1)</f>
        <v/>
      </c>
      <c r="S616" s="15" t="n"/>
      <c r="T616" s="25" t="n"/>
      <c r="U616" s="26">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Builder'!$B$12="",N($S616)&lt;='Assignment Builder'!$B$12)))</f>
        <v/>
      </c>
      <c r="V616" s="23" t="n"/>
    </row>
    <row r="617">
      <c r="A617" s="23" t="n"/>
      <c r="B617" s="23" t="n"/>
      <c r="C617" s="24" t="n"/>
      <c r="D617" s="15" t="n"/>
      <c r="E617" s="23" t="n"/>
      <c r="F617" s="15" t="n"/>
      <c r="G617" s="23" t="n"/>
      <c r="H617" s="25" t="n"/>
      <c r="I617" s="15" t="n"/>
      <c r="J617" s="26">
        <f>IF($A617="","",LEN($C617)-LEN(SUBSTITUTE($C617,",",""))+1)</f>
        <v/>
      </c>
      <c r="K617" s="26">
        <f>IF($A617="","",SUMPRODUCT(--ISNUMBER(SEARCH('Category Dictionary'!$D$5:$D$135&amp;"",$C617)),--('Category Dictionary'!$D$5:$D$135&lt;&gt;"")))</f>
        <v/>
      </c>
      <c r="L617" s="27">
        <f>IF($A617="","",TRIM(IF(ISERROR(FIND(",",$C617)),$C617,LEFT($C617,FIND(",",$C617)-1))))</f>
        <v/>
      </c>
      <c r="M617" s="28">
        <f>IF($H617="","",DATE(YEAR($H617),MONTH($H617),1))</f>
        <v/>
      </c>
      <c r="N617" s="26">
        <f>IF($H617="","",TODAY()-$H617)</f>
        <v/>
      </c>
      <c r="O617" s="15" t="n"/>
      <c r="P617" s="26">
        <f>IF($A617="","",COUNTIFS('Audit Versions'!$A$6:$A$605,$A617,'Audit Versions'!$L$6:$L$605,"Active"))</f>
        <v/>
      </c>
      <c r="Q617" s="15" t="n"/>
      <c r="R617" s="26">
        <f>IF(OR($A617="",$P617=0),"",MOD(N($Q617),$P617)+1)</f>
        <v/>
      </c>
      <c r="S617" s="15" t="n"/>
      <c r="T617" s="25" t="n"/>
      <c r="U617" s="26">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Builder'!$B$12="",N($S617)&lt;='Assignment Builder'!$B$12)))</f>
        <v/>
      </c>
      <c r="V617" s="23" t="n"/>
    </row>
    <row r="618">
      <c r="A618" s="23" t="n"/>
      <c r="B618" s="23" t="n"/>
      <c r="C618" s="24" t="n"/>
      <c r="D618" s="15" t="n"/>
      <c r="E618" s="23" t="n"/>
      <c r="F618" s="15" t="n"/>
      <c r="G618" s="23" t="n"/>
      <c r="H618" s="25" t="n"/>
      <c r="I618" s="15" t="n"/>
      <c r="J618" s="26">
        <f>IF($A618="","",LEN($C618)-LEN(SUBSTITUTE($C618,",",""))+1)</f>
        <v/>
      </c>
      <c r="K618" s="26">
        <f>IF($A618="","",SUMPRODUCT(--ISNUMBER(SEARCH('Category Dictionary'!$D$5:$D$135&amp;"",$C618)),--('Category Dictionary'!$D$5:$D$135&lt;&gt;"")))</f>
        <v/>
      </c>
      <c r="L618" s="27">
        <f>IF($A618="","",TRIM(IF(ISERROR(FIND(",",$C618)),$C618,LEFT($C618,FIND(",",$C618)-1))))</f>
        <v/>
      </c>
      <c r="M618" s="28">
        <f>IF($H618="","",DATE(YEAR($H618),MONTH($H618),1))</f>
        <v/>
      </c>
      <c r="N618" s="26">
        <f>IF($H618="","",TODAY()-$H618)</f>
        <v/>
      </c>
      <c r="O618" s="15" t="n"/>
      <c r="P618" s="26">
        <f>IF($A618="","",COUNTIFS('Audit Versions'!$A$6:$A$605,$A618,'Audit Versions'!$L$6:$L$605,"Active"))</f>
        <v/>
      </c>
      <c r="Q618" s="15" t="n"/>
      <c r="R618" s="26">
        <f>IF(OR($A618="",$P618=0),"",MOD(N($Q618),$P618)+1)</f>
        <v/>
      </c>
      <c r="S618" s="15" t="n"/>
      <c r="T618" s="25" t="n"/>
      <c r="U618" s="26">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Builder'!$B$12="",N($S618)&lt;='Assignment Builder'!$B$12)))</f>
        <v/>
      </c>
      <c r="V618" s="23" t="n"/>
    </row>
    <row r="619">
      <c r="A619" s="23" t="n"/>
      <c r="B619" s="23" t="n"/>
      <c r="C619" s="24" t="n"/>
      <c r="D619" s="15" t="n"/>
      <c r="E619" s="23" t="n"/>
      <c r="F619" s="15" t="n"/>
      <c r="G619" s="23" t="n"/>
      <c r="H619" s="25" t="n"/>
      <c r="I619" s="15" t="n"/>
      <c r="J619" s="26">
        <f>IF($A619="","",LEN($C619)-LEN(SUBSTITUTE($C619,",",""))+1)</f>
        <v/>
      </c>
      <c r="K619" s="26">
        <f>IF($A619="","",SUMPRODUCT(--ISNUMBER(SEARCH('Category Dictionary'!$D$5:$D$135&amp;"",$C619)),--('Category Dictionary'!$D$5:$D$135&lt;&gt;"")))</f>
        <v/>
      </c>
      <c r="L619" s="27">
        <f>IF($A619="","",TRIM(IF(ISERROR(FIND(",",$C619)),$C619,LEFT($C619,FIND(",",$C619)-1))))</f>
        <v/>
      </c>
      <c r="M619" s="28">
        <f>IF($H619="","",DATE(YEAR($H619),MONTH($H619),1))</f>
        <v/>
      </c>
      <c r="N619" s="26">
        <f>IF($H619="","",TODAY()-$H619)</f>
        <v/>
      </c>
      <c r="O619" s="15" t="n"/>
      <c r="P619" s="26">
        <f>IF($A619="","",COUNTIFS('Audit Versions'!$A$6:$A$605,$A619,'Audit Versions'!$L$6:$L$605,"Active"))</f>
        <v/>
      </c>
      <c r="Q619" s="15" t="n"/>
      <c r="R619" s="26">
        <f>IF(OR($A619="",$P619=0),"",MOD(N($Q619),$P619)+1)</f>
        <v/>
      </c>
      <c r="S619" s="15" t="n"/>
      <c r="T619" s="25" t="n"/>
      <c r="U619" s="26">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Builder'!$B$12="",N($S619)&lt;='Assignment Builder'!$B$12)))</f>
        <v/>
      </c>
      <c r="V619" s="23" t="n"/>
    </row>
    <row r="620">
      <c r="A620" s="23" t="n"/>
      <c r="B620" s="23" t="n"/>
      <c r="C620" s="24" t="n"/>
      <c r="D620" s="15" t="n"/>
      <c r="E620" s="23" t="n"/>
      <c r="F620" s="15" t="n"/>
      <c r="G620" s="23" t="n"/>
      <c r="H620" s="25" t="n"/>
      <c r="I620" s="15" t="n"/>
      <c r="J620" s="26">
        <f>IF($A620="","",LEN($C620)-LEN(SUBSTITUTE($C620,",",""))+1)</f>
        <v/>
      </c>
      <c r="K620" s="26">
        <f>IF($A620="","",SUMPRODUCT(--ISNUMBER(SEARCH('Category Dictionary'!$D$5:$D$135&amp;"",$C620)),--('Category Dictionary'!$D$5:$D$135&lt;&gt;"")))</f>
        <v/>
      </c>
      <c r="L620" s="27">
        <f>IF($A620="","",TRIM(IF(ISERROR(FIND(",",$C620)),$C620,LEFT($C620,FIND(",",$C620)-1))))</f>
        <v/>
      </c>
      <c r="M620" s="28">
        <f>IF($H620="","",DATE(YEAR($H620),MONTH($H620),1))</f>
        <v/>
      </c>
      <c r="N620" s="26">
        <f>IF($H620="","",TODAY()-$H620)</f>
        <v/>
      </c>
      <c r="O620" s="15" t="n"/>
      <c r="P620" s="26">
        <f>IF($A620="","",COUNTIFS('Audit Versions'!$A$6:$A$605,$A620,'Audit Versions'!$L$6:$L$605,"Active"))</f>
        <v/>
      </c>
      <c r="Q620" s="15" t="n"/>
      <c r="R620" s="26">
        <f>IF(OR($A620="",$P620=0),"",MOD(N($Q620),$P620)+1)</f>
        <v/>
      </c>
      <c r="S620" s="15" t="n"/>
      <c r="T620" s="25" t="n"/>
      <c r="U620" s="26">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Builder'!$B$12="",N($S620)&lt;='Assignment Builder'!$B$12)))</f>
        <v/>
      </c>
      <c r="V620" s="23" t="n"/>
    </row>
    <row r="621">
      <c r="A621" s="23" t="n"/>
      <c r="B621" s="23" t="n"/>
      <c r="C621" s="24" t="n"/>
      <c r="D621" s="15" t="n"/>
      <c r="E621" s="23" t="n"/>
      <c r="F621" s="15" t="n"/>
      <c r="G621" s="23" t="n"/>
      <c r="H621" s="25" t="n"/>
      <c r="I621" s="15" t="n"/>
      <c r="J621" s="26">
        <f>IF($A621="","",LEN($C621)-LEN(SUBSTITUTE($C621,",",""))+1)</f>
        <v/>
      </c>
      <c r="K621" s="26">
        <f>IF($A621="","",SUMPRODUCT(--ISNUMBER(SEARCH('Category Dictionary'!$D$5:$D$135&amp;"",$C621)),--('Category Dictionary'!$D$5:$D$135&lt;&gt;"")))</f>
        <v/>
      </c>
      <c r="L621" s="27">
        <f>IF($A621="","",TRIM(IF(ISERROR(FIND(",",$C621)),$C621,LEFT($C621,FIND(",",$C621)-1))))</f>
        <v/>
      </c>
      <c r="M621" s="28">
        <f>IF($H621="","",DATE(YEAR($H621),MONTH($H621),1))</f>
        <v/>
      </c>
      <c r="N621" s="26">
        <f>IF($H621="","",TODAY()-$H621)</f>
        <v/>
      </c>
      <c r="O621" s="15" t="n"/>
      <c r="P621" s="26">
        <f>IF($A621="","",COUNTIFS('Audit Versions'!$A$6:$A$605,$A621,'Audit Versions'!$L$6:$L$605,"Active"))</f>
        <v/>
      </c>
      <c r="Q621" s="15" t="n"/>
      <c r="R621" s="26">
        <f>IF(OR($A621="",$P621=0),"",MOD(N($Q621),$P621)+1)</f>
        <v/>
      </c>
      <c r="S621" s="15" t="n"/>
      <c r="T621" s="25" t="n"/>
      <c r="U621" s="26">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Builder'!$B$12="",N($S621)&lt;='Assignment Builder'!$B$12)))</f>
        <v/>
      </c>
      <c r="V621" s="23" t="n"/>
    </row>
    <row r="622">
      <c r="A622" s="23" t="n"/>
      <c r="B622" s="23" t="n"/>
      <c r="C622" s="24" t="n"/>
      <c r="D622" s="15" t="n"/>
      <c r="E622" s="23" t="n"/>
      <c r="F622" s="15" t="n"/>
      <c r="G622" s="23" t="n"/>
      <c r="H622" s="25" t="n"/>
      <c r="I622" s="15" t="n"/>
      <c r="J622" s="26">
        <f>IF($A622="","",LEN($C622)-LEN(SUBSTITUTE($C622,",",""))+1)</f>
        <v/>
      </c>
      <c r="K622" s="26">
        <f>IF($A622="","",SUMPRODUCT(--ISNUMBER(SEARCH('Category Dictionary'!$D$5:$D$135&amp;"",$C622)),--('Category Dictionary'!$D$5:$D$135&lt;&gt;"")))</f>
        <v/>
      </c>
      <c r="L622" s="27">
        <f>IF($A622="","",TRIM(IF(ISERROR(FIND(",",$C622)),$C622,LEFT($C622,FIND(",",$C622)-1))))</f>
        <v/>
      </c>
      <c r="M622" s="28">
        <f>IF($H622="","",DATE(YEAR($H622),MONTH($H622),1))</f>
        <v/>
      </c>
      <c r="N622" s="26">
        <f>IF($H622="","",TODAY()-$H622)</f>
        <v/>
      </c>
      <c r="O622" s="15" t="n"/>
      <c r="P622" s="26">
        <f>IF($A622="","",COUNTIFS('Audit Versions'!$A$6:$A$605,$A622,'Audit Versions'!$L$6:$L$605,"Active"))</f>
        <v/>
      </c>
      <c r="Q622" s="15" t="n"/>
      <c r="R622" s="26">
        <f>IF(OR($A622="",$P622=0),"",MOD(N($Q622),$P622)+1)</f>
        <v/>
      </c>
      <c r="S622" s="15" t="n"/>
      <c r="T622" s="25" t="n"/>
      <c r="U622" s="26">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Builder'!$B$12="",N($S622)&lt;='Assignment Builder'!$B$12)))</f>
        <v/>
      </c>
      <c r="V622" s="23" t="n"/>
    </row>
    <row r="623">
      <c r="A623" s="23" t="n"/>
      <c r="B623" s="23" t="n"/>
      <c r="C623" s="24" t="n"/>
      <c r="D623" s="15" t="n"/>
      <c r="E623" s="23" t="n"/>
      <c r="F623" s="15" t="n"/>
      <c r="G623" s="23" t="n"/>
      <c r="H623" s="25" t="n"/>
      <c r="I623" s="15" t="n"/>
      <c r="J623" s="26">
        <f>IF($A623="","",LEN($C623)-LEN(SUBSTITUTE($C623,",",""))+1)</f>
        <v/>
      </c>
      <c r="K623" s="26">
        <f>IF($A623="","",SUMPRODUCT(--ISNUMBER(SEARCH('Category Dictionary'!$D$5:$D$135&amp;"",$C623)),--('Category Dictionary'!$D$5:$D$135&lt;&gt;"")))</f>
        <v/>
      </c>
      <c r="L623" s="27">
        <f>IF($A623="","",TRIM(IF(ISERROR(FIND(",",$C623)),$C623,LEFT($C623,FIND(",",$C623)-1))))</f>
        <v/>
      </c>
      <c r="M623" s="28">
        <f>IF($H623="","",DATE(YEAR($H623),MONTH($H623),1))</f>
        <v/>
      </c>
      <c r="N623" s="26">
        <f>IF($H623="","",TODAY()-$H623)</f>
        <v/>
      </c>
      <c r="O623" s="15" t="n"/>
      <c r="P623" s="26">
        <f>IF($A623="","",COUNTIFS('Audit Versions'!$A$6:$A$605,$A623,'Audit Versions'!$L$6:$L$605,"Active"))</f>
        <v/>
      </c>
      <c r="Q623" s="15" t="n"/>
      <c r="R623" s="26">
        <f>IF(OR($A623="",$P623=0),"",MOD(N($Q623),$P623)+1)</f>
        <v/>
      </c>
      <c r="S623" s="15" t="n"/>
      <c r="T623" s="25" t="n"/>
      <c r="U623" s="26">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Builder'!$B$12="",N($S623)&lt;='Assignment Builder'!$B$12)))</f>
        <v/>
      </c>
      <c r="V623" s="23" t="n"/>
    </row>
    <row r="624">
      <c r="A624" s="23" t="n"/>
      <c r="B624" s="23" t="n"/>
      <c r="C624" s="24" t="n"/>
      <c r="D624" s="15" t="n"/>
      <c r="E624" s="23" t="n"/>
      <c r="F624" s="15" t="n"/>
      <c r="G624" s="23" t="n"/>
      <c r="H624" s="25" t="n"/>
      <c r="I624" s="15" t="n"/>
      <c r="J624" s="26">
        <f>IF($A624="","",LEN($C624)-LEN(SUBSTITUTE($C624,",",""))+1)</f>
        <v/>
      </c>
      <c r="K624" s="26">
        <f>IF($A624="","",SUMPRODUCT(--ISNUMBER(SEARCH('Category Dictionary'!$D$5:$D$135&amp;"",$C624)),--('Category Dictionary'!$D$5:$D$135&lt;&gt;"")))</f>
        <v/>
      </c>
      <c r="L624" s="27">
        <f>IF($A624="","",TRIM(IF(ISERROR(FIND(",",$C624)),$C624,LEFT($C624,FIND(",",$C624)-1))))</f>
        <v/>
      </c>
      <c r="M624" s="28">
        <f>IF($H624="","",DATE(YEAR($H624),MONTH($H624),1))</f>
        <v/>
      </c>
      <c r="N624" s="26">
        <f>IF($H624="","",TODAY()-$H624)</f>
        <v/>
      </c>
      <c r="O624" s="15" t="n"/>
      <c r="P624" s="26">
        <f>IF($A624="","",COUNTIFS('Audit Versions'!$A$6:$A$605,$A624,'Audit Versions'!$L$6:$L$605,"Active"))</f>
        <v/>
      </c>
      <c r="Q624" s="15" t="n"/>
      <c r="R624" s="26">
        <f>IF(OR($A624="",$P624=0),"",MOD(N($Q624),$P624)+1)</f>
        <v/>
      </c>
      <c r="S624" s="15" t="n"/>
      <c r="T624" s="25" t="n"/>
      <c r="U624" s="26">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Builder'!$B$12="",N($S624)&lt;='Assignment Builder'!$B$12)))</f>
        <v/>
      </c>
      <c r="V624" s="23" t="n"/>
    </row>
    <row r="625">
      <c r="A625" s="23" t="n"/>
      <c r="B625" s="23" t="n"/>
      <c r="C625" s="24" t="n"/>
      <c r="D625" s="15" t="n"/>
      <c r="E625" s="23" t="n"/>
      <c r="F625" s="15" t="n"/>
      <c r="G625" s="23" t="n"/>
      <c r="H625" s="25" t="n"/>
      <c r="I625" s="15" t="n"/>
      <c r="J625" s="26">
        <f>IF($A625="","",LEN($C625)-LEN(SUBSTITUTE($C625,",",""))+1)</f>
        <v/>
      </c>
      <c r="K625" s="26">
        <f>IF($A625="","",SUMPRODUCT(--ISNUMBER(SEARCH('Category Dictionary'!$D$5:$D$135&amp;"",$C625)),--('Category Dictionary'!$D$5:$D$135&lt;&gt;"")))</f>
        <v/>
      </c>
      <c r="L625" s="27">
        <f>IF($A625="","",TRIM(IF(ISERROR(FIND(",",$C625)),$C625,LEFT($C625,FIND(",",$C625)-1))))</f>
        <v/>
      </c>
      <c r="M625" s="28">
        <f>IF($H625="","",DATE(YEAR($H625),MONTH($H625),1))</f>
        <v/>
      </c>
      <c r="N625" s="26">
        <f>IF($H625="","",TODAY()-$H625)</f>
        <v/>
      </c>
      <c r="O625" s="15" t="n"/>
      <c r="P625" s="26">
        <f>IF($A625="","",COUNTIFS('Audit Versions'!$A$6:$A$605,$A625,'Audit Versions'!$L$6:$L$605,"Active"))</f>
        <v/>
      </c>
      <c r="Q625" s="15" t="n"/>
      <c r="R625" s="26">
        <f>IF(OR($A625="",$P625=0),"",MOD(N($Q625),$P625)+1)</f>
        <v/>
      </c>
      <c r="S625" s="15" t="n"/>
      <c r="T625" s="25" t="n"/>
      <c r="U625" s="26">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Builder'!$B$12="",N($S625)&lt;='Assignment Builder'!$B$12)))</f>
        <v/>
      </c>
      <c r="V625" s="23" t="n"/>
    </row>
    <row r="626">
      <c r="A626" s="23" t="n"/>
      <c r="B626" s="23" t="n"/>
      <c r="C626" s="24" t="n"/>
      <c r="D626" s="15" t="n"/>
      <c r="E626" s="23" t="n"/>
      <c r="F626" s="15" t="n"/>
      <c r="G626" s="23" t="n"/>
      <c r="H626" s="25" t="n"/>
      <c r="I626" s="15" t="n"/>
      <c r="J626" s="26">
        <f>IF($A626="","",LEN($C626)-LEN(SUBSTITUTE($C626,",",""))+1)</f>
        <v/>
      </c>
      <c r="K626" s="26">
        <f>IF($A626="","",SUMPRODUCT(--ISNUMBER(SEARCH('Category Dictionary'!$D$5:$D$135&amp;"",$C626)),--('Category Dictionary'!$D$5:$D$135&lt;&gt;"")))</f>
        <v/>
      </c>
      <c r="L626" s="27">
        <f>IF($A626="","",TRIM(IF(ISERROR(FIND(",",$C626)),$C626,LEFT($C626,FIND(",",$C626)-1))))</f>
        <v/>
      </c>
      <c r="M626" s="28">
        <f>IF($H626="","",DATE(YEAR($H626),MONTH($H626),1))</f>
        <v/>
      </c>
      <c r="N626" s="26">
        <f>IF($H626="","",TODAY()-$H626)</f>
        <v/>
      </c>
      <c r="O626" s="15" t="n"/>
      <c r="P626" s="26">
        <f>IF($A626="","",COUNTIFS('Audit Versions'!$A$6:$A$605,$A626,'Audit Versions'!$L$6:$L$605,"Active"))</f>
        <v/>
      </c>
      <c r="Q626" s="15" t="n"/>
      <c r="R626" s="26">
        <f>IF(OR($A626="",$P626=0),"",MOD(N($Q626),$P626)+1)</f>
        <v/>
      </c>
      <c r="S626" s="15" t="n"/>
      <c r="T626" s="25" t="n"/>
      <c r="U626" s="26">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Builder'!$B$12="",N($S626)&lt;='Assignment Builder'!$B$12)))</f>
        <v/>
      </c>
      <c r="V626" s="23" t="n"/>
    </row>
    <row r="627">
      <c r="A627" s="23" t="n"/>
      <c r="B627" s="23" t="n"/>
      <c r="C627" s="24" t="n"/>
      <c r="D627" s="15" t="n"/>
      <c r="E627" s="23" t="n"/>
      <c r="F627" s="15" t="n"/>
      <c r="G627" s="23" t="n"/>
      <c r="H627" s="25" t="n"/>
      <c r="I627" s="15" t="n"/>
      <c r="J627" s="26">
        <f>IF($A627="","",LEN($C627)-LEN(SUBSTITUTE($C627,",",""))+1)</f>
        <v/>
      </c>
      <c r="K627" s="26">
        <f>IF($A627="","",SUMPRODUCT(--ISNUMBER(SEARCH('Category Dictionary'!$D$5:$D$135&amp;"",$C627)),--('Category Dictionary'!$D$5:$D$135&lt;&gt;"")))</f>
        <v/>
      </c>
      <c r="L627" s="27">
        <f>IF($A627="","",TRIM(IF(ISERROR(FIND(",",$C627)),$C627,LEFT($C627,FIND(",",$C627)-1))))</f>
        <v/>
      </c>
      <c r="M627" s="28">
        <f>IF($H627="","",DATE(YEAR($H627),MONTH($H627),1))</f>
        <v/>
      </c>
      <c r="N627" s="26">
        <f>IF($H627="","",TODAY()-$H627)</f>
        <v/>
      </c>
      <c r="O627" s="15" t="n"/>
      <c r="P627" s="26">
        <f>IF($A627="","",COUNTIFS('Audit Versions'!$A$6:$A$605,$A627,'Audit Versions'!$L$6:$L$605,"Active"))</f>
        <v/>
      </c>
      <c r="Q627" s="15" t="n"/>
      <c r="R627" s="26">
        <f>IF(OR($A627="",$P627=0),"",MOD(N($Q627),$P627)+1)</f>
        <v/>
      </c>
      <c r="S627" s="15" t="n"/>
      <c r="T627" s="25" t="n"/>
      <c r="U627" s="26">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Builder'!$B$12="",N($S627)&lt;='Assignment Builder'!$B$12)))</f>
        <v/>
      </c>
      <c r="V627" s="23" t="n"/>
    </row>
    <row r="628">
      <c r="A628" s="23" t="n"/>
      <c r="B628" s="23" t="n"/>
      <c r="C628" s="24" t="n"/>
      <c r="D628" s="15" t="n"/>
      <c r="E628" s="23" t="n"/>
      <c r="F628" s="15" t="n"/>
      <c r="G628" s="23" t="n"/>
      <c r="H628" s="25" t="n"/>
      <c r="I628" s="15" t="n"/>
      <c r="J628" s="26">
        <f>IF($A628="","",LEN($C628)-LEN(SUBSTITUTE($C628,",",""))+1)</f>
        <v/>
      </c>
      <c r="K628" s="26">
        <f>IF($A628="","",SUMPRODUCT(--ISNUMBER(SEARCH('Category Dictionary'!$D$5:$D$135&amp;"",$C628)),--('Category Dictionary'!$D$5:$D$135&lt;&gt;"")))</f>
        <v/>
      </c>
      <c r="L628" s="27">
        <f>IF($A628="","",TRIM(IF(ISERROR(FIND(",",$C628)),$C628,LEFT($C628,FIND(",",$C628)-1))))</f>
        <v/>
      </c>
      <c r="M628" s="28">
        <f>IF($H628="","",DATE(YEAR($H628),MONTH($H628),1))</f>
        <v/>
      </c>
      <c r="N628" s="26">
        <f>IF($H628="","",TODAY()-$H628)</f>
        <v/>
      </c>
      <c r="O628" s="15" t="n"/>
      <c r="P628" s="26">
        <f>IF($A628="","",COUNTIFS('Audit Versions'!$A$6:$A$605,$A628,'Audit Versions'!$L$6:$L$605,"Active"))</f>
        <v/>
      </c>
      <c r="Q628" s="15" t="n"/>
      <c r="R628" s="26">
        <f>IF(OR($A628="",$P628=0),"",MOD(N($Q628),$P628)+1)</f>
        <v/>
      </c>
      <c r="S628" s="15" t="n"/>
      <c r="T628" s="25" t="n"/>
      <c r="U628" s="26">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Builder'!$B$12="",N($S628)&lt;='Assignment Builder'!$B$12)))</f>
        <v/>
      </c>
      <c r="V628" s="23" t="n"/>
    </row>
    <row r="629">
      <c r="A629" s="23" t="n"/>
      <c r="B629" s="23" t="n"/>
      <c r="C629" s="24" t="n"/>
      <c r="D629" s="15" t="n"/>
      <c r="E629" s="23" t="n"/>
      <c r="F629" s="15" t="n"/>
      <c r="G629" s="23" t="n"/>
      <c r="H629" s="25" t="n"/>
      <c r="I629" s="15" t="n"/>
      <c r="J629" s="26">
        <f>IF($A629="","",LEN($C629)-LEN(SUBSTITUTE($C629,",",""))+1)</f>
        <v/>
      </c>
      <c r="K629" s="26">
        <f>IF($A629="","",SUMPRODUCT(--ISNUMBER(SEARCH('Category Dictionary'!$D$5:$D$135&amp;"",$C629)),--('Category Dictionary'!$D$5:$D$135&lt;&gt;"")))</f>
        <v/>
      </c>
      <c r="L629" s="27">
        <f>IF($A629="","",TRIM(IF(ISERROR(FIND(",",$C629)),$C629,LEFT($C629,FIND(",",$C629)-1))))</f>
        <v/>
      </c>
      <c r="M629" s="28">
        <f>IF($H629="","",DATE(YEAR($H629),MONTH($H629),1))</f>
        <v/>
      </c>
      <c r="N629" s="26">
        <f>IF($H629="","",TODAY()-$H629)</f>
        <v/>
      </c>
      <c r="O629" s="15" t="n"/>
      <c r="P629" s="26">
        <f>IF($A629="","",COUNTIFS('Audit Versions'!$A$6:$A$605,$A629,'Audit Versions'!$L$6:$L$605,"Active"))</f>
        <v/>
      </c>
      <c r="Q629" s="15" t="n"/>
      <c r="R629" s="26">
        <f>IF(OR($A629="",$P629=0),"",MOD(N($Q629),$P629)+1)</f>
        <v/>
      </c>
      <c r="S629" s="15" t="n"/>
      <c r="T629" s="25" t="n"/>
      <c r="U629" s="26">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Builder'!$B$12="",N($S629)&lt;='Assignment Builder'!$B$12)))</f>
        <v/>
      </c>
      <c r="V629" s="23" t="n"/>
    </row>
    <row r="630">
      <c r="A630" s="23" t="n"/>
      <c r="B630" s="23" t="n"/>
      <c r="C630" s="24" t="n"/>
      <c r="D630" s="15" t="n"/>
      <c r="E630" s="23" t="n"/>
      <c r="F630" s="15" t="n"/>
      <c r="G630" s="23" t="n"/>
      <c r="H630" s="25" t="n"/>
      <c r="I630" s="15" t="n"/>
      <c r="J630" s="26">
        <f>IF($A630="","",LEN($C630)-LEN(SUBSTITUTE($C630,",",""))+1)</f>
        <v/>
      </c>
      <c r="K630" s="26">
        <f>IF($A630="","",SUMPRODUCT(--ISNUMBER(SEARCH('Category Dictionary'!$D$5:$D$135&amp;"",$C630)),--('Category Dictionary'!$D$5:$D$135&lt;&gt;"")))</f>
        <v/>
      </c>
      <c r="L630" s="27">
        <f>IF($A630="","",TRIM(IF(ISERROR(FIND(",",$C630)),$C630,LEFT($C630,FIND(",",$C630)-1))))</f>
        <v/>
      </c>
      <c r="M630" s="28">
        <f>IF($H630="","",DATE(YEAR($H630),MONTH($H630),1))</f>
        <v/>
      </c>
      <c r="N630" s="26">
        <f>IF($H630="","",TODAY()-$H630)</f>
        <v/>
      </c>
      <c r="O630" s="15" t="n"/>
      <c r="P630" s="26">
        <f>IF($A630="","",COUNTIFS('Audit Versions'!$A$6:$A$605,$A630,'Audit Versions'!$L$6:$L$605,"Active"))</f>
        <v/>
      </c>
      <c r="Q630" s="15" t="n"/>
      <c r="R630" s="26">
        <f>IF(OR($A630="",$P630=0),"",MOD(N($Q630),$P630)+1)</f>
        <v/>
      </c>
      <c r="S630" s="15" t="n"/>
      <c r="T630" s="25" t="n"/>
      <c r="U630" s="26">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Builder'!$B$12="",N($S630)&lt;='Assignment Builder'!$B$12)))</f>
        <v/>
      </c>
      <c r="V630" s="23" t="n"/>
    </row>
    <row r="631">
      <c r="A631" s="23" t="n"/>
      <c r="B631" s="23" t="n"/>
      <c r="C631" s="24" t="n"/>
      <c r="D631" s="15" t="n"/>
      <c r="E631" s="23" t="n"/>
      <c r="F631" s="15" t="n"/>
      <c r="G631" s="23" t="n"/>
      <c r="H631" s="25" t="n"/>
      <c r="I631" s="15" t="n"/>
      <c r="J631" s="26">
        <f>IF($A631="","",LEN($C631)-LEN(SUBSTITUTE($C631,",",""))+1)</f>
        <v/>
      </c>
      <c r="K631" s="26">
        <f>IF($A631="","",SUMPRODUCT(--ISNUMBER(SEARCH('Category Dictionary'!$D$5:$D$135&amp;"",$C631)),--('Category Dictionary'!$D$5:$D$135&lt;&gt;"")))</f>
        <v/>
      </c>
      <c r="L631" s="27">
        <f>IF($A631="","",TRIM(IF(ISERROR(FIND(",",$C631)),$C631,LEFT($C631,FIND(",",$C631)-1))))</f>
        <v/>
      </c>
      <c r="M631" s="28">
        <f>IF($H631="","",DATE(YEAR($H631),MONTH($H631),1))</f>
        <v/>
      </c>
      <c r="N631" s="26">
        <f>IF($H631="","",TODAY()-$H631)</f>
        <v/>
      </c>
      <c r="O631" s="15" t="n"/>
      <c r="P631" s="26">
        <f>IF($A631="","",COUNTIFS('Audit Versions'!$A$6:$A$605,$A631,'Audit Versions'!$L$6:$L$605,"Active"))</f>
        <v/>
      </c>
      <c r="Q631" s="15" t="n"/>
      <c r="R631" s="26">
        <f>IF(OR($A631="",$P631=0),"",MOD(N($Q631),$P631)+1)</f>
        <v/>
      </c>
      <c r="S631" s="15" t="n"/>
      <c r="T631" s="25" t="n"/>
      <c r="U631" s="26">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Builder'!$B$12="",N($S631)&lt;='Assignment Builder'!$B$12)))</f>
        <v/>
      </c>
      <c r="V631" s="23" t="n"/>
    </row>
    <row r="632">
      <c r="A632" s="23" t="n"/>
      <c r="B632" s="23" t="n"/>
      <c r="C632" s="24" t="n"/>
      <c r="D632" s="15" t="n"/>
      <c r="E632" s="23" t="n"/>
      <c r="F632" s="15" t="n"/>
      <c r="G632" s="23" t="n"/>
      <c r="H632" s="25" t="n"/>
      <c r="I632" s="15" t="n"/>
      <c r="J632" s="26">
        <f>IF($A632="","",LEN($C632)-LEN(SUBSTITUTE($C632,",",""))+1)</f>
        <v/>
      </c>
      <c r="K632" s="26">
        <f>IF($A632="","",SUMPRODUCT(--ISNUMBER(SEARCH('Category Dictionary'!$D$5:$D$135&amp;"",$C632)),--('Category Dictionary'!$D$5:$D$135&lt;&gt;"")))</f>
        <v/>
      </c>
      <c r="L632" s="27">
        <f>IF($A632="","",TRIM(IF(ISERROR(FIND(",",$C632)),$C632,LEFT($C632,FIND(",",$C632)-1))))</f>
        <v/>
      </c>
      <c r="M632" s="28">
        <f>IF($H632="","",DATE(YEAR($H632),MONTH($H632),1))</f>
        <v/>
      </c>
      <c r="N632" s="26">
        <f>IF($H632="","",TODAY()-$H632)</f>
        <v/>
      </c>
      <c r="O632" s="15" t="n"/>
      <c r="P632" s="26">
        <f>IF($A632="","",COUNTIFS('Audit Versions'!$A$6:$A$605,$A632,'Audit Versions'!$L$6:$L$605,"Active"))</f>
        <v/>
      </c>
      <c r="Q632" s="15" t="n"/>
      <c r="R632" s="26">
        <f>IF(OR($A632="",$P632=0),"",MOD(N($Q632),$P632)+1)</f>
        <v/>
      </c>
      <c r="S632" s="15" t="n"/>
      <c r="T632" s="25" t="n"/>
      <c r="U632" s="26">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Builder'!$B$12="",N($S632)&lt;='Assignment Builder'!$B$12)))</f>
        <v/>
      </c>
      <c r="V632" s="23" t="n"/>
    </row>
    <row r="633">
      <c r="A633" s="23" t="n"/>
      <c r="B633" s="23" t="n"/>
      <c r="C633" s="24" t="n"/>
      <c r="D633" s="15" t="n"/>
      <c r="E633" s="23" t="n"/>
      <c r="F633" s="15" t="n"/>
      <c r="G633" s="23" t="n"/>
      <c r="H633" s="25" t="n"/>
      <c r="I633" s="15" t="n"/>
      <c r="J633" s="26">
        <f>IF($A633="","",LEN($C633)-LEN(SUBSTITUTE($C633,",",""))+1)</f>
        <v/>
      </c>
      <c r="K633" s="26">
        <f>IF($A633="","",SUMPRODUCT(--ISNUMBER(SEARCH('Category Dictionary'!$D$5:$D$135&amp;"",$C633)),--('Category Dictionary'!$D$5:$D$135&lt;&gt;"")))</f>
        <v/>
      </c>
      <c r="L633" s="27">
        <f>IF($A633="","",TRIM(IF(ISERROR(FIND(",",$C633)),$C633,LEFT($C633,FIND(",",$C633)-1))))</f>
        <v/>
      </c>
      <c r="M633" s="28">
        <f>IF($H633="","",DATE(YEAR($H633),MONTH($H633),1))</f>
        <v/>
      </c>
      <c r="N633" s="26">
        <f>IF($H633="","",TODAY()-$H633)</f>
        <v/>
      </c>
      <c r="O633" s="15" t="n"/>
      <c r="P633" s="26">
        <f>IF($A633="","",COUNTIFS('Audit Versions'!$A$6:$A$605,$A633,'Audit Versions'!$L$6:$L$605,"Active"))</f>
        <v/>
      </c>
      <c r="Q633" s="15" t="n"/>
      <c r="R633" s="26">
        <f>IF(OR($A633="",$P633=0),"",MOD(N($Q633),$P633)+1)</f>
        <v/>
      </c>
      <c r="S633" s="15" t="n"/>
      <c r="T633" s="25" t="n"/>
      <c r="U633" s="26">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Builder'!$B$12="",N($S633)&lt;='Assignment Builder'!$B$12)))</f>
        <v/>
      </c>
      <c r="V633" s="23" t="n"/>
    </row>
    <row r="634">
      <c r="A634" s="23" t="n"/>
      <c r="B634" s="23" t="n"/>
      <c r="C634" s="24" t="n"/>
      <c r="D634" s="15" t="n"/>
      <c r="E634" s="23" t="n"/>
      <c r="F634" s="15" t="n"/>
      <c r="G634" s="23" t="n"/>
      <c r="H634" s="25" t="n"/>
      <c r="I634" s="15" t="n"/>
      <c r="J634" s="26">
        <f>IF($A634="","",LEN($C634)-LEN(SUBSTITUTE($C634,",",""))+1)</f>
        <v/>
      </c>
      <c r="K634" s="26">
        <f>IF($A634="","",SUMPRODUCT(--ISNUMBER(SEARCH('Category Dictionary'!$D$5:$D$135&amp;"",$C634)),--('Category Dictionary'!$D$5:$D$135&lt;&gt;"")))</f>
        <v/>
      </c>
      <c r="L634" s="27">
        <f>IF($A634="","",TRIM(IF(ISERROR(FIND(",",$C634)),$C634,LEFT($C634,FIND(",",$C634)-1))))</f>
        <v/>
      </c>
      <c r="M634" s="28">
        <f>IF($H634="","",DATE(YEAR($H634),MONTH($H634),1))</f>
        <v/>
      </c>
      <c r="N634" s="26">
        <f>IF($H634="","",TODAY()-$H634)</f>
        <v/>
      </c>
      <c r="O634" s="15" t="n"/>
      <c r="P634" s="26">
        <f>IF($A634="","",COUNTIFS('Audit Versions'!$A$6:$A$605,$A634,'Audit Versions'!$L$6:$L$605,"Active"))</f>
        <v/>
      </c>
      <c r="Q634" s="15" t="n"/>
      <c r="R634" s="26">
        <f>IF(OR($A634="",$P634=0),"",MOD(N($Q634),$P634)+1)</f>
        <v/>
      </c>
      <c r="S634" s="15" t="n"/>
      <c r="T634" s="25" t="n"/>
      <c r="U634" s="26">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Builder'!$B$12="",N($S634)&lt;='Assignment Builder'!$B$12)))</f>
        <v/>
      </c>
      <c r="V634" s="23" t="n"/>
    </row>
    <row r="635">
      <c r="A635" s="23" t="n"/>
      <c r="B635" s="23" t="n"/>
      <c r="C635" s="24" t="n"/>
      <c r="D635" s="15" t="n"/>
      <c r="E635" s="23" t="n"/>
      <c r="F635" s="15" t="n"/>
      <c r="G635" s="23" t="n"/>
      <c r="H635" s="25" t="n"/>
      <c r="I635" s="15" t="n"/>
      <c r="J635" s="26">
        <f>IF($A635="","",LEN($C635)-LEN(SUBSTITUTE($C635,",",""))+1)</f>
        <v/>
      </c>
      <c r="K635" s="26">
        <f>IF($A635="","",SUMPRODUCT(--ISNUMBER(SEARCH('Category Dictionary'!$D$5:$D$135&amp;"",$C635)),--('Category Dictionary'!$D$5:$D$135&lt;&gt;"")))</f>
        <v/>
      </c>
      <c r="L635" s="27">
        <f>IF($A635="","",TRIM(IF(ISERROR(FIND(",",$C635)),$C635,LEFT($C635,FIND(",",$C635)-1))))</f>
        <v/>
      </c>
      <c r="M635" s="28">
        <f>IF($H635="","",DATE(YEAR($H635),MONTH($H635),1))</f>
        <v/>
      </c>
      <c r="N635" s="26">
        <f>IF($H635="","",TODAY()-$H635)</f>
        <v/>
      </c>
      <c r="O635" s="15" t="n"/>
      <c r="P635" s="26">
        <f>IF($A635="","",COUNTIFS('Audit Versions'!$A$6:$A$605,$A635,'Audit Versions'!$L$6:$L$605,"Active"))</f>
        <v/>
      </c>
      <c r="Q635" s="15" t="n"/>
      <c r="R635" s="26">
        <f>IF(OR($A635="",$P635=0),"",MOD(N($Q635),$P635)+1)</f>
        <v/>
      </c>
      <c r="S635" s="15" t="n"/>
      <c r="T635" s="25" t="n"/>
      <c r="U635" s="26">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Builder'!$B$12="",N($S635)&lt;='Assignment Builder'!$B$12)))</f>
        <v/>
      </c>
      <c r="V635" s="23" t="n"/>
    </row>
    <row r="636">
      <c r="A636" s="23" t="n"/>
      <c r="B636" s="23" t="n"/>
      <c r="C636" s="24" t="n"/>
      <c r="D636" s="15" t="n"/>
      <c r="E636" s="23" t="n"/>
      <c r="F636" s="15" t="n"/>
      <c r="G636" s="23" t="n"/>
      <c r="H636" s="25" t="n"/>
      <c r="I636" s="15" t="n"/>
      <c r="J636" s="26">
        <f>IF($A636="","",LEN($C636)-LEN(SUBSTITUTE($C636,",",""))+1)</f>
        <v/>
      </c>
      <c r="K636" s="26">
        <f>IF($A636="","",SUMPRODUCT(--ISNUMBER(SEARCH('Category Dictionary'!$D$5:$D$135&amp;"",$C636)),--('Category Dictionary'!$D$5:$D$135&lt;&gt;"")))</f>
        <v/>
      </c>
      <c r="L636" s="27">
        <f>IF($A636="","",TRIM(IF(ISERROR(FIND(",",$C636)),$C636,LEFT($C636,FIND(",",$C636)-1))))</f>
        <v/>
      </c>
      <c r="M636" s="28">
        <f>IF($H636="","",DATE(YEAR($H636),MONTH($H636),1))</f>
        <v/>
      </c>
      <c r="N636" s="26">
        <f>IF($H636="","",TODAY()-$H636)</f>
        <v/>
      </c>
      <c r="O636" s="15" t="n"/>
      <c r="P636" s="26">
        <f>IF($A636="","",COUNTIFS('Audit Versions'!$A$6:$A$605,$A636,'Audit Versions'!$L$6:$L$605,"Active"))</f>
        <v/>
      </c>
      <c r="Q636" s="15" t="n"/>
      <c r="R636" s="26">
        <f>IF(OR($A636="",$P636=0),"",MOD(N($Q636),$P636)+1)</f>
        <v/>
      </c>
      <c r="S636" s="15" t="n"/>
      <c r="T636" s="25" t="n"/>
      <c r="U636" s="26">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Builder'!$B$12="",N($S636)&lt;='Assignment Builder'!$B$12)))</f>
        <v/>
      </c>
      <c r="V636" s="23" t="n"/>
    </row>
    <row r="637">
      <c r="A637" s="23" t="n"/>
      <c r="B637" s="23" t="n"/>
      <c r="C637" s="24" t="n"/>
      <c r="D637" s="15" t="n"/>
      <c r="E637" s="23" t="n"/>
      <c r="F637" s="15" t="n"/>
      <c r="G637" s="23" t="n"/>
      <c r="H637" s="25" t="n"/>
      <c r="I637" s="15" t="n"/>
      <c r="J637" s="26">
        <f>IF($A637="","",LEN($C637)-LEN(SUBSTITUTE($C637,",",""))+1)</f>
        <v/>
      </c>
      <c r="K637" s="26">
        <f>IF($A637="","",SUMPRODUCT(--ISNUMBER(SEARCH('Category Dictionary'!$D$5:$D$135&amp;"",$C637)),--('Category Dictionary'!$D$5:$D$135&lt;&gt;"")))</f>
        <v/>
      </c>
      <c r="L637" s="27">
        <f>IF($A637="","",TRIM(IF(ISERROR(FIND(",",$C637)),$C637,LEFT($C637,FIND(",",$C637)-1))))</f>
        <v/>
      </c>
      <c r="M637" s="28">
        <f>IF($H637="","",DATE(YEAR($H637),MONTH($H637),1))</f>
        <v/>
      </c>
      <c r="N637" s="26">
        <f>IF($H637="","",TODAY()-$H637)</f>
        <v/>
      </c>
      <c r="O637" s="15" t="n"/>
      <c r="P637" s="26">
        <f>IF($A637="","",COUNTIFS('Audit Versions'!$A$6:$A$605,$A637,'Audit Versions'!$L$6:$L$605,"Active"))</f>
        <v/>
      </c>
      <c r="Q637" s="15" t="n"/>
      <c r="R637" s="26">
        <f>IF(OR($A637="",$P637=0),"",MOD(N($Q637),$P637)+1)</f>
        <v/>
      </c>
      <c r="S637" s="15" t="n"/>
      <c r="T637" s="25" t="n"/>
      <c r="U637" s="26">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Builder'!$B$12="",N($S637)&lt;='Assignment Builder'!$B$12)))</f>
        <v/>
      </c>
      <c r="V637" s="23" t="n"/>
    </row>
    <row r="638">
      <c r="A638" s="23" t="n"/>
      <c r="B638" s="23" t="n"/>
      <c r="C638" s="24" t="n"/>
      <c r="D638" s="15" t="n"/>
      <c r="E638" s="23" t="n"/>
      <c r="F638" s="15" t="n"/>
      <c r="G638" s="23" t="n"/>
      <c r="H638" s="25" t="n"/>
      <c r="I638" s="15" t="n"/>
      <c r="J638" s="26">
        <f>IF($A638="","",LEN($C638)-LEN(SUBSTITUTE($C638,",",""))+1)</f>
        <v/>
      </c>
      <c r="K638" s="26">
        <f>IF($A638="","",SUMPRODUCT(--ISNUMBER(SEARCH('Category Dictionary'!$D$5:$D$135&amp;"",$C638)),--('Category Dictionary'!$D$5:$D$135&lt;&gt;"")))</f>
        <v/>
      </c>
      <c r="L638" s="27">
        <f>IF($A638="","",TRIM(IF(ISERROR(FIND(",",$C638)),$C638,LEFT($C638,FIND(",",$C638)-1))))</f>
        <v/>
      </c>
      <c r="M638" s="28">
        <f>IF($H638="","",DATE(YEAR($H638),MONTH($H638),1))</f>
        <v/>
      </c>
      <c r="N638" s="26">
        <f>IF($H638="","",TODAY()-$H638)</f>
        <v/>
      </c>
      <c r="O638" s="15" t="n"/>
      <c r="P638" s="26">
        <f>IF($A638="","",COUNTIFS('Audit Versions'!$A$6:$A$605,$A638,'Audit Versions'!$L$6:$L$605,"Active"))</f>
        <v/>
      </c>
      <c r="Q638" s="15" t="n"/>
      <c r="R638" s="26">
        <f>IF(OR($A638="",$P638=0),"",MOD(N($Q638),$P638)+1)</f>
        <v/>
      </c>
      <c r="S638" s="15" t="n"/>
      <c r="T638" s="25" t="n"/>
      <c r="U638" s="26">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Builder'!$B$12="",N($S638)&lt;='Assignment Builder'!$B$12)))</f>
        <v/>
      </c>
      <c r="V638" s="23" t="n"/>
    </row>
    <row r="639">
      <c r="A639" s="23" t="n"/>
      <c r="B639" s="23" t="n"/>
      <c r="C639" s="24" t="n"/>
      <c r="D639" s="15" t="n"/>
      <c r="E639" s="23" t="n"/>
      <c r="F639" s="15" t="n"/>
      <c r="G639" s="23" t="n"/>
      <c r="H639" s="25" t="n"/>
      <c r="I639" s="15" t="n"/>
      <c r="J639" s="26">
        <f>IF($A639="","",LEN($C639)-LEN(SUBSTITUTE($C639,",",""))+1)</f>
        <v/>
      </c>
      <c r="K639" s="26">
        <f>IF($A639="","",SUMPRODUCT(--ISNUMBER(SEARCH('Category Dictionary'!$D$5:$D$135&amp;"",$C639)),--('Category Dictionary'!$D$5:$D$135&lt;&gt;"")))</f>
        <v/>
      </c>
      <c r="L639" s="27">
        <f>IF($A639="","",TRIM(IF(ISERROR(FIND(",",$C639)),$C639,LEFT($C639,FIND(",",$C639)-1))))</f>
        <v/>
      </c>
      <c r="M639" s="28">
        <f>IF($H639="","",DATE(YEAR($H639),MONTH($H639),1))</f>
        <v/>
      </c>
      <c r="N639" s="26">
        <f>IF($H639="","",TODAY()-$H639)</f>
        <v/>
      </c>
      <c r="O639" s="15" t="n"/>
      <c r="P639" s="26">
        <f>IF($A639="","",COUNTIFS('Audit Versions'!$A$6:$A$605,$A639,'Audit Versions'!$L$6:$L$605,"Active"))</f>
        <v/>
      </c>
      <c r="Q639" s="15" t="n"/>
      <c r="R639" s="26">
        <f>IF(OR($A639="",$P639=0),"",MOD(N($Q639),$P639)+1)</f>
        <v/>
      </c>
      <c r="S639" s="15" t="n"/>
      <c r="T639" s="25" t="n"/>
      <c r="U639" s="26">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Builder'!$B$12="",N($S639)&lt;='Assignment Builder'!$B$12)))</f>
        <v/>
      </c>
      <c r="V639" s="23" t="n"/>
    </row>
    <row r="640">
      <c r="A640" s="23" t="n"/>
      <c r="B640" s="23" t="n"/>
      <c r="C640" s="24" t="n"/>
      <c r="D640" s="15" t="n"/>
      <c r="E640" s="23" t="n"/>
      <c r="F640" s="15" t="n"/>
      <c r="G640" s="23" t="n"/>
      <c r="H640" s="25" t="n"/>
      <c r="I640" s="15" t="n"/>
      <c r="J640" s="26">
        <f>IF($A640="","",LEN($C640)-LEN(SUBSTITUTE($C640,",",""))+1)</f>
        <v/>
      </c>
      <c r="K640" s="26">
        <f>IF($A640="","",SUMPRODUCT(--ISNUMBER(SEARCH('Category Dictionary'!$D$5:$D$135&amp;"",$C640)),--('Category Dictionary'!$D$5:$D$135&lt;&gt;"")))</f>
        <v/>
      </c>
      <c r="L640" s="27">
        <f>IF($A640="","",TRIM(IF(ISERROR(FIND(",",$C640)),$C640,LEFT($C640,FIND(",",$C640)-1))))</f>
        <v/>
      </c>
      <c r="M640" s="28">
        <f>IF($H640="","",DATE(YEAR($H640),MONTH($H640),1))</f>
        <v/>
      </c>
      <c r="N640" s="26">
        <f>IF($H640="","",TODAY()-$H640)</f>
        <v/>
      </c>
      <c r="O640" s="15" t="n"/>
      <c r="P640" s="26">
        <f>IF($A640="","",COUNTIFS('Audit Versions'!$A$6:$A$605,$A640,'Audit Versions'!$L$6:$L$605,"Active"))</f>
        <v/>
      </c>
      <c r="Q640" s="15" t="n"/>
      <c r="R640" s="26">
        <f>IF(OR($A640="",$P640=0),"",MOD(N($Q640),$P640)+1)</f>
        <v/>
      </c>
      <c r="S640" s="15" t="n"/>
      <c r="T640" s="25" t="n"/>
      <c r="U640" s="26">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Builder'!$B$12="",N($S640)&lt;='Assignment Builder'!$B$12)))</f>
        <v/>
      </c>
      <c r="V640" s="23" t="n"/>
    </row>
    <row r="641">
      <c r="A641" s="23" t="n"/>
      <c r="B641" s="23" t="n"/>
      <c r="C641" s="24" t="n"/>
      <c r="D641" s="15" t="n"/>
      <c r="E641" s="23" t="n"/>
      <c r="F641" s="15" t="n"/>
      <c r="G641" s="23" t="n"/>
      <c r="H641" s="25" t="n"/>
      <c r="I641" s="15" t="n"/>
      <c r="J641" s="26">
        <f>IF($A641="","",LEN($C641)-LEN(SUBSTITUTE($C641,",",""))+1)</f>
        <v/>
      </c>
      <c r="K641" s="26">
        <f>IF($A641="","",SUMPRODUCT(--ISNUMBER(SEARCH('Category Dictionary'!$D$5:$D$135&amp;"",$C641)),--('Category Dictionary'!$D$5:$D$135&lt;&gt;"")))</f>
        <v/>
      </c>
      <c r="L641" s="27">
        <f>IF($A641="","",TRIM(IF(ISERROR(FIND(",",$C641)),$C641,LEFT($C641,FIND(",",$C641)-1))))</f>
        <v/>
      </c>
      <c r="M641" s="28">
        <f>IF($H641="","",DATE(YEAR($H641),MONTH($H641),1))</f>
        <v/>
      </c>
      <c r="N641" s="26">
        <f>IF($H641="","",TODAY()-$H641)</f>
        <v/>
      </c>
      <c r="O641" s="15" t="n"/>
      <c r="P641" s="26">
        <f>IF($A641="","",COUNTIFS('Audit Versions'!$A$6:$A$605,$A641,'Audit Versions'!$L$6:$L$605,"Active"))</f>
        <v/>
      </c>
      <c r="Q641" s="15" t="n"/>
      <c r="R641" s="26">
        <f>IF(OR($A641="",$P641=0),"",MOD(N($Q641),$P641)+1)</f>
        <v/>
      </c>
      <c r="S641" s="15" t="n"/>
      <c r="T641" s="25" t="n"/>
      <c r="U641" s="26">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Builder'!$B$12="",N($S641)&lt;='Assignment Builder'!$B$12)))</f>
        <v/>
      </c>
      <c r="V641" s="23" t="n"/>
    </row>
    <row r="642">
      <c r="A642" s="23" t="n"/>
      <c r="B642" s="23" t="n"/>
      <c r="C642" s="24" t="n"/>
      <c r="D642" s="15" t="n"/>
      <c r="E642" s="23" t="n"/>
      <c r="F642" s="15" t="n"/>
      <c r="G642" s="23" t="n"/>
      <c r="H642" s="25" t="n"/>
      <c r="I642" s="15" t="n"/>
      <c r="J642" s="26">
        <f>IF($A642="","",LEN($C642)-LEN(SUBSTITUTE($C642,",",""))+1)</f>
        <v/>
      </c>
      <c r="K642" s="26">
        <f>IF($A642="","",SUMPRODUCT(--ISNUMBER(SEARCH('Category Dictionary'!$D$5:$D$135&amp;"",$C642)),--('Category Dictionary'!$D$5:$D$135&lt;&gt;"")))</f>
        <v/>
      </c>
      <c r="L642" s="27">
        <f>IF($A642="","",TRIM(IF(ISERROR(FIND(",",$C642)),$C642,LEFT($C642,FIND(",",$C642)-1))))</f>
        <v/>
      </c>
      <c r="M642" s="28">
        <f>IF($H642="","",DATE(YEAR($H642),MONTH($H642),1))</f>
        <v/>
      </c>
      <c r="N642" s="26">
        <f>IF($H642="","",TODAY()-$H642)</f>
        <v/>
      </c>
      <c r="O642" s="15" t="n"/>
      <c r="P642" s="26">
        <f>IF($A642="","",COUNTIFS('Audit Versions'!$A$6:$A$605,$A642,'Audit Versions'!$L$6:$L$605,"Active"))</f>
        <v/>
      </c>
      <c r="Q642" s="15" t="n"/>
      <c r="R642" s="26">
        <f>IF(OR($A642="",$P642=0),"",MOD(N($Q642),$P642)+1)</f>
        <v/>
      </c>
      <c r="S642" s="15" t="n"/>
      <c r="T642" s="25" t="n"/>
      <c r="U642" s="26">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Builder'!$B$12="",N($S642)&lt;='Assignment Builder'!$B$12)))</f>
        <v/>
      </c>
      <c r="V642" s="23" t="n"/>
    </row>
    <row r="643">
      <c r="A643" s="23" t="n"/>
      <c r="B643" s="23" t="n"/>
      <c r="C643" s="24" t="n"/>
      <c r="D643" s="15" t="n"/>
      <c r="E643" s="23" t="n"/>
      <c r="F643" s="15" t="n"/>
      <c r="G643" s="23" t="n"/>
      <c r="H643" s="25" t="n"/>
      <c r="I643" s="15" t="n"/>
      <c r="J643" s="26">
        <f>IF($A643="","",LEN($C643)-LEN(SUBSTITUTE($C643,",",""))+1)</f>
        <v/>
      </c>
      <c r="K643" s="26">
        <f>IF($A643="","",SUMPRODUCT(--ISNUMBER(SEARCH('Category Dictionary'!$D$5:$D$135&amp;"",$C643)),--('Category Dictionary'!$D$5:$D$135&lt;&gt;"")))</f>
        <v/>
      </c>
      <c r="L643" s="27">
        <f>IF($A643="","",TRIM(IF(ISERROR(FIND(",",$C643)),$C643,LEFT($C643,FIND(",",$C643)-1))))</f>
        <v/>
      </c>
      <c r="M643" s="28">
        <f>IF($H643="","",DATE(YEAR($H643),MONTH($H643),1))</f>
        <v/>
      </c>
      <c r="N643" s="26">
        <f>IF($H643="","",TODAY()-$H643)</f>
        <v/>
      </c>
      <c r="O643" s="15" t="n"/>
      <c r="P643" s="26">
        <f>IF($A643="","",COUNTIFS('Audit Versions'!$A$6:$A$605,$A643,'Audit Versions'!$L$6:$L$605,"Active"))</f>
        <v/>
      </c>
      <c r="Q643" s="15" t="n"/>
      <c r="R643" s="26">
        <f>IF(OR($A643="",$P643=0),"",MOD(N($Q643),$P643)+1)</f>
        <v/>
      </c>
      <c r="S643" s="15" t="n"/>
      <c r="T643" s="25" t="n"/>
      <c r="U643" s="26">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Builder'!$B$12="",N($S643)&lt;='Assignment Builder'!$B$12)))</f>
        <v/>
      </c>
      <c r="V643" s="23" t="n"/>
    </row>
    <row r="644">
      <c r="A644" s="23" t="n"/>
      <c r="B644" s="23" t="n"/>
      <c r="C644" s="24" t="n"/>
      <c r="D644" s="15" t="n"/>
      <c r="E644" s="23" t="n"/>
      <c r="F644" s="15" t="n"/>
      <c r="G644" s="23" t="n"/>
      <c r="H644" s="25" t="n"/>
      <c r="I644" s="15" t="n"/>
      <c r="J644" s="26">
        <f>IF($A644="","",LEN($C644)-LEN(SUBSTITUTE($C644,",",""))+1)</f>
        <v/>
      </c>
      <c r="K644" s="26">
        <f>IF($A644="","",SUMPRODUCT(--ISNUMBER(SEARCH('Category Dictionary'!$D$5:$D$135&amp;"",$C644)),--('Category Dictionary'!$D$5:$D$135&lt;&gt;"")))</f>
        <v/>
      </c>
      <c r="L644" s="27">
        <f>IF($A644="","",TRIM(IF(ISERROR(FIND(",",$C644)),$C644,LEFT($C644,FIND(",",$C644)-1))))</f>
        <v/>
      </c>
      <c r="M644" s="28">
        <f>IF($H644="","",DATE(YEAR($H644),MONTH($H644),1))</f>
        <v/>
      </c>
      <c r="N644" s="26">
        <f>IF($H644="","",TODAY()-$H644)</f>
        <v/>
      </c>
      <c r="O644" s="15" t="n"/>
      <c r="P644" s="26">
        <f>IF($A644="","",COUNTIFS('Audit Versions'!$A$6:$A$605,$A644,'Audit Versions'!$L$6:$L$605,"Active"))</f>
        <v/>
      </c>
      <c r="Q644" s="15" t="n"/>
      <c r="R644" s="26">
        <f>IF(OR($A644="",$P644=0),"",MOD(N($Q644),$P644)+1)</f>
        <v/>
      </c>
      <c r="S644" s="15" t="n"/>
      <c r="T644" s="25" t="n"/>
      <c r="U644" s="26">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Builder'!$B$12="",N($S644)&lt;='Assignment Builder'!$B$12)))</f>
        <v/>
      </c>
      <c r="V644" s="23" t="n"/>
    </row>
    <row r="645">
      <c r="A645" s="23" t="n"/>
      <c r="B645" s="23" t="n"/>
      <c r="C645" s="24" t="n"/>
      <c r="D645" s="15" t="n"/>
      <c r="E645" s="23" t="n"/>
      <c r="F645" s="15" t="n"/>
      <c r="G645" s="23" t="n"/>
      <c r="H645" s="25" t="n"/>
      <c r="I645" s="15" t="n"/>
      <c r="J645" s="26">
        <f>IF($A645="","",LEN($C645)-LEN(SUBSTITUTE($C645,",",""))+1)</f>
        <v/>
      </c>
      <c r="K645" s="26">
        <f>IF($A645="","",SUMPRODUCT(--ISNUMBER(SEARCH('Category Dictionary'!$D$5:$D$135&amp;"",$C645)),--('Category Dictionary'!$D$5:$D$135&lt;&gt;"")))</f>
        <v/>
      </c>
      <c r="L645" s="27">
        <f>IF($A645="","",TRIM(IF(ISERROR(FIND(",",$C645)),$C645,LEFT($C645,FIND(",",$C645)-1))))</f>
        <v/>
      </c>
      <c r="M645" s="28">
        <f>IF($H645="","",DATE(YEAR($H645),MONTH($H645),1))</f>
        <v/>
      </c>
      <c r="N645" s="26">
        <f>IF($H645="","",TODAY()-$H645)</f>
        <v/>
      </c>
      <c r="O645" s="15" t="n"/>
      <c r="P645" s="26">
        <f>IF($A645="","",COUNTIFS('Audit Versions'!$A$6:$A$605,$A645,'Audit Versions'!$L$6:$L$605,"Active"))</f>
        <v/>
      </c>
      <c r="Q645" s="15" t="n"/>
      <c r="R645" s="26">
        <f>IF(OR($A645="",$P645=0),"",MOD(N($Q645),$P645)+1)</f>
        <v/>
      </c>
      <c r="S645" s="15" t="n"/>
      <c r="T645" s="25" t="n"/>
      <c r="U645" s="26">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Builder'!$B$12="",N($S645)&lt;='Assignment Builder'!$B$12)))</f>
        <v/>
      </c>
      <c r="V645" s="23" t="n"/>
    </row>
    <row r="646">
      <c r="A646" s="23" t="n"/>
      <c r="B646" s="23" t="n"/>
      <c r="C646" s="24" t="n"/>
      <c r="D646" s="15" t="n"/>
      <c r="E646" s="23" t="n"/>
      <c r="F646" s="15" t="n"/>
      <c r="G646" s="23" t="n"/>
      <c r="H646" s="25" t="n"/>
      <c r="I646" s="15" t="n"/>
      <c r="J646" s="26">
        <f>IF($A646="","",LEN($C646)-LEN(SUBSTITUTE($C646,",",""))+1)</f>
        <v/>
      </c>
      <c r="K646" s="26">
        <f>IF($A646="","",SUMPRODUCT(--ISNUMBER(SEARCH('Category Dictionary'!$D$5:$D$135&amp;"",$C646)),--('Category Dictionary'!$D$5:$D$135&lt;&gt;"")))</f>
        <v/>
      </c>
      <c r="L646" s="27">
        <f>IF($A646="","",TRIM(IF(ISERROR(FIND(",",$C646)),$C646,LEFT($C646,FIND(",",$C646)-1))))</f>
        <v/>
      </c>
      <c r="M646" s="28">
        <f>IF($H646="","",DATE(YEAR($H646),MONTH($H646),1))</f>
        <v/>
      </c>
      <c r="N646" s="26">
        <f>IF($H646="","",TODAY()-$H646)</f>
        <v/>
      </c>
      <c r="O646" s="15" t="n"/>
      <c r="P646" s="26">
        <f>IF($A646="","",COUNTIFS('Audit Versions'!$A$6:$A$605,$A646,'Audit Versions'!$L$6:$L$605,"Active"))</f>
        <v/>
      </c>
      <c r="Q646" s="15" t="n"/>
      <c r="R646" s="26">
        <f>IF(OR($A646="",$P646=0),"",MOD(N($Q646),$P646)+1)</f>
        <v/>
      </c>
      <c r="S646" s="15" t="n"/>
      <c r="T646" s="25" t="n"/>
      <c r="U646" s="26">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Builder'!$B$12="",N($S646)&lt;='Assignment Builder'!$B$12)))</f>
        <v/>
      </c>
      <c r="V646" s="23" t="n"/>
    </row>
    <row r="647">
      <c r="A647" s="23" t="n"/>
      <c r="B647" s="23" t="n"/>
      <c r="C647" s="24" t="n"/>
      <c r="D647" s="15" t="n"/>
      <c r="E647" s="23" t="n"/>
      <c r="F647" s="15" t="n"/>
      <c r="G647" s="23" t="n"/>
      <c r="H647" s="25" t="n"/>
      <c r="I647" s="15" t="n"/>
      <c r="J647" s="26">
        <f>IF($A647="","",LEN($C647)-LEN(SUBSTITUTE($C647,",",""))+1)</f>
        <v/>
      </c>
      <c r="K647" s="26">
        <f>IF($A647="","",SUMPRODUCT(--ISNUMBER(SEARCH('Category Dictionary'!$D$5:$D$135&amp;"",$C647)),--('Category Dictionary'!$D$5:$D$135&lt;&gt;"")))</f>
        <v/>
      </c>
      <c r="L647" s="27">
        <f>IF($A647="","",TRIM(IF(ISERROR(FIND(",",$C647)),$C647,LEFT($C647,FIND(",",$C647)-1))))</f>
        <v/>
      </c>
      <c r="M647" s="28">
        <f>IF($H647="","",DATE(YEAR($H647),MONTH($H647),1))</f>
        <v/>
      </c>
      <c r="N647" s="26">
        <f>IF($H647="","",TODAY()-$H647)</f>
        <v/>
      </c>
      <c r="O647" s="15" t="n"/>
      <c r="P647" s="26">
        <f>IF($A647="","",COUNTIFS('Audit Versions'!$A$6:$A$605,$A647,'Audit Versions'!$L$6:$L$605,"Active"))</f>
        <v/>
      </c>
      <c r="Q647" s="15" t="n"/>
      <c r="R647" s="26">
        <f>IF(OR($A647="",$P647=0),"",MOD(N($Q647),$P647)+1)</f>
        <v/>
      </c>
      <c r="S647" s="15" t="n"/>
      <c r="T647" s="25" t="n"/>
      <c r="U647" s="26">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Builder'!$B$12="",N($S647)&lt;='Assignment Builder'!$B$12)))</f>
        <v/>
      </c>
      <c r="V647" s="23" t="n"/>
    </row>
    <row r="648">
      <c r="A648" s="23" t="n"/>
      <c r="B648" s="23" t="n"/>
      <c r="C648" s="24" t="n"/>
      <c r="D648" s="15" t="n"/>
      <c r="E648" s="23" t="n"/>
      <c r="F648" s="15" t="n"/>
      <c r="G648" s="23" t="n"/>
      <c r="H648" s="25" t="n"/>
      <c r="I648" s="15" t="n"/>
      <c r="J648" s="26">
        <f>IF($A648="","",LEN($C648)-LEN(SUBSTITUTE($C648,",",""))+1)</f>
        <v/>
      </c>
      <c r="K648" s="26">
        <f>IF($A648="","",SUMPRODUCT(--ISNUMBER(SEARCH('Category Dictionary'!$D$5:$D$135&amp;"",$C648)),--('Category Dictionary'!$D$5:$D$135&lt;&gt;"")))</f>
        <v/>
      </c>
      <c r="L648" s="27">
        <f>IF($A648="","",TRIM(IF(ISERROR(FIND(",",$C648)),$C648,LEFT($C648,FIND(",",$C648)-1))))</f>
        <v/>
      </c>
      <c r="M648" s="28">
        <f>IF($H648="","",DATE(YEAR($H648),MONTH($H648),1))</f>
        <v/>
      </c>
      <c r="N648" s="26">
        <f>IF($H648="","",TODAY()-$H648)</f>
        <v/>
      </c>
      <c r="O648" s="15" t="n"/>
      <c r="P648" s="26">
        <f>IF($A648="","",COUNTIFS('Audit Versions'!$A$6:$A$605,$A648,'Audit Versions'!$L$6:$L$605,"Active"))</f>
        <v/>
      </c>
      <c r="Q648" s="15" t="n"/>
      <c r="R648" s="26">
        <f>IF(OR($A648="",$P648=0),"",MOD(N($Q648),$P648)+1)</f>
        <v/>
      </c>
      <c r="S648" s="15" t="n"/>
      <c r="T648" s="25" t="n"/>
      <c r="U648" s="26">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Builder'!$B$12="",N($S648)&lt;='Assignment Builder'!$B$12)))</f>
        <v/>
      </c>
      <c r="V648" s="23" t="n"/>
    </row>
    <row r="649">
      <c r="A649" s="23" t="n"/>
      <c r="B649" s="23" t="n"/>
      <c r="C649" s="24" t="n"/>
      <c r="D649" s="15" t="n"/>
      <c r="E649" s="23" t="n"/>
      <c r="F649" s="15" t="n"/>
      <c r="G649" s="23" t="n"/>
      <c r="H649" s="25" t="n"/>
      <c r="I649" s="15" t="n"/>
      <c r="J649" s="26">
        <f>IF($A649="","",LEN($C649)-LEN(SUBSTITUTE($C649,",",""))+1)</f>
        <v/>
      </c>
      <c r="K649" s="26">
        <f>IF($A649="","",SUMPRODUCT(--ISNUMBER(SEARCH('Category Dictionary'!$D$5:$D$135&amp;"",$C649)),--('Category Dictionary'!$D$5:$D$135&lt;&gt;"")))</f>
        <v/>
      </c>
      <c r="L649" s="27">
        <f>IF($A649="","",TRIM(IF(ISERROR(FIND(",",$C649)),$C649,LEFT($C649,FIND(",",$C649)-1))))</f>
        <v/>
      </c>
      <c r="M649" s="28">
        <f>IF($H649="","",DATE(YEAR($H649),MONTH($H649),1))</f>
        <v/>
      </c>
      <c r="N649" s="26">
        <f>IF($H649="","",TODAY()-$H649)</f>
        <v/>
      </c>
      <c r="O649" s="15" t="n"/>
      <c r="P649" s="26">
        <f>IF($A649="","",COUNTIFS('Audit Versions'!$A$6:$A$605,$A649,'Audit Versions'!$L$6:$L$605,"Active"))</f>
        <v/>
      </c>
      <c r="Q649" s="15" t="n"/>
      <c r="R649" s="26">
        <f>IF(OR($A649="",$P649=0),"",MOD(N($Q649),$P649)+1)</f>
        <v/>
      </c>
      <c r="S649" s="15" t="n"/>
      <c r="T649" s="25" t="n"/>
      <c r="U649" s="26">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Builder'!$B$12="",N($S649)&lt;='Assignment Builder'!$B$12)))</f>
        <v/>
      </c>
      <c r="V649" s="23" t="n"/>
    </row>
    <row r="650">
      <c r="A650" s="23" t="n"/>
      <c r="B650" s="23" t="n"/>
      <c r="C650" s="24" t="n"/>
      <c r="D650" s="15" t="n"/>
      <c r="E650" s="23" t="n"/>
      <c r="F650" s="15" t="n"/>
      <c r="G650" s="23" t="n"/>
      <c r="H650" s="25" t="n"/>
      <c r="I650" s="15" t="n"/>
      <c r="J650" s="26">
        <f>IF($A650="","",LEN($C650)-LEN(SUBSTITUTE($C650,",",""))+1)</f>
        <v/>
      </c>
      <c r="K650" s="26">
        <f>IF($A650="","",SUMPRODUCT(--ISNUMBER(SEARCH('Category Dictionary'!$D$5:$D$135&amp;"",$C650)),--('Category Dictionary'!$D$5:$D$135&lt;&gt;"")))</f>
        <v/>
      </c>
      <c r="L650" s="27">
        <f>IF($A650="","",TRIM(IF(ISERROR(FIND(",",$C650)),$C650,LEFT($C650,FIND(",",$C650)-1))))</f>
        <v/>
      </c>
      <c r="M650" s="28">
        <f>IF($H650="","",DATE(YEAR($H650),MONTH($H650),1))</f>
        <v/>
      </c>
      <c r="N650" s="26">
        <f>IF($H650="","",TODAY()-$H650)</f>
        <v/>
      </c>
      <c r="O650" s="15" t="n"/>
      <c r="P650" s="26">
        <f>IF($A650="","",COUNTIFS('Audit Versions'!$A$6:$A$605,$A650,'Audit Versions'!$L$6:$L$605,"Active"))</f>
        <v/>
      </c>
      <c r="Q650" s="15" t="n"/>
      <c r="R650" s="26">
        <f>IF(OR($A650="",$P650=0),"",MOD(N($Q650),$P650)+1)</f>
        <v/>
      </c>
      <c r="S650" s="15" t="n"/>
      <c r="T650" s="25" t="n"/>
      <c r="U650" s="26">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Builder'!$B$12="",N($S650)&lt;='Assignment Builder'!$B$12)))</f>
        <v/>
      </c>
      <c r="V650" s="23" t="n"/>
    </row>
    <row r="651">
      <c r="A651" s="23" t="n"/>
      <c r="B651" s="23" t="n"/>
      <c r="C651" s="24" t="n"/>
      <c r="D651" s="15" t="n"/>
      <c r="E651" s="23" t="n"/>
      <c r="F651" s="15" t="n"/>
      <c r="G651" s="23" t="n"/>
      <c r="H651" s="25" t="n"/>
      <c r="I651" s="15" t="n"/>
      <c r="J651" s="26">
        <f>IF($A651="","",LEN($C651)-LEN(SUBSTITUTE($C651,",",""))+1)</f>
        <v/>
      </c>
      <c r="K651" s="26">
        <f>IF($A651="","",SUMPRODUCT(--ISNUMBER(SEARCH('Category Dictionary'!$D$5:$D$135&amp;"",$C651)),--('Category Dictionary'!$D$5:$D$135&lt;&gt;"")))</f>
        <v/>
      </c>
      <c r="L651" s="27">
        <f>IF($A651="","",TRIM(IF(ISERROR(FIND(",",$C651)),$C651,LEFT($C651,FIND(",",$C651)-1))))</f>
        <v/>
      </c>
      <c r="M651" s="28">
        <f>IF($H651="","",DATE(YEAR($H651),MONTH($H651),1))</f>
        <v/>
      </c>
      <c r="N651" s="26">
        <f>IF($H651="","",TODAY()-$H651)</f>
        <v/>
      </c>
      <c r="O651" s="15" t="n"/>
      <c r="P651" s="26">
        <f>IF($A651="","",COUNTIFS('Audit Versions'!$A$6:$A$605,$A651,'Audit Versions'!$L$6:$L$605,"Active"))</f>
        <v/>
      </c>
      <c r="Q651" s="15" t="n"/>
      <c r="R651" s="26">
        <f>IF(OR($A651="",$P651=0),"",MOD(N($Q651),$P651)+1)</f>
        <v/>
      </c>
      <c r="S651" s="15" t="n"/>
      <c r="T651" s="25" t="n"/>
      <c r="U651" s="26">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Builder'!$B$12="",N($S651)&lt;='Assignment Builder'!$B$12)))</f>
        <v/>
      </c>
      <c r="V651" s="23" t="n"/>
    </row>
    <row r="652">
      <c r="A652" s="23" t="n"/>
      <c r="B652" s="23" t="n"/>
      <c r="C652" s="24" t="n"/>
      <c r="D652" s="15" t="n"/>
      <c r="E652" s="23" t="n"/>
      <c r="F652" s="15" t="n"/>
      <c r="G652" s="23" t="n"/>
      <c r="H652" s="25" t="n"/>
      <c r="I652" s="15" t="n"/>
      <c r="J652" s="26">
        <f>IF($A652="","",LEN($C652)-LEN(SUBSTITUTE($C652,",",""))+1)</f>
        <v/>
      </c>
      <c r="K652" s="26">
        <f>IF($A652="","",SUMPRODUCT(--ISNUMBER(SEARCH('Category Dictionary'!$D$5:$D$135&amp;"",$C652)),--('Category Dictionary'!$D$5:$D$135&lt;&gt;"")))</f>
        <v/>
      </c>
      <c r="L652" s="27">
        <f>IF($A652="","",TRIM(IF(ISERROR(FIND(",",$C652)),$C652,LEFT($C652,FIND(",",$C652)-1))))</f>
        <v/>
      </c>
      <c r="M652" s="28">
        <f>IF($H652="","",DATE(YEAR($H652),MONTH($H652),1))</f>
        <v/>
      </c>
      <c r="N652" s="26">
        <f>IF($H652="","",TODAY()-$H652)</f>
        <v/>
      </c>
      <c r="O652" s="15" t="n"/>
      <c r="P652" s="26">
        <f>IF($A652="","",COUNTIFS('Audit Versions'!$A$6:$A$605,$A652,'Audit Versions'!$L$6:$L$605,"Active"))</f>
        <v/>
      </c>
      <c r="Q652" s="15" t="n"/>
      <c r="R652" s="26">
        <f>IF(OR($A652="",$P652=0),"",MOD(N($Q652),$P652)+1)</f>
        <v/>
      </c>
      <c r="S652" s="15" t="n"/>
      <c r="T652" s="25" t="n"/>
      <c r="U652" s="26">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Builder'!$B$12="",N($S652)&lt;='Assignment Builder'!$B$12)))</f>
        <v/>
      </c>
      <c r="V652" s="23" t="n"/>
    </row>
    <row r="653">
      <c r="A653" s="23" t="n"/>
      <c r="B653" s="23" t="n"/>
      <c r="C653" s="24" t="n"/>
      <c r="D653" s="15" t="n"/>
      <c r="E653" s="23" t="n"/>
      <c r="F653" s="15" t="n"/>
      <c r="G653" s="23" t="n"/>
      <c r="H653" s="25" t="n"/>
      <c r="I653" s="15" t="n"/>
      <c r="J653" s="26">
        <f>IF($A653="","",LEN($C653)-LEN(SUBSTITUTE($C653,",",""))+1)</f>
        <v/>
      </c>
      <c r="K653" s="26">
        <f>IF($A653="","",SUMPRODUCT(--ISNUMBER(SEARCH('Category Dictionary'!$D$5:$D$135&amp;"",$C653)),--('Category Dictionary'!$D$5:$D$135&lt;&gt;"")))</f>
        <v/>
      </c>
      <c r="L653" s="27">
        <f>IF($A653="","",TRIM(IF(ISERROR(FIND(",",$C653)),$C653,LEFT($C653,FIND(",",$C653)-1))))</f>
        <v/>
      </c>
      <c r="M653" s="28">
        <f>IF($H653="","",DATE(YEAR($H653),MONTH($H653),1))</f>
        <v/>
      </c>
      <c r="N653" s="26">
        <f>IF($H653="","",TODAY()-$H653)</f>
        <v/>
      </c>
      <c r="O653" s="15" t="n"/>
      <c r="P653" s="26">
        <f>IF($A653="","",COUNTIFS('Audit Versions'!$A$6:$A$605,$A653,'Audit Versions'!$L$6:$L$605,"Active"))</f>
        <v/>
      </c>
      <c r="Q653" s="15" t="n"/>
      <c r="R653" s="26">
        <f>IF(OR($A653="",$P653=0),"",MOD(N($Q653),$P653)+1)</f>
        <v/>
      </c>
      <c r="S653" s="15" t="n"/>
      <c r="T653" s="25" t="n"/>
      <c r="U653" s="26">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Builder'!$B$12="",N($S653)&lt;='Assignment Builder'!$B$12)))</f>
        <v/>
      </c>
      <c r="V653" s="23" t="n"/>
    </row>
    <row r="654">
      <c r="A654" s="23" t="n"/>
      <c r="B654" s="23" t="n"/>
      <c r="C654" s="24" t="n"/>
      <c r="D654" s="15" t="n"/>
      <c r="E654" s="23" t="n"/>
      <c r="F654" s="15" t="n"/>
      <c r="G654" s="23" t="n"/>
      <c r="H654" s="25" t="n"/>
      <c r="I654" s="15" t="n"/>
      <c r="J654" s="26">
        <f>IF($A654="","",LEN($C654)-LEN(SUBSTITUTE($C654,",",""))+1)</f>
        <v/>
      </c>
      <c r="K654" s="26">
        <f>IF($A654="","",SUMPRODUCT(--ISNUMBER(SEARCH('Category Dictionary'!$D$5:$D$135&amp;"",$C654)),--('Category Dictionary'!$D$5:$D$135&lt;&gt;"")))</f>
        <v/>
      </c>
      <c r="L654" s="27">
        <f>IF($A654="","",TRIM(IF(ISERROR(FIND(",",$C654)),$C654,LEFT($C654,FIND(",",$C654)-1))))</f>
        <v/>
      </c>
      <c r="M654" s="28">
        <f>IF($H654="","",DATE(YEAR($H654),MONTH($H654),1))</f>
        <v/>
      </c>
      <c r="N654" s="26">
        <f>IF($H654="","",TODAY()-$H654)</f>
        <v/>
      </c>
      <c r="O654" s="15" t="n"/>
      <c r="P654" s="26">
        <f>IF($A654="","",COUNTIFS('Audit Versions'!$A$6:$A$605,$A654,'Audit Versions'!$L$6:$L$605,"Active"))</f>
        <v/>
      </c>
      <c r="Q654" s="15" t="n"/>
      <c r="R654" s="26">
        <f>IF(OR($A654="",$P654=0),"",MOD(N($Q654),$P654)+1)</f>
        <v/>
      </c>
      <c r="S654" s="15" t="n"/>
      <c r="T654" s="25" t="n"/>
      <c r="U654" s="26">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Builder'!$B$12="",N($S654)&lt;='Assignment Builder'!$B$12)))</f>
        <v/>
      </c>
      <c r="V654" s="23" t="n"/>
    </row>
    <row r="655">
      <c r="A655" s="23" t="n"/>
      <c r="B655" s="23" t="n"/>
      <c r="C655" s="24" t="n"/>
      <c r="D655" s="15" t="n"/>
      <c r="E655" s="23" t="n"/>
      <c r="F655" s="15" t="n"/>
      <c r="G655" s="23" t="n"/>
      <c r="H655" s="25" t="n"/>
      <c r="I655" s="15" t="n"/>
      <c r="J655" s="26">
        <f>IF($A655="","",LEN($C655)-LEN(SUBSTITUTE($C655,",",""))+1)</f>
        <v/>
      </c>
      <c r="K655" s="26">
        <f>IF($A655="","",SUMPRODUCT(--ISNUMBER(SEARCH('Category Dictionary'!$D$5:$D$135&amp;"",$C655)),--('Category Dictionary'!$D$5:$D$135&lt;&gt;"")))</f>
        <v/>
      </c>
      <c r="L655" s="27">
        <f>IF($A655="","",TRIM(IF(ISERROR(FIND(",",$C655)),$C655,LEFT($C655,FIND(",",$C655)-1))))</f>
        <v/>
      </c>
      <c r="M655" s="28">
        <f>IF($H655="","",DATE(YEAR($H655),MONTH($H655),1))</f>
        <v/>
      </c>
      <c r="N655" s="26">
        <f>IF($H655="","",TODAY()-$H655)</f>
        <v/>
      </c>
      <c r="O655" s="15" t="n"/>
      <c r="P655" s="26">
        <f>IF($A655="","",COUNTIFS('Audit Versions'!$A$6:$A$605,$A655,'Audit Versions'!$L$6:$L$605,"Active"))</f>
        <v/>
      </c>
      <c r="Q655" s="15" t="n"/>
      <c r="R655" s="26">
        <f>IF(OR($A655="",$P655=0),"",MOD(N($Q655),$P655)+1)</f>
        <v/>
      </c>
      <c r="S655" s="15" t="n"/>
      <c r="T655" s="25" t="n"/>
      <c r="U655" s="26">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Builder'!$B$12="",N($S655)&lt;='Assignment Builder'!$B$12)))</f>
        <v/>
      </c>
      <c r="V655" s="23" t="n"/>
    </row>
    <row r="656">
      <c r="A656" s="23" t="n"/>
      <c r="B656" s="23" t="n"/>
      <c r="C656" s="24" t="n"/>
      <c r="D656" s="15" t="n"/>
      <c r="E656" s="23" t="n"/>
      <c r="F656" s="15" t="n"/>
      <c r="G656" s="23" t="n"/>
      <c r="H656" s="25" t="n"/>
      <c r="I656" s="15" t="n"/>
      <c r="J656" s="26">
        <f>IF($A656="","",LEN($C656)-LEN(SUBSTITUTE($C656,",",""))+1)</f>
        <v/>
      </c>
      <c r="K656" s="26">
        <f>IF($A656="","",SUMPRODUCT(--ISNUMBER(SEARCH('Category Dictionary'!$D$5:$D$135&amp;"",$C656)),--('Category Dictionary'!$D$5:$D$135&lt;&gt;"")))</f>
        <v/>
      </c>
      <c r="L656" s="27">
        <f>IF($A656="","",TRIM(IF(ISERROR(FIND(",",$C656)),$C656,LEFT($C656,FIND(",",$C656)-1))))</f>
        <v/>
      </c>
      <c r="M656" s="28">
        <f>IF($H656="","",DATE(YEAR($H656),MONTH($H656),1))</f>
        <v/>
      </c>
      <c r="N656" s="26">
        <f>IF($H656="","",TODAY()-$H656)</f>
        <v/>
      </c>
      <c r="O656" s="15" t="n"/>
      <c r="P656" s="26">
        <f>IF($A656="","",COUNTIFS('Audit Versions'!$A$6:$A$605,$A656,'Audit Versions'!$L$6:$L$605,"Active"))</f>
        <v/>
      </c>
      <c r="Q656" s="15" t="n"/>
      <c r="R656" s="26">
        <f>IF(OR($A656="",$P656=0),"",MOD(N($Q656),$P656)+1)</f>
        <v/>
      </c>
      <c r="S656" s="15" t="n"/>
      <c r="T656" s="25" t="n"/>
      <c r="U656" s="26">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Builder'!$B$12="",N($S656)&lt;='Assignment Builder'!$B$12)))</f>
        <v/>
      </c>
      <c r="V656" s="23" t="n"/>
    </row>
    <row r="657">
      <c r="A657" s="23" t="n"/>
      <c r="B657" s="23" t="n"/>
      <c r="C657" s="24" t="n"/>
      <c r="D657" s="15" t="n"/>
      <c r="E657" s="23" t="n"/>
      <c r="F657" s="15" t="n"/>
      <c r="G657" s="23" t="n"/>
      <c r="H657" s="25" t="n"/>
      <c r="I657" s="15" t="n"/>
      <c r="J657" s="26">
        <f>IF($A657="","",LEN($C657)-LEN(SUBSTITUTE($C657,",",""))+1)</f>
        <v/>
      </c>
      <c r="K657" s="26">
        <f>IF($A657="","",SUMPRODUCT(--ISNUMBER(SEARCH('Category Dictionary'!$D$5:$D$135&amp;"",$C657)),--('Category Dictionary'!$D$5:$D$135&lt;&gt;"")))</f>
        <v/>
      </c>
      <c r="L657" s="27">
        <f>IF($A657="","",TRIM(IF(ISERROR(FIND(",",$C657)),$C657,LEFT($C657,FIND(",",$C657)-1))))</f>
        <v/>
      </c>
      <c r="M657" s="28">
        <f>IF($H657="","",DATE(YEAR($H657),MONTH($H657),1))</f>
        <v/>
      </c>
      <c r="N657" s="26">
        <f>IF($H657="","",TODAY()-$H657)</f>
        <v/>
      </c>
      <c r="O657" s="15" t="n"/>
      <c r="P657" s="26">
        <f>IF($A657="","",COUNTIFS('Audit Versions'!$A$6:$A$605,$A657,'Audit Versions'!$L$6:$L$605,"Active"))</f>
        <v/>
      </c>
      <c r="Q657" s="15" t="n"/>
      <c r="R657" s="26">
        <f>IF(OR($A657="",$P657=0),"",MOD(N($Q657),$P657)+1)</f>
        <v/>
      </c>
      <c r="S657" s="15" t="n"/>
      <c r="T657" s="25" t="n"/>
      <c r="U657" s="26">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Builder'!$B$12="",N($S657)&lt;='Assignment Builder'!$B$12)))</f>
        <v/>
      </c>
      <c r="V657" s="23" t="n"/>
    </row>
    <row r="658">
      <c r="A658" s="23" t="n"/>
      <c r="B658" s="23" t="n"/>
      <c r="C658" s="24" t="n"/>
      <c r="D658" s="15" t="n"/>
      <c r="E658" s="23" t="n"/>
      <c r="F658" s="15" t="n"/>
      <c r="G658" s="23" t="n"/>
      <c r="H658" s="25" t="n"/>
      <c r="I658" s="15" t="n"/>
      <c r="J658" s="26">
        <f>IF($A658="","",LEN($C658)-LEN(SUBSTITUTE($C658,",",""))+1)</f>
        <v/>
      </c>
      <c r="K658" s="26">
        <f>IF($A658="","",SUMPRODUCT(--ISNUMBER(SEARCH('Category Dictionary'!$D$5:$D$135&amp;"",$C658)),--('Category Dictionary'!$D$5:$D$135&lt;&gt;"")))</f>
        <v/>
      </c>
      <c r="L658" s="27">
        <f>IF($A658="","",TRIM(IF(ISERROR(FIND(",",$C658)),$C658,LEFT($C658,FIND(",",$C658)-1))))</f>
        <v/>
      </c>
      <c r="M658" s="28">
        <f>IF($H658="","",DATE(YEAR($H658),MONTH($H658),1))</f>
        <v/>
      </c>
      <c r="N658" s="26">
        <f>IF($H658="","",TODAY()-$H658)</f>
        <v/>
      </c>
      <c r="O658" s="15" t="n"/>
      <c r="P658" s="26">
        <f>IF($A658="","",COUNTIFS('Audit Versions'!$A$6:$A$605,$A658,'Audit Versions'!$L$6:$L$605,"Active"))</f>
        <v/>
      </c>
      <c r="Q658" s="15" t="n"/>
      <c r="R658" s="26">
        <f>IF(OR($A658="",$P658=0),"",MOD(N($Q658),$P658)+1)</f>
        <v/>
      </c>
      <c r="S658" s="15" t="n"/>
      <c r="T658" s="25" t="n"/>
      <c r="U658" s="26">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Builder'!$B$12="",N($S658)&lt;='Assignment Builder'!$B$12)))</f>
        <v/>
      </c>
      <c r="V658" s="23" t="n"/>
    </row>
    <row r="659">
      <c r="A659" s="23" t="n"/>
      <c r="B659" s="23" t="n"/>
      <c r="C659" s="24" t="n"/>
      <c r="D659" s="15" t="n"/>
      <c r="E659" s="23" t="n"/>
      <c r="F659" s="15" t="n"/>
      <c r="G659" s="23" t="n"/>
      <c r="H659" s="25" t="n"/>
      <c r="I659" s="15" t="n"/>
      <c r="J659" s="26">
        <f>IF($A659="","",LEN($C659)-LEN(SUBSTITUTE($C659,",",""))+1)</f>
        <v/>
      </c>
      <c r="K659" s="26">
        <f>IF($A659="","",SUMPRODUCT(--ISNUMBER(SEARCH('Category Dictionary'!$D$5:$D$135&amp;"",$C659)),--('Category Dictionary'!$D$5:$D$135&lt;&gt;"")))</f>
        <v/>
      </c>
      <c r="L659" s="27">
        <f>IF($A659="","",TRIM(IF(ISERROR(FIND(",",$C659)),$C659,LEFT($C659,FIND(",",$C659)-1))))</f>
        <v/>
      </c>
      <c r="M659" s="28">
        <f>IF($H659="","",DATE(YEAR($H659),MONTH($H659),1))</f>
        <v/>
      </c>
      <c r="N659" s="26">
        <f>IF($H659="","",TODAY()-$H659)</f>
        <v/>
      </c>
      <c r="O659" s="15" t="n"/>
      <c r="P659" s="26">
        <f>IF($A659="","",COUNTIFS('Audit Versions'!$A$6:$A$605,$A659,'Audit Versions'!$L$6:$L$605,"Active"))</f>
        <v/>
      </c>
      <c r="Q659" s="15" t="n"/>
      <c r="R659" s="26">
        <f>IF(OR($A659="",$P659=0),"",MOD(N($Q659),$P659)+1)</f>
        <v/>
      </c>
      <c r="S659" s="15" t="n"/>
      <c r="T659" s="25" t="n"/>
      <c r="U659" s="26">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Builder'!$B$12="",N($S659)&lt;='Assignment Builder'!$B$12)))</f>
        <v/>
      </c>
      <c r="V659" s="23" t="n"/>
    </row>
    <row r="660">
      <c r="A660" s="23" t="n"/>
      <c r="B660" s="23" t="n"/>
      <c r="C660" s="24" t="n"/>
      <c r="D660" s="15" t="n"/>
      <c r="E660" s="23" t="n"/>
      <c r="F660" s="15" t="n"/>
      <c r="G660" s="23" t="n"/>
      <c r="H660" s="25" t="n"/>
      <c r="I660" s="15" t="n"/>
      <c r="J660" s="26">
        <f>IF($A660="","",LEN($C660)-LEN(SUBSTITUTE($C660,",",""))+1)</f>
        <v/>
      </c>
      <c r="K660" s="26">
        <f>IF($A660="","",SUMPRODUCT(--ISNUMBER(SEARCH('Category Dictionary'!$D$5:$D$135&amp;"",$C660)),--('Category Dictionary'!$D$5:$D$135&lt;&gt;"")))</f>
        <v/>
      </c>
      <c r="L660" s="27">
        <f>IF($A660="","",TRIM(IF(ISERROR(FIND(",",$C660)),$C660,LEFT($C660,FIND(",",$C660)-1))))</f>
        <v/>
      </c>
      <c r="M660" s="28">
        <f>IF($H660="","",DATE(YEAR($H660),MONTH($H660),1))</f>
        <v/>
      </c>
      <c r="N660" s="26">
        <f>IF($H660="","",TODAY()-$H660)</f>
        <v/>
      </c>
      <c r="O660" s="15" t="n"/>
      <c r="P660" s="26">
        <f>IF($A660="","",COUNTIFS('Audit Versions'!$A$6:$A$605,$A660,'Audit Versions'!$L$6:$L$605,"Active"))</f>
        <v/>
      </c>
      <c r="Q660" s="15" t="n"/>
      <c r="R660" s="26">
        <f>IF(OR($A660="",$P660=0),"",MOD(N($Q660),$P660)+1)</f>
        <v/>
      </c>
      <c r="S660" s="15" t="n"/>
      <c r="T660" s="25" t="n"/>
      <c r="U660" s="26">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Builder'!$B$12="",N($S660)&lt;='Assignment Builder'!$B$12)))</f>
        <v/>
      </c>
      <c r="V660" s="23" t="n"/>
    </row>
    <row r="661">
      <c r="A661" s="23" t="n"/>
      <c r="B661" s="23" t="n"/>
      <c r="C661" s="24" t="n"/>
      <c r="D661" s="15" t="n"/>
      <c r="E661" s="23" t="n"/>
      <c r="F661" s="15" t="n"/>
      <c r="G661" s="23" t="n"/>
      <c r="H661" s="25" t="n"/>
      <c r="I661" s="15" t="n"/>
      <c r="J661" s="26">
        <f>IF($A661="","",LEN($C661)-LEN(SUBSTITUTE($C661,",",""))+1)</f>
        <v/>
      </c>
      <c r="K661" s="26">
        <f>IF($A661="","",SUMPRODUCT(--ISNUMBER(SEARCH('Category Dictionary'!$D$5:$D$135&amp;"",$C661)),--('Category Dictionary'!$D$5:$D$135&lt;&gt;"")))</f>
        <v/>
      </c>
      <c r="L661" s="27">
        <f>IF($A661="","",TRIM(IF(ISERROR(FIND(",",$C661)),$C661,LEFT($C661,FIND(",",$C661)-1))))</f>
        <v/>
      </c>
      <c r="M661" s="28">
        <f>IF($H661="","",DATE(YEAR($H661),MONTH($H661),1))</f>
        <v/>
      </c>
      <c r="N661" s="26">
        <f>IF($H661="","",TODAY()-$H661)</f>
        <v/>
      </c>
      <c r="O661" s="15" t="n"/>
      <c r="P661" s="26">
        <f>IF($A661="","",COUNTIFS('Audit Versions'!$A$6:$A$605,$A661,'Audit Versions'!$L$6:$L$605,"Active"))</f>
        <v/>
      </c>
      <c r="Q661" s="15" t="n"/>
      <c r="R661" s="26">
        <f>IF(OR($A661="",$P661=0),"",MOD(N($Q661),$P661)+1)</f>
        <v/>
      </c>
      <c r="S661" s="15" t="n"/>
      <c r="T661" s="25" t="n"/>
      <c r="U661" s="26">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Builder'!$B$12="",N($S661)&lt;='Assignment Builder'!$B$12)))</f>
        <v/>
      </c>
      <c r="V661" s="23" t="n"/>
    </row>
    <row r="662">
      <c r="A662" s="23" t="n"/>
      <c r="B662" s="23" t="n"/>
      <c r="C662" s="24" t="n"/>
      <c r="D662" s="15" t="n"/>
      <c r="E662" s="23" t="n"/>
      <c r="F662" s="15" t="n"/>
      <c r="G662" s="23" t="n"/>
      <c r="H662" s="25" t="n"/>
      <c r="I662" s="15" t="n"/>
      <c r="J662" s="26">
        <f>IF($A662="","",LEN($C662)-LEN(SUBSTITUTE($C662,",",""))+1)</f>
        <v/>
      </c>
      <c r="K662" s="26">
        <f>IF($A662="","",SUMPRODUCT(--ISNUMBER(SEARCH('Category Dictionary'!$D$5:$D$135&amp;"",$C662)),--('Category Dictionary'!$D$5:$D$135&lt;&gt;"")))</f>
        <v/>
      </c>
      <c r="L662" s="27">
        <f>IF($A662="","",TRIM(IF(ISERROR(FIND(",",$C662)),$C662,LEFT($C662,FIND(",",$C662)-1))))</f>
        <v/>
      </c>
      <c r="M662" s="28">
        <f>IF($H662="","",DATE(YEAR($H662),MONTH($H662),1))</f>
        <v/>
      </c>
      <c r="N662" s="26">
        <f>IF($H662="","",TODAY()-$H662)</f>
        <v/>
      </c>
      <c r="O662" s="15" t="n"/>
      <c r="P662" s="26">
        <f>IF($A662="","",COUNTIFS('Audit Versions'!$A$6:$A$605,$A662,'Audit Versions'!$L$6:$L$605,"Active"))</f>
        <v/>
      </c>
      <c r="Q662" s="15" t="n"/>
      <c r="R662" s="26">
        <f>IF(OR($A662="",$P662=0),"",MOD(N($Q662),$P662)+1)</f>
        <v/>
      </c>
      <c r="S662" s="15" t="n"/>
      <c r="T662" s="25" t="n"/>
      <c r="U662" s="26">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Builder'!$B$12="",N($S662)&lt;='Assignment Builder'!$B$12)))</f>
        <v/>
      </c>
      <c r="V662" s="23" t="n"/>
    </row>
    <row r="663">
      <c r="A663" s="23" t="n"/>
      <c r="B663" s="23" t="n"/>
      <c r="C663" s="24" t="n"/>
      <c r="D663" s="15" t="n"/>
      <c r="E663" s="23" t="n"/>
      <c r="F663" s="15" t="n"/>
      <c r="G663" s="23" t="n"/>
      <c r="H663" s="25" t="n"/>
      <c r="I663" s="15" t="n"/>
      <c r="J663" s="26">
        <f>IF($A663="","",LEN($C663)-LEN(SUBSTITUTE($C663,",",""))+1)</f>
        <v/>
      </c>
      <c r="K663" s="26">
        <f>IF($A663="","",SUMPRODUCT(--ISNUMBER(SEARCH('Category Dictionary'!$D$5:$D$135&amp;"",$C663)),--('Category Dictionary'!$D$5:$D$135&lt;&gt;"")))</f>
        <v/>
      </c>
      <c r="L663" s="27">
        <f>IF($A663="","",TRIM(IF(ISERROR(FIND(",",$C663)),$C663,LEFT($C663,FIND(",",$C663)-1))))</f>
        <v/>
      </c>
      <c r="M663" s="28">
        <f>IF($H663="","",DATE(YEAR($H663),MONTH($H663),1))</f>
        <v/>
      </c>
      <c r="N663" s="26">
        <f>IF($H663="","",TODAY()-$H663)</f>
        <v/>
      </c>
      <c r="O663" s="15" t="n"/>
      <c r="P663" s="26">
        <f>IF($A663="","",COUNTIFS('Audit Versions'!$A$6:$A$605,$A663,'Audit Versions'!$L$6:$L$605,"Active"))</f>
        <v/>
      </c>
      <c r="Q663" s="15" t="n"/>
      <c r="R663" s="26">
        <f>IF(OR($A663="",$P663=0),"",MOD(N($Q663),$P663)+1)</f>
        <v/>
      </c>
      <c r="S663" s="15" t="n"/>
      <c r="T663" s="25" t="n"/>
      <c r="U663" s="26">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Builder'!$B$12="",N($S663)&lt;='Assignment Builder'!$B$12)))</f>
        <v/>
      </c>
      <c r="V663" s="23" t="n"/>
    </row>
    <row r="664">
      <c r="A664" s="23" t="n"/>
      <c r="B664" s="23" t="n"/>
      <c r="C664" s="24" t="n"/>
      <c r="D664" s="15" t="n"/>
      <c r="E664" s="23" t="n"/>
      <c r="F664" s="15" t="n"/>
      <c r="G664" s="23" t="n"/>
      <c r="H664" s="25" t="n"/>
      <c r="I664" s="15" t="n"/>
      <c r="J664" s="26">
        <f>IF($A664="","",LEN($C664)-LEN(SUBSTITUTE($C664,",",""))+1)</f>
        <v/>
      </c>
      <c r="K664" s="26">
        <f>IF($A664="","",SUMPRODUCT(--ISNUMBER(SEARCH('Category Dictionary'!$D$5:$D$135&amp;"",$C664)),--('Category Dictionary'!$D$5:$D$135&lt;&gt;"")))</f>
        <v/>
      </c>
      <c r="L664" s="27">
        <f>IF($A664="","",TRIM(IF(ISERROR(FIND(",",$C664)),$C664,LEFT($C664,FIND(",",$C664)-1))))</f>
        <v/>
      </c>
      <c r="M664" s="28">
        <f>IF($H664="","",DATE(YEAR($H664),MONTH($H664),1))</f>
        <v/>
      </c>
      <c r="N664" s="26">
        <f>IF($H664="","",TODAY()-$H664)</f>
        <v/>
      </c>
      <c r="O664" s="15" t="n"/>
      <c r="P664" s="26">
        <f>IF($A664="","",COUNTIFS('Audit Versions'!$A$6:$A$605,$A664,'Audit Versions'!$L$6:$L$605,"Active"))</f>
        <v/>
      </c>
      <c r="Q664" s="15" t="n"/>
      <c r="R664" s="26">
        <f>IF(OR($A664="",$P664=0),"",MOD(N($Q664),$P664)+1)</f>
        <v/>
      </c>
      <c r="S664" s="15" t="n"/>
      <c r="T664" s="25" t="n"/>
      <c r="U664" s="26">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Builder'!$B$12="",N($S664)&lt;='Assignment Builder'!$B$12)))</f>
        <v/>
      </c>
      <c r="V664" s="23" t="n"/>
    </row>
    <row r="665">
      <c r="A665" s="23" t="n"/>
      <c r="B665" s="23" t="n"/>
      <c r="C665" s="24" t="n"/>
      <c r="D665" s="15" t="n"/>
      <c r="E665" s="23" t="n"/>
      <c r="F665" s="15" t="n"/>
      <c r="G665" s="23" t="n"/>
      <c r="H665" s="25" t="n"/>
      <c r="I665" s="15" t="n"/>
      <c r="J665" s="26">
        <f>IF($A665="","",LEN($C665)-LEN(SUBSTITUTE($C665,",",""))+1)</f>
        <v/>
      </c>
      <c r="K665" s="26">
        <f>IF($A665="","",SUMPRODUCT(--ISNUMBER(SEARCH('Category Dictionary'!$D$5:$D$135&amp;"",$C665)),--('Category Dictionary'!$D$5:$D$135&lt;&gt;"")))</f>
        <v/>
      </c>
      <c r="L665" s="27">
        <f>IF($A665="","",TRIM(IF(ISERROR(FIND(",",$C665)),$C665,LEFT($C665,FIND(",",$C665)-1))))</f>
        <v/>
      </c>
      <c r="M665" s="28">
        <f>IF($H665="","",DATE(YEAR($H665),MONTH($H665),1))</f>
        <v/>
      </c>
      <c r="N665" s="26">
        <f>IF($H665="","",TODAY()-$H665)</f>
        <v/>
      </c>
      <c r="O665" s="15" t="n"/>
      <c r="P665" s="26">
        <f>IF($A665="","",COUNTIFS('Audit Versions'!$A$6:$A$605,$A665,'Audit Versions'!$L$6:$L$605,"Active"))</f>
        <v/>
      </c>
      <c r="Q665" s="15" t="n"/>
      <c r="R665" s="26">
        <f>IF(OR($A665="",$P665=0),"",MOD(N($Q665),$P665)+1)</f>
        <v/>
      </c>
      <c r="S665" s="15" t="n"/>
      <c r="T665" s="25" t="n"/>
      <c r="U665" s="26">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Builder'!$B$12="",N($S665)&lt;='Assignment Builder'!$B$12)))</f>
        <v/>
      </c>
      <c r="V665" s="23" t="n"/>
    </row>
    <row r="666">
      <c r="A666" s="23" t="n"/>
      <c r="B666" s="23" t="n"/>
      <c r="C666" s="24" t="n"/>
      <c r="D666" s="15" t="n"/>
      <c r="E666" s="23" t="n"/>
      <c r="F666" s="15" t="n"/>
      <c r="G666" s="23" t="n"/>
      <c r="H666" s="25" t="n"/>
      <c r="I666" s="15" t="n"/>
      <c r="J666" s="26">
        <f>IF($A666="","",LEN($C666)-LEN(SUBSTITUTE($C666,",",""))+1)</f>
        <v/>
      </c>
      <c r="K666" s="26">
        <f>IF($A666="","",SUMPRODUCT(--ISNUMBER(SEARCH('Category Dictionary'!$D$5:$D$135&amp;"",$C666)),--('Category Dictionary'!$D$5:$D$135&lt;&gt;"")))</f>
        <v/>
      </c>
      <c r="L666" s="27">
        <f>IF($A666="","",TRIM(IF(ISERROR(FIND(",",$C666)),$C666,LEFT($C666,FIND(",",$C666)-1))))</f>
        <v/>
      </c>
      <c r="M666" s="28">
        <f>IF($H666="","",DATE(YEAR($H666),MONTH($H666),1))</f>
        <v/>
      </c>
      <c r="N666" s="26">
        <f>IF($H666="","",TODAY()-$H666)</f>
        <v/>
      </c>
      <c r="O666" s="15" t="n"/>
      <c r="P666" s="26">
        <f>IF($A666="","",COUNTIFS('Audit Versions'!$A$6:$A$605,$A666,'Audit Versions'!$L$6:$L$605,"Active"))</f>
        <v/>
      </c>
      <c r="Q666" s="15" t="n"/>
      <c r="R666" s="26">
        <f>IF(OR($A666="",$P666=0),"",MOD(N($Q666),$P666)+1)</f>
        <v/>
      </c>
      <c r="S666" s="15" t="n"/>
      <c r="T666" s="25" t="n"/>
      <c r="U666" s="26">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Builder'!$B$12="",N($S666)&lt;='Assignment Builder'!$B$12)))</f>
        <v/>
      </c>
      <c r="V666" s="23" t="n"/>
    </row>
    <row r="667">
      <c r="A667" s="23" t="n"/>
      <c r="B667" s="23" t="n"/>
      <c r="C667" s="24" t="n"/>
      <c r="D667" s="15" t="n"/>
      <c r="E667" s="23" t="n"/>
      <c r="F667" s="15" t="n"/>
      <c r="G667" s="23" t="n"/>
      <c r="H667" s="25" t="n"/>
      <c r="I667" s="15" t="n"/>
      <c r="J667" s="26">
        <f>IF($A667="","",LEN($C667)-LEN(SUBSTITUTE($C667,",",""))+1)</f>
        <v/>
      </c>
      <c r="K667" s="26">
        <f>IF($A667="","",SUMPRODUCT(--ISNUMBER(SEARCH('Category Dictionary'!$D$5:$D$135&amp;"",$C667)),--('Category Dictionary'!$D$5:$D$135&lt;&gt;"")))</f>
        <v/>
      </c>
      <c r="L667" s="27">
        <f>IF($A667="","",TRIM(IF(ISERROR(FIND(",",$C667)),$C667,LEFT($C667,FIND(",",$C667)-1))))</f>
        <v/>
      </c>
      <c r="M667" s="28">
        <f>IF($H667="","",DATE(YEAR($H667),MONTH($H667),1))</f>
        <v/>
      </c>
      <c r="N667" s="26">
        <f>IF($H667="","",TODAY()-$H667)</f>
        <v/>
      </c>
      <c r="O667" s="15" t="n"/>
      <c r="P667" s="26">
        <f>IF($A667="","",COUNTIFS('Audit Versions'!$A$6:$A$605,$A667,'Audit Versions'!$L$6:$L$605,"Active"))</f>
        <v/>
      </c>
      <c r="Q667" s="15" t="n"/>
      <c r="R667" s="26">
        <f>IF(OR($A667="",$P667=0),"",MOD(N($Q667),$P667)+1)</f>
        <v/>
      </c>
      <c r="S667" s="15" t="n"/>
      <c r="T667" s="25" t="n"/>
      <c r="U667" s="26">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Builder'!$B$12="",N($S667)&lt;='Assignment Builder'!$B$12)))</f>
        <v/>
      </c>
      <c r="V667" s="23" t="n"/>
    </row>
    <row r="668">
      <c r="A668" s="23" t="n"/>
      <c r="B668" s="23" t="n"/>
      <c r="C668" s="24" t="n"/>
      <c r="D668" s="15" t="n"/>
      <c r="E668" s="23" t="n"/>
      <c r="F668" s="15" t="n"/>
      <c r="G668" s="23" t="n"/>
      <c r="H668" s="25" t="n"/>
      <c r="I668" s="15" t="n"/>
      <c r="J668" s="26">
        <f>IF($A668="","",LEN($C668)-LEN(SUBSTITUTE($C668,",",""))+1)</f>
        <v/>
      </c>
      <c r="K668" s="26">
        <f>IF($A668="","",SUMPRODUCT(--ISNUMBER(SEARCH('Category Dictionary'!$D$5:$D$135&amp;"",$C668)),--('Category Dictionary'!$D$5:$D$135&lt;&gt;"")))</f>
        <v/>
      </c>
      <c r="L668" s="27">
        <f>IF($A668="","",TRIM(IF(ISERROR(FIND(",",$C668)),$C668,LEFT($C668,FIND(",",$C668)-1))))</f>
        <v/>
      </c>
      <c r="M668" s="28">
        <f>IF($H668="","",DATE(YEAR($H668),MONTH($H668),1))</f>
        <v/>
      </c>
      <c r="N668" s="26">
        <f>IF($H668="","",TODAY()-$H668)</f>
        <v/>
      </c>
      <c r="O668" s="15" t="n"/>
      <c r="P668" s="26">
        <f>IF($A668="","",COUNTIFS('Audit Versions'!$A$6:$A$605,$A668,'Audit Versions'!$L$6:$L$605,"Active"))</f>
        <v/>
      </c>
      <c r="Q668" s="15" t="n"/>
      <c r="R668" s="26">
        <f>IF(OR($A668="",$P668=0),"",MOD(N($Q668),$P668)+1)</f>
        <v/>
      </c>
      <c r="S668" s="15" t="n"/>
      <c r="T668" s="25" t="n"/>
      <c r="U668" s="26">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Builder'!$B$12="",N($S668)&lt;='Assignment Builder'!$B$12)))</f>
        <v/>
      </c>
      <c r="V668" s="23" t="n"/>
    </row>
    <row r="669">
      <c r="A669" s="23" t="n"/>
      <c r="B669" s="23" t="n"/>
      <c r="C669" s="24" t="n"/>
      <c r="D669" s="15" t="n"/>
      <c r="E669" s="23" t="n"/>
      <c r="F669" s="15" t="n"/>
      <c r="G669" s="23" t="n"/>
      <c r="H669" s="25" t="n"/>
      <c r="I669" s="15" t="n"/>
      <c r="J669" s="26">
        <f>IF($A669="","",LEN($C669)-LEN(SUBSTITUTE($C669,",",""))+1)</f>
        <v/>
      </c>
      <c r="K669" s="26">
        <f>IF($A669="","",SUMPRODUCT(--ISNUMBER(SEARCH('Category Dictionary'!$D$5:$D$135&amp;"",$C669)),--('Category Dictionary'!$D$5:$D$135&lt;&gt;"")))</f>
        <v/>
      </c>
      <c r="L669" s="27">
        <f>IF($A669="","",TRIM(IF(ISERROR(FIND(",",$C669)),$C669,LEFT($C669,FIND(",",$C669)-1))))</f>
        <v/>
      </c>
      <c r="M669" s="28">
        <f>IF($H669="","",DATE(YEAR($H669),MONTH($H669),1))</f>
        <v/>
      </c>
      <c r="N669" s="26">
        <f>IF($H669="","",TODAY()-$H669)</f>
        <v/>
      </c>
      <c r="O669" s="15" t="n"/>
      <c r="P669" s="26">
        <f>IF($A669="","",COUNTIFS('Audit Versions'!$A$6:$A$605,$A669,'Audit Versions'!$L$6:$L$605,"Active"))</f>
        <v/>
      </c>
      <c r="Q669" s="15" t="n"/>
      <c r="R669" s="26">
        <f>IF(OR($A669="",$P669=0),"",MOD(N($Q669),$P669)+1)</f>
        <v/>
      </c>
      <c r="S669" s="15" t="n"/>
      <c r="T669" s="25" t="n"/>
      <c r="U669" s="26">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Builder'!$B$12="",N($S669)&lt;='Assignment Builder'!$B$12)))</f>
        <v/>
      </c>
      <c r="V669" s="23" t="n"/>
    </row>
    <row r="670">
      <c r="A670" s="23" t="n"/>
      <c r="B670" s="23" t="n"/>
      <c r="C670" s="24" t="n"/>
      <c r="D670" s="15" t="n"/>
      <c r="E670" s="23" t="n"/>
      <c r="F670" s="15" t="n"/>
      <c r="G670" s="23" t="n"/>
      <c r="H670" s="25" t="n"/>
      <c r="I670" s="15" t="n"/>
      <c r="J670" s="26">
        <f>IF($A670="","",LEN($C670)-LEN(SUBSTITUTE($C670,",",""))+1)</f>
        <v/>
      </c>
      <c r="K670" s="26">
        <f>IF($A670="","",SUMPRODUCT(--ISNUMBER(SEARCH('Category Dictionary'!$D$5:$D$135&amp;"",$C670)),--('Category Dictionary'!$D$5:$D$135&lt;&gt;"")))</f>
        <v/>
      </c>
      <c r="L670" s="27">
        <f>IF($A670="","",TRIM(IF(ISERROR(FIND(",",$C670)),$C670,LEFT($C670,FIND(",",$C670)-1))))</f>
        <v/>
      </c>
      <c r="M670" s="28">
        <f>IF($H670="","",DATE(YEAR($H670),MONTH($H670),1))</f>
        <v/>
      </c>
      <c r="N670" s="26">
        <f>IF($H670="","",TODAY()-$H670)</f>
        <v/>
      </c>
      <c r="O670" s="15" t="n"/>
      <c r="P670" s="26">
        <f>IF($A670="","",COUNTIFS('Audit Versions'!$A$6:$A$605,$A670,'Audit Versions'!$L$6:$L$605,"Active"))</f>
        <v/>
      </c>
      <c r="Q670" s="15" t="n"/>
      <c r="R670" s="26">
        <f>IF(OR($A670="",$P670=0),"",MOD(N($Q670),$P670)+1)</f>
        <v/>
      </c>
      <c r="S670" s="15" t="n"/>
      <c r="T670" s="25" t="n"/>
      <c r="U670" s="26">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Builder'!$B$12="",N($S670)&lt;='Assignment Builder'!$B$12)))</f>
        <v/>
      </c>
      <c r="V670" s="23" t="n"/>
    </row>
    <row r="671">
      <c r="A671" s="23" t="n"/>
      <c r="B671" s="23" t="n"/>
      <c r="C671" s="24" t="n"/>
      <c r="D671" s="15" t="n"/>
      <c r="E671" s="23" t="n"/>
      <c r="F671" s="15" t="n"/>
      <c r="G671" s="23" t="n"/>
      <c r="H671" s="25" t="n"/>
      <c r="I671" s="15" t="n"/>
      <c r="J671" s="26">
        <f>IF($A671="","",LEN($C671)-LEN(SUBSTITUTE($C671,",",""))+1)</f>
        <v/>
      </c>
      <c r="K671" s="26">
        <f>IF($A671="","",SUMPRODUCT(--ISNUMBER(SEARCH('Category Dictionary'!$D$5:$D$135&amp;"",$C671)),--('Category Dictionary'!$D$5:$D$135&lt;&gt;"")))</f>
        <v/>
      </c>
      <c r="L671" s="27">
        <f>IF($A671="","",TRIM(IF(ISERROR(FIND(",",$C671)),$C671,LEFT($C671,FIND(",",$C671)-1))))</f>
        <v/>
      </c>
      <c r="M671" s="28">
        <f>IF($H671="","",DATE(YEAR($H671),MONTH($H671),1))</f>
        <v/>
      </c>
      <c r="N671" s="26">
        <f>IF($H671="","",TODAY()-$H671)</f>
        <v/>
      </c>
      <c r="O671" s="15" t="n"/>
      <c r="P671" s="26">
        <f>IF($A671="","",COUNTIFS('Audit Versions'!$A$6:$A$605,$A671,'Audit Versions'!$L$6:$L$605,"Active"))</f>
        <v/>
      </c>
      <c r="Q671" s="15" t="n"/>
      <c r="R671" s="26">
        <f>IF(OR($A671="",$P671=0),"",MOD(N($Q671),$P671)+1)</f>
        <v/>
      </c>
      <c r="S671" s="15" t="n"/>
      <c r="T671" s="25" t="n"/>
      <c r="U671" s="26">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Builder'!$B$12="",N($S671)&lt;='Assignment Builder'!$B$12)))</f>
        <v/>
      </c>
      <c r="V671" s="23" t="n"/>
    </row>
    <row r="672">
      <c r="A672" s="23" t="n"/>
      <c r="B672" s="23" t="n"/>
      <c r="C672" s="24" t="n"/>
      <c r="D672" s="15" t="n"/>
      <c r="E672" s="23" t="n"/>
      <c r="F672" s="15" t="n"/>
      <c r="G672" s="23" t="n"/>
      <c r="H672" s="25" t="n"/>
      <c r="I672" s="15" t="n"/>
      <c r="J672" s="26">
        <f>IF($A672="","",LEN($C672)-LEN(SUBSTITUTE($C672,",",""))+1)</f>
        <v/>
      </c>
      <c r="K672" s="26">
        <f>IF($A672="","",SUMPRODUCT(--ISNUMBER(SEARCH('Category Dictionary'!$D$5:$D$135&amp;"",$C672)),--('Category Dictionary'!$D$5:$D$135&lt;&gt;"")))</f>
        <v/>
      </c>
      <c r="L672" s="27">
        <f>IF($A672="","",TRIM(IF(ISERROR(FIND(",",$C672)),$C672,LEFT($C672,FIND(",",$C672)-1))))</f>
        <v/>
      </c>
      <c r="M672" s="28">
        <f>IF($H672="","",DATE(YEAR($H672),MONTH($H672),1))</f>
        <v/>
      </c>
      <c r="N672" s="26">
        <f>IF($H672="","",TODAY()-$H672)</f>
        <v/>
      </c>
      <c r="O672" s="15" t="n"/>
      <c r="P672" s="26">
        <f>IF($A672="","",COUNTIFS('Audit Versions'!$A$6:$A$605,$A672,'Audit Versions'!$L$6:$L$605,"Active"))</f>
        <v/>
      </c>
      <c r="Q672" s="15" t="n"/>
      <c r="R672" s="26">
        <f>IF(OR($A672="",$P672=0),"",MOD(N($Q672),$P672)+1)</f>
        <v/>
      </c>
      <c r="S672" s="15" t="n"/>
      <c r="T672" s="25" t="n"/>
      <c r="U672" s="26">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Builder'!$B$12="",N($S672)&lt;='Assignment Builder'!$B$12)))</f>
        <v/>
      </c>
      <c r="V672" s="23" t="n"/>
    </row>
    <row r="673">
      <c r="A673" s="23" t="n"/>
      <c r="B673" s="23" t="n"/>
      <c r="C673" s="24" t="n"/>
      <c r="D673" s="15" t="n"/>
      <c r="E673" s="23" t="n"/>
      <c r="F673" s="15" t="n"/>
      <c r="G673" s="23" t="n"/>
      <c r="H673" s="25" t="n"/>
      <c r="I673" s="15" t="n"/>
      <c r="J673" s="26">
        <f>IF($A673="","",LEN($C673)-LEN(SUBSTITUTE($C673,",",""))+1)</f>
        <v/>
      </c>
      <c r="K673" s="26">
        <f>IF($A673="","",SUMPRODUCT(--ISNUMBER(SEARCH('Category Dictionary'!$D$5:$D$135&amp;"",$C673)),--('Category Dictionary'!$D$5:$D$135&lt;&gt;"")))</f>
        <v/>
      </c>
      <c r="L673" s="27">
        <f>IF($A673="","",TRIM(IF(ISERROR(FIND(",",$C673)),$C673,LEFT($C673,FIND(",",$C673)-1))))</f>
        <v/>
      </c>
      <c r="M673" s="28">
        <f>IF($H673="","",DATE(YEAR($H673),MONTH($H673),1))</f>
        <v/>
      </c>
      <c r="N673" s="26">
        <f>IF($H673="","",TODAY()-$H673)</f>
        <v/>
      </c>
      <c r="O673" s="15" t="n"/>
      <c r="P673" s="26">
        <f>IF($A673="","",COUNTIFS('Audit Versions'!$A$6:$A$605,$A673,'Audit Versions'!$L$6:$L$605,"Active"))</f>
        <v/>
      </c>
      <c r="Q673" s="15" t="n"/>
      <c r="R673" s="26">
        <f>IF(OR($A673="",$P673=0),"",MOD(N($Q673),$P673)+1)</f>
        <v/>
      </c>
      <c r="S673" s="15" t="n"/>
      <c r="T673" s="25" t="n"/>
      <c r="U673" s="26">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Builder'!$B$12="",N($S673)&lt;='Assignment Builder'!$B$12)))</f>
        <v/>
      </c>
      <c r="V673" s="23" t="n"/>
    </row>
    <row r="674">
      <c r="A674" s="23" t="n"/>
      <c r="B674" s="23" t="n"/>
      <c r="C674" s="24" t="n"/>
      <c r="D674" s="15" t="n"/>
      <c r="E674" s="23" t="n"/>
      <c r="F674" s="15" t="n"/>
      <c r="G674" s="23" t="n"/>
      <c r="H674" s="25" t="n"/>
      <c r="I674" s="15" t="n"/>
      <c r="J674" s="26">
        <f>IF($A674="","",LEN($C674)-LEN(SUBSTITUTE($C674,",",""))+1)</f>
        <v/>
      </c>
      <c r="K674" s="26">
        <f>IF($A674="","",SUMPRODUCT(--ISNUMBER(SEARCH('Category Dictionary'!$D$5:$D$135&amp;"",$C674)),--('Category Dictionary'!$D$5:$D$135&lt;&gt;"")))</f>
        <v/>
      </c>
      <c r="L674" s="27">
        <f>IF($A674="","",TRIM(IF(ISERROR(FIND(",",$C674)),$C674,LEFT($C674,FIND(",",$C674)-1))))</f>
        <v/>
      </c>
      <c r="M674" s="28">
        <f>IF($H674="","",DATE(YEAR($H674),MONTH($H674),1))</f>
        <v/>
      </c>
      <c r="N674" s="26">
        <f>IF($H674="","",TODAY()-$H674)</f>
        <v/>
      </c>
      <c r="O674" s="15" t="n"/>
      <c r="P674" s="26">
        <f>IF($A674="","",COUNTIFS('Audit Versions'!$A$6:$A$605,$A674,'Audit Versions'!$L$6:$L$605,"Active"))</f>
        <v/>
      </c>
      <c r="Q674" s="15" t="n"/>
      <c r="R674" s="26">
        <f>IF(OR($A674="",$P674=0),"",MOD(N($Q674),$P674)+1)</f>
        <v/>
      </c>
      <c r="S674" s="15" t="n"/>
      <c r="T674" s="25" t="n"/>
      <c r="U674" s="26">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Builder'!$B$12="",N($S674)&lt;='Assignment Builder'!$B$12)))</f>
        <v/>
      </c>
      <c r="V674" s="23" t="n"/>
    </row>
    <row r="675">
      <c r="A675" s="23" t="n"/>
      <c r="B675" s="23" t="n"/>
      <c r="C675" s="24" t="n"/>
      <c r="D675" s="15" t="n"/>
      <c r="E675" s="23" t="n"/>
      <c r="F675" s="15" t="n"/>
      <c r="G675" s="23" t="n"/>
      <c r="H675" s="25" t="n"/>
      <c r="I675" s="15" t="n"/>
      <c r="J675" s="26">
        <f>IF($A675="","",LEN($C675)-LEN(SUBSTITUTE($C675,",",""))+1)</f>
        <v/>
      </c>
      <c r="K675" s="26">
        <f>IF($A675="","",SUMPRODUCT(--ISNUMBER(SEARCH('Category Dictionary'!$D$5:$D$135&amp;"",$C675)),--('Category Dictionary'!$D$5:$D$135&lt;&gt;"")))</f>
        <v/>
      </c>
      <c r="L675" s="27">
        <f>IF($A675="","",TRIM(IF(ISERROR(FIND(",",$C675)),$C675,LEFT($C675,FIND(",",$C675)-1))))</f>
        <v/>
      </c>
      <c r="M675" s="28">
        <f>IF($H675="","",DATE(YEAR($H675),MONTH($H675),1))</f>
        <v/>
      </c>
      <c r="N675" s="26">
        <f>IF($H675="","",TODAY()-$H675)</f>
        <v/>
      </c>
      <c r="O675" s="15" t="n"/>
      <c r="P675" s="26">
        <f>IF($A675="","",COUNTIFS('Audit Versions'!$A$6:$A$605,$A675,'Audit Versions'!$L$6:$L$605,"Active"))</f>
        <v/>
      </c>
      <c r="Q675" s="15" t="n"/>
      <c r="R675" s="26">
        <f>IF(OR($A675="",$P675=0),"",MOD(N($Q675),$P675)+1)</f>
        <v/>
      </c>
      <c r="S675" s="15" t="n"/>
      <c r="T675" s="25" t="n"/>
      <c r="U675" s="26">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Builder'!$B$12="",N($S675)&lt;='Assignment Builder'!$B$12)))</f>
        <v/>
      </c>
      <c r="V675" s="23" t="n"/>
    </row>
    <row r="676">
      <c r="A676" s="23" t="n"/>
      <c r="B676" s="23" t="n"/>
      <c r="C676" s="24" t="n"/>
      <c r="D676" s="15" t="n"/>
      <c r="E676" s="23" t="n"/>
      <c r="F676" s="15" t="n"/>
      <c r="G676" s="23" t="n"/>
      <c r="H676" s="25" t="n"/>
      <c r="I676" s="15" t="n"/>
      <c r="J676" s="26">
        <f>IF($A676="","",LEN($C676)-LEN(SUBSTITUTE($C676,",",""))+1)</f>
        <v/>
      </c>
      <c r="K676" s="26">
        <f>IF($A676="","",SUMPRODUCT(--ISNUMBER(SEARCH('Category Dictionary'!$D$5:$D$135&amp;"",$C676)),--('Category Dictionary'!$D$5:$D$135&lt;&gt;"")))</f>
        <v/>
      </c>
      <c r="L676" s="27">
        <f>IF($A676="","",TRIM(IF(ISERROR(FIND(",",$C676)),$C676,LEFT($C676,FIND(",",$C676)-1))))</f>
        <v/>
      </c>
      <c r="M676" s="28">
        <f>IF($H676="","",DATE(YEAR($H676),MONTH($H676),1))</f>
        <v/>
      </c>
      <c r="N676" s="26">
        <f>IF($H676="","",TODAY()-$H676)</f>
        <v/>
      </c>
      <c r="O676" s="15" t="n"/>
      <c r="P676" s="26">
        <f>IF($A676="","",COUNTIFS('Audit Versions'!$A$6:$A$605,$A676,'Audit Versions'!$L$6:$L$605,"Active"))</f>
        <v/>
      </c>
      <c r="Q676" s="15" t="n"/>
      <c r="R676" s="26">
        <f>IF(OR($A676="",$P676=0),"",MOD(N($Q676),$P676)+1)</f>
        <v/>
      </c>
      <c r="S676" s="15" t="n"/>
      <c r="T676" s="25" t="n"/>
      <c r="U676" s="26">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Builder'!$B$12="",N($S676)&lt;='Assignment Builder'!$B$12)))</f>
        <v/>
      </c>
      <c r="V676" s="23" t="n"/>
    </row>
    <row r="677">
      <c r="A677" s="23" t="n"/>
      <c r="B677" s="23" t="n"/>
      <c r="C677" s="24" t="n"/>
      <c r="D677" s="15" t="n"/>
      <c r="E677" s="23" t="n"/>
      <c r="F677" s="15" t="n"/>
      <c r="G677" s="23" t="n"/>
      <c r="H677" s="25" t="n"/>
      <c r="I677" s="15" t="n"/>
      <c r="J677" s="26">
        <f>IF($A677="","",LEN($C677)-LEN(SUBSTITUTE($C677,",",""))+1)</f>
        <v/>
      </c>
      <c r="K677" s="26">
        <f>IF($A677="","",SUMPRODUCT(--ISNUMBER(SEARCH('Category Dictionary'!$D$5:$D$135&amp;"",$C677)),--('Category Dictionary'!$D$5:$D$135&lt;&gt;"")))</f>
        <v/>
      </c>
      <c r="L677" s="27">
        <f>IF($A677="","",TRIM(IF(ISERROR(FIND(",",$C677)),$C677,LEFT($C677,FIND(",",$C677)-1))))</f>
        <v/>
      </c>
      <c r="M677" s="28">
        <f>IF($H677="","",DATE(YEAR($H677),MONTH($H677),1))</f>
        <v/>
      </c>
      <c r="N677" s="26">
        <f>IF($H677="","",TODAY()-$H677)</f>
        <v/>
      </c>
      <c r="O677" s="15" t="n"/>
      <c r="P677" s="26">
        <f>IF($A677="","",COUNTIFS('Audit Versions'!$A$6:$A$605,$A677,'Audit Versions'!$L$6:$L$605,"Active"))</f>
        <v/>
      </c>
      <c r="Q677" s="15" t="n"/>
      <c r="R677" s="26">
        <f>IF(OR($A677="",$P677=0),"",MOD(N($Q677),$P677)+1)</f>
        <v/>
      </c>
      <c r="S677" s="15" t="n"/>
      <c r="T677" s="25" t="n"/>
      <c r="U677" s="26">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Builder'!$B$12="",N($S677)&lt;='Assignment Builder'!$B$12)))</f>
        <v/>
      </c>
      <c r="V677" s="23" t="n"/>
    </row>
    <row r="678">
      <c r="A678" s="23" t="n"/>
      <c r="B678" s="23" t="n"/>
      <c r="C678" s="24" t="n"/>
      <c r="D678" s="15" t="n"/>
      <c r="E678" s="23" t="n"/>
      <c r="F678" s="15" t="n"/>
      <c r="G678" s="23" t="n"/>
      <c r="H678" s="25" t="n"/>
      <c r="I678" s="15" t="n"/>
      <c r="J678" s="26">
        <f>IF($A678="","",LEN($C678)-LEN(SUBSTITUTE($C678,",",""))+1)</f>
        <v/>
      </c>
      <c r="K678" s="26">
        <f>IF($A678="","",SUMPRODUCT(--ISNUMBER(SEARCH('Category Dictionary'!$D$5:$D$135&amp;"",$C678)),--('Category Dictionary'!$D$5:$D$135&lt;&gt;"")))</f>
        <v/>
      </c>
      <c r="L678" s="27">
        <f>IF($A678="","",TRIM(IF(ISERROR(FIND(",",$C678)),$C678,LEFT($C678,FIND(",",$C678)-1))))</f>
        <v/>
      </c>
      <c r="M678" s="28">
        <f>IF($H678="","",DATE(YEAR($H678),MONTH($H678),1))</f>
        <v/>
      </c>
      <c r="N678" s="26">
        <f>IF($H678="","",TODAY()-$H678)</f>
        <v/>
      </c>
      <c r="O678" s="15" t="n"/>
      <c r="P678" s="26">
        <f>IF($A678="","",COUNTIFS('Audit Versions'!$A$6:$A$605,$A678,'Audit Versions'!$L$6:$L$605,"Active"))</f>
        <v/>
      </c>
      <c r="Q678" s="15" t="n"/>
      <c r="R678" s="26">
        <f>IF(OR($A678="",$P678=0),"",MOD(N($Q678),$P678)+1)</f>
        <v/>
      </c>
      <c r="S678" s="15" t="n"/>
      <c r="T678" s="25" t="n"/>
      <c r="U678" s="26">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Builder'!$B$12="",N($S678)&lt;='Assignment Builder'!$B$12)))</f>
        <v/>
      </c>
      <c r="V678" s="23" t="n"/>
    </row>
    <row r="679">
      <c r="A679" s="23" t="n"/>
      <c r="B679" s="23" t="n"/>
      <c r="C679" s="24" t="n"/>
      <c r="D679" s="15" t="n"/>
      <c r="E679" s="23" t="n"/>
      <c r="F679" s="15" t="n"/>
      <c r="G679" s="23" t="n"/>
      <c r="H679" s="25" t="n"/>
      <c r="I679" s="15" t="n"/>
      <c r="J679" s="26">
        <f>IF($A679="","",LEN($C679)-LEN(SUBSTITUTE($C679,",",""))+1)</f>
        <v/>
      </c>
      <c r="K679" s="26">
        <f>IF($A679="","",SUMPRODUCT(--ISNUMBER(SEARCH('Category Dictionary'!$D$5:$D$135&amp;"",$C679)),--('Category Dictionary'!$D$5:$D$135&lt;&gt;"")))</f>
        <v/>
      </c>
      <c r="L679" s="27">
        <f>IF($A679="","",TRIM(IF(ISERROR(FIND(",",$C679)),$C679,LEFT($C679,FIND(",",$C679)-1))))</f>
        <v/>
      </c>
      <c r="M679" s="28">
        <f>IF($H679="","",DATE(YEAR($H679),MONTH($H679),1))</f>
        <v/>
      </c>
      <c r="N679" s="26">
        <f>IF($H679="","",TODAY()-$H679)</f>
        <v/>
      </c>
      <c r="O679" s="15" t="n"/>
      <c r="P679" s="26">
        <f>IF($A679="","",COUNTIFS('Audit Versions'!$A$6:$A$605,$A679,'Audit Versions'!$L$6:$L$605,"Active"))</f>
        <v/>
      </c>
      <c r="Q679" s="15" t="n"/>
      <c r="R679" s="26">
        <f>IF(OR($A679="",$P679=0),"",MOD(N($Q679),$P679)+1)</f>
        <v/>
      </c>
      <c r="S679" s="15" t="n"/>
      <c r="T679" s="25" t="n"/>
      <c r="U679" s="26">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Builder'!$B$12="",N($S679)&lt;='Assignment Builder'!$B$12)))</f>
        <v/>
      </c>
      <c r="V679" s="23" t="n"/>
    </row>
    <row r="680">
      <c r="A680" s="23" t="n"/>
      <c r="B680" s="23" t="n"/>
      <c r="C680" s="24" t="n"/>
      <c r="D680" s="15" t="n"/>
      <c r="E680" s="23" t="n"/>
      <c r="F680" s="15" t="n"/>
      <c r="G680" s="23" t="n"/>
      <c r="H680" s="25" t="n"/>
      <c r="I680" s="15" t="n"/>
      <c r="J680" s="26">
        <f>IF($A680="","",LEN($C680)-LEN(SUBSTITUTE($C680,",",""))+1)</f>
        <v/>
      </c>
      <c r="K680" s="26">
        <f>IF($A680="","",SUMPRODUCT(--ISNUMBER(SEARCH('Category Dictionary'!$D$5:$D$135&amp;"",$C680)),--('Category Dictionary'!$D$5:$D$135&lt;&gt;"")))</f>
        <v/>
      </c>
      <c r="L680" s="27">
        <f>IF($A680="","",TRIM(IF(ISERROR(FIND(",",$C680)),$C680,LEFT($C680,FIND(",",$C680)-1))))</f>
        <v/>
      </c>
      <c r="M680" s="28">
        <f>IF($H680="","",DATE(YEAR($H680),MONTH($H680),1))</f>
        <v/>
      </c>
      <c r="N680" s="26">
        <f>IF($H680="","",TODAY()-$H680)</f>
        <v/>
      </c>
      <c r="O680" s="15" t="n"/>
      <c r="P680" s="26">
        <f>IF($A680="","",COUNTIFS('Audit Versions'!$A$6:$A$605,$A680,'Audit Versions'!$L$6:$L$605,"Active"))</f>
        <v/>
      </c>
      <c r="Q680" s="15" t="n"/>
      <c r="R680" s="26">
        <f>IF(OR($A680="",$P680=0),"",MOD(N($Q680),$P680)+1)</f>
        <v/>
      </c>
      <c r="S680" s="15" t="n"/>
      <c r="T680" s="25" t="n"/>
      <c r="U680" s="26">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Builder'!$B$12="",N($S680)&lt;='Assignment Builder'!$B$12)))</f>
        <v/>
      </c>
      <c r="V680" s="23" t="n"/>
    </row>
    <row r="681">
      <c r="A681" s="23" t="n"/>
      <c r="B681" s="23" t="n"/>
      <c r="C681" s="24" t="n"/>
      <c r="D681" s="15" t="n"/>
      <c r="E681" s="23" t="n"/>
      <c r="F681" s="15" t="n"/>
      <c r="G681" s="23" t="n"/>
      <c r="H681" s="25" t="n"/>
      <c r="I681" s="15" t="n"/>
      <c r="J681" s="26">
        <f>IF($A681="","",LEN($C681)-LEN(SUBSTITUTE($C681,",",""))+1)</f>
        <v/>
      </c>
      <c r="K681" s="26">
        <f>IF($A681="","",SUMPRODUCT(--ISNUMBER(SEARCH('Category Dictionary'!$D$5:$D$135&amp;"",$C681)),--('Category Dictionary'!$D$5:$D$135&lt;&gt;"")))</f>
        <v/>
      </c>
      <c r="L681" s="27">
        <f>IF($A681="","",TRIM(IF(ISERROR(FIND(",",$C681)),$C681,LEFT($C681,FIND(",",$C681)-1))))</f>
        <v/>
      </c>
      <c r="M681" s="28">
        <f>IF($H681="","",DATE(YEAR($H681),MONTH($H681),1))</f>
        <v/>
      </c>
      <c r="N681" s="26">
        <f>IF($H681="","",TODAY()-$H681)</f>
        <v/>
      </c>
      <c r="O681" s="15" t="n"/>
      <c r="P681" s="26">
        <f>IF($A681="","",COUNTIFS('Audit Versions'!$A$6:$A$605,$A681,'Audit Versions'!$L$6:$L$605,"Active"))</f>
        <v/>
      </c>
      <c r="Q681" s="15" t="n"/>
      <c r="R681" s="26">
        <f>IF(OR($A681="",$P681=0),"",MOD(N($Q681),$P681)+1)</f>
        <v/>
      </c>
      <c r="S681" s="15" t="n"/>
      <c r="T681" s="25" t="n"/>
      <c r="U681" s="26">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Builder'!$B$12="",N($S681)&lt;='Assignment Builder'!$B$12)))</f>
        <v/>
      </c>
      <c r="V681" s="23" t="n"/>
    </row>
    <row r="682">
      <c r="A682" s="23" t="n"/>
      <c r="B682" s="23" t="n"/>
      <c r="C682" s="24" t="n"/>
      <c r="D682" s="15" t="n"/>
      <c r="E682" s="23" t="n"/>
      <c r="F682" s="15" t="n"/>
      <c r="G682" s="23" t="n"/>
      <c r="H682" s="25" t="n"/>
      <c r="I682" s="15" t="n"/>
      <c r="J682" s="26">
        <f>IF($A682="","",LEN($C682)-LEN(SUBSTITUTE($C682,",",""))+1)</f>
        <v/>
      </c>
      <c r="K682" s="26">
        <f>IF($A682="","",SUMPRODUCT(--ISNUMBER(SEARCH('Category Dictionary'!$D$5:$D$135&amp;"",$C682)),--('Category Dictionary'!$D$5:$D$135&lt;&gt;"")))</f>
        <v/>
      </c>
      <c r="L682" s="27">
        <f>IF($A682="","",TRIM(IF(ISERROR(FIND(",",$C682)),$C682,LEFT($C682,FIND(",",$C682)-1))))</f>
        <v/>
      </c>
      <c r="M682" s="28">
        <f>IF($H682="","",DATE(YEAR($H682),MONTH($H682),1))</f>
        <v/>
      </c>
      <c r="N682" s="26">
        <f>IF($H682="","",TODAY()-$H682)</f>
        <v/>
      </c>
      <c r="O682" s="15" t="n"/>
      <c r="P682" s="26">
        <f>IF($A682="","",COUNTIFS('Audit Versions'!$A$6:$A$605,$A682,'Audit Versions'!$L$6:$L$605,"Active"))</f>
        <v/>
      </c>
      <c r="Q682" s="15" t="n"/>
      <c r="R682" s="26">
        <f>IF(OR($A682="",$P682=0),"",MOD(N($Q682),$P682)+1)</f>
        <v/>
      </c>
      <c r="S682" s="15" t="n"/>
      <c r="T682" s="25" t="n"/>
      <c r="U682" s="26">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Builder'!$B$12="",N($S682)&lt;='Assignment Builder'!$B$12)))</f>
        <v/>
      </c>
      <c r="V682" s="23" t="n"/>
    </row>
    <row r="683">
      <c r="A683" s="23" t="n"/>
      <c r="B683" s="23" t="n"/>
      <c r="C683" s="24" t="n"/>
      <c r="D683" s="15" t="n"/>
      <c r="E683" s="23" t="n"/>
      <c r="F683" s="15" t="n"/>
      <c r="G683" s="23" t="n"/>
      <c r="H683" s="25" t="n"/>
      <c r="I683" s="15" t="n"/>
      <c r="J683" s="26">
        <f>IF($A683="","",LEN($C683)-LEN(SUBSTITUTE($C683,",",""))+1)</f>
        <v/>
      </c>
      <c r="K683" s="26">
        <f>IF($A683="","",SUMPRODUCT(--ISNUMBER(SEARCH('Category Dictionary'!$D$5:$D$135&amp;"",$C683)),--('Category Dictionary'!$D$5:$D$135&lt;&gt;"")))</f>
        <v/>
      </c>
      <c r="L683" s="27">
        <f>IF($A683="","",TRIM(IF(ISERROR(FIND(",",$C683)),$C683,LEFT($C683,FIND(",",$C683)-1))))</f>
        <v/>
      </c>
      <c r="M683" s="28">
        <f>IF($H683="","",DATE(YEAR($H683),MONTH($H683),1))</f>
        <v/>
      </c>
      <c r="N683" s="26">
        <f>IF($H683="","",TODAY()-$H683)</f>
        <v/>
      </c>
      <c r="O683" s="15" t="n"/>
      <c r="P683" s="26">
        <f>IF($A683="","",COUNTIFS('Audit Versions'!$A$6:$A$605,$A683,'Audit Versions'!$L$6:$L$605,"Active"))</f>
        <v/>
      </c>
      <c r="Q683" s="15" t="n"/>
      <c r="R683" s="26">
        <f>IF(OR($A683="",$P683=0),"",MOD(N($Q683),$P683)+1)</f>
        <v/>
      </c>
      <c r="S683" s="15" t="n"/>
      <c r="T683" s="25" t="n"/>
      <c r="U683" s="26">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Builder'!$B$12="",N($S683)&lt;='Assignment Builder'!$B$12)))</f>
        <v/>
      </c>
      <c r="V683" s="23" t="n"/>
    </row>
    <row r="684">
      <c r="A684" s="23" t="n"/>
      <c r="B684" s="23" t="n"/>
      <c r="C684" s="24" t="n"/>
      <c r="D684" s="15" t="n"/>
      <c r="E684" s="23" t="n"/>
      <c r="F684" s="15" t="n"/>
      <c r="G684" s="23" t="n"/>
      <c r="H684" s="25" t="n"/>
      <c r="I684" s="15" t="n"/>
      <c r="J684" s="26">
        <f>IF($A684="","",LEN($C684)-LEN(SUBSTITUTE($C684,",",""))+1)</f>
        <v/>
      </c>
      <c r="K684" s="26">
        <f>IF($A684="","",SUMPRODUCT(--ISNUMBER(SEARCH('Category Dictionary'!$D$5:$D$135&amp;"",$C684)),--('Category Dictionary'!$D$5:$D$135&lt;&gt;"")))</f>
        <v/>
      </c>
      <c r="L684" s="27">
        <f>IF($A684="","",TRIM(IF(ISERROR(FIND(",",$C684)),$C684,LEFT($C684,FIND(",",$C684)-1))))</f>
        <v/>
      </c>
      <c r="M684" s="28">
        <f>IF($H684="","",DATE(YEAR($H684),MONTH($H684),1))</f>
        <v/>
      </c>
      <c r="N684" s="26">
        <f>IF($H684="","",TODAY()-$H684)</f>
        <v/>
      </c>
      <c r="O684" s="15" t="n"/>
      <c r="P684" s="26">
        <f>IF($A684="","",COUNTIFS('Audit Versions'!$A$6:$A$605,$A684,'Audit Versions'!$L$6:$L$605,"Active"))</f>
        <v/>
      </c>
      <c r="Q684" s="15" t="n"/>
      <c r="R684" s="26">
        <f>IF(OR($A684="",$P684=0),"",MOD(N($Q684),$P684)+1)</f>
        <v/>
      </c>
      <c r="S684" s="15" t="n"/>
      <c r="T684" s="25" t="n"/>
      <c r="U684" s="26">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Builder'!$B$12="",N($S684)&lt;='Assignment Builder'!$B$12)))</f>
        <v/>
      </c>
      <c r="V684" s="23" t="n"/>
    </row>
    <row r="685">
      <c r="A685" s="23" t="n"/>
      <c r="B685" s="23" t="n"/>
      <c r="C685" s="24" t="n"/>
      <c r="D685" s="15" t="n"/>
      <c r="E685" s="23" t="n"/>
      <c r="F685" s="15" t="n"/>
      <c r="G685" s="23" t="n"/>
      <c r="H685" s="25" t="n"/>
      <c r="I685" s="15" t="n"/>
      <c r="J685" s="26">
        <f>IF($A685="","",LEN($C685)-LEN(SUBSTITUTE($C685,",",""))+1)</f>
        <v/>
      </c>
      <c r="K685" s="26">
        <f>IF($A685="","",SUMPRODUCT(--ISNUMBER(SEARCH('Category Dictionary'!$D$5:$D$135&amp;"",$C685)),--('Category Dictionary'!$D$5:$D$135&lt;&gt;"")))</f>
        <v/>
      </c>
      <c r="L685" s="27">
        <f>IF($A685="","",TRIM(IF(ISERROR(FIND(",",$C685)),$C685,LEFT($C685,FIND(",",$C685)-1))))</f>
        <v/>
      </c>
      <c r="M685" s="28">
        <f>IF($H685="","",DATE(YEAR($H685),MONTH($H685),1))</f>
        <v/>
      </c>
      <c r="N685" s="26">
        <f>IF($H685="","",TODAY()-$H685)</f>
        <v/>
      </c>
      <c r="O685" s="15" t="n"/>
      <c r="P685" s="26">
        <f>IF($A685="","",COUNTIFS('Audit Versions'!$A$6:$A$605,$A685,'Audit Versions'!$L$6:$L$605,"Active"))</f>
        <v/>
      </c>
      <c r="Q685" s="15" t="n"/>
      <c r="R685" s="26">
        <f>IF(OR($A685="",$P685=0),"",MOD(N($Q685),$P685)+1)</f>
        <v/>
      </c>
      <c r="S685" s="15" t="n"/>
      <c r="T685" s="25" t="n"/>
      <c r="U685" s="26">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Builder'!$B$12="",N($S685)&lt;='Assignment Builder'!$B$12)))</f>
        <v/>
      </c>
      <c r="V685" s="23" t="n"/>
    </row>
    <row r="686">
      <c r="A686" s="23" t="n"/>
      <c r="B686" s="23" t="n"/>
      <c r="C686" s="24" t="n"/>
      <c r="D686" s="15" t="n"/>
      <c r="E686" s="23" t="n"/>
      <c r="F686" s="15" t="n"/>
      <c r="G686" s="23" t="n"/>
      <c r="H686" s="25" t="n"/>
      <c r="I686" s="15" t="n"/>
      <c r="J686" s="26">
        <f>IF($A686="","",LEN($C686)-LEN(SUBSTITUTE($C686,",",""))+1)</f>
        <v/>
      </c>
      <c r="K686" s="26">
        <f>IF($A686="","",SUMPRODUCT(--ISNUMBER(SEARCH('Category Dictionary'!$D$5:$D$135&amp;"",$C686)),--('Category Dictionary'!$D$5:$D$135&lt;&gt;"")))</f>
        <v/>
      </c>
      <c r="L686" s="27">
        <f>IF($A686="","",TRIM(IF(ISERROR(FIND(",",$C686)),$C686,LEFT($C686,FIND(",",$C686)-1))))</f>
        <v/>
      </c>
      <c r="M686" s="28">
        <f>IF($H686="","",DATE(YEAR($H686),MONTH($H686),1))</f>
        <v/>
      </c>
      <c r="N686" s="26">
        <f>IF($H686="","",TODAY()-$H686)</f>
        <v/>
      </c>
      <c r="O686" s="15" t="n"/>
      <c r="P686" s="26">
        <f>IF($A686="","",COUNTIFS('Audit Versions'!$A$6:$A$605,$A686,'Audit Versions'!$L$6:$L$605,"Active"))</f>
        <v/>
      </c>
      <c r="Q686" s="15" t="n"/>
      <c r="R686" s="26">
        <f>IF(OR($A686="",$P686=0),"",MOD(N($Q686),$P686)+1)</f>
        <v/>
      </c>
      <c r="S686" s="15" t="n"/>
      <c r="T686" s="25" t="n"/>
      <c r="U686" s="26">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Builder'!$B$12="",N($S686)&lt;='Assignment Builder'!$B$12)))</f>
        <v/>
      </c>
      <c r="V686" s="23" t="n"/>
    </row>
    <row r="687">
      <c r="A687" s="23" t="n"/>
      <c r="B687" s="23" t="n"/>
      <c r="C687" s="24" t="n"/>
      <c r="D687" s="15" t="n"/>
      <c r="E687" s="23" t="n"/>
      <c r="F687" s="15" t="n"/>
      <c r="G687" s="23" t="n"/>
      <c r="H687" s="25" t="n"/>
      <c r="I687" s="15" t="n"/>
      <c r="J687" s="26">
        <f>IF($A687="","",LEN($C687)-LEN(SUBSTITUTE($C687,",",""))+1)</f>
        <v/>
      </c>
      <c r="K687" s="26">
        <f>IF($A687="","",SUMPRODUCT(--ISNUMBER(SEARCH('Category Dictionary'!$D$5:$D$135&amp;"",$C687)),--('Category Dictionary'!$D$5:$D$135&lt;&gt;"")))</f>
        <v/>
      </c>
      <c r="L687" s="27">
        <f>IF($A687="","",TRIM(IF(ISERROR(FIND(",",$C687)),$C687,LEFT($C687,FIND(",",$C687)-1))))</f>
        <v/>
      </c>
      <c r="M687" s="28">
        <f>IF($H687="","",DATE(YEAR($H687),MONTH($H687),1))</f>
        <v/>
      </c>
      <c r="N687" s="26">
        <f>IF($H687="","",TODAY()-$H687)</f>
        <v/>
      </c>
      <c r="O687" s="15" t="n"/>
      <c r="P687" s="26">
        <f>IF($A687="","",COUNTIFS('Audit Versions'!$A$6:$A$605,$A687,'Audit Versions'!$L$6:$L$605,"Active"))</f>
        <v/>
      </c>
      <c r="Q687" s="15" t="n"/>
      <c r="R687" s="26">
        <f>IF(OR($A687="",$P687=0),"",MOD(N($Q687),$P687)+1)</f>
        <v/>
      </c>
      <c r="S687" s="15" t="n"/>
      <c r="T687" s="25" t="n"/>
      <c r="U687" s="26">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Builder'!$B$12="",N($S687)&lt;='Assignment Builder'!$B$12)))</f>
        <v/>
      </c>
      <c r="V687" s="23" t="n"/>
    </row>
    <row r="688">
      <c r="A688" s="23" t="n"/>
      <c r="B688" s="23" t="n"/>
      <c r="C688" s="24" t="n"/>
      <c r="D688" s="15" t="n"/>
      <c r="E688" s="23" t="n"/>
      <c r="F688" s="15" t="n"/>
      <c r="G688" s="23" t="n"/>
      <c r="H688" s="25" t="n"/>
      <c r="I688" s="15" t="n"/>
      <c r="J688" s="26">
        <f>IF($A688="","",LEN($C688)-LEN(SUBSTITUTE($C688,",",""))+1)</f>
        <v/>
      </c>
      <c r="K688" s="26">
        <f>IF($A688="","",SUMPRODUCT(--ISNUMBER(SEARCH('Category Dictionary'!$D$5:$D$135&amp;"",$C688)),--('Category Dictionary'!$D$5:$D$135&lt;&gt;"")))</f>
        <v/>
      </c>
      <c r="L688" s="27">
        <f>IF($A688="","",TRIM(IF(ISERROR(FIND(",",$C688)),$C688,LEFT($C688,FIND(",",$C688)-1))))</f>
        <v/>
      </c>
      <c r="M688" s="28">
        <f>IF($H688="","",DATE(YEAR($H688),MONTH($H688),1))</f>
        <v/>
      </c>
      <c r="N688" s="26">
        <f>IF($H688="","",TODAY()-$H688)</f>
        <v/>
      </c>
      <c r="O688" s="15" t="n"/>
      <c r="P688" s="26">
        <f>IF($A688="","",COUNTIFS('Audit Versions'!$A$6:$A$605,$A688,'Audit Versions'!$L$6:$L$605,"Active"))</f>
        <v/>
      </c>
      <c r="Q688" s="15" t="n"/>
      <c r="R688" s="26">
        <f>IF(OR($A688="",$P688=0),"",MOD(N($Q688),$P688)+1)</f>
        <v/>
      </c>
      <c r="S688" s="15" t="n"/>
      <c r="T688" s="25" t="n"/>
      <c r="U688" s="26">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Builder'!$B$12="",N($S688)&lt;='Assignment Builder'!$B$12)))</f>
        <v/>
      </c>
      <c r="V688" s="23" t="n"/>
    </row>
    <row r="689">
      <c r="A689" s="23" t="n"/>
      <c r="B689" s="23" t="n"/>
      <c r="C689" s="24" t="n"/>
      <c r="D689" s="15" t="n"/>
      <c r="E689" s="23" t="n"/>
      <c r="F689" s="15" t="n"/>
      <c r="G689" s="23" t="n"/>
      <c r="H689" s="25" t="n"/>
      <c r="I689" s="15" t="n"/>
      <c r="J689" s="26">
        <f>IF($A689="","",LEN($C689)-LEN(SUBSTITUTE($C689,",",""))+1)</f>
        <v/>
      </c>
      <c r="K689" s="26">
        <f>IF($A689="","",SUMPRODUCT(--ISNUMBER(SEARCH('Category Dictionary'!$D$5:$D$135&amp;"",$C689)),--('Category Dictionary'!$D$5:$D$135&lt;&gt;"")))</f>
        <v/>
      </c>
      <c r="L689" s="27">
        <f>IF($A689="","",TRIM(IF(ISERROR(FIND(",",$C689)),$C689,LEFT($C689,FIND(",",$C689)-1))))</f>
        <v/>
      </c>
      <c r="M689" s="28">
        <f>IF($H689="","",DATE(YEAR($H689),MONTH($H689),1))</f>
        <v/>
      </c>
      <c r="N689" s="26">
        <f>IF($H689="","",TODAY()-$H689)</f>
        <v/>
      </c>
      <c r="O689" s="15" t="n"/>
      <c r="P689" s="26">
        <f>IF($A689="","",COUNTIFS('Audit Versions'!$A$6:$A$605,$A689,'Audit Versions'!$L$6:$L$605,"Active"))</f>
        <v/>
      </c>
      <c r="Q689" s="15" t="n"/>
      <c r="R689" s="26">
        <f>IF(OR($A689="",$P689=0),"",MOD(N($Q689),$P689)+1)</f>
        <v/>
      </c>
      <c r="S689" s="15" t="n"/>
      <c r="T689" s="25" t="n"/>
      <c r="U689" s="26">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Builder'!$B$12="",N($S689)&lt;='Assignment Builder'!$B$12)))</f>
        <v/>
      </c>
      <c r="V689" s="23" t="n"/>
    </row>
    <row r="690">
      <c r="A690" s="23" t="n"/>
      <c r="B690" s="23" t="n"/>
      <c r="C690" s="24" t="n"/>
      <c r="D690" s="15" t="n"/>
      <c r="E690" s="23" t="n"/>
      <c r="F690" s="15" t="n"/>
      <c r="G690" s="23" t="n"/>
      <c r="H690" s="25" t="n"/>
      <c r="I690" s="15" t="n"/>
      <c r="J690" s="26">
        <f>IF($A690="","",LEN($C690)-LEN(SUBSTITUTE($C690,",",""))+1)</f>
        <v/>
      </c>
      <c r="K690" s="26">
        <f>IF($A690="","",SUMPRODUCT(--ISNUMBER(SEARCH('Category Dictionary'!$D$5:$D$135&amp;"",$C690)),--('Category Dictionary'!$D$5:$D$135&lt;&gt;"")))</f>
        <v/>
      </c>
      <c r="L690" s="27">
        <f>IF($A690="","",TRIM(IF(ISERROR(FIND(",",$C690)),$C690,LEFT($C690,FIND(",",$C690)-1))))</f>
        <v/>
      </c>
      <c r="M690" s="28">
        <f>IF($H690="","",DATE(YEAR($H690),MONTH($H690),1))</f>
        <v/>
      </c>
      <c r="N690" s="26">
        <f>IF($H690="","",TODAY()-$H690)</f>
        <v/>
      </c>
      <c r="O690" s="15" t="n"/>
      <c r="P690" s="26">
        <f>IF($A690="","",COUNTIFS('Audit Versions'!$A$6:$A$605,$A690,'Audit Versions'!$L$6:$L$605,"Active"))</f>
        <v/>
      </c>
      <c r="Q690" s="15" t="n"/>
      <c r="R690" s="26">
        <f>IF(OR($A690="",$P690=0),"",MOD(N($Q690),$P690)+1)</f>
        <v/>
      </c>
      <c r="S690" s="15" t="n"/>
      <c r="T690" s="25" t="n"/>
      <c r="U690" s="26">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Builder'!$B$12="",N($S690)&lt;='Assignment Builder'!$B$12)))</f>
        <v/>
      </c>
      <c r="V690" s="23" t="n"/>
    </row>
    <row r="691">
      <c r="A691" s="23" t="n"/>
      <c r="B691" s="23" t="n"/>
      <c r="C691" s="24" t="n"/>
      <c r="D691" s="15" t="n"/>
      <c r="E691" s="23" t="n"/>
      <c r="F691" s="15" t="n"/>
      <c r="G691" s="23" t="n"/>
      <c r="H691" s="25" t="n"/>
      <c r="I691" s="15" t="n"/>
      <c r="J691" s="26">
        <f>IF($A691="","",LEN($C691)-LEN(SUBSTITUTE($C691,",",""))+1)</f>
        <v/>
      </c>
      <c r="K691" s="26">
        <f>IF($A691="","",SUMPRODUCT(--ISNUMBER(SEARCH('Category Dictionary'!$D$5:$D$135&amp;"",$C691)),--('Category Dictionary'!$D$5:$D$135&lt;&gt;"")))</f>
        <v/>
      </c>
      <c r="L691" s="27">
        <f>IF($A691="","",TRIM(IF(ISERROR(FIND(",",$C691)),$C691,LEFT($C691,FIND(",",$C691)-1))))</f>
        <v/>
      </c>
      <c r="M691" s="28">
        <f>IF($H691="","",DATE(YEAR($H691),MONTH($H691),1))</f>
        <v/>
      </c>
      <c r="N691" s="26">
        <f>IF($H691="","",TODAY()-$H691)</f>
        <v/>
      </c>
      <c r="O691" s="15" t="n"/>
      <c r="P691" s="26">
        <f>IF($A691="","",COUNTIFS('Audit Versions'!$A$6:$A$605,$A691,'Audit Versions'!$L$6:$L$605,"Active"))</f>
        <v/>
      </c>
      <c r="Q691" s="15" t="n"/>
      <c r="R691" s="26">
        <f>IF(OR($A691="",$P691=0),"",MOD(N($Q691),$P691)+1)</f>
        <v/>
      </c>
      <c r="S691" s="15" t="n"/>
      <c r="T691" s="25" t="n"/>
      <c r="U691" s="26">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Builder'!$B$12="",N($S691)&lt;='Assignment Builder'!$B$12)))</f>
        <v/>
      </c>
      <c r="V691" s="23" t="n"/>
    </row>
    <row r="692">
      <c r="A692" s="23" t="n"/>
      <c r="B692" s="23" t="n"/>
      <c r="C692" s="24" t="n"/>
      <c r="D692" s="15" t="n"/>
      <c r="E692" s="23" t="n"/>
      <c r="F692" s="15" t="n"/>
      <c r="G692" s="23" t="n"/>
      <c r="H692" s="25" t="n"/>
      <c r="I692" s="15" t="n"/>
      <c r="J692" s="26">
        <f>IF($A692="","",LEN($C692)-LEN(SUBSTITUTE($C692,",",""))+1)</f>
        <v/>
      </c>
      <c r="K692" s="26">
        <f>IF($A692="","",SUMPRODUCT(--ISNUMBER(SEARCH('Category Dictionary'!$D$5:$D$135&amp;"",$C692)),--('Category Dictionary'!$D$5:$D$135&lt;&gt;"")))</f>
        <v/>
      </c>
      <c r="L692" s="27">
        <f>IF($A692="","",TRIM(IF(ISERROR(FIND(",",$C692)),$C692,LEFT($C692,FIND(",",$C692)-1))))</f>
        <v/>
      </c>
      <c r="M692" s="28">
        <f>IF($H692="","",DATE(YEAR($H692),MONTH($H692),1))</f>
        <v/>
      </c>
      <c r="N692" s="26">
        <f>IF($H692="","",TODAY()-$H692)</f>
        <v/>
      </c>
      <c r="O692" s="15" t="n"/>
      <c r="P692" s="26">
        <f>IF($A692="","",COUNTIFS('Audit Versions'!$A$6:$A$605,$A692,'Audit Versions'!$L$6:$L$605,"Active"))</f>
        <v/>
      </c>
      <c r="Q692" s="15" t="n"/>
      <c r="R692" s="26">
        <f>IF(OR($A692="",$P692=0),"",MOD(N($Q692),$P692)+1)</f>
        <v/>
      </c>
      <c r="S692" s="15" t="n"/>
      <c r="T692" s="25" t="n"/>
      <c r="U692" s="26">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Builder'!$B$12="",N($S692)&lt;='Assignment Builder'!$B$12)))</f>
        <v/>
      </c>
      <c r="V692" s="23" t="n"/>
    </row>
    <row r="693">
      <c r="A693" s="23" t="n"/>
      <c r="B693" s="23" t="n"/>
      <c r="C693" s="24" t="n"/>
      <c r="D693" s="15" t="n"/>
      <c r="E693" s="23" t="n"/>
      <c r="F693" s="15" t="n"/>
      <c r="G693" s="23" t="n"/>
      <c r="H693" s="25" t="n"/>
      <c r="I693" s="15" t="n"/>
      <c r="J693" s="26">
        <f>IF($A693="","",LEN($C693)-LEN(SUBSTITUTE($C693,",",""))+1)</f>
        <v/>
      </c>
      <c r="K693" s="26">
        <f>IF($A693="","",SUMPRODUCT(--ISNUMBER(SEARCH('Category Dictionary'!$D$5:$D$135&amp;"",$C693)),--('Category Dictionary'!$D$5:$D$135&lt;&gt;"")))</f>
        <v/>
      </c>
      <c r="L693" s="27">
        <f>IF($A693="","",TRIM(IF(ISERROR(FIND(",",$C693)),$C693,LEFT($C693,FIND(",",$C693)-1))))</f>
        <v/>
      </c>
      <c r="M693" s="28">
        <f>IF($H693="","",DATE(YEAR($H693),MONTH($H693),1))</f>
        <v/>
      </c>
      <c r="N693" s="26">
        <f>IF($H693="","",TODAY()-$H693)</f>
        <v/>
      </c>
      <c r="O693" s="15" t="n"/>
      <c r="P693" s="26">
        <f>IF($A693="","",COUNTIFS('Audit Versions'!$A$6:$A$605,$A693,'Audit Versions'!$L$6:$L$605,"Active"))</f>
        <v/>
      </c>
      <c r="Q693" s="15" t="n"/>
      <c r="R693" s="26">
        <f>IF(OR($A693="",$P693=0),"",MOD(N($Q693),$P693)+1)</f>
        <v/>
      </c>
      <c r="S693" s="15" t="n"/>
      <c r="T693" s="25" t="n"/>
      <c r="U693" s="26">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Builder'!$B$12="",N($S693)&lt;='Assignment Builder'!$B$12)))</f>
        <v/>
      </c>
      <c r="V693" s="23" t="n"/>
    </row>
    <row r="694">
      <c r="A694" s="23" t="n"/>
      <c r="B694" s="23" t="n"/>
      <c r="C694" s="24" t="n"/>
      <c r="D694" s="15" t="n"/>
      <c r="E694" s="23" t="n"/>
      <c r="F694" s="15" t="n"/>
      <c r="G694" s="23" t="n"/>
      <c r="H694" s="25" t="n"/>
      <c r="I694" s="15" t="n"/>
      <c r="J694" s="26">
        <f>IF($A694="","",LEN($C694)-LEN(SUBSTITUTE($C694,",",""))+1)</f>
        <v/>
      </c>
      <c r="K694" s="26">
        <f>IF($A694="","",SUMPRODUCT(--ISNUMBER(SEARCH('Category Dictionary'!$D$5:$D$135&amp;"",$C694)),--('Category Dictionary'!$D$5:$D$135&lt;&gt;"")))</f>
        <v/>
      </c>
      <c r="L694" s="27">
        <f>IF($A694="","",TRIM(IF(ISERROR(FIND(",",$C694)),$C694,LEFT($C694,FIND(",",$C694)-1))))</f>
        <v/>
      </c>
      <c r="M694" s="28">
        <f>IF($H694="","",DATE(YEAR($H694),MONTH($H694),1))</f>
        <v/>
      </c>
      <c r="N694" s="26">
        <f>IF($H694="","",TODAY()-$H694)</f>
        <v/>
      </c>
      <c r="O694" s="15" t="n"/>
      <c r="P694" s="26">
        <f>IF($A694="","",COUNTIFS('Audit Versions'!$A$6:$A$605,$A694,'Audit Versions'!$L$6:$L$605,"Active"))</f>
        <v/>
      </c>
      <c r="Q694" s="15" t="n"/>
      <c r="R694" s="26">
        <f>IF(OR($A694="",$P694=0),"",MOD(N($Q694),$P694)+1)</f>
        <v/>
      </c>
      <c r="S694" s="15" t="n"/>
      <c r="T694" s="25" t="n"/>
      <c r="U694" s="26">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Builder'!$B$12="",N($S694)&lt;='Assignment Builder'!$B$12)))</f>
        <v/>
      </c>
      <c r="V694" s="23" t="n"/>
    </row>
    <row r="695">
      <c r="A695" s="23" t="n"/>
      <c r="B695" s="23" t="n"/>
      <c r="C695" s="24" t="n"/>
      <c r="D695" s="15" t="n"/>
      <c r="E695" s="23" t="n"/>
      <c r="F695" s="15" t="n"/>
      <c r="G695" s="23" t="n"/>
      <c r="H695" s="25" t="n"/>
      <c r="I695" s="15" t="n"/>
      <c r="J695" s="26">
        <f>IF($A695="","",LEN($C695)-LEN(SUBSTITUTE($C695,",",""))+1)</f>
        <v/>
      </c>
      <c r="K695" s="26">
        <f>IF($A695="","",SUMPRODUCT(--ISNUMBER(SEARCH('Category Dictionary'!$D$5:$D$135&amp;"",$C695)),--('Category Dictionary'!$D$5:$D$135&lt;&gt;"")))</f>
        <v/>
      </c>
      <c r="L695" s="27">
        <f>IF($A695="","",TRIM(IF(ISERROR(FIND(",",$C695)),$C695,LEFT($C695,FIND(",",$C695)-1))))</f>
        <v/>
      </c>
      <c r="M695" s="28">
        <f>IF($H695="","",DATE(YEAR($H695),MONTH($H695),1))</f>
        <v/>
      </c>
      <c r="N695" s="26">
        <f>IF($H695="","",TODAY()-$H695)</f>
        <v/>
      </c>
      <c r="O695" s="15" t="n"/>
      <c r="P695" s="26">
        <f>IF($A695="","",COUNTIFS('Audit Versions'!$A$6:$A$605,$A695,'Audit Versions'!$L$6:$L$605,"Active"))</f>
        <v/>
      </c>
      <c r="Q695" s="15" t="n"/>
      <c r="R695" s="26">
        <f>IF(OR($A695="",$P695=0),"",MOD(N($Q695),$P695)+1)</f>
        <v/>
      </c>
      <c r="S695" s="15" t="n"/>
      <c r="T695" s="25" t="n"/>
      <c r="U695" s="26">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Builder'!$B$12="",N($S695)&lt;='Assignment Builder'!$B$12)))</f>
        <v/>
      </c>
      <c r="V695" s="23" t="n"/>
    </row>
    <row r="696">
      <c r="A696" s="23" t="n"/>
      <c r="B696" s="23" t="n"/>
      <c r="C696" s="24" t="n"/>
      <c r="D696" s="15" t="n"/>
      <c r="E696" s="23" t="n"/>
      <c r="F696" s="15" t="n"/>
      <c r="G696" s="23" t="n"/>
      <c r="H696" s="25" t="n"/>
      <c r="I696" s="15" t="n"/>
      <c r="J696" s="26">
        <f>IF($A696="","",LEN($C696)-LEN(SUBSTITUTE($C696,",",""))+1)</f>
        <v/>
      </c>
      <c r="K696" s="26">
        <f>IF($A696="","",SUMPRODUCT(--ISNUMBER(SEARCH('Category Dictionary'!$D$5:$D$135&amp;"",$C696)),--('Category Dictionary'!$D$5:$D$135&lt;&gt;"")))</f>
        <v/>
      </c>
      <c r="L696" s="27">
        <f>IF($A696="","",TRIM(IF(ISERROR(FIND(",",$C696)),$C696,LEFT($C696,FIND(",",$C696)-1))))</f>
        <v/>
      </c>
      <c r="M696" s="28">
        <f>IF($H696="","",DATE(YEAR($H696),MONTH($H696),1))</f>
        <v/>
      </c>
      <c r="N696" s="26">
        <f>IF($H696="","",TODAY()-$H696)</f>
        <v/>
      </c>
      <c r="O696" s="15" t="n"/>
      <c r="P696" s="26">
        <f>IF($A696="","",COUNTIFS('Audit Versions'!$A$6:$A$605,$A696,'Audit Versions'!$L$6:$L$605,"Active"))</f>
        <v/>
      </c>
      <c r="Q696" s="15" t="n"/>
      <c r="R696" s="26">
        <f>IF(OR($A696="",$P696=0),"",MOD(N($Q696),$P696)+1)</f>
        <v/>
      </c>
      <c r="S696" s="15" t="n"/>
      <c r="T696" s="25" t="n"/>
      <c r="U696" s="26">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Builder'!$B$12="",N($S696)&lt;='Assignment Builder'!$B$12)))</f>
        <v/>
      </c>
      <c r="V696" s="23" t="n"/>
    </row>
    <row r="697">
      <c r="A697" s="23" t="n"/>
      <c r="B697" s="23" t="n"/>
      <c r="C697" s="24" t="n"/>
      <c r="D697" s="15" t="n"/>
      <c r="E697" s="23" t="n"/>
      <c r="F697" s="15" t="n"/>
      <c r="G697" s="23" t="n"/>
      <c r="H697" s="25" t="n"/>
      <c r="I697" s="15" t="n"/>
      <c r="J697" s="26">
        <f>IF($A697="","",LEN($C697)-LEN(SUBSTITUTE($C697,",",""))+1)</f>
        <v/>
      </c>
      <c r="K697" s="26">
        <f>IF($A697="","",SUMPRODUCT(--ISNUMBER(SEARCH('Category Dictionary'!$D$5:$D$135&amp;"",$C697)),--('Category Dictionary'!$D$5:$D$135&lt;&gt;"")))</f>
        <v/>
      </c>
      <c r="L697" s="27">
        <f>IF($A697="","",TRIM(IF(ISERROR(FIND(",",$C697)),$C697,LEFT($C697,FIND(",",$C697)-1))))</f>
        <v/>
      </c>
      <c r="M697" s="28">
        <f>IF($H697="","",DATE(YEAR($H697),MONTH($H697),1))</f>
        <v/>
      </c>
      <c r="N697" s="26">
        <f>IF($H697="","",TODAY()-$H697)</f>
        <v/>
      </c>
      <c r="O697" s="15" t="n"/>
      <c r="P697" s="26">
        <f>IF($A697="","",COUNTIFS('Audit Versions'!$A$6:$A$605,$A697,'Audit Versions'!$L$6:$L$605,"Active"))</f>
        <v/>
      </c>
      <c r="Q697" s="15" t="n"/>
      <c r="R697" s="26">
        <f>IF(OR($A697="",$P697=0),"",MOD(N($Q697),$P697)+1)</f>
        <v/>
      </c>
      <c r="S697" s="15" t="n"/>
      <c r="T697" s="25" t="n"/>
      <c r="U697" s="26">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Builder'!$B$12="",N($S697)&lt;='Assignment Builder'!$B$12)))</f>
        <v/>
      </c>
      <c r="V697" s="23" t="n"/>
    </row>
    <row r="698">
      <c r="A698" s="23" t="n"/>
      <c r="B698" s="23" t="n"/>
      <c r="C698" s="24" t="n"/>
      <c r="D698" s="15" t="n"/>
      <c r="E698" s="23" t="n"/>
      <c r="F698" s="15" t="n"/>
      <c r="G698" s="23" t="n"/>
      <c r="H698" s="25" t="n"/>
      <c r="I698" s="15" t="n"/>
      <c r="J698" s="26">
        <f>IF($A698="","",LEN($C698)-LEN(SUBSTITUTE($C698,",",""))+1)</f>
        <v/>
      </c>
      <c r="K698" s="26">
        <f>IF($A698="","",SUMPRODUCT(--ISNUMBER(SEARCH('Category Dictionary'!$D$5:$D$135&amp;"",$C698)),--('Category Dictionary'!$D$5:$D$135&lt;&gt;"")))</f>
        <v/>
      </c>
      <c r="L698" s="27">
        <f>IF($A698="","",TRIM(IF(ISERROR(FIND(",",$C698)),$C698,LEFT($C698,FIND(",",$C698)-1))))</f>
        <v/>
      </c>
      <c r="M698" s="28">
        <f>IF($H698="","",DATE(YEAR($H698),MONTH($H698),1))</f>
        <v/>
      </c>
      <c r="N698" s="26">
        <f>IF($H698="","",TODAY()-$H698)</f>
        <v/>
      </c>
      <c r="O698" s="15" t="n"/>
      <c r="P698" s="26">
        <f>IF($A698="","",COUNTIFS('Audit Versions'!$A$6:$A$605,$A698,'Audit Versions'!$L$6:$L$605,"Active"))</f>
        <v/>
      </c>
      <c r="Q698" s="15" t="n"/>
      <c r="R698" s="26">
        <f>IF(OR($A698="",$P698=0),"",MOD(N($Q698),$P698)+1)</f>
        <v/>
      </c>
      <c r="S698" s="15" t="n"/>
      <c r="T698" s="25" t="n"/>
      <c r="U698" s="26">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Builder'!$B$12="",N($S698)&lt;='Assignment Builder'!$B$12)))</f>
        <v/>
      </c>
      <c r="V698" s="23" t="n"/>
    </row>
    <row r="699">
      <c r="A699" s="23" t="n"/>
      <c r="B699" s="23" t="n"/>
      <c r="C699" s="24" t="n"/>
      <c r="D699" s="15" t="n"/>
      <c r="E699" s="23" t="n"/>
      <c r="F699" s="15" t="n"/>
      <c r="G699" s="23" t="n"/>
      <c r="H699" s="25" t="n"/>
      <c r="I699" s="15" t="n"/>
      <c r="J699" s="26">
        <f>IF($A699="","",LEN($C699)-LEN(SUBSTITUTE($C699,",",""))+1)</f>
        <v/>
      </c>
      <c r="K699" s="26">
        <f>IF($A699="","",SUMPRODUCT(--ISNUMBER(SEARCH('Category Dictionary'!$D$5:$D$135&amp;"",$C699)),--('Category Dictionary'!$D$5:$D$135&lt;&gt;"")))</f>
        <v/>
      </c>
      <c r="L699" s="27">
        <f>IF($A699="","",TRIM(IF(ISERROR(FIND(",",$C699)),$C699,LEFT($C699,FIND(",",$C699)-1))))</f>
        <v/>
      </c>
      <c r="M699" s="28">
        <f>IF($H699="","",DATE(YEAR($H699),MONTH($H699),1))</f>
        <v/>
      </c>
      <c r="N699" s="26">
        <f>IF($H699="","",TODAY()-$H699)</f>
        <v/>
      </c>
      <c r="O699" s="15" t="n"/>
      <c r="P699" s="26">
        <f>IF($A699="","",COUNTIFS('Audit Versions'!$A$6:$A$605,$A699,'Audit Versions'!$L$6:$L$605,"Active"))</f>
        <v/>
      </c>
      <c r="Q699" s="15" t="n"/>
      <c r="R699" s="26">
        <f>IF(OR($A699="",$P699=0),"",MOD(N($Q699),$P699)+1)</f>
        <v/>
      </c>
      <c r="S699" s="15" t="n"/>
      <c r="T699" s="25" t="n"/>
      <c r="U699" s="26">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Builder'!$B$12="",N($S699)&lt;='Assignment Builder'!$B$12)))</f>
        <v/>
      </c>
      <c r="V699" s="23" t="n"/>
    </row>
    <row r="700">
      <c r="A700" s="23" t="n"/>
      <c r="B700" s="23" t="n"/>
      <c r="C700" s="24" t="n"/>
      <c r="D700" s="15" t="n"/>
      <c r="E700" s="23" t="n"/>
      <c r="F700" s="15" t="n"/>
      <c r="G700" s="23" t="n"/>
      <c r="H700" s="25" t="n"/>
      <c r="I700" s="15" t="n"/>
      <c r="J700" s="26">
        <f>IF($A700="","",LEN($C700)-LEN(SUBSTITUTE($C700,",",""))+1)</f>
        <v/>
      </c>
      <c r="K700" s="26">
        <f>IF($A700="","",SUMPRODUCT(--ISNUMBER(SEARCH('Category Dictionary'!$D$5:$D$135&amp;"",$C700)),--('Category Dictionary'!$D$5:$D$135&lt;&gt;"")))</f>
        <v/>
      </c>
      <c r="L700" s="27">
        <f>IF($A700="","",TRIM(IF(ISERROR(FIND(",",$C700)),$C700,LEFT($C700,FIND(",",$C700)-1))))</f>
        <v/>
      </c>
      <c r="M700" s="28">
        <f>IF($H700="","",DATE(YEAR($H700),MONTH($H700),1))</f>
        <v/>
      </c>
      <c r="N700" s="26">
        <f>IF($H700="","",TODAY()-$H700)</f>
        <v/>
      </c>
      <c r="O700" s="15" t="n"/>
      <c r="P700" s="26">
        <f>IF($A700="","",COUNTIFS('Audit Versions'!$A$6:$A$605,$A700,'Audit Versions'!$L$6:$L$605,"Active"))</f>
        <v/>
      </c>
      <c r="Q700" s="15" t="n"/>
      <c r="R700" s="26">
        <f>IF(OR($A700="",$P700=0),"",MOD(N($Q700),$P700)+1)</f>
        <v/>
      </c>
      <c r="S700" s="15" t="n"/>
      <c r="T700" s="25" t="n"/>
      <c r="U700" s="26">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Builder'!$B$12="",N($S700)&lt;='Assignment Builder'!$B$12)))</f>
        <v/>
      </c>
      <c r="V700" s="23" t="n"/>
    </row>
    <row r="701">
      <c r="A701" s="23" t="n"/>
      <c r="B701" s="23" t="n"/>
      <c r="C701" s="24" t="n"/>
      <c r="D701" s="15" t="n"/>
      <c r="E701" s="23" t="n"/>
      <c r="F701" s="15" t="n"/>
      <c r="G701" s="23" t="n"/>
      <c r="H701" s="25" t="n"/>
      <c r="I701" s="15" t="n"/>
      <c r="J701" s="26">
        <f>IF($A701="","",LEN($C701)-LEN(SUBSTITUTE($C701,",",""))+1)</f>
        <v/>
      </c>
      <c r="K701" s="26">
        <f>IF($A701="","",SUMPRODUCT(--ISNUMBER(SEARCH('Category Dictionary'!$D$5:$D$135&amp;"",$C701)),--('Category Dictionary'!$D$5:$D$135&lt;&gt;"")))</f>
        <v/>
      </c>
      <c r="L701" s="27">
        <f>IF($A701="","",TRIM(IF(ISERROR(FIND(",",$C701)),$C701,LEFT($C701,FIND(",",$C701)-1))))</f>
        <v/>
      </c>
      <c r="M701" s="28">
        <f>IF($H701="","",DATE(YEAR($H701),MONTH($H701),1))</f>
        <v/>
      </c>
      <c r="N701" s="26">
        <f>IF($H701="","",TODAY()-$H701)</f>
        <v/>
      </c>
      <c r="O701" s="15" t="n"/>
      <c r="P701" s="26">
        <f>IF($A701="","",COUNTIFS('Audit Versions'!$A$6:$A$605,$A701,'Audit Versions'!$L$6:$L$605,"Active"))</f>
        <v/>
      </c>
      <c r="Q701" s="15" t="n"/>
      <c r="R701" s="26">
        <f>IF(OR($A701="",$P701=0),"",MOD(N($Q701),$P701)+1)</f>
        <v/>
      </c>
      <c r="S701" s="15" t="n"/>
      <c r="T701" s="25" t="n"/>
      <c r="U701" s="26">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Builder'!$B$12="",N($S701)&lt;='Assignment Builder'!$B$12)))</f>
        <v/>
      </c>
      <c r="V701" s="23" t="n"/>
    </row>
    <row r="702">
      <c r="A702" s="23" t="n"/>
      <c r="B702" s="23" t="n"/>
      <c r="C702" s="24" t="n"/>
      <c r="D702" s="15" t="n"/>
      <c r="E702" s="23" t="n"/>
      <c r="F702" s="15" t="n"/>
      <c r="G702" s="23" t="n"/>
      <c r="H702" s="25" t="n"/>
      <c r="I702" s="15" t="n"/>
      <c r="J702" s="26">
        <f>IF($A702="","",LEN($C702)-LEN(SUBSTITUTE($C702,",",""))+1)</f>
        <v/>
      </c>
      <c r="K702" s="26">
        <f>IF($A702="","",SUMPRODUCT(--ISNUMBER(SEARCH('Category Dictionary'!$D$5:$D$135&amp;"",$C702)),--('Category Dictionary'!$D$5:$D$135&lt;&gt;"")))</f>
        <v/>
      </c>
      <c r="L702" s="27">
        <f>IF($A702="","",TRIM(IF(ISERROR(FIND(",",$C702)),$C702,LEFT($C702,FIND(",",$C702)-1))))</f>
        <v/>
      </c>
      <c r="M702" s="28">
        <f>IF($H702="","",DATE(YEAR($H702),MONTH($H702),1))</f>
        <v/>
      </c>
      <c r="N702" s="26">
        <f>IF($H702="","",TODAY()-$H702)</f>
        <v/>
      </c>
      <c r="O702" s="15" t="n"/>
      <c r="P702" s="26">
        <f>IF($A702="","",COUNTIFS('Audit Versions'!$A$6:$A$605,$A702,'Audit Versions'!$L$6:$L$605,"Active"))</f>
        <v/>
      </c>
      <c r="Q702" s="15" t="n"/>
      <c r="R702" s="26">
        <f>IF(OR($A702="",$P702=0),"",MOD(N($Q702),$P702)+1)</f>
        <v/>
      </c>
      <c r="S702" s="15" t="n"/>
      <c r="T702" s="25" t="n"/>
      <c r="U702" s="26">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Builder'!$B$12="",N($S702)&lt;='Assignment Builder'!$B$12)))</f>
        <v/>
      </c>
      <c r="V702" s="23" t="n"/>
    </row>
    <row r="703">
      <c r="A703" s="23" t="n"/>
      <c r="B703" s="23" t="n"/>
      <c r="C703" s="24" t="n"/>
      <c r="D703" s="15" t="n"/>
      <c r="E703" s="23" t="n"/>
      <c r="F703" s="15" t="n"/>
      <c r="G703" s="23" t="n"/>
      <c r="H703" s="25" t="n"/>
      <c r="I703" s="15" t="n"/>
      <c r="J703" s="26">
        <f>IF($A703="","",LEN($C703)-LEN(SUBSTITUTE($C703,",",""))+1)</f>
        <v/>
      </c>
      <c r="K703" s="26">
        <f>IF($A703="","",SUMPRODUCT(--ISNUMBER(SEARCH('Category Dictionary'!$D$5:$D$135&amp;"",$C703)),--('Category Dictionary'!$D$5:$D$135&lt;&gt;"")))</f>
        <v/>
      </c>
      <c r="L703" s="27">
        <f>IF($A703="","",TRIM(IF(ISERROR(FIND(",",$C703)),$C703,LEFT($C703,FIND(",",$C703)-1))))</f>
        <v/>
      </c>
      <c r="M703" s="28">
        <f>IF($H703="","",DATE(YEAR($H703),MONTH($H703),1))</f>
        <v/>
      </c>
      <c r="N703" s="26">
        <f>IF($H703="","",TODAY()-$H703)</f>
        <v/>
      </c>
      <c r="O703" s="15" t="n"/>
      <c r="P703" s="26">
        <f>IF($A703="","",COUNTIFS('Audit Versions'!$A$6:$A$605,$A703,'Audit Versions'!$L$6:$L$605,"Active"))</f>
        <v/>
      </c>
      <c r="Q703" s="15" t="n"/>
      <c r="R703" s="26">
        <f>IF(OR($A703="",$P703=0),"",MOD(N($Q703),$P703)+1)</f>
        <v/>
      </c>
      <c r="S703" s="15" t="n"/>
      <c r="T703" s="25" t="n"/>
      <c r="U703" s="26">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Builder'!$B$12="",N($S703)&lt;='Assignment Builder'!$B$12)))</f>
        <v/>
      </c>
      <c r="V703" s="23" t="n"/>
    </row>
    <row r="704">
      <c r="A704" s="23" t="n"/>
      <c r="B704" s="23" t="n"/>
      <c r="C704" s="24" t="n"/>
      <c r="D704" s="15" t="n"/>
      <c r="E704" s="23" t="n"/>
      <c r="F704" s="15" t="n"/>
      <c r="G704" s="23" t="n"/>
      <c r="H704" s="25" t="n"/>
      <c r="I704" s="15" t="n"/>
      <c r="J704" s="26">
        <f>IF($A704="","",LEN($C704)-LEN(SUBSTITUTE($C704,",",""))+1)</f>
        <v/>
      </c>
      <c r="K704" s="26">
        <f>IF($A704="","",SUMPRODUCT(--ISNUMBER(SEARCH('Category Dictionary'!$D$5:$D$135&amp;"",$C704)),--('Category Dictionary'!$D$5:$D$135&lt;&gt;"")))</f>
        <v/>
      </c>
      <c r="L704" s="27">
        <f>IF($A704="","",TRIM(IF(ISERROR(FIND(",",$C704)),$C704,LEFT($C704,FIND(",",$C704)-1))))</f>
        <v/>
      </c>
      <c r="M704" s="28">
        <f>IF($H704="","",DATE(YEAR($H704),MONTH($H704),1))</f>
        <v/>
      </c>
      <c r="N704" s="26">
        <f>IF($H704="","",TODAY()-$H704)</f>
        <v/>
      </c>
      <c r="O704" s="15" t="n"/>
      <c r="P704" s="26">
        <f>IF($A704="","",COUNTIFS('Audit Versions'!$A$6:$A$605,$A704,'Audit Versions'!$L$6:$L$605,"Active"))</f>
        <v/>
      </c>
      <c r="Q704" s="15" t="n"/>
      <c r="R704" s="26">
        <f>IF(OR($A704="",$P704=0),"",MOD(N($Q704),$P704)+1)</f>
        <v/>
      </c>
      <c r="S704" s="15" t="n"/>
      <c r="T704" s="25" t="n"/>
      <c r="U704" s="26">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Builder'!$B$12="",N($S704)&lt;='Assignment Builder'!$B$12)))</f>
        <v/>
      </c>
      <c r="V704" s="23" t="n"/>
    </row>
    <row r="705">
      <c r="A705" s="23" t="n"/>
      <c r="B705" s="23" t="n"/>
      <c r="C705" s="24" t="n"/>
      <c r="D705" s="15" t="n"/>
      <c r="E705" s="23" t="n"/>
      <c r="F705" s="15" t="n"/>
      <c r="G705" s="23" t="n"/>
      <c r="H705" s="25" t="n"/>
      <c r="I705" s="15" t="n"/>
      <c r="J705" s="26">
        <f>IF($A705="","",LEN($C705)-LEN(SUBSTITUTE($C705,",",""))+1)</f>
        <v/>
      </c>
      <c r="K705" s="26">
        <f>IF($A705="","",SUMPRODUCT(--ISNUMBER(SEARCH('Category Dictionary'!$D$5:$D$135&amp;"",$C705)),--('Category Dictionary'!$D$5:$D$135&lt;&gt;"")))</f>
        <v/>
      </c>
      <c r="L705" s="27">
        <f>IF($A705="","",TRIM(IF(ISERROR(FIND(",",$C705)),$C705,LEFT($C705,FIND(",",$C705)-1))))</f>
        <v/>
      </c>
      <c r="M705" s="28">
        <f>IF($H705="","",DATE(YEAR($H705),MONTH($H705),1))</f>
        <v/>
      </c>
      <c r="N705" s="26">
        <f>IF($H705="","",TODAY()-$H705)</f>
        <v/>
      </c>
      <c r="O705" s="15" t="n"/>
      <c r="P705" s="26">
        <f>IF($A705="","",COUNTIFS('Audit Versions'!$A$6:$A$605,$A705,'Audit Versions'!$L$6:$L$605,"Active"))</f>
        <v/>
      </c>
      <c r="Q705" s="15" t="n"/>
      <c r="R705" s="26">
        <f>IF(OR($A705="",$P705=0),"",MOD(N($Q705),$P705)+1)</f>
        <v/>
      </c>
      <c r="S705" s="15" t="n"/>
      <c r="T705" s="25" t="n"/>
      <c r="U705" s="26">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Builder'!$B$12="",N($S705)&lt;='Assignment Builder'!$B$12)))</f>
        <v/>
      </c>
      <c r="V705" s="23" t="n"/>
    </row>
    <row r="706">
      <c r="A706" s="23" t="n"/>
      <c r="B706" s="23" t="n"/>
      <c r="C706" s="24" t="n"/>
      <c r="D706" s="15" t="n"/>
      <c r="E706" s="23" t="n"/>
      <c r="F706" s="15" t="n"/>
      <c r="G706" s="23" t="n"/>
      <c r="H706" s="25" t="n"/>
      <c r="I706" s="15" t="n"/>
      <c r="J706" s="26">
        <f>IF($A706="","",LEN($C706)-LEN(SUBSTITUTE($C706,",",""))+1)</f>
        <v/>
      </c>
      <c r="K706" s="26">
        <f>IF($A706="","",SUMPRODUCT(--ISNUMBER(SEARCH('Category Dictionary'!$D$5:$D$135&amp;"",$C706)),--('Category Dictionary'!$D$5:$D$135&lt;&gt;"")))</f>
        <v/>
      </c>
      <c r="L706" s="27">
        <f>IF($A706="","",TRIM(IF(ISERROR(FIND(",",$C706)),$C706,LEFT($C706,FIND(",",$C706)-1))))</f>
        <v/>
      </c>
      <c r="M706" s="28">
        <f>IF($H706="","",DATE(YEAR($H706),MONTH($H706),1))</f>
        <v/>
      </c>
      <c r="N706" s="26">
        <f>IF($H706="","",TODAY()-$H706)</f>
        <v/>
      </c>
      <c r="O706" s="15" t="n"/>
      <c r="P706" s="26">
        <f>IF($A706="","",COUNTIFS('Audit Versions'!$A$6:$A$605,$A706,'Audit Versions'!$L$6:$L$605,"Active"))</f>
        <v/>
      </c>
      <c r="Q706" s="15" t="n"/>
      <c r="R706" s="26">
        <f>IF(OR($A706="",$P706=0),"",MOD(N($Q706),$P706)+1)</f>
        <v/>
      </c>
      <c r="S706" s="15" t="n"/>
      <c r="T706" s="25" t="n"/>
      <c r="U706" s="26">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Builder'!$B$12="",N($S706)&lt;='Assignment Builder'!$B$12)))</f>
        <v/>
      </c>
      <c r="V706" s="23" t="n"/>
    </row>
    <row r="707">
      <c r="A707" s="23" t="n"/>
      <c r="B707" s="23" t="n"/>
      <c r="C707" s="24" t="n"/>
      <c r="D707" s="15" t="n"/>
      <c r="E707" s="23" t="n"/>
      <c r="F707" s="15" t="n"/>
      <c r="G707" s="23" t="n"/>
      <c r="H707" s="25" t="n"/>
      <c r="I707" s="15" t="n"/>
      <c r="J707" s="26">
        <f>IF($A707="","",LEN($C707)-LEN(SUBSTITUTE($C707,",",""))+1)</f>
        <v/>
      </c>
      <c r="K707" s="26">
        <f>IF($A707="","",SUMPRODUCT(--ISNUMBER(SEARCH('Category Dictionary'!$D$5:$D$135&amp;"",$C707)),--('Category Dictionary'!$D$5:$D$135&lt;&gt;"")))</f>
        <v/>
      </c>
      <c r="L707" s="27">
        <f>IF($A707="","",TRIM(IF(ISERROR(FIND(",",$C707)),$C707,LEFT($C707,FIND(",",$C707)-1))))</f>
        <v/>
      </c>
      <c r="M707" s="28">
        <f>IF($H707="","",DATE(YEAR($H707),MONTH($H707),1))</f>
        <v/>
      </c>
      <c r="N707" s="26">
        <f>IF($H707="","",TODAY()-$H707)</f>
        <v/>
      </c>
      <c r="O707" s="15" t="n"/>
      <c r="P707" s="26">
        <f>IF($A707="","",COUNTIFS('Audit Versions'!$A$6:$A$605,$A707,'Audit Versions'!$L$6:$L$605,"Active"))</f>
        <v/>
      </c>
      <c r="Q707" s="15" t="n"/>
      <c r="R707" s="26">
        <f>IF(OR($A707="",$P707=0),"",MOD(N($Q707),$P707)+1)</f>
        <v/>
      </c>
      <c r="S707" s="15" t="n"/>
      <c r="T707" s="25" t="n"/>
      <c r="U707" s="26">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Builder'!$B$12="",N($S707)&lt;='Assignment Builder'!$B$12)))</f>
        <v/>
      </c>
      <c r="V707" s="23" t="n"/>
    </row>
    <row r="708">
      <c r="A708" s="23" t="n"/>
      <c r="B708" s="23" t="n"/>
      <c r="C708" s="24" t="n"/>
      <c r="D708" s="15" t="n"/>
      <c r="E708" s="23" t="n"/>
      <c r="F708" s="15" t="n"/>
      <c r="G708" s="23" t="n"/>
      <c r="H708" s="25" t="n"/>
      <c r="I708" s="15" t="n"/>
      <c r="J708" s="26">
        <f>IF($A708="","",LEN($C708)-LEN(SUBSTITUTE($C708,",",""))+1)</f>
        <v/>
      </c>
      <c r="K708" s="26">
        <f>IF($A708="","",SUMPRODUCT(--ISNUMBER(SEARCH('Category Dictionary'!$D$5:$D$135&amp;"",$C708)),--('Category Dictionary'!$D$5:$D$135&lt;&gt;"")))</f>
        <v/>
      </c>
      <c r="L708" s="27">
        <f>IF($A708="","",TRIM(IF(ISERROR(FIND(",",$C708)),$C708,LEFT($C708,FIND(",",$C708)-1))))</f>
        <v/>
      </c>
      <c r="M708" s="28">
        <f>IF($H708="","",DATE(YEAR($H708),MONTH($H708),1))</f>
        <v/>
      </c>
      <c r="N708" s="26">
        <f>IF($H708="","",TODAY()-$H708)</f>
        <v/>
      </c>
      <c r="O708" s="15" t="n"/>
      <c r="P708" s="26">
        <f>IF($A708="","",COUNTIFS('Audit Versions'!$A$6:$A$605,$A708,'Audit Versions'!$L$6:$L$605,"Active"))</f>
        <v/>
      </c>
      <c r="Q708" s="15" t="n"/>
      <c r="R708" s="26">
        <f>IF(OR($A708="",$P708=0),"",MOD(N($Q708),$P708)+1)</f>
        <v/>
      </c>
      <c r="S708" s="15" t="n"/>
      <c r="T708" s="25" t="n"/>
      <c r="U708" s="26">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Builder'!$B$12="",N($S708)&lt;='Assignment Builder'!$B$12)))</f>
        <v/>
      </c>
      <c r="V708" s="23" t="n"/>
    </row>
    <row r="709">
      <c r="A709" s="23" t="n"/>
      <c r="B709" s="23" t="n"/>
      <c r="C709" s="24" t="n"/>
      <c r="D709" s="15" t="n"/>
      <c r="E709" s="23" t="n"/>
      <c r="F709" s="15" t="n"/>
      <c r="G709" s="23" t="n"/>
      <c r="H709" s="25" t="n"/>
      <c r="I709" s="15" t="n"/>
      <c r="J709" s="26">
        <f>IF($A709="","",LEN($C709)-LEN(SUBSTITUTE($C709,",",""))+1)</f>
        <v/>
      </c>
      <c r="K709" s="26">
        <f>IF($A709="","",SUMPRODUCT(--ISNUMBER(SEARCH('Category Dictionary'!$D$5:$D$135&amp;"",$C709)),--('Category Dictionary'!$D$5:$D$135&lt;&gt;"")))</f>
        <v/>
      </c>
      <c r="L709" s="27">
        <f>IF($A709="","",TRIM(IF(ISERROR(FIND(",",$C709)),$C709,LEFT($C709,FIND(",",$C709)-1))))</f>
        <v/>
      </c>
      <c r="M709" s="28">
        <f>IF($H709="","",DATE(YEAR($H709),MONTH($H709),1))</f>
        <v/>
      </c>
      <c r="N709" s="26">
        <f>IF($H709="","",TODAY()-$H709)</f>
        <v/>
      </c>
      <c r="O709" s="15" t="n"/>
      <c r="P709" s="26">
        <f>IF($A709="","",COUNTIFS('Audit Versions'!$A$6:$A$605,$A709,'Audit Versions'!$L$6:$L$605,"Active"))</f>
        <v/>
      </c>
      <c r="Q709" s="15" t="n"/>
      <c r="R709" s="26">
        <f>IF(OR($A709="",$P709=0),"",MOD(N($Q709),$P709)+1)</f>
        <v/>
      </c>
      <c r="S709" s="15" t="n"/>
      <c r="T709" s="25" t="n"/>
      <c r="U709" s="26">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Builder'!$B$12="",N($S709)&lt;='Assignment Builder'!$B$12)))</f>
        <v/>
      </c>
      <c r="V709" s="23" t="n"/>
    </row>
    <row r="710">
      <c r="A710" s="23" t="n"/>
      <c r="B710" s="23" t="n"/>
      <c r="C710" s="24" t="n"/>
      <c r="D710" s="15" t="n"/>
      <c r="E710" s="23" t="n"/>
      <c r="F710" s="15" t="n"/>
      <c r="G710" s="23" t="n"/>
      <c r="H710" s="25" t="n"/>
      <c r="I710" s="15" t="n"/>
      <c r="J710" s="26">
        <f>IF($A710="","",LEN($C710)-LEN(SUBSTITUTE($C710,",",""))+1)</f>
        <v/>
      </c>
      <c r="K710" s="26">
        <f>IF($A710="","",SUMPRODUCT(--ISNUMBER(SEARCH('Category Dictionary'!$D$5:$D$135&amp;"",$C710)),--('Category Dictionary'!$D$5:$D$135&lt;&gt;"")))</f>
        <v/>
      </c>
      <c r="L710" s="27">
        <f>IF($A710="","",TRIM(IF(ISERROR(FIND(",",$C710)),$C710,LEFT($C710,FIND(",",$C710)-1))))</f>
        <v/>
      </c>
      <c r="M710" s="28">
        <f>IF($H710="","",DATE(YEAR($H710),MONTH($H710),1))</f>
        <v/>
      </c>
      <c r="N710" s="26">
        <f>IF($H710="","",TODAY()-$H710)</f>
        <v/>
      </c>
      <c r="O710" s="15" t="n"/>
      <c r="P710" s="26">
        <f>IF($A710="","",COUNTIFS('Audit Versions'!$A$6:$A$605,$A710,'Audit Versions'!$L$6:$L$605,"Active"))</f>
        <v/>
      </c>
      <c r="Q710" s="15" t="n"/>
      <c r="R710" s="26">
        <f>IF(OR($A710="",$P710=0),"",MOD(N($Q710),$P710)+1)</f>
        <v/>
      </c>
      <c r="S710" s="15" t="n"/>
      <c r="T710" s="25" t="n"/>
      <c r="U710" s="26">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Builder'!$B$12="",N($S710)&lt;='Assignment Builder'!$B$12)))</f>
        <v/>
      </c>
      <c r="V710" s="23" t="n"/>
    </row>
    <row r="711">
      <c r="A711" s="23" t="n"/>
      <c r="B711" s="23" t="n"/>
      <c r="C711" s="24" t="n"/>
      <c r="D711" s="15" t="n"/>
      <c r="E711" s="23" t="n"/>
      <c r="F711" s="15" t="n"/>
      <c r="G711" s="23" t="n"/>
      <c r="H711" s="25" t="n"/>
      <c r="I711" s="15" t="n"/>
      <c r="J711" s="26">
        <f>IF($A711="","",LEN($C711)-LEN(SUBSTITUTE($C711,",",""))+1)</f>
        <v/>
      </c>
      <c r="K711" s="26">
        <f>IF($A711="","",SUMPRODUCT(--ISNUMBER(SEARCH('Category Dictionary'!$D$5:$D$135&amp;"",$C711)),--('Category Dictionary'!$D$5:$D$135&lt;&gt;"")))</f>
        <v/>
      </c>
      <c r="L711" s="27">
        <f>IF($A711="","",TRIM(IF(ISERROR(FIND(",",$C711)),$C711,LEFT($C711,FIND(",",$C711)-1))))</f>
        <v/>
      </c>
      <c r="M711" s="28">
        <f>IF($H711="","",DATE(YEAR($H711),MONTH($H711),1))</f>
        <v/>
      </c>
      <c r="N711" s="26">
        <f>IF($H711="","",TODAY()-$H711)</f>
        <v/>
      </c>
      <c r="O711" s="15" t="n"/>
      <c r="P711" s="26">
        <f>IF($A711="","",COUNTIFS('Audit Versions'!$A$6:$A$605,$A711,'Audit Versions'!$L$6:$L$605,"Active"))</f>
        <v/>
      </c>
      <c r="Q711" s="15" t="n"/>
      <c r="R711" s="26">
        <f>IF(OR($A711="",$P711=0),"",MOD(N($Q711),$P711)+1)</f>
        <v/>
      </c>
      <c r="S711" s="15" t="n"/>
      <c r="T711" s="25" t="n"/>
      <c r="U711" s="26">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Builder'!$B$12="",N($S711)&lt;='Assignment Builder'!$B$12)))</f>
        <v/>
      </c>
      <c r="V711" s="23" t="n"/>
    </row>
    <row r="712">
      <c r="A712" s="23" t="n"/>
      <c r="B712" s="23" t="n"/>
      <c r="C712" s="24" t="n"/>
      <c r="D712" s="15" t="n"/>
      <c r="E712" s="23" t="n"/>
      <c r="F712" s="15" t="n"/>
      <c r="G712" s="23" t="n"/>
      <c r="H712" s="25" t="n"/>
      <c r="I712" s="15" t="n"/>
      <c r="J712" s="26">
        <f>IF($A712="","",LEN($C712)-LEN(SUBSTITUTE($C712,",",""))+1)</f>
        <v/>
      </c>
      <c r="K712" s="26">
        <f>IF($A712="","",SUMPRODUCT(--ISNUMBER(SEARCH('Category Dictionary'!$D$5:$D$135&amp;"",$C712)),--('Category Dictionary'!$D$5:$D$135&lt;&gt;"")))</f>
        <v/>
      </c>
      <c r="L712" s="27">
        <f>IF($A712="","",TRIM(IF(ISERROR(FIND(",",$C712)),$C712,LEFT($C712,FIND(",",$C712)-1))))</f>
        <v/>
      </c>
      <c r="M712" s="28">
        <f>IF($H712="","",DATE(YEAR($H712),MONTH($H712),1))</f>
        <v/>
      </c>
      <c r="N712" s="26">
        <f>IF($H712="","",TODAY()-$H712)</f>
        <v/>
      </c>
      <c r="O712" s="15" t="n"/>
      <c r="P712" s="26">
        <f>IF($A712="","",COUNTIFS('Audit Versions'!$A$6:$A$605,$A712,'Audit Versions'!$L$6:$L$605,"Active"))</f>
        <v/>
      </c>
      <c r="Q712" s="15" t="n"/>
      <c r="R712" s="26">
        <f>IF(OR($A712="",$P712=0),"",MOD(N($Q712),$P712)+1)</f>
        <v/>
      </c>
      <c r="S712" s="15" t="n"/>
      <c r="T712" s="25" t="n"/>
      <c r="U712" s="26">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Builder'!$B$12="",N($S712)&lt;='Assignment Builder'!$B$12)))</f>
        <v/>
      </c>
      <c r="V712" s="23" t="n"/>
    </row>
    <row r="713">
      <c r="A713" s="23" t="n"/>
      <c r="B713" s="23" t="n"/>
      <c r="C713" s="24" t="n"/>
      <c r="D713" s="15" t="n"/>
      <c r="E713" s="23" t="n"/>
      <c r="F713" s="15" t="n"/>
      <c r="G713" s="23" t="n"/>
      <c r="H713" s="25" t="n"/>
      <c r="I713" s="15" t="n"/>
      <c r="J713" s="26">
        <f>IF($A713="","",LEN($C713)-LEN(SUBSTITUTE($C713,",",""))+1)</f>
        <v/>
      </c>
      <c r="K713" s="26">
        <f>IF($A713="","",SUMPRODUCT(--ISNUMBER(SEARCH('Category Dictionary'!$D$5:$D$135&amp;"",$C713)),--('Category Dictionary'!$D$5:$D$135&lt;&gt;"")))</f>
        <v/>
      </c>
      <c r="L713" s="27">
        <f>IF($A713="","",TRIM(IF(ISERROR(FIND(",",$C713)),$C713,LEFT($C713,FIND(",",$C713)-1))))</f>
        <v/>
      </c>
      <c r="M713" s="28">
        <f>IF($H713="","",DATE(YEAR($H713),MONTH($H713),1))</f>
        <v/>
      </c>
      <c r="N713" s="26">
        <f>IF($H713="","",TODAY()-$H713)</f>
        <v/>
      </c>
      <c r="O713" s="15" t="n"/>
      <c r="P713" s="26">
        <f>IF($A713="","",COUNTIFS('Audit Versions'!$A$6:$A$605,$A713,'Audit Versions'!$L$6:$L$605,"Active"))</f>
        <v/>
      </c>
      <c r="Q713" s="15" t="n"/>
      <c r="R713" s="26">
        <f>IF(OR($A713="",$P713=0),"",MOD(N($Q713),$P713)+1)</f>
        <v/>
      </c>
      <c r="S713" s="15" t="n"/>
      <c r="T713" s="25" t="n"/>
      <c r="U713" s="26">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Builder'!$B$12="",N($S713)&lt;='Assignment Builder'!$B$12)))</f>
        <v/>
      </c>
      <c r="V713" s="23" t="n"/>
    </row>
    <row r="714">
      <c r="A714" s="23" t="n"/>
      <c r="B714" s="23" t="n"/>
      <c r="C714" s="24" t="n"/>
      <c r="D714" s="15" t="n"/>
      <c r="E714" s="23" t="n"/>
      <c r="F714" s="15" t="n"/>
      <c r="G714" s="23" t="n"/>
      <c r="H714" s="25" t="n"/>
      <c r="I714" s="15" t="n"/>
      <c r="J714" s="26">
        <f>IF($A714="","",LEN($C714)-LEN(SUBSTITUTE($C714,",",""))+1)</f>
        <v/>
      </c>
      <c r="K714" s="26">
        <f>IF($A714="","",SUMPRODUCT(--ISNUMBER(SEARCH('Category Dictionary'!$D$5:$D$135&amp;"",$C714)),--('Category Dictionary'!$D$5:$D$135&lt;&gt;"")))</f>
        <v/>
      </c>
      <c r="L714" s="27">
        <f>IF($A714="","",TRIM(IF(ISERROR(FIND(",",$C714)),$C714,LEFT($C714,FIND(",",$C714)-1))))</f>
        <v/>
      </c>
      <c r="M714" s="28">
        <f>IF($H714="","",DATE(YEAR($H714),MONTH($H714),1))</f>
        <v/>
      </c>
      <c r="N714" s="26">
        <f>IF($H714="","",TODAY()-$H714)</f>
        <v/>
      </c>
      <c r="O714" s="15" t="n"/>
      <c r="P714" s="26">
        <f>IF($A714="","",COUNTIFS('Audit Versions'!$A$6:$A$605,$A714,'Audit Versions'!$L$6:$L$605,"Active"))</f>
        <v/>
      </c>
      <c r="Q714" s="15" t="n"/>
      <c r="R714" s="26">
        <f>IF(OR($A714="",$P714=0),"",MOD(N($Q714),$P714)+1)</f>
        <v/>
      </c>
      <c r="S714" s="15" t="n"/>
      <c r="T714" s="25" t="n"/>
      <c r="U714" s="26">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Builder'!$B$12="",N($S714)&lt;='Assignment Builder'!$B$12)))</f>
        <v/>
      </c>
      <c r="V714" s="23" t="n"/>
    </row>
    <row r="715">
      <c r="A715" s="23" t="n"/>
      <c r="B715" s="23" t="n"/>
      <c r="C715" s="24" t="n"/>
      <c r="D715" s="15" t="n"/>
      <c r="E715" s="23" t="n"/>
      <c r="F715" s="15" t="n"/>
      <c r="G715" s="23" t="n"/>
      <c r="H715" s="25" t="n"/>
      <c r="I715" s="15" t="n"/>
      <c r="J715" s="26">
        <f>IF($A715="","",LEN($C715)-LEN(SUBSTITUTE($C715,",",""))+1)</f>
        <v/>
      </c>
      <c r="K715" s="26">
        <f>IF($A715="","",SUMPRODUCT(--ISNUMBER(SEARCH('Category Dictionary'!$D$5:$D$135&amp;"",$C715)),--('Category Dictionary'!$D$5:$D$135&lt;&gt;"")))</f>
        <v/>
      </c>
      <c r="L715" s="27">
        <f>IF($A715="","",TRIM(IF(ISERROR(FIND(",",$C715)),$C715,LEFT($C715,FIND(",",$C715)-1))))</f>
        <v/>
      </c>
      <c r="M715" s="28">
        <f>IF($H715="","",DATE(YEAR($H715),MONTH($H715),1))</f>
        <v/>
      </c>
      <c r="N715" s="26">
        <f>IF($H715="","",TODAY()-$H715)</f>
        <v/>
      </c>
      <c r="O715" s="15" t="n"/>
      <c r="P715" s="26">
        <f>IF($A715="","",COUNTIFS('Audit Versions'!$A$6:$A$605,$A715,'Audit Versions'!$L$6:$L$605,"Active"))</f>
        <v/>
      </c>
      <c r="Q715" s="15" t="n"/>
      <c r="R715" s="26">
        <f>IF(OR($A715="",$P715=0),"",MOD(N($Q715),$P715)+1)</f>
        <v/>
      </c>
      <c r="S715" s="15" t="n"/>
      <c r="T715" s="25" t="n"/>
      <c r="U715" s="26">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Builder'!$B$12="",N($S715)&lt;='Assignment Builder'!$B$12)))</f>
        <v/>
      </c>
      <c r="V715" s="23" t="n"/>
    </row>
    <row r="716">
      <c r="A716" s="23" t="n"/>
      <c r="B716" s="23" t="n"/>
      <c r="C716" s="24" t="n"/>
      <c r="D716" s="15" t="n"/>
      <c r="E716" s="23" t="n"/>
      <c r="F716" s="15" t="n"/>
      <c r="G716" s="23" t="n"/>
      <c r="H716" s="25" t="n"/>
      <c r="I716" s="15" t="n"/>
      <c r="J716" s="26">
        <f>IF($A716="","",LEN($C716)-LEN(SUBSTITUTE($C716,",",""))+1)</f>
        <v/>
      </c>
      <c r="K716" s="26">
        <f>IF($A716="","",SUMPRODUCT(--ISNUMBER(SEARCH('Category Dictionary'!$D$5:$D$135&amp;"",$C716)),--('Category Dictionary'!$D$5:$D$135&lt;&gt;"")))</f>
        <v/>
      </c>
      <c r="L716" s="27">
        <f>IF($A716="","",TRIM(IF(ISERROR(FIND(",",$C716)),$C716,LEFT($C716,FIND(",",$C716)-1))))</f>
        <v/>
      </c>
      <c r="M716" s="28">
        <f>IF($H716="","",DATE(YEAR($H716),MONTH($H716),1))</f>
        <v/>
      </c>
      <c r="N716" s="26">
        <f>IF($H716="","",TODAY()-$H716)</f>
        <v/>
      </c>
      <c r="O716" s="15" t="n"/>
      <c r="P716" s="26">
        <f>IF($A716="","",COUNTIFS('Audit Versions'!$A$6:$A$605,$A716,'Audit Versions'!$L$6:$L$605,"Active"))</f>
        <v/>
      </c>
      <c r="Q716" s="15" t="n"/>
      <c r="R716" s="26">
        <f>IF(OR($A716="",$P716=0),"",MOD(N($Q716),$P716)+1)</f>
        <v/>
      </c>
      <c r="S716" s="15" t="n"/>
      <c r="T716" s="25" t="n"/>
      <c r="U716" s="26">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Builder'!$B$12="",N($S716)&lt;='Assignment Builder'!$B$12)))</f>
        <v/>
      </c>
      <c r="V716" s="23" t="n"/>
    </row>
    <row r="717">
      <c r="A717" s="23" t="n"/>
      <c r="B717" s="23" t="n"/>
      <c r="C717" s="24" t="n"/>
      <c r="D717" s="15" t="n"/>
      <c r="E717" s="23" t="n"/>
      <c r="F717" s="15" t="n"/>
      <c r="G717" s="23" t="n"/>
      <c r="H717" s="25" t="n"/>
      <c r="I717" s="15" t="n"/>
      <c r="J717" s="26">
        <f>IF($A717="","",LEN($C717)-LEN(SUBSTITUTE($C717,",",""))+1)</f>
        <v/>
      </c>
      <c r="K717" s="26">
        <f>IF($A717="","",SUMPRODUCT(--ISNUMBER(SEARCH('Category Dictionary'!$D$5:$D$135&amp;"",$C717)),--('Category Dictionary'!$D$5:$D$135&lt;&gt;"")))</f>
        <v/>
      </c>
      <c r="L717" s="27">
        <f>IF($A717="","",TRIM(IF(ISERROR(FIND(",",$C717)),$C717,LEFT($C717,FIND(",",$C717)-1))))</f>
        <v/>
      </c>
      <c r="M717" s="28">
        <f>IF($H717="","",DATE(YEAR($H717),MONTH($H717),1))</f>
        <v/>
      </c>
      <c r="N717" s="26">
        <f>IF($H717="","",TODAY()-$H717)</f>
        <v/>
      </c>
      <c r="O717" s="15" t="n"/>
      <c r="P717" s="26">
        <f>IF($A717="","",COUNTIFS('Audit Versions'!$A$6:$A$605,$A717,'Audit Versions'!$L$6:$L$605,"Active"))</f>
        <v/>
      </c>
      <c r="Q717" s="15" t="n"/>
      <c r="R717" s="26">
        <f>IF(OR($A717="",$P717=0),"",MOD(N($Q717),$P717)+1)</f>
        <v/>
      </c>
      <c r="S717" s="15" t="n"/>
      <c r="T717" s="25" t="n"/>
      <c r="U717" s="26">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Builder'!$B$12="",N($S717)&lt;='Assignment Builder'!$B$12)))</f>
        <v/>
      </c>
      <c r="V717" s="23" t="n"/>
    </row>
    <row r="718">
      <c r="A718" s="23" t="n"/>
      <c r="B718" s="23" t="n"/>
      <c r="C718" s="24" t="n"/>
      <c r="D718" s="15" t="n"/>
      <c r="E718" s="23" t="n"/>
      <c r="F718" s="15" t="n"/>
      <c r="G718" s="23" t="n"/>
      <c r="H718" s="25" t="n"/>
      <c r="I718" s="15" t="n"/>
      <c r="J718" s="26">
        <f>IF($A718="","",LEN($C718)-LEN(SUBSTITUTE($C718,",",""))+1)</f>
        <v/>
      </c>
      <c r="K718" s="26">
        <f>IF($A718="","",SUMPRODUCT(--ISNUMBER(SEARCH('Category Dictionary'!$D$5:$D$135&amp;"",$C718)),--('Category Dictionary'!$D$5:$D$135&lt;&gt;"")))</f>
        <v/>
      </c>
      <c r="L718" s="27">
        <f>IF($A718="","",TRIM(IF(ISERROR(FIND(",",$C718)),$C718,LEFT($C718,FIND(",",$C718)-1))))</f>
        <v/>
      </c>
      <c r="M718" s="28">
        <f>IF($H718="","",DATE(YEAR($H718),MONTH($H718),1))</f>
        <v/>
      </c>
      <c r="N718" s="26">
        <f>IF($H718="","",TODAY()-$H718)</f>
        <v/>
      </c>
      <c r="O718" s="15" t="n"/>
      <c r="P718" s="26">
        <f>IF($A718="","",COUNTIFS('Audit Versions'!$A$6:$A$605,$A718,'Audit Versions'!$L$6:$L$605,"Active"))</f>
        <v/>
      </c>
      <c r="Q718" s="15" t="n"/>
      <c r="R718" s="26">
        <f>IF(OR($A718="",$P718=0),"",MOD(N($Q718),$P718)+1)</f>
        <v/>
      </c>
      <c r="S718" s="15" t="n"/>
      <c r="T718" s="25" t="n"/>
      <c r="U718" s="26">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Builder'!$B$12="",N($S718)&lt;='Assignment Builder'!$B$12)))</f>
        <v/>
      </c>
      <c r="V718" s="23" t="n"/>
    </row>
    <row r="719">
      <c r="A719" s="23" t="n"/>
      <c r="B719" s="23" t="n"/>
      <c r="C719" s="24" t="n"/>
      <c r="D719" s="15" t="n"/>
      <c r="E719" s="23" t="n"/>
      <c r="F719" s="15" t="n"/>
      <c r="G719" s="23" t="n"/>
      <c r="H719" s="25" t="n"/>
      <c r="I719" s="15" t="n"/>
      <c r="J719" s="26">
        <f>IF($A719="","",LEN($C719)-LEN(SUBSTITUTE($C719,",",""))+1)</f>
        <v/>
      </c>
      <c r="K719" s="26">
        <f>IF($A719="","",SUMPRODUCT(--ISNUMBER(SEARCH('Category Dictionary'!$D$5:$D$135&amp;"",$C719)),--('Category Dictionary'!$D$5:$D$135&lt;&gt;"")))</f>
        <v/>
      </c>
      <c r="L719" s="27">
        <f>IF($A719="","",TRIM(IF(ISERROR(FIND(",",$C719)),$C719,LEFT($C719,FIND(",",$C719)-1))))</f>
        <v/>
      </c>
      <c r="M719" s="28">
        <f>IF($H719="","",DATE(YEAR($H719),MONTH($H719),1))</f>
        <v/>
      </c>
      <c r="N719" s="26">
        <f>IF($H719="","",TODAY()-$H719)</f>
        <v/>
      </c>
      <c r="O719" s="15" t="n"/>
      <c r="P719" s="26">
        <f>IF($A719="","",COUNTIFS('Audit Versions'!$A$6:$A$605,$A719,'Audit Versions'!$L$6:$L$605,"Active"))</f>
        <v/>
      </c>
      <c r="Q719" s="15" t="n"/>
      <c r="R719" s="26">
        <f>IF(OR($A719="",$P719=0),"",MOD(N($Q719),$P719)+1)</f>
        <v/>
      </c>
      <c r="S719" s="15" t="n"/>
      <c r="T719" s="25" t="n"/>
      <c r="U719" s="26">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Builder'!$B$12="",N($S719)&lt;='Assignment Builder'!$B$12)))</f>
        <v/>
      </c>
      <c r="V719" s="23" t="n"/>
    </row>
    <row r="720">
      <c r="A720" s="23" t="n"/>
      <c r="B720" s="23" t="n"/>
      <c r="C720" s="24" t="n"/>
      <c r="D720" s="15" t="n"/>
      <c r="E720" s="23" t="n"/>
      <c r="F720" s="15" t="n"/>
      <c r="G720" s="23" t="n"/>
      <c r="H720" s="25" t="n"/>
      <c r="I720" s="15" t="n"/>
      <c r="J720" s="26">
        <f>IF($A720="","",LEN($C720)-LEN(SUBSTITUTE($C720,",",""))+1)</f>
        <v/>
      </c>
      <c r="K720" s="26">
        <f>IF($A720="","",SUMPRODUCT(--ISNUMBER(SEARCH('Category Dictionary'!$D$5:$D$135&amp;"",$C720)),--('Category Dictionary'!$D$5:$D$135&lt;&gt;"")))</f>
        <v/>
      </c>
      <c r="L720" s="27">
        <f>IF($A720="","",TRIM(IF(ISERROR(FIND(",",$C720)),$C720,LEFT($C720,FIND(",",$C720)-1))))</f>
        <v/>
      </c>
      <c r="M720" s="28">
        <f>IF($H720="","",DATE(YEAR($H720),MONTH($H720),1))</f>
        <v/>
      </c>
      <c r="N720" s="26">
        <f>IF($H720="","",TODAY()-$H720)</f>
        <v/>
      </c>
      <c r="O720" s="15" t="n"/>
      <c r="P720" s="26">
        <f>IF($A720="","",COUNTIFS('Audit Versions'!$A$6:$A$605,$A720,'Audit Versions'!$L$6:$L$605,"Active"))</f>
        <v/>
      </c>
      <c r="Q720" s="15" t="n"/>
      <c r="R720" s="26">
        <f>IF(OR($A720="",$P720=0),"",MOD(N($Q720),$P720)+1)</f>
        <v/>
      </c>
      <c r="S720" s="15" t="n"/>
      <c r="T720" s="25" t="n"/>
      <c r="U720" s="26">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Builder'!$B$12="",N($S720)&lt;='Assignment Builder'!$B$12)))</f>
        <v/>
      </c>
      <c r="V720" s="23" t="n"/>
    </row>
    <row r="721">
      <c r="A721" s="23" t="n"/>
      <c r="B721" s="23" t="n"/>
      <c r="C721" s="24" t="n"/>
      <c r="D721" s="15" t="n"/>
      <c r="E721" s="23" t="n"/>
      <c r="F721" s="15" t="n"/>
      <c r="G721" s="23" t="n"/>
      <c r="H721" s="25" t="n"/>
      <c r="I721" s="15" t="n"/>
      <c r="J721" s="26">
        <f>IF($A721="","",LEN($C721)-LEN(SUBSTITUTE($C721,",",""))+1)</f>
        <v/>
      </c>
      <c r="K721" s="26">
        <f>IF($A721="","",SUMPRODUCT(--ISNUMBER(SEARCH('Category Dictionary'!$D$5:$D$135&amp;"",$C721)),--('Category Dictionary'!$D$5:$D$135&lt;&gt;"")))</f>
        <v/>
      </c>
      <c r="L721" s="27">
        <f>IF($A721="","",TRIM(IF(ISERROR(FIND(",",$C721)),$C721,LEFT($C721,FIND(",",$C721)-1))))</f>
        <v/>
      </c>
      <c r="M721" s="28">
        <f>IF($H721="","",DATE(YEAR($H721),MONTH($H721),1))</f>
        <v/>
      </c>
      <c r="N721" s="26">
        <f>IF($H721="","",TODAY()-$H721)</f>
        <v/>
      </c>
      <c r="O721" s="15" t="n"/>
      <c r="P721" s="26">
        <f>IF($A721="","",COUNTIFS('Audit Versions'!$A$6:$A$605,$A721,'Audit Versions'!$L$6:$L$605,"Active"))</f>
        <v/>
      </c>
      <c r="Q721" s="15" t="n"/>
      <c r="R721" s="26">
        <f>IF(OR($A721="",$P721=0),"",MOD(N($Q721),$P721)+1)</f>
        <v/>
      </c>
      <c r="S721" s="15" t="n"/>
      <c r="T721" s="25" t="n"/>
      <c r="U721" s="26">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Builder'!$B$12="",N($S721)&lt;='Assignment Builder'!$B$12)))</f>
        <v/>
      </c>
      <c r="V721" s="23" t="n"/>
    </row>
    <row r="722">
      <c r="A722" s="23" t="n"/>
      <c r="B722" s="23" t="n"/>
      <c r="C722" s="24" t="n"/>
      <c r="D722" s="15" t="n"/>
      <c r="E722" s="23" t="n"/>
      <c r="F722" s="15" t="n"/>
      <c r="G722" s="23" t="n"/>
      <c r="H722" s="25" t="n"/>
      <c r="I722" s="15" t="n"/>
      <c r="J722" s="26">
        <f>IF($A722="","",LEN($C722)-LEN(SUBSTITUTE($C722,",",""))+1)</f>
        <v/>
      </c>
      <c r="K722" s="26">
        <f>IF($A722="","",SUMPRODUCT(--ISNUMBER(SEARCH('Category Dictionary'!$D$5:$D$135&amp;"",$C722)),--('Category Dictionary'!$D$5:$D$135&lt;&gt;"")))</f>
        <v/>
      </c>
      <c r="L722" s="27">
        <f>IF($A722="","",TRIM(IF(ISERROR(FIND(",",$C722)),$C722,LEFT($C722,FIND(",",$C722)-1))))</f>
        <v/>
      </c>
      <c r="M722" s="28">
        <f>IF($H722="","",DATE(YEAR($H722),MONTH($H722),1))</f>
        <v/>
      </c>
      <c r="N722" s="26">
        <f>IF($H722="","",TODAY()-$H722)</f>
        <v/>
      </c>
      <c r="O722" s="15" t="n"/>
      <c r="P722" s="26">
        <f>IF($A722="","",COUNTIFS('Audit Versions'!$A$6:$A$605,$A722,'Audit Versions'!$L$6:$L$605,"Active"))</f>
        <v/>
      </c>
      <c r="Q722" s="15" t="n"/>
      <c r="R722" s="26">
        <f>IF(OR($A722="",$P722=0),"",MOD(N($Q722),$P722)+1)</f>
        <v/>
      </c>
      <c r="S722" s="15" t="n"/>
      <c r="T722" s="25" t="n"/>
      <c r="U722" s="26">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Builder'!$B$12="",N($S722)&lt;='Assignment Builder'!$B$12)))</f>
        <v/>
      </c>
      <c r="V722" s="23" t="n"/>
    </row>
    <row r="723">
      <c r="A723" s="23" t="n"/>
      <c r="B723" s="23" t="n"/>
      <c r="C723" s="24" t="n"/>
      <c r="D723" s="15" t="n"/>
      <c r="E723" s="23" t="n"/>
      <c r="F723" s="15" t="n"/>
      <c r="G723" s="23" t="n"/>
      <c r="H723" s="25" t="n"/>
      <c r="I723" s="15" t="n"/>
      <c r="J723" s="26">
        <f>IF($A723="","",LEN($C723)-LEN(SUBSTITUTE($C723,",",""))+1)</f>
        <v/>
      </c>
      <c r="K723" s="26">
        <f>IF($A723="","",SUMPRODUCT(--ISNUMBER(SEARCH('Category Dictionary'!$D$5:$D$135&amp;"",$C723)),--('Category Dictionary'!$D$5:$D$135&lt;&gt;"")))</f>
        <v/>
      </c>
      <c r="L723" s="27">
        <f>IF($A723="","",TRIM(IF(ISERROR(FIND(",",$C723)),$C723,LEFT($C723,FIND(",",$C723)-1))))</f>
        <v/>
      </c>
      <c r="M723" s="28">
        <f>IF($H723="","",DATE(YEAR($H723),MONTH($H723),1))</f>
        <v/>
      </c>
      <c r="N723" s="26">
        <f>IF($H723="","",TODAY()-$H723)</f>
        <v/>
      </c>
      <c r="O723" s="15" t="n"/>
      <c r="P723" s="26">
        <f>IF($A723="","",COUNTIFS('Audit Versions'!$A$6:$A$605,$A723,'Audit Versions'!$L$6:$L$605,"Active"))</f>
        <v/>
      </c>
      <c r="Q723" s="15" t="n"/>
      <c r="R723" s="26">
        <f>IF(OR($A723="",$P723=0),"",MOD(N($Q723),$P723)+1)</f>
        <v/>
      </c>
      <c r="S723" s="15" t="n"/>
      <c r="T723" s="25" t="n"/>
      <c r="U723" s="26">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Builder'!$B$12="",N($S723)&lt;='Assignment Builder'!$B$12)))</f>
        <v/>
      </c>
      <c r="V723" s="23" t="n"/>
    </row>
    <row r="724">
      <c r="A724" s="23" t="n"/>
      <c r="B724" s="23" t="n"/>
      <c r="C724" s="24" t="n"/>
      <c r="D724" s="15" t="n"/>
      <c r="E724" s="23" t="n"/>
      <c r="F724" s="15" t="n"/>
      <c r="G724" s="23" t="n"/>
      <c r="H724" s="25" t="n"/>
      <c r="I724" s="15" t="n"/>
      <c r="J724" s="26">
        <f>IF($A724="","",LEN($C724)-LEN(SUBSTITUTE($C724,",",""))+1)</f>
        <v/>
      </c>
      <c r="K724" s="26">
        <f>IF($A724="","",SUMPRODUCT(--ISNUMBER(SEARCH('Category Dictionary'!$D$5:$D$135&amp;"",$C724)),--('Category Dictionary'!$D$5:$D$135&lt;&gt;"")))</f>
        <v/>
      </c>
      <c r="L724" s="27">
        <f>IF($A724="","",TRIM(IF(ISERROR(FIND(",",$C724)),$C724,LEFT($C724,FIND(",",$C724)-1))))</f>
        <v/>
      </c>
      <c r="M724" s="28">
        <f>IF($H724="","",DATE(YEAR($H724),MONTH($H724),1))</f>
        <v/>
      </c>
      <c r="N724" s="26">
        <f>IF($H724="","",TODAY()-$H724)</f>
        <v/>
      </c>
      <c r="O724" s="15" t="n"/>
      <c r="P724" s="26">
        <f>IF($A724="","",COUNTIFS('Audit Versions'!$A$6:$A$605,$A724,'Audit Versions'!$L$6:$L$605,"Active"))</f>
        <v/>
      </c>
      <c r="Q724" s="15" t="n"/>
      <c r="R724" s="26">
        <f>IF(OR($A724="",$P724=0),"",MOD(N($Q724),$P724)+1)</f>
        <v/>
      </c>
      <c r="S724" s="15" t="n"/>
      <c r="T724" s="25" t="n"/>
      <c r="U724" s="26">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Builder'!$B$12="",N($S724)&lt;='Assignment Builder'!$B$12)))</f>
        <v/>
      </c>
      <c r="V724" s="23" t="n"/>
    </row>
    <row r="725">
      <c r="A725" s="23" t="n"/>
      <c r="B725" s="23" t="n"/>
      <c r="C725" s="24" t="n"/>
      <c r="D725" s="15" t="n"/>
      <c r="E725" s="23" t="n"/>
      <c r="F725" s="15" t="n"/>
      <c r="G725" s="23" t="n"/>
      <c r="H725" s="25" t="n"/>
      <c r="I725" s="15" t="n"/>
      <c r="J725" s="26">
        <f>IF($A725="","",LEN($C725)-LEN(SUBSTITUTE($C725,",",""))+1)</f>
        <v/>
      </c>
      <c r="K725" s="26">
        <f>IF($A725="","",SUMPRODUCT(--ISNUMBER(SEARCH('Category Dictionary'!$D$5:$D$135&amp;"",$C725)),--('Category Dictionary'!$D$5:$D$135&lt;&gt;"")))</f>
        <v/>
      </c>
      <c r="L725" s="27">
        <f>IF($A725="","",TRIM(IF(ISERROR(FIND(",",$C725)),$C725,LEFT($C725,FIND(",",$C725)-1))))</f>
        <v/>
      </c>
      <c r="M725" s="28">
        <f>IF($H725="","",DATE(YEAR($H725),MONTH($H725),1))</f>
        <v/>
      </c>
      <c r="N725" s="26">
        <f>IF($H725="","",TODAY()-$H725)</f>
        <v/>
      </c>
      <c r="O725" s="15" t="n"/>
      <c r="P725" s="26">
        <f>IF($A725="","",COUNTIFS('Audit Versions'!$A$6:$A$605,$A725,'Audit Versions'!$L$6:$L$605,"Active"))</f>
        <v/>
      </c>
      <c r="Q725" s="15" t="n"/>
      <c r="R725" s="26">
        <f>IF(OR($A725="",$P725=0),"",MOD(N($Q725),$P725)+1)</f>
        <v/>
      </c>
      <c r="S725" s="15" t="n"/>
      <c r="T725" s="25" t="n"/>
      <c r="U725" s="26">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Builder'!$B$12="",N($S725)&lt;='Assignment Builder'!$B$12)))</f>
        <v/>
      </c>
      <c r="V725" s="23" t="n"/>
    </row>
    <row r="726">
      <c r="A726" s="23" t="n"/>
      <c r="B726" s="23" t="n"/>
      <c r="C726" s="24" t="n"/>
      <c r="D726" s="15" t="n"/>
      <c r="E726" s="23" t="n"/>
      <c r="F726" s="15" t="n"/>
      <c r="G726" s="23" t="n"/>
      <c r="H726" s="25" t="n"/>
      <c r="I726" s="15" t="n"/>
      <c r="J726" s="26">
        <f>IF($A726="","",LEN($C726)-LEN(SUBSTITUTE($C726,",",""))+1)</f>
        <v/>
      </c>
      <c r="K726" s="26">
        <f>IF($A726="","",SUMPRODUCT(--ISNUMBER(SEARCH('Category Dictionary'!$D$5:$D$135&amp;"",$C726)),--('Category Dictionary'!$D$5:$D$135&lt;&gt;"")))</f>
        <v/>
      </c>
      <c r="L726" s="27">
        <f>IF($A726="","",TRIM(IF(ISERROR(FIND(",",$C726)),$C726,LEFT($C726,FIND(",",$C726)-1))))</f>
        <v/>
      </c>
      <c r="M726" s="28">
        <f>IF($H726="","",DATE(YEAR($H726),MONTH($H726),1))</f>
        <v/>
      </c>
      <c r="N726" s="26">
        <f>IF($H726="","",TODAY()-$H726)</f>
        <v/>
      </c>
      <c r="O726" s="15" t="n"/>
      <c r="P726" s="26">
        <f>IF($A726="","",COUNTIFS('Audit Versions'!$A$6:$A$605,$A726,'Audit Versions'!$L$6:$L$605,"Active"))</f>
        <v/>
      </c>
      <c r="Q726" s="15" t="n"/>
      <c r="R726" s="26">
        <f>IF(OR($A726="",$P726=0),"",MOD(N($Q726),$P726)+1)</f>
        <v/>
      </c>
      <c r="S726" s="15" t="n"/>
      <c r="T726" s="25" t="n"/>
      <c r="U726" s="26">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Builder'!$B$12="",N($S726)&lt;='Assignment Builder'!$B$12)))</f>
        <v/>
      </c>
      <c r="V726" s="23" t="n"/>
    </row>
    <row r="727">
      <c r="A727" s="23" t="n"/>
      <c r="B727" s="23" t="n"/>
      <c r="C727" s="24" t="n"/>
      <c r="D727" s="15" t="n"/>
      <c r="E727" s="23" t="n"/>
      <c r="F727" s="15" t="n"/>
      <c r="G727" s="23" t="n"/>
      <c r="H727" s="25" t="n"/>
      <c r="I727" s="15" t="n"/>
      <c r="J727" s="26">
        <f>IF($A727="","",LEN($C727)-LEN(SUBSTITUTE($C727,",",""))+1)</f>
        <v/>
      </c>
      <c r="K727" s="26">
        <f>IF($A727="","",SUMPRODUCT(--ISNUMBER(SEARCH('Category Dictionary'!$D$5:$D$135&amp;"",$C727)),--('Category Dictionary'!$D$5:$D$135&lt;&gt;"")))</f>
        <v/>
      </c>
      <c r="L727" s="27">
        <f>IF($A727="","",TRIM(IF(ISERROR(FIND(",",$C727)),$C727,LEFT($C727,FIND(",",$C727)-1))))</f>
        <v/>
      </c>
      <c r="M727" s="28">
        <f>IF($H727="","",DATE(YEAR($H727),MONTH($H727),1))</f>
        <v/>
      </c>
      <c r="N727" s="26">
        <f>IF($H727="","",TODAY()-$H727)</f>
        <v/>
      </c>
      <c r="O727" s="15" t="n"/>
      <c r="P727" s="26">
        <f>IF($A727="","",COUNTIFS('Audit Versions'!$A$6:$A$605,$A727,'Audit Versions'!$L$6:$L$605,"Active"))</f>
        <v/>
      </c>
      <c r="Q727" s="15" t="n"/>
      <c r="R727" s="26">
        <f>IF(OR($A727="",$P727=0),"",MOD(N($Q727),$P727)+1)</f>
        <v/>
      </c>
      <c r="S727" s="15" t="n"/>
      <c r="T727" s="25" t="n"/>
      <c r="U727" s="26">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Builder'!$B$12="",N($S727)&lt;='Assignment Builder'!$B$12)))</f>
        <v/>
      </c>
      <c r="V727" s="23" t="n"/>
    </row>
    <row r="728">
      <c r="A728" s="23" t="n"/>
      <c r="B728" s="23" t="n"/>
      <c r="C728" s="24" t="n"/>
      <c r="D728" s="15" t="n"/>
      <c r="E728" s="23" t="n"/>
      <c r="F728" s="15" t="n"/>
      <c r="G728" s="23" t="n"/>
      <c r="H728" s="25" t="n"/>
      <c r="I728" s="15" t="n"/>
      <c r="J728" s="26">
        <f>IF($A728="","",LEN($C728)-LEN(SUBSTITUTE($C728,",",""))+1)</f>
        <v/>
      </c>
      <c r="K728" s="26">
        <f>IF($A728="","",SUMPRODUCT(--ISNUMBER(SEARCH('Category Dictionary'!$D$5:$D$135&amp;"",$C728)),--('Category Dictionary'!$D$5:$D$135&lt;&gt;"")))</f>
        <v/>
      </c>
      <c r="L728" s="27">
        <f>IF($A728="","",TRIM(IF(ISERROR(FIND(",",$C728)),$C728,LEFT($C728,FIND(",",$C728)-1))))</f>
        <v/>
      </c>
      <c r="M728" s="28">
        <f>IF($H728="","",DATE(YEAR($H728),MONTH($H728),1))</f>
        <v/>
      </c>
      <c r="N728" s="26">
        <f>IF($H728="","",TODAY()-$H728)</f>
        <v/>
      </c>
      <c r="O728" s="15" t="n"/>
      <c r="P728" s="26">
        <f>IF($A728="","",COUNTIFS('Audit Versions'!$A$6:$A$605,$A728,'Audit Versions'!$L$6:$L$605,"Active"))</f>
        <v/>
      </c>
      <c r="Q728" s="15" t="n"/>
      <c r="R728" s="26">
        <f>IF(OR($A728="",$P728=0),"",MOD(N($Q728),$P728)+1)</f>
        <v/>
      </c>
      <c r="S728" s="15" t="n"/>
      <c r="T728" s="25" t="n"/>
      <c r="U728" s="26">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Builder'!$B$12="",N($S728)&lt;='Assignment Builder'!$B$12)))</f>
        <v/>
      </c>
      <c r="V728" s="23" t="n"/>
    </row>
    <row r="729">
      <c r="A729" s="23" t="n"/>
      <c r="B729" s="23" t="n"/>
      <c r="C729" s="24" t="n"/>
      <c r="D729" s="15" t="n"/>
      <c r="E729" s="23" t="n"/>
      <c r="F729" s="15" t="n"/>
      <c r="G729" s="23" t="n"/>
      <c r="H729" s="25" t="n"/>
      <c r="I729" s="15" t="n"/>
      <c r="J729" s="26">
        <f>IF($A729="","",LEN($C729)-LEN(SUBSTITUTE($C729,",",""))+1)</f>
        <v/>
      </c>
      <c r="K729" s="26">
        <f>IF($A729="","",SUMPRODUCT(--ISNUMBER(SEARCH('Category Dictionary'!$D$5:$D$135&amp;"",$C729)),--('Category Dictionary'!$D$5:$D$135&lt;&gt;"")))</f>
        <v/>
      </c>
      <c r="L729" s="27">
        <f>IF($A729="","",TRIM(IF(ISERROR(FIND(",",$C729)),$C729,LEFT($C729,FIND(",",$C729)-1))))</f>
        <v/>
      </c>
      <c r="M729" s="28">
        <f>IF($H729="","",DATE(YEAR($H729),MONTH($H729),1))</f>
        <v/>
      </c>
      <c r="N729" s="26">
        <f>IF($H729="","",TODAY()-$H729)</f>
        <v/>
      </c>
      <c r="O729" s="15" t="n"/>
      <c r="P729" s="26">
        <f>IF($A729="","",COUNTIFS('Audit Versions'!$A$6:$A$605,$A729,'Audit Versions'!$L$6:$L$605,"Active"))</f>
        <v/>
      </c>
      <c r="Q729" s="15" t="n"/>
      <c r="R729" s="26">
        <f>IF(OR($A729="",$P729=0),"",MOD(N($Q729),$P729)+1)</f>
        <v/>
      </c>
      <c r="S729" s="15" t="n"/>
      <c r="T729" s="25" t="n"/>
      <c r="U729" s="26">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Builder'!$B$12="",N($S729)&lt;='Assignment Builder'!$B$12)))</f>
        <v/>
      </c>
      <c r="V729" s="23" t="n"/>
    </row>
    <row r="730">
      <c r="A730" s="23" t="n"/>
      <c r="B730" s="23" t="n"/>
      <c r="C730" s="24" t="n"/>
      <c r="D730" s="15" t="n"/>
      <c r="E730" s="23" t="n"/>
      <c r="F730" s="15" t="n"/>
      <c r="G730" s="23" t="n"/>
      <c r="H730" s="25" t="n"/>
      <c r="I730" s="15" t="n"/>
      <c r="J730" s="26">
        <f>IF($A730="","",LEN($C730)-LEN(SUBSTITUTE($C730,",",""))+1)</f>
        <v/>
      </c>
      <c r="K730" s="26">
        <f>IF($A730="","",SUMPRODUCT(--ISNUMBER(SEARCH('Category Dictionary'!$D$5:$D$135&amp;"",$C730)),--('Category Dictionary'!$D$5:$D$135&lt;&gt;"")))</f>
        <v/>
      </c>
      <c r="L730" s="27">
        <f>IF($A730="","",TRIM(IF(ISERROR(FIND(",",$C730)),$C730,LEFT($C730,FIND(",",$C730)-1))))</f>
        <v/>
      </c>
      <c r="M730" s="28">
        <f>IF($H730="","",DATE(YEAR($H730),MONTH($H730),1))</f>
        <v/>
      </c>
      <c r="N730" s="26">
        <f>IF($H730="","",TODAY()-$H730)</f>
        <v/>
      </c>
      <c r="O730" s="15" t="n"/>
      <c r="P730" s="26">
        <f>IF($A730="","",COUNTIFS('Audit Versions'!$A$6:$A$605,$A730,'Audit Versions'!$L$6:$L$605,"Active"))</f>
        <v/>
      </c>
      <c r="Q730" s="15" t="n"/>
      <c r="R730" s="26">
        <f>IF(OR($A730="",$P730=0),"",MOD(N($Q730),$P730)+1)</f>
        <v/>
      </c>
      <c r="S730" s="15" t="n"/>
      <c r="T730" s="25" t="n"/>
      <c r="U730" s="26">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Builder'!$B$12="",N($S730)&lt;='Assignment Builder'!$B$12)))</f>
        <v/>
      </c>
      <c r="V730" s="23" t="n"/>
    </row>
    <row r="731">
      <c r="A731" s="23" t="n"/>
      <c r="B731" s="23" t="n"/>
      <c r="C731" s="24" t="n"/>
      <c r="D731" s="15" t="n"/>
      <c r="E731" s="23" t="n"/>
      <c r="F731" s="15" t="n"/>
      <c r="G731" s="23" t="n"/>
      <c r="H731" s="25" t="n"/>
      <c r="I731" s="15" t="n"/>
      <c r="J731" s="26">
        <f>IF($A731="","",LEN($C731)-LEN(SUBSTITUTE($C731,",",""))+1)</f>
        <v/>
      </c>
      <c r="K731" s="26">
        <f>IF($A731="","",SUMPRODUCT(--ISNUMBER(SEARCH('Category Dictionary'!$D$5:$D$135&amp;"",$C731)),--('Category Dictionary'!$D$5:$D$135&lt;&gt;"")))</f>
        <v/>
      </c>
      <c r="L731" s="27">
        <f>IF($A731="","",TRIM(IF(ISERROR(FIND(",",$C731)),$C731,LEFT($C731,FIND(",",$C731)-1))))</f>
        <v/>
      </c>
      <c r="M731" s="28">
        <f>IF($H731="","",DATE(YEAR($H731),MONTH($H731),1))</f>
        <v/>
      </c>
      <c r="N731" s="26">
        <f>IF($H731="","",TODAY()-$H731)</f>
        <v/>
      </c>
      <c r="O731" s="15" t="n"/>
      <c r="P731" s="26">
        <f>IF($A731="","",COUNTIFS('Audit Versions'!$A$6:$A$605,$A731,'Audit Versions'!$L$6:$L$605,"Active"))</f>
        <v/>
      </c>
      <c r="Q731" s="15" t="n"/>
      <c r="R731" s="26">
        <f>IF(OR($A731="",$P731=0),"",MOD(N($Q731),$P731)+1)</f>
        <v/>
      </c>
      <c r="S731" s="15" t="n"/>
      <c r="T731" s="25" t="n"/>
      <c r="U731" s="26">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Builder'!$B$12="",N($S731)&lt;='Assignment Builder'!$B$12)))</f>
        <v/>
      </c>
      <c r="V731" s="23" t="n"/>
    </row>
    <row r="732">
      <c r="A732" s="23" t="n"/>
      <c r="B732" s="23" t="n"/>
      <c r="C732" s="24" t="n"/>
      <c r="D732" s="15" t="n"/>
      <c r="E732" s="23" t="n"/>
      <c r="F732" s="15" t="n"/>
      <c r="G732" s="23" t="n"/>
      <c r="H732" s="25" t="n"/>
      <c r="I732" s="15" t="n"/>
      <c r="J732" s="26">
        <f>IF($A732="","",LEN($C732)-LEN(SUBSTITUTE($C732,",",""))+1)</f>
        <v/>
      </c>
      <c r="K732" s="26">
        <f>IF($A732="","",SUMPRODUCT(--ISNUMBER(SEARCH('Category Dictionary'!$D$5:$D$135&amp;"",$C732)),--('Category Dictionary'!$D$5:$D$135&lt;&gt;"")))</f>
        <v/>
      </c>
      <c r="L732" s="27">
        <f>IF($A732="","",TRIM(IF(ISERROR(FIND(",",$C732)),$C732,LEFT($C732,FIND(",",$C732)-1))))</f>
        <v/>
      </c>
      <c r="M732" s="28">
        <f>IF($H732="","",DATE(YEAR($H732),MONTH($H732),1))</f>
        <v/>
      </c>
      <c r="N732" s="26">
        <f>IF($H732="","",TODAY()-$H732)</f>
        <v/>
      </c>
      <c r="O732" s="15" t="n"/>
      <c r="P732" s="26">
        <f>IF($A732="","",COUNTIFS('Audit Versions'!$A$6:$A$605,$A732,'Audit Versions'!$L$6:$L$605,"Active"))</f>
        <v/>
      </c>
      <c r="Q732" s="15" t="n"/>
      <c r="R732" s="26">
        <f>IF(OR($A732="",$P732=0),"",MOD(N($Q732),$P732)+1)</f>
        <v/>
      </c>
      <c r="S732" s="15" t="n"/>
      <c r="T732" s="25" t="n"/>
      <c r="U732" s="26">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Builder'!$B$12="",N($S732)&lt;='Assignment Builder'!$B$12)))</f>
        <v/>
      </c>
      <c r="V732" s="23" t="n"/>
    </row>
    <row r="733">
      <c r="A733" s="23" t="n"/>
      <c r="B733" s="23" t="n"/>
      <c r="C733" s="24" t="n"/>
      <c r="D733" s="15" t="n"/>
      <c r="E733" s="23" t="n"/>
      <c r="F733" s="15" t="n"/>
      <c r="G733" s="23" t="n"/>
      <c r="H733" s="25" t="n"/>
      <c r="I733" s="15" t="n"/>
      <c r="J733" s="26">
        <f>IF($A733="","",LEN($C733)-LEN(SUBSTITUTE($C733,",",""))+1)</f>
        <v/>
      </c>
      <c r="K733" s="26">
        <f>IF($A733="","",SUMPRODUCT(--ISNUMBER(SEARCH('Category Dictionary'!$D$5:$D$135&amp;"",$C733)),--('Category Dictionary'!$D$5:$D$135&lt;&gt;"")))</f>
        <v/>
      </c>
      <c r="L733" s="27">
        <f>IF($A733="","",TRIM(IF(ISERROR(FIND(",",$C733)),$C733,LEFT($C733,FIND(",",$C733)-1))))</f>
        <v/>
      </c>
      <c r="M733" s="28">
        <f>IF($H733="","",DATE(YEAR($H733),MONTH($H733),1))</f>
        <v/>
      </c>
      <c r="N733" s="26">
        <f>IF($H733="","",TODAY()-$H733)</f>
        <v/>
      </c>
      <c r="O733" s="15" t="n"/>
      <c r="P733" s="26">
        <f>IF($A733="","",COUNTIFS('Audit Versions'!$A$6:$A$605,$A733,'Audit Versions'!$L$6:$L$605,"Active"))</f>
        <v/>
      </c>
      <c r="Q733" s="15" t="n"/>
      <c r="R733" s="26">
        <f>IF(OR($A733="",$P733=0),"",MOD(N($Q733),$P733)+1)</f>
        <v/>
      </c>
      <c r="S733" s="15" t="n"/>
      <c r="T733" s="25" t="n"/>
      <c r="U733" s="26">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Builder'!$B$12="",N($S733)&lt;='Assignment Builder'!$B$12)))</f>
        <v/>
      </c>
      <c r="V733" s="23" t="n"/>
    </row>
    <row r="734">
      <c r="A734" s="23" t="n"/>
      <c r="B734" s="23" t="n"/>
      <c r="C734" s="24" t="n"/>
      <c r="D734" s="15" t="n"/>
      <c r="E734" s="23" t="n"/>
      <c r="F734" s="15" t="n"/>
      <c r="G734" s="23" t="n"/>
      <c r="H734" s="25" t="n"/>
      <c r="I734" s="15" t="n"/>
      <c r="J734" s="26">
        <f>IF($A734="","",LEN($C734)-LEN(SUBSTITUTE($C734,",",""))+1)</f>
        <v/>
      </c>
      <c r="K734" s="26">
        <f>IF($A734="","",SUMPRODUCT(--ISNUMBER(SEARCH('Category Dictionary'!$D$5:$D$135&amp;"",$C734)),--('Category Dictionary'!$D$5:$D$135&lt;&gt;"")))</f>
        <v/>
      </c>
      <c r="L734" s="27">
        <f>IF($A734="","",TRIM(IF(ISERROR(FIND(",",$C734)),$C734,LEFT($C734,FIND(",",$C734)-1))))</f>
        <v/>
      </c>
      <c r="M734" s="28">
        <f>IF($H734="","",DATE(YEAR($H734),MONTH($H734),1))</f>
        <v/>
      </c>
      <c r="N734" s="26">
        <f>IF($H734="","",TODAY()-$H734)</f>
        <v/>
      </c>
      <c r="O734" s="15" t="n"/>
      <c r="P734" s="26">
        <f>IF($A734="","",COUNTIFS('Audit Versions'!$A$6:$A$605,$A734,'Audit Versions'!$L$6:$L$605,"Active"))</f>
        <v/>
      </c>
      <c r="Q734" s="15" t="n"/>
      <c r="R734" s="26">
        <f>IF(OR($A734="",$P734=0),"",MOD(N($Q734),$P734)+1)</f>
        <v/>
      </c>
      <c r="S734" s="15" t="n"/>
      <c r="T734" s="25" t="n"/>
      <c r="U734" s="26">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Builder'!$B$12="",N($S734)&lt;='Assignment Builder'!$B$12)))</f>
        <v/>
      </c>
      <c r="V734" s="23" t="n"/>
    </row>
    <row r="735">
      <c r="A735" s="23" t="n"/>
      <c r="B735" s="23" t="n"/>
      <c r="C735" s="24" t="n"/>
      <c r="D735" s="15" t="n"/>
      <c r="E735" s="23" t="n"/>
      <c r="F735" s="15" t="n"/>
      <c r="G735" s="23" t="n"/>
      <c r="H735" s="25" t="n"/>
      <c r="I735" s="15" t="n"/>
      <c r="J735" s="26">
        <f>IF($A735="","",LEN($C735)-LEN(SUBSTITUTE($C735,",",""))+1)</f>
        <v/>
      </c>
      <c r="K735" s="26">
        <f>IF($A735="","",SUMPRODUCT(--ISNUMBER(SEARCH('Category Dictionary'!$D$5:$D$135&amp;"",$C735)),--('Category Dictionary'!$D$5:$D$135&lt;&gt;"")))</f>
        <v/>
      </c>
      <c r="L735" s="27">
        <f>IF($A735="","",TRIM(IF(ISERROR(FIND(",",$C735)),$C735,LEFT($C735,FIND(",",$C735)-1))))</f>
        <v/>
      </c>
      <c r="M735" s="28">
        <f>IF($H735="","",DATE(YEAR($H735),MONTH($H735),1))</f>
        <v/>
      </c>
      <c r="N735" s="26">
        <f>IF($H735="","",TODAY()-$H735)</f>
        <v/>
      </c>
      <c r="O735" s="15" t="n"/>
      <c r="P735" s="26">
        <f>IF($A735="","",COUNTIFS('Audit Versions'!$A$6:$A$605,$A735,'Audit Versions'!$L$6:$L$605,"Active"))</f>
        <v/>
      </c>
      <c r="Q735" s="15" t="n"/>
      <c r="R735" s="26">
        <f>IF(OR($A735="",$P735=0),"",MOD(N($Q735),$P735)+1)</f>
        <v/>
      </c>
      <c r="S735" s="15" t="n"/>
      <c r="T735" s="25" t="n"/>
      <c r="U735" s="26">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Builder'!$B$12="",N($S735)&lt;='Assignment Builder'!$B$12)))</f>
        <v/>
      </c>
      <c r="V735" s="23" t="n"/>
    </row>
    <row r="736">
      <c r="A736" s="23" t="n"/>
      <c r="B736" s="23" t="n"/>
      <c r="C736" s="24" t="n"/>
      <c r="D736" s="15" t="n"/>
      <c r="E736" s="23" t="n"/>
      <c r="F736" s="15" t="n"/>
      <c r="G736" s="23" t="n"/>
      <c r="H736" s="25" t="n"/>
      <c r="I736" s="15" t="n"/>
      <c r="J736" s="26">
        <f>IF($A736="","",LEN($C736)-LEN(SUBSTITUTE($C736,",",""))+1)</f>
        <v/>
      </c>
      <c r="K736" s="26">
        <f>IF($A736="","",SUMPRODUCT(--ISNUMBER(SEARCH('Category Dictionary'!$D$5:$D$135&amp;"",$C736)),--('Category Dictionary'!$D$5:$D$135&lt;&gt;"")))</f>
        <v/>
      </c>
      <c r="L736" s="27">
        <f>IF($A736="","",TRIM(IF(ISERROR(FIND(",",$C736)),$C736,LEFT($C736,FIND(",",$C736)-1))))</f>
        <v/>
      </c>
      <c r="M736" s="28">
        <f>IF($H736="","",DATE(YEAR($H736),MONTH($H736),1))</f>
        <v/>
      </c>
      <c r="N736" s="26">
        <f>IF($H736="","",TODAY()-$H736)</f>
        <v/>
      </c>
      <c r="O736" s="15" t="n"/>
      <c r="P736" s="26">
        <f>IF($A736="","",COUNTIFS('Audit Versions'!$A$6:$A$605,$A736,'Audit Versions'!$L$6:$L$605,"Active"))</f>
        <v/>
      </c>
      <c r="Q736" s="15" t="n"/>
      <c r="R736" s="26">
        <f>IF(OR($A736="",$P736=0),"",MOD(N($Q736),$P736)+1)</f>
        <v/>
      </c>
      <c r="S736" s="15" t="n"/>
      <c r="T736" s="25" t="n"/>
      <c r="U736" s="26">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Builder'!$B$12="",N($S736)&lt;='Assignment Builder'!$B$12)))</f>
        <v/>
      </c>
      <c r="V736" s="23" t="n"/>
    </row>
    <row r="737">
      <c r="A737" s="23" t="n"/>
      <c r="B737" s="23" t="n"/>
      <c r="C737" s="24" t="n"/>
      <c r="D737" s="15" t="n"/>
      <c r="E737" s="23" t="n"/>
      <c r="F737" s="15" t="n"/>
      <c r="G737" s="23" t="n"/>
      <c r="H737" s="25" t="n"/>
      <c r="I737" s="15" t="n"/>
      <c r="J737" s="26">
        <f>IF($A737="","",LEN($C737)-LEN(SUBSTITUTE($C737,",",""))+1)</f>
        <v/>
      </c>
      <c r="K737" s="26">
        <f>IF($A737="","",SUMPRODUCT(--ISNUMBER(SEARCH('Category Dictionary'!$D$5:$D$135&amp;"",$C737)),--('Category Dictionary'!$D$5:$D$135&lt;&gt;"")))</f>
        <v/>
      </c>
      <c r="L737" s="27">
        <f>IF($A737="","",TRIM(IF(ISERROR(FIND(",",$C737)),$C737,LEFT($C737,FIND(",",$C737)-1))))</f>
        <v/>
      </c>
      <c r="M737" s="28">
        <f>IF($H737="","",DATE(YEAR($H737),MONTH($H737),1))</f>
        <v/>
      </c>
      <c r="N737" s="26">
        <f>IF($H737="","",TODAY()-$H737)</f>
        <v/>
      </c>
      <c r="O737" s="15" t="n"/>
      <c r="P737" s="26">
        <f>IF($A737="","",COUNTIFS('Audit Versions'!$A$6:$A$605,$A737,'Audit Versions'!$L$6:$L$605,"Active"))</f>
        <v/>
      </c>
      <c r="Q737" s="15" t="n"/>
      <c r="R737" s="26">
        <f>IF(OR($A737="",$P737=0),"",MOD(N($Q737),$P737)+1)</f>
        <v/>
      </c>
      <c r="S737" s="15" t="n"/>
      <c r="T737" s="25" t="n"/>
      <c r="U737" s="26">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Builder'!$B$12="",N($S737)&lt;='Assignment Builder'!$B$12)))</f>
        <v/>
      </c>
      <c r="V737" s="23" t="n"/>
    </row>
    <row r="738">
      <c r="A738" s="23" t="n"/>
      <c r="B738" s="23" t="n"/>
      <c r="C738" s="24" t="n"/>
      <c r="D738" s="15" t="n"/>
      <c r="E738" s="23" t="n"/>
      <c r="F738" s="15" t="n"/>
      <c r="G738" s="23" t="n"/>
      <c r="H738" s="25" t="n"/>
      <c r="I738" s="15" t="n"/>
      <c r="J738" s="26">
        <f>IF($A738="","",LEN($C738)-LEN(SUBSTITUTE($C738,",",""))+1)</f>
        <v/>
      </c>
      <c r="K738" s="26">
        <f>IF($A738="","",SUMPRODUCT(--ISNUMBER(SEARCH('Category Dictionary'!$D$5:$D$135&amp;"",$C738)),--('Category Dictionary'!$D$5:$D$135&lt;&gt;"")))</f>
        <v/>
      </c>
      <c r="L738" s="27">
        <f>IF($A738="","",TRIM(IF(ISERROR(FIND(",",$C738)),$C738,LEFT($C738,FIND(",",$C738)-1))))</f>
        <v/>
      </c>
      <c r="M738" s="28">
        <f>IF($H738="","",DATE(YEAR($H738),MONTH($H738),1))</f>
        <v/>
      </c>
      <c r="N738" s="26">
        <f>IF($H738="","",TODAY()-$H738)</f>
        <v/>
      </c>
      <c r="O738" s="15" t="n"/>
      <c r="P738" s="26">
        <f>IF($A738="","",COUNTIFS('Audit Versions'!$A$6:$A$605,$A738,'Audit Versions'!$L$6:$L$605,"Active"))</f>
        <v/>
      </c>
      <c r="Q738" s="15" t="n"/>
      <c r="R738" s="26">
        <f>IF(OR($A738="",$P738=0),"",MOD(N($Q738),$P738)+1)</f>
        <v/>
      </c>
      <c r="S738" s="15" t="n"/>
      <c r="T738" s="25" t="n"/>
      <c r="U738" s="26">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Builder'!$B$12="",N($S738)&lt;='Assignment Builder'!$B$12)))</f>
        <v/>
      </c>
      <c r="V738" s="23" t="n"/>
    </row>
    <row r="739">
      <c r="A739" s="23" t="n"/>
      <c r="B739" s="23" t="n"/>
      <c r="C739" s="24" t="n"/>
      <c r="D739" s="15" t="n"/>
      <c r="E739" s="23" t="n"/>
      <c r="F739" s="15" t="n"/>
      <c r="G739" s="23" t="n"/>
      <c r="H739" s="25" t="n"/>
      <c r="I739" s="15" t="n"/>
      <c r="J739" s="26">
        <f>IF($A739="","",LEN($C739)-LEN(SUBSTITUTE($C739,",",""))+1)</f>
        <v/>
      </c>
      <c r="K739" s="26">
        <f>IF($A739="","",SUMPRODUCT(--ISNUMBER(SEARCH('Category Dictionary'!$D$5:$D$135&amp;"",$C739)),--('Category Dictionary'!$D$5:$D$135&lt;&gt;"")))</f>
        <v/>
      </c>
      <c r="L739" s="27">
        <f>IF($A739="","",TRIM(IF(ISERROR(FIND(",",$C739)),$C739,LEFT($C739,FIND(",",$C739)-1))))</f>
        <v/>
      </c>
      <c r="M739" s="28">
        <f>IF($H739="","",DATE(YEAR($H739),MONTH($H739),1))</f>
        <v/>
      </c>
      <c r="N739" s="26">
        <f>IF($H739="","",TODAY()-$H739)</f>
        <v/>
      </c>
      <c r="O739" s="15" t="n"/>
      <c r="P739" s="26">
        <f>IF($A739="","",COUNTIFS('Audit Versions'!$A$6:$A$605,$A739,'Audit Versions'!$L$6:$L$605,"Active"))</f>
        <v/>
      </c>
      <c r="Q739" s="15" t="n"/>
      <c r="R739" s="26">
        <f>IF(OR($A739="",$P739=0),"",MOD(N($Q739),$P739)+1)</f>
        <v/>
      </c>
      <c r="S739" s="15" t="n"/>
      <c r="T739" s="25" t="n"/>
      <c r="U739" s="26">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Builder'!$B$12="",N($S739)&lt;='Assignment Builder'!$B$12)))</f>
        <v/>
      </c>
      <c r="V739" s="23" t="n"/>
    </row>
    <row r="740">
      <c r="A740" s="23" t="n"/>
      <c r="B740" s="23" t="n"/>
      <c r="C740" s="24" t="n"/>
      <c r="D740" s="15" t="n"/>
      <c r="E740" s="23" t="n"/>
      <c r="F740" s="15" t="n"/>
      <c r="G740" s="23" t="n"/>
      <c r="H740" s="25" t="n"/>
      <c r="I740" s="15" t="n"/>
      <c r="J740" s="26">
        <f>IF($A740="","",LEN($C740)-LEN(SUBSTITUTE($C740,",",""))+1)</f>
        <v/>
      </c>
      <c r="K740" s="26">
        <f>IF($A740="","",SUMPRODUCT(--ISNUMBER(SEARCH('Category Dictionary'!$D$5:$D$135&amp;"",$C740)),--('Category Dictionary'!$D$5:$D$135&lt;&gt;"")))</f>
        <v/>
      </c>
      <c r="L740" s="27">
        <f>IF($A740="","",TRIM(IF(ISERROR(FIND(",",$C740)),$C740,LEFT($C740,FIND(",",$C740)-1))))</f>
        <v/>
      </c>
      <c r="M740" s="28">
        <f>IF($H740="","",DATE(YEAR($H740),MONTH($H740),1))</f>
        <v/>
      </c>
      <c r="N740" s="26">
        <f>IF($H740="","",TODAY()-$H740)</f>
        <v/>
      </c>
      <c r="O740" s="15" t="n"/>
      <c r="P740" s="26">
        <f>IF($A740="","",COUNTIFS('Audit Versions'!$A$6:$A$605,$A740,'Audit Versions'!$L$6:$L$605,"Active"))</f>
        <v/>
      </c>
      <c r="Q740" s="15" t="n"/>
      <c r="R740" s="26">
        <f>IF(OR($A740="",$P740=0),"",MOD(N($Q740),$P740)+1)</f>
        <v/>
      </c>
      <c r="S740" s="15" t="n"/>
      <c r="T740" s="25" t="n"/>
      <c r="U740" s="26">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Builder'!$B$12="",N($S740)&lt;='Assignment Builder'!$B$12)))</f>
        <v/>
      </c>
      <c r="V740" s="23" t="n"/>
    </row>
    <row r="741">
      <c r="A741" s="23" t="n"/>
      <c r="B741" s="23" t="n"/>
      <c r="C741" s="24" t="n"/>
      <c r="D741" s="15" t="n"/>
      <c r="E741" s="23" t="n"/>
      <c r="F741" s="15" t="n"/>
      <c r="G741" s="23" t="n"/>
      <c r="H741" s="25" t="n"/>
      <c r="I741" s="15" t="n"/>
      <c r="J741" s="26">
        <f>IF($A741="","",LEN($C741)-LEN(SUBSTITUTE($C741,",",""))+1)</f>
        <v/>
      </c>
      <c r="K741" s="26">
        <f>IF($A741="","",SUMPRODUCT(--ISNUMBER(SEARCH('Category Dictionary'!$D$5:$D$135&amp;"",$C741)),--('Category Dictionary'!$D$5:$D$135&lt;&gt;"")))</f>
        <v/>
      </c>
      <c r="L741" s="27">
        <f>IF($A741="","",TRIM(IF(ISERROR(FIND(",",$C741)),$C741,LEFT($C741,FIND(",",$C741)-1))))</f>
        <v/>
      </c>
      <c r="M741" s="28">
        <f>IF($H741="","",DATE(YEAR($H741),MONTH($H741),1))</f>
        <v/>
      </c>
      <c r="N741" s="26">
        <f>IF($H741="","",TODAY()-$H741)</f>
        <v/>
      </c>
      <c r="O741" s="15" t="n"/>
      <c r="P741" s="26">
        <f>IF($A741="","",COUNTIFS('Audit Versions'!$A$6:$A$605,$A741,'Audit Versions'!$L$6:$L$605,"Active"))</f>
        <v/>
      </c>
      <c r="Q741" s="15" t="n"/>
      <c r="R741" s="26">
        <f>IF(OR($A741="",$P741=0),"",MOD(N($Q741),$P741)+1)</f>
        <v/>
      </c>
      <c r="S741" s="15" t="n"/>
      <c r="T741" s="25" t="n"/>
      <c r="U741" s="26">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Builder'!$B$12="",N($S741)&lt;='Assignment Builder'!$B$12)))</f>
        <v/>
      </c>
      <c r="V741" s="23" t="n"/>
    </row>
    <row r="742">
      <c r="A742" s="23" t="n"/>
      <c r="B742" s="23" t="n"/>
      <c r="C742" s="24" t="n"/>
      <c r="D742" s="15" t="n"/>
      <c r="E742" s="23" t="n"/>
      <c r="F742" s="15" t="n"/>
      <c r="G742" s="23" t="n"/>
      <c r="H742" s="25" t="n"/>
      <c r="I742" s="15" t="n"/>
      <c r="J742" s="26">
        <f>IF($A742="","",LEN($C742)-LEN(SUBSTITUTE($C742,",",""))+1)</f>
        <v/>
      </c>
      <c r="K742" s="26">
        <f>IF($A742="","",SUMPRODUCT(--ISNUMBER(SEARCH('Category Dictionary'!$D$5:$D$135&amp;"",$C742)),--('Category Dictionary'!$D$5:$D$135&lt;&gt;"")))</f>
        <v/>
      </c>
      <c r="L742" s="27">
        <f>IF($A742="","",TRIM(IF(ISERROR(FIND(",",$C742)),$C742,LEFT($C742,FIND(",",$C742)-1))))</f>
        <v/>
      </c>
      <c r="M742" s="28">
        <f>IF($H742="","",DATE(YEAR($H742),MONTH($H742),1))</f>
        <v/>
      </c>
      <c r="N742" s="26">
        <f>IF($H742="","",TODAY()-$H742)</f>
        <v/>
      </c>
      <c r="O742" s="15" t="n"/>
      <c r="P742" s="26">
        <f>IF($A742="","",COUNTIFS('Audit Versions'!$A$6:$A$605,$A742,'Audit Versions'!$L$6:$L$605,"Active"))</f>
        <v/>
      </c>
      <c r="Q742" s="15" t="n"/>
      <c r="R742" s="26">
        <f>IF(OR($A742="",$P742=0),"",MOD(N($Q742),$P742)+1)</f>
        <v/>
      </c>
      <c r="S742" s="15" t="n"/>
      <c r="T742" s="25" t="n"/>
      <c r="U742" s="26">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Builder'!$B$12="",N($S742)&lt;='Assignment Builder'!$B$12)))</f>
        <v/>
      </c>
      <c r="V742" s="23" t="n"/>
    </row>
    <row r="743">
      <c r="A743" s="23" t="n"/>
      <c r="B743" s="23" t="n"/>
      <c r="C743" s="24" t="n"/>
      <c r="D743" s="15" t="n"/>
      <c r="E743" s="23" t="n"/>
      <c r="F743" s="15" t="n"/>
      <c r="G743" s="23" t="n"/>
      <c r="H743" s="25" t="n"/>
      <c r="I743" s="15" t="n"/>
      <c r="J743" s="26">
        <f>IF($A743="","",LEN($C743)-LEN(SUBSTITUTE($C743,",",""))+1)</f>
        <v/>
      </c>
      <c r="K743" s="26">
        <f>IF($A743="","",SUMPRODUCT(--ISNUMBER(SEARCH('Category Dictionary'!$D$5:$D$135&amp;"",$C743)),--('Category Dictionary'!$D$5:$D$135&lt;&gt;"")))</f>
        <v/>
      </c>
      <c r="L743" s="27">
        <f>IF($A743="","",TRIM(IF(ISERROR(FIND(",",$C743)),$C743,LEFT($C743,FIND(",",$C743)-1))))</f>
        <v/>
      </c>
      <c r="M743" s="28">
        <f>IF($H743="","",DATE(YEAR($H743),MONTH($H743),1))</f>
        <v/>
      </c>
      <c r="N743" s="26">
        <f>IF($H743="","",TODAY()-$H743)</f>
        <v/>
      </c>
      <c r="O743" s="15" t="n"/>
      <c r="P743" s="26">
        <f>IF($A743="","",COUNTIFS('Audit Versions'!$A$6:$A$605,$A743,'Audit Versions'!$L$6:$L$605,"Active"))</f>
        <v/>
      </c>
      <c r="Q743" s="15" t="n"/>
      <c r="R743" s="26">
        <f>IF(OR($A743="",$P743=0),"",MOD(N($Q743),$P743)+1)</f>
        <v/>
      </c>
      <c r="S743" s="15" t="n"/>
      <c r="T743" s="25" t="n"/>
      <c r="U743" s="26">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Builder'!$B$12="",N($S743)&lt;='Assignment Builder'!$B$12)))</f>
        <v/>
      </c>
      <c r="V743" s="23" t="n"/>
    </row>
    <row r="744">
      <c r="A744" s="23" t="n"/>
      <c r="B744" s="23" t="n"/>
      <c r="C744" s="24" t="n"/>
      <c r="D744" s="15" t="n"/>
      <c r="E744" s="23" t="n"/>
      <c r="F744" s="15" t="n"/>
      <c r="G744" s="23" t="n"/>
      <c r="H744" s="25" t="n"/>
      <c r="I744" s="15" t="n"/>
      <c r="J744" s="26">
        <f>IF($A744="","",LEN($C744)-LEN(SUBSTITUTE($C744,",",""))+1)</f>
        <v/>
      </c>
      <c r="K744" s="26">
        <f>IF($A744="","",SUMPRODUCT(--ISNUMBER(SEARCH('Category Dictionary'!$D$5:$D$135&amp;"",$C744)),--('Category Dictionary'!$D$5:$D$135&lt;&gt;"")))</f>
        <v/>
      </c>
      <c r="L744" s="27">
        <f>IF($A744="","",TRIM(IF(ISERROR(FIND(",",$C744)),$C744,LEFT($C744,FIND(",",$C744)-1))))</f>
        <v/>
      </c>
      <c r="M744" s="28">
        <f>IF($H744="","",DATE(YEAR($H744),MONTH($H744),1))</f>
        <v/>
      </c>
      <c r="N744" s="26">
        <f>IF($H744="","",TODAY()-$H744)</f>
        <v/>
      </c>
      <c r="O744" s="15" t="n"/>
      <c r="P744" s="26">
        <f>IF($A744="","",COUNTIFS('Audit Versions'!$A$6:$A$605,$A744,'Audit Versions'!$L$6:$L$605,"Active"))</f>
        <v/>
      </c>
      <c r="Q744" s="15" t="n"/>
      <c r="R744" s="26">
        <f>IF(OR($A744="",$P744=0),"",MOD(N($Q744),$P744)+1)</f>
        <v/>
      </c>
      <c r="S744" s="15" t="n"/>
      <c r="T744" s="25" t="n"/>
      <c r="U744" s="26">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Builder'!$B$12="",N($S744)&lt;='Assignment Builder'!$B$12)))</f>
        <v/>
      </c>
      <c r="V744" s="23" t="n"/>
    </row>
    <row r="745">
      <c r="A745" s="23" t="n"/>
      <c r="B745" s="23" t="n"/>
      <c r="C745" s="24" t="n"/>
      <c r="D745" s="15" t="n"/>
      <c r="E745" s="23" t="n"/>
      <c r="F745" s="15" t="n"/>
      <c r="G745" s="23" t="n"/>
      <c r="H745" s="25" t="n"/>
      <c r="I745" s="15" t="n"/>
      <c r="J745" s="26">
        <f>IF($A745="","",LEN($C745)-LEN(SUBSTITUTE($C745,",",""))+1)</f>
        <v/>
      </c>
      <c r="K745" s="26">
        <f>IF($A745="","",SUMPRODUCT(--ISNUMBER(SEARCH('Category Dictionary'!$D$5:$D$135&amp;"",$C745)),--('Category Dictionary'!$D$5:$D$135&lt;&gt;"")))</f>
        <v/>
      </c>
      <c r="L745" s="27">
        <f>IF($A745="","",TRIM(IF(ISERROR(FIND(",",$C745)),$C745,LEFT($C745,FIND(",",$C745)-1))))</f>
        <v/>
      </c>
      <c r="M745" s="28">
        <f>IF($H745="","",DATE(YEAR($H745),MONTH($H745),1))</f>
        <v/>
      </c>
      <c r="N745" s="26">
        <f>IF($H745="","",TODAY()-$H745)</f>
        <v/>
      </c>
      <c r="O745" s="15" t="n"/>
      <c r="P745" s="26">
        <f>IF($A745="","",COUNTIFS('Audit Versions'!$A$6:$A$605,$A745,'Audit Versions'!$L$6:$L$605,"Active"))</f>
        <v/>
      </c>
      <c r="Q745" s="15" t="n"/>
      <c r="R745" s="26">
        <f>IF(OR($A745="",$P745=0),"",MOD(N($Q745),$P745)+1)</f>
        <v/>
      </c>
      <c r="S745" s="15" t="n"/>
      <c r="T745" s="25" t="n"/>
      <c r="U745" s="26">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Builder'!$B$12="",N($S745)&lt;='Assignment Builder'!$B$12)))</f>
        <v/>
      </c>
      <c r="V745" s="23" t="n"/>
    </row>
    <row r="746">
      <c r="A746" s="23" t="n"/>
      <c r="B746" s="23" t="n"/>
      <c r="C746" s="24" t="n"/>
      <c r="D746" s="15" t="n"/>
      <c r="E746" s="23" t="n"/>
      <c r="F746" s="15" t="n"/>
      <c r="G746" s="23" t="n"/>
      <c r="H746" s="25" t="n"/>
      <c r="I746" s="15" t="n"/>
      <c r="J746" s="26">
        <f>IF($A746="","",LEN($C746)-LEN(SUBSTITUTE($C746,",",""))+1)</f>
        <v/>
      </c>
      <c r="K746" s="26">
        <f>IF($A746="","",SUMPRODUCT(--ISNUMBER(SEARCH('Category Dictionary'!$D$5:$D$135&amp;"",$C746)),--('Category Dictionary'!$D$5:$D$135&lt;&gt;"")))</f>
        <v/>
      </c>
      <c r="L746" s="27">
        <f>IF($A746="","",TRIM(IF(ISERROR(FIND(",",$C746)),$C746,LEFT($C746,FIND(",",$C746)-1))))</f>
        <v/>
      </c>
      <c r="M746" s="28">
        <f>IF($H746="","",DATE(YEAR($H746),MONTH($H746),1))</f>
        <v/>
      </c>
      <c r="N746" s="26">
        <f>IF($H746="","",TODAY()-$H746)</f>
        <v/>
      </c>
      <c r="O746" s="15" t="n"/>
      <c r="P746" s="26">
        <f>IF($A746="","",COUNTIFS('Audit Versions'!$A$6:$A$605,$A746,'Audit Versions'!$L$6:$L$605,"Active"))</f>
        <v/>
      </c>
      <c r="Q746" s="15" t="n"/>
      <c r="R746" s="26">
        <f>IF(OR($A746="",$P746=0),"",MOD(N($Q746),$P746)+1)</f>
        <v/>
      </c>
      <c r="S746" s="15" t="n"/>
      <c r="T746" s="25" t="n"/>
      <c r="U746" s="26">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Builder'!$B$12="",N($S746)&lt;='Assignment Builder'!$B$12)))</f>
        <v/>
      </c>
      <c r="V746" s="23" t="n"/>
    </row>
    <row r="747">
      <c r="A747" s="23" t="n"/>
      <c r="B747" s="23" t="n"/>
      <c r="C747" s="24" t="n"/>
      <c r="D747" s="15" t="n"/>
      <c r="E747" s="23" t="n"/>
      <c r="F747" s="15" t="n"/>
      <c r="G747" s="23" t="n"/>
      <c r="H747" s="25" t="n"/>
      <c r="I747" s="15" t="n"/>
      <c r="J747" s="26">
        <f>IF($A747="","",LEN($C747)-LEN(SUBSTITUTE($C747,",",""))+1)</f>
        <v/>
      </c>
      <c r="K747" s="26">
        <f>IF($A747="","",SUMPRODUCT(--ISNUMBER(SEARCH('Category Dictionary'!$D$5:$D$135&amp;"",$C747)),--('Category Dictionary'!$D$5:$D$135&lt;&gt;"")))</f>
        <v/>
      </c>
      <c r="L747" s="27">
        <f>IF($A747="","",TRIM(IF(ISERROR(FIND(",",$C747)),$C747,LEFT($C747,FIND(",",$C747)-1))))</f>
        <v/>
      </c>
      <c r="M747" s="28">
        <f>IF($H747="","",DATE(YEAR($H747),MONTH($H747),1))</f>
        <v/>
      </c>
      <c r="N747" s="26">
        <f>IF($H747="","",TODAY()-$H747)</f>
        <v/>
      </c>
      <c r="O747" s="15" t="n"/>
      <c r="P747" s="26">
        <f>IF($A747="","",COUNTIFS('Audit Versions'!$A$6:$A$605,$A747,'Audit Versions'!$L$6:$L$605,"Active"))</f>
        <v/>
      </c>
      <c r="Q747" s="15" t="n"/>
      <c r="R747" s="26">
        <f>IF(OR($A747="",$P747=0),"",MOD(N($Q747),$P747)+1)</f>
        <v/>
      </c>
      <c r="S747" s="15" t="n"/>
      <c r="T747" s="25" t="n"/>
      <c r="U747" s="26">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Builder'!$B$12="",N($S747)&lt;='Assignment Builder'!$B$12)))</f>
        <v/>
      </c>
      <c r="V747" s="23" t="n"/>
    </row>
    <row r="748">
      <c r="A748" s="23" t="n"/>
      <c r="B748" s="23" t="n"/>
      <c r="C748" s="24" t="n"/>
      <c r="D748" s="15" t="n"/>
      <c r="E748" s="23" t="n"/>
      <c r="F748" s="15" t="n"/>
      <c r="G748" s="23" t="n"/>
      <c r="H748" s="25" t="n"/>
      <c r="I748" s="15" t="n"/>
      <c r="J748" s="26">
        <f>IF($A748="","",LEN($C748)-LEN(SUBSTITUTE($C748,",",""))+1)</f>
        <v/>
      </c>
      <c r="K748" s="26">
        <f>IF($A748="","",SUMPRODUCT(--ISNUMBER(SEARCH('Category Dictionary'!$D$5:$D$135&amp;"",$C748)),--('Category Dictionary'!$D$5:$D$135&lt;&gt;"")))</f>
        <v/>
      </c>
      <c r="L748" s="27">
        <f>IF($A748="","",TRIM(IF(ISERROR(FIND(",",$C748)),$C748,LEFT($C748,FIND(",",$C748)-1))))</f>
        <v/>
      </c>
      <c r="M748" s="28">
        <f>IF($H748="","",DATE(YEAR($H748),MONTH($H748),1))</f>
        <v/>
      </c>
      <c r="N748" s="26">
        <f>IF($H748="","",TODAY()-$H748)</f>
        <v/>
      </c>
      <c r="O748" s="15" t="n"/>
      <c r="P748" s="26">
        <f>IF($A748="","",COUNTIFS('Audit Versions'!$A$6:$A$605,$A748,'Audit Versions'!$L$6:$L$605,"Active"))</f>
        <v/>
      </c>
      <c r="Q748" s="15" t="n"/>
      <c r="R748" s="26">
        <f>IF(OR($A748="",$P748=0),"",MOD(N($Q748),$P748)+1)</f>
        <v/>
      </c>
      <c r="S748" s="15" t="n"/>
      <c r="T748" s="25" t="n"/>
      <c r="U748" s="26">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Builder'!$B$12="",N($S748)&lt;='Assignment Builder'!$B$12)))</f>
        <v/>
      </c>
      <c r="V748" s="23" t="n"/>
    </row>
    <row r="749">
      <c r="A749" s="23" t="n"/>
      <c r="B749" s="23" t="n"/>
      <c r="C749" s="24" t="n"/>
      <c r="D749" s="15" t="n"/>
      <c r="E749" s="23" t="n"/>
      <c r="F749" s="15" t="n"/>
      <c r="G749" s="23" t="n"/>
      <c r="H749" s="25" t="n"/>
      <c r="I749" s="15" t="n"/>
      <c r="J749" s="26">
        <f>IF($A749="","",LEN($C749)-LEN(SUBSTITUTE($C749,",",""))+1)</f>
        <v/>
      </c>
      <c r="K749" s="26">
        <f>IF($A749="","",SUMPRODUCT(--ISNUMBER(SEARCH('Category Dictionary'!$D$5:$D$135&amp;"",$C749)),--('Category Dictionary'!$D$5:$D$135&lt;&gt;"")))</f>
        <v/>
      </c>
      <c r="L749" s="27">
        <f>IF($A749="","",TRIM(IF(ISERROR(FIND(",",$C749)),$C749,LEFT($C749,FIND(",",$C749)-1))))</f>
        <v/>
      </c>
      <c r="M749" s="28">
        <f>IF($H749="","",DATE(YEAR($H749),MONTH($H749),1))</f>
        <v/>
      </c>
      <c r="N749" s="26">
        <f>IF($H749="","",TODAY()-$H749)</f>
        <v/>
      </c>
      <c r="O749" s="15" t="n"/>
      <c r="P749" s="26">
        <f>IF($A749="","",COUNTIFS('Audit Versions'!$A$6:$A$605,$A749,'Audit Versions'!$L$6:$L$605,"Active"))</f>
        <v/>
      </c>
      <c r="Q749" s="15" t="n"/>
      <c r="R749" s="26">
        <f>IF(OR($A749="",$P749=0),"",MOD(N($Q749),$P749)+1)</f>
        <v/>
      </c>
      <c r="S749" s="15" t="n"/>
      <c r="T749" s="25" t="n"/>
      <c r="U749" s="26">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Builder'!$B$12="",N($S749)&lt;='Assignment Builder'!$B$12)))</f>
        <v/>
      </c>
      <c r="V749" s="23" t="n"/>
    </row>
    <row r="750">
      <c r="A750" s="23" t="n"/>
      <c r="B750" s="23" t="n"/>
      <c r="C750" s="24" t="n"/>
      <c r="D750" s="15" t="n"/>
      <c r="E750" s="23" t="n"/>
      <c r="F750" s="15" t="n"/>
      <c r="G750" s="23" t="n"/>
      <c r="H750" s="25" t="n"/>
      <c r="I750" s="15" t="n"/>
      <c r="J750" s="26">
        <f>IF($A750="","",LEN($C750)-LEN(SUBSTITUTE($C750,",",""))+1)</f>
        <v/>
      </c>
      <c r="K750" s="26">
        <f>IF($A750="","",SUMPRODUCT(--ISNUMBER(SEARCH('Category Dictionary'!$D$5:$D$135&amp;"",$C750)),--('Category Dictionary'!$D$5:$D$135&lt;&gt;"")))</f>
        <v/>
      </c>
      <c r="L750" s="27">
        <f>IF($A750="","",TRIM(IF(ISERROR(FIND(",",$C750)),$C750,LEFT($C750,FIND(",",$C750)-1))))</f>
        <v/>
      </c>
      <c r="M750" s="28">
        <f>IF($H750="","",DATE(YEAR($H750),MONTH($H750),1))</f>
        <v/>
      </c>
      <c r="N750" s="26">
        <f>IF($H750="","",TODAY()-$H750)</f>
        <v/>
      </c>
      <c r="O750" s="15" t="n"/>
      <c r="P750" s="26">
        <f>IF($A750="","",COUNTIFS('Audit Versions'!$A$6:$A$605,$A750,'Audit Versions'!$L$6:$L$605,"Active"))</f>
        <v/>
      </c>
      <c r="Q750" s="15" t="n"/>
      <c r="R750" s="26">
        <f>IF(OR($A750="",$P750=0),"",MOD(N($Q750),$P750)+1)</f>
        <v/>
      </c>
      <c r="S750" s="15" t="n"/>
      <c r="T750" s="25" t="n"/>
      <c r="U750" s="26">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Builder'!$B$12="",N($S750)&lt;='Assignment Builder'!$B$12)))</f>
        <v/>
      </c>
      <c r="V750" s="23" t="n"/>
    </row>
    <row r="751">
      <c r="A751" s="23" t="n"/>
      <c r="B751" s="23" t="n"/>
      <c r="C751" s="24" t="n"/>
      <c r="D751" s="15" t="n"/>
      <c r="E751" s="23" t="n"/>
      <c r="F751" s="15" t="n"/>
      <c r="G751" s="23" t="n"/>
      <c r="H751" s="25" t="n"/>
      <c r="I751" s="15" t="n"/>
      <c r="J751" s="26">
        <f>IF($A751="","",LEN($C751)-LEN(SUBSTITUTE($C751,",",""))+1)</f>
        <v/>
      </c>
      <c r="K751" s="26">
        <f>IF($A751="","",SUMPRODUCT(--ISNUMBER(SEARCH('Category Dictionary'!$D$5:$D$135&amp;"",$C751)),--('Category Dictionary'!$D$5:$D$135&lt;&gt;"")))</f>
        <v/>
      </c>
      <c r="L751" s="27">
        <f>IF($A751="","",TRIM(IF(ISERROR(FIND(",",$C751)),$C751,LEFT($C751,FIND(",",$C751)-1))))</f>
        <v/>
      </c>
      <c r="M751" s="28">
        <f>IF($H751="","",DATE(YEAR($H751),MONTH($H751),1))</f>
        <v/>
      </c>
      <c r="N751" s="26">
        <f>IF($H751="","",TODAY()-$H751)</f>
        <v/>
      </c>
      <c r="O751" s="15" t="n"/>
      <c r="P751" s="26">
        <f>IF($A751="","",COUNTIFS('Audit Versions'!$A$6:$A$605,$A751,'Audit Versions'!$L$6:$L$605,"Active"))</f>
        <v/>
      </c>
      <c r="Q751" s="15" t="n"/>
      <c r="R751" s="26">
        <f>IF(OR($A751="",$P751=0),"",MOD(N($Q751),$P751)+1)</f>
        <v/>
      </c>
      <c r="S751" s="15" t="n"/>
      <c r="T751" s="25" t="n"/>
      <c r="U751" s="26">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Builder'!$B$12="",N($S751)&lt;='Assignment Builder'!$B$12)))</f>
        <v/>
      </c>
      <c r="V751" s="23" t="n"/>
    </row>
    <row r="752">
      <c r="A752" s="23" t="n"/>
      <c r="B752" s="23" t="n"/>
      <c r="C752" s="24" t="n"/>
      <c r="D752" s="15" t="n"/>
      <c r="E752" s="23" t="n"/>
      <c r="F752" s="15" t="n"/>
      <c r="G752" s="23" t="n"/>
      <c r="H752" s="25" t="n"/>
      <c r="I752" s="15" t="n"/>
      <c r="J752" s="26">
        <f>IF($A752="","",LEN($C752)-LEN(SUBSTITUTE($C752,",",""))+1)</f>
        <v/>
      </c>
      <c r="K752" s="26">
        <f>IF($A752="","",SUMPRODUCT(--ISNUMBER(SEARCH('Category Dictionary'!$D$5:$D$135&amp;"",$C752)),--('Category Dictionary'!$D$5:$D$135&lt;&gt;"")))</f>
        <v/>
      </c>
      <c r="L752" s="27">
        <f>IF($A752="","",TRIM(IF(ISERROR(FIND(",",$C752)),$C752,LEFT($C752,FIND(",",$C752)-1))))</f>
        <v/>
      </c>
      <c r="M752" s="28">
        <f>IF($H752="","",DATE(YEAR($H752),MONTH($H752),1))</f>
        <v/>
      </c>
      <c r="N752" s="26">
        <f>IF($H752="","",TODAY()-$H752)</f>
        <v/>
      </c>
      <c r="O752" s="15" t="n"/>
      <c r="P752" s="26">
        <f>IF($A752="","",COUNTIFS('Audit Versions'!$A$6:$A$605,$A752,'Audit Versions'!$L$6:$L$605,"Active"))</f>
        <v/>
      </c>
      <c r="Q752" s="15" t="n"/>
      <c r="R752" s="26">
        <f>IF(OR($A752="",$P752=0),"",MOD(N($Q752),$P752)+1)</f>
        <v/>
      </c>
      <c r="S752" s="15" t="n"/>
      <c r="T752" s="25" t="n"/>
      <c r="U752" s="26">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Builder'!$B$12="",N($S752)&lt;='Assignment Builder'!$B$12)))</f>
        <v/>
      </c>
      <c r="V752" s="23" t="n"/>
    </row>
    <row r="753">
      <c r="A753" s="23" t="n"/>
      <c r="B753" s="23" t="n"/>
      <c r="C753" s="24" t="n"/>
      <c r="D753" s="15" t="n"/>
      <c r="E753" s="23" t="n"/>
      <c r="F753" s="15" t="n"/>
      <c r="G753" s="23" t="n"/>
      <c r="H753" s="25" t="n"/>
      <c r="I753" s="15" t="n"/>
      <c r="J753" s="26">
        <f>IF($A753="","",LEN($C753)-LEN(SUBSTITUTE($C753,",",""))+1)</f>
        <v/>
      </c>
      <c r="K753" s="26">
        <f>IF($A753="","",SUMPRODUCT(--ISNUMBER(SEARCH('Category Dictionary'!$D$5:$D$135&amp;"",$C753)),--('Category Dictionary'!$D$5:$D$135&lt;&gt;"")))</f>
        <v/>
      </c>
      <c r="L753" s="27">
        <f>IF($A753="","",TRIM(IF(ISERROR(FIND(",",$C753)),$C753,LEFT($C753,FIND(",",$C753)-1))))</f>
        <v/>
      </c>
      <c r="M753" s="28">
        <f>IF($H753="","",DATE(YEAR($H753),MONTH($H753),1))</f>
        <v/>
      </c>
      <c r="N753" s="26">
        <f>IF($H753="","",TODAY()-$H753)</f>
        <v/>
      </c>
      <c r="O753" s="15" t="n"/>
      <c r="P753" s="26">
        <f>IF($A753="","",COUNTIFS('Audit Versions'!$A$6:$A$605,$A753,'Audit Versions'!$L$6:$L$605,"Active"))</f>
        <v/>
      </c>
      <c r="Q753" s="15" t="n"/>
      <c r="R753" s="26">
        <f>IF(OR($A753="",$P753=0),"",MOD(N($Q753),$P753)+1)</f>
        <v/>
      </c>
      <c r="S753" s="15" t="n"/>
      <c r="T753" s="25" t="n"/>
      <c r="U753" s="26">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Builder'!$B$12="",N($S753)&lt;='Assignment Builder'!$B$12)))</f>
        <v/>
      </c>
      <c r="V753" s="23" t="n"/>
    </row>
    <row r="754">
      <c r="A754" s="23" t="n"/>
      <c r="B754" s="23" t="n"/>
      <c r="C754" s="24" t="n"/>
      <c r="D754" s="15" t="n"/>
      <c r="E754" s="23" t="n"/>
      <c r="F754" s="15" t="n"/>
      <c r="G754" s="23" t="n"/>
      <c r="H754" s="25" t="n"/>
      <c r="I754" s="15" t="n"/>
      <c r="J754" s="26">
        <f>IF($A754="","",LEN($C754)-LEN(SUBSTITUTE($C754,",",""))+1)</f>
        <v/>
      </c>
      <c r="K754" s="26">
        <f>IF($A754="","",SUMPRODUCT(--ISNUMBER(SEARCH('Category Dictionary'!$D$5:$D$135&amp;"",$C754)),--('Category Dictionary'!$D$5:$D$135&lt;&gt;"")))</f>
        <v/>
      </c>
      <c r="L754" s="27">
        <f>IF($A754="","",TRIM(IF(ISERROR(FIND(",",$C754)),$C754,LEFT($C754,FIND(",",$C754)-1))))</f>
        <v/>
      </c>
      <c r="M754" s="28">
        <f>IF($H754="","",DATE(YEAR($H754),MONTH($H754),1))</f>
        <v/>
      </c>
      <c r="N754" s="26">
        <f>IF($H754="","",TODAY()-$H754)</f>
        <v/>
      </c>
      <c r="O754" s="15" t="n"/>
      <c r="P754" s="26">
        <f>IF($A754="","",COUNTIFS('Audit Versions'!$A$6:$A$605,$A754,'Audit Versions'!$L$6:$L$605,"Active"))</f>
        <v/>
      </c>
      <c r="Q754" s="15" t="n"/>
      <c r="R754" s="26">
        <f>IF(OR($A754="",$P754=0),"",MOD(N($Q754),$P754)+1)</f>
        <v/>
      </c>
      <c r="S754" s="15" t="n"/>
      <c r="T754" s="25" t="n"/>
      <c r="U754" s="26">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Builder'!$B$12="",N($S754)&lt;='Assignment Builder'!$B$12)))</f>
        <v/>
      </c>
      <c r="V754" s="23" t="n"/>
    </row>
    <row r="755">
      <c r="A755" s="23" t="n"/>
      <c r="B755" s="23" t="n"/>
      <c r="C755" s="24" t="n"/>
      <c r="D755" s="15" t="n"/>
      <c r="E755" s="23" t="n"/>
      <c r="F755" s="15" t="n"/>
      <c r="G755" s="23" t="n"/>
      <c r="H755" s="25" t="n"/>
      <c r="I755" s="15" t="n"/>
      <c r="J755" s="26">
        <f>IF($A755="","",LEN($C755)-LEN(SUBSTITUTE($C755,",",""))+1)</f>
        <v/>
      </c>
      <c r="K755" s="26">
        <f>IF($A755="","",SUMPRODUCT(--ISNUMBER(SEARCH('Category Dictionary'!$D$5:$D$135&amp;"",$C755)),--('Category Dictionary'!$D$5:$D$135&lt;&gt;"")))</f>
        <v/>
      </c>
      <c r="L755" s="27">
        <f>IF($A755="","",TRIM(IF(ISERROR(FIND(",",$C755)),$C755,LEFT($C755,FIND(",",$C755)-1))))</f>
        <v/>
      </c>
      <c r="M755" s="28">
        <f>IF($H755="","",DATE(YEAR($H755),MONTH($H755),1))</f>
        <v/>
      </c>
      <c r="N755" s="26">
        <f>IF($H755="","",TODAY()-$H755)</f>
        <v/>
      </c>
      <c r="O755" s="15" t="n"/>
      <c r="P755" s="26">
        <f>IF($A755="","",COUNTIFS('Audit Versions'!$A$6:$A$605,$A755,'Audit Versions'!$L$6:$L$605,"Active"))</f>
        <v/>
      </c>
      <c r="Q755" s="15" t="n"/>
      <c r="R755" s="26">
        <f>IF(OR($A755="",$P755=0),"",MOD(N($Q755),$P755)+1)</f>
        <v/>
      </c>
      <c r="S755" s="15" t="n"/>
      <c r="T755" s="25" t="n"/>
      <c r="U755" s="26">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Builder'!$B$12="",N($S755)&lt;='Assignment Builder'!$B$12)))</f>
        <v/>
      </c>
      <c r="V755" s="23" t="n"/>
    </row>
    <row r="756">
      <c r="A756" s="23" t="n"/>
      <c r="B756" s="23" t="n"/>
      <c r="C756" s="24" t="n"/>
      <c r="D756" s="15" t="n"/>
      <c r="E756" s="23" t="n"/>
      <c r="F756" s="15" t="n"/>
      <c r="G756" s="23" t="n"/>
      <c r="H756" s="25" t="n"/>
      <c r="I756" s="15" t="n"/>
      <c r="J756" s="26">
        <f>IF($A756="","",LEN($C756)-LEN(SUBSTITUTE($C756,",",""))+1)</f>
        <v/>
      </c>
      <c r="K756" s="26">
        <f>IF($A756="","",SUMPRODUCT(--ISNUMBER(SEARCH('Category Dictionary'!$D$5:$D$135&amp;"",$C756)),--('Category Dictionary'!$D$5:$D$135&lt;&gt;"")))</f>
        <v/>
      </c>
      <c r="L756" s="27">
        <f>IF($A756="","",TRIM(IF(ISERROR(FIND(",",$C756)),$C756,LEFT($C756,FIND(",",$C756)-1))))</f>
        <v/>
      </c>
      <c r="M756" s="28">
        <f>IF($H756="","",DATE(YEAR($H756),MONTH($H756),1))</f>
        <v/>
      </c>
      <c r="N756" s="26">
        <f>IF($H756="","",TODAY()-$H756)</f>
        <v/>
      </c>
      <c r="O756" s="15" t="n"/>
      <c r="P756" s="26">
        <f>IF($A756="","",COUNTIFS('Audit Versions'!$A$6:$A$605,$A756,'Audit Versions'!$L$6:$L$605,"Active"))</f>
        <v/>
      </c>
      <c r="Q756" s="15" t="n"/>
      <c r="R756" s="26">
        <f>IF(OR($A756="",$P756=0),"",MOD(N($Q756),$P756)+1)</f>
        <v/>
      </c>
      <c r="S756" s="15" t="n"/>
      <c r="T756" s="25" t="n"/>
      <c r="U756" s="26">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Builder'!$B$12="",N($S756)&lt;='Assignment Builder'!$B$12)))</f>
        <v/>
      </c>
      <c r="V756" s="23" t="n"/>
    </row>
    <row r="757">
      <c r="A757" s="23" t="n"/>
      <c r="B757" s="23" t="n"/>
      <c r="C757" s="24" t="n"/>
      <c r="D757" s="15" t="n"/>
      <c r="E757" s="23" t="n"/>
      <c r="F757" s="15" t="n"/>
      <c r="G757" s="23" t="n"/>
      <c r="H757" s="25" t="n"/>
      <c r="I757" s="15" t="n"/>
      <c r="J757" s="26">
        <f>IF($A757="","",LEN($C757)-LEN(SUBSTITUTE($C757,",",""))+1)</f>
        <v/>
      </c>
      <c r="K757" s="26">
        <f>IF($A757="","",SUMPRODUCT(--ISNUMBER(SEARCH('Category Dictionary'!$D$5:$D$135&amp;"",$C757)),--('Category Dictionary'!$D$5:$D$135&lt;&gt;"")))</f>
        <v/>
      </c>
      <c r="L757" s="27">
        <f>IF($A757="","",TRIM(IF(ISERROR(FIND(",",$C757)),$C757,LEFT($C757,FIND(",",$C757)-1))))</f>
        <v/>
      </c>
      <c r="M757" s="28">
        <f>IF($H757="","",DATE(YEAR($H757),MONTH($H757),1))</f>
        <v/>
      </c>
      <c r="N757" s="26">
        <f>IF($H757="","",TODAY()-$H757)</f>
        <v/>
      </c>
      <c r="O757" s="15" t="n"/>
      <c r="P757" s="26">
        <f>IF($A757="","",COUNTIFS('Audit Versions'!$A$6:$A$605,$A757,'Audit Versions'!$L$6:$L$605,"Active"))</f>
        <v/>
      </c>
      <c r="Q757" s="15" t="n"/>
      <c r="R757" s="26">
        <f>IF(OR($A757="",$P757=0),"",MOD(N($Q757),$P757)+1)</f>
        <v/>
      </c>
      <c r="S757" s="15" t="n"/>
      <c r="T757" s="25" t="n"/>
      <c r="U757" s="26">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Builder'!$B$12="",N($S757)&lt;='Assignment Builder'!$B$12)))</f>
        <v/>
      </c>
      <c r="V757" s="23" t="n"/>
    </row>
    <row r="758">
      <c r="A758" s="23" t="n"/>
      <c r="B758" s="23" t="n"/>
      <c r="C758" s="24" t="n"/>
      <c r="D758" s="15" t="n"/>
      <c r="E758" s="23" t="n"/>
      <c r="F758" s="15" t="n"/>
      <c r="G758" s="23" t="n"/>
      <c r="H758" s="25" t="n"/>
      <c r="I758" s="15" t="n"/>
      <c r="J758" s="26">
        <f>IF($A758="","",LEN($C758)-LEN(SUBSTITUTE($C758,",",""))+1)</f>
        <v/>
      </c>
      <c r="K758" s="26">
        <f>IF($A758="","",SUMPRODUCT(--ISNUMBER(SEARCH('Category Dictionary'!$D$5:$D$135&amp;"",$C758)),--('Category Dictionary'!$D$5:$D$135&lt;&gt;"")))</f>
        <v/>
      </c>
      <c r="L758" s="27">
        <f>IF($A758="","",TRIM(IF(ISERROR(FIND(",",$C758)),$C758,LEFT($C758,FIND(",",$C758)-1))))</f>
        <v/>
      </c>
      <c r="M758" s="28">
        <f>IF($H758="","",DATE(YEAR($H758),MONTH($H758),1))</f>
        <v/>
      </c>
      <c r="N758" s="26">
        <f>IF($H758="","",TODAY()-$H758)</f>
        <v/>
      </c>
      <c r="O758" s="15" t="n"/>
      <c r="P758" s="26">
        <f>IF($A758="","",COUNTIFS('Audit Versions'!$A$6:$A$605,$A758,'Audit Versions'!$L$6:$L$605,"Active"))</f>
        <v/>
      </c>
      <c r="Q758" s="15" t="n"/>
      <c r="R758" s="26">
        <f>IF(OR($A758="",$P758=0),"",MOD(N($Q758),$P758)+1)</f>
        <v/>
      </c>
      <c r="S758" s="15" t="n"/>
      <c r="T758" s="25" t="n"/>
      <c r="U758" s="26">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Builder'!$B$12="",N($S758)&lt;='Assignment Builder'!$B$12)))</f>
        <v/>
      </c>
      <c r="V758" s="23" t="n"/>
    </row>
    <row r="759">
      <c r="A759" s="23" t="n"/>
      <c r="B759" s="23" t="n"/>
      <c r="C759" s="24" t="n"/>
      <c r="D759" s="15" t="n"/>
      <c r="E759" s="23" t="n"/>
      <c r="F759" s="15" t="n"/>
      <c r="G759" s="23" t="n"/>
      <c r="H759" s="25" t="n"/>
      <c r="I759" s="15" t="n"/>
      <c r="J759" s="26">
        <f>IF($A759="","",LEN($C759)-LEN(SUBSTITUTE($C759,",",""))+1)</f>
        <v/>
      </c>
      <c r="K759" s="26">
        <f>IF($A759="","",SUMPRODUCT(--ISNUMBER(SEARCH('Category Dictionary'!$D$5:$D$135&amp;"",$C759)),--('Category Dictionary'!$D$5:$D$135&lt;&gt;"")))</f>
        <v/>
      </c>
      <c r="L759" s="27">
        <f>IF($A759="","",TRIM(IF(ISERROR(FIND(",",$C759)),$C759,LEFT($C759,FIND(",",$C759)-1))))</f>
        <v/>
      </c>
      <c r="M759" s="28">
        <f>IF($H759="","",DATE(YEAR($H759),MONTH($H759),1))</f>
        <v/>
      </c>
      <c r="N759" s="26">
        <f>IF($H759="","",TODAY()-$H759)</f>
        <v/>
      </c>
      <c r="O759" s="15" t="n"/>
      <c r="P759" s="26">
        <f>IF($A759="","",COUNTIFS('Audit Versions'!$A$6:$A$605,$A759,'Audit Versions'!$L$6:$L$605,"Active"))</f>
        <v/>
      </c>
      <c r="Q759" s="15" t="n"/>
      <c r="R759" s="26">
        <f>IF(OR($A759="",$P759=0),"",MOD(N($Q759),$P759)+1)</f>
        <v/>
      </c>
      <c r="S759" s="15" t="n"/>
      <c r="T759" s="25" t="n"/>
      <c r="U759" s="26">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Builder'!$B$12="",N($S759)&lt;='Assignment Builder'!$B$12)))</f>
        <v/>
      </c>
      <c r="V759" s="23" t="n"/>
    </row>
    <row r="760">
      <c r="A760" s="23" t="n"/>
      <c r="B760" s="23" t="n"/>
      <c r="C760" s="24" t="n"/>
      <c r="D760" s="15" t="n"/>
      <c r="E760" s="23" t="n"/>
      <c r="F760" s="15" t="n"/>
      <c r="G760" s="23" t="n"/>
      <c r="H760" s="25" t="n"/>
      <c r="I760" s="15" t="n"/>
      <c r="J760" s="26">
        <f>IF($A760="","",LEN($C760)-LEN(SUBSTITUTE($C760,",",""))+1)</f>
        <v/>
      </c>
      <c r="K760" s="26">
        <f>IF($A760="","",SUMPRODUCT(--ISNUMBER(SEARCH('Category Dictionary'!$D$5:$D$135&amp;"",$C760)),--('Category Dictionary'!$D$5:$D$135&lt;&gt;"")))</f>
        <v/>
      </c>
      <c r="L760" s="27">
        <f>IF($A760="","",TRIM(IF(ISERROR(FIND(",",$C760)),$C760,LEFT($C760,FIND(",",$C760)-1))))</f>
        <v/>
      </c>
      <c r="M760" s="28">
        <f>IF($H760="","",DATE(YEAR($H760),MONTH($H760),1))</f>
        <v/>
      </c>
      <c r="N760" s="26">
        <f>IF($H760="","",TODAY()-$H760)</f>
        <v/>
      </c>
      <c r="O760" s="15" t="n"/>
      <c r="P760" s="26">
        <f>IF($A760="","",COUNTIFS('Audit Versions'!$A$6:$A$605,$A760,'Audit Versions'!$L$6:$L$605,"Active"))</f>
        <v/>
      </c>
      <c r="Q760" s="15" t="n"/>
      <c r="R760" s="26">
        <f>IF(OR($A760="",$P760=0),"",MOD(N($Q760),$P760)+1)</f>
        <v/>
      </c>
      <c r="S760" s="15" t="n"/>
      <c r="T760" s="25" t="n"/>
      <c r="U760" s="26">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Builder'!$B$12="",N($S760)&lt;='Assignment Builder'!$B$12)))</f>
        <v/>
      </c>
      <c r="V760" s="23" t="n"/>
    </row>
    <row r="761">
      <c r="A761" s="23" t="n"/>
      <c r="B761" s="23" t="n"/>
      <c r="C761" s="24" t="n"/>
      <c r="D761" s="15" t="n"/>
      <c r="E761" s="23" t="n"/>
      <c r="F761" s="15" t="n"/>
      <c r="G761" s="23" t="n"/>
      <c r="H761" s="25" t="n"/>
      <c r="I761" s="15" t="n"/>
      <c r="J761" s="26">
        <f>IF($A761="","",LEN($C761)-LEN(SUBSTITUTE($C761,",",""))+1)</f>
        <v/>
      </c>
      <c r="K761" s="26">
        <f>IF($A761="","",SUMPRODUCT(--ISNUMBER(SEARCH('Category Dictionary'!$D$5:$D$135&amp;"",$C761)),--('Category Dictionary'!$D$5:$D$135&lt;&gt;"")))</f>
        <v/>
      </c>
      <c r="L761" s="27">
        <f>IF($A761="","",TRIM(IF(ISERROR(FIND(",",$C761)),$C761,LEFT($C761,FIND(",",$C761)-1))))</f>
        <v/>
      </c>
      <c r="M761" s="28">
        <f>IF($H761="","",DATE(YEAR($H761),MONTH($H761),1))</f>
        <v/>
      </c>
      <c r="N761" s="26">
        <f>IF($H761="","",TODAY()-$H761)</f>
        <v/>
      </c>
      <c r="O761" s="15" t="n"/>
      <c r="P761" s="26">
        <f>IF($A761="","",COUNTIFS('Audit Versions'!$A$6:$A$605,$A761,'Audit Versions'!$L$6:$L$605,"Active"))</f>
        <v/>
      </c>
      <c r="Q761" s="15" t="n"/>
      <c r="R761" s="26">
        <f>IF(OR($A761="",$P761=0),"",MOD(N($Q761),$P761)+1)</f>
        <v/>
      </c>
      <c r="S761" s="15" t="n"/>
      <c r="T761" s="25" t="n"/>
      <c r="U761" s="26">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Builder'!$B$12="",N($S761)&lt;='Assignment Builder'!$B$12)))</f>
        <v/>
      </c>
      <c r="V761" s="23" t="n"/>
    </row>
    <row r="762">
      <c r="A762" s="23" t="n"/>
      <c r="B762" s="23" t="n"/>
      <c r="C762" s="24" t="n"/>
      <c r="D762" s="15" t="n"/>
      <c r="E762" s="23" t="n"/>
      <c r="F762" s="15" t="n"/>
      <c r="G762" s="23" t="n"/>
      <c r="H762" s="25" t="n"/>
      <c r="I762" s="15" t="n"/>
      <c r="J762" s="26">
        <f>IF($A762="","",LEN($C762)-LEN(SUBSTITUTE($C762,",",""))+1)</f>
        <v/>
      </c>
      <c r="K762" s="26">
        <f>IF($A762="","",SUMPRODUCT(--ISNUMBER(SEARCH('Category Dictionary'!$D$5:$D$135&amp;"",$C762)),--('Category Dictionary'!$D$5:$D$135&lt;&gt;"")))</f>
        <v/>
      </c>
      <c r="L762" s="27">
        <f>IF($A762="","",TRIM(IF(ISERROR(FIND(",",$C762)),$C762,LEFT($C762,FIND(",",$C762)-1))))</f>
        <v/>
      </c>
      <c r="M762" s="28">
        <f>IF($H762="","",DATE(YEAR($H762),MONTH($H762),1))</f>
        <v/>
      </c>
      <c r="N762" s="26">
        <f>IF($H762="","",TODAY()-$H762)</f>
        <v/>
      </c>
      <c r="O762" s="15" t="n"/>
      <c r="P762" s="26">
        <f>IF($A762="","",COUNTIFS('Audit Versions'!$A$6:$A$605,$A762,'Audit Versions'!$L$6:$L$605,"Active"))</f>
        <v/>
      </c>
      <c r="Q762" s="15" t="n"/>
      <c r="R762" s="26">
        <f>IF(OR($A762="",$P762=0),"",MOD(N($Q762),$P762)+1)</f>
        <v/>
      </c>
      <c r="S762" s="15" t="n"/>
      <c r="T762" s="25" t="n"/>
      <c r="U762" s="26">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Builder'!$B$12="",N($S762)&lt;='Assignment Builder'!$B$12)))</f>
        <v/>
      </c>
      <c r="V762" s="23" t="n"/>
    </row>
    <row r="763">
      <c r="A763" s="23" t="n"/>
      <c r="B763" s="23" t="n"/>
      <c r="C763" s="24" t="n"/>
      <c r="D763" s="15" t="n"/>
      <c r="E763" s="23" t="n"/>
      <c r="F763" s="15" t="n"/>
      <c r="G763" s="23" t="n"/>
      <c r="H763" s="25" t="n"/>
      <c r="I763" s="15" t="n"/>
      <c r="J763" s="26">
        <f>IF($A763="","",LEN($C763)-LEN(SUBSTITUTE($C763,",",""))+1)</f>
        <v/>
      </c>
      <c r="K763" s="26">
        <f>IF($A763="","",SUMPRODUCT(--ISNUMBER(SEARCH('Category Dictionary'!$D$5:$D$135&amp;"",$C763)),--('Category Dictionary'!$D$5:$D$135&lt;&gt;"")))</f>
        <v/>
      </c>
      <c r="L763" s="27">
        <f>IF($A763="","",TRIM(IF(ISERROR(FIND(",",$C763)),$C763,LEFT($C763,FIND(",",$C763)-1))))</f>
        <v/>
      </c>
      <c r="M763" s="28">
        <f>IF($H763="","",DATE(YEAR($H763),MONTH($H763),1))</f>
        <v/>
      </c>
      <c r="N763" s="26">
        <f>IF($H763="","",TODAY()-$H763)</f>
        <v/>
      </c>
      <c r="O763" s="15" t="n"/>
      <c r="P763" s="26">
        <f>IF($A763="","",COUNTIFS('Audit Versions'!$A$6:$A$605,$A763,'Audit Versions'!$L$6:$L$605,"Active"))</f>
        <v/>
      </c>
      <c r="Q763" s="15" t="n"/>
      <c r="R763" s="26">
        <f>IF(OR($A763="",$P763=0),"",MOD(N($Q763),$P763)+1)</f>
        <v/>
      </c>
      <c r="S763" s="15" t="n"/>
      <c r="T763" s="25" t="n"/>
      <c r="U763" s="26">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Builder'!$B$12="",N($S763)&lt;='Assignment Builder'!$B$12)))</f>
        <v/>
      </c>
      <c r="V763" s="23" t="n"/>
    </row>
    <row r="764">
      <c r="A764" s="23" t="n"/>
      <c r="B764" s="23" t="n"/>
      <c r="C764" s="24" t="n"/>
      <c r="D764" s="15" t="n"/>
      <c r="E764" s="23" t="n"/>
      <c r="F764" s="15" t="n"/>
      <c r="G764" s="23" t="n"/>
      <c r="H764" s="25" t="n"/>
      <c r="I764" s="15" t="n"/>
      <c r="J764" s="26">
        <f>IF($A764="","",LEN($C764)-LEN(SUBSTITUTE($C764,",",""))+1)</f>
        <v/>
      </c>
      <c r="K764" s="26">
        <f>IF($A764="","",SUMPRODUCT(--ISNUMBER(SEARCH('Category Dictionary'!$D$5:$D$135&amp;"",$C764)),--('Category Dictionary'!$D$5:$D$135&lt;&gt;"")))</f>
        <v/>
      </c>
      <c r="L764" s="27">
        <f>IF($A764="","",TRIM(IF(ISERROR(FIND(",",$C764)),$C764,LEFT($C764,FIND(",",$C764)-1))))</f>
        <v/>
      </c>
      <c r="M764" s="28">
        <f>IF($H764="","",DATE(YEAR($H764),MONTH($H764),1))</f>
        <v/>
      </c>
      <c r="N764" s="26">
        <f>IF($H764="","",TODAY()-$H764)</f>
        <v/>
      </c>
      <c r="O764" s="15" t="n"/>
      <c r="P764" s="26">
        <f>IF($A764="","",COUNTIFS('Audit Versions'!$A$6:$A$605,$A764,'Audit Versions'!$L$6:$L$605,"Active"))</f>
        <v/>
      </c>
      <c r="Q764" s="15" t="n"/>
      <c r="R764" s="26">
        <f>IF(OR($A764="",$P764=0),"",MOD(N($Q764),$P764)+1)</f>
        <v/>
      </c>
      <c r="S764" s="15" t="n"/>
      <c r="T764" s="25" t="n"/>
      <c r="U764" s="26">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Builder'!$B$12="",N($S764)&lt;='Assignment Builder'!$B$12)))</f>
        <v/>
      </c>
      <c r="V764" s="23" t="n"/>
    </row>
    <row r="765">
      <c r="A765" s="23" t="n"/>
      <c r="B765" s="23" t="n"/>
      <c r="C765" s="24" t="n"/>
      <c r="D765" s="15" t="n"/>
      <c r="E765" s="23" t="n"/>
      <c r="F765" s="15" t="n"/>
      <c r="G765" s="23" t="n"/>
      <c r="H765" s="25" t="n"/>
      <c r="I765" s="15" t="n"/>
      <c r="J765" s="26">
        <f>IF($A765="","",LEN($C765)-LEN(SUBSTITUTE($C765,",",""))+1)</f>
        <v/>
      </c>
      <c r="K765" s="26">
        <f>IF($A765="","",SUMPRODUCT(--ISNUMBER(SEARCH('Category Dictionary'!$D$5:$D$135&amp;"",$C765)),--('Category Dictionary'!$D$5:$D$135&lt;&gt;"")))</f>
        <v/>
      </c>
      <c r="L765" s="27">
        <f>IF($A765="","",TRIM(IF(ISERROR(FIND(",",$C765)),$C765,LEFT($C765,FIND(",",$C765)-1))))</f>
        <v/>
      </c>
      <c r="M765" s="28">
        <f>IF($H765="","",DATE(YEAR($H765),MONTH($H765),1))</f>
        <v/>
      </c>
      <c r="N765" s="26">
        <f>IF($H765="","",TODAY()-$H765)</f>
        <v/>
      </c>
      <c r="O765" s="15" t="n"/>
      <c r="P765" s="26">
        <f>IF($A765="","",COUNTIFS('Audit Versions'!$A$6:$A$605,$A765,'Audit Versions'!$L$6:$L$605,"Active"))</f>
        <v/>
      </c>
      <c r="Q765" s="15" t="n"/>
      <c r="R765" s="26">
        <f>IF(OR($A765="",$P765=0),"",MOD(N($Q765),$P765)+1)</f>
        <v/>
      </c>
      <c r="S765" s="15" t="n"/>
      <c r="T765" s="25" t="n"/>
      <c r="U765" s="26">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Builder'!$B$12="",N($S765)&lt;='Assignment Builder'!$B$12)))</f>
        <v/>
      </c>
      <c r="V765" s="23" t="n"/>
    </row>
    <row r="766">
      <c r="A766" s="23" t="n"/>
      <c r="B766" s="23" t="n"/>
      <c r="C766" s="24" t="n"/>
      <c r="D766" s="15" t="n"/>
      <c r="E766" s="23" t="n"/>
      <c r="F766" s="15" t="n"/>
      <c r="G766" s="23" t="n"/>
      <c r="H766" s="25" t="n"/>
      <c r="I766" s="15" t="n"/>
      <c r="J766" s="26">
        <f>IF($A766="","",LEN($C766)-LEN(SUBSTITUTE($C766,",",""))+1)</f>
        <v/>
      </c>
      <c r="K766" s="26">
        <f>IF($A766="","",SUMPRODUCT(--ISNUMBER(SEARCH('Category Dictionary'!$D$5:$D$135&amp;"",$C766)),--('Category Dictionary'!$D$5:$D$135&lt;&gt;"")))</f>
        <v/>
      </c>
      <c r="L766" s="27">
        <f>IF($A766="","",TRIM(IF(ISERROR(FIND(",",$C766)),$C766,LEFT($C766,FIND(",",$C766)-1))))</f>
        <v/>
      </c>
      <c r="M766" s="28">
        <f>IF($H766="","",DATE(YEAR($H766),MONTH($H766),1))</f>
        <v/>
      </c>
      <c r="N766" s="26">
        <f>IF($H766="","",TODAY()-$H766)</f>
        <v/>
      </c>
      <c r="O766" s="15" t="n"/>
      <c r="P766" s="26">
        <f>IF($A766="","",COUNTIFS('Audit Versions'!$A$6:$A$605,$A766,'Audit Versions'!$L$6:$L$605,"Active"))</f>
        <v/>
      </c>
      <c r="Q766" s="15" t="n"/>
      <c r="R766" s="26">
        <f>IF(OR($A766="",$P766=0),"",MOD(N($Q766),$P766)+1)</f>
        <v/>
      </c>
      <c r="S766" s="15" t="n"/>
      <c r="T766" s="25" t="n"/>
      <c r="U766" s="26">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Builder'!$B$12="",N($S766)&lt;='Assignment Builder'!$B$12)))</f>
        <v/>
      </c>
      <c r="V766" s="23" t="n"/>
    </row>
    <row r="767">
      <c r="A767" s="23" t="n"/>
      <c r="B767" s="23" t="n"/>
      <c r="C767" s="24" t="n"/>
      <c r="D767" s="15" t="n"/>
      <c r="E767" s="23" t="n"/>
      <c r="F767" s="15" t="n"/>
      <c r="G767" s="23" t="n"/>
      <c r="H767" s="25" t="n"/>
      <c r="I767" s="15" t="n"/>
      <c r="J767" s="26">
        <f>IF($A767="","",LEN($C767)-LEN(SUBSTITUTE($C767,",",""))+1)</f>
        <v/>
      </c>
      <c r="K767" s="26">
        <f>IF($A767="","",SUMPRODUCT(--ISNUMBER(SEARCH('Category Dictionary'!$D$5:$D$135&amp;"",$C767)),--('Category Dictionary'!$D$5:$D$135&lt;&gt;"")))</f>
        <v/>
      </c>
      <c r="L767" s="27">
        <f>IF($A767="","",TRIM(IF(ISERROR(FIND(",",$C767)),$C767,LEFT($C767,FIND(",",$C767)-1))))</f>
        <v/>
      </c>
      <c r="M767" s="28">
        <f>IF($H767="","",DATE(YEAR($H767),MONTH($H767),1))</f>
        <v/>
      </c>
      <c r="N767" s="26">
        <f>IF($H767="","",TODAY()-$H767)</f>
        <v/>
      </c>
      <c r="O767" s="15" t="n"/>
      <c r="P767" s="26">
        <f>IF($A767="","",COUNTIFS('Audit Versions'!$A$6:$A$605,$A767,'Audit Versions'!$L$6:$L$605,"Active"))</f>
        <v/>
      </c>
      <c r="Q767" s="15" t="n"/>
      <c r="R767" s="26">
        <f>IF(OR($A767="",$P767=0),"",MOD(N($Q767),$P767)+1)</f>
        <v/>
      </c>
      <c r="S767" s="15" t="n"/>
      <c r="T767" s="25" t="n"/>
      <c r="U767" s="26">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Builder'!$B$12="",N($S767)&lt;='Assignment Builder'!$B$12)))</f>
        <v/>
      </c>
      <c r="V767" s="23" t="n"/>
    </row>
    <row r="768">
      <c r="A768" s="23" t="n"/>
      <c r="B768" s="23" t="n"/>
      <c r="C768" s="24" t="n"/>
      <c r="D768" s="15" t="n"/>
      <c r="E768" s="23" t="n"/>
      <c r="F768" s="15" t="n"/>
      <c r="G768" s="23" t="n"/>
      <c r="H768" s="25" t="n"/>
      <c r="I768" s="15" t="n"/>
      <c r="J768" s="26">
        <f>IF($A768="","",LEN($C768)-LEN(SUBSTITUTE($C768,",",""))+1)</f>
        <v/>
      </c>
      <c r="K768" s="26">
        <f>IF($A768="","",SUMPRODUCT(--ISNUMBER(SEARCH('Category Dictionary'!$D$5:$D$135&amp;"",$C768)),--('Category Dictionary'!$D$5:$D$135&lt;&gt;"")))</f>
        <v/>
      </c>
      <c r="L768" s="27">
        <f>IF($A768="","",TRIM(IF(ISERROR(FIND(",",$C768)),$C768,LEFT($C768,FIND(",",$C768)-1))))</f>
        <v/>
      </c>
      <c r="M768" s="28">
        <f>IF($H768="","",DATE(YEAR($H768),MONTH($H768),1))</f>
        <v/>
      </c>
      <c r="N768" s="26">
        <f>IF($H768="","",TODAY()-$H768)</f>
        <v/>
      </c>
      <c r="O768" s="15" t="n"/>
      <c r="P768" s="26">
        <f>IF($A768="","",COUNTIFS('Audit Versions'!$A$6:$A$605,$A768,'Audit Versions'!$L$6:$L$605,"Active"))</f>
        <v/>
      </c>
      <c r="Q768" s="15" t="n"/>
      <c r="R768" s="26">
        <f>IF(OR($A768="",$P768=0),"",MOD(N($Q768),$P768)+1)</f>
        <v/>
      </c>
      <c r="S768" s="15" t="n"/>
      <c r="T768" s="25" t="n"/>
      <c r="U768" s="26">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Builder'!$B$12="",N($S768)&lt;='Assignment Builder'!$B$12)))</f>
        <v/>
      </c>
      <c r="V768" s="23" t="n"/>
    </row>
    <row r="769">
      <c r="A769" s="23" t="n"/>
      <c r="B769" s="23" t="n"/>
      <c r="C769" s="24" t="n"/>
      <c r="D769" s="15" t="n"/>
      <c r="E769" s="23" t="n"/>
      <c r="F769" s="15" t="n"/>
      <c r="G769" s="23" t="n"/>
      <c r="H769" s="25" t="n"/>
      <c r="I769" s="15" t="n"/>
      <c r="J769" s="26">
        <f>IF($A769="","",LEN($C769)-LEN(SUBSTITUTE($C769,",",""))+1)</f>
        <v/>
      </c>
      <c r="K769" s="26">
        <f>IF($A769="","",SUMPRODUCT(--ISNUMBER(SEARCH('Category Dictionary'!$D$5:$D$135&amp;"",$C769)),--('Category Dictionary'!$D$5:$D$135&lt;&gt;"")))</f>
        <v/>
      </c>
      <c r="L769" s="27">
        <f>IF($A769="","",TRIM(IF(ISERROR(FIND(",",$C769)),$C769,LEFT($C769,FIND(",",$C769)-1))))</f>
        <v/>
      </c>
      <c r="M769" s="28">
        <f>IF($H769="","",DATE(YEAR($H769),MONTH($H769),1))</f>
        <v/>
      </c>
      <c r="N769" s="26">
        <f>IF($H769="","",TODAY()-$H769)</f>
        <v/>
      </c>
      <c r="O769" s="15" t="n"/>
      <c r="P769" s="26">
        <f>IF($A769="","",COUNTIFS('Audit Versions'!$A$6:$A$605,$A769,'Audit Versions'!$L$6:$L$605,"Active"))</f>
        <v/>
      </c>
      <c r="Q769" s="15" t="n"/>
      <c r="R769" s="26">
        <f>IF(OR($A769="",$P769=0),"",MOD(N($Q769),$P769)+1)</f>
        <v/>
      </c>
      <c r="S769" s="15" t="n"/>
      <c r="T769" s="25" t="n"/>
      <c r="U769" s="26">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Builder'!$B$12="",N($S769)&lt;='Assignment Builder'!$B$12)))</f>
        <v/>
      </c>
      <c r="V769" s="23" t="n"/>
    </row>
    <row r="770">
      <c r="A770" s="23" t="n"/>
      <c r="B770" s="23" t="n"/>
      <c r="C770" s="24" t="n"/>
      <c r="D770" s="15" t="n"/>
      <c r="E770" s="23" t="n"/>
      <c r="F770" s="15" t="n"/>
      <c r="G770" s="23" t="n"/>
      <c r="H770" s="25" t="n"/>
      <c r="I770" s="15" t="n"/>
      <c r="J770" s="26">
        <f>IF($A770="","",LEN($C770)-LEN(SUBSTITUTE($C770,",",""))+1)</f>
        <v/>
      </c>
      <c r="K770" s="26">
        <f>IF($A770="","",SUMPRODUCT(--ISNUMBER(SEARCH('Category Dictionary'!$D$5:$D$135&amp;"",$C770)),--('Category Dictionary'!$D$5:$D$135&lt;&gt;"")))</f>
        <v/>
      </c>
      <c r="L770" s="27">
        <f>IF($A770="","",TRIM(IF(ISERROR(FIND(",",$C770)),$C770,LEFT($C770,FIND(",",$C770)-1))))</f>
        <v/>
      </c>
      <c r="M770" s="28">
        <f>IF($H770="","",DATE(YEAR($H770),MONTH($H770),1))</f>
        <v/>
      </c>
      <c r="N770" s="26">
        <f>IF($H770="","",TODAY()-$H770)</f>
        <v/>
      </c>
      <c r="O770" s="15" t="n"/>
      <c r="P770" s="26">
        <f>IF($A770="","",COUNTIFS('Audit Versions'!$A$6:$A$605,$A770,'Audit Versions'!$L$6:$L$605,"Active"))</f>
        <v/>
      </c>
      <c r="Q770" s="15" t="n"/>
      <c r="R770" s="26">
        <f>IF(OR($A770="",$P770=0),"",MOD(N($Q770),$P770)+1)</f>
        <v/>
      </c>
      <c r="S770" s="15" t="n"/>
      <c r="T770" s="25" t="n"/>
      <c r="U770" s="26">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Builder'!$B$12="",N($S770)&lt;='Assignment Builder'!$B$12)))</f>
        <v/>
      </c>
      <c r="V770" s="23" t="n"/>
    </row>
    <row r="771">
      <c r="A771" s="23" t="n"/>
      <c r="B771" s="23" t="n"/>
      <c r="C771" s="24" t="n"/>
      <c r="D771" s="15" t="n"/>
      <c r="E771" s="23" t="n"/>
      <c r="F771" s="15" t="n"/>
      <c r="G771" s="23" t="n"/>
      <c r="H771" s="25" t="n"/>
      <c r="I771" s="15" t="n"/>
      <c r="J771" s="26">
        <f>IF($A771="","",LEN($C771)-LEN(SUBSTITUTE($C771,",",""))+1)</f>
        <v/>
      </c>
      <c r="K771" s="26">
        <f>IF($A771="","",SUMPRODUCT(--ISNUMBER(SEARCH('Category Dictionary'!$D$5:$D$135&amp;"",$C771)),--('Category Dictionary'!$D$5:$D$135&lt;&gt;"")))</f>
        <v/>
      </c>
      <c r="L771" s="27">
        <f>IF($A771="","",TRIM(IF(ISERROR(FIND(",",$C771)),$C771,LEFT($C771,FIND(",",$C771)-1))))</f>
        <v/>
      </c>
      <c r="M771" s="28">
        <f>IF($H771="","",DATE(YEAR($H771),MONTH($H771),1))</f>
        <v/>
      </c>
      <c r="N771" s="26">
        <f>IF($H771="","",TODAY()-$H771)</f>
        <v/>
      </c>
      <c r="O771" s="15" t="n"/>
      <c r="P771" s="26">
        <f>IF($A771="","",COUNTIFS('Audit Versions'!$A$6:$A$605,$A771,'Audit Versions'!$L$6:$L$605,"Active"))</f>
        <v/>
      </c>
      <c r="Q771" s="15" t="n"/>
      <c r="R771" s="26">
        <f>IF(OR($A771="",$P771=0),"",MOD(N($Q771),$P771)+1)</f>
        <v/>
      </c>
      <c r="S771" s="15" t="n"/>
      <c r="T771" s="25" t="n"/>
      <c r="U771" s="26">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Builder'!$B$12="",N($S771)&lt;='Assignment Builder'!$B$12)))</f>
        <v/>
      </c>
      <c r="V771" s="23" t="n"/>
    </row>
    <row r="772">
      <c r="A772" s="23" t="n"/>
      <c r="B772" s="23" t="n"/>
      <c r="C772" s="24" t="n"/>
      <c r="D772" s="15" t="n"/>
      <c r="E772" s="23" t="n"/>
      <c r="F772" s="15" t="n"/>
      <c r="G772" s="23" t="n"/>
      <c r="H772" s="25" t="n"/>
      <c r="I772" s="15" t="n"/>
      <c r="J772" s="26">
        <f>IF($A772="","",LEN($C772)-LEN(SUBSTITUTE($C772,",",""))+1)</f>
        <v/>
      </c>
      <c r="K772" s="26">
        <f>IF($A772="","",SUMPRODUCT(--ISNUMBER(SEARCH('Category Dictionary'!$D$5:$D$135&amp;"",$C772)),--('Category Dictionary'!$D$5:$D$135&lt;&gt;"")))</f>
        <v/>
      </c>
      <c r="L772" s="27">
        <f>IF($A772="","",TRIM(IF(ISERROR(FIND(",",$C772)),$C772,LEFT($C772,FIND(",",$C772)-1))))</f>
        <v/>
      </c>
      <c r="M772" s="28">
        <f>IF($H772="","",DATE(YEAR($H772),MONTH($H772),1))</f>
        <v/>
      </c>
      <c r="N772" s="26">
        <f>IF($H772="","",TODAY()-$H772)</f>
        <v/>
      </c>
      <c r="O772" s="15" t="n"/>
      <c r="P772" s="26">
        <f>IF($A772="","",COUNTIFS('Audit Versions'!$A$6:$A$605,$A772,'Audit Versions'!$L$6:$L$605,"Active"))</f>
        <v/>
      </c>
      <c r="Q772" s="15" t="n"/>
      <c r="R772" s="26">
        <f>IF(OR($A772="",$P772=0),"",MOD(N($Q772),$P772)+1)</f>
        <v/>
      </c>
      <c r="S772" s="15" t="n"/>
      <c r="T772" s="25" t="n"/>
      <c r="U772" s="26">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Builder'!$B$12="",N($S772)&lt;='Assignment Builder'!$B$12)))</f>
        <v/>
      </c>
      <c r="V772" s="23" t="n"/>
    </row>
    <row r="773">
      <c r="A773" s="23" t="n"/>
      <c r="B773" s="23" t="n"/>
      <c r="C773" s="24" t="n"/>
      <c r="D773" s="15" t="n"/>
      <c r="E773" s="23" t="n"/>
      <c r="F773" s="15" t="n"/>
      <c r="G773" s="23" t="n"/>
      <c r="H773" s="25" t="n"/>
      <c r="I773" s="15" t="n"/>
      <c r="J773" s="26">
        <f>IF($A773="","",LEN($C773)-LEN(SUBSTITUTE($C773,",",""))+1)</f>
        <v/>
      </c>
      <c r="K773" s="26">
        <f>IF($A773="","",SUMPRODUCT(--ISNUMBER(SEARCH('Category Dictionary'!$D$5:$D$135&amp;"",$C773)),--('Category Dictionary'!$D$5:$D$135&lt;&gt;"")))</f>
        <v/>
      </c>
      <c r="L773" s="27">
        <f>IF($A773="","",TRIM(IF(ISERROR(FIND(",",$C773)),$C773,LEFT($C773,FIND(",",$C773)-1))))</f>
        <v/>
      </c>
      <c r="M773" s="28">
        <f>IF($H773="","",DATE(YEAR($H773),MONTH($H773),1))</f>
        <v/>
      </c>
      <c r="N773" s="26">
        <f>IF($H773="","",TODAY()-$H773)</f>
        <v/>
      </c>
      <c r="O773" s="15" t="n"/>
      <c r="P773" s="26">
        <f>IF($A773="","",COUNTIFS('Audit Versions'!$A$6:$A$605,$A773,'Audit Versions'!$L$6:$L$605,"Active"))</f>
        <v/>
      </c>
      <c r="Q773" s="15" t="n"/>
      <c r="R773" s="26">
        <f>IF(OR($A773="",$P773=0),"",MOD(N($Q773),$P773)+1)</f>
        <v/>
      </c>
      <c r="S773" s="15" t="n"/>
      <c r="T773" s="25" t="n"/>
      <c r="U773" s="26">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Builder'!$B$12="",N($S773)&lt;='Assignment Builder'!$B$12)))</f>
        <v/>
      </c>
      <c r="V773" s="23" t="n"/>
    </row>
    <row r="774">
      <c r="A774" s="23" t="n"/>
      <c r="B774" s="23" t="n"/>
      <c r="C774" s="24" t="n"/>
      <c r="D774" s="15" t="n"/>
      <c r="E774" s="23" t="n"/>
      <c r="F774" s="15" t="n"/>
      <c r="G774" s="23" t="n"/>
      <c r="H774" s="25" t="n"/>
      <c r="I774" s="15" t="n"/>
      <c r="J774" s="26">
        <f>IF($A774="","",LEN($C774)-LEN(SUBSTITUTE($C774,",",""))+1)</f>
        <v/>
      </c>
      <c r="K774" s="26">
        <f>IF($A774="","",SUMPRODUCT(--ISNUMBER(SEARCH('Category Dictionary'!$D$5:$D$135&amp;"",$C774)),--('Category Dictionary'!$D$5:$D$135&lt;&gt;"")))</f>
        <v/>
      </c>
      <c r="L774" s="27">
        <f>IF($A774="","",TRIM(IF(ISERROR(FIND(",",$C774)),$C774,LEFT($C774,FIND(",",$C774)-1))))</f>
        <v/>
      </c>
      <c r="M774" s="28">
        <f>IF($H774="","",DATE(YEAR($H774),MONTH($H774),1))</f>
        <v/>
      </c>
      <c r="N774" s="26">
        <f>IF($H774="","",TODAY()-$H774)</f>
        <v/>
      </c>
      <c r="O774" s="15" t="n"/>
      <c r="P774" s="26">
        <f>IF($A774="","",COUNTIFS('Audit Versions'!$A$6:$A$605,$A774,'Audit Versions'!$L$6:$L$605,"Active"))</f>
        <v/>
      </c>
      <c r="Q774" s="15" t="n"/>
      <c r="R774" s="26">
        <f>IF(OR($A774="",$P774=0),"",MOD(N($Q774),$P774)+1)</f>
        <v/>
      </c>
      <c r="S774" s="15" t="n"/>
      <c r="T774" s="25" t="n"/>
      <c r="U774" s="26">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Builder'!$B$12="",N($S774)&lt;='Assignment Builder'!$B$12)))</f>
        <v/>
      </c>
      <c r="V774" s="23" t="n"/>
    </row>
    <row r="775">
      <c r="A775" s="23" t="n"/>
      <c r="B775" s="23" t="n"/>
      <c r="C775" s="24" t="n"/>
      <c r="D775" s="15" t="n"/>
      <c r="E775" s="23" t="n"/>
      <c r="F775" s="15" t="n"/>
      <c r="G775" s="23" t="n"/>
      <c r="H775" s="25" t="n"/>
      <c r="I775" s="15" t="n"/>
      <c r="J775" s="26">
        <f>IF($A775="","",LEN($C775)-LEN(SUBSTITUTE($C775,",",""))+1)</f>
        <v/>
      </c>
      <c r="K775" s="26">
        <f>IF($A775="","",SUMPRODUCT(--ISNUMBER(SEARCH('Category Dictionary'!$D$5:$D$135&amp;"",$C775)),--('Category Dictionary'!$D$5:$D$135&lt;&gt;"")))</f>
        <v/>
      </c>
      <c r="L775" s="27">
        <f>IF($A775="","",TRIM(IF(ISERROR(FIND(",",$C775)),$C775,LEFT($C775,FIND(",",$C775)-1))))</f>
        <v/>
      </c>
      <c r="M775" s="28">
        <f>IF($H775="","",DATE(YEAR($H775),MONTH($H775),1))</f>
        <v/>
      </c>
      <c r="N775" s="26">
        <f>IF($H775="","",TODAY()-$H775)</f>
        <v/>
      </c>
      <c r="O775" s="15" t="n"/>
      <c r="P775" s="26">
        <f>IF($A775="","",COUNTIFS('Audit Versions'!$A$6:$A$605,$A775,'Audit Versions'!$L$6:$L$605,"Active"))</f>
        <v/>
      </c>
      <c r="Q775" s="15" t="n"/>
      <c r="R775" s="26">
        <f>IF(OR($A775="",$P775=0),"",MOD(N($Q775),$P775)+1)</f>
        <v/>
      </c>
      <c r="S775" s="15" t="n"/>
      <c r="T775" s="25" t="n"/>
      <c r="U775" s="26">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Builder'!$B$12="",N($S775)&lt;='Assignment Builder'!$B$12)))</f>
        <v/>
      </c>
      <c r="V775" s="23" t="n"/>
    </row>
    <row r="776">
      <c r="A776" s="23" t="n"/>
      <c r="B776" s="23" t="n"/>
      <c r="C776" s="24" t="n"/>
      <c r="D776" s="15" t="n"/>
      <c r="E776" s="23" t="n"/>
      <c r="F776" s="15" t="n"/>
      <c r="G776" s="23" t="n"/>
      <c r="H776" s="25" t="n"/>
      <c r="I776" s="15" t="n"/>
      <c r="J776" s="26">
        <f>IF($A776="","",LEN($C776)-LEN(SUBSTITUTE($C776,",",""))+1)</f>
        <v/>
      </c>
      <c r="K776" s="26">
        <f>IF($A776="","",SUMPRODUCT(--ISNUMBER(SEARCH('Category Dictionary'!$D$5:$D$135&amp;"",$C776)),--('Category Dictionary'!$D$5:$D$135&lt;&gt;"")))</f>
        <v/>
      </c>
      <c r="L776" s="27">
        <f>IF($A776="","",TRIM(IF(ISERROR(FIND(",",$C776)),$C776,LEFT($C776,FIND(",",$C776)-1))))</f>
        <v/>
      </c>
      <c r="M776" s="28">
        <f>IF($H776="","",DATE(YEAR($H776),MONTH($H776),1))</f>
        <v/>
      </c>
      <c r="N776" s="26">
        <f>IF($H776="","",TODAY()-$H776)</f>
        <v/>
      </c>
      <c r="O776" s="15" t="n"/>
      <c r="P776" s="26">
        <f>IF($A776="","",COUNTIFS('Audit Versions'!$A$6:$A$605,$A776,'Audit Versions'!$L$6:$L$605,"Active"))</f>
        <v/>
      </c>
      <c r="Q776" s="15" t="n"/>
      <c r="R776" s="26">
        <f>IF(OR($A776="",$P776=0),"",MOD(N($Q776),$P776)+1)</f>
        <v/>
      </c>
      <c r="S776" s="15" t="n"/>
      <c r="T776" s="25" t="n"/>
      <c r="U776" s="26">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Builder'!$B$12="",N($S776)&lt;='Assignment Builder'!$B$12)))</f>
        <v/>
      </c>
      <c r="V776" s="23" t="n"/>
    </row>
    <row r="777">
      <c r="A777" s="23" t="n"/>
      <c r="B777" s="23" t="n"/>
      <c r="C777" s="24" t="n"/>
      <c r="D777" s="15" t="n"/>
      <c r="E777" s="23" t="n"/>
      <c r="F777" s="15" t="n"/>
      <c r="G777" s="23" t="n"/>
      <c r="H777" s="25" t="n"/>
      <c r="I777" s="15" t="n"/>
      <c r="J777" s="26">
        <f>IF($A777="","",LEN($C777)-LEN(SUBSTITUTE($C777,",",""))+1)</f>
        <v/>
      </c>
      <c r="K777" s="26">
        <f>IF($A777="","",SUMPRODUCT(--ISNUMBER(SEARCH('Category Dictionary'!$D$5:$D$135&amp;"",$C777)),--('Category Dictionary'!$D$5:$D$135&lt;&gt;"")))</f>
        <v/>
      </c>
      <c r="L777" s="27">
        <f>IF($A777="","",TRIM(IF(ISERROR(FIND(",",$C777)),$C777,LEFT($C777,FIND(",",$C777)-1))))</f>
        <v/>
      </c>
      <c r="M777" s="28">
        <f>IF($H777="","",DATE(YEAR($H777),MONTH($H777),1))</f>
        <v/>
      </c>
      <c r="N777" s="26">
        <f>IF($H777="","",TODAY()-$H777)</f>
        <v/>
      </c>
      <c r="O777" s="15" t="n"/>
      <c r="P777" s="26">
        <f>IF($A777="","",COUNTIFS('Audit Versions'!$A$6:$A$605,$A777,'Audit Versions'!$L$6:$L$605,"Active"))</f>
        <v/>
      </c>
      <c r="Q777" s="15" t="n"/>
      <c r="R777" s="26">
        <f>IF(OR($A777="",$P777=0),"",MOD(N($Q777),$P777)+1)</f>
        <v/>
      </c>
      <c r="S777" s="15" t="n"/>
      <c r="T777" s="25" t="n"/>
      <c r="U777" s="26">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Builder'!$B$12="",N($S777)&lt;='Assignment Builder'!$B$12)))</f>
        <v/>
      </c>
      <c r="V777" s="23" t="n"/>
    </row>
    <row r="778">
      <c r="A778" s="23" t="n"/>
      <c r="B778" s="23" t="n"/>
      <c r="C778" s="24" t="n"/>
      <c r="D778" s="15" t="n"/>
      <c r="E778" s="23" t="n"/>
      <c r="F778" s="15" t="n"/>
      <c r="G778" s="23" t="n"/>
      <c r="H778" s="25" t="n"/>
      <c r="I778" s="15" t="n"/>
      <c r="J778" s="26">
        <f>IF($A778="","",LEN($C778)-LEN(SUBSTITUTE($C778,",",""))+1)</f>
        <v/>
      </c>
      <c r="K778" s="26">
        <f>IF($A778="","",SUMPRODUCT(--ISNUMBER(SEARCH('Category Dictionary'!$D$5:$D$135&amp;"",$C778)),--('Category Dictionary'!$D$5:$D$135&lt;&gt;"")))</f>
        <v/>
      </c>
      <c r="L778" s="27">
        <f>IF($A778="","",TRIM(IF(ISERROR(FIND(",",$C778)),$C778,LEFT($C778,FIND(",",$C778)-1))))</f>
        <v/>
      </c>
      <c r="M778" s="28">
        <f>IF($H778="","",DATE(YEAR($H778),MONTH($H778),1))</f>
        <v/>
      </c>
      <c r="N778" s="26">
        <f>IF($H778="","",TODAY()-$H778)</f>
        <v/>
      </c>
      <c r="O778" s="15" t="n"/>
      <c r="P778" s="26">
        <f>IF($A778="","",COUNTIFS('Audit Versions'!$A$6:$A$605,$A778,'Audit Versions'!$L$6:$L$605,"Active"))</f>
        <v/>
      </c>
      <c r="Q778" s="15" t="n"/>
      <c r="R778" s="26">
        <f>IF(OR($A778="",$P778=0),"",MOD(N($Q778),$P778)+1)</f>
        <v/>
      </c>
      <c r="S778" s="15" t="n"/>
      <c r="T778" s="25" t="n"/>
      <c r="U778" s="26">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Builder'!$B$12="",N($S778)&lt;='Assignment Builder'!$B$12)))</f>
        <v/>
      </c>
      <c r="V778" s="23" t="n"/>
    </row>
    <row r="779">
      <c r="A779" s="23" t="n"/>
      <c r="B779" s="23" t="n"/>
      <c r="C779" s="24" t="n"/>
      <c r="D779" s="15" t="n"/>
      <c r="E779" s="23" t="n"/>
      <c r="F779" s="15" t="n"/>
      <c r="G779" s="23" t="n"/>
      <c r="H779" s="25" t="n"/>
      <c r="I779" s="15" t="n"/>
      <c r="J779" s="26">
        <f>IF($A779="","",LEN($C779)-LEN(SUBSTITUTE($C779,",",""))+1)</f>
        <v/>
      </c>
      <c r="K779" s="26">
        <f>IF($A779="","",SUMPRODUCT(--ISNUMBER(SEARCH('Category Dictionary'!$D$5:$D$135&amp;"",$C779)),--('Category Dictionary'!$D$5:$D$135&lt;&gt;"")))</f>
        <v/>
      </c>
      <c r="L779" s="27">
        <f>IF($A779="","",TRIM(IF(ISERROR(FIND(",",$C779)),$C779,LEFT($C779,FIND(",",$C779)-1))))</f>
        <v/>
      </c>
      <c r="M779" s="28">
        <f>IF($H779="","",DATE(YEAR($H779),MONTH($H779),1))</f>
        <v/>
      </c>
      <c r="N779" s="26">
        <f>IF($H779="","",TODAY()-$H779)</f>
        <v/>
      </c>
      <c r="O779" s="15" t="n"/>
      <c r="P779" s="26">
        <f>IF($A779="","",COUNTIFS('Audit Versions'!$A$6:$A$605,$A779,'Audit Versions'!$L$6:$L$605,"Active"))</f>
        <v/>
      </c>
      <c r="Q779" s="15" t="n"/>
      <c r="R779" s="26">
        <f>IF(OR($A779="",$P779=0),"",MOD(N($Q779),$P779)+1)</f>
        <v/>
      </c>
      <c r="S779" s="15" t="n"/>
      <c r="T779" s="25" t="n"/>
      <c r="U779" s="26">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Builder'!$B$12="",N($S779)&lt;='Assignment Builder'!$B$12)))</f>
        <v/>
      </c>
      <c r="V779" s="23" t="n"/>
    </row>
    <row r="780">
      <c r="A780" s="23" t="n"/>
      <c r="B780" s="23" t="n"/>
      <c r="C780" s="24" t="n"/>
      <c r="D780" s="15" t="n"/>
      <c r="E780" s="23" t="n"/>
      <c r="F780" s="15" t="n"/>
      <c r="G780" s="23" t="n"/>
      <c r="H780" s="25" t="n"/>
      <c r="I780" s="15" t="n"/>
      <c r="J780" s="26">
        <f>IF($A780="","",LEN($C780)-LEN(SUBSTITUTE($C780,",",""))+1)</f>
        <v/>
      </c>
      <c r="K780" s="26">
        <f>IF($A780="","",SUMPRODUCT(--ISNUMBER(SEARCH('Category Dictionary'!$D$5:$D$135&amp;"",$C780)),--('Category Dictionary'!$D$5:$D$135&lt;&gt;"")))</f>
        <v/>
      </c>
      <c r="L780" s="27">
        <f>IF($A780="","",TRIM(IF(ISERROR(FIND(",",$C780)),$C780,LEFT($C780,FIND(",",$C780)-1))))</f>
        <v/>
      </c>
      <c r="M780" s="28">
        <f>IF($H780="","",DATE(YEAR($H780),MONTH($H780),1))</f>
        <v/>
      </c>
      <c r="N780" s="26">
        <f>IF($H780="","",TODAY()-$H780)</f>
        <v/>
      </c>
      <c r="O780" s="15" t="n"/>
      <c r="P780" s="26">
        <f>IF($A780="","",COUNTIFS('Audit Versions'!$A$6:$A$605,$A780,'Audit Versions'!$L$6:$L$605,"Active"))</f>
        <v/>
      </c>
      <c r="Q780" s="15" t="n"/>
      <c r="R780" s="26">
        <f>IF(OR($A780="",$P780=0),"",MOD(N($Q780),$P780)+1)</f>
        <v/>
      </c>
      <c r="S780" s="15" t="n"/>
      <c r="T780" s="25" t="n"/>
      <c r="U780" s="26">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Builder'!$B$12="",N($S780)&lt;='Assignment Builder'!$B$12)))</f>
        <v/>
      </c>
      <c r="V780" s="23" t="n"/>
    </row>
    <row r="781">
      <c r="A781" s="23" t="n"/>
      <c r="B781" s="23" t="n"/>
      <c r="C781" s="24" t="n"/>
      <c r="D781" s="15" t="n"/>
      <c r="E781" s="23" t="n"/>
      <c r="F781" s="15" t="n"/>
      <c r="G781" s="23" t="n"/>
      <c r="H781" s="25" t="n"/>
      <c r="I781" s="15" t="n"/>
      <c r="J781" s="26">
        <f>IF($A781="","",LEN($C781)-LEN(SUBSTITUTE($C781,",",""))+1)</f>
        <v/>
      </c>
      <c r="K781" s="26">
        <f>IF($A781="","",SUMPRODUCT(--ISNUMBER(SEARCH('Category Dictionary'!$D$5:$D$135&amp;"",$C781)),--('Category Dictionary'!$D$5:$D$135&lt;&gt;"")))</f>
        <v/>
      </c>
      <c r="L781" s="27">
        <f>IF($A781="","",TRIM(IF(ISERROR(FIND(",",$C781)),$C781,LEFT($C781,FIND(",",$C781)-1))))</f>
        <v/>
      </c>
      <c r="M781" s="28">
        <f>IF($H781="","",DATE(YEAR($H781),MONTH($H781),1))</f>
        <v/>
      </c>
      <c r="N781" s="26">
        <f>IF($H781="","",TODAY()-$H781)</f>
        <v/>
      </c>
      <c r="O781" s="15" t="n"/>
      <c r="P781" s="26">
        <f>IF($A781="","",COUNTIFS('Audit Versions'!$A$6:$A$605,$A781,'Audit Versions'!$L$6:$L$605,"Active"))</f>
        <v/>
      </c>
      <c r="Q781" s="15" t="n"/>
      <c r="R781" s="26">
        <f>IF(OR($A781="",$P781=0),"",MOD(N($Q781),$P781)+1)</f>
        <v/>
      </c>
      <c r="S781" s="15" t="n"/>
      <c r="T781" s="25" t="n"/>
      <c r="U781" s="26">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Builder'!$B$12="",N($S781)&lt;='Assignment Builder'!$B$12)))</f>
        <v/>
      </c>
      <c r="V781" s="23" t="n"/>
    </row>
    <row r="782">
      <c r="A782" s="23" t="n"/>
      <c r="B782" s="23" t="n"/>
      <c r="C782" s="24" t="n"/>
      <c r="D782" s="15" t="n"/>
      <c r="E782" s="23" t="n"/>
      <c r="F782" s="15" t="n"/>
      <c r="G782" s="23" t="n"/>
      <c r="H782" s="25" t="n"/>
      <c r="I782" s="15" t="n"/>
      <c r="J782" s="26">
        <f>IF($A782="","",LEN($C782)-LEN(SUBSTITUTE($C782,",",""))+1)</f>
        <v/>
      </c>
      <c r="K782" s="26">
        <f>IF($A782="","",SUMPRODUCT(--ISNUMBER(SEARCH('Category Dictionary'!$D$5:$D$135&amp;"",$C782)),--('Category Dictionary'!$D$5:$D$135&lt;&gt;"")))</f>
        <v/>
      </c>
      <c r="L782" s="27">
        <f>IF($A782="","",TRIM(IF(ISERROR(FIND(",",$C782)),$C782,LEFT($C782,FIND(",",$C782)-1))))</f>
        <v/>
      </c>
      <c r="M782" s="28">
        <f>IF($H782="","",DATE(YEAR($H782),MONTH($H782),1))</f>
        <v/>
      </c>
      <c r="N782" s="26">
        <f>IF($H782="","",TODAY()-$H782)</f>
        <v/>
      </c>
      <c r="O782" s="15" t="n"/>
      <c r="P782" s="26">
        <f>IF($A782="","",COUNTIFS('Audit Versions'!$A$6:$A$605,$A782,'Audit Versions'!$L$6:$L$605,"Active"))</f>
        <v/>
      </c>
      <c r="Q782" s="15" t="n"/>
      <c r="R782" s="26">
        <f>IF(OR($A782="",$P782=0),"",MOD(N($Q782),$P782)+1)</f>
        <v/>
      </c>
      <c r="S782" s="15" t="n"/>
      <c r="T782" s="25" t="n"/>
      <c r="U782" s="26">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Builder'!$B$12="",N($S782)&lt;='Assignment Builder'!$B$12)))</f>
        <v/>
      </c>
      <c r="V782" s="23" t="n"/>
    </row>
    <row r="783">
      <c r="A783" s="23" t="n"/>
      <c r="B783" s="23" t="n"/>
      <c r="C783" s="24" t="n"/>
      <c r="D783" s="15" t="n"/>
      <c r="E783" s="23" t="n"/>
      <c r="F783" s="15" t="n"/>
      <c r="G783" s="23" t="n"/>
      <c r="H783" s="25" t="n"/>
      <c r="I783" s="15" t="n"/>
      <c r="J783" s="26">
        <f>IF($A783="","",LEN($C783)-LEN(SUBSTITUTE($C783,",",""))+1)</f>
        <v/>
      </c>
      <c r="K783" s="26">
        <f>IF($A783="","",SUMPRODUCT(--ISNUMBER(SEARCH('Category Dictionary'!$D$5:$D$135&amp;"",$C783)),--('Category Dictionary'!$D$5:$D$135&lt;&gt;"")))</f>
        <v/>
      </c>
      <c r="L783" s="27">
        <f>IF($A783="","",TRIM(IF(ISERROR(FIND(",",$C783)),$C783,LEFT($C783,FIND(",",$C783)-1))))</f>
        <v/>
      </c>
      <c r="M783" s="28">
        <f>IF($H783="","",DATE(YEAR($H783),MONTH($H783),1))</f>
        <v/>
      </c>
      <c r="N783" s="26">
        <f>IF($H783="","",TODAY()-$H783)</f>
        <v/>
      </c>
      <c r="O783" s="15" t="n"/>
      <c r="P783" s="26">
        <f>IF($A783="","",COUNTIFS('Audit Versions'!$A$6:$A$605,$A783,'Audit Versions'!$L$6:$L$605,"Active"))</f>
        <v/>
      </c>
      <c r="Q783" s="15" t="n"/>
      <c r="R783" s="26">
        <f>IF(OR($A783="",$P783=0),"",MOD(N($Q783),$P783)+1)</f>
        <v/>
      </c>
      <c r="S783" s="15" t="n"/>
      <c r="T783" s="25" t="n"/>
      <c r="U783" s="26">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Builder'!$B$12="",N($S783)&lt;='Assignment Builder'!$B$12)))</f>
        <v/>
      </c>
      <c r="V783" s="23" t="n"/>
    </row>
    <row r="784">
      <c r="A784" s="23" t="n"/>
      <c r="B784" s="23" t="n"/>
      <c r="C784" s="24" t="n"/>
      <c r="D784" s="15" t="n"/>
      <c r="E784" s="23" t="n"/>
      <c r="F784" s="15" t="n"/>
      <c r="G784" s="23" t="n"/>
      <c r="H784" s="25" t="n"/>
      <c r="I784" s="15" t="n"/>
      <c r="J784" s="26">
        <f>IF($A784="","",LEN($C784)-LEN(SUBSTITUTE($C784,",",""))+1)</f>
        <v/>
      </c>
      <c r="K784" s="26">
        <f>IF($A784="","",SUMPRODUCT(--ISNUMBER(SEARCH('Category Dictionary'!$D$5:$D$135&amp;"",$C784)),--('Category Dictionary'!$D$5:$D$135&lt;&gt;"")))</f>
        <v/>
      </c>
      <c r="L784" s="27">
        <f>IF($A784="","",TRIM(IF(ISERROR(FIND(",",$C784)),$C784,LEFT($C784,FIND(",",$C784)-1))))</f>
        <v/>
      </c>
      <c r="M784" s="28">
        <f>IF($H784="","",DATE(YEAR($H784),MONTH($H784),1))</f>
        <v/>
      </c>
      <c r="N784" s="26">
        <f>IF($H784="","",TODAY()-$H784)</f>
        <v/>
      </c>
      <c r="O784" s="15" t="n"/>
      <c r="P784" s="26">
        <f>IF($A784="","",COUNTIFS('Audit Versions'!$A$6:$A$605,$A784,'Audit Versions'!$L$6:$L$605,"Active"))</f>
        <v/>
      </c>
      <c r="Q784" s="15" t="n"/>
      <c r="R784" s="26">
        <f>IF(OR($A784="",$P784=0),"",MOD(N($Q784),$P784)+1)</f>
        <v/>
      </c>
      <c r="S784" s="15" t="n"/>
      <c r="T784" s="25" t="n"/>
      <c r="U784" s="26">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Builder'!$B$12="",N($S784)&lt;='Assignment Builder'!$B$12)))</f>
        <v/>
      </c>
      <c r="V784" s="23" t="n"/>
    </row>
    <row r="785">
      <c r="A785" s="23" t="n"/>
      <c r="B785" s="23" t="n"/>
      <c r="C785" s="24" t="n"/>
      <c r="D785" s="15" t="n"/>
      <c r="E785" s="23" t="n"/>
      <c r="F785" s="15" t="n"/>
      <c r="G785" s="23" t="n"/>
      <c r="H785" s="25" t="n"/>
      <c r="I785" s="15" t="n"/>
      <c r="J785" s="26">
        <f>IF($A785="","",LEN($C785)-LEN(SUBSTITUTE($C785,",",""))+1)</f>
        <v/>
      </c>
      <c r="K785" s="26">
        <f>IF($A785="","",SUMPRODUCT(--ISNUMBER(SEARCH('Category Dictionary'!$D$5:$D$135&amp;"",$C785)),--('Category Dictionary'!$D$5:$D$135&lt;&gt;"")))</f>
        <v/>
      </c>
      <c r="L785" s="27">
        <f>IF($A785="","",TRIM(IF(ISERROR(FIND(",",$C785)),$C785,LEFT($C785,FIND(",",$C785)-1))))</f>
        <v/>
      </c>
      <c r="M785" s="28">
        <f>IF($H785="","",DATE(YEAR($H785),MONTH($H785),1))</f>
        <v/>
      </c>
      <c r="N785" s="26">
        <f>IF($H785="","",TODAY()-$H785)</f>
        <v/>
      </c>
      <c r="O785" s="15" t="n"/>
      <c r="P785" s="26">
        <f>IF($A785="","",COUNTIFS('Audit Versions'!$A$6:$A$605,$A785,'Audit Versions'!$L$6:$L$605,"Active"))</f>
        <v/>
      </c>
      <c r="Q785" s="15" t="n"/>
      <c r="R785" s="26">
        <f>IF(OR($A785="",$P785=0),"",MOD(N($Q785),$P785)+1)</f>
        <v/>
      </c>
      <c r="S785" s="15" t="n"/>
      <c r="T785" s="25" t="n"/>
      <c r="U785" s="26">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Builder'!$B$12="",N($S785)&lt;='Assignment Builder'!$B$12)))</f>
        <v/>
      </c>
      <c r="V785" s="23" t="n"/>
    </row>
    <row r="786">
      <c r="A786" s="23" t="n"/>
      <c r="B786" s="23" t="n"/>
      <c r="C786" s="24" t="n"/>
      <c r="D786" s="15" t="n"/>
      <c r="E786" s="23" t="n"/>
      <c r="F786" s="15" t="n"/>
      <c r="G786" s="23" t="n"/>
      <c r="H786" s="25" t="n"/>
      <c r="I786" s="15" t="n"/>
      <c r="J786" s="26">
        <f>IF($A786="","",LEN($C786)-LEN(SUBSTITUTE($C786,",",""))+1)</f>
        <v/>
      </c>
      <c r="K786" s="26">
        <f>IF($A786="","",SUMPRODUCT(--ISNUMBER(SEARCH('Category Dictionary'!$D$5:$D$135&amp;"",$C786)),--('Category Dictionary'!$D$5:$D$135&lt;&gt;"")))</f>
        <v/>
      </c>
      <c r="L786" s="27">
        <f>IF($A786="","",TRIM(IF(ISERROR(FIND(",",$C786)),$C786,LEFT($C786,FIND(",",$C786)-1))))</f>
        <v/>
      </c>
      <c r="M786" s="28">
        <f>IF($H786="","",DATE(YEAR($H786),MONTH($H786),1))</f>
        <v/>
      </c>
      <c r="N786" s="26">
        <f>IF($H786="","",TODAY()-$H786)</f>
        <v/>
      </c>
      <c r="O786" s="15" t="n"/>
      <c r="P786" s="26">
        <f>IF($A786="","",COUNTIFS('Audit Versions'!$A$6:$A$605,$A786,'Audit Versions'!$L$6:$L$605,"Active"))</f>
        <v/>
      </c>
      <c r="Q786" s="15" t="n"/>
      <c r="R786" s="26">
        <f>IF(OR($A786="",$P786=0),"",MOD(N($Q786),$P786)+1)</f>
        <v/>
      </c>
      <c r="S786" s="15" t="n"/>
      <c r="T786" s="25" t="n"/>
      <c r="U786" s="26">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Builder'!$B$12="",N($S786)&lt;='Assignment Builder'!$B$12)))</f>
        <v/>
      </c>
      <c r="V786" s="23" t="n"/>
    </row>
    <row r="787">
      <c r="A787" s="23" t="n"/>
      <c r="B787" s="23" t="n"/>
      <c r="C787" s="24" t="n"/>
      <c r="D787" s="15" t="n"/>
      <c r="E787" s="23" t="n"/>
      <c r="F787" s="15" t="n"/>
      <c r="G787" s="23" t="n"/>
      <c r="H787" s="25" t="n"/>
      <c r="I787" s="15" t="n"/>
      <c r="J787" s="26">
        <f>IF($A787="","",LEN($C787)-LEN(SUBSTITUTE($C787,",",""))+1)</f>
        <v/>
      </c>
      <c r="K787" s="26">
        <f>IF($A787="","",SUMPRODUCT(--ISNUMBER(SEARCH('Category Dictionary'!$D$5:$D$135&amp;"",$C787)),--('Category Dictionary'!$D$5:$D$135&lt;&gt;"")))</f>
        <v/>
      </c>
      <c r="L787" s="27">
        <f>IF($A787="","",TRIM(IF(ISERROR(FIND(",",$C787)),$C787,LEFT($C787,FIND(",",$C787)-1))))</f>
        <v/>
      </c>
      <c r="M787" s="28">
        <f>IF($H787="","",DATE(YEAR($H787),MONTH($H787),1))</f>
        <v/>
      </c>
      <c r="N787" s="26">
        <f>IF($H787="","",TODAY()-$H787)</f>
        <v/>
      </c>
      <c r="O787" s="15" t="n"/>
      <c r="P787" s="26">
        <f>IF($A787="","",COUNTIFS('Audit Versions'!$A$6:$A$605,$A787,'Audit Versions'!$L$6:$L$605,"Active"))</f>
        <v/>
      </c>
      <c r="Q787" s="15" t="n"/>
      <c r="R787" s="26">
        <f>IF(OR($A787="",$P787=0),"",MOD(N($Q787),$P787)+1)</f>
        <v/>
      </c>
      <c r="S787" s="15" t="n"/>
      <c r="T787" s="25" t="n"/>
      <c r="U787" s="26">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Builder'!$B$12="",N($S787)&lt;='Assignment Builder'!$B$12)))</f>
        <v/>
      </c>
      <c r="V787" s="23" t="n"/>
    </row>
    <row r="788">
      <c r="A788" s="23" t="n"/>
      <c r="B788" s="23" t="n"/>
      <c r="C788" s="24" t="n"/>
      <c r="D788" s="15" t="n"/>
      <c r="E788" s="23" t="n"/>
      <c r="F788" s="15" t="n"/>
      <c r="G788" s="23" t="n"/>
      <c r="H788" s="25" t="n"/>
      <c r="I788" s="15" t="n"/>
      <c r="J788" s="26">
        <f>IF($A788="","",LEN($C788)-LEN(SUBSTITUTE($C788,",",""))+1)</f>
        <v/>
      </c>
      <c r="K788" s="26">
        <f>IF($A788="","",SUMPRODUCT(--ISNUMBER(SEARCH('Category Dictionary'!$D$5:$D$135&amp;"",$C788)),--('Category Dictionary'!$D$5:$D$135&lt;&gt;"")))</f>
        <v/>
      </c>
      <c r="L788" s="27">
        <f>IF($A788="","",TRIM(IF(ISERROR(FIND(",",$C788)),$C788,LEFT($C788,FIND(",",$C788)-1))))</f>
        <v/>
      </c>
      <c r="M788" s="28">
        <f>IF($H788="","",DATE(YEAR($H788),MONTH($H788),1))</f>
        <v/>
      </c>
      <c r="N788" s="26">
        <f>IF($H788="","",TODAY()-$H788)</f>
        <v/>
      </c>
      <c r="O788" s="15" t="n"/>
      <c r="P788" s="26">
        <f>IF($A788="","",COUNTIFS('Audit Versions'!$A$6:$A$605,$A788,'Audit Versions'!$L$6:$L$605,"Active"))</f>
        <v/>
      </c>
      <c r="Q788" s="15" t="n"/>
      <c r="R788" s="26">
        <f>IF(OR($A788="",$P788=0),"",MOD(N($Q788),$P788)+1)</f>
        <v/>
      </c>
      <c r="S788" s="15" t="n"/>
      <c r="T788" s="25" t="n"/>
      <c r="U788" s="26">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Builder'!$B$12="",N($S788)&lt;='Assignment Builder'!$B$12)))</f>
        <v/>
      </c>
      <c r="V788" s="23" t="n"/>
    </row>
    <row r="789">
      <c r="A789" s="23" t="n"/>
      <c r="B789" s="23" t="n"/>
      <c r="C789" s="24" t="n"/>
      <c r="D789" s="15" t="n"/>
      <c r="E789" s="23" t="n"/>
      <c r="F789" s="15" t="n"/>
      <c r="G789" s="23" t="n"/>
      <c r="H789" s="25" t="n"/>
      <c r="I789" s="15" t="n"/>
      <c r="J789" s="26">
        <f>IF($A789="","",LEN($C789)-LEN(SUBSTITUTE($C789,",",""))+1)</f>
        <v/>
      </c>
      <c r="K789" s="26">
        <f>IF($A789="","",SUMPRODUCT(--ISNUMBER(SEARCH('Category Dictionary'!$D$5:$D$135&amp;"",$C789)),--('Category Dictionary'!$D$5:$D$135&lt;&gt;"")))</f>
        <v/>
      </c>
      <c r="L789" s="27">
        <f>IF($A789="","",TRIM(IF(ISERROR(FIND(",",$C789)),$C789,LEFT($C789,FIND(",",$C789)-1))))</f>
        <v/>
      </c>
      <c r="M789" s="28">
        <f>IF($H789="","",DATE(YEAR($H789),MONTH($H789),1))</f>
        <v/>
      </c>
      <c r="N789" s="26">
        <f>IF($H789="","",TODAY()-$H789)</f>
        <v/>
      </c>
      <c r="O789" s="15" t="n"/>
      <c r="P789" s="26">
        <f>IF($A789="","",COUNTIFS('Audit Versions'!$A$6:$A$605,$A789,'Audit Versions'!$L$6:$L$605,"Active"))</f>
        <v/>
      </c>
      <c r="Q789" s="15" t="n"/>
      <c r="R789" s="26">
        <f>IF(OR($A789="",$P789=0),"",MOD(N($Q789),$P789)+1)</f>
        <v/>
      </c>
      <c r="S789" s="15" t="n"/>
      <c r="T789" s="25" t="n"/>
      <c r="U789" s="26">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Builder'!$B$12="",N($S789)&lt;='Assignment Builder'!$B$12)))</f>
        <v/>
      </c>
      <c r="V789" s="23" t="n"/>
    </row>
    <row r="790">
      <c r="A790" s="23" t="n"/>
      <c r="B790" s="23" t="n"/>
      <c r="C790" s="24" t="n"/>
      <c r="D790" s="15" t="n"/>
      <c r="E790" s="23" t="n"/>
      <c r="F790" s="15" t="n"/>
      <c r="G790" s="23" t="n"/>
      <c r="H790" s="25" t="n"/>
      <c r="I790" s="15" t="n"/>
      <c r="J790" s="26">
        <f>IF($A790="","",LEN($C790)-LEN(SUBSTITUTE($C790,",",""))+1)</f>
        <v/>
      </c>
      <c r="K790" s="26">
        <f>IF($A790="","",SUMPRODUCT(--ISNUMBER(SEARCH('Category Dictionary'!$D$5:$D$135&amp;"",$C790)),--('Category Dictionary'!$D$5:$D$135&lt;&gt;"")))</f>
        <v/>
      </c>
      <c r="L790" s="27">
        <f>IF($A790="","",TRIM(IF(ISERROR(FIND(",",$C790)),$C790,LEFT($C790,FIND(",",$C790)-1))))</f>
        <v/>
      </c>
      <c r="M790" s="28">
        <f>IF($H790="","",DATE(YEAR($H790),MONTH($H790),1))</f>
        <v/>
      </c>
      <c r="N790" s="26">
        <f>IF($H790="","",TODAY()-$H790)</f>
        <v/>
      </c>
      <c r="O790" s="15" t="n"/>
      <c r="P790" s="26">
        <f>IF($A790="","",COUNTIFS('Audit Versions'!$A$6:$A$605,$A790,'Audit Versions'!$L$6:$L$605,"Active"))</f>
        <v/>
      </c>
      <c r="Q790" s="15" t="n"/>
      <c r="R790" s="26">
        <f>IF(OR($A790="",$P790=0),"",MOD(N($Q790),$P790)+1)</f>
        <v/>
      </c>
      <c r="S790" s="15" t="n"/>
      <c r="T790" s="25" t="n"/>
      <c r="U790" s="26">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Builder'!$B$12="",N($S790)&lt;='Assignment Builder'!$B$12)))</f>
        <v/>
      </c>
      <c r="V790" s="23" t="n"/>
    </row>
    <row r="791">
      <c r="A791" s="23" t="n"/>
      <c r="B791" s="23" t="n"/>
      <c r="C791" s="24" t="n"/>
      <c r="D791" s="15" t="n"/>
      <c r="E791" s="23" t="n"/>
      <c r="F791" s="15" t="n"/>
      <c r="G791" s="23" t="n"/>
      <c r="H791" s="25" t="n"/>
      <c r="I791" s="15" t="n"/>
      <c r="J791" s="26">
        <f>IF($A791="","",LEN($C791)-LEN(SUBSTITUTE($C791,",",""))+1)</f>
        <v/>
      </c>
      <c r="K791" s="26">
        <f>IF($A791="","",SUMPRODUCT(--ISNUMBER(SEARCH('Category Dictionary'!$D$5:$D$135&amp;"",$C791)),--('Category Dictionary'!$D$5:$D$135&lt;&gt;"")))</f>
        <v/>
      </c>
      <c r="L791" s="27">
        <f>IF($A791="","",TRIM(IF(ISERROR(FIND(",",$C791)),$C791,LEFT($C791,FIND(",",$C791)-1))))</f>
        <v/>
      </c>
      <c r="M791" s="28">
        <f>IF($H791="","",DATE(YEAR($H791),MONTH($H791),1))</f>
        <v/>
      </c>
      <c r="N791" s="26">
        <f>IF($H791="","",TODAY()-$H791)</f>
        <v/>
      </c>
      <c r="O791" s="15" t="n"/>
      <c r="P791" s="26">
        <f>IF($A791="","",COUNTIFS('Audit Versions'!$A$6:$A$605,$A791,'Audit Versions'!$L$6:$L$605,"Active"))</f>
        <v/>
      </c>
      <c r="Q791" s="15" t="n"/>
      <c r="R791" s="26">
        <f>IF(OR($A791="",$P791=0),"",MOD(N($Q791),$P791)+1)</f>
        <v/>
      </c>
      <c r="S791" s="15" t="n"/>
      <c r="T791" s="25" t="n"/>
      <c r="U791" s="26">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Builder'!$B$12="",N($S791)&lt;='Assignment Builder'!$B$12)))</f>
        <v/>
      </c>
      <c r="V791" s="23" t="n"/>
    </row>
    <row r="792">
      <c r="A792" s="23" t="n"/>
      <c r="B792" s="23" t="n"/>
      <c r="C792" s="24" t="n"/>
      <c r="D792" s="15" t="n"/>
      <c r="E792" s="23" t="n"/>
      <c r="F792" s="15" t="n"/>
      <c r="G792" s="23" t="n"/>
      <c r="H792" s="25" t="n"/>
      <c r="I792" s="15" t="n"/>
      <c r="J792" s="26">
        <f>IF($A792="","",LEN($C792)-LEN(SUBSTITUTE($C792,",",""))+1)</f>
        <v/>
      </c>
      <c r="K792" s="26">
        <f>IF($A792="","",SUMPRODUCT(--ISNUMBER(SEARCH('Category Dictionary'!$D$5:$D$135&amp;"",$C792)),--('Category Dictionary'!$D$5:$D$135&lt;&gt;"")))</f>
        <v/>
      </c>
      <c r="L792" s="27">
        <f>IF($A792="","",TRIM(IF(ISERROR(FIND(",",$C792)),$C792,LEFT($C792,FIND(",",$C792)-1))))</f>
        <v/>
      </c>
      <c r="M792" s="28">
        <f>IF($H792="","",DATE(YEAR($H792),MONTH($H792),1))</f>
        <v/>
      </c>
      <c r="N792" s="26">
        <f>IF($H792="","",TODAY()-$H792)</f>
        <v/>
      </c>
      <c r="O792" s="15" t="n"/>
      <c r="P792" s="26">
        <f>IF($A792="","",COUNTIFS('Audit Versions'!$A$6:$A$605,$A792,'Audit Versions'!$L$6:$L$605,"Active"))</f>
        <v/>
      </c>
      <c r="Q792" s="15" t="n"/>
      <c r="R792" s="26">
        <f>IF(OR($A792="",$P792=0),"",MOD(N($Q792),$P792)+1)</f>
        <v/>
      </c>
      <c r="S792" s="15" t="n"/>
      <c r="T792" s="25" t="n"/>
      <c r="U792" s="26">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Builder'!$B$12="",N($S792)&lt;='Assignment Builder'!$B$12)))</f>
        <v/>
      </c>
      <c r="V792" s="23" t="n"/>
    </row>
    <row r="793">
      <c r="A793" s="23" t="n"/>
      <c r="B793" s="23" t="n"/>
      <c r="C793" s="24" t="n"/>
      <c r="D793" s="15" t="n"/>
      <c r="E793" s="23" t="n"/>
      <c r="F793" s="15" t="n"/>
      <c r="G793" s="23" t="n"/>
      <c r="H793" s="25" t="n"/>
      <c r="I793" s="15" t="n"/>
      <c r="J793" s="26">
        <f>IF($A793="","",LEN($C793)-LEN(SUBSTITUTE($C793,",",""))+1)</f>
        <v/>
      </c>
      <c r="K793" s="26">
        <f>IF($A793="","",SUMPRODUCT(--ISNUMBER(SEARCH('Category Dictionary'!$D$5:$D$135&amp;"",$C793)),--('Category Dictionary'!$D$5:$D$135&lt;&gt;"")))</f>
        <v/>
      </c>
      <c r="L793" s="27">
        <f>IF($A793="","",TRIM(IF(ISERROR(FIND(",",$C793)),$C793,LEFT($C793,FIND(",",$C793)-1))))</f>
        <v/>
      </c>
      <c r="M793" s="28">
        <f>IF($H793="","",DATE(YEAR($H793),MONTH($H793),1))</f>
        <v/>
      </c>
      <c r="N793" s="26">
        <f>IF($H793="","",TODAY()-$H793)</f>
        <v/>
      </c>
      <c r="O793" s="15" t="n"/>
      <c r="P793" s="26">
        <f>IF($A793="","",COUNTIFS('Audit Versions'!$A$6:$A$605,$A793,'Audit Versions'!$L$6:$L$605,"Active"))</f>
        <v/>
      </c>
      <c r="Q793" s="15" t="n"/>
      <c r="R793" s="26">
        <f>IF(OR($A793="",$P793=0),"",MOD(N($Q793),$P793)+1)</f>
        <v/>
      </c>
      <c r="S793" s="15" t="n"/>
      <c r="T793" s="25" t="n"/>
      <c r="U793" s="26">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Builder'!$B$12="",N($S793)&lt;='Assignment Builder'!$B$12)))</f>
        <v/>
      </c>
      <c r="V793" s="23" t="n"/>
    </row>
    <row r="794">
      <c r="A794" s="23" t="n"/>
      <c r="B794" s="23" t="n"/>
      <c r="C794" s="24" t="n"/>
      <c r="D794" s="15" t="n"/>
      <c r="E794" s="23" t="n"/>
      <c r="F794" s="15" t="n"/>
      <c r="G794" s="23" t="n"/>
      <c r="H794" s="25" t="n"/>
      <c r="I794" s="15" t="n"/>
      <c r="J794" s="26">
        <f>IF($A794="","",LEN($C794)-LEN(SUBSTITUTE($C794,",",""))+1)</f>
        <v/>
      </c>
      <c r="K794" s="26">
        <f>IF($A794="","",SUMPRODUCT(--ISNUMBER(SEARCH('Category Dictionary'!$D$5:$D$135&amp;"",$C794)),--('Category Dictionary'!$D$5:$D$135&lt;&gt;"")))</f>
        <v/>
      </c>
      <c r="L794" s="27">
        <f>IF($A794="","",TRIM(IF(ISERROR(FIND(",",$C794)),$C794,LEFT($C794,FIND(",",$C794)-1))))</f>
        <v/>
      </c>
      <c r="M794" s="28">
        <f>IF($H794="","",DATE(YEAR($H794),MONTH($H794),1))</f>
        <v/>
      </c>
      <c r="N794" s="26">
        <f>IF($H794="","",TODAY()-$H794)</f>
        <v/>
      </c>
      <c r="O794" s="15" t="n"/>
      <c r="P794" s="26">
        <f>IF($A794="","",COUNTIFS('Audit Versions'!$A$6:$A$605,$A794,'Audit Versions'!$L$6:$L$605,"Active"))</f>
        <v/>
      </c>
      <c r="Q794" s="15" t="n"/>
      <c r="R794" s="26">
        <f>IF(OR($A794="",$P794=0),"",MOD(N($Q794),$P794)+1)</f>
        <v/>
      </c>
      <c r="S794" s="15" t="n"/>
      <c r="T794" s="25" t="n"/>
      <c r="U794" s="26">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Builder'!$B$12="",N($S794)&lt;='Assignment Builder'!$B$12)))</f>
        <v/>
      </c>
      <c r="V794" s="23" t="n"/>
    </row>
    <row r="795">
      <c r="A795" s="23" t="n"/>
      <c r="B795" s="23" t="n"/>
      <c r="C795" s="24" t="n"/>
      <c r="D795" s="15" t="n"/>
      <c r="E795" s="23" t="n"/>
      <c r="F795" s="15" t="n"/>
      <c r="G795" s="23" t="n"/>
      <c r="H795" s="25" t="n"/>
      <c r="I795" s="15" t="n"/>
      <c r="J795" s="26">
        <f>IF($A795="","",LEN($C795)-LEN(SUBSTITUTE($C795,",",""))+1)</f>
        <v/>
      </c>
      <c r="K795" s="26">
        <f>IF($A795="","",SUMPRODUCT(--ISNUMBER(SEARCH('Category Dictionary'!$D$5:$D$135&amp;"",$C795)),--('Category Dictionary'!$D$5:$D$135&lt;&gt;"")))</f>
        <v/>
      </c>
      <c r="L795" s="27">
        <f>IF($A795="","",TRIM(IF(ISERROR(FIND(",",$C795)),$C795,LEFT($C795,FIND(",",$C795)-1))))</f>
        <v/>
      </c>
      <c r="M795" s="28">
        <f>IF($H795="","",DATE(YEAR($H795),MONTH($H795),1))</f>
        <v/>
      </c>
      <c r="N795" s="26">
        <f>IF($H795="","",TODAY()-$H795)</f>
        <v/>
      </c>
      <c r="O795" s="15" t="n"/>
      <c r="P795" s="26">
        <f>IF($A795="","",COUNTIFS('Audit Versions'!$A$6:$A$605,$A795,'Audit Versions'!$L$6:$L$605,"Active"))</f>
        <v/>
      </c>
      <c r="Q795" s="15" t="n"/>
      <c r="R795" s="26">
        <f>IF(OR($A795="",$P795=0),"",MOD(N($Q795),$P795)+1)</f>
        <v/>
      </c>
      <c r="S795" s="15" t="n"/>
      <c r="T795" s="25" t="n"/>
      <c r="U795" s="26">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Builder'!$B$12="",N($S795)&lt;='Assignment Builder'!$B$12)))</f>
        <v/>
      </c>
      <c r="V795" s="23" t="n"/>
    </row>
    <row r="796">
      <c r="A796" s="23" t="n"/>
      <c r="B796" s="23" t="n"/>
      <c r="C796" s="24" t="n"/>
      <c r="D796" s="15" t="n"/>
      <c r="E796" s="23" t="n"/>
      <c r="F796" s="15" t="n"/>
      <c r="G796" s="23" t="n"/>
      <c r="H796" s="25" t="n"/>
      <c r="I796" s="15" t="n"/>
      <c r="J796" s="26">
        <f>IF($A796="","",LEN($C796)-LEN(SUBSTITUTE($C796,",",""))+1)</f>
        <v/>
      </c>
      <c r="K796" s="26">
        <f>IF($A796="","",SUMPRODUCT(--ISNUMBER(SEARCH('Category Dictionary'!$D$5:$D$135&amp;"",$C796)),--('Category Dictionary'!$D$5:$D$135&lt;&gt;"")))</f>
        <v/>
      </c>
      <c r="L796" s="27">
        <f>IF($A796="","",TRIM(IF(ISERROR(FIND(",",$C796)),$C796,LEFT($C796,FIND(",",$C796)-1))))</f>
        <v/>
      </c>
      <c r="M796" s="28">
        <f>IF($H796="","",DATE(YEAR($H796),MONTH($H796),1))</f>
        <v/>
      </c>
      <c r="N796" s="26">
        <f>IF($H796="","",TODAY()-$H796)</f>
        <v/>
      </c>
      <c r="O796" s="15" t="n"/>
      <c r="P796" s="26">
        <f>IF($A796="","",COUNTIFS('Audit Versions'!$A$6:$A$605,$A796,'Audit Versions'!$L$6:$L$605,"Active"))</f>
        <v/>
      </c>
      <c r="Q796" s="15" t="n"/>
      <c r="R796" s="26">
        <f>IF(OR($A796="",$P796=0),"",MOD(N($Q796),$P796)+1)</f>
        <v/>
      </c>
      <c r="S796" s="15" t="n"/>
      <c r="T796" s="25" t="n"/>
      <c r="U796" s="26">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Builder'!$B$12="",N($S796)&lt;='Assignment Builder'!$B$12)))</f>
        <v/>
      </c>
      <c r="V796" s="23" t="n"/>
    </row>
    <row r="797">
      <c r="A797" s="23" t="n"/>
      <c r="B797" s="23" t="n"/>
      <c r="C797" s="24" t="n"/>
      <c r="D797" s="15" t="n"/>
      <c r="E797" s="23" t="n"/>
      <c r="F797" s="15" t="n"/>
      <c r="G797" s="23" t="n"/>
      <c r="H797" s="25" t="n"/>
      <c r="I797" s="15" t="n"/>
      <c r="J797" s="26">
        <f>IF($A797="","",LEN($C797)-LEN(SUBSTITUTE($C797,",",""))+1)</f>
        <v/>
      </c>
      <c r="K797" s="26">
        <f>IF($A797="","",SUMPRODUCT(--ISNUMBER(SEARCH('Category Dictionary'!$D$5:$D$135&amp;"",$C797)),--('Category Dictionary'!$D$5:$D$135&lt;&gt;"")))</f>
        <v/>
      </c>
      <c r="L797" s="27">
        <f>IF($A797="","",TRIM(IF(ISERROR(FIND(",",$C797)),$C797,LEFT($C797,FIND(",",$C797)-1))))</f>
        <v/>
      </c>
      <c r="M797" s="28">
        <f>IF($H797="","",DATE(YEAR($H797),MONTH($H797),1))</f>
        <v/>
      </c>
      <c r="N797" s="26">
        <f>IF($H797="","",TODAY()-$H797)</f>
        <v/>
      </c>
      <c r="O797" s="15" t="n"/>
      <c r="P797" s="26">
        <f>IF($A797="","",COUNTIFS('Audit Versions'!$A$6:$A$605,$A797,'Audit Versions'!$L$6:$L$605,"Active"))</f>
        <v/>
      </c>
      <c r="Q797" s="15" t="n"/>
      <c r="R797" s="26">
        <f>IF(OR($A797="",$P797=0),"",MOD(N($Q797),$P797)+1)</f>
        <v/>
      </c>
      <c r="S797" s="15" t="n"/>
      <c r="T797" s="25" t="n"/>
      <c r="U797" s="26">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Builder'!$B$12="",N($S797)&lt;='Assignment Builder'!$B$12)))</f>
        <v/>
      </c>
      <c r="V797" s="23" t="n"/>
    </row>
    <row r="798">
      <c r="A798" s="23" t="n"/>
      <c r="B798" s="23" t="n"/>
      <c r="C798" s="24" t="n"/>
      <c r="D798" s="15" t="n"/>
      <c r="E798" s="23" t="n"/>
      <c r="F798" s="15" t="n"/>
      <c r="G798" s="23" t="n"/>
      <c r="H798" s="25" t="n"/>
      <c r="I798" s="15" t="n"/>
      <c r="J798" s="26">
        <f>IF($A798="","",LEN($C798)-LEN(SUBSTITUTE($C798,",",""))+1)</f>
        <v/>
      </c>
      <c r="K798" s="26">
        <f>IF($A798="","",SUMPRODUCT(--ISNUMBER(SEARCH('Category Dictionary'!$D$5:$D$135&amp;"",$C798)),--('Category Dictionary'!$D$5:$D$135&lt;&gt;"")))</f>
        <v/>
      </c>
      <c r="L798" s="27">
        <f>IF($A798="","",TRIM(IF(ISERROR(FIND(",",$C798)),$C798,LEFT($C798,FIND(",",$C798)-1))))</f>
        <v/>
      </c>
      <c r="M798" s="28">
        <f>IF($H798="","",DATE(YEAR($H798),MONTH($H798),1))</f>
        <v/>
      </c>
      <c r="N798" s="26">
        <f>IF($H798="","",TODAY()-$H798)</f>
        <v/>
      </c>
      <c r="O798" s="15" t="n"/>
      <c r="P798" s="26">
        <f>IF($A798="","",COUNTIFS('Audit Versions'!$A$6:$A$605,$A798,'Audit Versions'!$L$6:$L$605,"Active"))</f>
        <v/>
      </c>
      <c r="Q798" s="15" t="n"/>
      <c r="R798" s="26">
        <f>IF(OR($A798="",$P798=0),"",MOD(N($Q798),$P798)+1)</f>
        <v/>
      </c>
      <c r="S798" s="15" t="n"/>
      <c r="T798" s="25" t="n"/>
      <c r="U798" s="26">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Builder'!$B$12="",N($S798)&lt;='Assignment Builder'!$B$12)))</f>
        <v/>
      </c>
      <c r="V798" s="23" t="n"/>
    </row>
    <row r="799">
      <c r="A799" s="23" t="n"/>
      <c r="B799" s="23" t="n"/>
      <c r="C799" s="24" t="n"/>
      <c r="D799" s="15" t="n"/>
      <c r="E799" s="23" t="n"/>
      <c r="F799" s="15" t="n"/>
      <c r="G799" s="23" t="n"/>
      <c r="H799" s="25" t="n"/>
      <c r="I799" s="15" t="n"/>
      <c r="J799" s="26">
        <f>IF($A799="","",LEN($C799)-LEN(SUBSTITUTE($C799,",",""))+1)</f>
        <v/>
      </c>
      <c r="K799" s="26">
        <f>IF($A799="","",SUMPRODUCT(--ISNUMBER(SEARCH('Category Dictionary'!$D$5:$D$135&amp;"",$C799)),--('Category Dictionary'!$D$5:$D$135&lt;&gt;"")))</f>
        <v/>
      </c>
      <c r="L799" s="27">
        <f>IF($A799="","",TRIM(IF(ISERROR(FIND(",",$C799)),$C799,LEFT($C799,FIND(",",$C799)-1))))</f>
        <v/>
      </c>
      <c r="M799" s="28">
        <f>IF($H799="","",DATE(YEAR($H799),MONTH($H799),1))</f>
        <v/>
      </c>
      <c r="N799" s="26">
        <f>IF($H799="","",TODAY()-$H799)</f>
        <v/>
      </c>
      <c r="O799" s="15" t="n"/>
      <c r="P799" s="26">
        <f>IF($A799="","",COUNTIFS('Audit Versions'!$A$6:$A$605,$A799,'Audit Versions'!$L$6:$L$605,"Active"))</f>
        <v/>
      </c>
      <c r="Q799" s="15" t="n"/>
      <c r="R799" s="26">
        <f>IF(OR($A799="",$P799=0),"",MOD(N($Q799),$P799)+1)</f>
        <v/>
      </c>
      <c r="S799" s="15" t="n"/>
      <c r="T799" s="25" t="n"/>
      <c r="U799" s="26">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Builder'!$B$12="",N($S799)&lt;='Assignment Builder'!$B$12)))</f>
        <v/>
      </c>
      <c r="V799" s="23" t="n"/>
    </row>
    <row r="800">
      <c r="A800" s="23" t="n"/>
      <c r="B800" s="23" t="n"/>
      <c r="C800" s="24" t="n"/>
      <c r="D800" s="15" t="n"/>
      <c r="E800" s="23" t="n"/>
      <c r="F800" s="15" t="n"/>
      <c r="G800" s="23" t="n"/>
      <c r="H800" s="25" t="n"/>
      <c r="I800" s="15" t="n"/>
      <c r="J800" s="26">
        <f>IF($A800="","",LEN($C800)-LEN(SUBSTITUTE($C800,",",""))+1)</f>
        <v/>
      </c>
      <c r="K800" s="26">
        <f>IF($A800="","",SUMPRODUCT(--ISNUMBER(SEARCH('Category Dictionary'!$D$5:$D$135&amp;"",$C800)),--('Category Dictionary'!$D$5:$D$135&lt;&gt;"")))</f>
        <v/>
      </c>
      <c r="L800" s="27">
        <f>IF($A800="","",TRIM(IF(ISERROR(FIND(",",$C800)),$C800,LEFT($C800,FIND(",",$C800)-1))))</f>
        <v/>
      </c>
      <c r="M800" s="28">
        <f>IF($H800="","",DATE(YEAR($H800),MONTH($H800),1))</f>
        <v/>
      </c>
      <c r="N800" s="26">
        <f>IF($H800="","",TODAY()-$H800)</f>
        <v/>
      </c>
      <c r="O800" s="15" t="n"/>
      <c r="P800" s="26">
        <f>IF($A800="","",COUNTIFS('Audit Versions'!$A$6:$A$605,$A800,'Audit Versions'!$L$6:$L$605,"Active"))</f>
        <v/>
      </c>
      <c r="Q800" s="15" t="n"/>
      <c r="R800" s="26">
        <f>IF(OR($A800="",$P800=0),"",MOD(N($Q800),$P800)+1)</f>
        <v/>
      </c>
      <c r="S800" s="15" t="n"/>
      <c r="T800" s="25" t="n"/>
      <c r="U800" s="26">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Builder'!$B$12="",N($S800)&lt;='Assignment Builder'!$B$12)))</f>
        <v/>
      </c>
      <c r="V800" s="23" t="n"/>
    </row>
    <row r="801">
      <c r="A801" s="23" t="n"/>
      <c r="B801" s="23" t="n"/>
      <c r="C801" s="24" t="n"/>
      <c r="D801" s="15" t="n"/>
      <c r="E801" s="23" t="n"/>
      <c r="F801" s="15" t="n"/>
      <c r="G801" s="23" t="n"/>
      <c r="H801" s="25" t="n"/>
      <c r="I801" s="15" t="n"/>
      <c r="J801" s="26">
        <f>IF($A801="","",LEN($C801)-LEN(SUBSTITUTE($C801,",",""))+1)</f>
        <v/>
      </c>
      <c r="K801" s="26">
        <f>IF($A801="","",SUMPRODUCT(--ISNUMBER(SEARCH('Category Dictionary'!$D$5:$D$135&amp;"",$C801)),--('Category Dictionary'!$D$5:$D$135&lt;&gt;"")))</f>
        <v/>
      </c>
      <c r="L801" s="27">
        <f>IF($A801="","",TRIM(IF(ISERROR(FIND(",",$C801)),$C801,LEFT($C801,FIND(",",$C801)-1))))</f>
        <v/>
      </c>
      <c r="M801" s="28">
        <f>IF($H801="","",DATE(YEAR($H801),MONTH($H801),1))</f>
        <v/>
      </c>
      <c r="N801" s="26">
        <f>IF($H801="","",TODAY()-$H801)</f>
        <v/>
      </c>
      <c r="O801" s="15" t="n"/>
      <c r="P801" s="26">
        <f>IF($A801="","",COUNTIFS('Audit Versions'!$A$6:$A$605,$A801,'Audit Versions'!$L$6:$L$605,"Active"))</f>
        <v/>
      </c>
      <c r="Q801" s="15" t="n"/>
      <c r="R801" s="26">
        <f>IF(OR($A801="",$P801=0),"",MOD(N($Q801),$P801)+1)</f>
        <v/>
      </c>
      <c r="S801" s="15" t="n"/>
      <c r="T801" s="25" t="n"/>
      <c r="U801" s="26">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Builder'!$B$12="",N($S801)&lt;='Assignment Builder'!$B$12)))</f>
        <v/>
      </c>
      <c r="V801" s="23" t="n"/>
    </row>
    <row r="802">
      <c r="A802" s="23" t="n"/>
      <c r="B802" s="23" t="n"/>
      <c r="C802" s="24" t="n"/>
      <c r="D802" s="15" t="n"/>
      <c r="E802" s="23" t="n"/>
      <c r="F802" s="15" t="n"/>
      <c r="G802" s="23" t="n"/>
      <c r="H802" s="25" t="n"/>
      <c r="I802" s="15" t="n"/>
      <c r="J802" s="26">
        <f>IF($A802="","",LEN($C802)-LEN(SUBSTITUTE($C802,",",""))+1)</f>
        <v/>
      </c>
      <c r="K802" s="26">
        <f>IF($A802="","",SUMPRODUCT(--ISNUMBER(SEARCH('Category Dictionary'!$D$5:$D$135&amp;"",$C802)),--('Category Dictionary'!$D$5:$D$135&lt;&gt;"")))</f>
        <v/>
      </c>
      <c r="L802" s="27">
        <f>IF($A802="","",TRIM(IF(ISERROR(FIND(",",$C802)),$C802,LEFT($C802,FIND(",",$C802)-1))))</f>
        <v/>
      </c>
      <c r="M802" s="28">
        <f>IF($H802="","",DATE(YEAR($H802),MONTH($H802),1))</f>
        <v/>
      </c>
      <c r="N802" s="26">
        <f>IF($H802="","",TODAY()-$H802)</f>
        <v/>
      </c>
      <c r="O802" s="15" t="n"/>
      <c r="P802" s="26">
        <f>IF($A802="","",COUNTIFS('Audit Versions'!$A$6:$A$605,$A802,'Audit Versions'!$L$6:$L$605,"Active"))</f>
        <v/>
      </c>
      <c r="Q802" s="15" t="n"/>
      <c r="R802" s="26">
        <f>IF(OR($A802="",$P802=0),"",MOD(N($Q802),$P802)+1)</f>
        <v/>
      </c>
      <c r="S802" s="15" t="n"/>
      <c r="T802" s="25" t="n"/>
      <c r="U802" s="26">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Builder'!$B$12="",N($S802)&lt;='Assignment Builder'!$B$12)))</f>
        <v/>
      </c>
      <c r="V802" s="23" t="n"/>
    </row>
    <row r="803">
      <c r="A803" s="23" t="n"/>
      <c r="B803" s="23" t="n"/>
      <c r="C803" s="24" t="n"/>
      <c r="D803" s="15" t="n"/>
      <c r="E803" s="23" t="n"/>
      <c r="F803" s="15" t="n"/>
      <c r="G803" s="23" t="n"/>
      <c r="H803" s="25" t="n"/>
      <c r="I803" s="15" t="n"/>
      <c r="J803" s="26">
        <f>IF($A803="","",LEN($C803)-LEN(SUBSTITUTE($C803,",",""))+1)</f>
        <v/>
      </c>
      <c r="K803" s="26">
        <f>IF($A803="","",SUMPRODUCT(--ISNUMBER(SEARCH('Category Dictionary'!$D$5:$D$135&amp;"",$C803)),--('Category Dictionary'!$D$5:$D$135&lt;&gt;"")))</f>
        <v/>
      </c>
      <c r="L803" s="27">
        <f>IF($A803="","",TRIM(IF(ISERROR(FIND(",",$C803)),$C803,LEFT($C803,FIND(",",$C803)-1))))</f>
        <v/>
      </c>
      <c r="M803" s="28">
        <f>IF($H803="","",DATE(YEAR($H803),MONTH($H803),1))</f>
        <v/>
      </c>
      <c r="N803" s="26">
        <f>IF($H803="","",TODAY()-$H803)</f>
        <v/>
      </c>
      <c r="O803" s="15" t="n"/>
      <c r="P803" s="26">
        <f>IF($A803="","",COUNTIFS('Audit Versions'!$A$6:$A$605,$A803,'Audit Versions'!$L$6:$L$605,"Active"))</f>
        <v/>
      </c>
      <c r="Q803" s="15" t="n"/>
      <c r="R803" s="26">
        <f>IF(OR($A803="",$P803=0),"",MOD(N($Q803),$P803)+1)</f>
        <v/>
      </c>
      <c r="S803" s="15" t="n"/>
      <c r="T803" s="25" t="n"/>
      <c r="U803" s="26">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Builder'!$B$12="",N($S803)&lt;='Assignment Builder'!$B$12)))</f>
        <v/>
      </c>
      <c r="V803" s="23" t="n"/>
    </row>
    <row r="804">
      <c r="A804" s="23" t="n"/>
      <c r="B804" s="23" t="n"/>
      <c r="C804" s="24" t="n"/>
      <c r="D804" s="15" t="n"/>
      <c r="E804" s="23" t="n"/>
      <c r="F804" s="15" t="n"/>
      <c r="G804" s="23" t="n"/>
      <c r="H804" s="25" t="n"/>
      <c r="I804" s="15" t="n"/>
      <c r="J804" s="26">
        <f>IF($A804="","",LEN($C804)-LEN(SUBSTITUTE($C804,",",""))+1)</f>
        <v/>
      </c>
      <c r="K804" s="26">
        <f>IF($A804="","",SUMPRODUCT(--ISNUMBER(SEARCH('Category Dictionary'!$D$5:$D$135&amp;"",$C804)),--('Category Dictionary'!$D$5:$D$135&lt;&gt;"")))</f>
        <v/>
      </c>
      <c r="L804" s="27">
        <f>IF($A804="","",TRIM(IF(ISERROR(FIND(",",$C804)),$C804,LEFT($C804,FIND(",",$C804)-1))))</f>
        <v/>
      </c>
      <c r="M804" s="28">
        <f>IF($H804="","",DATE(YEAR($H804),MONTH($H804),1))</f>
        <v/>
      </c>
      <c r="N804" s="26">
        <f>IF($H804="","",TODAY()-$H804)</f>
        <v/>
      </c>
      <c r="O804" s="15" t="n"/>
      <c r="P804" s="26">
        <f>IF($A804="","",COUNTIFS('Audit Versions'!$A$6:$A$605,$A804,'Audit Versions'!$L$6:$L$605,"Active"))</f>
        <v/>
      </c>
      <c r="Q804" s="15" t="n"/>
      <c r="R804" s="26">
        <f>IF(OR($A804="",$P804=0),"",MOD(N($Q804),$P804)+1)</f>
        <v/>
      </c>
      <c r="S804" s="15" t="n"/>
      <c r="T804" s="25" t="n"/>
      <c r="U804" s="26">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Builder'!$B$12="",N($S804)&lt;='Assignment Builder'!$B$12)))</f>
        <v/>
      </c>
      <c r="V804" s="23" t="n"/>
    </row>
    <row r="805">
      <c r="A805" s="23" t="n"/>
      <c r="B805" s="23" t="n"/>
      <c r="C805" s="24" t="n"/>
      <c r="D805" s="15" t="n"/>
      <c r="E805" s="23" t="n"/>
      <c r="F805" s="15" t="n"/>
      <c r="G805" s="23" t="n"/>
      <c r="H805" s="25" t="n"/>
      <c r="I805" s="15" t="n"/>
      <c r="J805" s="26">
        <f>IF($A805="","",LEN($C805)-LEN(SUBSTITUTE($C805,",",""))+1)</f>
        <v/>
      </c>
      <c r="K805" s="26">
        <f>IF($A805="","",SUMPRODUCT(--ISNUMBER(SEARCH('Category Dictionary'!$D$5:$D$135&amp;"",$C805)),--('Category Dictionary'!$D$5:$D$135&lt;&gt;"")))</f>
        <v/>
      </c>
      <c r="L805" s="27">
        <f>IF($A805="","",TRIM(IF(ISERROR(FIND(",",$C805)),$C805,LEFT($C805,FIND(",",$C805)-1))))</f>
        <v/>
      </c>
      <c r="M805" s="28">
        <f>IF($H805="","",DATE(YEAR($H805),MONTH($H805),1))</f>
        <v/>
      </c>
      <c r="N805" s="26">
        <f>IF($H805="","",TODAY()-$H805)</f>
        <v/>
      </c>
      <c r="O805" s="15" t="n"/>
      <c r="P805" s="26">
        <f>IF($A805="","",COUNTIFS('Audit Versions'!$A$6:$A$605,$A805,'Audit Versions'!$L$6:$L$605,"Active"))</f>
        <v/>
      </c>
      <c r="Q805" s="15" t="n"/>
      <c r="R805" s="26">
        <f>IF(OR($A805="",$P805=0),"",MOD(N($Q805),$P805)+1)</f>
        <v/>
      </c>
      <c r="S805" s="15" t="n"/>
      <c r="T805" s="25" t="n"/>
      <c r="U805" s="26">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Builder'!$B$12="",N($S805)&lt;='Assignment Builder'!$B$12)))</f>
        <v/>
      </c>
      <c r="V805" s="23" t="n"/>
    </row>
    <row r="806">
      <c r="A806" s="23" t="n"/>
      <c r="B806" s="23" t="n"/>
      <c r="C806" s="24" t="n"/>
      <c r="D806" s="15" t="n"/>
      <c r="E806" s="23" t="n"/>
      <c r="F806" s="15" t="n"/>
      <c r="G806" s="23" t="n"/>
      <c r="H806" s="25" t="n"/>
      <c r="I806" s="15" t="n"/>
      <c r="J806" s="26">
        <f>IF($A806="","",LEN($C806)-LEN(SUBSTITUTE($C806,",",""))+1)</f>
        <v/>
      </c>
      <c r="K806" s="26">
        <f>IF($A806="","",SUMPRODUCT(--ISNUMBER(SEARCH('Category Dictionary'!$D$5:$D$135&amp;"",$C806)),--('Category Dictionary'!$D$5:$D$135&lt;&gt;"")))</f>
        <v/>
      </c>
      <c r="L806" s="27">
        <f>IF($A806="","",TRIM(IF(ISERROR(FIND(",",$C806)),$C806,LEFT($C806,FIND(",",$C806)-1))))</f>
        <v/>
      </c>
      <c r="M806" s="28">
        <f>IF($H806="","",DATE(YEAR($H806),MONTH($H806),1))</f>
        <v/>
      </c>
      <c r="N806" s="26">
        <f>IF($H806="","",TODAY()-$H806)</f>
        <v/>
      </c>
      <c r="O806" s="15" t="n"/>
      <c r="P806" s="26">
        <f>IF($A806="","",COUNTIFS('Audit Versions'!$A$6:$A$605,$A806,'Audit Versions'!$L$6:$L$605,"Active"))</f>
        <v/>
      </c>
      <c r="Q806" s="15" t="n"/>
      <c r="R806" s="26">
        <f>IF(OR($A806="",$P806=0),"",MOD(N($Q806),$P806)+1)</f>
        <v/>
      </c>
      <c r="S806" s="15" t="n"/>
      <c r="T806" s="25" t="n"/>
      <c r="U806" s="26">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Builder'!$B$12="",N($S806)&lt;='Assignment Builder'!$B$12)))</f>
        <v/>
      </c>
      <c r="V806" s="23" t="n"/>
    </row>
    <row r="807">
      <c r="A807" s="23" t="n"/>
      <c r="B807" s="23" t="n"/>
      <c r="C807" s="24" t="n"/>
      <c r="D807" s="15" t="n"/>
      <c r="E807" s="23" t="n"/>
      <c r="F807" s="15" t="n"/>
      <c r="G807" s="23" t="n"/>
      <c r="H807" s="25" t="n"/>
      <c r="I807" s="15" t="n"/>
      <c r="J807" s="26">
        <f>IF($A807="","",LEN($C807)-LEN(SUBSTITUTE($C807,",",""))+1)</f>
        <v/>
      </c>
      <c r="K807" s="26">
        <f>IF($A807="","",SUMPRODUCT(--ISNUMBER(SEARCH('Category Dictionary'!$D$5:$D$135&amp;"",$C807)),--('Category Dictionary'!$D$5:$D$135&lt;&gt;"")))</f>
        <v/>
      </c>
      <c r="L807" s="27">
        <f>IF($A807="","",TRIM(IF(ISERROR(FIND(",",$C807)),$C807,LEFT($C807,FIND(",",$C807)-1))))</f>
        <v/>
      </c>
      <c r="M807" s="28">
        <f>IF($H807="","",DATE(YEAR($H807),MONTH($H807),1))</f>
        <v/>
      </c>
      <c r="N807" s="26">
        <f>IF($H807="","",TODAY()-$H807)</f>
        <v/>
      </c>
      <c r="O807" s="15" t="n"/>
      <c r="P807" s="26">
        <f>IF($A807="","",COUNTIFS('Audit Versions'!$A$6:$A$605,$A807,'Audit Versions'!$L$6:$L$605,"Active"))</f>
        <v/>
      </c>
      <c r="Q807" s="15" t="n"/>
      <c r="R807" s="26">
        <f>IF(OR($A807="",$P807=0),"",MOD(N($Q807),$P807)+1)</f>
        <v/>
      </c>
      <c r="S807" s="15" t="n"/>
      <c r="T807" s="25" t="n"/>
      <c r="U807" s="26">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Builder'!$B$12="",N($S807)&lt;='Assignment Builder'!$B$12)))</f>
        <v/>
      </c>
      <c r="V807" s="23" t="n"/>
    </row>
    <row r="808">
      <c r="A808" s="23" t="n"/>
      <c r="B808" s="23" t="n"/>
      <c r="C808" s="24" t="n"/>
      <c r="D808" s="15" t="n"/>
      <c r="E808" s="23" t="n"/>
      <c r="F808" s="15" t="n"/>
      <c r="G808" s="23" t="n"/>
      <c r="H808" s="25" t="n"/>
      <c r="I808" s="15" t="n"/>
      <c r="J808" s="26">
        <f>IF($A808="","",LEN($C808)-LEN(SUBSTITUTE($C808,",",""))+1)</f>
        <v/>
      </c>
      <c r="K808" s="26">
        <f>IF($A808="","",SUMPRODUCT(--ISNUMBER(SEARCH('Category Dictionary'!$D$5:$D$135&amp;"",$C808)),--('Category Dictionary'!$D$5:$D$135&lt;&gt;"")))</f>
        <v/>
      </c>
      <c r="L808" s="27">
        <f>IF($A808="","",TRIM(IF(ISERROR(FIND(",",$C808)),$C808,LEFT($C808,FIND(",",$C808)-1))))</f>
        <v/>
      </c>
      <c r="M808" s="28">
        <f>IF($H808="","",DATE(YEAR($H808),MONTH($H808),1))</f>
        <v/>
      </c>
      <c r="N808" s="26">
        <f>IF($H808="","",TODAY()-$H808)</f>
        <v/>
      </c>
      <c r="O808" s="15" t="n"/>
      <c r="P808" s="26">
        <f>IF($A808="","",COUNTIFS('Audit Versions'!$A$6:$A$605,$A808,'Audit Versions'!$L$6:$L$605,"Active"))</f>
        <v/>
      </c>
      <c r="Q808" s="15" t="n"/>
      <c r="R808" s="26">
        <f>IF(OR($A808="",$P808=0),"",MOD(N($Q808),$P808)+1)</f>
        <v/>
      </c>
      <c r="S808" s="15" t="n"/>
      <c r="T808" s="25" t="n"/>
      <c r="U808" s="26">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Builder'!$B$12="",N($S808)&lt;='Assignment Builder'!$B$12)))</f>
        <v/>
      </c>
      <c r="V808" s="23" t="n"/>
    </row>
    <row r="809">
      <c r="A809" s="23" t="n"/>
      <c r="B809" s="23" t="n"/>
      <c r="C809" s="24" t="n"/>
      <c r="D809" s="15" t="n"/>
      <c r="E809" s="23" t="n"/>
      <c r="F809" s="15" t="n"/>
      <c r="G809" s="23" t="n"/>
      <c r="H809" s="25" t="n"/>
      <c r="I809" s="15" t="n"/>
      <c r="J809" s="26">
        <f>IF($A809="","",LEN($C809)-LEN(SUBSTITUTE($C809,",",""))+1)</f>
        <v/>
      </c>
      <c r="K809" s="26">
        <f>IF($A809="","",SUMPRODUCT(--ISNUMBER(SEARCH('Category Dictionary'!$D$5:$D$135&amp;"",$C809)),--('Category Dictionary'!$D$5:$D$135&lt;&gt;"")))</f>
        <v/>
      </c>
      <c r="L809" s="27">
        <f>IF($A809="","",TRIM(IF(ISERROR(FIND(",",$C809)),$C809,LEFT($C809,FIND(",",$C809)-1))))</f>
        <v/>
      </c>
      <c r="M809" s="28">
        <f>IF($H809="","",DATE(YEAR($H809),MONTH($H809),1))</f>
        <v/>
      </c>
      <c r="N809" s="26">
        <f>IF($H809="","",TODAY()-$H809)</f>
        <v/>
      </c>
      <c r="O809" s="15" t="n"/>
      <c r="P809" s="26">
        <f>IF($A809="","",COUNTIFS('Audit Versions'!$A$6:$A$605,$A809,'Audit Versions'!$L$6:$L$605,"Active"))</f>
        <v/>
      </c>
      <c r="Q809" s="15" t="n"/>
      <c r="R809" s="26">
        <f>IF(OR($A809="",$P809=0),"",MOD(N($Q809),$P809)+1)</f>
        <v/>
      </c>
      <c r="S809" s="15" t="n"/>
      <c r="T809" s="25" t="n"/>
      <c r="U809" s="26">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Builder'!$B$12="",N($S809)&lt;='Assignment Builder'!$B$12)))</f>
        <v/>
      </c>
      <c r="V809" s="23" t="n"/>
    </row>
    <row r="810">
      <c r="A810" s="23" t="n"/>
      <c r="B810" s="23" t="n"/>
      <c r="C810" s="24" t="n"/>
      <c r="D810" s="15" t="n"/>
      <c r="E810" s="23" t="n"/>
      <c r="F810" s="15" t="n"/>
      <c r="G810" s="23" t="n"/>
      <c r="H810" s="25" t="n"/>
      <c r="I810" s="15" t="n"/>
      <c r="J810" s="26">
        <f>IF($A810="","",LEN($C810)-LEN(SUBSTITUTE($C810,",",""))+1)</f>
        <v/>
      </c>
      <c r="K810" s="26">
        <f>IF($A810="","",SUMPRODUCT(--ISNUMBER(SEARCH('Category Dictionary'!$D$5:$D$135&amp;"",$C810)),--('Category Dictionary'!$D$5:$D$135&lt;&gt;"")))</f>
        <v/>
      </c>
      <c r="L810" s="27">
        <f>IF($A810="","",TRIM(IF(ISERROR(FIND(",",$C810)),$C810,LEFT($C810,FIND(",",$C810)-1))))</f>
        <v/>
      </c>
      <c r="M810" s="28">
        <f>IF($H810="","",DATE(YEAR($H810),MONTH($H810),1))</f>
        <v/>
      </c>
      <c r="N810" s="26">
        <f>IF($H810="","",TODAY()-$H810)</f>
        <v/>
      </c>
      <c r="O810" s="15" t="n"/>
      <c r="P810" s="26">
        <f>IF($A810="","",COUNTIFS('Audit Versions'!$A$6:$A$605,$A810,'Audit Versions'!$L$6:$L$605,"Active"))</f>
        <v/>
      </c>
      <c r="Q810" s="15" t="n"/>
      <c r="R810" s="26">
        <f>IF(OR($A810="",$P810=0),"",MOD(N($Q810),$P810)+1)</f>
        <v/>
      </c>
      <c r="S810" s="15" t="n"/>
      <c r="T810" s="25" t="n"/>
      <c r="U810" s="26">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Builder'!$B$12="",N($S810)&lt;='Assignment Builder'!$B$12)))</f>
        <v/>
      </c>
      <c r="V810" s="23" t="n"/>
    </row>
    <row r="811">
      <c r="A811" s="23" t="n"/>
      <c r="B811" s="23" t="n"/>
      <c r="C811" s="24" t="n"/>
      <c r="D811" s="15" t="n"/>
      <c r="E811" s="23" t="n"/>
      <c r="F811" s="15" t="n"/>
      <c r="G811" s="23" t="n"/>
      <c r="H811" s="25" t="n"/>
      <c r="I811" s="15" t="n"/>
      <c r="J811" s="26">
        <f>IF($A811="","",LEN($C811)-LEN(SUBSTITUTE($C811,",",""))+1)</f>
        <v/>
      </c>
      <c r="K811" s="26">
        <f>IF($A811="","",SUMPRODUCT(--ISNUMBER(SEARCH('Category Dictionary'!$D$5:$D$135&amp;"",$C811)),--('Category Dictionary'!$D$5:$D$135&lt;&gt;"")))</f>
        <v/>
      </c>
      <c r="L811" s="27">
        <f>IF($A811="","",TRIM(IF(ISERROR(FIND(",",$C811)),$C811,LEFT($C811,FIND(",",$C811)-1))))</f>
        <v/>
      </c>
      <c r="M811" s="28">
        <f>IF($H811="","",DATE(YEAR($H811),MONTH($H811),1))</f>
        <v/>
      </c>
      <c r="N811" s="26">
        <f>IF($H811="","",TODAY()-$H811)</f>
        <v/>
      </c>
      <c r="O811" s="15" t="n"/>
      <c r="P811" s="26">
        <f>IF($A811="","",COUNTIFS('Audit Versions'!$A$6:$A$605,$A811,'Audit Versions'!$L$6:$L$605,"Active"))</f>
        <v/>
      </c>
      <c r="Q811" s="15" t="n"/>
      <c r="R811" s="26">
        <f>IF(OR($A811="",$P811=0),"",MOD(N($Q811),$P811)+1)</f>
        <v/>
      </c>
      <c r="S811" s="15" t="n"/>
      <c r="T811" s="25" t="n"/>
      <c r="U811" s="26">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Builder'!$B$12="",N($S811)&lt;='Assignment Builder'!$B$12)))</f>
        <v/>
      </c>
      <c r="V811" s="23" t="n"/>
    </row>
    <row r="812">
      <c r="A812" s="23" t="n"/>
      <c r="B812" s="23" t="n"/>
      <c r="C812" s="24" t="n"/>
      <c r="D812" s="15" t="n"/>
      <c r="E812" s="23" t="n"/>
      <c r="F812" s="15" t="n"/>
      <c r="G812" s="23" t="n"/>
      <c r="H812" s="25" t="n"/>
      <c r="I812" s="15" t="n"/>
      <c r="J812" s="26">
        <f>IF($A812="","",LEN($C812)-LEN(SUBSTITUTE($C812,",",""))+1)</f>
        <v/>
      </c>
      <c r="K812" s="26">
        <f>IF($A812="","",SUMPRODUCT(--ISNUMBER(SEARCH('Category Dictionary'!$D$5:$D$135&amp;"",$C812)),--('Category Dictionary'!$D$5:$D$135&lt;&gt;"")))</f>
        <v/>
      </c>
      <c r="L812" s="27">
        <f>IF($A812="","",TRIM(IF(ISERROR(FIND(",",$C812)),$C812,LEFT($C812,FIND(",",$C812)-1))))</f>
        <v/>
      </c>
      <c r="M812" s="28">
        <f>IF($H812="","",DATE(YEAR($H812),MONTH($H812),1))</f>
        <v/>
      </c>
      <c r="N812" s="26">
        <f>IF($H812="","",TODAY()-$H812)</f>
        <v/>
      </c>
      <c r="O812" s="15" t="n"/>
      <c r="P812" s="26">
        <f>IF($A812="","",COUNTIFS('Audit Versions'!$A$6:$A$605,$A812,'Audit Versions'!$L$6:$L$605,"Active"))</f>
        <v/>
      </c>
      <c r="Q812" s="15" t="n"/>
      <c r="R812" s="26">
        <f>IF(OR($A812="",$P812=0),"",MOD(N($Q812),$P812)+1)</f>
        <v/>
      </c>
      <c r="S812" s="15" t="n"/>
      <c r="T812" s="25" t="n"/>
      <c r="U812" s="26">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Builder'!$B$12="",N($S812)&lt;='Assignment Builder'!$B$12)))</f>
        <v/>
      </c>
      <c r="V812" s="23" t="n"/>
    </row>
    <row r="813">
      <c r="A813" s="23" t="n"/>
      <c r="B813" s="23" t="n"/>
      <c r="C813" s="24" t="n"/>
      <c r="D813" s="15" t="n"/>
      <c r="E813" s="23" t="n"/>
      <c r="F813" s="15" t="n"/>
      <c r="G813" s="23" t="n"/>
      <c r="H813" s="25" t="n"/>
      <c r="I813" s="15" t="n"/>
      <c r="J813" s="26">
        <f>IF($A813="","",LEN($C813)-LEN(SUBSTITUTE($C813,",",""))+1)</f>
        <v/>
      </c>
      <c r="K813" s="26">
        <f>IF($A813="","",SUMPRODUCT(--ISNUMBER(SEARCH('Category Dictionary'!$D$5:$D$135&amp;"",$C813)),--('Category Dictionary'!$D$5:$D$135&lt;&gt;"")))</f>
        <v/>
      </c>
      <c r="L813" s="27">
        <f>IF($A813="","",TRIM(IF(ISERROR(FIND(",",$C813)),$C813,LEFT($C813,FIND(",",$C813)-1))))</f>
        <v/>
      </c>
      <c r="M813" s="28">
        <f>IF($H813="","",DATE(YEAR($H813),MONTH($H813),1))</f>
        <v/>
      </c>
      <c r="N813" s="26">
        <f>IF($H813="","",TODAY()-$H813)</f>
        <v/>
      </c>
      <c r="O813" s="15" t="n"/>
      <c r="P813" s="26">
        <f>IF($A813="","",COUNTIFS('Audit Versions'!$A$6:$A$605,$A813,'Audit Versions'!$L$6:$L$605,"Active"))</f>
        <v/>
      </c>
      <c r="Q813" s="15" t="n"/>
      <c r="R813" s="26">
        <f>IF(OR($A813="",$P813=0),"",MOD(N($Q813),$P813)+1)</f>
        <v/>
      </c>
      <c r="S813" s="15" t="n"/>
      <c r="T813" s="25" t="n"/>
      <c r="U813" s="26">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Builder'!$B$12="",N($S813)&lt;='Assignment Builder'!$B$12)))</f>
        <v/>
      </c>
      <c r="V813" s="23" t="n"/>
    </row>
    <row r="814">
      <c r="A814" s="23" t="n"/>
      <c r="B814" s="23" t="n"/>
      <c r="C814" s="24" t="n"/>
      <c r="D814" s="15" t="n"/>
      <c r="E814" s="23" t="n"/>
      <c r="F814" s="15" t="n"/>
      <c r="G814" s="23" t="n"/>
      <c r="H814" s="25" t="n"/>
      <c r="I814" s="15" t="n"/>
      <c r="J814" s="26">
        <f>IF($A814="","",LEN($C814)-LEN(SUBSTITUTE($C814,",",""))+1)</f>
        <v/>
      </c>
      <c r="K814" s="26">
        <f>IF($A814="","",SUMPRODUCT(--ISNUMBER(SEARCH('Category Dictionary'!$D$5:$D$135&amp;"",$C814)),--('Category Dictionary'!$D$5:$D$135&lt;&gt;"")))</f>
        <v/>
      </c>
      <c r="L814" s="27">
        <f>IF($A814="","",TRIM(IF(ISERROR(FIND(",",$C814)),$C814,LEFT($C814,FIND(",",$C814)-1))))</f>
        <v/>
      </c>
      <c r="M814" s="28">
        <f>IF($H814="","",DATE(YEAR($H814),MONTH($H814),1))</f>
        <v/>
      </c>
      <c r="N814" s="26">
        <f>IF($H814="","",TODAY()-$H814)</f>
        <v/>
      </c>
      <c r="O814" s="15" t="n"/>
      <c r="P814" s="26">
        <f>IF($A814="","",COUNTIFS('Audit Versions'!$A$6:$A$605,$A814,'Audit Versions'!$L$6:$L$605,"Active"))</f>
        <v/>
      </c>
      <c r="Q814" s="15" t="n"/>
      <c r="R814" s="26">
        <f>IF(OR($A814="",$P814=0),"",MOD(N($Q814),$P814)+1)</f>
        <v/>
      </c>
      <c r="S814" s="15" t="n"/>
      <c r="T814" s="25" t="n"/>
      <c r="U814" s="26">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Builder'!$B$12="",N($S814)&lt;='Assignment Builder'!$B$12)))</f>
        <v/>
      </c>
      <c r="V814" s="23" t="n"/>
    </row>
    <row r="815">
      <c r="A815" s="23" t="n"/>
      <c r="B815" s="23" t="n"/>
      <c r="C815" s="24" t="n"/>
      <c r="D815" s="15" t="n"/>
      <c r="E815" s="23" t="n"/>
      <c r="F815" s="15" t="n"/>
      <c r="G815" s="23" t="n"/>
      <c r="H815" s="25" t="n"/>
      <c r="I815" s="15" t="n"/>
      <c r="J815" s="26">
        <f>IF($A815="","",LEN($C815)-LEN(SUBSTITUTE($C815,",",""))+1)</f>
        <v/>
      </c>
      <c r="K815" s="26">
        <f>IF($A815="","",SUMPRODUCT(--ISNUMBER(SEARCH('Category Dictionary'!$D$5:$D$135&amp;"",$C815)),--('Category Dictionary'!$D$5:$D$135&lt;&gt;"")))</f>
        <v/>
      </c>
      <c r="L815" s="27">
        <f>IF($A815="","",TRIM(IF(ISERROR(FIND(",",$C815)),$C815,LEFT($C815,FIND(",",$C815)-1))))</f>
        <v/>
      </c>
      <c r="M815" s="28">
        <f>IF($H815="","",DATE(YEAR($H815),MONTH($H815),1))</f>
        <v/>
      </c>
      <c r="N815" s="26">
        <f>IF($H815="","",TODAY()-$H815)</f>
        <v/>
      </c>
      <c r="O815" s="15" t="n"/>
      <c r="P815" s="26">
        <f>IF($A815="","",COUNTIFS('Audit Versions'!$A$6:$A$605,$A815,'Audit Versions'!$L$6:$L$605,"Active"))</f>
        <v/>
      </c>
      <c r="Q815" s="15" t="n"/>
      <c r="R815" s="26">
        <f>IF(OR($A815="",$P815=0),"",MOD(N($Q815),$P815)+1)</f>
        <v/>
      </c>
      <c r="S815" s="15" t="n"/>
      <c r="T815" s="25" t="n"/>
      <c r="U815" s="26">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Builder'!$B$12="",N($S815)&lt;='Assignment Builder'!$B$12)))</f>
        <v/>
      </c>
      <c r="V815" s="23" t="n"/>
    </row>
    <row r="816">
      <c r="A816" s="23" t="n"/>
      <c r="B816" s="23" t="n"/>
      <c r="C816" s="24" t="n"/>
      <c r="D816" s="15" t="n"/>
      <c r="E816" s="23" t="n"/>
      <c r="F816" s="15" t="n"/>
      <c r="G816" s="23" t="n"/>
      <c r="H816" s="25" t="n"/>
      <c r="I816" s="15" t="n"/>
      <c r="J816" s="26">
        <f>IF($A816="","",LEN($C816)-LEN(SUBSTITUTE($C816,",",""))+1)</f>
        <v/>
      </c>
      <c r="K816" s="26">
        <f>IF($A816="","",SUMPRODUCT(--ISNUMBER(SEARCH('Category Dictionary'!$D$5:$D$135&amp;"",$C816)),--('Category Dictionary'!$D$5:$D$135&lt;&gt;"")))</f>
        <v/>
      </c>
      <c r="L816" s="27">
        <f>IF($A816="","",TRIM(IF(ISERROR(FIND(",",$C816)),$C816,LEFT($C816,FIND(",",$C816)-1))))</f>
        <v/>
      </c>
      <c r="M816" s="28">
        <f>IF($H816="","",DATE(YEAR($H816),MONTH($H816),1))</f>
        <v/>
      </c>
      <c r="N816" s="26">
        <f>IF($H816="","",TODAY()-$H816)</f>
        <v/>
      </c>
      <c r="O816" s="15" t="n"/>
      <c r="P816" s="26">
        <f>IF($A816="","",COUNTIFS('Audit Versions'!$A$6:$A$605,$A816,'Audit Versions'!$L$6:$L$605,"Active"))</f>
        <v/>
      </c>
      <c r="Q816" s="15" t="n"/>
      <c r="R816" s="26">
        <f>IF(OR($A816="",$P816=0),"",MOD(N($Q816),$P816)+1)</f>
        <v/>
      </c>
      <c r="S816" s="15" t="n"/>
      <c r="T816" s="25" t="n"/>
      <c r="U816" s="26">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Builder'!$B$12="",N($S816)&lt;='Assignment Builder'!$B$12)))</f>
        <v/>
      </c>
      <c r="V816" s="23" t="n"/>
    </row>
    <row r="817">
      <c r="A817" s="23" t="n"/>
      <c r="B817" s="23" t="n"/>
      <c r="C817" s="24" t="n"/>
      <c r="D817" s="15" t="n"/>
      <c r="E817" s="23" t="n"/>
      <c r="F817" s="15" t="n"/>
      <c r="G817" s="23" t="n"/>
      <c r="H817" s="25" t="n"/>
      <c r="I817" s="15" t="n"/>
      <c r="J817" s="26">
        <f>IF($A817="","",LEN($C817)-LEN(SUBSTITUTE($C817,",",""))+1)</f>
        <v/>
      </c>
      <c r="K817" s="26">
        <f>IF($A817="","",SUMPRODUCT(--ISNUMBER(SEARCH('Category Dictionary'!$D$5:$D$135&amp;"",$C817)),--('Category Dictionary'!$D$5:$D$135&lt;&gt;"")))</f>
        <v/>
      </c>
      <c r="L817" s="27">
        <f>IF($A817="","",TRIM(IF(ISERROR(FIND(",",$C817)),$C817,LEFT($C817,FIND(",",$C817)-1))))</f>
        <v/>
      </c>
      <c r="M817" s="28">
        <f>IF($H817="","",DATE(YEAR($H817),MONTH($H817),1))</f>
        <v/>
      </c>
      <c r="N817" s="26">
        <f>IF($H817="","",TODAY()-$H817)</f>
        <v/>
      </c>
      <c r="O817" s="15" t="n"/>
      <c r="P817" s="26">
        <f>IF($A817="","",COUNTIFS('Audit Versions'!$A$6:$A$605,$A817,'Audit Versions'!$L$6:$L$605,"Active"))</f>
        <v/>
      </c>
      <c r="Q817" s="15" t="n"/>
      <c r="R817" s="26">
        <f>IF(OR($A817="",$P817=0),"",MOD(N($Q817),$P817)+1)</f>
        <v/>
      </c>
      <c r="S817" s="15" t="n"/>
      <c r="T817" s="25" t="n"/>
      <c r="U817" s="26">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Builder'!$B$12="",N($S817)&lt;='Assignment Builder'!$B$12)))</f>
        <v/>
      </c>
      <c r="V817" s="23" t="n"/>
    </row>
    <row r="818">
      <c r="A818" s="23" t="n"/>
      <c r="B818" s="23" t="n"/>
      <c r="C818" s="24" t="n"/>
      <c r="D818" s="15" t="n"/>
      <c r="E818" s="23" t="n"/>
      <c r="F818" s="15" t="n"/>
      <c r="G818" s="23" t="n"/>
      <c r="H818" s="25" t="n"/>
      <c r="I818" s="15" t="n"/>
      <c r="J818" s="26">
        <f>IF($A818="","",LEN($C818)-LEN(SUBSTITUTE($C818,",",""))+1)</f>
        <v/>
      </c>
      <c r="K818" s="26">
        <f>IF($A818="","",SUMPRODUCT(--ISNUMBER(SEARCH('Category Dictionary'!$D$5:$D$135&amp;"",$C818)),--('Category Dictionary'!$D$5:$D$135&lt;&gt;"")))</f>
        <v/>
      </c>
      <c r="L818" s="27">
        <f>IF($A818="","",TRIM(IF(ISERROR(FIND(",",$C818)),$C818,LEFT($C818,FIND(",",$C818)-1))))</f>
        <v/>
      </c>
      <c r="M818" s="28">
        <f>IF($H818="","",DATE(YEAR($H818),MONTH($H818),1))</f>
        <v/>
      </c>
      <c r="N818" s="26">
        <f>IF($H818="","",TODAY()-$H818)</f>
        <v/>
      </c>
      <c r="O818" s="15" t="n"/>
      <c r="P818" s="26">
        <f>IF($A818="","",COUNTIFS('Audit Versions'!$A$6:$A$605,$A818,'Audit Versions'!$L$6:$L$605,"Active"))</f>
        <v/>
      </c>
      <c r="Q818" s="15" t="n"/>
      <c r="R818" s="26">
        <f>IF(OR($A818="",$P818=0),"",MOD(N($Q818),$P818)+1)</f>
        <v/>
      </c>
      <c r="S818" s="15" t="n"/>
      <c r="T818" s="25" t="n"/>
      <c r="U818" s="26">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Builder'!$B$12="",N($S818)&lt;='Assignment Builder'!$B$12)))</f>
        <v/>
      </c>
      <c r="V818" s="23" t="n"/>
    </row>
    <row r="819">
      <c r="A819" s="23" t="n"/>
      <c r="B819" s="23" t="n"/>
      <c r="C819" s="24" t="n"/>
      <c r="D819" s="15" t="n"/>
      <c r="E819" s="23" t="n"/>
      <c r="F819" s="15" t="n"/>
      <c r="G819" s="23" t="n"/>
      <c r="H819" s="25" t="n"/>
      <c r="I819" s="15" t="n"/>
      <c r="J819" s="26">
        <f>IF($A819="","",LEN($C819)-LEN(SUBSTITUTE($C819,",",""))+1)</f>
        <v/>
      </c>
      <c r="K819" s="26">
        <f>IF($A819="","",SUMPRODUCT(--ISNUMBER(SEARCH('Category Dictionary'!$D$5:$D$135&amp;"",$C819)),--('Category Dictionary'!$D$5:$D$135&lt;&gt;"")))</f>
        <v/>
      </c>
      <c r="L819" s="27">
        <f>IF($A819="","",TRIM(IF(ISERROR(FIND(",",$C819)),$C819,LEFT($C819,FIND(",",$C819)-1))))</f>
        <v/>
      </c>
      <c r="M819" s="28">
        <f>IF($H819="","",DATE(YEAR($H819),MONTH($H819),1))</f>
        <v/>
      </c>
      <c r="N819" s="26">
        <f>IF($H819="","",TODAY()-$H819)</f>
        <v/>
      </c>
      <c r="O819" s="15" t="n"/>
      <c r="P819" s="26">
        <f>IF($A819="","",COUNTIFS('Audit Versions'!$A$6:$A$605,$A819,'Audit Versions'!$L$6:$L$605,"Active"))</f>
        <v/>
      </c>
      <c r="Q819" s="15" t="n"/>
      <c r="R819" s="26">
        <f>IF(OR($A819="",$P819=0),"",MOD(N($Q819),$P819)+1)</f>
        <v/>
      </c>
      <c r="S819" s="15" t="n"/>
      <c r="T819" s="25" t="n"/>
      <c r="U819" s="26">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Builder'!$B$12="",N($S819)&lt;='Assignment Builder'!$B$12)))</f>
        <v/>
      </c>
      <c r="V819" s="23" t="n"/>
    </row>
    <row r="820">
      <c r="A820" s="23" t="n"/>
      <c r="B820" s="23" t="n"/>
      <c r="C820" s="24" t="n"/>
      <c r="D820" s="15" t="n"/>
      <c r="E820" s="23" t="n"/>
      <c r="F820" s="15" t="n"/>
      <c r="G820" s="23" t="n"/>
      <c r="H820" s="25" t="n"/>
      <c r="I820" s="15" t="n"/>
      <c r="J820" s="26">
        <f>IF($A820="","",LEN($C820)-LEN(SUBSTITUTE($C820,",",""))+1)</f>
        <v/>
      </c>
      <c r="K820" s="26">
        <f>IF($A820="","",SUMPRODUCT(--ISNUMBER(SEARCH('Category Dictionary'!$D$5:$D$135&amp;"",$C820)),--('Category Dictionary'!$D$5:$D$135&lt;&gt;"")))</f>
        <v/>
      </c>
      <c r="L820" s="27">
        <f>IF($A820="","",TRIM(IF(ISERROR(FIND(",",$C820)),$C820,LEFT($C820,FIND(",",$C820)-1))))</f>
        <v/>
      </c>
      <c r="M820" s="28">
        <f>IF($H820="","",DATE(YEAR($H820),MONTH($H820),1))</f>
        <v/>
      </c>
      <c r="N820" s="26">
        <f>IF($H820="","",TODAY()-$H820)</f>
        <v/>
      </c>
      <c r="O820" s="15" t="n"/>
      <c r="P820" s="26">
        <f>IF($A820="","",COUNTIFS('Audit Versions'!$A$6:$A$605,$A820,'Audit Versions'!$L$6:$L$605,"Active"))</f>
        <v/>
      </c>
      <c r="Q820" s="15" t="n"/>
      <c r="R820" s="26">
        <f>IF(OR($A820="",$P820=0),"",MOD(N($Q820),$P820)+1)</f>
        <v/>
      </c>
      <c r="S820" s="15" t="n"/>
      <c r="T820" s="25" t="n"/>
      <c r="U820" s="26">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Builder'!$B$12="",N($S820)&lt;='Assignment Builder'!$B$12)))</f>
        <v/>
      </c>
      <c r="V820" s="23" t="n"/>
    </row>
    <row r="821">
      <c r="A821" s="23" t="n"/>
      <c r="B821" s="23" t="n"/>
      <c r="C821" s="24" t="n"/>
      <c r="D821" s="15" t="n"/>
      <c r="E821" s="23" t="n"/>
      <c r="F821" s="15" t="n"/>
      <c r="G821" s="23" t="n"/>
      <c r="H821" s="25" t="n"/>
      <c r="I821" s="15" t="n"/>
      <c r="J821" s="26">
        <f>IF($A821="","",LEN($C821)-LEN(SUBSTITUTE($C821,",",""))+1)</f>
        <v/>
      </c>
      <c r="K821" s="26">
        <f>IF($A821="","",SUMPRODUCT(--ISNUMBER(SEARCH('Category Dictionary'!$D$5:$D$135&amp;"",$C821)),--('Category Dictionary'!$D$5:$D$135&lt;&gt;"")))</f>
        <v/>
      </c>
      <c r="L821" s="27">
        <f>IF($A821="","",TRIM(IF(ISERROR(FIND(",",$C821)),$C821,LEFT($C821,FIND(",",$C821)-1))))</f>
        <v/>
      </c>
      <c r="M821" s="28">
        <f>IF($H821="","",DATE(YEAR($H821),MONTH($H821),1))</f>
        <v/>
      </c>
      <c r="N821" s="26">
        <f>IF($H821="","",TODAY()-$H821)</f>
        <v/>
      </c>
      <c r="O821" s="15" t="n"/>
      <c r="P821" s="26">
        <f>IF($A821="","",COUNTIFS('Audit Versions'!$A$6:$A$605,$A821,'Audit Versions'!$L$6:$L$605,"Active"))</f>
        <v/>
      </c>
      <c r="Q821" s="15" t="n"/>
      <c r="R821" s="26">
        <f>IF(OR($A821="",$P821=0),"",MOD(N($Q821),$P821)+1)</f>
        <v/>
      </c>
      <c r="S821" s="15" t="n"/>
      <c r="T821" s="25" t="n"/>
      <c r="U821" s="26">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Builder'!$B$12="",N($S821)&lt;='Assignment Builder'!$B$12)))</f>
        <v/>
      </c>
      <c r="V821" s="23" t="n"/>
    </row>
    <row r="822">
      <c r="A822" s="23" t="n"/>
      <c r="B822" s="23" t="n"/>
      <c r="C822" s="24" t="n"/>
      <c r="D822" s="15" t="n"/>
      <c r="E822" s="23" t="n"/>
      <c r="F822" s="15" t="n"/>
      <c r="G822" s="23" t="n"/>
      <c r="H822" s="25" t="n"/>
      <c r="I822" s="15" t="n"/>
      <c r="J822" s="26">
        <f>IF($A822="","",LEN($C822)-LEN(SUBSTITUTE($C822,",",""))+1)</f>
        <v/>
      </c>
      <c r="K822" s="26">
        <f>IF($A822="","",SUMPRODUCT(--ISNUMBER(SEARCH('Category Dictionary'!$D$5:$D$135&amp;"",$C822)),--('Category Dictionary'!$D$5:$D$135&lt;&gt;"")))</f>
        <v/>
      </c>
      <c r="L822" s="27">
        <f>IF($A822="","",TRIM(IF(ISERROR(FIND(",",$C822)),$C822,LEFT($C822,FIND(",",$C822)-1))))</f>
        <v/>
      </c>
      <c r="M822" s="28">
        <f>IF($H822="","",DATE(YEAR($H822),MONTH($H822),1))</f>
        <v/>
      </c>
      <c r="N822" s="26">
        <f>IF($H822="","",TODAY()-$H822)</f>
        <v/>
      </c>
      <c r="O822" s="15" t="n"/>
      <c r="P822" s="26">
        <f>IF($A822="","",COUNTIFS('Audit Versions'!$A$6:$A$605,$A822,'Audit Versions'!$L$6:$L$605,"Active"))</f>
        <v/>
      </c>
      <c r="Q822" s="15" t="n"/>
      <c r="R822" s="26">
        <f>IF(OR($A822="",$P822=0),"",MOD(N($Q822),$P822)+1)</f>
        <v/>
      </c>
      <c r="S822" s="15" t="n"/>
      <c r="T822" s="25" t="n"/>
      <c r="U822" s="26">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Builder'!$B$12="",N($S822)&lt;='Assignment Builder'!$B$12)))</f>
        <v/>
      </c>
      <c r="V822" s="23" t="n"/>
    </row>
    <row r="823">
      <c r="A823" s="23" t="n"/>
      <c r="B823" s="23" t="n"/>
      <c r="C823" s="24" t="n"/>
      <c r="D823" s="15" t="n"/>
      <c r="E823" s="23" t="n"/>
      <c r="F823" s="15" t="n"/>
      <c r="G823" s="23" t="n"/>
      <c r="H823" s="25" t="n"/>
      <c r="I823" s="15" t="n"/>
      <c r="J823" s="26">
        <f>IF($A823="","",LEN($C823)-LEN(SUBSTITUTE($C823,",",""))+1)</f>
        <v/>
      </c>
      <c r="K823" s="26">
        <f>IF($A823="","",SUMPRODUCT(--ISNUMBER(SEARCH('Category Dictionary'!$D$5:$D$135&amp;"",$C823)),--('Category Dictionary'!$D$5:$D$135&lt;&gt;"")))</f>
        <v/>
      </c>
      <c r="L823" s="27">
        <f>IF($A823="","",TRIM(IF(ISERROR(FIND(",",$C823)),$C823,LEFT($C823,FIND(",",$C823)-1))))</f>
        <v/>
      </c>
      <c r="M823" s="28">
        <f>IF($H823="","",DATE(YEAR($H823),MONTH($H823),1))</f>
        <v/>
      </c>
      <c r="N823" s="26">
        <f>IF($H823="","",TODAY()-$H823)</f>
        <v/>
      </c>
      <c r="O823" s="15" t="n"/>
      <c r="P823" s="26">
        <f>IF($A823="","",COUNTIFS('Audit Versions'!$A$6:$A$605,$A823,'Audit Versions'!$L$6:$L$605,"Active"))</f>
        <v/>
      </c>
      <c r="Q823" s="15" t="n"/>
      <c r="R823" s="26">
        <f>IF(OR($A823="",$P823=0),"",MOD(N($Q823),$P823)+1)</f>
        <v/>
      </c>
      <c r="S823" s="15" t="n"/>
      <c r="T823" s="25" t="n"/>
      <c r="U823" s="26">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Builder'!$B$12="",N($S823)&lt;='Assignment Builder'!$B$12)))</f>
        <v/>
      </c>
      <c r="V823" s="23" t="n"/>
    </row>
    <row r="824">
      <c r="A824" s="23" t="n"/>
      <c r="B824" s="23" t="n"/>
      <c r="C824" s="24" t="n"/>
      <c r="D824" s="15" t="n"/>
      <c r="E824" s="23" t="n"/>
      <c r="F824" s="15" t="n"/>
      <c r="G824" s="23" t="n"/>
      <c r="H824" s="25" t="n"/>
      <c r="I824" s="15" t="n"/>
      <c r="J824" s="26">
        <f>IF($A824="","",LEN($C824)-LEN(SUBSTITUTE($C824,",",""))+1)</f>
        <v/>
      </c>
      <c r="K824" s="26">
        <f>IF($A824="","",SUMPRODUCT(--ISNUMBER(SEARCH('Category Dictionary'!$D$5:$D$135&amp;"",$C824)),--('Category Dictionary'!$D$5:$D$135&lt;&gt;"")))</f>
        <v/>
      </c>
      <c r="L824" s="27">
        <f>IF($A824="","",TRIM(IF(ISERROR(FIND(",",$C824)),$C824,LEFT($C824,FIND(",",$C824)-1))))</f>
        <v/>
      </c>
      <c r="M824" s="28">
        <f>IF($H824="","",DATE(YEAR($H824),MONTH($H824),1))</f>
        <v/>
      </c>
      <c r="N824" s="26">
        <f>IF($H824="","",TODAY()-$H824)</f>
        <v/>
      </c>
      <c r="O824" s="15" t="n"/>
      <c r="P824" s="26">
        <f>IF($A824="","",COUNTIFS('Audit Versions'!$A$6:$A$605,$A824,'Audit Versions'!$L$6:$L$605,"Active"))</f>
        <v/>
      </c>
      <c r="Q824" s="15" t="n"/>
      <c r="R824" s="26">
        <f>IF(OR($A824="",$P824=0),"",MOD(N($Q824),$P824)+1)</f>
        <v/>
      </c>
      <c r="S824" s="15" t="n"/>
      <c r="T824" s="25" t="n"/>
      <c r="U824" s="26">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Builder'!$B$12="",N($S824)&lt;='Assignment Builder'!$B$12)))</f>
        <v/>
      </c>
      <c r="V824" s="23" t="n"/>
    </row>
    <row r="825">
      <c r="A825" s="23" t="n"/>
      <c r="B825" s="23" t="n"/>
      <c r="C825" s="24" t="n"/>
      <c r="D825" s="15" t="n"/>
      <c r="E825" s="23" t="n"/>
      <c r="F825" s="15" t="n"/>
      <c r="G825" s="23" t="n"/>
      <c r="H825" s="25" t="n"/>
      <c r="I825" s="15" t="n"/>
      <c r="J825" s="26">
        <f>IF($A825="","",LEN($C825)-LEN(SUBSTITUTE($C825,",",""))+1)</f>
        <v/>
      </c>
      <c r="K825" s="26">
        <f>IF($A825="","",SUMPRODUCT(--ISNUMBER(SEARCH('Category Dictionary'!$D$5:$D$135&amp;"",$C825)),--('Category Dictionary'!$D$5:$D$135&lt;&gt;"")))</f>
        <v/>
      </c>
      <c r="L825" s="27">
        <f>IF($A825="","",TRIM(IF(ISERROR(FIND(",",$C825)),$C825,LEFT($C825,FIND(",",$C825)-1))))</f>
        <v/>
      </c>
      <c r="M825" s="28">
        <f>IF($H825="","",DATE(YEAR($H825),MONTH($H825),1))</f>
        <v/>
      </c>
      <c r="N825" s="26">
        <f>IF($H825="","",TODAY()-$H825)</f>
        <v/>
      </c>
      <c r="O825" s="15" t="n"/>
      <c r="P825" s="26">
        <f>IF($A825="","",COUNTIFS('Audit Versions'!$A$6:$A$605,$A825,'Audit Versions'!$L$6:$L$605,"Active"))</f>
        <v/>
      </c>
      <c r="Q825" s="15" t="n"/>
      <c r="R825" s="26">
        <f>IF(OR($A825="",$P825=0),"",MOD(N($Q825),$P825)+1)</f>
        <v/>
      </c>
      <c r="S825" s="15" t="n"/>
      <c r="T825" s="25" t="n"/>
      <c r="U825" s="26">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Builder'!$B$12="",N($S825)&lt;='Assignment Builder'!$B$12)))</f>
        <v/>
      </c>
      <c r="V825" s="23" t="n"/>
    </row>
    <row r="826">
      <c r="A826" s="23" t="n"/>
      <c r="B826" s="23" t="n"/>
      <c r="C826" s="24" t="n"/>
      <c r="D826" s="15" t="n"/>
      <c r="E826" s="23" t="n"/>
      <c r="F826" s="15" t="n"/>
      <c r="G826" s="23" t="n"/>
      <c r="H826" s="25" t="n"/>
      <c r="I826" s="15" t="n"/>
      <c r="J826" s="26">
        <f>IF($A826="","",LEN($C826)-LEN(SUBSTITUTE($C826,",",""))+1)</f>
        <v/>
      </c>
      <c r="K826" s="26">
        <f>IF($A826="","",SUMPRODUCT(--ISNUMBER(SEARCH('Category Dictionary'!$D$5:$D$135&amp;"",$C826)),--('Category Dictionary'!$D$5:$D$135&lt;&gt;"")))</f>
        <v/>
      </c>
      <c r="L826" s="27">
        <f>IF($A826="","",TRIM(IF(ISERROR(FIND(",",$C826)),$C826,LEFT($C826,FIND(",",$C826)-1))))</f>
        <v/>
      </c>
      <c r="M826" s="28">
        <f>IF($H826="","",DATE(YEAR($H826),MONTH($H826),1))</f>
        <v/>
      </c>
      <c r="N826" s="26">
        <f>IF($H826="","",TODAY()-$H826)</f>
        <v/>
      </c>
      <c r="O826" s="15" t="n"/>
      <c r="P826" s="26">
        <f>IF($A826="","",COUNTIFS('Audit Versions'!$A$6:$A$605,$A826,'Audit Versions'!$L$6:$L$605,"Active"))</f>
        <v/>
      </c>
      <c r="Q826" s="15" t="n"/>
      <c r="R826" s="26">
        <f>IF(OR($A826="",$P826=0),"",MOD(N($Q826),$P826)+1)</f>
        <v/>
      </c>
      <c r="S826" s="15" t="n"/>
      <c r="T826" s="25" t="n"/>
      <c r="U826" s="26">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Builder'!$B$12="",N($S826)&lt;='Assignment Builder'!$B$12)))</f>
        <v/>
      </c>
      <c r="V826" s="23" t="n"/>
    </row>
    <row r="827">
      <c r="A827" s="23" t="n"/>
      <c r="B827" s="23" t="n"/>
      <c r="C827" s="24" t="n"/>
      <c r="D827" s="15" t="n"/>
      <c r="E827" s="23" t="n"/>
      <c r="F827" s="15" t="n"/>
      <c r="G827" s="23" t="n"/>
      <c r="H827" s="25" t="n"/>
      <c r="I827" s="15" t="n"/>
      <c r="J827" s="26">
        <f>IF($A827="","",LEN($C827)-LEN(SUBSTITUTE($C827,",",""))+1)</f>
        <v/>
      </c>
      <c r="K827" s="26">
        <f>IF($A827="","",SUMPRODUCT(--ISNUMBER(SEARCH('Category Dictionary'!$D$5:$D$135&amp;"",$C827)),--('Category Dictionary'!$D$5:$D$135&lt;&gt;"")))</f>
        <v/>
      </c>
      <c r="L827" s="27">
        <f>IF($A827="","",TRIM(IF(ISERROR(FIND(",",$C827)),$C827,LEFT($C827,FIND(",",$C827)-1))))</f>
        <v/>
      </c>
      <c r="M827" s="28">
        <f>IF($H827="","",DATE(YEAR($H827),MONTH($H827),1))</f>
        <v/>
      </c>
      <c r="N827" s="26">
        <f>IF($H827="","",TODAY()-$H827)</f>
        <v/>
      </c>
      <c r="O827" s="15" t="n"/>
      <c r="P827" s="26">
        <f>IF($A827="","",COUNTIFS('Audit Versions'!$A$6:$A$605,$A827,'Audit Versions'!$L$6:$L$605,"Active"))</f>
        <v/>
      </c>
      <c r="Q827" s="15" t="n"/>
      <c r="R827" s="26">
        <f>IF(OR($A827="",$P827=0),"",MOD(N($Q827),$P827)+1)</f>
        <v/>
      </c>
      <c r="S827" s="15" t="n"/>
      <c r="T827" s="25" t="n"/>
      <c r="U827" s="26">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Builder'!$B$12="",N($S827)&lt;='Assignment Builder'!$B$12)))</f>
        <v/>
      </c>
      <c r="V827" s="23" t="n"/>
    </row>
    <row r="828">
      <c r="A828" s="23" t="n"/>
      <c r="B828" s="23" t="n"/>
      <c r="C828" s="24" t="n"/>
      <c r="D828" s="15" t="n"/>
      <c r="E828" s="23" t="n"/>
      <c r="F828" s="15" t="n"/>
      <c r="G828" s="23" t="n"/>
      <c r="H828" s="25" t="n"/>
      <c r="I828" s="15" t="n"/>
      <c r="J828" s="26">
        <f>IF($A828="","",LEN($C828)-LEN(SUBSTITUTE($C828,",",""))+1)</f>
        <v/>
      </c>
      <c r="K828" s="26">
        <f>IF($A828="","",SUMPRODUCT(--ISNUMBER(SEARCH('Category Dictionary'!$D$5:$D$135&amp;"",$C828)),--('Category Dictionary'!$D$5:$D$135&lt;&gt;"")))</f>
        <v/>
      </c>
      <c r="L828" s="27">
        <f>IF($A828="","",TRIM(IF(ISERROR(FIND(",",$C828)),$C828,LEFT($C828,FIND(",",$C828)-1))))</f>
        <v/>
      </c>
      <c r="M828" s="28">
        <f>IF($H828="","",DATE(YEAR($H828),MONTH($H828),1))</f>
        <v/>
      </c>
      <c r="N828" s="26">
        <f>IF($H828="","",TODAY()-$H828)</f>
        <v/>
      </c>
      <c r="O828" s="15" t="n"/>
      <c r="P828" s="26">
        <f>IF($A828="","",COUNTIFS('Audit Versions'!$A$6:$A$605,$A828,'Audit Versions'!$L$6:$L$605,"Active"))</f>
        <v/>
      </c>
      <c r="Q828" s="15" t="n"/>
      <c r="R828" s="26">
        <f>IF(OR($A828="",$P828=0),"",MOD(N($Q828),$P828)+1)</f>
        <v/>
      </c>
      <c r="S828" s="15" t="n"/>
      <c r="T828" s="25" t="n"/>
      <c r="U828" s="26">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Builder'!$B$12="",N($S828)&lt;='Assignment Builder'!$B$12)))</f>
        <v/>
      </c>
      <c r="V828" s="23" t="n"/>
    </row>
    <row r="829">
      <c r="A829" s="23" t="n"/>
      <c r="B829" s="23" t="n"/>
      <c r="C829" s="24" t="n"/>
      <c r="D829" s="15" t="n"/>
      <c r="E829" s="23" t="n"/>
      <c r="F829" s="15" t="n"/>
      <c r="G829" s="23" t="n"/>
      <c r="H829" s="25" t="n"/>
      <c r="I829" s="15" t="n"/>
      <c r="J829" s="26">
        <f>IF($A829="","",LEN($C829)-LEN(SUBSTITUTE($C829,",",""))+1)</f>
        <v/>
      </c>
      <c r="K829" s="26">
        <f>IF($A829="","",SUMPRODUCT(--ISNUMBER(SEARCH('Category Dictionary'!$D$5:$D$135&amp;"",$C829)),--('Category Dictionary'!$D$5:$D$135&lt;&gt;"")))</f>
        <v/>
      </c>
      <c r="L829" s="27">
        <f>IF($A829="","",TRIM(IF(ISERROR(FIND(",",$C829)),$C829,LEFT($C829,FIND(",",$C829)-1))))</f>
        <v/>
      </c>
      <c r="M829" s="28">
        <f>IF($H829="","",DATE(YEAR($H829),MONTH($H829),1))</f>
        <v/>
      </c>
      <c r="N829" s="26">
        <f>IF($H829="","",TODAY()-$H829)</f>
        <v/>
      </c>
      <c r="O829" s="15" t="n"/>
      <c r="P829" s="26">
        <f>IF($A829="","",COUNTIFS('Audit Versions'!$A$6:$A$605,$A829,'Audit Versions'!$L$6:$L$605,"Active"))</f>
        <v/>
      </c>
      <c r="Q829" s="15" t="n"/>
      <c r="R829" s="26">
        <f>IF(OR($A829="",$P829=0),"",MOD(N($Q829),$P829)+1)</f>
        <v/>
      </c>
      <c r="S829" s="15" t="n"/>
      <c r="T829" s="25" t="n"/>
      <c r="U829" s="26">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Builder'!$B$12="",N($S829)&lt;='Assignment Builder'!$B$12)))</f>
        <v/>
      </c>
      <c r="V829" s="23" t="n"/>
    </row>
    <row r="830">
      <c r="A830" s="23" t="n"/>
      <c r="B830" s="23" t="n"/>
      <c r="C830" s="24" t="n"/>
      <c r="D830" s="15" t="n"/>
      <c r="E830" s="23" t="n"/>
      <c r="F830" s="15" t="n"/>
      <c r="G830" s="23" t="n"/>
      <c r="H830" s="25" t="n"/>
      <c r="I830" s="15" t="n"/>
      <c r="J830" s="26">
        <f>IF($A830="","",LEN($C830)-LEN(SUBSTITUTE($C830,",",""))+1)</f>
        <v/>
      </c>
      <c r="K830" s="26">
        <f>IF($A830="","",SUMPRODUCT(--ISNUMBER(SEARCH('Category Dictionary'!$D$5:$D$135&amp;"",$C830)),--('Category Dictionary'!$D$5:$D$135&lt;&gt;"")))</f>
        <v/>
      </c>
      <c r="L830" s="27">
        <f>IF($A830="","",TRIM(IF(ISERROR(FIND(",",$C830)),$C830,LEFT($C830,FIND(",",$C830)-1))))</f>
        <v/>
      </c>
      <c r="M830" s="28">
        <f>IF($H830="","",DATE(YEAR($H830),MONTH($H830),1))</f>
        <v/>
      </c>
      <c r="N830" s="26">
        <f>IF($H830="","",TODAY()-$H830)</f>
        <v/>
      </c>
      <c r="O830" s="15" t="n"/>
      <c r="P830" s="26">
        <f>IF($A830="","",COUNTIFS('Audit Versions'!$A$6:$A$605,$A830,'Audit Versions'!$L$6:$L$605,"Active"))</f>
        <v/>
      </c>
      <c r="Q830" s="15" t="n"/>
      <c r="R830" s="26">
        <f>IF(OR($A830="",$P830=0),"",MOD(N($Q830),$P830)+1)</f>
        <v/>
      </c>
      <c r="S830" s="15" t="n"/>
      <c r="T830" s="25" t="n"/>
      <c r="U830" s="26">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Builder'!$B$12="",N($S830)&lt;='Assignment Builder'!$B$12)))</f>
        <v/>
      </c>
      <c r="V830" s="23" t="n"/>
    </row>
    <row r="831">
      <c r="A831" s="23" t="n"/>
      <c r="B831" s="23" t="n"/>
      <c r="C831" s="24" t="n"/>
      <c r="D831" s="15" t="n"/>
      <c r="E831" s="23" t="n"/>
      <c r="F831" s="15" t="n"/>
      <c r="G831" s="23" t="n"/>
      <c r="H831" s="25" t="n"/>
      <c r="I831" s="15" t="n"/>
      <c r="J831" s="26">
        <f>IF($A831="","",LEN($C831)-LEN(SUBSTITUTE($C831,",",""))+1)</f>
        <v/>
      </c>
      <c r="K831" s="26">
        <f>IF($A831="","",SUMPRODUCT(--ISNUMBER(SEARCH('Category Dictionary'!$D$5:$D$135&amp;"",$C831)),--('Category Dictionary'!$D$5:$D$135&lt;&gt;"")))</f>
        <v/>
      </c>
      <c r="L831" s="27">
        <f>IF($A831="","",TRIM(IF(ISERROR(FIND(",",$C831)),$C831,LEFT($C831,FIND(",",$C831)-1))))</f>
        <v/>
      </c>
      <c r="M831" s="28">
        <f>IF($H831="","",DATE(YEAR($H831),MONTH($H831),1))</f>
        <v/>
      </c>
      <c r="N831" s="26">
        <f>IF($H831="","",TODAY()-$H831)</f>
        <v/>
      </c>
      <c r="O831" s="15" t="n"/>
      <c r="P831" s="26">
        <f>IF($A831="","",COUNTIFS('Audit Versions'!$A$6:$A$605,$A831,'Audit Versions'!$L$6:$L$605,"Active"))</f>
        <v/>
      </c>
      <c r="Q831" s="15" t="n"/>
      <c r="R831" s="26">
        <f>IF(OR($A831="",$P831=0),"",MOD(N($Q831),$P831)+1)</f>
        <v/>
      </c>
      <c r="S831" s="15" t="n"/>
      <c r="T831" s="25" t="n"/>
      <c r="U831" s="26">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Builder'!$B$12="",N($S831)&lt;='Assignment Builder'!$B$12)))</f>
        <v/>
      </c>
      <c r="V831" s="23" t="n"/>
    </row>
    <row r="832">
      <c r="A832" s="23" t="n"/>
      <c r="B832" s="23" t="n"/>
      <c r="C832" s="24" t="n"/>
      <c r="D832" s="15" t="n"/>
      <c r="E832" s="23" t="n"/>
      <c r="F832" s="15" t="n"/>
      <c r="G832" s="23" t="n"/>
      <c r="H832" s="25" t="n"/>
      <c r="I832" s="15" t="n"/>
      <c r="J832" s="26">
        <f>IF($A832="","",LEN($C832)-LEN(SUBSTITUTE($C832,",",""))+1)</f>
        <v/>
      </c>
      <c r="K832" s="26">
        <f>IF($A832="","",SUMPRODUCT(--ISNUMBER(SEARCH('Category Dictionary'!$D$5:$D$135&amp;"",$C832)),--('Category Dictionary'!$D$5:$D$135&lt;&gt;"")))</f>
        <v/>
      </c>
      <c r="L832" s="27">
        <f>IF($A832="","",TRIM(IF(ISERROR(FIND(",",$C832)),$C832,LEFT($C832,FIND(",",$C832)-1))))</f>
        <v/>
      </c>
      <c r="M832" s="28">
        <f>IF($H832="","",DATE(YEAR($H832),MONTH($H832),1))</f>
        <v/>
      </c>
      <c r="N832" s="26">
        <f>IF($H832="","",TODAY()-$H832)</f>
        <v/>
      </c>
      <c r="O832" s="15" t="n"/>
      <c r="P832" s="26">
        <f>IF($A832="","",COUNTIFS('Audit Versions'!$A$6:$A$605,$A832,'Audit Versions'!$L$6:$L$605,"Active"))</f>
        <v/>
      </c>
      <c r="Q832" s="15" t="n"/>
      <c r="R832" s="26">
        <f>IF(OR($A832="",$P832=0),"",MOD(N($Q832),$P832)+1)</f>
        <v/>
      </c>
      <c r="S832" s="15" t="n"/>
      <c r="T832" s="25" t="n"/>
      <c r="U832" s="26">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Builder'!$B$12="",N($S832)&lt;='Assignment Builder'!$B$12)))</f>
        <v/>
      </c>
      <c r="V832" s="23" t="n"/>
    </row>
    <row r="833">
      <c r="A833" s="23" t="n"/>
      <c r="B833" s="23" t="n"/>
      <c r="C833" s="24" t="n"/>
      <c r="D833" s="15" t="n"/>
      <c r="E833" s="23" t="n"/>
      <c r="F833" s="15" t="n"/>
      <c r="G833" s="23" t="n"/>
      <c r="H833" s="25" t="n"/>
      <c r="I833" s="15" t="n"/>
      <c r="J833" s="26">
        <f>IF($A833="","",LEN($C833)-LEN(SUBSTITUTE($C833,",",""))+1)</f>
        <v/>
      </c>
      <c r="K833" s="26">
        <f>IF($A833="","",SUMPRODUCT(--ISNUMBER(SEARCH('Category Dictionary'!$D$5:$D$135&amp;"",$C833)),--('Category Dictionary'!$D$5:$D$135&lt;&gt;"")))</f>
        <v/>
      </c>
      <c r="L833" s="27">
        <f>IF($A833="","",TRIM(IF(ISERROR(FIND(",",$C833)),$C833,LEFT($C833,FIND(",",$C833)-1))))</f>
        <v/>
      </c>
      <c r="M833" s="28">
        <f>IF($H833="","",DATE(YEAR($H833),MONTH($H833),1))</f>
        <v/>
      </c>
      <c r="N833" s="26">
        <f>IF($H833="","",TODAY()-$H833)</f>
        <v/>
      </c>
      <c r="O833" s="15" t="n"/>
      <c r="P833" s="26">
        <f>IF($A833="","",COUNTIFS('Audit Versions'!$A$6:$A$605,$A833,'Audit Versions'!$L$6:$L$605,"Active"))</f>
        <v/>
      </c>
      <c r="Q833" s="15" t="n"/>
      <c r="R833" s="26">
        <f>IF(OR($A833="",$P833=0),"",MOD(N($Q833),$P833)+1)</f>
        <v/>
      </c>
      <c r="S833" s="15" t="n"/>
      <c r="T833" s="25" t="n"/>
      <c r="U833" s="26">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Builder'!$B$12="",N($S833)&lt;='Assignment Builder'!$B$12)))</f>
        <v/>
      </c>
      <c r="V833" s="23" t="n"/>
    </row>
    <row r="834">
      <c r="A834" s="23" t="n"/>
      <c r="B834" s="23" t="n"/>
      <c r="C834" s="24" t="n"/>
      <c r="D834" s="15" t="n"/>
      <c r="E834" s="23" t="n"/>
      <c r="F834" s="15" t="n"/>
      <c r="G834" s="23" t="n"/>
      <c r="H834" s="25" t="n"/>
      <c r="I834" s="15" t="n"/>
      <c r="J834" s="26">
        <f>IF($A834="","",LEN($C834)-LEN(SUBSTITUTE($C834,",",""))+1)</f>
        <v/>
      </c>
      <c r="K834" s="26">
        <f>IF($A834="","",SUMPRODUCT(--ISNUMBER(SEARCH('Category Dictionary'!$D$5:$D$135&amp;"",$C834)),--('Category Dictionary'!$D$5:$D$135&lt;&gt;"")))</f>
        <v/>
      </c>
      <c r="L834" s="27">
        <f>IF($A834="","",TRIM(IF(ISERROR(FIND(",",$C834)),$C834,LEFT($C834,FIND(",",$C834)-1))))</f>
        <v/>
      </c>
      <c r="M834" s="28">
        <f>IF($H834="","",DATE(YEAR($H834),MONTH($H834),1))</f>
        <v/>
      </c>
      <c r="N834" s="26">
        <f>IF($H834="","",TODAY()-$H834)</f>
        <v/>
      </c>
      <c r="O834" s="15" t="n"/>
      <c r="P834" s="26">
        <f>IF($A834="","",COUNTIFS('Audit Versions'!$A$6:$A$605,$A834,'Audit Versions'!$L$6:$L$605,"Active"))</f>
        <v/>
      </c>
      <c r="Q834" s="15" t="n"/>
      <c r="R834" s="26">
        <f>IF(OR($A834="",$P834=0),"",MOD(N($Q834),$P834)+1)</f>
        <v/>
      </c>
      <c r="S834" s="15" t="n"/>
      <c r="T834" s="25" t="n"/>
      <c r="U834" s="26">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Builder'!$B$12="",N($S834)&lt;='Assignment Builder'!$B$12)))</f>
        <v/>
      </c>
      <c r="V834" s="23" t="n"/>
    </row>
    <row r="835">
      <c r="A835" s="23" t="n"/>
      <c r="B835" s="23" t="n"/>
      <c r="C835" s="24" t="n"/>
      <c r="D835" s="15" t="n"/>
      <c r="E835" s="23" t="n"/>
      <c r="F835" s="15" t="n"/>
      <c r="G835" s="23" t="n"/>
      <c r="H835" s="25" t="n"/>
      <c r="I835" s="15" t="n"/>
      <c r="J835" s="26">
        <f>IF($A835="","",LEN($C835)-LEN(SUBSTITUTE($C835,",",""))+1)</f>
        <v/>
      </c>
      <c r="K835" s="26">
        <f>IF($A835="","",SUMPRODUCT(--ISNUMBER(SEARCH('Category Dictionary'!$D$5:$D$135&amp;"",$C835)),--('Category Dictionary'!$D$5:$D$135&lt;&gt;"")))</f>
        <v/>
      </c>
      <c r="L835" s="27">
        <f>IF($A835="","",TRIM(IF(ISERROR(FIND(",",$C835)),$C835,LEFT($C835,FIND(",",$C835)-1))))</f>
        <v/>
      </c>
      <c r="M835" s="28">
        <f>IF($H835="","",DATE(YEAR($H835),MONTH($H835),1))</f>
        <v/>
      </c>
      <c r="N835" s="26">
        <f>IF($H835="","",TODAY()-$H835)</f>
        <v/>
      </c>
      <c r="O835" s="15" t="n"/>
      <c r="P835" s="26">
        <f>IF($A835="","",COUNTIFS('Audit Versions'!$A$6:$A$605,$A835,'Audit Versions'!$L$6:$L$605,"Active"))</f>
        <v/>
      </c>
      <c r="Q835" s="15" t="n"/>
      <c r="R835" s="26">
        <f>IF(OR($A835="",$P835=0),"",MOD(N($Q835),$P835)+1)</f>
        <v/>
      </c>
      <c r="S835" s="15" t="n"/>
      <c r="T835" s="25" t="n"/>
      <c r="U835" s="26">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Builder'!$B$12="",N($S835)&lt;='Assignment Builder'!$B$12)))</f>
        <v/>
      </c>
      <c r="V835" s="23" t="n"/>
    </row>
    <row r="836">
      <c r="A836" s="23" t="n"/>
      <c r="B836" s="23" t="n"/>
      <c r="C836" s="24" t="n"/>
      <c r="D836" s="15" t="n"/>
      <c r="E836" s="23" t="n"/>
      <c r="F836" s="15" t="n"/>
      <c r="G836" s="23" t="n"/>
      <c r="H836" s="25" t="n"/>
      <c r="I836" s="15" t="n"/>
      <c r="J836" s="26">
        <f>IF($A836="","",LEN($C836)-LEN(SUBSTITUTE($C836,",",""))+1)</f>
        <v/>
      </c>
      <c r="K836" s="26">
        <f>IF($A836="","",SUMPRODUCT(--ISNUMBER(SEARCH('Category Dictionary'!$D$5:$D$135&amp;"",$C836)),--('Category Dictionary'!$D$5:$D$135&lt;&gt;"")))</f>
        <v/>
      </c>
      <c r="L836" s="27">
        <f>IF($A836="","",TRIM(IF(ISERROR(FIND(",",$C836)),$C836,LEFT($C836,FIND(",",$C836)-1))))</f>
        <v/>
      </c>
      <c r="M836" s="28">
        <f>IF($H836="","",DATE(YEAR($H836),MONTH($H836),1))</f>
        <v/>
      </c>
      <c r="N836" s="26">
        <f>IF($H836="","",TODAY()-$H836)</f>
        <v/>
      </c>
      <c r="O836" s="15" t="n"/>
      <c r="P836" s="26">
        <f>IF($A836="","",COUNTIFS('Audit Versions'!$A$6:$A$605,$A836,'Audit Versions'!$L$6:$L$605,"Active"))</f>
        <v/>
      </c>
      <c r="Q836" s="15" t="n"/>
      <c r="R836" s="26">
        <f>IF(OR($A836="",$P836=0),"",MOD(N($Q836),$P836)+1)</f>
        <v/>
      </c>
      <c r="S836" s="15" t="n"/>
      <c r="T836" s="25" t="n"/>
      <c r="U836" s="26">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Builder'!$B$12="",N($S836)&lt;='Assignment Builder'!$B$12)))</f>
        <v/>
      </c>
      <c r="V836" s="23" t="n"/>
    </row>
    <row r="837">
      <c r="A837" s="23" t="n"/>
      <c r="B837" s="23" t="n"/>
      <c r="C837" s="24" t="n"/>
      <c r="D837" s="15" t="n"/>
      <c r="E837" s="23" t="n"/>
      <c r="F837" s="15" t="n"/>
      <c r="G837" s="23" t="n"/>
      <c r="H837" s="25" t="n"/>
      <c r="I837" s="15" t="n"/>
      <c r="J837" s="26">
        <f>IF($A837="","",LEN($C837)-LEN(SUBSTITUTE($C837,",",""))+1)</f>
        <v/>
      </c>
      <c r="K837" s="26">
        <f>IF($A837="","",SUMPRODUCT(--ISNUMBER(SEARCH('Category Dictionary'!$D$5:$D$135&amp;"",$C837)),--('Category Dictionary'!$D$5:$D$135&lt;&gt;"")))</f>
        <v/>
      </c>
      <c r="L837" s="27">
        <f>IF($A837="","",TRIM(IF(ISERROR(FIND(",",$C837)),$C837,LEFT($C837,FIND(",",$C837)-1))))</f>
        <v/>
      </c>
      <c r="M837" s="28">
        <f>IF($H837="","",DATE(YEAR($H837),MONTH($H837),1))</f>
        <v/>
      </c>
      <c r="N837" s="26">
        <f>IF($H837="","",TODAY()-$H837)</f>
        <v/>
      </c>
      <c r="O837" s="15" t="n"/>
      <c r="P837" s="26">
        <f>IF($A837="","",COUNTIFS('Audit Versions'!$A$6:$A$605,$A837,'Audit Versions'!$L$6:$L$605,"Active"))</f>
        <v/>
      </c>
      <c r="Q837" s="15" t="n"/>
      <c r="R837" s="26">
        <f>IF(OR($A837="",$P837=0),"",MOD(N($Q837),$P837)+1)</f>
        <v/>
      </c>
      <c r="S837" s="15" t="n"/>
      <c r="T837" s="25" t="n"/>
      <c r="U837" s="26">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Builder'!$B$12="",N($S837)&lt;='Assignment Builder'!$B$12)))</f>
        <v/>
      </c>
      <c r="V837" s="23" t="n"/>
    </row>
    <row r="838">
      <c r="A838" s="23" t="n"/>
      <c r="B838" s="23" t="n"/>
      <c r="C838" s="24" t="n"/>
      <c r="D838" s="15" t="n"/>
      <c r="E838" s="23" t="n"/>
      <c r="F838" s="15" t="n"/>
      <c r="G838" s="23" t="n"/>
      <c r="H838" s="25" t="n"/>
      <c r="I838" s="15" t="n"/>
      <c r="J838" s="26">
        <f>IF($A838="","",LEN($C838)-LEN(SUBSTITUTE($C838,",",""))+1)</f>
        <v/>
      </c>
      <c r="K838" s="26">
        <f>IF($A838="","",SUMPRODUCT(--ISNUMBER(SEARCH('Category Dictionary'!$D$5:$D$135&amp;"",$C838)),--('Category Dictionary'!$D$5:$D$135&lt;&gt;"")))</f>
        <v/>
      </c>
      <c r="L838" s="27">
        <f>IF($A838="","",TRIM(IF(ISERROR(FIND(",",$C838)),$C838,LEFT($C838,FIND(",",$C838)-1))))</f>
        <v/>
      </c>
      <c r="M838" s="28">
        <f>IF($H838="","",DATE(YEAR($H838),MONTH($H838),1))</f>
        <v/>
      </c>
      <c r="N838" s="26">
        <f>IF($H838="","",TODAY()-$H838)</f>
        <v/>
      </c>
      <c r="O838" s="15" t="n"/>
      <c r="P838" s="26">
        <f>IF($A838="","",COUNTIFS('Audit Versions'!$A$6:$A$605,$A838,'Audit Versions'!$L$6:$L$605,"Active"))</f>
        <v/>
      </c>
      <c r="Q838" s="15" t="n"/>
      <c r="R838" s="26">
        <f>IF(OR($A838="",$P838=0),"",MOD(N($Q838),$P838)+1)</f>
        <v/>
      </c>
      <c r="S838" s="15" t="n"/>
      <c r="T838" s="25" t="n"/>
      <c r="U838" s="26">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Builder'!$B$12="",N($S838)&lt;='Assignment Builder'!$B$12)))</f>
        <v/>
      </c>
      <c r="V838" s="23" t="n"/>
    </row>
    <row r="839">
      <c r="A839" s="23" t="n"/>
      <c r="B839" s="23" t="n"/>
      <c r="C839" s="24" t="n"/>
      <c r="D839" s="15" t="n"/>
      <c r="E839" s="23" t="n"/>
      <c r="F839" s="15" t="n"/>
      <c r="G839" s="23" t="n"/>
      <c r="H839" s="25" t="n"/>
      <c r="I839" s="15" t="n"/>
      <c r="J839" s="26">
        <f>IF($A839="","",LEN($C839)-LEN(SUBSTITUTE($C839,",",""))+1)</f>
        <v/>
      </c>
      <c r="K839" s="26">
        <f>IF($A839="","",SUMPRODUCT(--ISNUMBER(SEARCH('Category Dictionary'!$D$5:$D$135&amp;"",$C839)),--('Category Dictionary'!$D$5:$D$135&lt;&gt;"")))</f>
        <v/>
      </c>
      <c r="L839" s="27">
        <f>IF($A839="","",TRIM(IF(ISERROR(FIND(",",$C839)),$C839,LEFT($C839,FIND(",",$C839)-1))))</f>
        <v/>
      </c>
      <c r="M839" s="28">
        <f>IF($H839="","",DATE(YEAR($H839),MONTH($H839),1))</f>
        <v/>
      </c>
      <c r="N839" s="26">
        <f>IF($H839="","",TODAY()-$H839)</f>
        <v/>
      </c>
      <c r="O839" s="15" t="n"/>
      <c r="P839" s="26">
        <f>IF($A839="","",COUNTIFS('Audit Versions'!$A$6:$A$605,$A839,'Audit Versions'!$L$6:$L$605,"Active"))</f>
        <v/>
      </c>
      <c r="Q839" s="15" t="n"/>
      <c r="R839" s="26">
        <f>IF(OR($A839="",$P839=0),"",MOD(N($Q839),$P839)+1)</f>
        <v/>
      </c>
      <c r="S839" s="15" t="n"/>
      <c r="T839" s="25" t="n"/>
      <c r="U839" s="26">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Builder'!$B$12="",N($S839)&lt;='Assignment Builder'!$B$12)))</f>
        <v/>
      </c>
      <c r="V839" s="23" t="n"/>
    </row>
    <row r="840">
      <c r="A840" s="23" t="n"/>
      <c r="B840" s="23" t="n"/>
      <c r="C840" s="24" t="n"/>
      <c r="D840" s="15" t="n"/>
      <c r="E840" s="23" t="n"/>
      <c r="F840" s="15" t="n"/>
      <c r="G840" s="23" t="n"/>
      <c r="H840" s="25" t="n"/>
      <c r="I840" s="15" t="n"/>
      <c r="J840" s="26">
        <f>IF($A840="","",LEN($C840)-LEN(SUBSTITUTE($C840,",",""))+1)</f>
        <v/>
      </c>
      <c r="K840" s="26">
        <f>IF($A840="","",SUMPRODUCT(--ISNUMBER(SEARCH('Category Dictionary'!$D$5:$D$135&amp;"",$C840)),--('Category Dictionary'!$D$5:$D$135&lt;&gt;"")))</f>
        <v/>
      </c>
      <c r="L840" s="27">
        <f>IF($A840="","",TRIM(IF(ISERROR(FIND(",",$C840)),$C840,LEFT($C840,FIND(",",$C840)-1))))</f>
        <v/>
      </c>
      <c r="M840" s="28">
        <f>IF($H840="","",DATE(YEAR($H840),MONTH($H840),1))</f>
        <v/>
      </c>
      <c r="N840" s="26">
        <f>IF($H840="","",TODAY()-$H840)</f>
        <v/>
      </c>
      <c r="O840" s="15" t="n"/>
      <c r="P840" s="26">
        <f>IF($A840="","",COUNTIFS('Audit Versions'!$A$6:$A$605,$A840,'Audit Versions'!$L$6:$L$605,"Active"))</f>
        <v/>
      </c>
      <c r="Q840" s="15" t="n"/>
      <c r="R840" s="26">
        <f>IF(OR($A840="",$P840=0),"",MOD(N($Q840),$P840)+1)</f>
        <v/>
      </c>
      <c r="S840" s="15" t="n"/>
      <c r="T840" s="25" t="n"/>
      <c r="U840" s="26">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Builder'!$B$12="",N($S840)&lt;='Assignment Builder'!$B$12)))</f>
        <v/>
      </c>
      <c r="V840" s="23" t="n"/>
    </row>
    <row r="841">
      <c r="A841" s="23" t="n"/>
      <c r="B841" s="23" t="n"/>
      <c r="C841" s="24" t="n"/>
      <c r="D841" s="15" t="n"/>
      <c r="E841" s="23" t="n"/>
      <c r="F841" s="15" t="n"/>
      <c r="G841" s="23" t="n"/>
      <c r="H841" s="25" t="n"/>
      <c r="I841" s="15" t="n"/>
      <c r="J841" s="26">
        <f>IF($A841="","",LEN($C841)-LEN(SUBSTITUTE($C841,",",""))+1)</f>
        <v/>
      </c>
      <c r="K841" s="26">
        <f>IF($A841="","",SUMPRODUCT(--ISNUMBER(SEARCH('Category Dictionary'!$D$5:$D$135&amp;"",$C841)),--('Category Dictionary'!$D$5:$D$135&lt;&gt;"")))</f>
        <v/>
      </c>
      <c r="L841" s="27">
        <f>IF($A841="","",TRIM(IF(ISERROR(FIND(",",$C841)),$C841,LEFT($C841,FIND(",",$C841)-1))))</f>
        <v/>
      </c>
      <c r="M841" s="28">
        <f>IF($H841="","",DATE(YEAR($H841),MONTH($H841),1))</f>
        <v/>
      </c>
      <c r="N841" s="26">
        <f>IF($H841="","",TODAY()-$H841)</f>
        <v/>
      </c>
      <c r="O841" s="15" t="n"/>
      <c r="P841" s="26">
        <f>IF($A841="","",COUNTIFS('Audit Versions'!$A$6:$A$605,$A841,'Audit Versions'!$L$6:$L$605,"Active"))</f>
        <v/>
      </c>
      <c r="Q841" s="15" t="n"/>
      <c r="R841" s="26">
        <f>IF(OR($A841="",$P841=0),"",MOD(N($Q841),$P841)+1)</f>
        <v/>
      </c>
      <c r="S841" s="15" t="n"/>
      <c r="T841" s="25" t="n"/>
      <c r="U841" s="26">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Builder'!$B$12="",N($S841)&lt;='Assignment Builder'!$B$12)))</f>
        <v/>
      </c>
      <c r="V841" s="23" t="n"/>
    </row>
    <row r="842">
      <c r="A842" s="23" t="n"/>
      <c r="B842" s="23" t="n"/>
      <c r="C842" s="24" t="n"/>
      <c r="D842" s="15" t="n"/>
      <c r="E842" s="23" t="n"/>
      <c r="F842" s="15" t="n"/>
      <c r="G842" s="23" t="n"/>
      <c r="H842" s="25" t="n"/>
      <c r="I842" s="15" t="n"/>
      <c r="J842" s="26">
        <f>IF($A842="","",LEN($C842)-LEN(SUBSTITUTE($C842,",",""))+1)</f>
        <v/>
      </c>
      <c r="K842" s="26">
        <f>IF($A842="","",SUMPRODUCT(--ISNUMBER(SEARCH('Category Dictionary'!$D$5:$D$135&amp;"",$C842)),--('Category Dictionary'!$D$5:$D$135&lt;&gt;"")))</f>
        <v/>
      </c>
      <c r="L842" s="27">
        <f>IF($A842="","",TRIM(IF(ISERROR(FIND(",",$C842)),$C842,LEFT($C842,FIND(",",$C842)-1))))</f>
        <v/>
      </c>
      <c r="M842" s="28">
        <f>IF($H842="","",DATE(YEAR($H842),MONTH($H842),1))</f>
        <v/>
      </c>
      <c r="N842" s="26">
        <f>IF($H842="","",TODAY()-$H842)</f>
        <v/>
      </c>
      <c r="O842" s="15" t="n"/>
      <c r="P842" s="26">
        <f>IF($A842="","",COUNTIFS('Audit Versions'!$A$6:$A$605,$A842,'Audit Versions'!$L$6:$L$605,"Active"))</f>
        <v/>
      </c>
      <c r="Q842" s="15" t="n"/>
      <c r="R842" s="26">
        <f>IF(OR($A842="",$P842=0),"",MOD(N($Q842),$P842)+1)</f>
        <v/>
      </c>
      <c r="S842" s="15" t="n"/>
      <c r="T842" s="25" t="n"/>
      <c r="U842" s="26">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Builder'!$B$12="",N($S842)&lt;='Assignment Builder'!$B$12)))</f>
        <v/>
      </c>
      <c r="V842" s="23" t="n"/>
    </row>
    <row r="843">
      <c r="A843" s="23" t="n"/>
      <c r="B843" s="23" t="n"/>
      <c r="C843" s="24" t="n"/>
      <c r="D843" s="15" t="n"/>
      <c r="E843" s="23" t="n"/>
      <c r="F843" s="15" t="n"/>
      <c r="G843" s="23" t="n"/>
      <c r="H843" s="25" t="n"/>
      <c r="I843" s="15" t="n"/>
      <c r="J843" s="26">
        <f>IF($A843="","",LEN($C843)-LEN(SUBSTITUTE($C843,",",""))+1)</f>
        <v/>
      </c>
      <c r="K843" s="26">
        <f>IF($A843="","",SUMPRODUCT(--ISNUMBER(SEARCH('Category Dictionary'!$D$5:$D$135&amp;"",$C843)),--('Category Dictionary'!$D$5:$D$135&lt;&gt;"")))</f>
        <v/>
      </c>
      <c r="L843" s="27">
        <f>IF($A843="","",TRIM(IF(ISERROR(FIND(",",$C843)),$C843,LEFT($C843,FIND(",",$C843)-1))))</f>
        <v/>
      </c>
      <c r="M843" s="28">
        <f>IF($H843="","",DATE(YEAR($H843),MONTH($H843),1))</f>
        <v/>
      </c>
      <c r="N843" s="26">
        <f>IF($H843="","",TODAY()-$H843)</f>
        <v/>
      </c>
      <c r="O843" s="15" t="n"/>
      <c r="P843" s="26">
        <f>IF($A843="","",COUNTIFS('Audit Versions'!$A$6:$A$605,$A843,'Audit Versions'!$L$6:$L$605,"Active"))</f>
        <v/>
      </c>
      <c r="Q843" s="15" t="n"/>
      <c r="R843" s="26">
        <f>IF(OR($A843="",$P843=0),"",MOD(N($Q843),$P843)+1)</f>
        <v/>
      </c>
      <c r="S843" s="15" t="n"/>
      <c r="T843" s="25" t="n"/>
      <c r="U843" s="26">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Builder'!$B$12="",N($S843)&lt;='Assignment Builder'!$B$12)))</f>
        <v/>
      </c>
      <c r="V843" s="23" t="n"/>
    </row>
    <row r="844">
      <c r="A844" s="23" t="n"/>
      <c r="B844" s="23" t="n"/>
      <c r="C844" s="24" t="n"/>
      <c r="D844" s="15" t="n"/>
      <c r="E844" s="23" t="n"/>
      <c r="F844" s="15" t="n"/>
      <c r="G844" s="23" t="n"/>
      <c r="H844" s="25" t="n"/>
      <c r="I844" s="15" t="n"/>
      <c r="J844" s="26">
        <f>IF($A844="","",LEN($C844)-LEN(SUBSTITUTE($C844,",",""))+1)</f>
        <v/>
      </c>
      <c r="K844" s="26">
        <f>IF($A844="","",SUMPRODUCT(--ISNUMBER(SEARCH('Category Dictionary'!$D$5:$D$135&amp;"",$C844)),--('Category Dictionary'!$D$5:$D$135&lt;&gt;"")))</f>
        <v/>
      </c>
      <c r="L844" s="27">
        <f>IF($A844="","",TRIM(IF(ISERROR(FIND(",",$C844)),$C844,LEFT($C844,FIND(",",$C844)-1))))</f>
        <v/>
      </c>
      <c r="M844" s="28">
        <f>IF($H844="","",DATE(YEAR($H844),MONTH($H844),1))</f>
        <v/>
      </c>
      <c r="N844" s="26">
        <f>IF($H844="","",TODAY()-$H844)</f>
        <v/>
      </c>
      <c r="O844" s="15" t="n"/>
      <c r="P844" s="26">
        <f>IF($A844="","",COUNTIFS('Audit Versions'!$A$6:$A$605,$A844,'Audit Versions'!$L$6:$L$605,"Active"))</f>
        <v/>
      </c>
      <c r="Q844" s="15" t="n"/>
      <c r="R844" s="26">
        <f>IF(OR($A844="",$P844=0),"",MOD(N($Q844),$P844)+1)</f>
        <v/>
      </c>
      <c r="S844" s="15" t="n"/>
      <c r="T844" s="25" t="n"/>
      <c r="U844" s="26">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Builder'!$B$12="",N($S844)&lt;='Assignment Builder'!$B$12)))</f>
        <v/>
      </c>
      <c r="V844" s="23" t="n"/>
    </row>
    <row r="845">
      <c r="A845" s="23" t="n"/>
      <c r="B845" s="23" t="n"/>
      <c r="C845" s="24" t="n"/>
      <c r="D845" s="15" t="n"/>
      <c r="E845" s="23" t="n"/>
      <c r="F845" s="15" t="n"/>
      <c r="G845" s="23" t="n"/>
      <c r="H845" s="25" t="n"/>
      <c r="I845" s="15" t="n"/>
      <c r="J845" s="26">
        <f>IF($A845="","",LEN($C845)-LEN(SUBSTITUTE($C845,",",""))+1)</f>
        <v/>
      </c>
      <c r="K845" s="26">
        <f>IF($A845="","",SUMPRODUCT(--ISNUMBER(SEARCH('Category Dictionary'!$D$5:$D$135&amp;"",$C845)),--('Category Dictionary'!$D$5:$D$135&lt;&gt;"")))</f>
        <v/>
      </c>
      <c r="L845" s="27">
        <f>IF($A845="","",TRIM(IF(ISERROR(FIND(",",$C845)),$C845,LEFT($C845,FIND(",",$C845)-1))))</f>
        <v/>
      </c>
      <c r="M845" s="28">
        <f>IF($H845="","",DATE(YEAR($H845),MONTH($H845),1))</f>
        <v/>
      </c>
      <c r="N845" s="26">
        <f>IF($H845="","",TODAY()-$H845)</f>
        <v/>
      </c>
      <c r="O845" s="15" t="n"/>
      <c r="P845" s="26">
        <f>IF($A845="","",COUNTIFS('Audit Versions'!$A$6:$A$605,$A845,'Audit Versions'!$L$6:$L$605,"Active"))</f>
        <v/>
      </c>
      <c r="Q845" s="15" t="n"/>
      <c r="R845" s="26">
        <f>IF(OR($A845="",$P845=0),"",MOD(N($Q845),$P845)+1)</f>
        <v/>
      </c>
      <c r="S845" s="15" t="n"/>
      <c r="T845" s="25" t="n"/>
      <c r="U845" s="26">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Builder'!$B$12="",N($S845)&lt;='Assignment Builder'!$B$12)))</f>
        <v/>
      </c>
      <c r="V845" s="23" t="n"/>
    </row>
    <row r="846">
      <c r="A846" s="23" t="n"/>
      <c r="B846" s="23" t="n"/>
      <c r="C846" s="24" t="n"/>
      <c r="D846" s="15" t="n"/>
      <c r="E846" s="23" t="n"/>
      <c r="F846" s="15" t="n"/>
      <c r="G846" s="23" t="n"/>
      <c r="H846" s="25" t="n"/>
      <c r="I846" s="15" t="n"/>
      <c r="J846" s="26">
        <f>IF($A846="","",LEN($C846)-LEN(SUBSTITUTE($C846,",",""))+1)</f>
        <v/>
      </c>
      <c r="K846" s="26">
        <f>IF($A846="","",SUMPRODUCT(--ISNUMBER(SEARCH('Category Dictionary'!$D$5:$D$135&amp;"",$C846)),--('Category Dictionary'!$D$5:$D$135&lt;&gt;"")))</f>
        <v/>
      </c>
      <c r="L846" s="27">
        <f>IF($A846="","",TRIM(IF(ISERROR(FIND(",",$C846)),$C846,LEFT($C846,FIND(",",$C846)-1))))</f>
        <v/>
      </c>
      <c r="M846" s="28">
        <f>IF($H846="","",DATE(YEAR($H846),MONTH($H846),1))</f>
        <v/>
      </c>
      <c r="N846" s="26">
        <f>IF($H846="","",TODAY()-$H846)</f>
        <v/>
      </c>
      <c r="O846" s="15" t="n"/>
      <c r="P846" s="26">
        <f>IF($A846="","",COUNTIFS('Audit Versions'!$A$6:$A$605,$A846,'Audit Versions'!$L$6:$L$605,"Active"))</f>
        <v/>
      </c>
      <c r="Q846" s="15" t="n"/>
      <c r="R846" s="26">
        <f>IF(OR($A846="",$P846=0),"",MOD(N($Q846),$P846)+1)</f>
        <v/>
      </c>
      <c r="S846" s="15" t="n"/>
      <c r="T846" s="25" t="n"/>
      <c r="U846" s="26">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Builder'!$B$12="",N($S846)&lt;='Assignment Builder'!$B$12)))</f>
        <v/>
      </c>
      <c r="V846" s="23" t="n"/>
    </row>
    <row r="847">
      <c r="A847" s="23" t="n"/>
      <c r="B847" s="23" t="n"/>
      <c r="C847" s="24" t="n"/>
      <c r="D847" s="15" t="n"/>
      <c r="E847" s="23" t="n"/>
      <c r="F847" s="15" t="n"/>
      <c r="G847" s="23" t="n"/>
      <c r="H847" s="25" t="n"/>
      <c r="I847" s="15" t="n"/>
      <c r="J847" s="26">
        <f>IF($A847="","",LEN($C847)-LEN(SUBSTITUTE($C847,",",""))+1)</f>
        <v/>
      </c>
      <c r="K847" s="26">
        <f>IF($A847="","",SUMPRODUCT(--ISNUMBER(SEARCH('Category Dictionary'!$D$5:$D$135&amp;"",$C847)),--('Category Dictionary'!$D$5:$D$135&lt;&gt;"")))</f>
        <v/>
      </c>
      <c r="L847" s="27">
        <f>IF($A847="","",TRIM(IF(ISERROR(FIND(",",$C847)),$C847,LEFT($C847,FIND(",",$C847)-1))))</f>
        <v/>
      </c>
      <c r="M847" s="28">
        <f>IF($H847="","",DATE(YEAR($H847),MONTH($H847),1))</f>
        <v/>
      </c>
      <c r="N847" s="26">
        <f>IF($H847="","",TODAY()-$H847)</f>
        <v/>
      </c>
      <c r="O847" s="15" t="n"/>
      <c r="P847" s="26">
        <f>IF($A847="","",COUNTIFS('Audit Versions'!$A$6:$A$605,$A847,'Audit Versions'!$L$6:$L$605,"Active"))</f>
        <v/>
      </c>
      <c r="Q847" s="15" t="n"/>
      <c r="R847" s="26">
        <f>IF(OR($A847="",$P847=0),"",MOD(N($Q847),$P847)+1)</f>
        <v/>
      </c>
      <c r="S847" s="15" t="n"/>
      <c r="T847" s="25" t="n"/>
      <c r="U847" s="26">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Builder'!$B$12="",N($S847)&lt;='Assignment Builder'!$B$12)))</f>
        <v/>
      </c>
      <c r="V847" s="23" t="n"/>
    </row>
    <row r="848">
      <c r="A848" s="23" t="n"/>
      <c r="B848" s="23" t="n"/>
      <c r="C848" s="24" t="n"/>
      <c r="D848" s="15" t="n"/>
      <c r="E848" s="23" t="n"/>
      <c r="F848" s="15" t="n"/>
      <c r="G848" s="23" t="n"/>
      <c r="H848" s="25" t="n"/>
      <c r="I848" s="15" t="n"/>
      <c r="J848" s="26">
        <f>IF($A848="","",LEN($C848)-LEN(SUBSTITUTE($C848,",",""))+1)</f>
        <v/>
      </c>
      <c r="K848" s="26">
        <f>IF($A848="","",SUMPRODUCT(--ISNUMBER(SEARCH('Category Dictionary'!$D$5:$D$135&amp;"",$C848)),--('Category Dictionary'!$D$5:$D$135&lt;&gt;"")))</f>
        <v/>
      </c>
      <c r="L848" s="27">
        <f>IF($A848="","",TRIM(IF(ISERROR(FIND(",",$C848)),$C848,LEFT($C848,FIND(",",$C848)-1))))</f>
        <v/>
      </c>
      <c r="M848" s="28">
        <f>IF($H848="","",DATE(YEAR($H848),MONTH($H848),1))</f>
        <v/>
      </c>
      <c r="N848" s="26">
        <f>IF($H848="","",TODAY()-$H848)</f>
        <v/>
      </c>
      <c r="O848" s="15" t="n"/>
      <c r="P848" s="26">
        <f>IF($A848="","",COUNTIFS('Audit Versions'!$A$6:$A$605,$A848,'Audit Versions'!$L$6:$L$605,"Active"))</f>
        <v/>
      </c>
      <c r="Q848" s="15" t="n"/>
      <c r="R848" s="26">
        <f>IF(OR($A848="",$P848=0),"",MOD(N($Q848),$P848)+1)</f>
        <v/>
      </c>
      <c r="S848" s="15" t="n"/>
      <c r="T848" s="25" t="n"/>
      <c r="U848" s="26">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Builder'!$B$12="",N($S848)&lt;='Assignment Builder'!$B$12)))</f>
        <v/>
      </c>
      <c r="V848" s="23" t="n"/>
    </row>
    <row r="849">
      <c r="A849" s="23" t="n"/>
      <c r="B849" s="23" t="n"/>
      <c r="C849" s="24" t="n"/>
      <c r="D849" s="15" t="n"/>
      <c r="E849" s="23" t="n"/>
      <c r="F849" s="15" t="n"/>
      <c r="G849" s="23" t="n"/>
      <c r="H849" s="25" t="n"/>
      <c r="I849" s="15" t="n"/>
      <c r="J849" s="26">
        <f>IF($A849="","",LEN($C849)-LEN(SUBSTITUTE($C849,",",""))+1)</f>
        <v/>
      </c>
      <c r="K849" s="26">
        <f>IF($A849="","",SUMPRODUCT(--ISNUMBER(SEARCH('Category Dictionary'!$D$5:$D$135&amp;"",$C849)),--('Category Dictionary'!$D$5:$D$135&lt;&gt;"")))</f>
        <v/>
      </c>
      <c r="L849" s="27">
        <f>IF($A849="","",TRIM(IF(ISERROR(FIND(",",$C849)),$C849,LEFT($C849,FIND(",",$C849)-1))))</f>
        <v/>
      </c>
      <c r="M849" s="28">
        <f>IF($H849="","",DATE(YEAR($H849),MONTH($H849),1))</f>
        <v/>
      </c>
      <c r="N849" s="26">
        <f>IF($H849="","",TODAY()-$H849)</f>
        <v/>
      </c>
      <c r="O849" s="15" t="n"/>
      <c r="P849" s="26">
        <f>IF($A849="","",COUNTIFS('Audit Versions'!$A$6:$A$605,$A849,'Audit Versions'!$L$6:$L$605,"Active"))</f>
        <v/>
      </c>
      <c r="Q849" s="15" t="n"/>
      <c r="R849" s="26">
        <f>IF(OR($A849="",$P849=0),"",MOD(N($Q849),$P849)+1)</f>
        <v/>
      </c>
      <c r="S849" s="15" t="n"/>
      <c r="T849" s="25" t="n"/>
      <c r="U849" s="26">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Builder'!$B$12="",N($S849)&lt;='Assignment Builder'!$B$12)))</f>
        <v/>
      </c>
      <c r="V849" s="23" t="n"/>
    </row>
    <row r="850">
      <c r="A850" s="23" t="n"/>
      <c r="B850" s="23" t="n"/>
      <c r="C850" s="24" t="n"/>
      <c r="D850" s="15" t="n"/>
      <c r="E850" s="23" t="n"/>
      <c r="F850" s="15" t="n"/>
      <c r="G850" s="23" t="n"/>
      <c r="H850" s="25" t="n"/>
      <c r="I850" s="15" t="n"/>
      <c r="J850" s="26">
        <f>IF($A850="","",LEN($C850)-LEN(SUBSTITUTE($C850,",",""))+1)</f>
        <v/>
      </c>
      <c r="K850" s="26">
        <f>IF($A850="","",SUMPRODUCT(--ISNUMBER(SEARCH('Category Dictionary'!$D$5:$D$135&amp;"",$C850)),--('Category Dictionary'!$D$5:$D$135&lt;&gt;"")))</f>
        <v/>
      </c>
      <c r="L850" s="27">
        <f>IF($A850="","",TRIM(IF(ISERROR(FIND(",",$C850)),$C850,LEFT($C850,FIND(",",$C850)-1))))</f>
        <v/>
      </c>
      <c r="M850" s="28">
        <f>IF($H850="","",DATE(YEAR($H850),MONTH($H850),1))</f>
        <v/>
      </c>
      <c r="N850" s="26">
        <f>IF($H850="","",TODAY()-$H850)</f>
        <v/>
      </c>
      <c r="O850" s="15" t="n"/>
      <c r="P850" s="26">
        <f>IF($A850="","",COUNTIFS('Audit Versions'!$A$6:$A$605,$A850,'Audit Versions'!$L$6:$L$605,"Active"))</f>
        <v/>
      </c>
      <c r="Q850" s="15" t="n"/>
      <c r="R850" s="26">
        <f>IF(OR($A850="",$P850=0),"",MOD(N($Q850),$P850)+1)</f>
        <v/>
      </c>
      <c r="S850" s="15" t="n"/>
      <c r="T850" s="25" t="n"/>
      <c r="U850" s="26">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Builder'!$B$12="",N($S850)&lt;='Assignment Builder'!$B$12)))</f>
        <v/>
      </c>
      <c r="V850" s="23" t="n"/>
    </row>
    <row r="851">
      <c r="A851" s="23" t="n"/>
      <c r="B851" s="23" t="n"/>
      <c r="C851" s="24" t="n"/>
      <c r="D851" s="15" t="n"/>
      <c r="E851" s="23" t="n"/>
      <c r="F851" s="15" t="n"/>
      <c r="G851" s="23" t="n"/>
      <c r="H851" s="25" t="n"/>
      <c r="I851" s="15" t="n"/>
      <c r="J851" s="26">
        <f>IF($A851="","",LEN($C851)-LEN(SUBSTITUTE($C851,",",""))+1)</f>
        <v/>
      </c>
      <c r="K851" s="26">
        <f>IF($A851="","",SUMPRODUCT(--ISNUMBER(SEARCH('Category Dictionary'!$D$5:$D$135&amp;"",$C851)),--('Category Dictionary'!$D$5:$D$135&lt;&gt;"")))</f>
        <v/>
      </c>
      <c r="L851" s="27">
        <f>IF($A851="","",TRIM(IF(ISERROR(FIND(",",$C851)),$C851,LEFT($C851,FIND(",",$C851)-1))))</f>
        <v/>
      </c>
      <c r="M851" s="28">
        <f>IF($H851="","",DATE(YEAR($H851),MONTH($H851),1))</f>
        <v/>
      </c>
      <c r="N851" s="26">
        <f>IF($H851="","",TODAY()-$H851)</f>
        <v/>
      </c>
      <c r="O851" s="15" t="n"/>
      <c r="P851" s="26">
        <f>IF($A851="","",COUNTIFS('Audit Versions'!$A$6:$A$605,$A851,'Audit Versions'!$L$6:$L$605,"Active"))</f>
        <v/>
      </c>
      <c r="Q851" s="15" t="n"/>
      <c r="R851" s="26">
        <f>IF(OR($A851="",$P851=0),"",MOD(N($Q851),$P851)+1)</f>
        <v/>
      </c>
      <c r="S851" s="15" t="n"/>
      <c r="T851" s="25" t="n"/>
      <c r="U851" s="26">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Builder'!$B$12="",N($S851)&lt;='Assignment Builder'!$B$12)))</f>
        <v/>
      </c>
      <c r="V851" s="23" t="n"/>
    </row>
    <row r="852">
      <c r="A852" s="23" t="n"/>
      <c r="B852" s="23" t="n"/>
      <c r="C852" s="24" t="n"/>
      <c r="D852" s="15" t="n"/>
      <c r="E852" s="23" t="n"/>
      <c r="F852" s="15" t="n"/>
      <c r="G852" s="23" t="n"/>
      <c r="H852" s="25" t="n"/>
      <c r="I852" s="15" t="n"/>
      <c r="J852" s="26">
        <f>IF($A852="","",LEN($C852)-LEN(SUBSTITUTE($C852,",",""))+1)</f>
        <v/>
      </c>
      <c r="K852" s="26">
        <f>IF($A852="","",SUMPRODUCT(--ISNUMBER(SEARCH('Category Dictionary'!$D$5:$D$135&amp;"",$C852)),--('Category Dictionary'!$D$5:$D$135&lt;&gt;"")))</f>
        <v/>
      </c>
      <c r="L852" s="27">
        <f>IF($A852="","",TRIM(IF(ISERROR(FIND(",",$C852)),$C852,LEFT($C852,FIND(",",$C852)-1))))</f>
        <v/>
      </c>
      <c r="M852" s="28">
        <f>IF($H852="","",DATE(YEAR($H852),MONTH($H852),1))</f>
        <v/>
      </c>
      <c r="N852" s="26">
        <f>IF($H852="","",TODAY()-$H852)</f>
        <v/>
      </c>
      <c r="O852" s="15" t="n"/>
      <c r="P852" s="26">
        <f>IF($A852="","",COUNTIFS('Audit Versions'!$A$6:$A$605,$A852,'Audit Versions'!$L$6:$L$605,"Active"))</f>
        <v/>
      </c>
      <c r="Q852" s="15" t="n"/>
      <c r="R852" s="26">
        <f>IF(OR($A852="",$P852=0),"",MOD(N($Q852),$P852)+1)</f>
        <v/>
      </c>
      <c r="S852" s="15" t="n"/>
      <c r="T852" s="25" t="n"/>
      <c r="U852" s="26">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Builder'!$B$12="",N($S852)&lt;='Assignment Builder'!$B$12)))</f>
        <v/>
      </c>
      <c r="V852" s="23" t="n"/>
    </row>
    <row r="853">
      <c r="A853" s="23" t="n"/>
      <c r="B853" s="23" t="n"/>
      <c r="C853" s="24" t="n"/>
      <c r="D853" s="15" t="n"/>
      <c r="E853" s="23" t="n"/>
      <c r="F853" s="15" t="n"/>
      <c r="G853" s="23" t="n"/>
      <c r="H853" s="25" t="n"/>
      <c r="I853" s="15" t="n"/>
      <c r="J853" s="26">
        <f>IF($A853="","",LEN($C853)-LEN(SUBSTITUTE($C853,",",""))+1)</f>
        <v/>
      </c>
      <c r="K853" s="26">
        <f>IF($A853="","",SUMPRODUCT(--ISNUMBER(SEARCH('Category Dictionary'!$D$5:$D$135&amp;"",$C853)),--('Category Dictionary'!$D$5:$D$135&lt;&gt;"")))</f>
        <v/>
      </c>
      <c r="L853" s="27">
        <f>IF($A853="","",TRIM(IF(ISERROR(FIND(",",$C853)),$C853,LEFT($C853,FIND(",",$C853)-1))))</f>
        <v/>
      </c>
      <c r="M853" s="28">
        <f>IF($H853="","",DATE(YEAR($H853),MONTH($H853),1))</f>
        <v/>
      </c>
      <c r="N853" s="26">
        <f>IF($H853="","",TODAY()-$H853)</f>
        <v/>
      </c>
      <c r="O853" s="15" t="n"/>
      <c r="P853" s="26">
        <f>IF($A853="","",COUNTIFS('Audit Versions'!$A$6:$A$605,$A853,'Audit Versions'!$L$6:$L$605,"Active"))</f>
        <v/>
      </c>
      <c r="Q853" s="15" t="n"/>
      <c r="R853" s="26">
        <f>IF(OR($A853="",$P853=0),"",MOD(N($Q853),$P853)+1)</f>
        <v/>
      </c>
      <c r="S853" s="15" t="n"/>
      <c r="T853" s="25" t="n"/>
      <c r="U853" s="26">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Builder'!$B$12="",N($S853)&lt;='Assignment Builder'!$B$12)))</f>
        <v/>
      </c>
      <c r="V853" s="23" t="n"/>
    </row>
    <row r="854">
      <c r="A854" s="23" t="n"/>
      <c r="B854" s="23" t="n"/>
      <c r="C854" s="24" t="n"/>
      <c r="D854" s="15" t="n"/>
      <c r="E854" s="23" t="n"/>
      <c r="F854" s="15" t="n"/>
      <c r="G854" s="23" t="n"/>
      <c r="H854" s="25" t="n"/>
      <c r="I854" s="15" t="n"/>
      <c r="J854" s="26">
        <f>IF($A854="","",LEN($C854)-LEN(SUBSTITUTE($C854,",",""))+1)</f>
        <v/>
      </c>
      <c r="K854" s="26">
        <f>IF($A854="","",SUMPRODUCT(--ISNUMBER(SEARCH('Category Dictionary'!$D$5:$D$135&amp;"",$C854)),--('Category Dictionary'!$D$5:$D$135&lt;&gt;"")))</f>
        <v/>
      </c>
      <c r="L854" s="27">
        <f>IF($A854="","",TRIM(IF(ISERROR(FIND(",",$C854)),$C854,LEFT($C854,FIND(",",$C854)-1))))</f>
        <v/>
      </c>
      <c r="M854" s="28">
        <f>IF($H854="","",DATE(YEAR($H854),MONTH($H854),1))</f>
        <v/>
      </c>
      <c r="N854" s="26">
        <f>IF($H854="","",TODAY()-$H854)</f>
        <v/>
      </c>
      <c r="O854" s="15" t="n"/>
      <c r="P854" s="26">
        <f>IF($A854="","",COUNTIFS('Audit Versions'!$A$6:$A$605,$A854,'Audit Versions'!$L$6:$L$605,"Active"))</f>
        <v/>
      </c>
      <c r="Q854" s="15" t="n"/>
      <c r="R854" s="26">
        <f>IF(OR($A854="",$P854=0),"",MOD(N($Q854),$P854)+1)</f>
        <v/>
      </c>
      <c r="S854" s="15" t="n"/>
      <c r="T854" s="25" t="n"/>
      <c r="U854" s="26">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Builder'!$B$12="",N($S854)&lt;='Assignment Builder'!$B$12)))</f>
        <v/>
      </c>
      <c r="V854" s="23" t="n"/>
    </row>
    <row r="855">
      <c r="A855" s="23" t="n"/>
      <c r="B855" s="23" t="n"/>
      <c r="C855" s="24" t="n"/>
      <c r="D855" s="15" t="n"/>
      <c r="E855" s="23" t="n"/>
      <c r="F855" s="15" t="n"/>
      <c r="G855" s="23" t="n"/>
      <c r="H855" s="25" t="n"/>
      <c r="I855" s="15" t="n"/>
      <c r="J855" s="26">
        <f>IF($A855="","",LEN($C855)-LEN(SUBSTITUTE($C855,",",""))+1)</f>
        <v/>
      </c>
      <c r="K855" s="26">
        <f>IF($A855="","",SUMPRODUCT(--ISNUMBER(SEARCH('Category Dictionary'!$D$5:$D$135&amp;"",$C855)),--('Category Dictionary'!$D$5:$D$135&lt;&gt;"")))</f>
        <v/>
      </c>
      <c r="L855" s="27">
        <f>IF($A855="","",TRIM(IF(ISERROR(FIND(",",$C855)),$C855,LEFT($C855,FIND(",",$C855)-1))))</f>
        <v/>
      </c>
      <c r="M855" s="28">
        <f>IF($H855="","",DATE(YEAR($H855),MONTH($H855),1))</f>
        <v/>
      </c>
      <c r="N855" s="26">
        <f>IF($H855="","",TODAY()-$H855)</f>
        <v/>
      </c>
      <c r="O855" s="15" t="n"/>
      <c r="P855" s="26">
        <f>IF($A855="","",COUNTIFS('Audit Versions'!$A$6:$A$605,$A855,'Audit Versions'!$L$6:$L$605,"Active"))</f>
        <v/>
      </c>
      <c r="Q855" s="15" t="n"/>
      <c r="R855" s="26">
        <f>IF(OR($A855="",$P855=0),"",MOD(N($Q855),$P855)+1)</f>
        <v/>
      </c>
      <c r="S855" s="15" t="n"/>
      <c r="T855" s="25" t="n"/>
      <c r="U855" s="26">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Builder'!$B$12="",N($S855)&lt;='Assignment Builder'!$B$12)))</f>
        <v/>
      </c>
      <c r="V855" s="23" t="n"/>
    </row>
    <row r="856">
      <c r="A856" s="23" t="n"/>
      <c r="B856" s="23" t="n"/>
      <c r="C856" s="24" t="n"/>
      <c r="D856" s="15" t="n"/>
      <c r="E856" s="23" t="n"/>
      <c r="F856" s="15" t="n"/>
      <c r="G856" s="23" t="n"/>
      <c r="H856" s="25" t="n"/>
      <c r="I856" s="15" t="n"/>
      <c r="J856" s="26">
        <f>IF($A856="","",LEN($C856)-LEN(SUBSTITUTE($C856,",",""))+1)</f>
        <v/>
      </c>
      <c r="K856" s="26">
        <f>IF($A856="","",SUMPRODUCT(--ISNUMBER(SEARCH('Category Dictionary'!$D$5:$D$135&amp;"",$C856)),--('Category Dictionary'!$D$5:$D$135&lt;&gt;"")))</f>
        <v/>
      </c>
      <c r="L856" s="27">
        <f>IF($A856="","",TRIM(IF(ISERROR(FIND(",",$C856)),$C856,LEFT($C856,FIND(",",$C856)-1))))</f>
        <v/>
      </c>
      <c r="M856" s="28">
        <f>IF($H856="","",DATE(YEAR($H856),MONTH($H856),1))</f>
        <v/>
      </c>
      <c r="N856" s="26">
        <f>IF($H856="","",TODAY()-$H856)</f>
        <v/>
      </c>
      <c r="O856" s="15" t="n"/>
      <c r="P856" s="26">
        <f>IF($A856="","",COUNTIFS('Audit Versions'!$A$6:$A$605,$A856,'Audit Versions'!$L$6:$L$605,"Active"))</f>
        <v/>
      </c>
      <c r="Q856" s="15" t="n"/>
      <c r="R856" s="26">
        <f>IF(OR($A856="",$P856=0),"",MOD(N($Q856),$P856)+1)</f>
        <v/>
      </c>
      <c r="S856" s="15" t="n"/>
      <c r="T856" s="25" t="n"/>
      <c r="U856" s="26">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Builder'!$B$12="",N($S856)&lt;='Assignment Builder'!$B$12)))</f>
        <v/>
      </c>
      <c r="V856" s="23" t="n"/>
    </row>
    <row r="857">
      <c r="A857" s="23" t="n"/>
      <c r="B857" s="23" t="n"/>
      <c r="C857" s="24" t="n"/>
      <c r="D857" s="15" t="n"/>
      <c r="E857" s="23" t="n"/>
      <c r="F857" s="15" t="n"/>
      <c r="G857" s="23" t="n"/>
      <c r="H857" s="25" t="n"/>
      <c r="I857" s="15" t="n"/>
      <c r="J857" s="26">
        <f>IF($A857="","",LEN($C857)-LEN(SUBSTITUTE($C857,",",""))+1)</f>
        <v/>
      </c>
      <c r="K857" s="26">
        <f>IF($A857="","",SUMPRODUCT(--ISNUMBER(SEARCH('Category Dictionary'!$D$5:$D$135&amp;"",$C857)),--('Category Dictionary'!$D$5:$D$135&lt;&gt;"")))</f>
        <v/>
      </c>
      <c r="L857" s="27">
        <f>IF($A857="","",TRIM(IF(ISERROR(FIND(",",$C857)),$C857,LEFT($C857,FIND(",",$C857)-1))))</f>
        <v/>
      </c>
      <c r="M857" s="28">
        <f>IF($H857="","",DATE(YEAR($H857),MONTH($H857),1))</f>
        <v/>
      </c>
      <c r="N857" s="26">
        <f>IF($H857="","",TODAY()-$H857)</f>
        <v/>
      </c>
      <c r="O857" s="15" t="n"/>
      <c r="P857" s="26">
        <f>IF($A857="","",COUNTIFS('Audit Versions'!$A$6:$A$605,$A857,'Audit Versions'!$L$6:$L$605,"Active"))</f>
        <v/>
      </c>
      <c r="Q857" s="15" t="n"/>
      <c r="R857" s="26">
        <f>IF(OR($A857="",$P857=0),"",MOD(N($Q857),$P857)+1)</f>
        <v/>
      </c>
      <c r="S857" s="15" t="n"/>
      <c r="T857" s="25" t="n"/>
      <c r="U857" s="26">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Builder'!$B$12="",N($S857)&lt;='Assignment Builder'!$B$12)))</f>
        <v/>
      </c>
      <c r="V857" s="23" t="n"/>
    </row>
    <row r="858">
      <c r="A858" s="23" t="n"/>
      <c r="B858" s="23" t="n"/>
      <c r="C858" s="24" t="n"/>
      <c r="D858" s="15" t="n"/>
      <c r="E858" s="23" t="n"/>
      <c r="F858" s="15" t="n"/>
      <c r="G858" s="23" t="n"/>
      <c r="H858" s="25" t="n"/>
      <c r="I858" s="15" t="n"/>
      <c r="J858" s="26">
        <f>IF($A858="","",LEN($C858)-LEN(SUBSTITUTE($C858,",",""))+1)</f>
        <v/>
      </c>
      <c r="K858" s="26">
        <f>IF($A858="","",SUMPRODUCT(--ISNUMBER(SEARCH('Category Dictionary'!$D$5:$D$135&amp;"",$C858)),--('Category Dictionary'!$D$5:$D$135&lt;&gt;"")))</f>
        <v/>
      </c>
      <c r="L858" s="27">
        <f>IF($A858="","",TRIM(IF(ISERROR(FIND(",",$C858)),$C858,LEFT($C858,FIND(",",$C858)-1))))</f>
        <v/>
      </c>
      <c r="M858" s="28">
        <f>IF($H858="","",DATE(YEAR($H858),MONTH($H858),1))</f>
        <v/>
      </c>
      <c r="N858" s="26">
        <f>IF($H858="","",TODAY()-$H858)</f>
        <v/>
      </c>
      <c r="O858" s="15" t="n"/>
      <c r="P858" s="26">
        <f>IF($A858="","",COUNTIFS('Audit Versions'!$A$6:$A$605,$A858,'Audit Versions'!$L$6:$L$605,"Active"))</f>
        <v/>
      </c>
      <c r="Q858" s="15" t="n"/>
      <c r="R858" s="26">
        <f>IF(OR($A858="",$P858=0),"",MOD(N($Q858),$P858)+1)</f>
        <v/>
      </c>
      <c r="S858" s="15" t="n"/>
      <c r="T858" s="25" t="n"/>
      <c r="U858" s="26">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Builder'!$B$12="",N($S858)&lt;='Assignment Builder'!$B$12)))</f>
        <v/>
      </c>
      <c r="V858" s="23" t="n"/>
    </row>
    <row r="859">
      <c r="A859" s="23" t="n"/>
      <c r="B859" s="23" t="n"/>
      <c r="C859" s="24" t="n"/>
      <c r="D859" s="15" t="n"/>
      <c r="E859" s="23" t="n"/>
      <c r="F859" s="15" t="n"/>
      <c r="G859" s="23" t="n"/>
      <c r="H859" s="25" t="n"/>
      <c r="I859" s="15" t="n"/>
      <c r="J859" s="26">
        <f>IF($A859="","",LEN($C859)-LEN(SUBSTITUTE($C859,",",""))+1)</f>
        <v/>
      </c>
      <c r="K859" s="26">
        <f>IF($A859="","",SUMPRODUCT(--ISNUMBER(SEARCH('Category Dictionary'!$D$5:$D$135&amp;"",$C859)),--('Category Dictionary'!$D$5:$D$135&lt;&gt;"")))</f>
        <v/>
      </c>
      <c r="L859" s="27">
        <f>IF($A859="","",TRIM(IF(ISERROR(FIND(",",$C859)),$C859,LEFT($C859,FIND(",",$C859)-1))))</f>
        <v/>
      </c>
      <c r="M859" s="28">
        <f>IF($H859="","",DATE(YEAR($H859),MONTH($H859),1))</f>
        <v/>
      </c>
      <c r="N859" s="26">
        <f>IF($H859="","",TODAY()-$H859)</f>
        <v/>
      </c>
      <c r="O859" s="15" t="n"/>
      <c r="P859" s="26">
        <f>IF($A859="","",COUNTIFS('Audit Versions'!$A$6:$A$605,$A859,'Audit Versions'!$L$6:$L$605,"Active"))</f>
        <v/>
      </c>
      <c r="Q859" s="15" t="n"/>
      <c r="R859" s="26">
        <f>IF(OR($A859="",$P859=0),"",MOD(N($Q859),$P859)+1)</f>
        <v/>
      </c>
      <c r="S859" s="15" t="n"/>
      <c r="T859" s="25" t="n"/>
      <c r="U859" s="26">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Builder'!$B$12="",N($S859)&lt;='Assignment Builder'!$B$12)))</f>
        <v/>
      </c>
      <c r="V859" s="23" t="n"/>
    </row>
    <row r="860">
      <c r="A860" s="23" t="n"/>
      <c r="B860" s="23" t="n"/>
      <c r="C860" s="24" t="n"/>
      <c r="D860" s="15" t="n"/>
      <c r="E860" s="23" t="n"/>
      <c r="F860" s="15" t="n"/>
      <c r="G860" s="23" t="n"/>
      <c r="H860" s="25" t="n"/>
      <c r="I860" s="15" t="n"/>
      <c r="J860" s="26">
        <f>IF($A860="","",LEN($C860)-LEN(SUBSTITUTE($C860,",",""))+1)</f>
        <v/>
      </c>
      <c r="K860" s="26">
        <f>IF($A860="","",SUMPRODUCT(--ISNUMBER(SEARCH('Category Dictionary'!$D$5:$D$135&amp;"",$C860)),--('Category Dictionary'!$D$5:$D$135&lt;&gt;"")))</f>
        <v/>
      </c>
      <c r="L860" s="27">
        <f>IF($A860="","",TRIM(IF(ISERROR(FIND(",",$C860)),$C860,LEFT($C860,FIND(",",$C860)-1))))</f>
        <v/>
      </c>
      <c r="M860" s="28">
        <f>IF($H860="","",DATE(YEAR($H860),MONTH($H860),1))</f>
        <v/>
      </c>
      <c r="N860" s="26">
        <f>IF($H860="","",TODAY()-$H860)</f>
        <v/>
      </c>
      <c r="O860" s="15" t="n"/>
      <c r="P860" s="26">
        <f>IF($A860="","",COUNTIFS('Audit Versions'!$A$6:$A$605,$A860,'Audit Versions'!$L$6:$L$605,"Active"))</f>
        <v/>
      </c>
      <c r="Q860" s="15" t="n"/>
      <c r="R860" s="26">
        <f>IF(OR($A860="",$P860=0),"",MOD(N($Q860),$P860)+1)</f>
        <v/>
      </c>
      <c r="S860" s="15" t="n"/>
      <c r="T860" s="25" t="n"/>
      <c r="U860" s="26">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Builder'!$B$12="",N($S860)&lt;='Assignment Builder'!$B$12)))</f>
        <v/>
      </c>
      <c r="V860" s="23" t="n"/>
    </row>
    <row r="861">
      <c r="A861" s="23" t="n"/>
      <c r="B861" s="23" t="n"/>
      <c r="C861" s="24" t="n"/>
      <c r="D861" s="15" t="n"/>
      <c r="E861" s="23" t="n"/>
      <c r="F861" s="15" t="n"/>
      <c r="G861" s="23" t="n"/>
      <c r="H861" s="25" t="n"/>
      <c r="I861" s="15" t="n"/>
      <c r="J861" s="26">
        <f>IF($A861="","",LEN($C861)-LEN(SUBSTITUTE($C861,",",""))+1)</f>
        <v/>
      </c>
      <c r="K861" s="26">
        <f>IF($A861="","",SUMPRODUCT(--ISNUMBER(SEARCH('Category Dictionary'!$D$5:$D$135&amp;"",$C861)),--('Category Dictionary'!$D$5:$D$135&lt;&gt;"")))</f>
        <v/>
      </c>
      <c r="L861" s="27">
        <f>IF($A861="","",TRIM(IF(ISERROR(FIND(",",$C861)),$C861,LEFT($C861,FIND(",",$C861)-1))))</f>
        <v/>
      </c>
      <c r="M861" s="28">
        <f>IF($H861="","",DATE(YEAR($H861),MONTH($H861),1))</f>
        <v/>
      </c>
      <c r="N861" s="26">
        <f>IF($H861="","",TODAY()-$H861)</f>
        <v/>
      </c>
      <c r="O861" s="15" t="n"/>
      <c r="P861" s="26">
        <f>IF($A861="","",COUNTIFS('Audit Versions'!$A$6:$A$605,$A861,'Audit Versions'!$L$6:$L$605,"Active"))</f>
        <v/>
      </c>
      <c r="Q861" s="15" t="n"/>
      <c r="R861" s="26">
        <f>IF(OR($A861="",$P861=0),"",MOD(N($Q861),$P861)+1)</f>
        <v/>
      </c>
      <c r="S861" s="15" t="n"/>
      <c r="T861" s="25" t="n"/>
      <c r="U861" s="26">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Builder'!$B$12="",N($S861)&lt;='Assignment Builder'!$B$12)))</f>
        <v/>
      </c>
      <c r="V861" s="23" t="n"/>
    </row>
    <row r="862">
      <c r="A862" s="23" t="n"/>
      <c r="B862" s="23" t="n"/>
      <c r="C862" s="24" t="n"/>
      <c r="D862" s="15" t="n"/>
      <c r="E862" s="23" t="n"/>
      <c r="F862" s="15" t="n"/>
      <c r="G862" s="23" t="n"/>
      <c r="H862" s="25" t="n"/>
      <c r="I862" s="15" t="n"/>
      <c r="J862" s="26">
        <f>IF($A862="","",LEN($C862)-LEN(SUBSTITUTE($C862,",",""))+1)</f>
        <v/>
      </c>
      <c r="K862" s="26">
        <f>IF($A862="","",SUMPRODUCT(--ISNUMBER(SEARCH('Category Dictionary'!$D$5:$D$135&amp;"",$C862)),--('Category Dictionary'!$D$5:$D$135&lt;&gt;"")))</f>
        <v/>
      </c>
      <c r="L862" s="27">
        <f>IF($A862="","",TRIM(IF(ISERROR(FIND(",",$C862)),$C862,LEFT($C862,FIND(",",$C862)-1))))</f>
        <v/>
      </c>
      <c r="M862" s="28">
        <f>IF($H862="","",DATE(YEAR($H862),MONTH($H862),1))</f>
        <v/>
      </c>
      <c r="N862" s="26">
        <f>IF($H862="","",TODAY()-$H862)</f>
        <v/>
      </c>
      <c r="O862" s="15" t="n"/>
      <c r="P862" s="26">
        <f>IF($A862="","",COUNTIFS('Audit Versions'!$A$6:$A$605,$A862,'Audit Versions'!$L$6:$L$605,"Active"))</f>
        <v/>
      </c>
      <c r="Q862" s="15" t="n"/>
      <c r="R862" s="26">
        <f>IF(OR($A862="",$P862=0),"",MOD(N($Q862),$P862)+1)</f>
        <v/>
      </c>
      <c r="S862" s="15" t="n"/>
      <c r="T862" s="25" t="n"/>
      <c r="U862" s="26">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Builder'!$B$12="",N($S862)&lt;='Assignment Builder'!$B$12)))</f>
        <v/>
      </c>
      <c r="V862" s="23" t="n"/>
    </row>
    <row r="863">
      <c r="A863" s="23" t="n"/>
      <c r="B863" s="23" t="n"/>
      <c r="C863" s="24" t="n"/>
      <c r="D863" s="15" t="n"/>
      <c r="E863" s="23" t="n"/>
      <c r="F863" s="15" t="n"/>
      <c r="G863" s="23" t="n"/>
      <c r="H863" s="25" t="n"/>
      <c r="I863" s="15" t="n"/>
      <c r="J863" s="26">
        <f>IF($A863="","",LEN($C863)-LEN(SUBSTITUTE($C863,",",""))+1)</f>
        <v/>
      </c>
      <c r="K863" s="26">
        <f>IF($A863="","",SUMPRODUCT(--ISNUMBER(SEARCH('Category Dictionary'!$D$5:$D$135&amp;"",$C863)),--('Category Dictionary'!$D$5:$D$135&lt;&gt;"")))</f>
        <v/>
      </c>
      <c r="L863" s="27">
        <f>IF($A863="","",TRIM(IF(ISERROR(FIND(",",$C863)),$C863,LEFT($C863,FIND(",",$C863)-1))))</f>
        <v/>
      </c>
      <c r="M863" s="28">
        <f>IF($H863="","",DATE(YEAR($H863),MONTH($H863),1))</f>
        <v/>
      </c>
      <c r="N863" s="26">
        <f>IF($H863="","",TODAY()-$H863)</f>
        <v/>
      </c>
      <c r="O863" s="15" t="n"/>
      <c r="P863" s="26">
        <f>IF($A863="","",COUNTIFS('Audit Versions'!$A$6:$A$605,$A863,'Audit Versions'!$L$6:$L$605,"Active"))</f>
        <v/>
      </c>
      <c r="Q863" s="15" t="n"/>
      <c r="R863" s="26">
        <f>IF(OR($A863="",$P863=0),"",MOD(N($Q863),$P863)+1)</f>
        <v/>
      </c>
      <c r="S863" s="15" t="n"/>
      <c r="T863" s="25" t="n"/>
      <c r="U863" s="26">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Builder'!$B$12="",N($S863)&lt;='Assignment Builder'!$B$12)))</f>
        <v/>
      </c>
      <c r="V863" s="23" t="n"/>
    </row>
    <row r="864">
      <c r="A864" s="23" t="n"/>
      <c r="B864" s="23" t="n"/>
      <c r="C864" s="24" t="n"/>
      <c r="D864" s="15" t="n"/>
      <c r="E864" s="23" t="n"/>
      <c r="F864" s="15" t="n"/>
      <c r="G864" s="23" t="n"/>
      <c r="H864" s="25" t="n"/>
      <c r="I864" s="15" t="n"/>
      <c r="J864" s="26">
        <f>IF($A864="","",LEN($C864)-LEN(SUBSTITUTE($C864,",",""))+1)</f>
        <v/>
      </c>
      <c r="K864" s="26">
        <f>IF($A864="","",SUMPRODUCT(--ISNUMBER(SEARCH('Category Dictionary'!$D$5:$D$135&amp;"",$C864)),--('Category Dictionary'!$D$5:$D$135&lt;&gt;"")))</f>
        <v/>
      </c>
      <c r="L864" s="27">
        <f>IF($A864="","",TRIM(IF(ISERROR(FIND(",",$C864)),$C864,LEFT($C864,FIND(",",$C864)-1))))</f>
        <v/>
      </c>
      <c r="M864" s="28">
        <f>IF($H864="","",DATE(YEAR($H864),MONTH($H864),1))</f>
        <v/>
      </c>
      <c r="N864" s="26">
        <f>IF($H864="","",TODAY()-$H864)</f>
        <v/>
      </c>
      <c r="O864" s="15" t="n"/>
      <c r="P864" s="26">
        <f>IF($A864="","",COUNTIFS('Audit Versions'!$A$6:$A$605,$A864,'Audit Versions'!$L$6:$L$605,"Active"))</f>
        <v/>
      </c>
      <c r="Q864" s="15" t="n"/>
      <c r="R864" s="26">
        <f>IF(OR($A864="",$P864=0),"",MOD(N($Q864),$P864)+1)</f>
        <v/>
      </c>
      <c r="S864" s="15" t="n"/>
      <c r="T864" s="25" t="n"/>
      <c r="U864" s="26">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Builder'!$B$12="",N($S864)&lt;='Assignment Builder'!$B$12)))</f>
        <v/>
      </c>
      <c r="V864" s="23" t="n"/>
    </row>
    <row r="865">
      <c r="A865" s="23" t="n"/>
      <c r="B865" s="23" t="n"/>
      <c r="C865" s="24" t="n"/>
      <c r="D865" s="15" t="n"/>
      <c r="E865" s="23" t="n"/>
      <c r="F865" s="15" t="n"/>
      <c r="G865" s="23" t="n"/>
      <c r="H865" s="25" t="n"/>
      <c r="I865" s="15" t="n"/>
      <c r="J865" s="26">
        <f>IF($A865="","",LEN($C865)-LEN(SUBSTITUTE($C865,",",""))+1)</f>
        <v/>
      </c>
      <c r="K865" s="26">
        <f>IF($A865="","",SUMPRODUCT(--ISNUMBER(SEARCH('Category Dictionary'!$D$5:$D$135&amp;"",$C865)),--('Category Dictionary'!$D$5:$D$135&lt;&gt;"")))</f>
        <v/>
      </c>
      <c r="L865" s="27">
        <f>IF($A865="","",TRIM(IF(ISERROR(FIND(",",$C865)),$C865,LEFT($C865,FIND(",",$C865)-1))))</f>
        <v/>
      </c>
      <c r="M865" s="28">
        <f>IF($H865="","",DATE(YEAR($H865),MONTH($H865),1))</f>
        <v/>
      </c>
      <c r="N865" s="26">
        <f>IF($H865="","",TODAY()-$H865)</f>
        <v/>
      </c>
      <c r="O865" s="15" t="n"/>
      <c r="P865" s="26">
        <f>IF($A865="","",COUNTIFS('Audit Versions'!$A$6:$A$605,$A865,'Audit Versions'!$L$6:$L$605,"Active"))</f>
        <v/>
      </c>
      <c r="Q865" s="15" t="n"/>
      <c r="R865" s="26">
        <f>IF(OR($A865="",$P865=0),"",MOD(N($Q865),$P865)+1)</f>
        <v/>
      </c>
      <c r="S865" s="15" t="n"/>
      <c r="T865" s="25" t="n"/>
      <c r="U865" s="26">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Builder'!$B$12="",N($S865)&lt;='Assignment Builder'!$B$12)))</f>
        <v/>
      </c>
      <c r="V865" s="23" t="n"/>
    </row>
    <row r="866">
      <c r="A866" s="23" t="n"/>
      <c r="B866" s="23" t="n"/>
      <c r="C866" s="24" t="n"/>
      <c r="D866" s="15" t="n"/>
      <c r="E866" s="23" t="n"/>
      <c r="F866" s="15" t="n"/>
      <c r="G866" s="23" t="n"/>
      <c r="H866" s="25" t="n"/>
      <c r="I866" s="15" t="n"/>
      <c r="J866" s="26">
        <f>IF($A866="","",LEN($C866)-LEN(SUBSTITUTE($C866,",",""))+1)</f>
        <v/>
      </c>
      <c r="K866" s="26">
        <f>IF($A866="","",SUMPRODUCT(--ISNUMBER(SEARCH('Category Dictionary'!$D$5:$D$135&amp;"",$C866)),--('Category Dictionary'!$D$5:$D$135&lt;&gt;"")))</f>
        <v/>
      </c>
      <c r="L866" s="27">
        <f>IF($A866="","",TRIM(IF(ISERROR(FIND(",",$C866)),$C866,LEFT($C866,FIND(",",$C866)-1))))</f>
        <v/>
      </c>
      <c r="M866" s="28">
        <f>IF($H866="","",DATE(YEAR($H866),MONTH($H866),1))</f>
        <v/>
      </c>
      <c r="N866" s="26">
        <f>IF($H866="","",TODAY()-$H866)</f>
        <v/>
      </c>
      <c r="O866" s="15" t="n"/>
      <c r="P866" s="26">
        <f>IF($A866="","",COUNTIFS('Audit Versions'!$A$6:$A$605,$A866,'Audit Versions'!$L$6:$L$605,"Active"))</f>
        <v/>
      </c>
      <c r="Q866" s="15" t="n"/>
      <c r="R866" s="26">
        <f>IF(OR($A866="",$P866=0),"",MOD(N($Q866),$P866)+1)</f>
        <v/>
      </c>
      <c r="S866" s="15" t="n"/>
      <c r="T866" s="25" t="n"/>
      <c r="U866" s="26">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Builder'!$B$12="",N($S866)&lt;='Assignment Builder'!$B$12)))</f>
        <v/>
      </c>
      <c r="V866" s="23" t="n"/>
    </row>
    <row r="867">
      <c r="A867" s="23" t="n"/>
      <c r="B867" s="23" t="n"/>
      <c r="C867" s="24" t="n"/>
      <c r="D867" s="15" t="n"/>
      <c r="E867" s="23" t="n"/>
      <c r="F867" s="15" t="n"/>
      <c r="G867" s="23" t="n"/>
      <c r="H867" s="25" t="n"/>
      <c r="I867" s="15" t="n"/>
      <c r="J867" s="26">
        <f>IF($A867="","",LEN($C867)-LEN(SUBSTITUTE($C867,",",""))+1)</f>
        <v/>
      </c>
      <c r="K867" s="26">
        <f>IF($A867="","",SUMPRODUCT(--ISNUMBER(SEARCH('Category Dictionary'!$D$5:$D$135&amp;"",$C867)),--('Category Dictionary'!$D$5:$D$135&lt;&gt;"")))</f>
        <v/>
      </c>
      <c r="L867" s="27">
        <f>IF($A867="","",TRIM(IF(ISERROR(FIND(",",$C867)),$C867,LEFT($C867,FIND(",",$C867)-1))))</f>
        <v/>
      </c>
      <c r="M867" s="28">
        <f>IF($H867="","",DATE(YEAR($H867),MONTH($H867),1))</f>
        <v/>
      </c>
      <c r="N867" s="26">
        <f>IF($H867="","",TODAY()-$H867)</f>
        <v/>
      </c>
      <c r="O867" s="15" t="n"/>
      <c r="P867" s="26">
        <f>IF($A867="","",COUNTIFS('Audit Versions'!$A$6:$A$605,$A867,'Audit Versions'!$L$6:$L$605,"Active"))</f>
        <v/>
      </c>
      <c r="Q867" s="15" t="n"/>
      <c r="R867" s="26">
        <f>IF(OR($A867="",$P867=0),"",MOD(N($Q867),$P867)+1)</f>
        <v/>
      </c>
      <c r="S867" s="15" t="n"/>
      <c r="T867" s="25" t="n"/>
      <c r="U867" s="26">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Builder'!$B$12="",N($S867)&lt;='Assignment Builder'!$B$12)))</f>
        <v/>
      </c>
      <c r="V867" s="23" t="n"/>
    </row>
    <row r="868">
      <c r="A868" s="23" t="n"/>
      <c r="B868" s="23" t="n"/>
      <c r="C868" s="24" t="n"/>
      <c r="D868" s="15" t="n"/>
      <c r="E868" s="23" t="n"/>
      <c r="F868" s="15" t="n"/>
      <c r="G868" s="23" t="n"/>
      <c r="H868" s="25" t="n"/>
      <c r="I868" s="15" t="n"/>
      <c r="J868" s="26">
        <f>IF($A868="","",LEN($C868)-LEN(SUBSTITUTE($C868,",",""))+1)</f>
        <v/>
      </c>
      <c r="K868" s="26">
        <f>IF($A868="","",SUMPRODUCT(--ISNUMBER(SEARCH('Category Dictionary'!$D$5:$D$135&amp;"",$C868)),--('Category Dictionary'!$D$5:$D$135&lt;&gt;"")))</f>
        <v/>
      </c>
      <c r="L868" s="27">
        <f>IF($A868="","",TRIM(IF(ISERROR(FIND(",",$C868)),$C868,LEFT($C868,FIND(",",$C868)-1))))</f>
        <v/>
      </c>
      <c r="M868" s="28">
        <f>IF($H868="","",DATE(YEAR($H868),MONTH($H868),1))</f>
        <v/>
      </c>
      <c r="N868" s="26">
        <f>IF($H868="","",TODAY()-$H868)</f>
        <v/>
      </c>
      <c r="O868" s="15" t="n"/>
      <c r="P868" s="26">
        <f>IF($A868="","",COUNTIFS('Audit Versions'!$A$6:$A$605,$A868,'Audit Versions'!$L$6:$L$605,"Active"))</f>
        <v/>
      </c>
      <c r="Q868" s="15" t="n"/>
      <c r="R868" s="26">
        <f>IF(OR($A868="",$P868=0),"",MOD(N($Q868),$P868)+1)</f>
        <v/>
      </c>
      <c r="S868" s="15" t="n"/>
      <c r="T868" s="25" t="n"/>
      <c r="U868" s="26">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Builder'!$B$12="",N($S868)&lt;='Assignment Builder'!$B$12)))</f>
        <v/>
      </c>
      <c r="V868" s="23" t="n"/>
    </row>
    <row r="869">
      <c r="A869" s="23" t="n"/>
      <c r="B869" s="23" t="n"/>
      <c r="C869" s="24" t="n"/>
      <c r="D869" s="15" t="n"/>
      <c r="E869" s="23" t="n"/>
      <c r="F869" s="15" t="n"/>
      <c r="G869" s="23" t="n"/>
      <c r="H869" s="25" t="n"/>
      <c r="I869" s="15" t="n"/>
      <c r="J869" s="26">
        <f>IF($A869="","",LEN($C869)-LEN(SUBSTITUTE($C869,",",""))+1)</f>
        <v/>
      </c>
      <c r="K869" s="26">
        <f>IF($A869="","",SUMPRODUCT(--ISNUMBER(SEARCH('Category Dictionary'!$D$5:$D$135&amp;"",$C869)),--('Category Dictionary'!$D$5:$D$135&lt;&gt;"")))</f>
        <v/>
      </c>
      <c r="L869" s="27">
        <f>IF($A869="","",TRIM(IF(ISERROR(FIND(",",$C869)),$C869,LEFT($C869,FIND(",",$C869)-1))))</f>
        <v/>
      </c>
      <c r="M869" s="28">
        <f>IF($H869="","",DATE(YEAR($H869),MONTH($H869),1))</f>
        <v/>
      </c>
      <c r="N869" s="26">
        <f>IF($H869="","",TODAY()-$H869)</f>
        <v/>
      </c>
      <c r="O869" s="15" t="n"/>
      <c r="P869" s="26">
        <f>IF($A869="","",COUNTIFS('Audit Versions'!$A$6:$A$605,$A869,'Audit Versions'!$L$6:$L$605,"Active"))</f>
        <v/>
      </c>
      <c r="Q869" s="15" t="n"/>
      <c r="R869" s="26">
        <f>IF(OR($A869="",$P869=0),"",MOD(N($Q869),$P869)+1)</f>
        <v/>
      </c>
      <c r="S869" s="15" t="n"/>
      <c r="T869" s="25" t="n"/>
      <c r="U869" s="26">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Builder'!$B$12="",N($S869)&lt;='Assignment Builder'!$B$12)))</f>
        <v/>
      </c>
      <c r="V869" s="23" t="n"/>
    </row>
    <row r="870">
      <c r="A870" s="23" t="n"/>
      <c r="B870" s="23" t="n"/>
      <c r="C870" s="24" t="n"/>
      <c r="D870" s="15" t="n"/>
      <c r="E870" s="23" t="n"/>
      <c r="F870" s="15" t="n"/>
      <c r="G870" s="23" t="n"/>
      <c r="H870" s="25" t="n"/>
      <c r="I870" s="15" t="n"/>
      <c r="J870" s="26">
        <f>IF($A870="","",LEN($C870)-LEN(SUBSTITUTE($C870,",",""))+1)</f>
        <v/>
      </c>
      <c r="K870" s="26">
        <f>IF($A870="","",SUMPRODUCT(--ISNUMBER(SEARCH('Category Dictionary'!$D$5:$D$135&amp;"",$C870)),--('Category Dictionary'!$D$5:$D$135&lt;&gt;"")))</f>
        <v/>
      </c>
      <c r="L870" s="27">
        <f>IF($A870="","",TRIM(IF(ISERROR(FIND(",",$C870)),$C870,LEFT($C870,FIND(",",$C870)-1))))</f>
        <v/>
      </c>
      <c r="M870" s="28">
        <f>IF($H870="","",DATE(YEAR($H870),MONTH($H870),1))</f>
        <v/>
      </c>
      <c r="N870" s="26">
        <f>IF($H870="","",TODAY()-$H870)</f>
        <v/>
      </c>
      <c r="O870" s="15" t="n"/>
      <c r="P870" s="26">
        <f>IF($A870="","",COUNTIFS('Audit Versions'!$A$6:$A$605,$A870,'Audit Versions'!$L$6:$L$605,"Active"))</f>
        <v/>
      </c>
      <c r="Q870" s="15" t="n"/>
      <c r="R870" s="26">
        <f>IF(OR($A870="",$P870=0),"",MOD(N($Q870),$P870)+1)</f>
        <v/>
      </c>
      <c r="S870" s="15" t="n"/>
      <c r="T870" s="25" t="n"/>
      <c r="U870" s="26">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Builder'!$B$12="",N($S870)&lt;='Assignment Builder'!$B$12)))</f>
        <v/>
      </c>
      <c r="V870" s="23" t="n"/>
    </row>
    <row r="871">
      <c r="A871" s="23" t="n"/>
      <c r="B871" s="23" t="n"/>
      <c r="C871" s="24" t="n"/>
      <c r="D871" s="15" t="n"/>
      <c r="E871" s="23" t="n"/>
      <c r="F871" s="15" t="n"/>
      <c r="G871" s="23" t="n"/>
      <c r="H871" s="25" t="n"/>
      <c r="I871" s="15" t="n"/>
      <c r="J871" s="26">
        <f>IF($A871="","",LEN($C871)-LEN(SUBSTITUTE($C871,",",""))+1)</f>
        <v/>
      </c>
      <c r="K871" s="26">
        <f>IF($A871="","",SUMPRODUCT(--ISNUMBER(SEARCH('Category Dictionary'!$D$5:$D$135&amp;"",$C871)),--('Category Dictionary'!$D$5:$D$135&lt;&gt;"")))</f>
        <v/>
      </c>
      <c r="L871" s="27">
        <f>IF($A871="","",TRIM(IF(ISERROR(FIND(",",$C871)),$C871,LEFT($C871,FIND(",",$C871)-1))))</f>
        <v/>
      </c>
      <c r="M871" s="28">
        <f>IF($H871="","",DATE(YEAR($H871),MONTH($H871),1))</f>
        <v/>
      </c>
      <c r="N871" s="26">
        <f>IF($H871="","",TODAY()-$H871)</f>
        <v/>
      </c>
      <c r="O871" s="15" t="n"/>
      <c r="P871" s="26">
        <f>IF($A871="","",COUNTIFS('Audit Versions'!$A$6:$A$605,$A871,'Audit Versions'!$L$6:$L$605,"Active"))</f>
        <v/>
      </c>
      <c r="Q871" s="15" t="n"/>
      <c r="R871" s="26">
        <f>IF(OR($A871="",$P871=0),"",MOD(N($Q871),$P871)+1)</f>
        <v/>
      </c>
      <c r="S871" s="15" t="n"/>
      <c r="T871" s="25" t="n"/>
      <c r="U871" s="26">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Builder'!$B$12="",N($S871)&lt;='Assignment Builder'!$B$12)))</f>
        <v/>
      </c>
      <c r="V871" s="23" t="n"/>
    </row>
    <row r="872">
      <c r="A872" s="23" t="n"/>
      <c r="B872" s="23" t="n"/>
      <c r="C872" s="24" t="n"/>
      <c r="D872" s="15" t="n"/>
      <c r="E872" s="23" t="n"/>
      <c r="F872" s="15" t="n"/>
      <c r="G872" s="23" t="n"/>
      <c r="H872" s="25" t="n"/>
      <c r="I872" s="15" t="n"/>
      <c r="J872" s="26">
        <f>IF($A872="","",LEN($C872)-LEN(SUBSTITUTE($C872,",",""))+1)</f>
        <v/>
      </c>
      <c r="K872" s="26">
        <f>IF($A872="","",SUMPRODUCT(--ISNUMBER(SEARCH('Category Dictionary'!$D$5:$D$135&amp;"",$C872)),--('Category Dictionary'!$D$5:$D$135&lt;&gt;"")))</f>
        <v/>
      </c>
      <c r="L872" s="27">
        <f>IF($A872="","",TRIM(IF(ISERROR(FIND(",",$C872)),$C872,LEFT($C872,FIND(",",$C872)-1))))</f>
        <v/>
      </c>
      <c r="M872" s="28">
        <f>IF($H872="","",DATE(YEAR($H872),MONTH($H872),1))</f>
        <v/>
      </c>
      <c r="N872" s="26">
        <f>IF($H872="","",TODAY()-$H872)</f>
        <v/>
      </c>
      <c r="O872" s="15" t="n"/>
      <c r="P872" s="26">
        <f>IF($A872="","",COUNTIFS('Audit Versions'!$A$6:$A$605,$A872,'Audit Versions'!$L$6:$L$605,"Active"))</f>
        <v/>
      </c>
      <c r="Q872" s="15" t="n"/>
      <c r="R872" s="26">
        <f>IF(OR($A872="",$P872=0),"",MOD(N($Q872),$P872)+1)</f>
        <v/>
      </c>
      <c r="S872" s="15" t="n"/>
      <c r="T872" s="25" t="n"/>
      <c r="U872" s="26">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Builder'!$B$12="",N($S872)&lt;='Assignment Builder'!$B$12)))</f>
        <v/>
      </c>
      <c r="V872" s="23" t="n"/>
    </row>
    <row r="873">
      <c r="A873" s="23" t="n"/>
      <c r="B873" s="23" t="n"/>
      <c r="C873" s="24" t="n"/>
      <c r="D873" s="15" t="n"/>
      <c r="E873" s="23" t="n"/>
      <c r="F873" s="15" t="n"/>
      <c r="G873" s="23" t="n"/>
      <c r="H873" s="25" t="n"/>
      <c r="I873" s="15" t="n"/>
      <c r="J873" s="26">
        <f>IF($A873="","",LEN($C873)-LEN(SUBSTITUTE($C873,",",""))+1)</f>
        <v/>
      </c>
      <c r="K873" s="26">
        <f>IF($A873="","",SUMPRODUCT(--ISNUMBER(SEARCH('Category Dictionary'!$D$5:$D$135&amp;"",$C873)),--('Category Dictionary'!$D$5:$D$135&lt;&gt;"")))</f>
        <v/>
      </c>
      <c r="L873" s="27">
        <f>IF($A873="","",TRIM(IF(ISERROR(FIND(",",$C873)),$C873,LEFT($C873,FIND(",",$C873)-1))))</f>
        <v/>
      </c>
      <c r="M873" s="28">
        <f>IF($H873="","",DATE(YEAR($H873),MONTH($H873),1))</f>
        <v/>
      </c>
      <c r="N873" s="26">
        <f>IF($H873="","",TODAY()-$H873)</f>
        <v/>
      </c>
      <c r="O873" s="15" t="n"/>
      <c r="P873" s="26">
        <f>IF($A873="","",COUNTIFS('Audit Versions'!$A$6:$A$605,$A873,'Audit Versions'!$L$6:$L$605,"Active"))</f>
        <v/>
      </c>
      <c r="Q873" s="15" t="n"/>
      <c r="R873" s="26">
        <f>IF(OR($A873="",$P873=0),"",MOD(N($Q873),$P873)+1)</f>
        <v/>
      </c>
      <c r="S873" s="15" t="n"/>
      <c r="T873" s="25" t="n"/>
      <c r="U873" s="26">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Builder'!$B$12="",N($S873)&lt;='Assignment Builder'!$B$12)))</f>
        <v/>
      </c>
      <c r="V873" s="23" t="n"/>
    </row>
    <row r="874">
      <c r="A874" s="23" t="n"/>
      <c r="B874" s="23" t="n"/>
      <c r="C874" s="24" t="n"/>
      <c r="D874" s="15" t="n"/>
      <c r="E874" s="23" t="n"/>
      <c r="F874" s="15" t="n"/>
      <c r="G874" s="23" t="n"/>
      <c r="H874" s="25" t="n"/>
      <c r="I874" s="15" t="n"/>
      <c r="J874" s="26">
        <f>IF($A874="","",LEN($C874)-LEN(SUBSTITUTE($C874,",",""))+1)</f>
        <v/>
      </c>
      <c r="K874" s="26">
        <f>IF($A874="","",SUMPRODUCT(--ISNUMBER(SEARCH('Category Dictionary'!$D$5:$D$135&amp;"",$C874)),--('Category Dictionary'!$D$5:$D$135&lt;&gt;"")))</f>
        <v/>
      </c>
      <c r="L874" s="27">
        <f>IF($A874="","",TRIM(IF(ISERROR(FIND(",",$C874)),$C874,LEFT($C874,FIND(",",$C874)-1))))</f>
        <v/>
      </c>
      <c r="M874" s="28">
        <f>IF($H874="","",DATE(YEAR($H874),MONTH($H874),1))</f>
        <v/>
      </c>
      <c r="N874" s="26">
        <f>IF($H874="","",TODAY()-$H874)</f>
        <v/>
      </c>
      <c r="O874" s="15" t="n"/>
      <c r="P874" s="26">
        <f>IF($A874="","",COUNTIFS('Audit Versions'!$A$6:$A$605,$A874,'Audit Versions'!$L$6:$L$605,"Active"))</f>
        <v/>
      </c>
      <c r="Q874" s="15" t="n"/>
      <c r="R874" s="26">
        <f>IF(OR($A874="",$P874=0),"",MOD(N($Q874),$P874)+1)</f>
        <v/>
      </c>
      <c r="S874" s="15" t="n"/>
      <c r="T874" s="25" t="n"/>
      <c r="U874" s="26">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Builder'!$B$12="",N($S874)&lt;='Assignment Builder'!$B$12)))</f>
        <v/>
      </c>
      <c r="V874" s="23" t="n"/>
    </row>
    <row r="875">
      <c r="A875" s="23" t="n"/>
      <c r="B875" s="23" t="n"/>
      <c r="C875" s="24" t="n"/>
      <c r="D875" s="15" t="n"/>
      <c r="E875" s="23" t="n"/>
      <c r="F875" s="15" t="n"/>
      <c r="G875" s="23" t="n"/>
      <c r="H875" s="25" t="n"/>
      <c r="I875" s="15" t="n"/>
      <c r="J875" s="26">
        <f>IF($A875="","",LEN($C875)-LEN(SUBSTITUTE($C875,",",""))+1)</f>
        <v/>
      </c>
      <c r="K875" s="26">
        <f>IF($A875="","",SUMPRODUCT(--ISNUMBER(SEARCH('Category Dictionary'!$D$5:$D$135&amp;"",$C875)),--('Category Dictionary'!$D$5:$D$135&lt;&gt;"")))</f>
        <v/>
      </c>
      <c r="L875" s="27">
        <f>IF($A875="","",TRIM(IF(ISERROR(FIND(",",$C875)),$C875,LEFT($C875,FIND(",",$C875)-1))))</f>
        <v/>
      </c>
      <c r="M875" s="28">
        <f>IF($H875="","",DATE(YEAR($H875),MONTH($H875),1))</f>
        <v/>
      </c>
      <c r="N875" s="26">
        <f>IF($H875="","",TODAY()-$H875)</f>
        <v/>
      </c>
      <c r="O875" s="15" t="n"/>
      <c r="P875" s="26">
        <f>IF($A875="","",COUNTIFS('Audit Versions'!$A$6:$A$605,$A875,'Audit Versions'!$L$6:$L$605,"Active"))</f>
        <v/>
      </c>
      <c r="Q875" s="15" t="n"/>
      <c r="R875" s="26">
        <f>IF(OR($A875="",$P875=0),"",MOD(N($Q875),$P875)+1)</f>
        <v/>
      </c>
      <c r="S875" s="15" t="n"/>
      <c r="T875" s="25" t="n"/>
      <c r="U875" s="26">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Builder'!$B$12="",N($S875)&lt;='Assignment Builder'!$B$12)))</f>
        <v/>
      </c>
      <c r="V875" s="23" t="n"/>
    </row>
    <row r="876">
      <c r="A876" s="23" t="n"/>
      <c r="B876" s="23" t="n"/>
      <c r="C876" s="24" t="n"/>
      <c r="D876" s="15" t="n"/>
      <c r="E876" s="23" t="n"/>
      <c r="F876" s="15" t="n"/>
      <c r="G876" s="23" t="n"/>
      <c r="H876" s="25" t="n"/>
      <c r="I876" s="15" t="n"/>
      <c r="J876" s="26">
        <f>IF($A876="","",LEN($C876)-LEN(SUBSTITUTE($C876,",",""))+1)</f>
        <v/>
      </c>
      <c r="K876" s="26">
        <f>IF($A876="","",SUMPRODUCT(--ISNUMBER(SEARCH('Category Dictionary'!$D$5:$D$135&amp;"",$C876)),--('Category Dictionary'!$D$5:$D$135&lt;&gt;"")))</f>
        <v/>
      </c>
      <c r="L876" s="27">
        <f>IF($A876="","",TRIM(IF(ISERROR(FIND(",",$C876)),$C876,LEFT($C876,FIND(",",$C876)-1))))</f>
        <v/>
      </c>
      <c r="M876" s="28">
        <f>IF($H876="","",DATE(YEAR($H876),MONTH($H876),1))</f>
        <v/>
      </c>
      <c r="N876" s="26">
        <f>IF($H876="","",TODAY()-$H876)</f>
        <v/>
      </c>
      <c r="O876" s="15" t="n"/>
      <c r="P876" s="26">
        <f>IF($A876="","",COUNTIFS('Audit Versions'!$A$6:$A$605,$A876,'Audit Versions'!$L$6:$L$605,"Active"))</f>
        <v/>
      </c>
      <c r="Q876" s="15" t="n"/>
      <c r="R876" s="26">
        <f>IF(OR($A876="",$P876=0),"",MOD(N($Q876),$P876)+1)</f>
        <v/>
      </c>
      <c r="S876" s="15" t="n"/>
      <c r="T876" s="25" t="n"/>
      <c r="U876" s="26">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Builder'!$B$12="",N($S876)&lt;='Assignment Builder'!$B$12)))</f>
        <v/>
      </c>
      <c r="V876" s="23" t="n"/>
    </row>
    <row r="877">
      <c r="A877" s="23" t="n"/>
      <c r="B877" s="23" t="n"/>
      <c r="C877" s="24" t="n"/>
      <c r="D877" s="15" t="n"/>
      <c r="E877" s="23" t="n"/>
      <c r="F877" s="15" t="n"/>
      <c r="G877" s="23" t="n"/>
      <c r="H877" s="25" t="n"/>
      <c r="I877" s="15" t="n"/>
      <c r="J877" s="26">
        <f>IF($A877="","",LEN($C877)-LEN(SUBSTITUTE($C877,",",""))+1)</f>
        <v/>
      </c>
      <c r="K877" s="26">
        <f>IF($A877="","",SUMPRODUCT(--ISNUMBER(SEARCH('Category Dictionary'!$D$5:$D$135&amp;"",$C877)),--('Category Dictionary'!$D$5:$D$135&lt;&gt;"")))</f>
        <v/>
      </c>
      <c r="L877" s="27">
        <f>IF($A877="","",TRIM(IF(ISERROR(FIND(",",$C877)),$C877,LEFT($C877,FIND(",",$C877)-1))))</f>
        <v/>
      </c>
      <c r="M877" s="28">
        <f>IF($H877="","",DATE(YEAR($H877),MONTH($H877),1))</f>
        <v/>
      </c>
      <c r="N877" s="26">
        <f>IF($H877="","",TODAY()-$H877)</f>
        <v/>
      </c>
      <c r="O877" s="15" t="n"/>
      <c r="P877" s="26">
        <f>IF($A877="","",COUNTIFS('Audit Versions'!$A$6:$A$605,$A877,'Audit Versions'!$L$6:$L$605,"Active"))</f>
        <v/>
      </c>
      <c r="Q877" s="15" t="n"/>
      <c r="R877" s="26">
        <f>IF(OR($A877="",$P877=0),"",MOD(N($Q877),$P877)+1)</f>
        <v/>
      </c>
      <c r="S877" s="15" t="n"/>
      <c r="T877" s="25" t="n"/>
      <c r="U877" s="26">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Builder'!$B$12="",N($S877)&lt;='Assignment Builder'!$B$12)))</f>
        <v/>
      </c>
      <c r="V877" s="23" t="n"/>
    </row>
    <row r="878">
      <c r="A878" s="23" t="n"/>
      <c r="B878" s="23" t="n"/>
      <c r="C878" s="24" t="n"/>
      <c r="D878" s="15" t="n"/>
      <c r="E878" s="23" t="n"/>
      <c r="F878" s="15" t="n"/>
      <c r="G878" s="23" t="n"/>
      <c r="H878" s="25" t="n"/>
      <c r="I878" s="15" t="n"/>
      <c r="J878" s="26">
        <f>IF($A878="","",LEN($C878)-LEN(SUBSTITUTE($C878,",",""))+1)</f>
        <v/>
      </c>
      <c r="K878" s="26">
        <f>IF($A878="","",SUMPRODUCT(--ISNUMBER(SEARCH('Category Dictionary'!$D$5:$D$135&amp;"",$C878)),--('Category Dictionary'!$D$5:$D$135&lt;&gt;"")))</f>
        <v/>
      </c>
      <c r="L878" s="27">
        <f>IF($A878="","",TRIM(IF(ISERROR(FIND(",",$C878)),$C878,LEFT($C878,FIND(",",$C878)-1))))</f>
        <v/>
      </c>
      <c r="M878" s="28">
        <f>IF($H878="","",DATE(YEAR($H878),MONTH($H878),1))</f>
        <v/>
      </c>
      <c r="N878" s="26">
        <f>IF($H878="","",TODAY()-$H878)</f>
        <v/>
      </c>
      <c r="O878" s="15" t="n"/>
      <c r="P878" s="26">
        <f>IF($A878="","",COUNTIFS('Audit Versions'!$A$6:$A$605,$A878,'Audit Versions'!$L$6:$L$605,"Active"))</f>
        <v/>
      </c>
      <c r="Q878" s="15" t="n"/>
      <c r="R878" s="26">
        <f>IF(OR($A878="",$P878=0),"",MOD(N($Q878),$P878)+1)</f>
        <v/>
      </c>
      <c r="S878" s="15" t="n"/>
      <c r="T878" s="25" t="n"/>
      <c r="U878" s="26">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Builder'!$B$12="",N($S878)&lt;='Assignment Builder'!$B$12)))</f>
        <v/>
      </c>
      <c r="V878" s="23" t="n"/>
    </row>
    <row r="879">
      <c r="A879" s="23" t="n"/>
      <c r="B879" s="23" t="n"/>
      <c r="C879" s="24" t="n"/>
      <c r="D879" s="15" t="n"/>
      <c r="E879" s="23" t="n"/>
      <c r="F879" s="15" t="n"/>
      <c r="G879" s="23" t="n"/>
      <c r="H879" s="25" t="n"/>
      <c r="I879" s="15" t="n"/>
      <c r="J879" s="26">
        <f>IF($A879="","",LEN($C879)-LEN(SUBSTITUTE($C879,",",""))+1)</f>
        <v/>
      </c>
      <c r="K879" s="26">
        <f>IF($A879="","",SUMPRODUCT(--ISNUMBER(SEARCH('Category Dictionary'!$D$5:$D$135&amp;"",$C879)),--('Category Dictionary'!$D$5:$D$135&lt;&gt;"")))</f>
        <v/>
      </c>
      <c r="L879" s="27">
        <f>IF($A879="","",TRIM(IF(ISERROR(FIND(",",$C879)),$C879,LEFT($C879,FIND(",",$C879)-1))))</f>
        <v/>
      </c>
      <c r="M879" s="28">
        <f>IF($H879="","",DATE(YEAR($H879),MONTH($H879),1))</f>
        <v/>
      </c>
      <c r="N879" s="26">
        <f>IF($H879="","",TODAY()-$H879)</f>
        <v/>
      </c>
      <c r="O879" s="15" t="n"/>
      <c r="P879" s="26">
        <f>IF($A879="","",COUNTIFS('Audit Versions'!$A$6:$A$605,$A879,'Audit Versions'!$L$6:$L$605,"Active"))</f>
        <v/>
      </c>
      <c r="Q879" s="15" t="n"/>
      <c r="R879" s="26">
        <f>IF(OR($A879="",$P879=0),"",MOD(N($Q879),$P879)+1)</f>
        <v/>
      </c>
      <c r="S879" s="15" t="n"/>
      <c r="T879" s="25" t="n"/>
      <c r="U879" s="26">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Builder'!$B$12="",N($S879)&lt;='Assignment Builder'!$B$12)))</f>
        <v/>
      </c>
      <c r="V879" s="23" t="n"/>
    </row>
    <row r="880">
      <c r="A880" s="23" t="n"/>
      <c r="B880" s="23" t="n"/>
      <c r="C880" s="24" t="n"/>
      <c r="D880" s="15" t="n"/>
      <c r="E880" s="23" t="n"/>
      <c r="F880" s="15" t="n"/>
      <c r="G880" s="23" t="n"/>
      <c r="H880" s="25" t="n"/>
      <c r="I880" s="15" t="n"/>
      <c r="J880" s="26">
        <f>IF($A880="","",LEN($C880)-LEN(SUBSTITUTE($C880,",",""))+1)</f>
        <v/>
      </c>
      <c r="K880" s="26">
        <f>IF($A880="","",SUMPRODUCT(--ISNUMBER(SEARCH('Category Dictionary'!$D$5:$D$135&amp;"",$C880)),--('Category Dictionary'!$D$5:$D$135&lt;&gt;"")))</f>
        <v/>
      </c>
      <c r="L880" s="27">
        <f>IF($A880="","",TRIM(IF(ISERROR(FIND(",",$C880)),$C880,LEFT($C880,FIND(",",$C880)-1))))</f>
        <v/>
      </c>
      <c r="M880" s="28">
        <f>IF($H880="","",DATE(YEAR($H880),MONTH($H880),1))</f>
        <v/>
      </c>
      <c r="N880" s="26">
        <f>IF($H880="","",TODAY()-$H880)</f>
        <v/>
      </c>
      <c r="O880" s="15" t="n"/>
      <c r="P880" s="26">
        <f>IF($A880="","",COUNTIFS('Audit Versions'!$A$6:$A$605,$A880,'Audit Versions'!$L$6:$L$605,"Active"))</f>
        <v/>
      </c>
      <c r="Q880" s="15" t="n"/>
      <c r="R880" s="26">
        <f>IF(OR($A880="",$P880=0),"",MOD(N($Q880),$P880)+1)</f>
        <v/>
      </c>
      <c r="S880" s="15" t="n"/>
      <c r="T880" s="25" t="n"/>
      <c r="U880" s="26">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Builder'!$B$12="",N($S880)&lt;='Assignment Builder'!$B$12)))</f>
        <v/>
      </c>
      <c r="V880" s="23" t="n"/>
    </row>
    <row r="881">
      <c r="A881" s="23" t="n"/>
      <c r="B881" s="23" t="n"/>
      <c r="C881" s="24" t="n"/>
      <c r="D881" s="15" t="n"/>
      <c r="E881" s="23" t="n"/>
      <c r="F881" s="15" t="n"/>
      <c r="G881" s="23" t="n"/>
      <c r="H881" s="25" t="n"/>
      <c r="I881" s="15" t="n"/>
      <c r="J881" s="26">
        <f>IF($A881="","",LEN($C881)-LEN(SUBSTITUTE($C881,",",""))+1)</f>
        <v/>
      </c>
      <c r="K881" s="26">
        <f>IF($A881="","",SUMPRODUCT(--ISNUMBER(SEARCH('Category Dictionary'!$D$5:$D$135&amp;"",$C881)),--('Category Dictionary'!$D$5:$D$135&lt;&gt;"")))</f>
        <v/>
      </c>
      <c r="L881" s="27">
        <f>IF($A881="","",TRIM(IF(ISERROR(FIND(",",$C881)),$C881,LEFT($C881,FIND(",",$C881)-1))))</f>
        <v/>
      </c>
      <c r="M881" s="28">
        <f>IF($H881="","",DATE(YEAR($H881),MONTH($H881),1))</f>
        <v/>
      </c>
      <c r="N881" s="26">
        <f>IF($H881="","",TODAY()-$H881)</f>
        <v/>
      </c>
      <c r="O881" s="15" t="n"/>
      <c r="P881" s="26">
        <f>IF($A881="","",COUNTIFS('Audit Versions'!$A$6:$A$605,$A881,'Audit Versions'!$L$6:$L$605,"Active"))</f>
        <v/>
      </c>
      <c r="Q881" s="15" t="n"/>
      <c r="R881" s="26">
        <f>IF(OR($A881="",$P881=0),"",MOD(N($Q881),$P881)+1)</f>
        <v/>
      </c>
      <c r="S881" s="15" t="n"/>
      <c r="T881" s="25" t="n"/>
      <c r="U881" s="26">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Builder'!$B$12="",N($S881)&lt;='Assignment Builder'!$B$12)))</f>
        <v/>
      </c>
      <c r="V881" s="23" t="n"/>
    </row>
    <row r="882">
      <c r="A882" s="23" t="n"/>
      <c r="B882" s="23" t="n"/>
      <c r="C882" s="24" t="n"/>
      <c r="D882" s="15" t="n"/>
      <c r="E882" s="23" t="n"/>
      <c r="F882" s="15" t="n"/>
      <c r="G882" s="23" t="n"/>
      <c r="H882" s="25" t="n"/>
      <c r="I882" s="15" t="n"/>
      <c r="J882" s="26">
        <f>IF($A882="","",LEN($C882)-LEN(SUBSTITUTE($C882,",",""))+1)</f>
        <v/>
      </c>
      <c r="K882" s="26">
        <f>IF($A882="","",SUMPRODUCT(--ISNUMBER(SEARCH('Category Dictionary'!$D$5:$D$135&amp;"",$C882)),--('Category Dictionary'!$D$5:$D$135&lt;&gt;"")))</f>
        <v/>
      </c>
      <c r="L882" s="27">
        <f>IF($A882="","",TRIM(IF(ISERROR(FIND(",",$C882)),$C882,LEFT($C882,FIND(",",$C882)-1))))</f>
        <v/>
      </c>
      <c r="M882" s="28">
        <f>IF($H882="","",DATE(YEAR($H882),MONTH($H882),1))</f>
        <v/>
      </c>
      <c r="N882" s="26">
        <f>IF($H882="","",TODAY()-$H882)</f>
        <v/>
      </c>
      <c r="O882" s="15" t="n"/>
      <c r="P882" s="26">
        <f>IF($A882="","",COUNTIFS('Audit Versions'!$A$6:$A$605,$A882,'Audit Versions'!$L$6:$L$605,"Active"))</f>
        <v/>
      </c>
      <c r="Q882" s="15" t="n"/>
      <c r="R882" s="26">
        <f>IF(OR($A882="",$P882=0),"",MOD(N($Q882),$P882)+1)</f>
        <v/>
      </c>
      <c r="S882" s="15" t="n"/>
      <c r="T882" s="25" t="n"/>
      <c r="U882" s="26">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Builder'!$B$12="",N($S882)&lt;='Assignment Builder'!$B$12)))</f>
        <v/>
      </c>
      <c r="V882" s="23" t="n"/>
    </row>
    <row r="883">
      <c r="A883" s="23" t="n"/>
      <c r="B883" s="23" t="n"/>
      <c r="C883" s="24" t="n"/>
      <c r="D883" s="15" t="n"/>
      <c r="E883" s="23" t="n"/>
      <c r="F883" s="15" t="n"/>
      <c r="G883" s="23" t="n"/>
      <c r="H883" s="25" t="n"/>
      <c r="I883" s="15" t="n"/>
      <c r="J883" s="26">
        <f>IF($A883="","",LEN($C883)-LEN(SUBSTITUTE($C883,",",""))+1)</f>
        <v/>
      </c>
      <c r="K883" s="26">
        <f>IF($A883="","",SUMPRODUCT(--ISNUMBER(SEARCH('Category Dictionary'!$D$5:$D$135&amp;"",$C883)),--('Category Dictionary'!$D$5:$D$135&lt;&gt;"")))</f>
        <v/>
      </c>
      <c r="L883" s="27">
        <f>IF($A883="","",TRIM(IF(ISERROR(FIND(",",$C883)),$C883,LEFT($C883,FIND(",",$C883)-1))))</f>
        <v/>
      </c>
      <c r="M883" s="28">
        <f>IF($H883="","",DATE(YEAR($H883),MONTH($H883),1))</f>
        <v/>
      </c>
      <c r="N883" s="26">
        <f>IF($H883="","",TODAY()-$H883)</f>
        <v/>
      </c>
      <c r="O883" s="15" t="n"/>
      <c r="P883" s="26">
        <f>IF($A883="","",COUNTIFS('Audit Versions'!$A$6:$A$605,$A883,'Audit Versions'!$L$6:$L$605,"Active"))</f>
        <v/>
      </c>
      <c r="Q883" s="15" t="n"/>
      <c r="R883" s="26">
        <f>IF(OR($A883="",$P883=0),"",MOD(N($Q883),$P883)+1)</f>
        <v/>
      </c>
      <c r="S883" s="15" t="n"/>
      <c r="T883" s="25" t="n"/>
      <c r="U883" s="26">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Builder'!$B$12="",N($S883)&lt;='Assignment Builder'!$B$12)))</f>
        <v/>
      </c>
      <c r="V883" s="23" t="n"/>
    </row>
    <row r="884">
      <c r="A884" s="23" t="n"/>
      <c r="B884" s="23" t="n"/>
      <c r="C884" s="24" t="n"/>
      <c r="D884" s="15" t="n"/>
      <c r="E884" s="23" t="n"/>
      <c r="F884" s="15" t="n"/>
      <c r="G884" s="23" t="n"/>
      <c r="H884" s="25" t="n"/>
      <c r="I884" s="15" t="n"/>
      <c r="J884" s="26">
        <f>IF($A884="","",LEN($C884)-LEN(SUBSTITUTE($C884,",",""))+1)</f>
        <v/>
      </c>
      <c r="K884" s="26">
        <f>IF($A884="","",SUMPRODUCT(--ISNUMBER(SEARCH('Category Dictionary'!$D$5:$D$135&amp;"",$C884)),--('Category Dictionary'!$D$5:$D$135&lt;&gt;"")))</f>
        <v/>
      </c>
      <c r="L884" s="27">
        <f>IF($A884="","",TRIM(IF(ISERROR(FIND(",",$C884)),$C884,LEFT($C884,FIND(",",$C884)-1))))</f>
        <v/>
      </c>
      <c r="M884" s="28">
        <f>IF($H884="","",DATE(YEAR($H884),MONTH($H884),1))</f>
        <v/>
      </c>
      <c r="N884" s="26">
        <f>IF($H884="","",TODAY()-$H884)</f>
        <v/>
      </c>
      <c r="O884" s="15" t="n"/>
      <c r="P884" s="26">
        <f>IF($A884="","",COUNTIFS('Audit Versions'!$A$6:$A$605,$A884,'Audit Versions'!$L$6:$L$605,"Active"))</f>
        <v/>
      </c>
      <c r="Q884" s="15" t="n"/>
      <c r="R884" s="26">
        <f>IF(OR($A884="",$P884=0),"",MOD(N($Q884),$P884)+1)</f>
        <v/>
      </c>
      <c r="S884" s="15" t="n"/>
      <c r="T884" s="25" t="n"/>
      <c r="U884" s="26">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Builder'!$B$12="",N($S884)&lt;='Assignment Builder'!$B$12)))</f>
        <v/>
      </c>
      <c r="V884" s="23" t="n"/>
    </row>
    <row r="885">
      <c r="A885" s="23" t="n"/>
      <c r="B885" s="23" t="n"/>
      <c r="C885" s="24" t="n"/>
      <c r="D885" s="15" t="n"/>
      <c r="E885" s="23" t="n"/>
      <c r="F885" s="15" t="n"/>
      <c r="G885" s="23" t="n"/>
      <c r="H885" s="25" t="n"/>
      <c r="I885" s="15" t="n"/>
      <c r="J885" s="26">
        <f>IF($A885="","",LEN($C885)-LEN(SUBSTITUTE($C885,",",""))+1)</f>
        <v/>
      </c>
      <c r="K885" s="26">
        <f>IF($A885="","",SUMPRODUCT(--ISNUMBER(SEARCH('Category Dictionary'!$D$5:$D$135&amp;"",$C885)),--('Category Dictionary'!$D$5:$D$135&lt;&gt;"")))</f>
        <v/>
      </c>
      <c r="L885" s="27">
        <f>IF($A885="","",TRIM(IF(ISERROR(FIND(",",$C885)),$C885,LEFT($C885,FIND(",",$C885)-1))))</f>
        <v/>
      </c>
      <c r="M885" s="28">
        <f>IF($H885="","",DATE(YEAR($H885),MONTH($H885),1))</f>
        <v/>
      </c>
      <c r="N885" s="26">
        <f>IF($H885="","",TODAY()-$H885)</f>
        <v/>
      </c>
      <c r="O885" s="15" t="n"/>
      <c r="P885" s="26">
        <f>IF($A885="","",COUNTIFS('Audit Versions'!$A$6:$A$605,$A885,'Audit Versions'!$L$6:$L$605,"Active"))</f>
        <v/>
      </c>
      <c r="Q885" s="15" t="n"/>
      <c r="R885" s="26">
        <f>IF(OR($A885="",$P885=0),"",MOD(N($Q885),$P885)+1)</f>
        <v/>
      </c>
      <c r="S885" s="15" t="n"/>
      <c r="T885" s="25" t="n"/>
      <c r="U885" s="26">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Builder'!$B$12="",N($S885)&lt;='Assignment Builder'!$B$12)))</f>
        <v/>
      </c>
      <c r="V885" s="23" t="n"/>
    </row>
    <row r="886">
      <c r="A886" s="23" t="n"/>
      <c r="B886" s="23" t="n"/>
      <c r="C886" s="24" t="n"/>
      <c r="D886" s="15" t="n"/>
      <c r="E886" s="23" t="n"/>
      <c r="F886" s="15" t="n"/>
      <c r="G886" s="23" t="n"/>
      <c r="H886" s="25" t="n"/>
      <c r="I886" s="15" t="n"/>
      <c r="J886" s="26">
        <f>IF($A886="","",LEN($C886)-LEN(SUBSTITUTE($C886,",",""))+1)</f>
        <v/>
      </c>
      <c r="K886" s="26">
        <f>IF($A886="","",SUMPRODUCT(--ISNUMBER(SEARCH('Category Dictionary'!$D$5:$D$135&amp;"",$C886)),--('Category Dictionary'!$D$5:$D$135&lt;&gt;"")))</f>
        <v/>
      </c>
      <c r="L886" s="27">
        <f>IF($A886="","",TRIM(IF(ISERROR(FIND(",",$C886)),$C886,LEFT($C886,FIND(",",$C886)-1))))</f>
        <v/>
      </c>
      <c r="M886" s="28">
        <f>IF($H886="","",DATE(YEAR($H886),MONTH($H886),1))</f>
        <v/>
      </c>
      <c r="N886" s="26">
        <f>IF($H886="","",TODAY()-$H886)</f>
        <v/>
      </c>
      <c r="O886" s="15" t="n"/>
      <c r="P886" s="26">
        <f>IF($A886="","",COUNTIFS('Audit Versions'!$A$6:$A$605,$A886,'Audit Versions'!$L$6:$L$605,"Active"))</f>
        <v/>
      </c>
      <c r="Q886" s="15" t="n"/>
      <c r="R886" s="26">
        <f>IF(OR($A886="",$P886=0),"",MOD(N($Q886),$P886)+1)</f>
        <v/>
      </c>
      <c r="S886" s="15" t="n"/>
      <c r="T886" s="25" t="n"/>
      <c r="U886" s="26">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Builder'!$B$12="",N($S886)&lt;='Assignment Builder'!$B$12)))</f>
        <v/>
      </c>
      <c r="V886" s="23" t="n"/>
    </row>
    <row r="887">
      <c r="A887" s="23" t="n"/>
      <c r="B887" s="23" t="n"/>
      <c r="C887" s="24" t="n"/>
      <c r="D887" s="15" t="n"/>
      <c r="E887" s="23" t="n"/>
      <c r="F887" s="15" t="n"/>
      <c r="G887" s="23" t="n"/>
      <c r="H887" s="25" t="n"/>
      <c r="I887" s="15" t="n"/>
      <c r="J887" s="26">
        <f>IF($A887="","",LEN($C887)-LEN(SUBSTITUTE($C887,",",""))+1)</f>
        <v/>
      </c>
      <c r="K887" s="26">
        <f>IF($A887="","",SUMPRODUCT(--ISNUMBER(SEARCH('Category Dictionary'!$D$5:$D$135&amp;"",$C887)),--('Category Dictionary'!$D$5:$D$135&lt;&gt;"")))</f>
        <v/>
      </c>
      <c r="L887" s="27">
        <f>IF($A887="","",TRIM(IF(ISERROR(FIND(",",$C887)),$C887,LEFT($C887,FIND(",",$C887)-1))))</f>
        <v/>
      </c>
      <c r="M887" s="28">
        <f>IF($H887="","",DATE(YEAR($H887),MONTH($H887),1))</f>
        <v/>
      </c>
      <c r="N887" s="26">
        <f>IF($H887="","",TODAY()-$H887)</f>
        <v/>
      </c>
      <c r="O887" s="15" t="n"/>
      <c r="P887" s="26">
        <f>IF($A887="","",COUNTIFS('Audit Versions'!$A$6:$A$605,$A887,'Audit Versions'!$L$6:$L$605,"Active"))</f>
        <v/>
      </c>
      <c r="Q887" s="15" t="n"/>
      <c r="R887" s="26">
        <f>IF(OR($A887="",$P887=0),"",MOD(N($Q887),$P887)+1)</f>
        <v/>
      </c>
      <c r="S887" s="15" t="n"/>
      <c r="T887" s="25" t="n"/>
      <c r="U887" s="26">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Builder'!$B$12="",N($S887)&lt;='Assignment Builder'!$B$12)))</f>
        <v/>
      </c>
      <c r="V887" s="23" t="n"/>
    </row>
    <row r="888">
      <c r="A888" s="23" t="n"/>
      <c r="B888" s="23" t="n"/>
      <c r="C888" s="24" t="n"/>
      <c r="D888" s="15" t="n"/>
      <c r="E888" s="23" t="n"/>
      <c r="F888" s="15" t="n"/>
      <c r="G888" s="23" t="n"/>
      <c r="H888" s="25" t="n"/>
      <c r="I888" s="15" t="n"/>
      <c r="J888" s="26">
        <f>IF($A888="","",LEN($C888)-LEN(SUBSTITUTE($C888,",",""))+1)</f>
        <v/>
      </c>
      <c r="K888" s="26">
        <f>IF($A888="","",SUMPRODUCT(--ISNUMBER(SEARCH('Category Dictionary'!$D$5:$D$135&amp;"",$C888)),--('Category Dictionary'!$D$5:$D$135&lt;&gt;"")))</f>
        <v/>
      </c>
      <c r="L888" s="27">
        <f>IF($A888="","",TRIM(IF(ISERROR(FIND(",",$C888)),$C888,LEFT($C888,FIND(",",$C888)-1))))</f>
        <v/>
      </c>
      <c r="M888" s="28">
        <f>IF($H888="","",DATE(YEAR($H888),MONTH($H888),1))</f>
        <v/>
      </c>
      <c r="N888" s="26">
        <f>IF($H888="","",TODAY()-$H888)</f>
        <v/>
      </c>
      <c r="O888" s="15" t="n"/>
      <c r="P888" s="26">
        <f>IF($A888="","",COUNTIFS('Audit Versions'!$A$6:$A$605,$A888,'Audit Versions'!$L$6:$L$605,"Active"))</f>
        <v/>
      </c>
      <c r="Q888" s="15" t="n"/>
      <c r="R888" s="26">
        <f>IF(OR($A888="",$P888=0),"",MOD(N($Q888),$P888)+1)</f>
        <v/>
      </c>
      <c r="S888" s="15" t="n"/>
      <c r="T888" s="25" t="n"/>
      <c r="U888" s="26">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Builder'!$B$12="",N($S888)&lt;='Assignment Builder'!$B$12)))</f>
        <v/>
      </c>
      <c r="V888" s="23" t="n"/>
    </row>
    <row r="889">
      <c r="A889" s="23" t="n"/>
      <c r="B889" s="23" t="n"/>
      <c r="C889" s="24" t="n"/>
      <c r="D889" s="15" t="n"/>
      <c r="E889" s="23" t="n"/>
      <c r="F889" s="15" t="n"/>
      <c r="G889" s="23" t="n"/>
      <c r="H889" s="25" t="n"/>
      <c r="I889" s="15" t="n"/>
      <c r="J889" s="26">
        <f>IF($A889="","",LEN($C889)-LEN(SUBSTITUTE($C889,",",""))+1)</f>
        <v/>
      </c>
      <c r="K889" s="26">
        <f>IF($A889="","",SUMPRODUCT(--ISNUMBER(SEARCH('Category Dictionary'!$D$5:$D$135&amp;"",$C889)),--('Category Dictionary'!$D$5:$D$135&lt;&gt;"")))</f>
        <v/>
      </c>
      <c r="L889" s="27">
        <f>IF($A889="","",TRIM(IF(ISERROR(FIND(",",$C889)),$C889,LEFT($C889,FIND(",",$C889)-1))))</f>
        <v/>
      </c>
      <c r="M889" s="28">
        <f>IF($H889="","",DATE(YEAR($H889),MONTH($H889),1))</f>
        <v/>
      </c>
      <c r="N889" s="26">
        <f>IF($H889="","",TODAY()-$H889)</f>
        <v/>
      </c>
      <c r="O889" s="15" t="n"/>
      <c r="P889" s="26">
        <f>IF($A889="","",COUNTIFS('Audit Versions'!$A$6:$A$605,$A889,'Audit Versions'!$L$6:$L$605,"Active"))</f>
        <v/>
      </c>
      <c r="Q889" s="15" t="n"/>
      <c r="R889" s="26">
        <f>IF(OR($A889="",$P889=0),"",MOD(N($Q889),$P889)+1)</f>
        <v/>
      </c>
      <c r="S889" s="15" t="n"/>
      <c r="T889" s="25" t="n"/>
      <c r="U889" s="26">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Builder'!$B$12="",N($S889)&lt;='Assignment Builder'!$B$12)))</f>
        <v/>
      </c>
      <c r="V889" s="23" t="n"/>
    </row>
    <row r="890">
      <c r="A890" s="23" t="n"/>
      <c r="B890" s="23" t="n"/>
      <c r="C890" s="24" t="n"/>
      <c r="D890" s="15" t="n"/>
      <c r="E890" s="23" t="n"/>
      <c r="F890" s="15" t="n"/>
      <c r="G890" s="23" t="n"/>
      <c r="H890" s="25" t="n"/>
      <c r="I890" s="15" t="n"/>
      <c r="J890" s="26">
        <f>IF($A890="","",LEN($C890)-LEN(SUBSTITUTE($C890,",",""))+1)</f>
        <v/>
      </c>
      <c r="K890" s="26">
        <f>IF($A890="","",SUMPRODUCT(--ISNUMBER(SEARCH('Category Dictionary'!$D$5:$D$135&amp;"",$C890)),--('Category Dictionary'!$D$5:$D$135&lt;&gt;"")))</f>
        <v/>
      </c>
      <c r="L890" s="27">
        <f>IF($A890="","",TRIM(IF(ISERROR(FIND(",",$C890)),$C890,LEFT($C890,FIND(",",$C890)-1))))</f>
        <v/>
      </c>
      <c r="M890" s="28">
        <f>IF($H890="","",DATE(YEAR($H890),MONTH($H890),1))</f>
        <v/>
      </c>
      <c r="N890" s="26">
        <f>IF($H890="","",TODAY()-$H890)</f>
        <v/>
      </c>
      <c r="O890" s="15" t="n"/>
      <c r="P890" s="26">
        <f>IF($A890="","",COUNTIFS('Audit Versions'!$A$6:$A$605,$A890,'Audit Versions'!$L$6:$L$605,"Active"))</f>
        <v/>
      </c>
      <c r="Q890" s="15" t="n"/>
      <c r="R890" s="26">
        <f>IF(OR($A890="",$P890=0),"",MOD(N($Q890),$P890)+1)</f>
        <v/>
      </c>
      <c r="S890" s="15" t="n"/>
      <c r="T890" s="25" t="n"/>
      <c r="U890" s="26">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Builder'!$B$12="",N($S890)&lt;='Assignment Builder'!$B$12)))</f>
        <v/>
      </c>
      <c r="V890" s="23" t="n"/>
    </row>
    <row r="891">
      <c r="A891" s="23" t="n"/>
      <c r="B891" s="23" t="n"/>
      <c r="C891" s="24" t="n"/>
      <c r="D891" s="15" t="n"/>
      <c r="E891" s="23" t="n"/>
      <c r="F891" s="15" t="n"/>
      <c r="G891" s="23" t="n"/>
      <c r="H891" s="25" t="n"/>
      <c r="I891" s="15" t="n"/>
      <c r="J891" s="26">
        <f>IF($A891="","",LEN($C891)-LEN(SUBSTITUTE($C891,",",""))+1)</f>
        <v/>
      </c>
      <c r="K891" s="26">
        <f>IF($A891="","",SUMPRODUCT(--ISNUMBER(SEARCH('Category Dictionary'!$D$5:$D$135&amp;"",$C891)),--('Category Dictionary'!$D$5:$D$135&lt;&gt;"")))</f>
        <v/>
      </c>
      <c r="L891" s="27">
        <f>IF($A891="","",TRIM(IF(ISERROR(FIND(",",$C891)),$C891,LEFT($C891,FIND(",",$C891)-1))))</f>
        <v/>
      </c>
      <c r="M891" s="28">
        <f>IF($H891="","",DATE(YEAR($H891),MONTH($H891),1))</f>
        <v/>
      </c>
      <c r="N891" s="26">
        <f>IF($H891="","",TODAY()-$H891)</f>
        <v/>
      </c>
      <c r="O891" s="15" t="n"/>
      <c r="P891" s="26">
        <f>IF($A891="","",COUNTIFS('Audit Versions'!$A$6:$A$605,$A891,'Audit Versions'!$L$6:$L$605,"Active"))</f>
        <v/>
      </c>
      <c r="Q891" s="15" t="n"/>
      <c r="R891" s="26">
        <f>IF(OR($A891="",$P891=0),"",MOD(N($Q891),$P891)+1)</f>
        <v/>
      </c>
      <c r="S891" s="15" t="n"/>
      <c r="T891" s="25" t="n"/>
      <c r="U891" s="26">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Builder'!$B$12="",N($S891)&lt;='Assignment Builder'!$B$12)))</f>
        <v/>
      </c>
      <c r="V891" s="23" t="n"/>
    </row>
    <row r="892">
      <c r="A892" s="23" t="n"/>
      <c r="B892" s="23" t="n"/>
      <c r="C892" s="24" t="n"/>
      <c r="D892" s="15" t="n"/>
      <c r="E892" s="23" t="n"/>
      <c r="F892" s="15" t="n"/>
      <c r="G892" s="23" t="n"/>
      <c r="H892" s="25" t="n"/>
      <c r="I892" s="15" t="n"/>
      <c r="J892" s="26">
        <f>IF($A892="","",LEN($C892)-LEN(SUBSTITUTE($C892,",",""))+1)</f>
        <v/>
      </c>
      <c r="K892" s="26">
        <f>IF($A892="","",SUMPRODUCT(--ISNUMBER(SEARCH('Category Dictionary'!$D$5:$D$135&amp;"",$C892)),--('Category Dictionary'!$D$5:$D$135&lt;&gt;"")))</f>
        <v/>
      </c>
      <c r="L892" s="27">
        <f>IF($A892="","",TRIM(IF(ISERROR(FIND(",",$C892)),$C892,LEFT($C892,FIND(",",$C892)-1))))</f>
        <v/>
      </c>
      <c r="M892" s="28">
        <f>IF($H892="","",DATE(YEAR($H892),MONTH($H892),1))</f>
        <v/>
      </c>
      <c r="N892" s="26">
        <f>IF($H892="","",TODAY()-$H892)</f>
        <v/>
      </c>
      <c r="O892" s="15" t="n"/>
      <c r="P892" s="26">
        <f>IF($A892="","",COUNTIFS('Audit Versions'!$A$6:$A$605,$A892,'Audit Versions'!$L$6:$L$605,"Active"))</f>
        <v/>
      </c>
      <c r="Q892" s="15" t="n"/>
      <c r="R892" s="26">
        <f>IF(OR($A892="",$P892=0),"",MOD(N($Q892),$P892)+1)</f>
        <v/>
      </c>
      <c r="S892" s="15" t="n"/>
      <c r="T892" s="25" t="n"/>
      <c r="U892" s="26">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Builder'!$B$12="",N($S892)&lt;='Assignment Builder'!$B$12)))</f>
        <v/>
      </c>
      <c r="V892" s="23" t="n"/>
    </row>
    <row r="893">
      <c r="A893" s="23" t="n"/>
      <c r="B893" s="23" t="n"/>
      <c r="C893" s="24" t="n"/>
      <c r="D893" s="15" t="n"/>
      <c r="E893" s="23" t="n"/>
      <c r="F893" s="15" t="n"/>
      <c r="G893" s="23" t="n"/>
      <c r="H893" s="25" t="n"/>
      <c r="I893" s="15" t="n"/>
      <c r="J893" s="26">
        <f>IF($A893="","",LEN($C893)-LEN(SUBSTITUTE($C893,",",""))+1)</f>
        <v/>
      </c>
      <c r="K893" s="26">
        <f>IF($A893="","",SUMPRODUCT(--ISNUMBER(SEARCH('Category Dictionary'!$D$5:$D$135&amp;"",$C893)),--('Category Dictionary'!$D$5:$D$135&lt;&gt;"")))</f>
        <v/>
      </c>
      <c r="L893" s="27">
        <f>IF($A893="","",TRIM(IF(ISERROR(FIND(",",$C893)),$C893,LEFT($C893,FIND(",",$C893)-1))))</f>
        <v/>
      </c>
      <c r="M893" s="28">
        <f>IF($H893="","",DATE(YEAR($H893),MONTH($H893),1))</f>
        <v/>
      </c>
      <c r="N893" s="26">
        <f>IF($H893="","",TODAY()-$H893)</f>
        <v/>
      </c>
      <c r="O893" s="15" t="n"/>
      <c r="P893" s="26">
        <f>IF($A893="","",COUNTIFS('Audit Versions'!$A$6:$A$605,$A893,'Audit Versions'!$L$6:$L$605,"Active"))</f>
        <v/>
      </c>
      <c r="Q893" s="15" t="n"/>
      <c r="R893" s="26">
        <f>IF(OR($A893="",$P893=0),"",MOD(N($Q893),$P893)+1)</f>
        <v/>
      </c>
      <c r="S893" s="15" t="n"/>
      <c r="T893" s="25" t="n"/>
      <c r="U893" s="26">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Builder'!$B$12="",N($S893)&lt;='Assignment Builder'!$B$12)))</f>
        <v/>
      </c>
      <c r="V893" s="23" t="n"/>
    </row>
    <row r="894">
      <c r="A894" s="23" t="n"/>
      <c r="B894" s="23" t="n"/>
      <c r="C894" s="24" t="n"/>
      <c r="D894" s="15" t="n"/>
      <c r="E894" s="23" t="n"/>
      <c r="F894" s="15" t="n"/>
      <c r="G894" s="23" t="n"/>
      <c r="H894" s="25" t="n"/>
      <c r="I894" s="15" t="n"/>
      <c r="J894" s="26">
        <f>IF($A894="","",LEN($C894)-LEN(SUBSTITUTE($C894,",",""))+1)</f>
        <v/>
      </c>
      <c r="K894" s="26">
        <f>IF($A894="","",SUMPRODUCT(--ISNUMBER(SEARCH('Category Dictionary'!$D$5:$D$135&amp;"",$C894)),--('Category Dictionary'!$D$5:$D$135&lt;&gt;"")))</f>
        <v/>
      </c>
      <c r="L894" s="27">
        <f>IF($A894="","",TRIM(IF(ISERROR(FIND(",",$C894)),$C894,LEFT($C894,FIND(",",$C894)-1))))</f>
        <v/>
      </c>
      <c r="M894" s="28">
        <f>IF($H894="","",DATE(YEAR($H894),MONTH($H894),1))</f>
        <v/>
      </c>
      <c r="N894" s="26">
        <f>IF($H894="","",TODAY()-$H894)</f>
        <v/>
      </c>
      <c r="O894" s="15" t="n"/>
      <c r="P894" s="26">
        <f>IF($A894="","",COUNTIFS('Audit Versions'!$A$6:$A$605,$A894,'Audit Versions'!$L$6:$L$605,"Active"))</f>
        <v/>
      </c>
      <c r="Q894" s="15" t="n"/>
      <c r="R894" s="26">
        <f>IF(OR($A894="",$P894=0),"",MOD(N($Q894),$P894)+1)</f>
        <v/>
      </c>
      <c r="S894" s="15" t="n"/>
      <c r="T894" s="25" t="n"/>
      <c r="U894" s="26">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Builder'!$B$12="",N($S894)&lt;='Assignment Builder'!$B$12)))</f>
        <v/>
      </c>
      <c r="V894" s="23" t="n"/>
    </row>
    <row r="895">
      <c r="A895" s="23" t="n"/>
      <c r="B895" s="23" t="n"/>
      <c r="C895" s="24" t="n"/>
      <c r="D895" s="15" t="n"/>
      <c r="E895" s="23" t="n"/>
      <c r="F895" s="15" t="n"/>
      <c r="G895" s="23" t="n"/>
      <c r="H895" s="25" t="n"/>
      <c r="I895" s="15" t="n"/>
      <c r="J895" s="26">
        <f>IF($A895="","",LEN($C895)-LEN(SUBSTITUTE($C895,",",""))+1)</f>
        <v/>
      </c>
      <c r="K895" s="26">
        <f>IF($A895="","",SUMPRODUCT(--ISNUMBER(SEARCH('Category Dictionary'!$D$5:$D$135&amp;"",$C895)),--('Category Dictionary'!$D$5:$D$135&lt;&gt;"")))</f>
        <v/>
      </c>
      <c r="L895" s="27">
        <f>IF($A895="","",TRIM(IF(ISERROR(FIND(",",$C895)),$C895,LEFT($C895,FIND(",",$C895)-1))))</f>
        <v/>
      </c>
      <c r="M895" s="28">
        <f>IF($H895="","",DATE(YEAR($H895),MONTH($H895),1))</f>
        <v/>
      </c>
      <c r="N895" s="26">
        <f>IF($H895="","",TODAY()-$H895)</f>
        <v/>
      </c>
      <c r="O895" s="15" t="n"/>
      <c r="P895" s="26">
        <f>IF($A895="","",COUNTIFS('Audit Versions'!$A$6:$A$605,$A895,'Audit Versions'!$L$6:$L$605,"Active"))</f>
        <v/>
      </c>
      <c r="Q895" s="15" t="n"/>
      <c r="R895" s="26">
        <f>IF(OR($A895="",$P895=0),"",MOD(N($Q895),$P895)+1)</f>
        <v/>
      </c>
      <c r="S895" s="15" t="n"/>
      <c r="T895" s="25" t="n"/>
      <c r="U895" s="26">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Builder'!$B$12="",N($S895)&lt;='Assignment Builder'!$B$12)))</f>
        <v/>
      </c>
      <c r="V895" s="23" t="n"/>
    </row>
    <row r="896">
      <c r="A896" s="23" t="n"/>
      <c r="B896" s="23" t="n"/>
      <c r="C896" s="24" t="n"/>
      <c r="D896" s="15" t="n"/>
      <c r="E896" s="23" t="n"/>
      <c r="F896" s="15" t="n"/>
      <c r="G896" s="23" t="n"/>
      <c r="H896" s="25" t="n"/>
      <c r="I896" s="15" t="n"/>
      <c r="J896" s="26">
        <f>IF($A896="","",LEN($C896)-LEN(SUBSTITUTE($C896,",",""))+1)</f>
        <v/>
      </c>
      <c r="K896" s="26">
        <f>IF($A896="","",SUMPRODUCT(--ISNUMBER(SEARCH('Category Dictionary'!$D$5:$D$135&amp;"",$C896)),--('Category Dictionary'!$D$5:$D$135&lt;&gt;"")))</f>
        <v/>
      </c>
      <c r="L896" s="27">
        <f>IF($A896="","",TRIM(IF(ISERROR(FIND(",",$C896)),$C896,LEFT($C896,FIND(",",$C896)-1))))</f>
        <v/>
      </c>
      <c r="M896" s="28">
        <f>IF($H896="","",DATE(YEAR($H896),MONTH($H896),1))</f>
        <v/>
      </c>
      <c r="N896" s="26">
        <f>IF($H896="","",TODAY()-$H896)</f>
        <v/>
      </c>
      <c r="O896" s="15" t="n"/>
      <c r="P896" s="26">
        <f>IF($A896="","",COUNTIFS('Audit Versions'!$A$6:$A$605,$A896,'Audit Versions'!$L$6:$L$605,"Active"))</f>
        <v/>
      </c>
      <c r="Q896" s="15" t="n"/>
      <c r="R896" s="26">
        <f>IF(OR($A896="",$P896=0),"",MOD(N($Q896),$P896)+1)</f>
        <v/>
      </c>
      <c r="S896" s="15" t="n"/>
      <c r="T896" s="25" t="n"/>
      <c r="U896" s="26">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Builder'!$B$12="",N($S896)&lt;='Assignment Builder'!$B$12)))</f>
        <v/>
      </c>
      <c r="V896" s="23" t="n"/>
    </row>
    <row r="897">
      <c r="A897" s="23" t="n"/>
      <c r="B897" s="23" t="n"/>
      <c r="C897" s="24" t="n"/>
      <c r="D897" s="15" t="n"/>
      <c r="E897" s="23" t="n"/>
      <c r="F897" s="15" t="n"/>
      <c r="G897" s="23" t="n"/>
      <c r="H897" s="25" t="n"/>
      <c r="I897" s="15" t="n"/>
      <c r="J897" s="26">
        <f>IF($A897="","",LEN($C897)-LEN(SUBSTITUTE($C897,",",""))+1)</f>
        <v/>
      </c>
      <c r="K897" s="26">
        <f>IF($A897="","",SUMPRODUCT(--ISNUMBER(SEARCH('Category Dictionary'!$D$5:$D$135&amp;"",$C897)),--('Category Dictionary'!$D$5:$D$135&lt;&gt;"")))</f>
        <v/>
      </c>
      <c r="L897" s="27">
        <f>IF($A897="","",TRIM(IF(ISERROR(FIND(",",$C897)),$C897,LEFT($C897,FIND(",",$C897)-1))))</f>
        <v/>
      </c>
      <c r="M897" s="28">
        <f>IF($H897="","",DATE(YEAR($H897),MONTH($H897),1))</f>
        <v/>
      </c>
      <c r="N897" s="26">
        <f>IF($H897="","",TODAY()-$H897)</f>
        <v/>
      </c>
      <c r="O897" s="15" t="n"/>
      <c r="P897" s="26">
        <f>IF($A897="","",COUNTIFS('Audit Versions'!$A$6:$A$605,$A897,'Audit Versions'!$L$6:$L$605,"Active"))</f>
        <v/>
      </c>
      <c r="Q897" s="15" t="n"/>
      <c r="R897" s="26">
        <f>IF(OR($A897="",$P897=0),"",MOD(N($Q897),$P897)+1)</f>
        <v/>
      </c>
      <c r="S897" s="15" t="n"/>
      <c r="T897" s="25" t="n"/>
      <c r="U897" s="26">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Builder'!$B$12="",N($S897)&lt;='Assignment Builder'!$B$12)))</f>
        <v/>
      </c>
      <c r="V897" s="23" t="n"/>
    </row>
    <row r="898">
      <c r="A898" s="23" t="n"/>
      <c r="B898" s="23" t="n"/>
      <c r="C898" s="24" t="n"/>
      <c r="D898" s="15" t="n"/>
      <c r="E898" s="23" t="n"/>
      <c r="F898" s="15" t="n"/>
      <c r="G898" s="23" t="n"/>
      <c r="H898" s="25" t="n"/>
      <c r="I898" s="15" t="n"/>
      <c r="J898" s="26">
        <f>IF($A898="","",LEN($C898)-LEN(SUBSTITUTE($C898,",",""))+1)</f>
        <v/>
      </c>
      <c r="K898" s="26">
        <f>IF($A898="","",SUMPRODUCT(--ISNUMBER(SEARCH('Category Dictionary'!$D$5:$D$135&amp;"",$C898)),--('Category Dictionary'!$D$5:$D$135&lt;&gt;"")))</f>
        <v/>
      </c>
      <c r="L898" s="27">
        <f>IF($A898="","",TRIM(IF(ISERROR(FIND(",",$C898)),$C898,LEFT($C898,FIND(",",$C898)-1))))</f>
        <v/>
      </c>
      <c r="M898" s="28">
        <f>IF($H898="","",DATE(YEAR($H898),MONTH($H898),1))</f>
        <v/>
      </c>
      <c r="N898" s="26">
        <f>IF($H898="","",TODAY()-$H898)</f>
        <v/>
      </c>
      <c r="O898" s="15" t="n"/>
      <c r="P898" s="26">
        <f>IF($A898="","",COUNTIFS('Audit Versions'!$A$6:$A$605,$A898,'Audit Versions'!$L$6:$L$605,"Active"))</f>
        <v/>
      </c>
      <c r="Q898" s="15" t="n"/>
      <c r="R898" s="26">
        <f>IF(OR($A898="",$P898=0),"",MOD(N($Q898),$P898)+1)</f>
        <v/>
      </c>
      <c r="S898" s="15" t="n"/>
      <c r="T898" s="25" t="n"/>
      <c r="U898" s="26">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Builder'!$B$12="",N($S898)&lt;='Assignment Builder'!$B$12)))</f>
        <v/>
      </c>
      <c r="V898" s="23" t="n"/>
    </row>
    <row r="899">
      <c r="A899" s="23" t="n"/>
      <c r="B899" s="23" t="n"/>
      <c r="C899" s="24" t="n"/>
      <c r="D899" s="15" t="n"/>
      <c r="E899" s="23" t="n"/>
      <c r="F899" s="15" t="n"/>
      <c r="G899" s="23" t="n"/>
      <c r="H899" s="25" t="n"/>
      <c r="I899" s="15" t="n"/>
      <c r="J899" s="26">
        <f>IF($A899="","",LEN($C899)-LEN(SUBSTITUTE($C899,",",""))+1)</f>
        <v/>
      </c>
      <c r="K899" s="26">
        <f>IF($A899="","",SUMPRODUCT(--ISNUMBER(SEARCH('Category Dictionary'!$D$5:$D$135&amp;"",$C899)),--('Category Dictionary'!$D$5:$D$135&lt;&gt;"")))</f>
        <v/>
      </c>
      <c r="L899" s="27">
        <f>IF($A899="","",TRIM(IF(ISERROR(FIND(",",$C899)),$C899,LEFT($C899,FIND(",",$C899)-1))))</f>
        <v/>
      </c>
      <c r="M899" s="28">
        <f>IF($H899="","",DATE(YEAR($H899),MONTH($H899),1))</f>
        <v/>
      </c>
      <c r="N899" s="26">
        <f>IF($H899="","",TODAY()-$H899)</f>
        <v/>
      </c>
      <c r="O899" s="15" t="n"/>
      <c r="P899" s="26">
        <f>IF($A899="","",COUNTIFS('Audit Versions'!$A$6:$A$605,$A899,'Audit Versions'!$L$6:$L$605,"Active"))</f>
        <v/>
      </c>
      <c r="Q899" s="15" t="n"/>
      <c r="R899" s="26">
        <f>IF(OR($A899="",$P899=0),"",MOD(N($Q899),$P899)+1)</f>
        <v/>
      </c>
      <c r="S899" s="15" t="n"/>
      <c r="T899" s="25" t="n"/>
      <c r="U899" s="26">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Builder'!$B$12="",N($S899)&lt;='Assignment Builder'!$B$12)))</f>
        <v/>
      </c>
      <c r="V899" s="23" t="n"/>
    </row>
    <row r="900">
      <c r="A900" s="23" t="n"/>
      <c r="B900" s="23" t="n"/>
      <c r="C900" s="24" t="n"/>
      <c r="D900" s="15" t="n"/>
      <c r="E900" s="23" t="n"/>
      <c r="F900" s="15" t="n"/>
      <c r="G900" s="23" t="n"/>
      <c r="H900" s="25" t="n"/>
      <c r="I900" s="15" t="n"/>
      <c r="J900" s="26">
        <f>IF($A900="","",LEN($C900)-LEN(SUBSTITUTE($C900,",",""))+1)</f>
        <v/>
      </c>
      <c r="K900" s="26">
        <f>IF($A900="","",SUMPRODUCT(--ISNUMBER(SEARCH('Category Dictionary'!$D$5:$D$135&amp;"",$C900)),--('Category Dictionary'!$D$5:$D$135&lt;&gt;"")))</f>
        <v/>
      </c>
      <c r="L900" s="27">
        <f>IF($A900="","",TRIM(IF(ISERROR(FIND(",",$C900)),$C900,LEFT($C900,FIND(",",$C900)-1))))</f>
        <v/>
      </c>
      <c r="M900" s="28">
        <f>IF($H900="","",DATE(YEAR($H900),MONTH($H900),1))</f>
        <v/>
      </c>
      <c r="N900" s="26">
        <f>IF($H900="","",TODAY()-$H900)</f>
        <v/>
      </c>
      <c r="O900" s="15" t="n"/>
      <c r="P900" s="26">
        <f>IF($A900="","",COUNTIFS('Audit Versions'!$A$6:$A$605,$A900,'Audit Versions'!$L$6:$L$605,"Active"))</f>
        <v/>
      </c>
      <c r="Q900" s="15" t="n"/>
      <c r="R900" s="26">
        <f>IF(OR($A900="",$P900=0),"",MOD(N($Q900),$P900)+1)</f>
        <v/>
      </c>
      <c r="S900" s="15" t="n"/>
      <c r="T900" s="25" t="n"/>
      <c r="U900" s="26">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Builder'!$B$12="",N($S900)&lt;='Assignment Builder'!$B$12)))</f>
        <v/>
      </c>
      <c r="V900" s="23" t="n"/>
    </row>
    <row r="901">
      <c r="A901" s="23" t="n"/>
      <c r="B901" s="23" t="n"/>
      <c r="C901" s="24" t="n"/>
      <c r="D901" s="15" t="n"/>
      <c r="E901" s="23" t="n"/>
      <c r="F901" s="15" t="n"/>
      <c r="G901" s="23" t="n"/>
      <c r="H901" s="25" t="n"/>
      <c r="I901" s="15" t="n"/>
      <c r="J901" s="26">
        <f>IF($A901="","",LEN($C901)-LEN(SUBSTITUTE($C901,",",""))+1)</f>
        <v/>
      </c>
      <c r="K901" s="26">
        <f>IF($A901="","",SUMPRODUCT(--ISNUMBER(SEARCH('Category Dictionary'!$D$5:$D$135&amp;"",$C901)),--('Category Dictionary'!$D$5:$D$135&lt;&gt;"")))</f>
        <v/>
      </c>
      <c r="L901" s="27">
        <f>IF($A901="","",TRIM(IF(ISERROR(FIND(",",$C901)),$C901,LEFT($C901,FIND(",",$C901)-1))))</f>
        <v/>
      </c>
      <c r="M901" s="28">
        <f>IF($H901="","",DATE(YEAR($H901),MONTH($H901),1))</f>
        <v/>
      </c>
      <c r="N901" s="26">
        <f>IF($H901="","",TODAY()-$H901)</f>
        <v/>
      </c>
      <c r="O901" s="15" t="n"/>
      <c r="P901" s="26">
        <f>IF($A901="","",COUNTIFS('Audit Versions'!$A$6:$A$605,$A901,'Audit Versions'!$L$6:$L$605,"Active"))</f>
        <v/>
      </c>
      <c r="Q901" s="15" t="n"/>
      <c r="R901" s="26">
        <f>IF(OR($A901="",$P901=0),"",MOD(N($Q901),$P901)+1)</f>
        <v/>
      </c>
      <c r="S901" s="15" t="n"/>
      <c r="T901" s="25" t="n"/>
      <c r="U901" s="26">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Builder'!$B$12="",N($S901)&lt;='Assignment Builder'!$B$12)))</f>
        <v/>
      </c>
      <c r="V901" s="23" t="n"/>
    </row>
    <row r="902">
      <c r="A902" s="23" t="n"/>
      <c r="B902" s="23" t="n"/>
      <c r="C902" s="24" t="n"/>
      <c r="D902" s="15" t="n"/>
      <c r="E902" s="23" t="n"/>
      <c r="F902" s="15" t="n"/>
      <c r="G902" s="23" t="n"/>
      <c r="H902" s="25" t="n"/>
      <c r="I902" s="15" t="n"/>
      <c r="J902" s="26">
        <f>IF($A902="","",LEN($C902)-LEN(SUBSTITUTE($C902,",",""))+1)</f>
        <v/>
      </c>
      <c r="K902" s="26">
        <f>IF($A902="","",SUMPRODUCT(--ISNUMBER(SEARCH('Category Dictionary'!$D$5:$D$135&amp;"",$C902)),--('Category Dictionary'!$D$5:$D$135&lt;&gt;"")))</f>
        <v/>
      </c>
      <c r="L902" s="27">
        <f>IF($A902="","",TRIM(IF(ISERROR(FIND(",",$C902)),$C902,LEFT($C902,FIND(",",$C902)-1))))</f>
        <v/>
      </c>
      <c r="M902" s="28">
        <f>IF($H902="","",DATE(YEAR($H902),MONTH($H902),1))</f>
        <v/>
      </c>
      <c r="N902" s="26">
        <f>IF($H902="","",TODAY()-$H902)</f>
        <v/>
      </c>
      <c r="O902" s="15" t="n"/>
      <c r="P902" s="26">
        <f>IF($A902="","",COUNTIFS('Audit Versions'!$A$6:$A$605,$A902,'Audit Versions'!$L$6:$L$605,"Active"))</f>
        <v/>
      </c>
      <c r="Q902" s="15" t="n"/>
      <c r="R902" s="26">
        <f>IF(OR($A902="",$P902=0),"",MOD(N($Q902),$P902)+1)</f>
        <v/>
      </c>
      <c r="S902" s="15" t="n"/>
      <c r="T902" s="25" t="n"/>
      <c r="U902" s="26">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Builder'!$B$12="",N($S902)&lt;='Assignment Builder'!$B$12)))</f>
        <v/>
      </c>
      <c r="V902" s="23" t="n"/>
    </row>
    <row r="903">
      <c r="A903" s="23" t="n"/>
      <c r="B903" s="23" t="n"/>
      <c r="C903" s="24" t="n"/>
      <c r="D903" s="15" t="n"/>
      <c r="E903" s="23" t="n"/>
      <c r="F903" s="15" t="n"/>
      <c r="G903" s="23" t="n"/>
      <c r="H903" s="25" t="n"/>
      <c r="I903" s="15" t="n"/>
      <c r="J903" s="26">
        <f>IF($A903="","",LEN($C903)-LEN(SUBSTITUTE($C903,",",""))+1)</f>
        <v/>
      </c>
      <c r="K903" s="26">
        <f>IF($A903="","",SUMPRODUCT(--ISNUMBER(SEARCH('Category Dictionary'!$D$5:$D$135&amp;"",$C903)),--('Category Dictionary'!$D$5:$D$135&lt;&gt;"")))</f>
        <v/>
      </c>
      <c r="L903" s="27">
        <f>IF($A903="","",TRIM(IF(ISERROR(FIND(",",$C903)),$C903,LEFT($C903,FIND(",",$C903)-1))))</f>
        <v/>
      </c>
      <c r="M903" s="28">
        <f>IF($H903="","",DATE(YEAR($H903),MONTH($H903),1))</f>
        <v/>
      </c>
      <c r="N903" s="26">
        <f>IF($H903="","",TODAY()-$H903)</f>
        <v/>
      </c>
      <c r="O903" s="15" t="n"/>
      <c r="P903" s="26">
        <f>IF($A903="","",COUNTIFS('Audit Versions'!$A$6:$A$605,$A903,'Audit Versions'!$L$6:$L$605,"Active"))</f>
        <v/>
      </c>
      <c r="Q903" s="15" t="n"/>
      <c r="R903" s="26">
        <f>IF(OR($A903="",$P903=0),"",MOD(N($Q903),$P903)+1)</f>
        <v/>
      </c>
      <c r="S903" s="15" t="n"/>
      <c r="T903" s="25" t="n"/>
      <c r="U903" s="26">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Builder'!$B$12="",N($S903)&lt;='Assignment Builder'!$B$12)))</f>
        <v/>
      </c>
      <c r="V903" s="23" t="n"/>
    </row>
    <row r="904">
      <c r="A904" s="23" t="n"/>
      <c r="B904" s="23" t="n"/>
      <c r="C904" s="24" t="n"/>
      <c r="D904" s="15" t="n"/>
      <c r="E904" s="23" t="n"/>
      <c r="F904" s="15" t="n"/>
      <c r="G904" s="23" t="n"/>
      <c r="H904" s="25" t="n"/>
      <c r="I904" s="15" t="n"/>
      <c r="J904" s="26">
        <f>IF($A904="","",LEN($C904)-LEN(SUBSTITUTE($C904,",",""))+1)</f>
        <v/>
      </c>
      <c r="K904" s="26">
        <f>IF($A904="","",SUMPRODUCT(--ISNUMBER(SEARCH('Category Dictionary'!$D$5:$D$135&amp;"",$C904)),--('Category Dictionary'!$D$5:$D$135&lt;&gt;"")))</f>
        <v/>
      </c>
      <c r="L904" s="27">
        <f>IF($A904="","",TRIM(IF(ISERROR(FIND(",",$C904)),$C904,LEFT($C904,FIND(",",$C904)-1))))</f>
        <v/>
      </c>
      <c r="M904" s="28">
        <f>IF($H904="","",DATE(YEAR($H904),MONTH($H904),1))</f>
        <v/>
      </c>
      <c r="N904" s="26">
        <f>IF($H904="","",TODAY()-$H904)</f>
        <v/>
      </c>
      <c r="O904" s="15" t="n"/>
      <c r="P904" s="26">
        <f>IF($A904="","",COUNTIFS('Audit Versions'!$A$6:$A$605,$A904,'Audit Versions'!$L$6:$L$605,"Active"))</f>
        <v/>
      </c>
      <c r="Q904" s="15" t="n"/>
      <c r="R904" s="26">
        <f>IF(OR($A904="",$P904=0),"",MOD(N($Q904),$P904)+1)</f>
        <v/>
      </c>
      <c r="S904" s="15" t="n"/>
      <c r="T904" s="25" t="n"/>
      <c r="U904" s="26">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Builder'!$B$12="",N($S904)&lt;='Assignment Builder'!$B$12)))</f>
        <v/>
      </c>
      <c r="V904" s="23" t="n"/>
    </row>
    <row r="905">
      <c r="A905" s="23" t="n"/>
      <c r="B905" s="23" t="n"/>
      <c r="C905" s="24" t="n"/>
      <c r="D905" s="15" t="n"/>
      <c r="E905" s="23" t="n"/>
      <c r="F905" s="15" t="n"/>
      <c r="G905" s="23" t="n"/>
      <c r="H905" s="25" t="n"/>
      <c r="I905" s="15" t="n"/>
      <c r="J905" s="26">
        <f>IF($A905="","",LEN($C905)-LEN(SUBSTITUTE($C905,",",""))+1)</f>
        <v/>
      </c>
      <c r="K905" s="26">
        <f>IF($A905="","",SUMPRODUCT(--ISNUMBER(SEARCH('Category Dictionary'!$D$5:$D$135&amp;"",$C905)),--('Category Dictionary'!$D$5:$D$135&lt;&gt;"")))</f>
        <v/>
      </c>
      <c r="L905" s="27">
        <f>IF($A905="","",TRIM(IF(ISERROR(FIND(",",$C905)),$C905,LEFT($C905,FIND(",",$C905)-1))))</f>
        <v/>
      </c>
      <c r="M905" s="28">
        <f>IF($H905="","",DATE(YEAR($H905),MONTH($H905),1))</f>
        <v/>
      </c>
      <c r="N905" s="26">
        <f>IF($H905="","",TODAY()-$H905)</f>
        <v/>
      </c>
      <c r="O905" s="15" t="n"/>
      <c r="P905" s="26">
        <f>IF($A905="","",COUNTIFS('Audit Versions'!$A$6:$A$605,$A905,'Audit Versions'!$L$6:$L$605,"Active"))</f>
        <v/>
      </c>
      <c r="Q905" s="15" t="n"/>
      <c r="R905" s="26">
        <f>IF(OR($A905="",$P905=0),"",MOD(N($Q905),$P905)+1)</f>
        <v/>
      </c>
      <c r="S905" s="15" t="n"/>
      <c r="T905" s="25" t="n"/>
      <c r="U905" s="26">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Builder'!$B$12="",N($S905)&lt;='Assignment Builder'!$B$12)))</f>
        <v/>
      </c>
      <c r="V905" s="23" t="n"/>
    </row>
    <row r="906">
      <c r="A906" s="23" t="n"/>
      <c r="B906" s="23" t="n"/>
      <c r="C906" s="24" t="n"/>
      <c r="D906" s="15" t="n"/>
      <c r="E906" s="23" t="n"/>
      <c r="F906" s="15" t="n"/>
      <c r="G906" s="23" t="n"/>
      <c r="H906" s="25" t="n"/>
      <c r="I906" s="15" t="n"/>
      <c r="J906" s="26">
        <f>IF($A906="","",LEN($C906)-LEN(SUBSTITUTE($C906,",",""))+1)</f>
        <v/>
      </c>
      <c r="K906" s="26">
        <f>IF($A906="","",SUMPRODUCT(--ISNUMBER(SEARCH('Category Dictionary'!$D$5:$D$135&amp;"",$C906)),--('Category Dictionary'!$D$5:$D$135&lt;&gt;"")))</f>
        <v/>
      </c>
      <c r="L906" s="27">
        <f>IF($A906="","",TRIM(IF(ISERROR(FIND(",",$C906)),$C906,LEFT($C906,FIND(",",$C906)-1))))</f>
        <v/>
      </c>
      <c r="M906" s="28">
        <f>IF($H906="","",DATE(YEAR($H906),MONTH($H906),1))</f>
        <v/>
      </c>
      <c r="N906" s="26">
        <f>IF($H906="","",TODAY()-$H906)</f>
        <v/>
      </c>
      <c r="O906" s="15" t="n"/>
      <c r="P906" s="26">
        <f>IF($A906="","",COUNTIFS('Audit Versions'!$A$6:$A$605,$A906,'Audit Versions'!$L$6:$L$605,"Active"))</f>
        <v/>
      </c>
      <c r="Q906" s="15" t="n"/>
      <c r="R906" s="26">
        <f>IF(OR($A906="",$P906=0),"",MOD(N($Q906),$P906)+1)</f>
        <v/>
      </c>
      <c r="S906" s="15" t="n"/>
      <c r="T906" s="25" t="n"/>
      <c r="U906" s="26">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Builder'!$B$12="",N($S906)&lt;='Assignment Builder'!$B$12)))</f>
        <v/>
      </c>
      <c r="V906" s="23" t="n"/>
    </row>
    <row r="907">
      <c r="A907" s="23" t="n"/>
      <c r="B907" s="23" t="n"/>
      <c r="C907" s="24" t="n"/>
      <c r="D907" s="15" t="n"/>
      <c r="E907" s="23" t="n"/>
      <c r="F907" s="15" t="n"/>
      <c r="G907" s="23" t="n"/>
      <c r="H907" s="25" t="n"/>
      <c r="I907" s="15" t="n"/>
      <c r="J907" s="26">
        <f>IF($A907="","",LEN($C907)-LEN(SUBSTITUTE($C907,",",""))+1)</f>
        <v/>
      </c>
      <c r="K907" s="26">
        <f>IF($A907="","",SUMPRODUCT(--ISNUMBER(SEARCH('Category Dictionary'!$D$5:$D$135&amp;"",$C907)),--('Category Dictionary'!$D$5:$D$135&lt;&gt;"")))</f>
        <v/>
      </c>
      <c r="L907" s="27">
        <f>IF($A907="","",TRIM(IF(ISERROR(FIND(",",$C907)),$C907,LEFT($C907,FIND(",",$C907)-1))))</f>
        <v/>
      </c>
      <c r="M907" s="28">
        <f>IF($H907="","",DATE(YEAR($H907),MONTH($H907),1))</f>
        <v/>
      </c>
      <c r="N907" s="26">
        <f>IF($H907="","",TODAY()-$H907)</f>
        <v/>
      </c>
      <c r="O907" s="15" t="n"/>
      <c r="P907" s="26">
        <f>IF($A907="","",COUNTIFS('Audit Versions'!$A$6:$A$605,$A907,'Audit Versions'!$L$6:$L$605,"Active"))</f>
        <v/>
      </c>
      <c r="Q907" s="15" t="n"/>
      <c r="R907" s="26">
        <f>IF(OR($A907="",$P907=0),"",MOD(N($Q907),$P907)+1)</f>
        <v/>
      </c>
      <c r="S907" s="15" t="n"/>
      <c r="T907" s="25" t="n"/>
      <c r="U907" s="26">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Builder'!$B$12="",N($S907)&lt;='Assignment Builder'!$B$12)))</f>
        <v/>
      </c>
      <c r="V907" s="23" t="n"/>
    </row>
    <row r="908">
      <c r="A908" s="23" t="n"/>
      <c r="B908" s="23" t="n"/>
      <c r="C908" s="24" t="n"/>
      <c r="D908" s="15" t="n"/>
      <c r="E908" s="23" t="n"/>
      <c r="F908" s="15" t="n"/>
      <c r="G908" s="23" t="n"/>
      <c r="H908" s="25" t="n"/>
      <c r="I908" s="15" t="n"/>
      <c r="J908" s="26">
        <f>IF($A908="","",LEN($C908)-LEN(SUBSTITUTE($C908,",",""))+1)</f>
        <v/>
      </c>
      <c r="K908" s="26">
        <f>IF($A908="","",SUMPRODUCT(--ISNUMBER(SEARCH('Category Dictionary'!$D$5:$D$135&amp;"",$C908)),--('Category Dictionary'!$D$5:$D$135&lt;&gt;"")))</f>
        <v/>
      </c>
      <c r="L908" s="27">
        <f>IF($A908="","",TRIM(IF(ISERROR(FIND(",",$C908)),$C908,LEFT($C908,FIND(",",$C908)-1))))</f>
        <v/>
      </c>
      <c r="M908" s="28">
        <f>IF($H908="","",DATE(YEAR($H908),MONTH($H908),1))</f>
        <v/>
      </c>
      <c r="N908" s="26">
        <f>IF($H908="","",TODAY()-$H908)</f>
        <v/>
      </c>
      <c r="O908" s="15" t="n"/>
      <c r="P908" s="26">
        <f>IF($A908="","",COUNTIFS('Audit Versions'!$A$6:$A$605,$A908,'Audit Versions'!$L$6:$L$605,"Active"))</f>
        <v/>
      </c>
      <c r="Q908" s="15" t="n"/>
      <c r="R908" s="26">
        <f>IF(OR($A908="",$P908=0),"",MOD(N($Q908),$P908)+1)</f>
        <v/>
      </c>
      <c r="S908" s="15" t="n"/>
      <c r="T908" s="25" t="n"/>
      <c r="U908" s="26">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Builder'!$B$12="",N($S908)&lt;='Assignment Builder'!$B$12)))</f>
        <v/>
      </c>
      <c r="V908" s="23" t="n"/>
    </row>
    <row r="909">
      <c r="A909" s="23" t="n"/>
      <c r="B909" s="23" t="n"/>
      <c r="C909" s="24" t="n"/>
      <c r="D909" s="15" t="n"/>
      <c r="E909" s="23" t="n"/>
      <c r="F909" s="15" t="n"/>
      <c r="G909" s="23" t="n"/>
      <c r="H909" s="25" t="n"/>
      <c r="I909" s="15" t="n"/>
      <c r="J909" s="26">
        <f>IF($A909="","",LEN($C909)-LEN(SUBSTITUTE($C909,",",""))+1)</f>
        <v/>
      </c>
      <c r="K909" s="26">
        <f>IF($A909="","",SUMPRODUCT(--ISNUMBER(SEARCH('Category Dictionary'!$D$5:$D$135&amp;"",$C909)),--('Category Dictionary'!$D$5:$D$135&lt;&gt;"")))</f>
        <v/>
      </c>
      <c r="L909" s="27">
        <f>IF($A909="","",TRIM(IF(ISERROR(FIND(",",$C909)),$C909,LEFT($C909,FIND(",",$C909)-1))))</f>
        <v/>
      </c>
      <c r="M909" s="28">
        <f>IF($H909="","",DATE(YEAR($H909),MONTH($H909),1))</f>
        <v/>
      </c>
      <c r="N909" s="26">
        <f>IF($H909="","",TODAY()-$H909)</f>
        <v/>
      </c>
      <c r="O909" s="15" t="n"/>
      <c r="P909" s="26">
        <f>IF($A909="","",COUNTIFS('Audit Versions'!$A$6:$A$605,$A909,'Audit Versions'!$L$6:$L$605,"Active"))</f>
        <v/>
      </c>
      <c r="Q909" s="15" t="n"/>
      <c r="R909" s="26">
        <f>IF(OR($A909="",$P909=0),"",MOD(N($Q909),$P909)+1)</f>
        <v/>
      </c>
      <c r="S909" s="15" t="n"/>
      <c r="T909" s="25" t="n"/>
      <c r="U909" s="26">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Builder'!$B$12="",N($S909)&lt;='Assignment Builder'!$B$12)))</f>
        <v/>
      </c>
      <c r="V909" s="23" t="n"/>
    </row>
    <row r="910">
      <c r="A910" s="23" t="n"/>
      <c r="B910" s="23" t="n"/>
      <c r="C910" s="24" t="n"/>
      <c r="D910" s="15" t="n"/>
      <c r="E910" s="23" t="n"/>
      <c r="F910" s="15" t="n"/>
      <c r="G910" s="23" t="n"/>
      <c r="H910" s="25" t="n"/>
      <c r="I910" s="15" t="n"/>
      <c r="J910" s="26">
        <f>IF($A910="","",LEN($C910)-LEN(SUBSTITUTE($C910,",",""))+1)</f>
        <v/>
      </c>
      <c r="K910" s="26">
        <f>IF($A910="","",SUMPRODUCT(--ISNUMBER(SEARCH('Category Dictionary'!$D$5:$D$135&amp;"",$C910)),--('Category Dictionary'!$D$5:$D$135&lt;&gt;"")))</f>
        <v/>
      </c>
      <c r="L910" s="27">
        <f>IF($A910="","",TRIM(IF(ISERROR(FIND(",",$C910)),$C910,LEFT($C910,FIND(",",$C910)-1))))</f>
        <v/>
      </c>
      <c r="M910" s="28">
        <f>IF($H910="","",DATE(YEAR($H910),MONTH($H910),1))</f>
        <v/>
      </c>
      <c r="N910" s="26">
        <f>IF($H910="","",TODAY()-$H910)</f>
        <v/>
      </c>
      <c r="O910" s="15" t="n"/>
      <c r="P910" s="26">
        <f>IF($A910="","",COUNTIFS('Audit Versions'!$A$6:$A$605,$A910,'Audit Versions'!$L$6:$L$605,"Active"))</f>
        <v/>
      </c>
      <c r="Q910" s="15" t="n"/>
      <c r="R910" s="26">
        <f>IF(OR($A910="",$P910=0),"",MOD(N($Q910),$P910)+1)</f>
        <v/>
      </c>
      <c r="S910" s="15" t="n"/>
      <c r="T910" s="25" t="n"/>
      <c r="U910" s="26">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Builder'!$B$12="",N($S910)&lt;='Assignment Builder'!$B$12)))</f>
        <v/>
      </c>
      <c r="V910" s="23" t="n"/>
    </row>
    <row r="911">
      <c r="A911" s="23" t="n"/>
      <c r="B911" s="23" t="n"/>
      <c r="C911" s="24" t="n"/>
      <c r="D911" s="15" t="n"/>
      <c r="E911" s="23" t="n"/>
      <c r="F911" s="15" t="n"/>
      <c r="G911" s="23" t="n"/>
      <c r="H911" s="25" t="n"/>
      <c r="I911" s="15" t="n"/>
      <c r="J911" s="26">
        <f>IF($A911="","",LEN($C911)-LEN(SUBSTITUTE($C911,",",""))+1)</f>
        <v/>
      </c>
      <c r="K911" s="26">
        <f>IF($A911="","",SUMPRODUCT(--ISNUMBER(SEARCH('Category Dictionary'!$D$5:$D$135&amp;"",$C911)),--('Category Dictionary'!$D$5:$D$135&lt;&gt;"")))</f>
        <v/>
      </c>
      <c r="L911" s="27">
        <f>IF($A911="","",TRIM(IF(ISERROR(FIND(",",$C911)),$C911,LEFT($C911,FIND(",",$C911)-1))))</f>
        <v/>
      </c>
      <c r="M911" s="28">
        <f>IF($H911="","",DATE(YEAR($H911),MONTH($H911),1))</f>
        <v/>
      </c>
      <c r="N911" s="26">
        <f>IF($H911="","",TODAY()-$H911)</f>
        <v/>
      </c>
      <c r="O911" s="15" t="n"/>
      <c r="P911" s="26">
        <f>IF($A911="","",COUNTIFS('Audit Versions'!$A$6:$A$605,$A911,'Audit Versions'!$L$6:$L$605,"Active"))</f>
        <v/>
      </c>
      <c r="Q911" s="15" t="n"/>
      <c r="R911" s="26">
        <f>IF(OR($A911="",$P911=0),"",MOD(N($Q911),$P911)+1)</f>
        <v/>
      </c>
      <c r="S911" s="15" t="n"/>
      <c r="T911" s="25" t="n"/>
      <c r="U911" s="26">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Builder'!$B$12="",N($S911)&lt;='Assignment Builder'!$B$12)))</f>
        <v/>
      </c>
      <c r="V911" s="23" t="n"/>
    </row>
    <row r="912">
      <c r="A912" s="23" t="n"/>
      <c r="B912" s="23" t="n"/>
      <c r="C912" s="24" t="n"/>
      <c r="D912" s="15" t="n"/>
      <c r="E912" s="23" t="n"/>
      <c r="F912" s="15" t="n"/>
      <c r="G912" s="23" t="n"/>
      <c r="H912" s="25" t="n"/>
      <c r="I912" s="15" t="n"/>
      <c r="J912" s="26">
        <f>IF($A912="","",LEN($C912)-LEN(SUBSTITUTE($C912,",",""))+1)</f>
        <v/>
      </c>
      <c r="K912" s="26">
        <f>IF($A912="","",SUMPRODUCT(--ISNUMBER(SEARCH('Category Dictionary'!$D$5:$D$135&amp;"",$C912)),--('Category Dictionary'!$D$5:$D$135&lt;&gt;"")))</f>
        <v/>
      </c>
      <c r="L912" s="27">
        <f>IF($A912="","",TRIM(IF(ISERROR(FIND(",",$C912)),$C912,LEFT($C912,FIND(",",$C912)-1))))</f>
        <v/>
      </c>
      <c r="M912" s="28">
        <f>IF($H912="","",DATE(YEAR($H912),MONTH($H912),1))</f>
        <v/>
      </c>
      <c r="N912" s="26">
        <f>IF($H912="","",TODAY()-$H912)</f>
        <v/>
      </c>
      <c r="O912" s="15" t="n"/>
      <c r="P912" s="26">
        <f>IF($A912="","",COUNTIFS('Audit Versions'!$A$6:$A$605,$A912,'Audit Versions'!$L$6:$L$605,"Active"))</f>
        <v/>
      </c>
      <c r="Q912" s="15" t="n"/>
      <c r="R912" s="26">
        <f>IF(OR($A912="",$P912=0),"",MOD(N($Q912),$P912)+1)</f>
        <v/>
      </c>
      <c r="S912" s="15" t="n"/>
      <c r="T912" s="25" t="n"/>
      <c r="U912" s="26">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Builder'!$B$12="",N($S912)&lt;='Assignment Builder'!$B$12)))</f>
        <v/>
      </c>
      <c r="V912" s="23" t="n"/>
    </row>
    <row r="913">
      <c r="A913" s="23" t="n"/>
      <c r="B913" s="23" t="n"/>
      <c r="C913" s="24" t="n"/>
      <c r="D913" s="15" t="n"/>
      <c r="E913" s="23" t="n"/>
      <c r="F913" s="15" t="n"/>
      <c r="G913" s="23" t="n"/>
      <c r="H913" s="25" t="n"/>
      <c r="I913" s="15" t="n"/>
      <c r="J913" s="26">
        <f>IF($A913="","",LEN($C913)-LEN(SUBSTITUTE($C913,",",""))+1)</f>
        <v/>
      </c>
      <c r="K913" s="26">
        <f>IF($A913="","",SUMPRODUCT(--ISNUMBER(SEARCH('Category Dictionary'!$D$5:$D$135&amp;"",$C913)),--('Category Dictionary'!$D$5:$D$135&lt;&gt;"")))</f>
        <v/>
      </c>
      <c r="L913" s="27">
        <f>IF($A913="","",TRIM(IF(ISERROR(FIND(",",$C913)),$C913,LEFT($C913,FIND(",",$C913)-1))))</f>
        <v/>
      </c>
      <c r="M913" s="28">
        <f>IF($H913="","",DATE(YEAR($H913),MONTH($H913),1))</f>
        <v/>
      </c>
      <c r="N913" s="26">
        <f>IF($H913="","",TODAY()-$H913)</f>
        <v/>
      </c>
      <c r="O913" s="15" t="n"/>
      <c r="P913" s="26">
        <f>IF($A913="","",COUNTIFS('Audit Versions'!$A$6:$A$605,$A913,'Audit Versions'!$L$6:$L$605,"Active"))</f>
        <v/>
      </c>
      <c r="Q913" s="15" t="n"/>
      <c r="R913" s="26">
        <f>IF(OR($A913="",$P913=0),"",MOD(N($Q913),$P913)+1)</f>
        <v/>
      </c>
      <c r="S913" s="15" t="n"/>
      <c r="T913" s="25" t="n"/>
      <c r="U913" s="26">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Builder'!$B$12="",N($S913)&lt;='Assignment Builder'!$B$12)))</f>
        <v/>
      </c>
      <c r="V913" s="23" t="n"/>
    </row>
    <row r="914">
      <c r="A914" s="23" t="n"/>
      <c r="B914" s="23" t="n"/>
      <c r="C914" s="24" t="n"/>
      <c r="D914" s="15" t="n"/>
      <c r="E914" s="23" t="n"/>
      <c r="F914" s="15" t="n"/>
      <c r="G914" s="23" t="n"/>
      <c r="H914" s="25" t="n"/>
      <c r="I914" s="15" t="n"/>
      <c r="J914" s="26">
        <f>IF($A914="","",LEN($C914)-LEN(SUBSTITUTE($C914,",",""))+1)</f>
        <v/>
      </c>
      <c r="K914" s="26">
        <f>IF($A914="","",SUMPRODUCT(--ISNUMBER(SEARCH('Category Dictionary'!$D$5:$D$135&amp;"",$C914)),--('Category Dictionary'!$D$5:$D$135&lt;&gt;"")))</f>
        <v/>
      </c>
      <c r="L914" s="27">
        <f>IF($A914="","",TRIM(IF(ISERROR(FIND(",",$C914)),$C914,LEFT($C914,FIND(",",$C914)-1))))</f>
        <v/>
      </c>
      <c r="M914" s="28">
        <f>IF($H914="","",DATE(YEAR($H914),MONTH($H914),1))</f>
        <v/>
      </c>
      <c r="N914" s="26">
        <f>IF($H914="","",TODAY()-$H914)</f>
        <v/>
      </c>
      <c r="O914" s="15" t="n"/>
      <c r="P914" s="26">
        <f>IF($A914="","",COUNTIFS('Audit Versions'!$A$6:$A$605,$A914,'Audit Versions'!$L$6:$L$605,"Active"))</f>
        <v/>
      </c>
      <c r="Q914" s="15" t="n"/>
      <c r="R914" s="26">
        <f>IF(OR($A914="",$P914=0),"",MOD(N($Q914),$P914)+1)</f>
        <v/>
      </c>
      <c r="S914" s="15" t="n"/>
      <c r="T914" s="25" t="n"/>
      <c r="U914" s="26">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Builder'!$B$12="",N($S914)&lt;='Assignment Builder'!$B$12)))</f>
        <v/>
      </c>
      <c r="V914" s="23" t="n"/>
    </row>
    <row r="915">
      <c r="A915" s="23" t="n"/>
      <c r="B915" s="23" t="n"/>
      <c r="C915" s="24" t="n"/>
      <c r="D915" s="15" t="n"/>
      <c r="E915" s="23" t="n"/>
      <c r="F915" s="15" t="n"/>
      <c r="G915" s="23" t="n"/>
      <c r="H915" s="25" t="n"/>
      <c r="I915" s="15" t="n"/>
      <c r="J915" s="26">
        <f>IF($A915="","",LEN($C915)-LEN(SUBSTITUTE($C915,",",""))+1)</f>
        <v/>
      </c>
      <c r="K915" s="26">
        <f>IF($A915="","",SUMPRODUCT(--ISNUMBER(SEARCH('Category Dictionary'!$D$5:$D$135&amp;"",$C915)),--('Category Dictionary'!$D$5:$D$135&lt;&gt;"")))</f>
        <v/>
      </c>
      <c r="L915" s="27">
        <f>IF($A915="","",TRIM(IF(ISERROR(FIND(",",$C915)),$C915,LEFT($C915,FIND(",",$C915)-1))))</f>
        <v/>
      </c>
      <c r="M915" s="28">
        <f>IF($H915="","",DATE(YEAR($H915),MONTH($H915),1))</f>
        <v/>
      </c>
      <c r="N915" s="26">
        <f>IF($H915="","",TODAY()-$H915)</f>
        <v/>
      </c>
      <c r="O915" s="15" t="n"/>
      <c r="P915" s="26">
        <f>IF($A915="","",COUNTIFS('Audit Versions'!$A$6:$A$605,$A915,'Audit Versions'!$L$6:$L$605,"Active"))</f>
        <v/>
      </c>
      <c r="Q915" s="15" t="n"/>
      <c r="R915" s="26">
        <f>IF(OR($A915="",$P915=0),"",MOD(N($Q915),$P915)+1)</f>
        <v/>
      </c>
      <c r="S915" s="15" t="n"/>
      <c r="T915" s="25" t="n"/>
      <c r="U915" s="26">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Builder'!$B$12="",N($S915)&lt;='Assignment Builder'!$B$12)))</f>
        <v/>
      </c>
      <c r="V915" s="23" t="n"/>
    </row>
    <row r="916">
      <c r="A916" s="23" t="n"/>
      <c r="B916" s="23" t="n"/>
      <c r="C916" s="24" t="n"/>
      <c r="D916" s="15" t="n"/>
      <c r="E916" s="23" t="n"/>
      <c r="F916" s="15" t="n"/>
      <c r="G916" s="23" t="n"/>
      <c r="H916" s="25" t="n"/>
      <c r="I916" s="15" t="n"/>
      <c r="J916" s="26">
        <f>IF($A916="","",LEN($C916)-LEN(SUBSTITUTE($C916,",",""))+1)</f>
        <v/>
      </c>
      <c r="K916" s="26">
        <f>IF($A916="","",SUMPRODUCT(--ISNUMBER(SEARCH('Category Dictionary'!$D$5:$D$135&amp;"",$C916)),--('Category Dictionary'!$D$5:$D$135&lt;&gt;"")))</f>
        <v/>
      </c>
      <c r="L916" s="27">
        <f>IF($A916="","",TRIM(IF(ISERROR(FIND(",",$C916)),$C916,LEFT($C916,FIND(",",$C916)-1))))</f>
        <v/>
      </c>
      <c r="M916" s="28">
        <f>IF($H916="","",DATE(YEAR($H916),MONTH($H916),1))</f>
        <v/>
      </c>
      <c r="N916" s="26">
        <f>IF($H916="","",TODAY()-$H916)</f>
        <v/>
      </c>
      <c r="O916" s="15" t="n"/>
      <c r="P916" s="26">
        <f>IF($A916="","",COUNTIFS('Audit Versions'!$A$6:$A$605,$A916,'Audit Versions'!$L$6:$L$605,"Active"))</f>
        <v/>
      </c>
      <c r="Q916" s="15" t="n"/>
      <c r="R916" s="26">
        <f>IF(OR($A916="",$P916=0),"",MOD(N($Q916),$P916)+1)</f>
        <v/>
      </c>
      <c r="S916" s="15" t="n"/>
      <c r="T916" s="25" t="n"/>
      <c r="U916" s="26">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Builder'!$B$12="",N($S916)&lt;='Assignment Builder'!$B$12)))</f>
        <v/>
      </c>
      <c r="V916" s="23" t="n"/>
    </row>
    <row r="917">
      <c r="A917" s="23" t="n"/>
      <c r="B917" s="23" t="n"/>
      <c r="C917" s="24" t="n"/>
      <c r="D917" s="15" t="n"/>
      <c r="E917" s="23" t="n"/>
      <c r="F917" s="15" t="n"/>
      <c r="G917" s="23" t="n"/>
      <c r="H917" s="25" t="n"/>
      <c r="I917" s="15" t="n"/>
      <c r="J917" s="26">
        <f>IF($A917="","",LEN($C917)-LEN(SUBSTITUTE($C917,",",""))+1)</f>
        <v/>
      </c>
      <c r="K917" s="26">
        <f>IF($A917="","",SUMPRODUCT(--ISNUMBER(SEARCH('Category Dictionary'!$D$5:$D$135&amp;"",$C917)),--('Category Dictionary'!$D$5:$D$135&lt;&gt;"")))</f>
        <v/>
      </c>
      <c r="L917" s="27">
        <f>IF($A917="","",TRIM(IF(ISERROR(FIND(",",$C917)),$C917,LEFT($C917,FIND(",",$C917)-1))))</f>
        <v/>
      </c>
      <c r="M917" s="28">
        <f>IF($H917="","",DATE(YEAR($H917),MONTH($H917),1))</f>
        <v/>
      </c>
      <c r="N917" s="26">
        <f>IF($H917="","",TODAY()-$H917)</f>
        <v/>
      </c>
      <c r="O917" s="15" t="n"/>
      <c r="P917" s="26">
        <f>IF($A917="","",COUNTIFS('Audit Versions'!$A$6:$A$605,$A917,'Audit Versions'!$L$6:$L$605,"Active"))</f>
        <v/>
      </c>
      <c r="Q917" s="15" t="n"/>
      <c r="R917" s="26">
        <f>IF(OR($A917="",$P917=0),"",MOD(N($Q917),$P917)+1)</f>
        <v/>
      </c>
      <c r="S917" s="15" t="n"/>
      <c r="T917" s="25" t="n"/>
      <c r="U917" s="26">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Builder'!$B$12="",N($S917)&lt;='Assignment Builder'!$B$12)))</f>
        <v/>
      </c>
      <c r="V917" s="23" t="n"/>
    </row>
    <row r="918">
      <c r="A918" s="23" t="n"/>
      <c r="B918" s="23" t="n"/>
      <c r="C918" s="24" t="n"/>
      <c r="D918" s="15" t="n"/>
      <c r="E918" s="23" t="n"/>
      <c r="F918" s="15" t="n"/>
      <c r="G918" s="23" t="n"/>
      <c r="H918" s="25" t="n"/>
      <c r="I918" s="15" t="n"/>
      <c r="J918" s="26">
        <f>IF($A918="","",LEN($C918)-LEN(SUBSTITUTE($C918,",",""))+1)</f>
        <v/>
      </c>
      <c r="K918" s="26">
        <f>IF($A918="","",SUMPRODUCT(--ISNUMBER(SEARCH('Category Dictionary'!$D$5:$D$135&amp;"",$C918)),--('Category Dictionary'!$D$5:$D$135&lt;&gt;"")))</f>
        <v/>
      </c>
      <c r="L918" s="27">
        <f>IF($A918="","",TRIM(IF(ISERROR(FIND(",",$C918)),$C918,LEFT($C918,FIND(",",$C918)-1))))</f>
        <v/>
      </c>
      <c r="M918" s="28">
        <f>IF($H918="","",DATE(YEAR($H918),MONTH($H918),1))</f>
        <v/>
      </c>
      <c r="N918" s="26">
        <f>IF($H918="","",TODAY()-$H918)</f>
        <v/>
      </c>
      <c r="O918" s="15" t="n"/>
      <c r="P918" s="26">
        <f>IF($A918="","",COUNTIFS('Audit Versions'!$A$6:$A$605,$A918,'Audit Versions'!$L$6:$L$605,"Active"))</f>
        <v/>
      </c>
      <c r="Q918" s="15" t="n"/>
      <c r="R918" s="26">
        <f>IF(OR($A918="",$P918=0),"",MOD(N($Q918),$P918)+1)</f>
        <v/>
      </c>
      <c r="S918" s="15" t="n"/>
      <c r="T918" s="25" t="n"/>
      <c r="U918" s="26">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Builder'!$B$12="",N($S918)&lt;='Assignment Builder'!$B$12)))</f>
        <v/>
      </c>
      <c r="V918" s="23" t="n"/>
    </row>
    <row r="919">
      <c r="A919" s="23" t="n"/>
      <c r="B919" s="23" t="n"/>
      <c r="C919" s="24" t="n"/>
      <c r="D919" s="15" t="n"/>
      <c r="E919" s="23" t="n"/>
      <c r="F919" s="15" t="n"/>
      <c r="G919" s="23" t="n"/>
      <c r="H919" s="25" t="n"/>
      <c r="I919" s="15" t="n"/>
      <c r="J919" s="26">
        <f>IF($A919="","",LEN($C919)-LEN(SUBSTITUTE($C919,",",""))+1)</f>
        <v/>
      </c>
      <c r="K919" s="26">
        <f>IF($A919="","",SUMPRODUCT(--ISNUMBER(SEARCH('Category Dictionary'!$D$5:$D$135&amp;"",$C919)),--('Category Dictionary'!$D$5:$D$135&lt;&gt;"")))</f>
        <v/>
      </c>
      <c r="L919" s="27">
        <f>IF($A919="","",TRIM(IF(ISERROR(FIND(",",$C919)),$C919,LEFT($C919,FIND(",",$C919)-1))))</f>
        <v/>
      </c>
      <c r="M919" s="28">
        <f>IF($H919="","",DATE(YEAR($H919),MONTH($H919),1))</f>
        <v/>
      </c>
      <c r="N919" s="26">
        <f>IF($H919="","",TODAY()-$H919)</f>
        <v/>
      </c>
      <c r="O919" s="15" t="n"/>
      <c r="P919" s="26">
        <f>IF($A919="","",COUNTIFS('Audit Versions'!$A$6:$A$605,$A919,'Audit Versions'!$L$6:$L$605,"Active"))</f>
        <v/>
      </c>
      <c r="Q919" s="15" t="n"/>
      <c r="R919" s="26">
        <f>IF(OR($A919="",$P919=0),"",MOD(N($Q919),$P919)+1)</f>
        <v/>
      </c>
      <c r="S919" s="15" t="n"/>
      <c r="T919" s="25" t="n"/>
      <c r="U919" s="26">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Builder'!$B$12="",N($S919)&lt;='Assignment Builder'!$B$12)))</f>
        <v/>
      </c>
      <c r="V919" s="23" t="n"/>
    </row>
    <row r="920">
      <c r="A920" s="23" t="n"/>
      <c r="B920" s="23" t="n"/>
      <c r="C920" s="24" t="n"/>
      <c r="D920" s="15" t="n"/>
      <c r="E920" s="23" t="n"/>
      <c r="F920" s="15" t="n"/>
      <c r="G920" s="23" t="n"/>
      <c r="H920" s="25" t="n"/>
      <c r="I920" s="15" t="n"/>
      <c r="J920" s="26">
        <f>IF($A920="","",LEN($C920)-LEN(SUBSTITUTE($C920,",",""))+1)</f>
        <v/>
      </c>
      <c r="K920" s="26">
        <f>IF($A920="","",SUMPRODUCT(--ISNUMBER(SEARCH('Category Dictionary'!$D$5:$D$135&amp;"",$C920)),--('Category Dictionary'!$D$5:$D$135&lt;&gt;"")))</f>
        <v/>
      </c>
      <c r="L920" s="27">
        <f>IF($A920="","",TRIM(IF(ISERROR(FIND(",",$C920)),$C920,LEFT($C920,FIND(",",$C920)-1))))</f>
        <v/>
      </c>
      <c r="M920" s="28">
        <f>IF($H920="","",DATE(YEAR($H920),MONTH($H920),1))</f>
        <v/>
      </c>
      <c r="N920" s="26">
        <f>IF($H920="","",TODAY()-$H920)</f>
        <v/>
      </c>
      <c r="O920" s="15" t="n"/>
      <c r="P920" s="26">
        <f>IF($A920="","",COUNTIFS('Audit Versions'!$A$6:$A$605,$A920,'Audit Versions'!$L$6:$L$605,"Active"))</f>
        <v/>
      </c>
      <c r="Q920" s="15" t="n"/>
      <c r="R920" s="26">
        <f>IF(OR($A920="",$P920=0),"",MOD(N($Q920),$P920)+1)</f>
        <v/>
      </c>
      <c r="S920" s="15" t="n"/>
      <c r="T920" s="25" t="n"/>
      <c r="U920" s="26">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Builder'!$B$12="",N($S920)&lt;='Assignment Builder'!$B$12)))</f>
        <v/>
      </c>
      <c r="V920" s="23" t="n"/>
    </row>
    <row r="921">
      <c r="A921" s="23" t="n"/>
      <c r="B921" s="23" t="n"/>
      <c r="C921" s="24" t="n"/>
      <c r="D921" s="15" t="n"/>
      <c r="E921" s="23" t="n"/>
      <c r="F921" s="15" t="n"/>
      <c r="G921" s="23" t="n"/>
      <c r="H921" s="25" t="n"/>
      <c r="I921" s="15" t="n"/>
      <c r="J921" s="26">
        <f>IF($A921="","",LEN($C921)-LEN(SUBSTITUTE($C921,",",""))+1)</f>
        <v/>
      </c>
      <c r="K921" s="26">
        <f>IF($A921="","",SUMPRODUCT(--ISNUMBER(SEARCH('Category Dictionary'!$D$5:$D$135&amp;"",$C921)),--('Category Dictionary'!$D$5:$D$135&lt;&gt;"")))</f>
        <v/>
      </c>
      <c r="L921" s="27">
        <f>IF($A921="","",TRIM(IF(ISERROR(FIND(",",$C921)),$C921,LEFT($C921,FIND(",",$C921)-1))))</f>
        <v/>
      </c>
      <c r="M921" s="28">
        <f>IF($H921="","",DATE(YEAR($H921),MONTH($H921),1))</f>
        <v/>
      </c>
      <c r="N921" s="26">
        <f>IF($H921="","",TODAY()-$H921)</f>
        <v/>
      </c>
      <c r="O921" s="15" t="n"/>
      <c r="P921" s="26">
        <f>IF($A921="","",COUNTIFS('Audit Versions'!$A$6:$A$605,$A921,'Audit Versions'!$L$6:$L$605,"Active"))</f>
        <v/>
      </c>
      <c r="Q921" s="15" t="n"/>
      <c r="R921" s="26">
        <f>IF(OR($A921="",$P921=0),"",MOD(N($Q921),$P921)+1)</f>
        <v/>
      </c>
      <c r="S921" s="15" t="n"/>
      <c r="T921" s="25" t="n"/>
      <c r="U921" s="26">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Builder'!$B$12="",N($S921)&lt;='Assignment Builder'!$B$12)))</f>
        <v/>
      </c>
      <c r="V921" s="23" t="n"/>
    </row>
    <row r="922">
      <c r="A922" s="23" t="n"/>
      <c r="B922" s="23" t="n"/>
      <c r="C922" s="24" t="n"/>
      <c r="D922" s="15" t="n"/>
      <c r="E922" s="23" t="n"/>
      <c r="F922" s="15" t="n"/>
      <c r="G922" s="23" t="n"/>
      <c r="H922" s="25" t="n"/>
      <c r="I922" s="15" t="n"/>
      <c r="J922" s="26">
        <f>IF($A922="","",LEN($C922)-LEN(SUBSTITUTE($C922,",",""))+1)</f>
        <v/>
      </c>
      <c r="K922" s="26">
        <f>IF($A922="","",SUMPRODUCT(--ISNUMBER(SEARCH('Category Dictionary'!$D$5:$D$135&amp;"",$C922)),--('Category Dictionary'!$D$5:$D$135&lt;&gt;"")))</f>
        <v/>
      </c>
      <c r="L922" s="27">
        <f>IF($A922="","",TRIM(IF(ISERROR(FIND(",",$C922)),$C922,LEFT($C922,FIND(",",$C922)-1))))</f>
        <v/>
      </c>
      <c r="M922" s="28">
        <f>IF($H922="","",DATE(YEAR($H922),MONTH($H922),1))</f>
        <v/>
      </c>
      <c r="N922" s="26">
        <f>IF($H922="","",TODAY()-$H922)</f>
        <v/>
      </c>
      <c r="O922" s="15" t="n"/>
      <c r="P922" s="26">
        <f>IF($A922="","",COUNTIFS('Audit Versions'!$A$6:$A$605,$A922,'Audit Versions'!$L$6:$L$605,"Active"))</f>
        <v/>
      </c>
      <c r="Q922" s="15" t="n"/>
      <c r="R922" s="26">
        <f>IF(OR($A922="",$P922=0),"",MOD(N($Q922),$P922)+1)</f>
        <v/>
      </c>
      <c r="S922" s="15" t="n"/>
      <c r="T922" s="25" t="n"/>
      <c r="U922" s="26">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Builder'!$B$12="",N($S922)&lt;='Assignment Builder'!$B$12)))</f>
        <v/>
      </c>
      <c r="V922" s="23" t="n"/>
    </row>
    <row r="923">
      <c r="A923" s="23" t="n"/>
      <c r="B923" s="23" t="n"/>
      <c r="C923" s="24" t="n"/>
      <c r="D923" s="15" t="n"/>
      <c r="E923" s="23" t="n"/>
      <c r="F923" s="15" t="n"/>
      <c r="G923" s="23" t="n"/>
      <c r="H923" s="25" t="n"/>
      <c r="I923" s="15" t="n"/>
      <c r="J923" s="26">
        <f>IF($A923="","",LEN($C923)-LEN(SUBSTITUTE($C923,",",""))+1)</f>
        <v/>
      </c>
      <c r="K923" s="26">
        <f>IF($A923="","",SUMPRODUCT(--ISNUMBER(SEARCH('Category Dictionary'!$D$5:$D$135&amp;"",$C923)),--('Category Dictionary'!$D$5:$D$135&lt;&gt;"")))</f>
        <v/>
      </c>
      <c r="L923" s="27">
        <f>IF($A923="","",TRIM(IF(ISERROR(FIND(",",$C923)),$C923,LEFT($C923,FIND(",",$C923)-1))))</f>
        <v/>
      </c>
      <c r="M923" s="28">
        <f>IF($H923="","",DATE(YEAR($H923),MONTH($H923),1))</f>
        <v/>
      </c>
      <c r="N923" s="26">
        <f>IF($H923="","",TODAY()-$H923)</f>
        <v/>
      </c>
      <c r="O923" s="15" t="n"/>
      <c r="P923" s="26">
        <f>IF($A923="","",COUNTIFS('Audit Versions'!$A$6:$A$605,$A923,'Audit Versions'!$L$6:$L$605,"Active"))</f>
        <v/>
      </c>
      <c r="Q923" s="15" t="n"/>
      <c r="R923" s="26">
        <f>IF(OR($A923="",$P923=0),"",MOD(N($Q923),$P923)+1)</f>
        <v/>
      </c>
      <c r="S923" s="15" t="n"/>
      <c r="T923" s="25" t="n"/>
      <c r="U923" s="26">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Builder'!$B$12="",N($S923)&lt;='Assignment Builder'!$B$12)))</f>
        <v/>
      </c>
      <c r="V923" s="23" t="n"/>
    </row>
    <row r="924">
      <c r="A924" s="23" t="n"/>
      <c r="B924" s="23" t="n"/>
      <c r="C924" s="24" t="n"/>
      <c r="D924" s="15" t="n"/>
      <c r="E924" s="23" t="n"/>
      <c r="F924" s="15" t="n"/>
      <c r="G924" s="23" t="n"/>
      <c r="H924" s="25" t="n"/>
      <c r="I924" s="15" t="n"/>
      <c r="J924" s="26">
        <f>IF($A924="","",LEN($C924)-LEN(SUBSTITUTE($C924,",",""))+1)</f>
        <v/>
      </c>
      <c r="K924" s="26">
        <f>IF($A924="","",SUMPRODUCT(--ISNUMBER(SEARCH('Category Dictionary'!$D$5:$D$135&amp;"",$C924)),--('Category Dictionary'!$D$5:$D$135&lt;&gt;"")))</f>
        <v/>
      </c>
      <c r="L924" s="27">
        <f>IF($A924="","",TRIM(IF(ISERROR(FIND(",",$C924)),$C924,LEFT($C924,FIND(",",$C924)-1))))</f>
        <v/>
      </c>
      <c r="M924" s="28">
        <f>IF($H924="","",DATE(YEAR($H924),MONTH($H924),1))</f>
        <v/>
      </c>
      <c r="N924" s="26">
        <f>IF($H924="","",TODAY()-$H924)</f>
        <v/>
      </c>
      <c r="O924" s="15" t="n"/>
      <c r="P924" s="26">
        <f>IF($A924="","",COUNTIFS('Audit Versions'!$A$6:$A$605,$A924,'Audit Versions'!$L$6:$L$605,"Active"))</f>
        <v/>
      </c>
      <c r="Q924" s="15" t="n"/>
      <c r="R924" s="26">
        <f>IF(OR($A924="",$P924=0),"",MOD(N($Q924),$P924)+1)</f>
        <v/>
      </c>
      <c r="S924" s="15" t="n"/>
      <c r="T924" s="25" t="n"/>
      <c r="U924" s="26">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Builder'!$B$12="",N($S924)&lt;='Assignment Builder'!$B$12)))</f>
        <v/>
      </c>
      <c r="V924" s="23" t="n"/>
    </row>
    <row r="925">
      <c r="A925" s="23" t="n"/>
      <c r="B925" s="23" t="n"/>
      <c r="C925" s="24" t="n"/>
      <c r="D925" s="15" t="n"/>
      <c r="E925" s="23" t="n"/>
      <c r="F925" s="15" t="n"/>
      <c r="G925" s="23" t="n"/>
      <c r="H925" s="25" t="n"/>
      <c r="I925" s="15" t="n"/>
      <c r="J925" s="26">
        <f>IF($A925="","",LEN($C925)-LEN(SUBSTITUTE($C925,",",""))+1)</f>
        <v/>
      </c>
      <c r="K925" s="26">
        <f>IF($A925="","",SUMPRODUCT(--ISNUMBER(SEARCH('Category Dictionary'!$D$5:$D$135&amp;"",$C925)),--('Category Dictionary'!$D$5:$D$135&lt;&gt;"")))</f>
        <v/>
      </c>
      <c r="L925" s="27">
        <f>IF($A925="","",TRIM(IF(ISERROR(FIND(",",$C925)),$C925,LEFT($C925,FIND(",",$C925)-1))))</f>
        <v/>
      </c>
      <c r="M925" s="28">
        <f>IF($H925="","",DATE(YEAR($H925),MONTH($H925),1))</f>
        <v/>
      </c>
      <c r="N925" s="26">
        <f>IF($H925="","",TODAY()-$H925)</f>
        <v/>
      </c>
      <c r="O925" s="15" t="n"/>
      <c r="P925" s="26">
        <f>IF($A925="","",COUNTIFS('Audit Versions'!$A$6:$A$605,$A925,'Audit Versions'!$L$6:$L$605,"Active"))</f>
        <v/>
      </c>
      <c r="Q925" s="15" t="n"/>
      <c r="R925" s="26">
        <f>IF(OR($A925="",$P925=0),"",MOD(N($Q925),$P925)+1)</f>
        <v/>
      </c>
      <c r="S925" s="15" t="n"/>
      <c r="T925" s="25" t="n"/>
      <c r="U925" s="26">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Builder'!$B$12="",N($S925)&lt;='Assignment Builder'!$B$12)))</f>
        <v/>
      </c>
      <c r="V925" s="23" t="n"/>
    </row>
    <row r="926">
      <c r="A926" s="23" t="n"/>
      <c r="B926" s="23" t="n"/>
      <c r="C926" s="24" t="n"/>
      <c r="D926" s="15" t="n"/>
      <c r="E926" s="23" t="n"/>
      <c r="F926" s="15" t="n"/>
      <c r="G926" s="23" t="n"/>
      <c r="H926" s="25" t="n"/>
      <c r="I926" s="15" t="n"/>
      <c r="J926" s="26">
        <f>IF($A926="","",LEN($C926)-LEN(SUBSTITUTE($C926,",",""))+1)</f>
        <v/>
      </c>
      <c r="K926" s="26">
        <f>IF($A926="","",SUMPRODUCT(--ISNUMBER(SEARCH('Category Dictionary'!$D$5:$D$135&amp;"",$C926)),--('Category Dictionary'!$D$5:$D$135&lt;&gt;"")))</f>
        <v/>
      </c>
      <c r="L926" s="27">
        <f>IF($A926="","",TRIM(IF(ISERROR(FIND(",",$C926)),$C926,LEFT($C926,FIND(",",$C926)-1))))</f>
        <v/>
      </c>
      <c r="M926" s="28">
        <f>IF($H926="","",DATE(YEAR($H926),MONTH($H926),1))</f>
        <v/>
      </c>
      <c r="N926" s="26">
        <f>IF($H926="","",TODAY()-$H926)</f>
        <v/>
      </c>
      <c r="O926" s="15" t="n"/>
      <c r="P926" s="26">
        <f>IF($A926="","",COUNTIFS('Audit Versions'!$A$6:$A$605,$A926,'Audit Versions'!$L$6:$L$605,"Active"))</f>
        <v/>
      </c>
      <c r="Q926" s="15" t="n"/>
      <c r="R926" s="26">
        <f>IF(OR($A926="",$P926=0),"",MOD(N($Q926),$P926)+1)</f>
        <v/>
      </c>
      <c r="S926" s="15" t="n"/>
      <c r="T926" s="25" t="n"/>
      <c r="U926" s="26">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Builder'!$B$12="",N($S926)&lt;='Assignment Builder'!$B$12)))</f>
        <v/>
      </c>
      <c r="V926" s="23" t="n"/>
    </row>
    <row r="927">
      <c r="A927" s="23" t="n"/>
      <c r="B927" s="23" t="n"/>
      <c r="C927" s="24" t="n"/>
      <c r="D927" s="15" t="n"/>
      <c r="E927" s="23" t="n"/>
      <c r="F927" s="15" t="n"/>
      <c r="G927" s="23" t="n"/>
      <c r="H927" s="25" t="n"/>
      <c r="I927" s="15" t="n"/>
      <c r="J927" s="26">
        <f>IF($A927="","",LEN($C927)-LEN(SUBSTITUTE($C927,",",""))+1)</f>
        <v/>
      </c>
      <c r="K927" s="26">
        <f>IF($A927="","",SUMPRODUCT(--ISNUMBER(SEARCH('Category Dictionary'!$D$5:$D$135&amp;"",$C927)),--('Category Dictionary'!$D$5:$D$135&lt;&gt;"")))</f>
        <v/>
      </c>
      <c r="L927" s="27">
        <f>IF($A927="","",TRIM(IF(ISERROR(FIND(",",$C927)),$C927,LEFT($C927,FIND(",",$C927)-1))))</f>
        <v/>
      </c>
      <c r="M927" s="28">
        <f>IF($H927="","",DATE(YEAR($H927),MONTH($H927),1))</f>
        <v/>
      </c>
      <c r="N927" s="26">
        <f>IF($H927="","",TODAY()-$H927)</f>
        <v/>
      </c>
      <c r="O927" s="15" t="n"/>
      <c r="P927" s="26">
        <f>IF($A927="","",COUNTIFS('Audit Versions'!$A$6:$A$605,$A927,'Audit Versions'!$L$6:$L$605,"Active"))</f>
        <v/>
      </c>
      <c r="Q927" s="15" t="n"/>
      <c r="R927" s="26">
        <f>IF(OR($A927="",$P927=0),"",MOD(N($Q927),$P927)+1)</f>
        <v/>
      </c>
      <c r="S927" s="15" t="n"/>
      <c r="T927" s="25" t="n"/>
      <c r="U927" s="26">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Builder'!$B$12="",N($S927)&lt;='Assignment Builder'!$B$12)))</f>
        <v/>
      </c>
      <c r="V927" s="23" t="n"/>
    </row>
    <row r="928">
      <c r="A928" s="23" t="n"/>
      <c r="B928" s="23" t="n"/>
      <c r="C928" s="24" t="n"/>
      <c r="D928" s="15" t="n"/>
      <c r="E928" s="23" t="n"/>
      <c r="F928" s="15" t="n"/>
      <c r="G928" s="23" t="n"/>
      <c r="H928" s="25" t="n"/>
      <c r="I928" s="15" t="n"/>
      <c r="J928" s="26">
        <f>IF($A928="","",LEN($C928)-LEN(SUBSTITUTE($C928,",",""))+1)</f>
        <v/>
      </c>
      <c r="K928" s="26">
        <f>IF($A928="","",SUMPRODUCT(--ISNUMBER(SEARCH('Category Dictionary'!$D$5:$D$135&amp;"",$C928)),--('Category Dictionary'!$D$5:$D$135&lt;&gt;"")))</f>
        <v/>
      </c>
      <c r="L928" s="27">
        <f>IF($A928="","",TRIM(IF(ISERROR(FIND(",",$C928)),$C928,LEFT($C928,FIND(",",$C928)-1))))</f>
        <v/>
      </c>
      <c r="M928" s="28">
        <f>IF($H928="","",DATE(YEAR($H928),MONTH($H928),1))</f>
        <v/>
      </c>
      <c r="N928" s="26">
        <f>IF($H928="","",TODAY()-$H928)</f>
        <v/>
      </c>
      <c r="O928" s="15" t="n"/>
      <c r="P928" s="26">
        <f>IF($A928="","",COUNTIFS('Audit Versions'!$A$6:$A$605,$A928,'Audit Versions'!$L$6:$L$605,"Active"))</f>
        <v/>
      </c>
      <c r="Q928" s="15" t="n"/>
      <c r="R928" s="26">
        <f>IF(OR($A928="",$P928=0),"",MOD(N($Q928),$P928)+1)</f>
        <v/>
      </c>
      <c r="S928" s="15" t="n"/>
      <c r="T928" s="25" t="n"/>
      <c r="U928" s="26">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Builder'!$B$12="",N($S928)&lt;='Assignment Builder'!$B$12)))</f>
        <v/>
      </c>
      <c r="V928" s="23" t="n"/>
    </row>
    <row r="929">
      <c r="A929" s="23" t="n"/>
      <c r="B929" s="23" t="n"/>
      <c r="C929" s="24" t="n"/>
      <c r="D929" s="15" t="n"/>
      <c r="E929" s="23" t="n"/>
      <c r="F929" s="15" t="n"/>
      <c r="G929" s="23" t="n"/>
      <c r="H929" s="25" t="n"/>
      <c r="I929" s="15" t="n"/>
      <c r="J929" s="26">
        <f>IF($A929="","",LEN($C929)-LEN(SUBSTITUTE($C929,",",""))+1)</f>
        <v/>
      </c>
      <c r="K929" s="26">
        <f>IF($A929="","",SUMPRODUCT(--ISNUMBER(SEARCH('Category Dictionary'!$D$5:$D$135&amp;"",$C929)),--('Category Dictionary'!$D$5:$D$135&lt;&gt;"")))</f>
        <v/>
      </c>
      <c r="L929" s="27">
        <f>IF($A929="","",TRIM(IF(ISERROR(FIND(",",$C929)),$C929,LEFT($C929,FIND(",",$C929)-1))))</f>
        <v/>
      </c>
      <c r="M929" s="28">
        <f>IF($H929="","",DATE(YEAR($H929),MONTH($H929),1))</f>
        <v/>
      </c>
      <c r="N929" s="26">
        <f>IF($H929="","",TODAY()-$H929)</f>
        <v/>
      </c>
      <c r="O929" s="15" t="n"/>
      <c r="P929" s="26">
        <f>IF($A929="","",COUNTIFS('Audit Versions'!$A$6:$A$605,$A929,'Audit Versions'!$L$6:$L$605,"Active"))</f>
        <v/>
      </c>
      <c r="Q929" s="15" t="n"/>
      <c r="R929" s="26">
        <f>IF(OR($A929="",$P929=0),"",MOD(N($Q929),$P929)+1)</f>
        <v/>
      </c>
      <c r="S929" s="15" t="n"/>
      <c r="T929" s="25" t="n"/>
      <c r="U929" s="26">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Builder'!$B$12="",N($S929)&lt;='Assignment Builder'!$B$12)))</f>
        <v/>
      </c>
      <c r="V929" s="23" t="n"/>
    </row>
    <row r="930">
      <c r="A930" s="23" t="n"/>
      <c r="B930" s="23" t="n"/>
      <c r="C930" s="24" t="n"/>
      <c r="D930" s="15" t="n"/>
      <c r="E930" s="23" t="n"/>
      <c r="F930" s="15" t="n"/>
      <c r="G930" s="23" t="n"/>
      <c r="H930" s="25" t="n"/>
      <c r="I930" s="15" t="n"/>
      <c r="J930" s="26">
        <f>IF($A930="","",LEN($C930)-LEN(SUBSTITUTE($C930,",",""))+1)</f>
        <v/>
      </c>
      <c r="K930" s="26">
        <f>IF($A930="","",SUMPRODUCT(--ISNUMBER(SEARCH('Category Dictionary'!$D$5:$D$135&amp;"",$C930)),--('Category Dictionary'!$D$5:$D$135&lt;&gt;"")))</f>
        <v/>
      </c>
      <c r="L930" s="27">
        <f>IF($A930="","",TRIM(IF(ISERROR(FIND(",",$C930)),$C930,LEFT($C930,FIND(",",$C930)-1))))</f>
        <v/>
      </c>
      <c r="M930" s="28">
        <f>IF($H930="","",DATE(YEAR($H930),MONTH($H930),1))</f>
        <v/>
      </c>
      <c r="N930" s="26">
        <f>IF($H930="","",TODAY()-$H930)</f>
        <v/>
      </c>
      <c r="O930" s="15" t="n"/>
      <c r="P930" s="26">
        <f>IF($A930="","",COUNTIFS('Audit Versions'!$A$6:$A$605,$A930,'Audit Versions'!$L$6:$L$605,"Active"))</f>
        <v/>
      </c>
      <c r="Q930" s="15" t="n"/>
      <c r="R930" s="26">
        <f>IF(OR($A930="",$P930=0),"",MOD(N($Q930),$P930)+1)</f>
        <v/>
      </c>
      <c r="S930" s="15" t="n"/>
      <c r="T930" s="25" t="n"/>
      <c r="U930" s="26">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Builder'!$B$12="",N($S930)&lt;='Assignment Builder'!$B$12)))</f>
        <v/>
      </c>
      <c r="V930" s="23" t="n"/>
    </row>
    <row r="931">
      <c r="A931" s="23" t="n"/>
      <c r="B931" s="23" t="n"/>
      <c r="C931" s="24" t="n"/>
      <c r="D931" s="15" t="n"/>
      <c r="E931" s="23" t="n"/>
      <c r="F931" s="15" t="n"/>
      <c r="G931" s="23" t="n"/>
      <c r="H931" s="25" t="n"/>
      <c r="I931" s="15" t="n"/>
      <c r="J931" s="26">
        <f>IF($A931="","",LEN($C931)-LEN(SUBSTITUTE($C931,",",""))+1)</f>
        <v/>
      </c>
      <c r="K931" s="26">
        <f>IF($A931="","",SUMPRODUCT(--ISNUMBER(SEARCH('Category Dictionary'!$D$5:$D$135&amp;"",$C931)),--('Category Dictionary'!$D$5:$D$135&lt;&gt;"")))</f>
        <v/>
      </c>
      <c r="L931" s="27">
        <f>IF($A931="","",TRIM(IF(ISERROR(FIND(",",$C931)),$C931,LEFT($C931,FIND(",",$C931)-1))))</f>
        <v/>
      </c>
      <c r="M931" s="28">
        <f>IF($H931="","",DATE(YEAR($H931),MONTH($H931),1))</f>
        <v/>
      </c>
      <c r="N931" s="26">
        <f>IF($H931="","",TODAY()-$H931)</f>
        <v/>
      </c>
      <c r="O931" s="15" t="n"/>
      <c r="P931" s="26">
        <f>IF($A931="","",COUNTIFS('Audit Versions'!$A$6:$A$605,$A931,'Audit Versions'!$L$6:$L$605,"Active"))</f>
        <v/>
      </c>
      <c r="Q931" s="15" t="n"/>
      <c r="R931" s="26">
        <f>IF(OR($A931="",$P931=0),"",MOD(N($Q931),$P931)+1)</f>
        <v/>
      </c>
      <c r="S931" s="15" t="n"/>
      <c r="T931" s="25" t="n"/>
      <c r="U931" s="26">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Builder'!$B$12="",N($S931)&lt;='Assignment Builder'!$B$12)))</f>
        <v/>
      </c>
      <c r="V931" s="23" t="n"/>
    </row>
    <row r="932">
      <c r="A932" s="23" t="n"/>
      <c r="B932" s="23" t="n"/>
      <c r="C932" s="24" t="n"/>
      <c r="D932" s="15" t="n"/>
      <c r="E932" s="23" t="n"/>
      <c r="F932" s="15" t="n"/>
      <c r="G932" s="23" t="n"/>
      <c r="H932" s="25" t="n"/>
      <c r="I932" s="15" t="n"/>
      <c r="J932" s="26">
        <f>IF($A932="","",LEN($C932)-LEN(SUBSTITUTE($C932,",",""))+1)</f>
        <v/>
      </c>
      <c r="K932" s="26">
        <f>IF($A932="","",SUMPRODUCT(--ISNUMBER(SEARCH('Category Dictionary'!$D$5:$D$135&amp;"",$C932)),--('Category Dictionary'!$D$5:$D$135&lt;&gt;"")))</f>
        <v/>
      </c>
      <c r="L932" s="27">
        <f>IF($A932="","",TRIM(IF(ISERROR(FIND(",",$C932)),$C932,LEFT($C932,FIND(",",$C932)-1))))</f>
        <v/>
      </c>
      <c r="M932" s="28">
        <f>IF($H932="","",DATE(YEAR($H932),MONTH($H932),1))</f>
        <v/>
      </c>
      <c r="N932" s="26">
        <f>IF($H932="","",TODAY()-$H932)</f>
        <v/>
      </c>
      <c r="O932" s="15" t="n"/>
      <c r="P932" s="26">
        <f>IF($A932="","",COUNTIFS('Audit Versions'!$A$6:$A$605,$A932,'Audit Versions'!$L$6:$L$605,"Active"))</f>
        <v/>
      </c>
      <c r="Q932" s="15" t="n"/>
      <c r="R932" s="26">
        <f>IF(OR($A932="",$P932=0),"",MOD(N($Q932),$P932)+1)</f>
        <v/>
      </c>
      <c r="S932" s="15" t="n"/>
      <c r="T932" s="25" t="n"/>
      <c r="U932" s="26">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Builder'!$B$12="",N($S932)&lt;='Assignment Builder'!$B$12)))</f>
        <v/>
      </c>
      <c r="V932" s="23" t="n"/>
    </row>
    <row r="933">
      <c r="A933" s="23" t="n"/>
      <c r="B933" s="23" t="n"/>
      <c r="C933" s="24" t="n"/>
      <c r="D933" s="15" t="n"/>
      <c r="E933" s="23" t="n"/>
      <c r="F933" s="15" t="n"/>
      <c r="G933" s="23" t="n"/>
      <c r="H933" s="25" t="n"/>
      <c r="I933" s="15" t="n"/>
      <c r="J933" s="26">
        <f>IF($A933="","",LEN($C933)-LEN(SUBSTITUTE($C933,",",""))+1)</f>
        <v/>
      </c>
      <c r="K933" s="26">
        <f>IF($A933="","",SUMPRODUCT(--ISNUMBER(SEARCH('Category Dictionary'!$D$5:$D$135&amp;"",$C933)),--('Category Dictionary'!$D$5:$D$135&lt;&gt;"")))</f>
        <v/>
      </c>
      <c r="L933" s="27">
        <f>IF($A933="","",TRIM(IF(ISERROR(FIND(",",$C933)),$C933,LEFT($C933,FIND(",",$C933)-1))))</f>
        <v/>
      </c>
      <c r="M933" s="28">
        <f>IF($H933="","",DATE(YEAR($H933),MONTH($H933),1))</f>
        <v/>
      </c>
      <c r="N933" s="26">
        <f>IF($H933="","",TODAY()-$H933)</f>
        <v/>
      </c>
      <c r="O933" s="15" t="n"/>
      <c r="P933" s="26">
        <f>IF($A933="","",COUNTIFS('Audit Versions'!$A$6:$A$605,$A933,'Audit Versions'!$L$6:$L$605,"Active"))</f>
        <v/>
      </c>
      <c r="Q933" s="15" t="n"/>
      <c r="R933" s="26">
        <f>IF(OR($A933="",$P933=0),"",MOD(N($Q933),$P933)+1)</f>
        <v/>
      </c>
      <c r="S933" s="15" t="n"/>
      <c r="T933" s="25" t="n"/>
      <c r="U933" s="26">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Builder'!$B$12="",N($S933)&lt;='Assignment Builder'!$B$12)))</f>
        <v/>
      </c>
      <c r="V933" s="23" t="n"/>
    </row>
    <row r="934">
      <c r="A934" s="23" t="n"/>
      <c r="B934" s="23" t="n"/>
      <c r="C934" s="24" t="n"/>
      <c r="D934" s="15" t="n"/>
      <c r="E934" s="23" t="n"/>
      <c r="F934" s="15" t="n"/>
      <c r="G934" s="23" t="n"/>
      <c r="H934" s="25" t="n"/>
      <c r="I934" s="15" t="n"/>
      <c r="J934" s="26">
        <f>IF($A934="","",LEN($C934)-LEN(SUBSTITUTE($C934,",",""))+1)</f>
        <v/>
      </c>
      <c r="K934" s="26">
        <f>IF($A934="","",SUMPRODUCT(--ISNUMBER(SEARCH('Category Dictionary'!$D$5:$D$135&amp;"",$C934)),--('Category Dictionary'!$D$5:$D$135&lt;&gt;"")))</f>
        <v/>
      </c>
      <c r="L934" s="27">
        <f>IF($A934="","",TRIM(IF(ISERROR(FIND(",",$C934)),$C934,LEFT($C934,FIND(",",$C934)-1))))</f>
        <v/>
      </c>
      <c r="M934" s="28">
        <f>IF($H934="","",DATE(YEAR($H934),MONTH($H934),1))</f>
        <v/>
      </c>
      <c r="N934" s="26">
        <f>IF($H934="","",TODAY()-$H934)</f>
        <v/>
      </c>
      <c r="O934" s="15" t="n"/>
      <c r="P934" s="26">
        <f>IF($A934="","",COUNTIFS('Audit Versions'!$A$6:$A$605,$A934,'Audit Versions'!$L$6:$L$605,"Active"))</f>
        <v/>
      </c>
      <c r="Q934" s="15" t="n"/>
      <c r="R934" s="26">
        <f>IF(OR($A934="",$P934=0),"",MOD(N($Q934),$P934)+1)</f>
        <v/>
      </c>
      <c r="S934" s="15" t="n"/>
      <c r="T934" s="25" t="n"/>
      <c r="U934" s="26">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Builder'!$B$12="",N($S934)&lt;='Assignment Builder'!$B$12)))</f>
        <v/>
      </c>
      <c r="V934" s="23" t="n"/>
    </row>
    <row r="935">
      <c r="A935" s="23" t="n"/>
      <c r="B935" s="23" t="n"/>
      <c r="C935" s="24" t="n"/>
      <c r="D935" s="15" t="n"/>
      <c r="E935" s="23" t="n"/>
      <c r="F935" s="15" t="n"/>
      <c r="G935" s="23" t="n"/>
      <c r="H935" s="25" t="n"/>
      <c r="I935" s="15" t="n"/>
      <c r="J935" s="26">
        <f>IF($A935="","",LEN($C935)-LEN(SUBSTITUTE($C935,",",""))+1)</f>
        <v/>
      </c>
      <c r="K935" s="26">
        <f>IF($A935="","",SUMPRODUCT(--ISNUMBER(SEARCH('Category Dictionary'!$D$5:$D$135&amp;"",$C935)),--('Category Dictionary'!$D$5:$D$135&lt;&gt;"")))</f>
        <v/>
      </c>
      <c r="L935" s="27">
        <f>IF($A935="","",TRIM(IF(ISERROR(FIND(",",$C935)),$C935,LEFT($C935,FIND(",",$C935)-1))))</f>
        <v/>
      </c>
      <c r="M935" s="28">
        <f>IF($H935="","",DATE(YEAR($H935),MONTH($H935),1))</f>
        <v/>
      </c>
      <c r="N935" s="26">
        <f>IF($H935="","",TODAY()-$H935)</f>
        <v/>
      </c>
      <c r="O935" s="15" t="n"/>
      <c r="P935" s="26">
        <f>IF($A935="","",COUNTIFS('Audit Versions'!$A$6:$A$605,$A935,'Audit Versions'!$L$6:$L$605,"Active"))</f>
        <v/>
      </c>
      <c r="Q935" s="15" t="n"/>
      <c r="R935" s="26">
        <f>IF(OR($A935="",$P935=0),"",MOD(N($Q935),$P935)+1)</f>
        <v/>
      </c>
      <c r="S935" s="15" t="n"/>
      <c r="T935" s="25" t="n"/>
      <c r="U935" s="26">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Builder'!$B$12="",N($S935)&lt;='Assignment Builder'!$B$12)))</f>
        <v/>
      </c>
      <c r="V935" s="23" t="n"/>
    </row>
    <row r="936">
      <c r="A936" s="23" t="n"/>
      <c r="B936" s="23" t="n"/>
      <c r="C936" s="24" t="n"/>
      <c r="D936" s="15" t="n"/>
      <c r="E936" s="23" t="n"/>
      <c r="F936" s="15" t="n"/>
      <c r="G936" s="23" t="n"/>
      <c r="H936" s="25" t="n"/>
      <c r="I936" s="15" t="n"/>
      <c r="J936" s="26">
        <f>IF($A936="","",LEN($C936)-LEN(SUBSTITUTE($C936,",",""))+1)</f>
        <v/>
      </c>
      <c r="K936" s="26">
        <f>IF($A936="","",SUMPRODUCT(--ISNUMBER(SEARCH('Category Dictionary'!$D$5:$D$135&amp;"",$C936)),--('Category Dictionary'!$D$5:$D$135&lt;&gt;"")))</f>
        <v/>
      </c>
      <c r="L936" s="27">
        <f>IF($A936="","",TRIM(IF(ISERROR(FIND(",",$C936)),$C936,LEFT($C936,FIND(",",$C936)-1))))</f>
        <v/>
      </c>
      <c r="M936" s="28">
        <f>IF($H936="","",DATE(YEAR($H936),MONTH($H936),1))</f>
        <v/>
      </c>
      <c r="N936" s="26">
        <f>IF($H936="","",TODAY()-$H936)</f>
        <v/>
      </c>
      <c r="O936" s="15" t="n"/>
      <c r="P936" s="26">
        <f>IF($A936="","",COUNTIFS('Audit Versions'!$A$6:$A$605,$A936,'Audit Versions'!$L$6:$L$605,"Active"))</f>
        <v/>
      </c>
      <c r="Q936" s="15" t="n"/>
      <c r="R936" s="26">
        <f>IF(OR($A936="",$P936=0),"",MOD(N($Q936),$P936)+1)</f>
        <v/>
      </c>
      <c r="S936" s="15" t="n"/>
      <c r="T936" s="25" t="n"/>
      <c r="U936" s="26">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Builder'!$B$12="",N($S936)&lt;='Assignment Builder'!$B$12)))</f>
        <v/>
      </c>
      <c r="V936" s="23" t="n"/>
    </row>
    <row r="937">
      <c r="A937" s="23" t="n"/>
      <c r="B937" s="23" t="n"/>
      <c r="C937" s="24" t="n"/>
      <c r="D937" s="15" t="n"/>
      <c r="E937" s="23" t="n"/>
      <c r="F937" s="15" t="n"/>
      <c r="G937" s="23" t="n"/>
      <c r="H937" s="25" t="n"/>
      <c r="I937" s="15" t="n"/>
      <c r="J937" s="26">
        <f>IF($A937="","",LEN($C937)-LEN(SUBSTITUTE($C937,",",""))+1)</f>
        <v/>
      </c>
      <c r="K937" s="26">
        <f>IF($A937="","",SUMPRODUCT(--ISNUMBER(SEARCH('Category Dictionary'!$D$5:$D$135&amp;"",$C937)),--('Category Dictionary'!$D$5:$D$135&lt;&gt;"")))</f>
        <v/>
      </c>
      <c r="L937" s="27">
        <f>IF($A937="","",TRIM(IF(ISERROR(FIND(",",$C937)),$C937,LEFT($C937,FIND(",",$C937)-1))))</f>
        <v/>
      </c>
      <c r="M937" s="28">
        <f>IF($H937="","",DATE(YEAR($H937),MONTH($H937),1))</f>
        <v/>
      </c>
      <c r="N937" s="26">
        <f>IF($H937="","",TODAY()-$H937)</f>
        <v/>
      </c>
      <c r="O937" s="15" t="n"/>
      <c r="P937" s="26">
        <f>IF($A937="","",COUNTIFS('Audit Versions'!$A$6:$A$605,$A937,'Audit Versions'!$L$6:$L$605,"Active"))</f>
        <v/>
      </c>
      <c r="Q937" s="15" t="n"/>
      <c r="R937" s="26">
        <f>IF(OR($A937="",$P937=0),"",MOD(N($Q937),$P937)+1)</f>
        <v/>
      </c>
      <c r="S937" s="15" t="n"/>
      <c r="T937" s="25" t="n"/>
      <c r="U937" s="26">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Builder'!$B$12="",N($S937)&lt;='Assignment Builder'!$B$12)))</f>
        <v/>
      </c>
      <c r="V937" s="23" t="n"/>
    </row>
    <row r="938">
      <c r="A938" s="23" t="n"/>
      <c r="B938" s="23" t="n"/>
      <c r="C938" s="24" t="n"/>
      <c r="D938" s="15" t="n"/>
      <c r="E938" s="23" t="n"/>
      <c r="F938" s="15" t="n"/>
      <c r="G938" s="23" t="n"/>
      <c r="H938" s="25" t="n"/>
      <c r="I938" s="15" t="n"/>
      <c r="J938" s="26">
        <f>IF($A938="","",LEN($C938)-LEN(SUBSTITUTE($C938,",",""))+1)</f>
        <v/>
      </c>
      <c r="K938" s="26">
        <f>IF($A938="","",SUMPRODUCT(--ISNUMBER(SEARCH('Category Dictionary'!$D$5:$D$135&amp;"",$C938)),--('Category Dictionary'!$D$5:$D$135&lt;&gt;"")))</f>
        <v/>
      </c>
      <c r="L938" s="27">
        <f>IF($A938="","",TRIM(IF(ISERROR(FIND(",",$C938)),$C938,LEFT($C938,FIND(",",$C938)-1))))</f>
        <v/>
      </c>
      <c r="M938" s="28">
        <f>IF($H938="","",DATE(YEAR($H938),MONTH($H938),1))</f>
        <v/>
      </c>
      <c r="N938" s="26">
        <f>IF($H938="","",TODAY()-$H938)</f>
        <v/>
      </c>
      <c r="O938" s="15" t="n"/>
      <c r="P938" s="26">
        <f>IF($A938="","",COUNTIFS('Audit Versions'!$A$6:$A$605,$A938,'Audit Versions'!$L$6:$L$605,"Active"))</f>
        <v/>
      </c>
      <c r="Q938" s="15" t="n"/>
      <c r="R938" s="26">
        <f>IF(OR($A938="",$P938=0),"",MOD(N($Q938),$P938)+1)</f>
        <v/>
      </c>
      <c r="S938" s="15" t="n"/>
      <c r="T938" s="25" t="n"/>
      <c r="U938" s="26">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Builder'!$B$12="",N($S938)&lt;='Assignment Builder'!$B$12)))</f>
        <v/>
      </c>
      <c r="V938" s="23" t="n"/>
    </row>
    <row r="939">
      <c r="A939" s="23" t="n"/>
      <c r="B939" s="23" t="n"/>
      <c r="C939" s="24" t="n"/>
      <c r="D939" s="15" t="n"/>
      <c r="E939" s="23" t="n"/>
      <c r="F939" s="15" t="n"/>
      <c r="G939" s="23" t="n"/>
      <c r="H939" s="25" t="n"/>
      <c r="I939" s="15" t="n"/>
      <c r="J939" s="26">
        <f>IF($A939="","",LEN($C939)-LEN(SUBSTITUTE($C939,",",""))+1)</f>
        <v/>
      </c>
      <c r="K939" s="26">
        <f>IF($A939="","",SUMPRODUCT(--ISNUMBER(SEARCH('Category Dictionary'!$D$5:$D$135&amp;"",$C939)),--('Category Dictionary'!$D$5:$D$135&lt;&gt;"")))</f>
        <v/>
      </c>
      <c r="L939" s="27">
        <f>IF($A939="","",TRIM(IF(ISERROR(FIND(",",$C939)),$C939,LEFT($C939,FIND(",",$C939)-1))))</f>
        <v/>
      </c>
      <c r="M939" s="28">
        <f>IF($H939="","",DATE(YEAR($H939),MONTH($H939),1))</f>
        <v/>
      </c>
      <c r="N939" s="26">
        <f>IF($H939="","",TODAY()-$H939)</f>
        <v/>
      </c>
      <c r="O939" s="15" t="n"/>
      <c r="P939" s="26">
        <f>IF($A939="","",COUNTIFS('Audit Versions'!$A$6:$A$605,$A939,'Audit Versions'!$L$6:$L$605,"Active"))</f>
        <v/>
      </c>
      <c r="Q939" s="15" t="n"/>
      <c r="R939" s="26">
        <f>IF(OR($A939="",$P939=0),"",MOD(N($Q939),$P939)+1)</f>
        <v/>
      </c>
      <c r="S939" s="15" t="n"/>
      <c r="T939" s="25" t="n"/>
      <c r="U939" s="26">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Builder'!$B$12="",N($S939)&lt;='Assignment Builder'!$B$12)))</f>
        <v/>
      </c>
      <c r="V939" s="23" t="n"/>
    </row>
    <row r="940">
      <c r="A940" s="23" t="n"/>
      <c r="B940" s="23" t="n"/>
      <c r="C940" s="24" t="n"/>
      <c r="D940" s="15" t="n"/>
      <c r="E940" s="23" t="n"/>
      <c r="F940" s="15" t="n"/>
      <c r="G940" s="23" t="n"/>
      <c r="H940" s="25" t="n"/>
      <c r="I940" s="15" t="n"/>
      <c r="J940" s="26">
        <f>IF($A940="","",LEN($C940)-LEN(SUBSTITUTE($C940,",",""))+1)</f>
        <v/>
      </c>
      <c r="K940" s="26">
        <f>IF($A940="","",SUMPRODUCT(--ISNUMBER(SEARCH('Category Dictionary'!$D$5:$D$135&amp;"",$C940)),--('Category Dictionary'!$D$5:$D$135&lt;&gt;"")))</f>
        <v/>
      </c>
      <c r="L940" s="27">
        <f>IF($A940="","",TRIM(IF(ISERROR(FIND(",",$C940)),$C940,LEFT($C940,FIND(",",$C940)-1))))</f>
        <v/>
      </c>
      <c r="M940" s="28">
        <f>IF($H940="","",DATE(YEAR($H940),MONTH($H940),1))</f>
        <v/>
      </c>
      <c r="N940" s="26">
        <f>IF($H940="","",TODAY()-$H940)</f>
        <v/>
      </c>
      <c r="O940" s="15" t="n"/>
      <c r="P940" s="26">
        <f>IF($A940="","",COUNTIFS('Audit Versions'!$A$6:$A$605,$A940,'Audit Versions'!$L$6:$L$605,"Active"))</f>
        <v/>
      </c>
      <c r="Q940" s="15" t="n"/>
      <c r="R940" s="26">
        <f>IF(OR($A940="",$P940=0),"",MOD(N($Q940),$P940)+1)</f>
        <v/>
      </c>
      <c r="S940" s="15" t="n"/>
      <c r="T940" s="25" t="n"/>
      <c r="U940" s="26">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Builder'!$B$12="",N($S940)&lt;='Assignment Builder'!$B$12)))</f>
        <v/>
      </c>
      <c r="V940" s="23" t="n"/>
    </row>
    <row r="941">
      <c r="A941" s="23" t="n"/>
      <c r="B941" s="23" t="n"/>
      <c r="C941" s="24" t="n"/>
      <c r="D941" s="15" t="n"/>
      <c r="E941" s="23" t="n"/>
      <c r="F941" s="15" t="n"/>
      <c r="G941" s="23" t="n"/>
      <c r="H941" s="25" t="n"/>
      <c r="I941" s="15" t="n"/>
      <c r="J941" s="26">
        <f>IF($A941="","",LEN($C941)-LEN(SUBSTITUTE($C941,",",""))+1)</f>
        <v/>
      </c>
      <c r="K941" s="26">
        <f>IF($A941="","",SUMPRODUCT(--ISNUMBER(SEARCH('Category Dictionary'!$D$5:$D$135&amp;"",$C941)),--('Category Dictionary'!$D$5:$D$135&lt;&gt;"")))</f>
        <v/>
      </c>
      <c r="L941" s="27">
        <f>IF($A941="","",TRIM(IF(ISERROR(FIND(",",$C941)),$C941,LEFT($C941,FIND(",",$C941)-1))))</f>
        <v/>
      </c>
      <c r="M941" s="28">
        <f>IF($H941="","",DATE(YEAR($H941),MONTH($H941),1))</f>
        <v/>
      </c>
      <c r="N941" s="26">
        <f>IF($H941="","",TODAY()-$H941)</f>
        <v/>
      </c>
      <c r="O941" s="15" t="n"/>
      <c r="P941" s="26">
        <f>IF($A941="","",COUNTIFS('Audit Versions'!$A$6:$A$605,$A941,'Audit Versions'!$L$6:$L$605,"Active"))</f>
        <v/>
      </c>
      <c r="Q941" s="15" t="n"/>
      <c r="R941" s="26">
        <f>IF(OR($A941="",$P941=0),"",MOD(N($Q941),$P941)+1)</f>
        <v/>
      </c>
      <c r="S941" s="15" t="n"/>
      <c r="T941" s="25" t="n"/>
      <c r="U941" s="26">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Builder'!$B$12="",N($S941)&lt;='Assignment Builder'!$B$12)))</f>
        <v/>
      </c>
      <c r="V941" s="23" t="n"/>
    </row>
    <row r="942">
      <c r="A942" s="23" t="n"/>
      <c r="B942" s="23" t="n"/>
      <c r="C942" s="24" t="n"/>
      <c r="D942" s="15" t="n"/>
      <c r="E942" s="23" t="n"/>
      <c r="F942" s="15" t="n"/>
      <c r="G942" s="23" t="n"/>
      <c r="H942" s="25" t="n"/>
      <c r="I942" s="15" t="n"/>
      <c r="J942" s="26">
        <f>IF($A942="","",LEN($C942)-LEN(SUBSTITUTE($C942,",",""))+1)</f>
        <v/>
      </c>
      <c r="K942" s="26">
        <f>IF($A942="","",SUMPRODUCT(--ISNUMBER(SEARCH('Category Dictionary'!$D$5:$D$135&amp;"",$C942)),--('Category Dictionary'!$D$5:$D$135&lt;&gt;"")))</f>
        <v/>
      </c>
      <c r="L942" s="27">
        <f>IF($A942="","",TRIM(IF(ISERROR(FIND(",",$C942)),$C942,LEFT($C942,FIND(",",$C942)-1))))</f>
        <v/>
      </c>
      <c r="M942" s="28">
        <f>IF($H942="","",DATE(YEAR($H942),MONTH($H942),1))</f>
        <v/>
      </c>
      <c r="N942" s="26">
        <f>IF($H942="","",TODAY()-$H942)</f>
        <v/>
      </c>
      <c r="O942" s="15" t="n"/>
      <c r="P942" s="26">
        <f>IF($A942="","",COUNTIFS('Audit Versions'!$A$6:$A$605,$A942,'Audit Versions'!$L$6:$L$605,"Active"))</f>
        <v/>
      </c>
      <c r="Q942" s="15" t="n"/>
      <c r="R942" s="26">
        <f>IF(OR($A942="",$P942=0),"",MOD(N($Q942),$P942)+1)</f>
        <v/>
      </c>
      <c r="S942" s="15" t="n"/>
      <c r="T942" s="25" t="n"/>
      <c r="U942" s="26">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Builder'!$B$12="",N($S942)&lt;='Assignment Builder'!$B$12)))</f>
        <v/>
      </c>
      <c r="V942" s="23" t="n"/>
    </row>
    <row r="943">
      <c r="A943" s="23" t="n"/>
      <c r="B943" s="23" t="n"/>
      <c r="C943" s="24" t="n"/>
      <c r="D943" s="15" t="n"/>
      <c r="E943" s="23" t="n"/>
      <c r="F943" s="15" t="n"/>
      <c r="G943" s="23" t="n"/>
      <c r="H943" s="25" t="n"/>
      <c r="I943" s="15" t="n"/>
      <c r="J943" s="26">
        <f>IF($A943="","",LEN($C943)-LEN(SUBSTITUTE($C943,",",""))+1)</f>
        <v/>
      </c>
      <c r="K943" s="26">
        <f>IF($A943="","",SUMPRODUCT(--ISNUMBER(SEARCH('Category Dictionary'!$D$5:$D$135&amp;"",$C943)),--('Category Dictionary'!$D$5:$D$135&lt;&gt;"")))</f>
        <v/>
      </c>
      <c r="L943" s="27">
        <f>IF($A943="","",TRIM(IF(ISERROR(FIND(",",$C943)),$C943,LEFT($C943,FIND(",",$C943)-1))))</f>
        <v/>
      </c>
      <c r="M943" s="28">
        <f>IF($H943="","",DATE(YEAR($H943),MONTH($H943),1))</f>
        <v/>
      </c>
      <c r="N943" s="26">
        <f>IF($H943="","",TODAY()-$H943)</f>
        <v/>
      </c>
      <c r="O943" s="15" t="n"/>
      <c r="P943" s="26">
        <f>IF($A943="","",COUNTIFS('Audit Versions'!$A$6:$A$605,$A943,'Audit Versions'!$L$6:$L$605,"Active"))</f>
        <v/>
      </c>
      <c r="Q943" s="15" t="n"/>
      <c r="R943" s="26">
        <f>IF(OR($A943="",$P943=0),"",MOD(N($Q943),$P943)+1)</f>
        <v/>
      </c>
      <c r="S943" s="15" t="n"/>
      <c r="T943" s="25" t="n"/>
      <c r="U943" s="26">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Builder'!$B$12="",N($S943)&lt;='Assignment Builder'!$B$12)))</f>
        <v/>
      </c>
      <c r="V943" s="23" t="n"/>
    </row>
    <row r="944">
      <c r="A944" s="23" t="n"/>
      <c r="B944" s="23" t="n"/>
      <c r="C944" s="24" t="n"/>
      <c r="D944" s="15" t="n"/>
      <c r="E944" s="23" t="n"/>
      <c r="F944" s="15" t="n"/>
      <c r="G944" s="23" t="n"/>
      <c r="H944" s="25" t="n"/>
      <c r="I944" s="15" t="n"/>
      <c r="J944" s="26">
        <f>IF($A944="","",LEN($C944)-LEN(SUBSTITUTE($C944,",",""))+1)</f>
        <v/>
      </c>
      <c r="K944" s="26">
        <f>IF($A944="","",SUMPRODUCT(--ISNUMBER(SEARCH('Category Dictionary'!$D$5:$D$135&amp;"",$C944)),--('Category Dictionary'!$D$5:$D$135&lt;&gt;"")))</f>
        <v/>
      </c>
      <c r="L944" s="27">
        <f>IF($A944="","",TRIM(IF(ISERROR(FIND(",",$C944)),$C944,LEFT($C944,FIND(",",$C944)-1))))</f>
        <v/>
      </c>
      <c r="M944" s="28">
        <f>IF($H944="","",DATE(YEAR($H944),MONTH($H944),1))</f>
        <v/>
      </c>
      <c r="N944" s="26">
        <f>IF($H944="","",TODAY()-$H944)</f>
        <v/>
      </c>
      <c r="O944" s="15" t="n"/>
      <c r="P944" s="26">
        <f>IF($A944="","",COUNTIFS('Audit Versions'!$A$6:$A$605,$A944,'Audit Versions'!$L$6:$L$605,"Active"))</f>
        <v/>
      </c>
      <c r="Q944" s="15" t="n"/>
      <c r="R944" s="26">
        <f>IF(OR($A944="",$P944=0),"",MOD(N($Q944),$P944)+1)</f>
        <v/>
      </c>
      <c r="S944" s="15" t="n"/>
      <c r="T944" s="25" t="n"/>
      <c r="U944" s="26">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Builder'!$B$12="",N($S944)&lt;='Assignment Builder'!$B$12)))</f>
        <v/>
      </c>
      <c r="V944" s="23" t="n"/>
    </row>
    <row r="945">
      <c r="A945" s="23" t="n"/>
      <c r="B945" s="23" t="n"/>
      <c r="C945" s="24" t="n"/>
      <c r="D945" s="15" t="n"/>
      <c r="E945" s="23" t="n"/>
      <c r="F945" s="15" t="n"/>
      <c r="G945" s="23" t="n"/>
      <c r="H945" s="25" t="n"/>
      <c r="I945" s="15" t="n"/>
      <c r="J945" s="26">
        <f>IF($A945="","",LEN($C945)-LEN(SUBSTITUTE($C945,",",""))+1)</f>
        <v/>
      </c>
      <c r="K945" s="26">
        <f>IF($A945="","",SUMPRODUCT(--ISNUMBER(SEARCH('Category Dictionary'!$D$5:$D$135&amp;"",$C945)),--('Category Dictionary'!$D$5:$D$135&lt;&gt;"")))</f>
        <v/>
      </c>
      <c r="L945" s="27">
        <f>IF($A945="","",TRIM(IF(ISERROR(FIND(",",$C945)),$C945,LEFT($C945,FIND(",",$C945)-1))))</f>
        <v/>
      </c>
      <c r="M945" s="28">
        <f>IF($H945="","",DATE(YEAR($H945),MONTH($H945),1))</f>
        <v/>
      </c>
      <c r="N945" s="26">
        <f>IF($H945="","",TODAY()-$H945)</f>
        <v/>
      </c>
      <c r="O945" s="15" t="n"/>
      <c r="P945" s="26">
        <f>IF($A945="","",COUNTIFS('Audit Versions'!$A$6:$A$605,$A945,'Audit Versions'!$L$6:$L$605,"Active"))</f>
        <v/>
      </c>
      <c r="Q945" s="15" t="n"/>
      <c r="R945" s="26">
        <f>IF(OR($A945="",$P945=0),"",MOD(N($Q945),$P945)+1)</f>
        <v/>
      </c>
      <c r="S945" s="15" t="n"/>
      <c r="T945" s="25" t="n"/>
      <c r="U945" s="26">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Builder'!$B$12="",N($S945)&lt;='Assignment Builder'!$B$12)))</f>
        <v/>
      </c>
      <c r="V945" s="23" t="n"/>
    </row>
    <row r="946">
      <c r="A946" s="23" t="n"/>
      <c r="B946" s="23" t="n"/>
      <c r="C946" s="24" t="n"/>
      <c r="D946" s="15" t="n"/>
      <c r="E946" s="23" t="n"/>
      <c r="F946" s="15" t="n"/>
      <c r="G946" s="23" t="n"/>
      <c r="H946" s="25" t="n"/>
      <c r="I946" s="15" t="n"/>
      <c r="J946" s="26">
        <f>IF($A946="","",LEN($C946)-LEN(SUBSTITUTE($C946,",",""))+1)</f>
        <v/>
      </c>
      <c r="K946" s="26">
        <f>IF($A946="","",SUMPRODUCT(--ISNUMBER(SEARCH('Category Dictionary'!$D$5:$D$135&amp;"",$C946)),--('Category Dictionary'!$D$5:$D$135&lt;&gt;"")))</f>
        <v/>
      </c>
      <c r="L946" s="27">
        <f>IF($A946="","",TRIM(IF(ISERROR(FIND(",",$C946)),$C946,LEFT($C946,FIND(",",$C946)-1))))</f>
        <v/>
      </c>
      <c r="M946" s="28">
        <f>IF($H946="","",DATE(YEAR($H946),MONTH($H946),1))</f>
        <v/>
      </c>
      <c r="N946" s="26">
        <f>IF($H946="","",TODAY()-$H946)</f>
        <v/>
      </c>
      <c r="O946" s="15" t="n"/>
      <c r="P946" s="26">
        <f>IF($A946="","",COUNTIFS('Audit Versions'!$A$6:$A$605,$A946,'Audit Versions'!$L$6:$L$605,"Active"))</f>
        <v/>
      </c>
      <c r="Q946" s="15" t="n"/>
      <c r="R946" s="26">
        <f>IF(OR($A946="",$P946=0),"",MOD(N($Q946),$P946)+1)</f>
        <v/>
      </c>
      <c r="S946" s="15" t="n"/>
      <c r="T946" s="25" t="n"/>
      <c r="U946" s="26">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Builder'!$B$12="",N($S946)&lt;='Assignment Builder'!$B$12)))</f>
        <v/>
      </c>
      <c r="V946" s="23" t="n"/>
    </row>
    <row r="947">
      <c r="A947" s="23" t="n"/>
      <c r="B947" s="23" t="n"/>
      <c r="C947" s="24" t="n"/>
      <c r="D947" s="15" t="n"/>
      <c r="E947" s="23" t="n"/>
      <c r="F947" s="15" t="n"/>
      <c r="G947" s="23" t="n"/>
      <c r="H947" s="25" t="n"/>
      <c r="I947" s="15" t="n"/>
      <c r="J947" s="26">
        <f>IF($A947="","",LEN($C947)-LEN(SUBSTITUTE($C947,",",""))+1)</f>
        <v/>
      </c>
      <c r="K947" s="26">
        <f>IF($A947="","",SUMPRODUCT(--ISNUMBER(SEARCH('Category Dictionary'!$D$5:$D$135&amp;"",$C947)),--('Category Dictionary'!$D$5:$D$135&lt;&gt;"")))</f>
        <v/>
      </c>
      <c r="L947" s="27">
        <f>IF($A947="","",TRIM(IF(ISERROR(FIND(",",$C947)),$C947,LEFT($C947,FIND(",",$C947)-1))))</f>
        <v/>
      </c>
      <c r="M947" s="28">
        <f>IF($H947="","",DATE(YEAR($H947),MONTH($H947),1))</f>
        <v/>
      </c>
      <c r="N947" s="26">
        <f>IF($H947="","",TODAY()-$H947)</f>
        <v/>
      </c>
      <c r="O947" s="15" t="n"/>
      <c r="P947" s="26">
        <f>IF($A947="","",COUNTIFS('Audit Versions'!$A$6:$A$605,$A947,'Audit Versions'!$L$6:$L$605,"Active"))</f>
        <v/>
      </c>
      <c r="Q947" s="15" t="n"/>
      <c r="R947" s="26">
        <f>IF(OR($A947="",$P947=0),"",MOD(N($Q947),$P947)+1)</f>
        <v/>
      </c>
      <c r="S947" s="15" t="n"/>
      <c r="T947" s="25" t="n"/>
      <c r="U947" s="26">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Builder'!$B$12="",N($S947)&lt;='Assignment Builder'!$B$12)))</f>
        <v/>
      </c>
      <c r="V947" s="23" t="n"/>
    </row>
    <row r="948">
      <c r="A948" s="23" t="n"/>
      <c r="B948" s="23" t="n"/>
      <c r="C948" s="24" t="n"/>
      <c r="D948" s="15" t="n"/>
      <c r="E948" s="23" t="n"/>
      <c r="F948" s="15" t="n"/>
      <c r="G948" s="23" t="n"/>
      <c r="H948" s="25" t="n"/>
      <c r="I948" s="15" t="n"/>
      <c r="J948" s="26">
        <f>IF($A948="","",LEN($C948)-LEN(SUBSTITUTE($C948,",",""))+1)</f>
        <v/>
      </c>
      <c r="K948" s="26">
        <f>IF($A948="","",SUMPRODUCT(--ISNUMBER(SEARCH('Category Dictionary'!$D$5:$D$135&amp;"",$C948)),--('Category Dictionary'!$D$5:$D$135&lt;&gt;"")))</f>
        <v/>
      </c>
      <c r="L948" s="27">
        <f>IF($A948="","",TRIM(IF(ISERROR(FIND(",",$C948)),$C948,LEFT($C948,FIND(",",$C948)-1))))</f>
        <v/>
      </c>
      <c r="M948" s="28">
        <f>IF($H948="","",DATE(YEAR($H948),MONTH($H948),1))</f>
        <v/>
      </c>
      <c r="N948" s="26">
        <f>IF($H948="","",TODAY()-$H948)</f>
        <v/>
      </c>
      <c r="O948" s="15" t="n"/>
      <c r="P948" s="26">
        <f>IF($A948="","",COUNTIFS('Audit Versions'!$A$6:$A$605,$A948,'Audit Versions'!$L$6:$L$605,"Active"))</f>
        <v/>
      </c>
      <c r="Q948" s="15" t="n"/>
      <c r="R948" s="26">
        <f>IF(OR($A948="",$P948=0),"",MOD(N($Q948),$P948)+1)</f>
        <v/>
      </c>
      <c r="S948" s="15" t="n"/>
      <c r="T948" s="25" t="n"/>
      <c r="U948" s="26">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Builder'!$B$12="",N($S948)&lt;='Assignment Builder'!$B$12)))</f>
        <v/>
      </c>
      <c r="V948" s="23" t="n"/>
    </row>
    <row r="949">
      <c r="A949" s="23" t="n"/>
      <c r="B949" s="23" t="n"/>
      <c r="C949" s="24" t="n"/>
      <c r="D949" s="15" t="n"/>
      <c r="E949" s="23" t="n"/>
      <c r="F949" s="15" t="n"/>
      <c r="G949" s="23" t="n"/>
      <c r="H949" s="25" t="n"/>
      <c r="I949" s="15" t="n"/>
      <c r="J949" s="26">
        <f>IF($A949="","",LEN($C949)-LEN(SUBSTITUTE($C949,",",""))+1)</f>
        <v/>
      </c>
      <c r="K949" s="26">
        <f>IF($A949="","",SUMPRODUCT(--ISNUMBER(SEARCH('Category Dictionary'!$D$5:$D$135&amp;"",$C949)),--('Category Dictionary'!$D$5:$D$135&lt;&gt;"")))</f>
        <v/>
      </c>
      <c r="L949" s="27">
        <f>IF($A949="","",TRIM(IF(ISERROR(FIND(",",$C949)),$C949,LEFT($C949,FIND(",",$C949)-1))))</f>
        <v/>
      </c>
      <c r="M949" s="28">
        <f>IF($H949="","",DATE(YEAR($H949),MONTH($H949),1))</f>
        <v/>
      </c>
      <c r="N949" s="26">
        <f>IF($H949="","",TODAY()-$H949)</f>
        <v/>
      </c>
      <c r="O949" s="15" t="n"/>
      <c r="P949" s="26">
        <f>IF($A949="","",COUNTIFS('Audit Versions'!$A$6:$A$605,$A949,'Audit Versions'!$L$6:$L$605,"Active"))</f>
        <v/>
      </c>
      <c r="Q949" s="15" t="n"/>
      <c r="R949" s="26">
        <f>IF(OR($A949="",$P949=0),"",MOD(N($Q949),$P949)+1)</f>
        <v/>
      </c>
      <c r="S949" s="15" t="n"/>
      <c r="T949" s="25" t="n"/>
      <c r="U949" s="26">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Builder'!$B$12="",N($S949)&lt;='Assignment Builder'!$B$12)))</f>
        <v/>
      </c>
      <c r="V949" s="23" t="n"/>
    </row>
    <row r="950">
      <c r="A950" s="23" t="n"/>
      <c r="B950" s="23" t="n"/>
      <c r="C950" s="24" t="n"/>
      <c r="D950" s="15" t="n"/>
      <c r="E950" s="23" t="n"/>
      <c r="F950" s="15" t="n"/>
      <c r="G950" s="23" t="n"/>
      <c r="H950" s="25" t="n"/>
      <c r="I950" s="15" t="n"/>
      <c r="J950" s="26">
        <f>IF($A950="","",LEN($C950)-LEN(SUBSTITUTE($C950,",",""))+1)</f>
        <v/>
      </c>
      <c r="K950" s="26">
        <f>IF($A950="","",SUMPRODUCT(--ISNUMBER(SEARCH('Category Dictionary'!$D$5:$D$135&amp;"",$C950)),--('Category Dictionary'!$D$5:$D$135&lt;&gt;"")))</f>
        <v/>
      </c>
      <c r="L950" s="27">
        <f>IF($A950="","",TRIM(IF(ISERROR(FIND(",",$C950)),$C950,LEFT($C950,FIND(",",$C950)-1))))</f>
        <v/>
      </c>
      <c r="M950" s="28">
        <f>IF($H950="","",DATE(YEAR($H950),MONTH($H950),1))</f>
        <v/>
      </c>
      <c r="N950" s="26">
        <f>IF($H950="","",TODAY()-$H950)</f>
        <v/>
      </c>
      <c r="O950" s="15" t="n"/>
      <c r="P950" s="26">
        <f>IF($A950="","",COUNTIFS('Audit Versions'!$A$6:$A$605,$A950,'Audit Versions'!$L$6:$L$605,"Active"))</f>
        <v/>
      </c>
      <c r="Q950" s="15" t="n"/>
      <c r="R950" s="26">
        <f>IF(OR($A950="",$P950=0),"",MOD(N($Q950),$P950)+1)</f>
        <v/>
      </c>
      <c r="S950" s="15" t="n"/>
      <c r="T950" s="25" t="n"/>
      <c r="U950" s="26">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Builder'!$B$12="",N($S950)&lt;='Assignment Builder'!$B$12)))</f>
        <v/>
      </c>
      <c r="V950" s="23" t="n"/>
    </row>
    <row r="951">
      <c r="A951" s="23" t="n"/>
      <c r="B951" s="23" t="n"/>
      <c r="C951" s="24" t="n"/>
      <c r="D951" s="15" t="n"/>
      <c r="E951" s="23" t="n"/>
      <c r="F951" s="15" t="n"/>
      <c r="G951" s="23" t="n"/>
      <c r="H951" s="25" t="n"/>
      <c r="I951" s="15" t="n"/>
      <c r="J951" s="26">
        <f>IF($A951="","",LEN($C951)-LEN(SUBSTITUTE($C951,",",""))+1)</f>
        <v/>
      </c>
      <c r="K951" s="26">
        <f>IF($A951="","",SUMPRODUCT(--ISNUMBER(SEARCH('Category Dictionary'!$D$5:$D$135&amp;"",$C951)),--('Category Dictionary'!$D$5:$D$135&lt;&gt;"")))</f>
        <v/>
      </c>
      <c r="L951" s="27">
        <f>IF($A951="","",TRIM(IF(ISERROR(FIND(",",$C951)),$C951,LEFT($C951,FIND(",",$C951)-1))))</f>
        <v/>
      </c>
      <c r="M951" s="28">
        <f>IF($H951="","",DATE(YEAR($H951),MONTH($H951),1))</f>
        <v/>
      </c>
      <c r="N951" s="26">
        <f>IF($H951="","",TODAY()-$H951)</f>
        <v/>
      </c>
      <c r="O951" s="15" t="n"/>
      <c r="P951" s="26">
        <f>IF($A951="","",COUNTIFS('Audit Versions'!$A$6:$A$605,$A951,'Audit Versions'!$L$6:$L$605,"Active"))</f>
        <v/>
      </c>
      <c r="Q951" s="15" t="n"/>
      <c r="R951" s="26">
        <f>IF(OR($A951="",$P951=0),"",MOD(N($Q951),$P951)+1)</f>
        <v/>
      </c>
      <c r="S951" s="15" t="n"/>
      <c r="T951" s="25" t="n"/>
      <c r="U951" s="26">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Builder'!$B$12="",N($S951)&lt;='Assignment Builder'!$B$12)))</f>
        <v/>
      </c>
      <c r="V951" s="23" t="n"/>
    </row>
    <row r="952">
      <c r="A952" s="23" t="n"/>
      <c r="B952" s="23" t="n"/>
      <c r="C952" s="24" t="n"/>
      <c r="D952" s="15" t="n"/>
      <c r="E952" s="23" t="n"/>
      <c r="F952" s="15" t="n"/>
      <c r="G952" s="23" t="n"/>
      <c r="H952" s="25" t="n"/>
      <c r="I952" s="15" t="n"/>
      <c r="J952" s="26">
        <f>IF($A952="","",LEN($C952)-LEN(SUBSTITUTE($C952,",",""))+1)</f>
        <v/>
      </c>
      <c r="K952" s="26">
        <f>IF($A952="","",SUMPRODUCT(--ISNUMBER(SEARCH('Category Dictionary'!$D$5:$D$135&amp;"",$C952)),--('Category Dictionary'!$D$5:$D$135&lt;&gt;"")))</f>
        <v/>
      </c>
      <c r="L952" s="27">
        <f>IF($A952="","",TRIM(IF(ISERROR(FIND(",",$C952)),$C952,LEFT($C952,FIND(",",$C952)-1))))</f>
        <v/>
      </c>
      <c r="M952" s="28">
        <f>IF($H952="","",DATE(YEAR($H952),MONTH($H952),1))</f>
        <v/>
      </c>
      <c r="N952" s="26">
        <f>IF($H952="","",TODAY()-$H952)</f>
        <v/>
      </c>
      <c r="O952" s="15" t="n"/>
      <c r="P952" s="26">
        <f>IF($A952="","",COUNTIFS('Audit Versions'!$A$6:$A$605,$A952,'Audit Versions'!$L$6:$L$605,"Active"))</f>
        <v/>
      </c>
      <c r="Q952" s="15" t="n"/>
      <c r="R952" s="26">
        <f>IF(OR($A952="",$P952=0),"",MOD(N($Q952),$P952)+1)</f>
        <v/>
      </c>
      <c r="S952" s="15" t="n"/>
      <c r="T952" s="25" t="n"/>
      <c r="U952" s="26">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Builder'!$B$12="",N($S952)&lt;='Assignment Builder'!$B$12)))</f>
        <v/>
      </c>
      <c r="V952" s="23" t="n"/>
    </row>
    <row r="953">
      <c r="A953" s="23" t="n"/>
      <c r="B953" s="23" t="n"/>
      <c r="C953" s="24" t="n"/>
      <c r="D953" s="15" t="n"/>
      <c r="E953" s="23" t="n"/>
      <c r="F953" s="15" t="n"/>
      <c r="G953" s="23" t="n"/>
      <c r="H953" s="25" t="n"/>
      <c r="I953" s="15" t="n"/>
      <c r="J953" s="26">
        <f>IF($A953="","",LEN($C953)-LEN(SUBSTITUTE($C953,",",""))+1)</f>
        <v/>
      </c>
      <c r="K953" s="26">
        <f>IF($A953="","",SUMPRODUCT(--ISNUMBER(SEARCH('Category Dictionary'!$D$5:$D$135&amp;"",$C953)),--('Category Dictionary'!$D$5:$D$135&lt;&gt;"")))</f>
        <v/>
      </c>
      <c r="L953" s="27">
        <f>IF($A953="","",TRIM(IF(ISERROR(FIND(",",$C953)),$C953,LEFT($C953,FIND(",",$C953)-1))))</f>
        <v/>
      </c>
      <c r="M953" s="28">
        <f>IF($H953="","",DATE(YEAR($H953),MONTH($H953),1))</f>
        <v/>
      </c>
      <c r="N953" s="26">
        <f>IF($H953="","",TODAY()-$H953)</f>
        <v/>
      </c>
      <c r="O953" s="15" t="n"/>
      <c r="P953" s="26">
        <f>IF($A953="","",COUNTIFS('Audit Versions'!$A$6:$A$605,$A953,'Audit Versions'!$L$6:$L$605,"Active"))</f>
        <v/>
      </c>
      <c r="Q953" s="15" t="n"/>
      <c r="R953" s="26">
        <f>IF(OR($A953="",$P953=0),"",MOD(N($Q953),$P953)+1)</f>
        <v/>
      </c>
      <c r="S953" s="15" t="n"/>
      <c r="T953" s="25" t="n"/>
      <c r="U953" s="26">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Builder'!$B$12="",N($S953)&lt;='Assignment Builder'!$B$12)))</f>
        <v/>
      </c>
      <c r="V953" s="23" t="n"/>
    </row>
    <row r="954">
      <c r="A954" s="23" t="n"/>
      <c r="B954" s="23" t="n"/>
      <c r="C954" s="24" t="n"/>
      <c r="D954" s="15" t="n"/>
      <c r="E954" s="23" t="n"/>
      <c r="F954" s="15" t="n"/>
      <c r="G954" s="23" t="n"/>
      <c r="H954" s="25" t="n"/>
      <c r="I954" s="15" t="n"/>
      <c r="J954" s="26">
        <f>IF($A954="","",LEN($C954)-LEN(SUBSTITUTE($C954,",",""))+1)</f>
        <v/>
      </c>
      <c r="K954" s="26">
        <f>IF($A954="","",SUMPRODUCT(--ISNUMBER(SEARCH('Category Dictionary'!$D$5:$D$135&amp;"",$C954)),--('Category Dictionary'!$D$5:$D$135&lt;&gt;"")))</f>
        <v/>
      </c>
      <c r="L954" s="27">
        <f>IF($A954="","",TRIM(IF(ISERROR(FIND(",",$C954)),$C954,LEFT($C954,FIND(",",$C954)-1))))</f>
        <v/>
      </c>
      <c r="M954" s="28">
        <f>IF($H954="","",DATE(YEAR($H954),MONTH($H954),1))</f>
        <v/>
      </c>
      <c r="N954" s="26">
        <f>IF($H954="","",TODAY()-$H954)</f>
        <v/>
      </c>
      <c r="O954" s="15" t="n"/>
      <c r="P954" s="26">
        <f>IF($A954="","",COUNTIFS('Audit Versions'!$A$6:$A$605,$A954,'Audit Versions'!$L$6:$L$605,"Active"))</f>
        <v/>
      </c>
      <c r="Q954" s="15" t="n"/>
      <c r="R954" s="26">
        <f>IF(OR($A954="",$P954=0),"",MOD(N($Q954),$P954)+1)</f>
        <v/>
      </c>
      <c r="S954" s="15" t="n"/>
      <c r="T954" s="25" t="n"/>
      <c r="U954" s="26">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Builder'!$B$12="",N($S954)&lt;='Assignment Builder'!$B$12)))</f>
        <v/>
      </c>
      <c r="V954" s="23" t="n"/>
    </row>
    <row r="955">
      <c r="A955" s="23" t="n"/>
      <c r="B955" s="23" t="n"/>
      <c r="C955" s="24" t="n"/>
      <c r="D955" s="15" t="n"/>
      <c r="E955" s="23" t="n"/>
      <c r="F955" s="15" t="n"/>
      <c r="G955" s="23" t="n"/>
      <c r="H955" s="25" t="n"/>
      <c r="I955" s="15" t="n"/>
      <c r="J955" s="26">
        <f>IF($A955="","",LEN($C955)-LEN(SUBSTITUTE($C955,",",""))+1)</f>
        <v/>
      </c>
      <c r="K955" s="26">
        <f>IF($A955="","",SUMPRODUCT(--ISNUMBER(SEARCH('Category Dictionary'!$D$5:$D$135&amp;"",$C955)),--('Category Dictionary'!$D$5:$D$135&lt;&gt;"")))</f>
        <v/>
      </c>
      <c r="L955" s="27">
        <f>IF($A955="","",TRIM(IF(ISERROR(FIND(",",$C955)),$C955,LEFT($C955,FIND(",",$C955)-1))))</f>
        <v/>
      </c>
      <c r="M955" s="28">
        <f>IF($H955="","",DATE(YEAR($H955),MONTH($H955),1))</f>
        <v/>
      </c>
      <c r="N955" s="26">
        <f>IF($H955="","",TODAY()-$H955)</f>
        <v/>
      </c>
      <c r="O955" s="15" t="n"/>
      <c r="P955" s="26">
        <f>IF($A955="","",COUNTIFS('Audit Versions'!$A$6:$A$605,$A955,'Audit Versions'!$L$6:$L$605,"Active"))</f>
        <v/>
      </c>
      <c r="Q955" s="15" t="n"/>
      <c r="R955" s="26">
        <f>IF(OR($A955="",$P955=0),"",MOD(N($Q955),$P955)+1)</f>
        <v/>
      </c>
      <c r="S955" s="15" t="n"/>
      <c r="T955" s="25" t="n"/>
      <c r="U955" s="26">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Builder'!$B$12="",N($S955)&lt;='Assignment Builder'!$B$12)))</f>
        <v/>
      </c>
      <c r="V955" s="23" t="n"/>
    </row>
    <row r="956">
      <c r="A956" s="23" t="n"/>
      <c r="B956" s="23" t="n"/>
      <c r="C956" s="24" t="n"/>
      <c r="D956" s="15" t="n"/>
      <c r="E956" s="23" t="n"/>
      <c r="F956" s="15" t="n"/>
      <c r="G956" s="23" t="n"/>
      <c r="H956" s="25" t="n"/>
      <c r="I956" s="15" t="n"/>
      <c r="J956" s="26">
        <f>IF($A956="","",LEN($C956)-LEN(SUBSTITUTE($C956,",",""))+1)</f>
        <v/>
      </c>
      <c r="K956" s="26">
        <f>IF($A956="","",SUMPRODUCT(--ISNUMBER(SEARCH('Category Dictionary'!$D$5:$D$135&amp;"",$C956)),--('Category Dictionary'!$D$5:$D$135&lt;&gt;"")))</f>
        <v/>
      </c>
      <c r="L956" s="27">
        <f>IF($A956="","",TRIM(IF(ISERROR(FIND(",",$C956)),$C956,LEFT($C956,FIND(",",$C956)-1))))</f>
        <v/>
      </c>
      <c r="M956" s="28">
        <f>IF($H956="","",DATE(YEAR($H956),MONTH($H956),1))</f>
        <v/>
      </c>
      <c r="N956" s="26">
        <f>IF($H956="","",TODAY()-$H956)</f>
        <v/>
      </c>
      <c r="O956" s="15" t="n"/>
      <c r="P956" s="26">
        <f>IF($A956="","",COUNTIFS('Audit Versions'!$A$6:$A$605,$A956,'Audit Versions'!$L$6:$L$605,"Active"))</f>
        <v/>
      </c>
      <c r="Q956" s="15" t="n"/>
      <c r="R956" s="26">
        <f>IF(OR($A956="",$P956=0),"",MOD(N($Q956),$P956)+1)</f>
        <v/>
      </c>
      <c r="S956" s="15" t="n"/>
      <c r="T956" s="25" t="n"/>
      <c r="U956" s="26">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Builder'!$B$12="",N($S956)&lt;='Assignment Builder'!$B$12)))</f>
        <v/>
      </c>
      <c r="V956" s="23" t="n"/>
    </row>
    <row r="957">
      <c r="A957" s="23" t="n"/>
      <c r="B957" s="23" t="n"/>
      <c r="C957" s="24" t="n"/>
      <c r="D957" s="15" t="n"/>
      <c r="E957" s="23" t="n"/>
      <c r="F957" s="15" t="n"/>
      <c r="G957" s="23" t="n"/>
      <c r="H957" s="25" t="n"/>
      <c r="I957" s="15" t="n"/>
      <c r="J957" s="26">
        <f>IF($A957="","",LEN($C957)-LEN(SUBSTITUTE($C957,",",""))+1)</f>
        <v/>
      </c>
      <c r="K957" s="26">
        <f>IF($A957="","",SUMPRODUCT(--ISNUMBER(SEARCH('Category Dictionary'!$D$5:$D$135&amp;"",$C957)),--('Category Dictionary'!$D$5:$D$135&lt;&gt;"")))</f>
        <v/>
      </c>
      <c r="L957" s="27">
        <f>IF($A957="","",TRIM(IF(ISERROR(FIND(",",$C957)),$C957,LEFT($C957,FIND(",",$C957)-1))))</f>
        <v/>
      </c>
      <c r="M957" s="28">
        <f>IF($H957="","",DATE(YEAR($H957),MONTH($H957),1))</f>
        <v/>
      </c>
      <c r="N957" s="26">
        <f>IF($H957="","",TODAY()-$H957)</f>
        <v/>
      </c>
      <c r="O957" s="15" t="n"/>
      <c r="P957" s="26">
        <f>IF($A957="","",COUNTIFS('Audit Versions'!$A$6:$A$605,$A957,'Audit Versions'!$L$6:$L$605,"Active"))</f>
        <v/>
      </c>
      <c r="Q957" s="15" t="n"/>
      <c r="R957" s="26">
        <f>IF(OR($A957="",$P957=0),"",MOD(N($Q957),$P957)+1)</f>
        <v/>
      </c>
      <c r="S957" s="15" t="n"/>
      <c r="T957" s="25" t="n"/>
      <c r="U957" s="26">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Builder'!$B$12="",N($S957)&lt;='Assignment Builder'!$B$12)))</f>
        <v/>
      </c>
      <c r="V957" s="23" t="n"/>
    </row>
    <row r="958">
      <c r="A958" s="23" t="n"/>
      <c r="B958" s="23" t="n"/>
      <c r="C958" s="24" t="n"/>
      <c r="D958" s="15" t="n"/>
      <c r="E958" s="23" t="n"/>
      <c r="F958" s="15" t="n"/>
      <c r="G958" s="23" t="n"/>
      <c r="H958" s="25" t="n"/>
      <c r="I958" s="15" t="n"/>
      <c r="J958" s="26">
        <f>IF($A958="","",LEN($C958)-LEN(SUBSTITUTE($C958,",",""))+1)</f>
        <v/>
      </c>
      <c r="K958" s="26">
        <f>IF($A958="","",SUMPRODUCT(--ISNUMBER(SEARCH('Category Dictionary'!$D$5:$D$135&amp;"",$C958)),--('Category Dictionary'!$D$5:$D$135&lt;&gt;"")))</f>
        <v/>
      </c>
      <c r="L958" s="27">
        <f>IF($A958="","",TRIM(IF(ISERROR(FIND(",",$C958)),$C958,LEFT($C958,FIND(",",$C958)-1))))</f>
        <v/>
      </c>
      <c r="M958" s="28">
        <f>IF($H958="","",DATE(YEAR($H958),MONTH($H958),1))</f>
        <v/>
      </c>
      <c r="N958" s="26">
        <f>IF($H958="","",TODAY()-$H958)</f>
        <v/>
      </c>
      <c r="O958" s="15" t="n"/>
      <c r="P958" s="26">
        <f>IF($A958="","",COUNTIFS('Audit Versions'!$A$6:$A$605,$A958,'Audit Versions'!$L$6:$L$605,"Active"))</f>
        <v/>
      </c>
      <c r="Q958" s="15" t="n"/>
      <c r="R958" s="26">
        <f>IF(OR($A958="",$P958=0),"",MOD(N($Q958),$P958)+1)</f>
        <v/>
      </c>
      <c r="S958" s="15" t="n"/>
      <c r="T958" s="25" t="n"/>
      <c r="U958" s="26">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Builder'!$B$12="",N($S958)&lt;='Assignment Builder'!$B$12)))</f>
        <v/>
      </c>
      <c r="V958" s="23" t="n"/>
    </row>
    <row r="959">
      <c r="A959" s="23" t="n"/>
      <c r="B959" s="23" t="n"/>
      <c r="C959" s="24" t="n"/>
      <c r="D959" s="15" t="n"/>
      <c r="E959" s="23" t="n"/>
      <c r="F959" s="15" t="n"/>
      <c r="G959" s="23" t="n"/>
      <c r="H959" s="25" t="n"/>
      <c r="I959" s="15" t="n"/>
      <c r="J959" s="26">
        <f>IF($A959="","",LEN($C959)-LEN(SUBSTITUTE($C959,",",""))+1)</f>
        <v/>
      </c>
      <c r="K959" s="26">
        <f>IF($A959="","",SUMPRODUCT(--ISNUMBER(SEARCH('Category Dictionary'!$D$5:$D$135&amp;"",$C959)),--('Category Dictionary'!$D$5:$D$135&lt;&gt;"")))</f>
        <v/>
      </c>
      <c r="L959" s="27">
        <f>IF($A959="","",TRIM(IF(ISERROR(FIND(",",$C959)),$C959,LEFT($C959,FIND(",",$C959)-1))))</f>
        <v/>
      </c>
      <c r="M959" s="28">
        <f>IF($H959="","",DATE(YEAR($H959),MONTH($H959),1))</f>
        <v/>
      </c>
      <c r="N959" s="26">
        <f>IF($H959="","",TODAY()-$H959)</f>
        <v/>
      </c>
      <c r="O959" s="15" t="n"/>
      <c r="P959" s="26">
        <f>IF($A959="","",COUNTIFS('Audit Versions'!$A$6:$A$605,$A959,'Audit Versions'!$L$6:$L$605,"Active"))</f>
        <v/>
      </c>
      <c r="Q959" s="15" t="n"/>
      <c r="R959" s="26">
        <f>IF(OR($A959="",$P959=0),"",MOD(N($Q959),$P959)+1)</f>
        <v/>
      </c>
      <c r="S959" s="15" t="n"/>
      <c r="T959" s="25" t="n"/>
      <c r="U959" s="26">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Builder'!$B$12="",N($S959)&lt;='Assignment Builder'!$B$12)))</f>
        <v/>
      </c>
      <c r="V959" s="23" t="n"/>
    </row>
    <row r="960">
      <c r="A960" s="23" t="n"/>
      <c r="B960" s="23" t="n"/>
      <c r="C960" s="24" t="n"/>
      <c r="D960" s="15" t="n"/>
      <c r="E960" s="23" t="n"/>
      <c r="F960" s="15" t="n"/>
      <c r="G960" s="23" t="n"/>
      <c r="H960" s="25" t="n"/>
      <c r="I960" s="15" t="n"/>
      <c r="J960" s="26">
        <f>IF($A960="","",LEN($C960)-LEN(SUBSTITUTE($C960,",",""))+1)</f>
        <v/>
      </c>
      <c r="K960" s="26">
        <f>IF($A960="","",SUMPRODUCT(--ISNUMBER(SEARCH('Category Dictionary'!$D$5:$D$135&amp;"",$C960)),--('Category Dictionary'!$D$5:$D$135&lt;&gt;"")))</f>
        <v/>
      </c>
      <c r="L960" s="27">
        <f>IF($A960="","",TRIM(IF(ISERROR(FIND(",",$C960)),$C960,LEFT($C960,FIND(",",$C960)-1))))</f>
        <v/>
      </c>
      <c r="M960" s="28">
        <f>IF($H960="","",DATE(YEAR($H960),MONTH($H960),1))</f>
        <v/>
      </c>
      <c r="N960" s="26">
        <f>IF($H960="","",TODAY()-$H960)</f>
        <v/>
      </c>
      <c r="O960" s="15" t="n"/>
      <c r="P960" s="26">
        <f>IF($A960="","",COUNTIFS('Audit Versions'!$A$6:$A$605,$A960,'Audit Versions'!$L$6:$L$605,"Active"))</f>
        <v/>
      </c>
      <c r="Q960" s="15" t="n"/>
      <c r="R960" s="26">
        <f>IF(OR($A960="",$P960=0),"",MOD(N($Q960),$P960)+1)</f>
        <v/>
      </c>
      <c r="S960" s="15" t="n"/>
      <c r="T960" s="25" t="n"/>
      <c r="U960" s="26">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Builder'!$B$12="",N($S960)&lt;='Assignment Builder'!$B$12)))</f>
        <v/>
      </c>
      <c r="V960" s="23" t="n"/>
    </row>
    <row r="961">
      <c r="A961" s="23" t="n"/>
      <c r="B961" s="23" t="n"/>
      <c r="C961" s="24" t="n"/>
      <c r="D961" s="15" t="n"/>
      <c r="E961" s="23" t="n"/>
      <c r="F961" s="15" t="n"/>
      <c r="G961" s="23" t="n"/>
      <c r="H961" s="25" t="n"/>
      <c r="I961" s="15" t="n"/>
      <c r="J961" s="26">
        <f>IF($A961="","",LEN($C961)-LEN(SUBSTITUTE($C961,",",""))+1)</f>
        <v/>
      </c>
      <c r="K961" s="26">
        <f>IF($A961="","",SUMPRODUCT(--ISNUMBER(SEARCH('Category Dictionary'!$D$5:$D$135&amp;"",$C961)),--('Category Dictionary'!$D$5:$D$135&lt;&gt;"")))</f>
        <v/>
      </c>
      <c r="L961" s="27">
        <f>IF($A961="","",TRIM(IF(ISERROR(FIND(",",$C961)),$C961,LEFT($C961,FIND(",",$C961)-1))))</f>
        <v/>
      </c>
      <c r="M961" s="28">
        <f>IF($H961="","",DATE(YEAR($H961),MONTH($H961),1))</f>
        <v/>
      </c>
      <c r="N961" s="26">
        <f>IF($H961="","",TODAY()-$H961)</f>
        <v/>
      </c>
      <c r="O961" s="15" t="n"/>
      <c r="P961" s="26">
        <f>IF($A961="","",COUNTIFS('Audit Versions'!$A$6:$A$605,$A961,'Audit Versions'!$L$6:$L$605,"Active"))</f>
        <v/>
      </c>
      <c r="Q961" s="15" t="n"/>
      <c r="R961" s="26">
        <f>IF(OR($A961="",$P961=0),"",MOD(N($Q961),$P961)+1)</f>
        <v/>
      </c>
      <c r="S961" s="15" t="n"/>
      <c r="T961" s="25" t="n"/>
      <c r="U961" s="26">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Builder'!$B$12="",N($S961)&lt;='Assignment Builder'!$B$12)))</f>
        <v/>
      </c>
      <c r="V961" s="23" t="n"/>
    </row>
    <row r="962">
      <c r="A962" s="23" t="n"/>
      <c r="B962" s="23" t="n"/>
      <c r="C962" s="24" t="n"/>
      <c r="D962" s="15" t="n"/>
      <c r="E962" s="23" t="n"/>
      <c r="F962" s="15" t="n"/>
      <c r="G962" s="23" t="n"/>
      <c r="H962" s="25" t="n"/>
      <c r="I962" s="15" t="n"/>
      <c r="J962" s="26">
        <f>IF($A962="","",LEN($C962)-LEN(SUBSTITUTE($C962,",",""))+1)</f>
        <v/>
      </c>
      <c r="K962" s="26">
        <f>IF($A962="","",SUMPRODUCT(--ISNUMBER(SEARCH('Category Dictionary'!$D$5:$D$135&amp;"",$C962)),--('Category Dictionary'!$D$5:$D$135&lt;&gt;"")))</f>
        <v/>
      </c>
      <c r="L962" s="27">
        <f>IF($A962="","",TRIM(IF(ISERROR(FIND(",",$C962)),$C962,LEFT($C962,FIND(",",$C962)-1))))</f>
        <v/>
      </c>
      <c r="M962" s="28">
        <f>IF($H962="","",DATE(YEAR($H962),MONTH($H962),1))</f>
        <v/>
      </c>
      <c r="N962" s="26">
        <f>IF($H962="","",TODAY()-$H962)</f>
        <v/>
      </c>
      <c r="O962" s="15" t="n"/>
      <c r="P962" s="26">
        <f>IF($A962="","",COUNTIFS('Audit Versions'!$A$6:$A$605,$A962,'Audit Versions'!$L$6:$L$605,"Active"))</f>
        <v/>
      </c>
      <c r="Q962" s="15" t="n"/>
      <c r="R962" s="26">
        <f>IF(OR($A962="",$P962=0),"",MOD(N($Q962),$P962)+1)</f>
        <v/>
      </c>
      <c r="S962" s="15" t="n"/>
      <c r="T962" s="25" t="n"/>
      <c r="U962" s="26">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Builder'!$B$12="",N($S962)&lt;='Assignment Builder'!$B$12)))</f>
        <v/>
      </c>
      <c r="V962" s="23" t="n"/>
    </row>
    <row r="963">
      <c r="A963" s="23" t="n"/>
      <c r="B963" s="23" t="n"/>
      <c r="C963" s="24" t="n"/>
      <c r="D963" s="15" t="n"/>
      <c r="E963" s="23" t="n"/>
      <c r="F963" s="15" t="n"/>
      <c r="G963" s="23" t="n"/>
      <c r="H963" s="25" t="n"/>
      <c r="I963" s="15" t="n"/>
      <c r="J963" s="26">
        <f>IF($A963="","",LEN($C963)-LEN(SUBSTITUTE($C963,",",""))+1)</f>
        <v/>
      </c>
      <c r="K963" s="26">
        <f>IF($A963="","",SUMPRODUCT(--ISNUMBER(SEARCH('Category Dictionary'!$D$5:$D$135&amp;"",$C963)),--('Category Dictionary'!$D$5:$D$135&lt;&gt;"")))</f>
        <v/>
      </c>
      <c r="L963" s="27">
        <f>IF($A963="","",TRIM(IF(ISERROR(FIND(",",$C963)),$C963,LEFT($C963,FIND(",",$C963)-1))))</f>
        <v/>
      </c>
      <c r="M963" s="28">
        <f>IF($H963="","",DATE(YEAR($H963),MONTH($H963),1))</f>
        <v/>
      </c>
      <c r="N963" s="26">
        <f>IF($H963="","",TODAY()-$H963)</f>
        <v/>
      </c>
      <c r="O963" s="15" t="n"/>
      <c r="P963" s="26">
        <f>IF($A963="","",COUNTIFS('Audit Versions'!$A$6:$A$605,$A963,'Audit Versions'!$L$6:$L$605,"Active"))</f>
        <v/>
      </c>
      <c r="Q963" s="15" t="n"/>
      <c r="R963" s="26">
        <f>IF(OR($A963="",$P963=0),"",MOD(N($Q963),$P963)+1)</f>
        <v/>
      </c>
      <c r="S963" s="15" t="n"/>
      <c r="T963" s="25" t="n"/>
      <c r="U963" s="26">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Builder'!$B$12="",N($S963)&lt;='Assignment Builder'!$B$12)))</f>
        <v/>
      </c>
      <c r="V963" s="23" t="n"/>
    </row>
    <row r="964">
      <c r="A964" s="23" t="n"/>
      <c r="B964" s="23" t="n"/>
      <c r="C964" s="24" t="n"/>
      <c r="D964" s="15" t="n"/>
      <c r="E964" s="23" t="n"/>
      <c r="F964" s="15" t="n"/>
      <c r="G964" s="23" t="n"/>
      <c r="H964" s="25" t="n"/>
      <c r="I964" s="15" t="n"/>
      <c r="J964" s="26">
        <f>IF($A964="","",LEN($C964)-LEN(SUBSTITUTE($C964,",",""))+1)</f>
        <v/>
      </c>
      <c r="K964" s="26">
        <f>IF($A964="","",SUMPRODUCT(--ISNUMBER(SEARCH('Category Dictionary'!$D$5:$D$135&amp;"",$C964)),--('Category Dictionary'!$D$5:$D$135&lt;&gt;"")))</f>
        <v/>
      </c>
      <c r="L964" s="27">
        <f>IF($A964="","",TRIM(IF(ISERROR(FIND(",",$C964)),$C964,LEFT($C964,FIND(",",$C964)-1))))</f>
        <v/>
      </c>
      <c r="M964" s="28">
        <f>IF($H964="","",DATE(YEAR($H964),MONTH($H964),1))</f>
        <v/>
      </c>
      <c r="N964" s="26">
        <f>IF($H964="","",TODAY()-$H964)</f>
        <v/>
      </c>
      <c r="O964" s="15" t="n"/>
      <c r="P964" s="26">
        <f>IF($A964="","",COUNTIFS('Audit Versions'!$A$6:$A$605,$A964,'Audit Versions'!$L$6:$L$605,"Active"))</f>
        <v/>
      </c>
      <c r="Q964" s="15" t="n"/>
      <c r="R964" s="26">
        <f>IF(OR($A964="",$P964=0),"",MOD(N($Q964),$P964)+1)</f>
        <v/>
      </c>
      <c r="S964" s="15" t="n"/>
      <c r="T964" s="25" t="n"/>
      <c r="U964" s="26">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Builder'!$B$12="",N($S964)&lt;='Assignment Builder'!$B$12)))</f>
        <v/>
      </c>
      <c r="V964" s="23" t="n"/>
    </row>
    <row r="965">
      <c r="A965" s="23" t="n"/>
      <c r="B965" s="23" t="n"/>
      <c r="C965" s="24" t="n"/>
      <c r="D965" s="15" t="n"/>
      <c r="E965" s="23" t="n"/>
      <c r="F965" s="15" t="n"/>
      <c r="G965" s="23" t="n"/>
      <c r="H965" s="25" t="n"/>
      <c r="I965" s="15" t="n"/>
      <c r="J965" s="26">
        <f>IF($A965="","",LEN($C965)-LEN(SUBSTITUTE($C965,",",""))+1)</f>
        <v/>
      </c>
      <c r="K965" s="26">
        <f>IF($A965="","",SUMPRODUCT(--ISNUMBER(SEARCH('Category Dictionary'!$D$5:$D$135&amp;"",$C965)),--('Category Dictionary'!$D$5:$D$135&lt;&gt;"")))</f>
        <v/>
      </c>
      <c r="L965" s="27">
        <f>IF($A965="","",TRIM(IF(ISERROR(FIND(",",$C965)),$C965,LEFT($C965,FIND(",",$C965)-1))))</f>
        <v/>
      </c>
      <c r="M965" s="28">
        <f>IF($H965="","",DATE(YEAR($H965),MONTH($H965),1))</f>
        <v/>
      </c>
      <c r="N965" s="26">
        <f>IF($H965="","",TODAY()-$H965)</f>
        <v/>
      </c>
      <c r="O965" s="15" t="n"/>
      <c r="P965" s="26">
        <f>IF($A965="","",COUNTIFS('Audit Versions'!$A$6:$A$605,$A965,'Audit Versions'!$L$6:$L$605,"Active"))</f>
        <v/>
      </c>
      <c r="Q965" s="15" t="n"/>
      <c r="R965" s="26">
        <f>IF(OR($A965="",$P965=0),"",MOD(N($Q965),$P965)+1)</f>
        <v/>
      </c>
      <c r="S965" s="15" t="n"/>
      <c r="T965" s="25" t="n"/>
      <c r="U965" s="26">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Builder'!$B$12="",N($S965)&lt;='Assignment Builder'!$B$12)))</f>
        <v/>
      </c>
      <c r="V965" s="23" t="n"/>
    </row>
    <row r="966">
      <c r="A966" s="23" t="n"/>
      <c r="B966" s="23" t="n"/>
      <c r="C966" s="24" t="n"/>
      <c r="D966" s="15" t="n"/>
      <c r="E966" s="23" t="n"/>
      <c r="F966" s="15" t="n"/>
      <c r="G966" s="23" t="n"/>
      <c r="H966" s="25" t="n"/>
      <c r="I966" s="15" t="n"/>
      <c r="J966" s="26">
        <f>IF($A966="","",LEN($C966)-LEN(SUBSTITUTE($C966,",",""))+1)</f>
        <v/>
      </c>
      <c r="K966" s="26">
        <f>IF($A966="","",SUMPRODUCT(--ISNUMBER(SEARCH('Category Dictionary'!$D$5:$D$135&amp;"",$C966)),--('Category Dictionary'!$D$5:$D$135&lt;&gt;"")))</f>
        <v/>
      </c>
      <c r="L966" s="27">
        <f>IF($A966="","",TRIM(IF(ISERROR(FIND(",",$C966)),$C966,LEFT($C966,FIND(",",$C966)-1))))</f>
        <v/>
      </c>
      <c r="M966" s="28">
        <f>IF($H966="","",DATE(YEAR($H966),MONTH($H966),1))</f>
        <v/>
      </c>
      <c r="N966" s="26">
        <f>IF($H966="","",TODAY()-$H966)</f>
        <v/>
      </c>
      <c r="O966" s="15" t="n"/>
      <c r="P966" s="26">
        <f>IF($A966="","",COUNTIFS('Audit Versions'!$A$6:$A$605,$A966,'Audit Versions'!$L$6:$L$605,"Active"))</f>
        <v/>
      </c>
      <c r="Q966" s="15" t="n"/>
      <c r="R966" s="26">
        <f>IF(OR($A966="",$P966=0),"",MOD(N($Q966),$P966)+1)</f>
        <v/>
      </c>
      <c r="S966" s="15" t="n"/>
      <c r="T966" s="25" t="n"/>
      <c r="U966" s="26">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Builder'!$B$12="",N($S966)&lt;='Assignment Builder'!$B$12)))</f>
        <v/>
      </c>
      <c r="V966" s="23" t="n"/>
    </row>
    <row r="967">
      <c r="A967" s="23" t="n"/>
      <c r="B967" s="23" t="n"/>
      <c r="C967" s="24" t="n"/>
      <c r="D967" s="15" t="n"/>
      <c r="E967" s="23" t="n"/>
      <c r="F967" s="15" t="n"/>
      <c r="G967" s="23" t="n"/>
      <c r="H967" s="25" t="n"/>
      <c r="I967" s="15" t="n"/>
      <c r="J967" s="26">
        <f>IF($A967="","",LEN($C967)-LEN(SUBSTITUTE($C967,",",""))+1)</f>
        <v/>
      </c>
      <c r="K967" s="26">
        <f>IF($A967="","",SUMPRODUCT(--ISNUMBER(SEARCH('Category Dictionary'!$D$5:$D$135&amp;"",$C967)),--('Category Dictionary'!$D$5:$D$135&lt;&gt;"")))</f>
        <v/>
      </c>
      <c r="L967" s="27">
        <f>IF($A967="","",TRIM(IF(ISERROR(FIND(",",$C967)),$C967,LEFT($C967,FIND(",",$C967)-1))))</f>
        <v/>
      </c>
      <c r="M967" s="28">
        <f>IF($H967="","",DATE(YEAR($H967),MONTH($H967),1))</f>
        <v/>
      </c>
      <c r="N967" s="26">
        <f>IF($H967="","",TODAY()-$H967)</f>
        <v/>
      </c>
      <c r="O967" s="15" t="n"/>
      <c r="P967" s="26">
        <f>IF($A967="","",COUNTIFS('Audit Versions'!$A$6:$A$605,$A967,'Audit Versions'!$L$6:$L$605,"Active"))</f>
        <v/>
      </c>
      <c r="Q967" s="15" t="n"/>
      <c r="R967" s="26">
        <f>IF(OR($A967="",$P967=0),"",MOD(N($Q967),$P967)+1)</f>
        <v/>
      </c>
      <c r="S967" s="15" t="n"/>
      <c r="T967" s="25" t="n"/>
      <c r="U967" s="26">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Builder'!$B$12="",N($S967)&lt;='Assignment Builder'!$B$12)))</f>
        <v/>
      </c>
      <c r="V967" s="23" t="n"/>
    </row>
    <row r="968">
      <c r="A968" s="23" t="n"/>
      <c r="B968" s="23" t="n"/>
      <c r="C968" s="24" t="n"/>
      <c r="D968" s="15" t="n"/>
      <c r="E968" s="23" t="n"/>
      <c r="F968" s="15" t="n"/>
      <c r="G968" s="23" t="n"/>
      <c r="H968" s="25" t="n"/>
      <c r="I968" s="15" t="n"/>
      <c r="J968" s="26">
        <f>IF($A968="","",LEN($C968)-LEN(SUBSTITUTE($C968,",",""))+1)</f>
        <v/>
      </c>
      <c r="K968" s="26">
        <f>IF($A968="","",SUMPRODUCT(--ISNUMBER(SEARCH('Category Dictionary'!$D$5:$D$135&amp;"",$C968)),--('Category Dictionary'!$D$5:$D$135&lt;&gt;"")))</f>
        <v/>
      </c>
      <c r="L968" s="27">
        <f>IF($A968="","",TRIM(IF(ISERROR(FIND(",",$C968)),$C968,LEFT($C968,FIND(",",$C968)-1))))</f>
        <v/>
      </c>
      <c r="M968" s="28">
        <f>IF($H968="","",DATE(YEAR($H968),MONTH($H968),1))</f>
        <v/>
      </c>
      <c r="N968" s="26">
        <f>IF($H968="","",TODAY()-$H968)</f>
        <v/>
      </c>
      <c r="O968" s="15" t="n"/>
      <c r="P968" s="26">
        <f>IF($A968="","",COUNTIFS('Audit Versions'!$A$6:$A$605,$A968,'Audit Versions'!$L$6:$L$605,"Active"))</f>
        <v/>
      </c>
      <c r="Q968" s="15" t="n"/>
      <c r="R968" s="26">
        <f>IF(OR($A968="",$P968=0),"",MOD(N($Q968),$P968)+1)</f>
        <v/>
      </c>
      <c r="S968" s="15" t="n"/>
      <c r="T968" s="25" t="n"/>
      <c r="U968" s="26">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Builder'!$B$12="",N($S968)&lt;='Assignment Builder'!$B$12)))</f>
        <v/>
      </c>
      <c r="V968" s="23" t="n"/>
    </row>
    <row r="969">
      <c r="A969" s="23" t="n"/>
      <c r="B969" s="23" t="n"/>
      <c r="C969" s="24" t="n"/>
      <c r="D969" s="15" t="n"/>
      <c r="E969" s="23" t="n"/>
      <c r="F969" s="15" t="n"/>
      <c r="G969" s="23" t="n"/>
      <c r="H969" s="25" t="n"/>
      <c r="I969" s="15" t="n"/>
      <c r="J969" s="26">
        <f>IF($A969="","",LEN($C969)-LEN(SUBSTITUTE($C969,",",""))+1)</f>
        <v/>
      </c>
      <c r="K969" s="26">
        <f>IF($A969="","",SUMPRODUCT(--ISNUMBER(SEARCH('Category Dictionary'!$D$5:$D$135&amp;"",$C969)),--('Category Dictionary'!$D$5:$D$135&lt;&gt;"")))</f>
        <v/>
      </c>
      <c r="L969" s="27">
        <f>IF($A969="","",TRIM(IF(ISERROR(FIND(",",$C969)),$C969,LEFT($C969,FIND(",",$C969)-1))))</f>
        <v/>
      </c>
      <c r="M969" s="28">
        <f>IF($H969="","",DATE(YEAR($H969),MONTH($H969),1))</f>
        <v/>
      </c>
      <c r="N969" s="26">
        <f>IF($H969="","",TODAY()-$H969)</f>
        <v/>
      </c>
      <c r="O969" s="15" t="n"/>
      <c r="P969" s="26">
        <f>IF($A969="","",COUNTIFS('Audit Versions'!$A$6:$A$605,$A969,'Audit Versions'!$L$6:$L$605,"Active"))</f>
        <v/>
      </c>
      <c r="Q969" s="15" t="n"/>
      <c r="R969" s="26">
        <f>IF(OR($A969="",$P969=0),"",MOD(N($Q969),$P969)+1)</f>
        <v/>
      </c>
      <c r="S969" s="15" t="n"/>
      <c r="T969" s="25" t="n"/>
      <c r="U969" s="26">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Builder'!$B$12="",N($S969)&lt;='Assignment Builder'!$B$12)))</f>
        <v/>
      </c>
      <c r="V969" s="23" t="n"/>
    </row>
    <row r="970">
      <c r="A970" s="23" t="n"/>
      <c r="B970" s="23" t="n"/>
      <c r="C970" s="24" t="n"/>
      <c r="D970" s="15" t="n"/>
      <c r="E970" s="23" t="n"/>
      <c r="F970" s="15" t="n"/>
      <c r="G970" s="23" t="n"/>
      <c r="H970" s="25" t="n"/>
      <c r="I970" s="15" t="n"/>
      <c r="J970" s="26">
        <f>IF($A970="","",LEN($C970)-LEN(SUBSTITUTE($C970,",",""))+1)</f>
        <v/>
      </c>
      <c r="K970" s="26">
        <f>IF($A970="","",SUMPRODUCT(--ISNUMBER(SEARCH('Category Dictionary'!$D$5:$D$135&amp;"",$C970)),--('Category Dictionary'!$D$5:$D$135&lt;&gt;"")))</f>
        <v/>
      </c>
      <c r="L970" s="27">
        <f>IF($A970="","",TRIM(IF(ISERROR(FIND(",",$C970)),$C970,LEFT($C970,FIND(",",$C970)-1))))</f>
        <v/>
      </c>
      <c r="M970" s="28">
        <f>IF($H970="","",DATE(YEAR($H970),MONTH($H970),1))</f>
        <v/>
      </c>
      <c r="N970" s="26">
        <f>IF($H970="","",TODAY()-$H970)</f>
        <v/>
      </c>
      <c r="O970" s="15" t="n"/>
      <c r="P970" s="26">
        <f>IF($A970="","",COUNTIFS('Audit Versions'!$A$6:$A$605,$A970,'Audit Versions'!$L$6:$L$605,"Active"))</f>
        <v/>
      </c>
      <c r="Q970" s="15" t="n"/>
      <c r="R970" s="26">
        <f>IF(OR($A970="",$P970=0),"",MOD(N($Q970),$P970)+1)</f>
        <v/>
      </c>
      <c r="S970" s="15" t="n"/>
      <c r="T970" s="25" t="n"/>
      <c r="U970" s="26">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Builder'!$B$12="",N($S970)&lt;='Assignment Builder'!$B$12)))</f>
        <v/>
      </c>
      <c r="V970" s="23" t="n"/>
    </row>
    <row r="971">
      <c r="A971" s="23" t="n"/>
      <c r="B971" s="23" t="n"/>
      <c r="C971" s="24" t="n"/>
      <c r="D971" s="15" t="n"/>
      <c r="E971" s="23" t="n"/>
      <c r="F971" s="15" t="n"/>
      <c r="G971" s="23" t="n"/>
      <c r="H971" s="25" t="n"/>
      <c r="I971" s="15" t="n"/>
      <c r="J971" s="26">
        <f>IF($A971="","",LEN($C971)-LEN(SUBSTITUTE($C971,",",""))+1)</f>
        <v/>
      </c>
      <c r="K971" s="26">
        <f>IF($A971="","",SUMPRODUCT(--ISNUMBER(SEARCH('Category Dictionary'!$D$5:$D$135&amp;"",$C971)),--('Category Dictionary'!$D$5:$D$135&lt;&gt;"")))</f>
        <v/>
      </c>
      <c r="L971" s="27">
        <f>IF($A971="","",TRIM(IF(ISERROR(FIND(",",$C971)),$C971,LEFT($C971,FIND(",",$C971)-1))))</f>
        <v/>
      </c>
      <c r="M971" s="28">
        <f>IF($H971="","",DATE(YEAR($H971),MONTH($H971),1))</f>
        <v/>
      </c>
      <c r="N971" s="26">
        <f>IF($H971="","",TODAY()-$H971)</f>
        <v/>
      </c>
      <c r="O971" s="15" t="n"/>
      <c r="P971" s="26">
        <f>IF($A971="","",COUNTIFS('Audit Versions'!$A$6:$A$605,$A971,'Audit Versions'!$L$6:$L$605,"Active"))</f>
        <v/>
      </c>
      <c r="Q971" s="15" t="n"/>
      <c r="R971" s="26">
        <f>IF(OR($A971="",$P971=0),"",MOD(N($Q971),$P971)+1)</f>
        <v/>
      </c>
      <c r="S971" s="15" t="n"/>
      <c r="T971" s="25" t="n"/>
      <c r="U971" s="26">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Builder'!$B$12="",N($S971)&lt;='Assignment Builder'!$B$12)))</f>
        <v/>
      </c>
      <c r="V971" s="23" t="n"/>
    </row>
    <row r="972">
      <c r="A972" s="23" t="n"/>
      <c r="B972" s="23" t="n"/>
      <c r="C972" s="24" t="n"/>
      <c r="D972" s="15" t="n"/>
      <c r="E972" s="23" t="n"/>
      <c r="F972" s="15" t="n"/>
      <c r="G972" s="23" t="n"/>
      <c r="H972" s="25" t="n"/>
      <c r="I972" s="15" t="n"/>
      <c r="J972" s="26">
        <f>IF($A972="","",LEN($C972)-LEN(SUBSTITUTE($C972,",",""))+1)</f>
        <v/>
      </c>
      <c r="K972" s="26">
        <f>IF($A972="","",SUMPRODUCT(--ISNUMBER(SEARCH('Category Dictionary'!$D$5:$D$135&amp;"",$C972)),--('Category Dictionary'!$D$5:$D$135&lt;&gt;"")))</f>
        <v/>
      </c>
      <c r="L972" s="27">
        <f>IF($A972="","",TRIM(IF(ISERROR(FIND(",",$C972)),$C972,LEFT($C972,FIND(",",$C972)-1))))</f>
        <v/>
      </c>
      <c r="M972" s="28">
        <f>IF($H972="","",DATE(YEAR($H972),MONTH($H972),1))</f>
        <v/>
      </c>
      <c r="N972" s="26">
        <f>IF($H972="","",TODAY()-$H972)</f>
        <v/>
      </c>
      <c r="O972" s="15" t="n"/>
      <c r="P972" s="26">
        <f>IF($A972="","",COUNTIFS('Audit Versions'!$A$6:$A$605,$A972,'Audit Versions'!$L$6:$L$605,"Active"))</f>
        <v/>
      </c>
      <c r="Q972" s="15" t="n"/>
      <c r="R972" s="26">
        <f>IF(OR($A972="",$P972=0),"",MOD(N($Q972),$P972)+1)</f>
        <v/>
      </c>
      <c r="S972" s="15" t="n"/>
      <c r="T972" s="25" t="n"/>
      <c r="U972" s="26">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Builder'!$B$12="",N($S972)&lt;='Assignment Builder'!$B$12)))</f>
        <v/>
      </c>
      <c r="V972" s="23" t="n"/>
    </row>
    <row r="973">
      <c r="A973" s="23" t="n"/>
      <c r="B973" s="23" t="n"/>
      <c r="C973" s="24" t="n"/>
      <c r="D973" s="15" t="n"/>
      <c r="E973" s="23" t="n"/>
      <c r="F973" s="15" t="n"/>
      <c r="G973" s="23" t="n"/>
      <c r="H973" s="25" t="n"/>
      <c r="I973" s="15" t="n"/>
      <c r="J973" s="26">
        <f>IF($A973="","",LEN($C973)-LEN(SUBSTITUTE($C973,",",""))+1)</f>
        <v/>
      </c>
      <c r="K973" s="26">
        <f>IF($A973="","",SUMPRODUCT(--ISNUMBER(SEARCH('Category Dictionary'!$D$5:$D$135&amp;"",$C973)),--('Category Dictionary'!$D$5:$D$135&lt;&gt;"")))</f>
        <v/>
      </c>
      <c r="L973" s="27">
        <f>IF($A973="","",TRIM(IF(ISERROR(FIND(",",$C973)),$C973,LEFT($C973,FIND(",",$C973)-1))))</f>
        <v/>
      </c>
      <c r="M973" s="28">
        <f>IF($H973="","",DATE(YEAR($H973),MONTH($H973),1))</f>
        <v/>
      </c>
      <c r="N973" s="26">
        <f>IF($H973="","",TODAY()-$H973)</f>
        <v/>
      </c>
      <c r="O973" s="15" t="n"/>
      <c r="P973" s="26">
        <f>IF($A973="","",COUNTIFS('Audit Versions'!$A$6:$A$605,$A973,'Audit Versions'!$L$6:$L$605,"Active"))</f>
        <v/>
      </c>
      <c r="Q973" s="15" t="n"/>
      <c r="R973" s="26">
        <f>IF(OR($A973="",$P973=0),"",MOD(N($Q973),$P973)+1)</f>
        <v/>
      </c>
      <c r="S973" s="15" t="n"/>
      <c r="T973" s="25" t="n"/>
      <c r="U973" s="26">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Builder'!$B$12="",N($S973)&lt;='Assignment Builder'!$B$12)))</f>
        <v/>
      </c>
      <c r="V973" s="23" t="n"/>
    </row>
    <row r="974">
      <c r="A974" s="23" t="n"/>
      <c r="B974" s="23" t="n"/>
      <c r="C974" s="24" t="n"/>
      <c r="D974" s="15" t="n"/>
      <c r="E974" s="23" t="n"/>
      <c r="F974" s="15" t="n"/>
      <c r="G974" s="23" t="n"/>
      <c r="H974" s="25" t="n"/>
      <c r="I974" s="15" t="n"/>
      <c r="J974" s="26">
        <f>IF($A974="","",LEN($C974)-LEN(SUBSTITUTE($C974,",",""))+1)</f>
        <v/>
      </c>
      <c r="K974" s="26">
        <f>IF($A974="","",SUMPRODUCT(--ISNUMBER(SEARCH('Category Dictionary'!$D$5:$D$135&amp;"",$C974)),--('Category Dictionary'!$D$5:$D$135&lt;&gt;"")))</f>
        <v/>
      </c>
      <c r="L974" s="27">
        <f>IF($A974="","",TRIM(IF(ISERROR(FIND(",",$C974)),$C974,LEFT($C974,FIND(",",$C974)-1))))</f>
        <v/>
      </c>
      <c r="M974" s="28">
        <f>IF($H974="","",DATE(YEAR($H974),MONTH($H974),1))</f>
        <v/>
      </c>
      <c r="N974" s="26">
        <f>IF($H974="","",TODAY()-$H974)</f>
        <v/>
      </c>
      <c r="O974" s="15" t="n"/>
      <c r="P974" s="26">
        <f>IF($A974="","",COUNTIFS('Audit Versions'!$A$6:$A$605,$A974,'Audit Versions'!$L$6:$L$605,"Active"))</f>
        <v/>
      </c>
      <c r="Q974" s="15" t="n"/>
      <c r="R974" s="26">
        <f>IF(OR($A974="",$P974=0),"",MOD(N($Q974),$P974)+1)</f>
        <v/>
      </c>
      <c r="S974" s="15" t="n"/>
      <c r="T974" s="25" t="n"/>
      <c r="U974" s="26">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Builder'!$B$12="",N($S974)&lt;='Assignment Builder'!$B$12)))</f>
        <v/>
      </c>
      <c r="V974" s="23" t="n"/>
    </row>
    <row r="975">
      <c r="A975" s="23" t="n"/>
      <c r="B975" s="23" t="n"/>
      <c r="C975" s="24" t="n"/>
      <c r="D975" s="15" t="n"/>
      <c r="E975" s="23" t="n"/>
      <c r="F975" s="15" t="n"/>
      <c r="G975" s="23" t="n"/>
      <c r="H975" s="25" t="n"/>
      <c r="I975" s="15" t="n"/>
      <c r="J975" s="26">
        <f>IF($A975="","",LEN($C975)-LEN(SUBSTITUTE($C975,",",""))+1)</f>
        <v/>
      </c>
      <c r="K975" s="26">
        <f>IF($A975="","",SUMPRODUCT(--ISNUMBER(SEARCH('Category Dictionary'!$D$5:$D$135&amp;"",$C975)),--('Category Dictionary'!$D$5:$D$135&lt;&gt;"")))</f>
        <v/>
      </c>
      <c r="L975" s="27">
        <f>IF($A975="","",TRIM(IF(ISERROR(FIND(",",$C975)),$C975,LEFT($C975,FIND(",",$C975)-1))))</f>
        <v/>
      </c>
      <c r="M975" s="28">
        <f>IF($H975="","",DATE(YEAR($H975),MONTH($H975),1))</f>
        <v/>
      </c>
      <c r="N975" s="26">
        <f>IF($H975="","",TODAY()-$H975)</f>
        <v/>
      </c>
      <c r="O975" s="15" t="n"/>
      <c r="P975" s="26">
        <f>IF($A975="","",COUNTIFS('Audit Versions'!$A$6:$A$605,$A975,'Audit Versions'!$L$6:$L$605,"Active"))</f>
        <v/>
      </c>
      <c r="Q975" s="15" t="n"/>
      <c r="R975" s="26">
        <f>IF(OR($A975="",$P975=0),"",MOD(N($Q975),$P975)+1)</f>
        <v/>
      </c>
      <c r="S975" s="15" t="n"/>
      <c r="T975" s="25" t="n"/>
      <c r="U975" s="26">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Builder'!$B$12="",N($S975)&lt;='Assignment Builder'!$B$12)))</f>
        <v/>
      </c>
      <c r="V975" s="23" t="n"/>
    </row>
    <row r="976">
      <c r="A976" s="23" t="n"/>
      <c r="B976" s="23" t="n"/>
      <c r="C976" s="24" t="n"/>
      <c r="D976" s="15" t="n"/>
      <c r="E976" s="23" t="n"/>
      <c r="F976" s="15" t="n"/>
      <c r="G976" s="23" t="n"/>
      <c r="H976" s="25" t="n"/>
      <c r="I976" s="15" t="n"/>
      <c r="J976" s="26">
        <f>IF($A976="","",LEN($C976)-LEN(SUBSTITUTE($C976,",",""))+1)</f>
        <v/>
      </c>
      <c r="K976" s="26">
        <f>IF($A976="","",SUMPRODUCT(--ISNUMBER(SEARCH('Category Dictionary'!$D$5:$D$135&amp;"",$C976)),--('Category Dictionary'!$D$5:$D$135&lt;&gt;"")))</f>
        <v/>
      </c>
      <c r="L976" s="27">
        <f>IF($A976="","",TRIM(IF(ISERROR(FIND(",",$C976)),$C976,LEFT($C976,FIND(",",$C976)-1))))</f>
        <v/>
      </c>
      <c r="M976" s="28">
        <f>IF($H976="","",DATE(YEAR($H976),MONTH($H976),1))</f>
        <v/>
      </c>
      <c r="N976" s="26">
        <f>IF($H976="","",TODAY()-$H976)</f>
        <v/>
      </c>
      <c r="O976" s="15" t="n"/>
      <c r="P976" s="26">
        <f>IF($A976="","",COUNTIFS('Audit Versions'!$A$6:$A$605,$A976,'Audit Versions'!$L$6:$L$605,"Active"))</f>
        <v/>
      </c>
      <c r="Q976" s="15" t="n"/>
      <c r="R976" s="26">
        <f>IF(OR($A976="",$P976=0),"",MOD(N($Q976),$P976)+1)</f>
        <v/>
      </c>
      <c r="S976" s="15" t="n"/>
      <c r="T976" s="25" t="n"/>
      <c r="U976" s="26">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Builder'!$B$12="",N($S976)&lt;='Assignment Builder'!$B$12)))</f>
        <v/>
      </c>
      <c r="V976" s="23" t="n"/>
    </row>
    <row r="977">
      <c r="A977" s="23" t="n"/>
      <c r="B977" s="23" t="n"/>
      <c r="C977" s="24" t="n"/>
      <c r="D977" s="15" t="n"/>
      <c r="E977" s="23" t="n"/>
      <c r="F977" s="15" t="n"/>
      <c r="G977" s="23" t="n"/>
      <c r="H977" s="25" t="n"/>
      <c r="I977" s="15" t="n"/>
      <c r="J977" s="26">
        <f>IF($A977="","",LEN($C977)-LEN(SUBSTITUTE($C977,",",""))+1)</f>
        <v/>
      </c>
      <c r="K977" s="26">
        <f>IF($A977="","",SUMPRODUCT(--ISNUMBER(SEARCH('Category Dictionary'!$D$5:$D$135&amp;"",$C977)),--('Category Dictionary'!$D$5:$D$135&lt;&gt;"")))</f>
        <v/>
      </c>
      <c r="L977" s="27">
        <f>IF($A977="","",TRIM(IF(ISERROR(FIND(",",$C977)),$C977,LEFT($C977,FIND(",",$C977)-1))))</f>
        <v/>
      </c>
      <c r="M977" s="28">
        <f>IF($H977="","",DATE(YEAR($H977),MONTH($H977),1))</f>
        <v/>
      </c>
      <c r="N977" s="26">
        <f>IF($H977="","",TODAY()-$H977)</f>
        <v/>
      </c>
      <c r="O977" s="15" t="n"/>
      <c r="P977" s="26">
        <f>IF($A977="","",COUNTIFS('Audit Versions'!$A$6:$A$605,$A977,'Audit Versions'!$L$6:$L$605,"Active"))</f>
        <v/>
      </c>
      <c r="Q977" s="15" t="n"/>
      <c r="R977" s="26">
        <f>IF(OR($A977="",$P977=0),"",MOD(N($Q977),$P977)+1)</f>
        <v/>
      </c>
      <c r="S977" s="15" t="n"/>
      <c r="T977" s="25" t="n"/>
      <c r="U977" s="26">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Builder'!$B$12="",N($S977)&lt;='Assignment Builder'!$B$12)))</f>
        <v/>
      </c>
      <c r="V977" s="23" t="n"/>
    </row>
    <row r="978">
      <c r="A978" s="23" t="n"/>
      <c r="B978" s="23" t="n"/>
      <c r="C978" s="24" t="n"/>
      <c r="D978" s="15" t="n"/>
      <c r="E978" s="23" t="n"/>
      <c r="F978" s="15" t="n"/>
      <c r="G978" s="23" t="n"/>
      <c r="H978" s="25" t="n"/>
      <c r="I978" s="15" t="n"/>
      <c r="J978" s="26">
        <f>IF($A978="","",LEN($C978)-LEN(SUBSTITUTE($C978,",",""))+1)</f>
        <v/>
      </c>
      <c r="K978" s="26">
        <f>IF($A978="","",SUMPRODUCT(--ISNUMBER(SEARCH('Category Dictionary'!$D$5:$D$135&amp;"",$C978)),--('Category Dictionary'!$D$5:$D$135&lt;&gt;"")))</f>
        <v/>
      </c>
      <c r="L978" s="27">
        <f>IF($A978="","",TRIM(IF(ISERROR(FIND(",",$C978)),$C978,LEFT($C978,FIND(",",$C978)-1))))</f>
        <v/>
      </c>
      <c r="M978" s="28">
        <f>IF($H978="","",DATE(YEAR($H978),MONTH($H978),1))</f>
        <v/>
      </c>
      <c r="N978" s="26">
        <f>IF($H978="","",TODAY()-$H978)</f>
        <v/>
      </c>
      <c r="O978" s="15" t="n"/>
      <c r="P978" s="26">
        <f>IF($A978="","",COUNTIFS('Audit Versions'!$A$6:$A$605,$A978,'Audit Versions'!$L$6:$L$605,"Active"))</f>
        <v/>
      </c>
      <c r="Q978" s="15" t="n"/>
      <c r="R978" s="26">
        <f>IF(OR($A978="",$P978=0),"",MOD(N($Q978),$P978)+1)</f>
        <v/>
      </c>
      <c r="S978" s="15" t="n"/>
      <c r="T978" s="25" t="n"/>
      <c r="U978" s="26">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Builder'!$B$12="",N($S978)&lt;='Assignment Builder'!$B$12)))</f>
        <v/>
      </c>
      <c r="V978" s="23" t="n"/>
    </row>
    <row r="979">
      <c r="A979" s="23" t="n"/>
      <c r="B979" s="23" t="n"/>
      <c r="C979" s="24" t="n"/>
      <c r="D979" s="15" t="n"/>
      <c r="E979" s="23" t="n"/>
      <c r="F979" s="15" t="n"/>
      <c r="G979" s="23" t="n"/>
      <c r="H979" s="25" t="n"/>
      <c r="I979" s="15" t="n"/>
      <c r="J979" s="26">
        <f>IF($A979="","",LEN($C979)-LEN(SUBSTITUTE($C979,",",""))+1)</f>
        <v/>
      </c>
      <c r="K979" s="26">
        <f>IF($A979="","",SUMPRODUCT(--ISNUMBER(SEARCH('Category Dictionary'!$D$5:$D$135&amp;"",$C979)),--('Category Dictionary'!$D$5:$D$135&lt;&gt;"")))</f>
        <v/>
      </c>
      <c r="L979" s="27">
        <f>IF($A979="","",TRIM(IF(ISERROR(FIND(",",$C979)),$C979,LEFT($C979,FIND(",",$C979)-1))))</f>
        <v/>
      </c>
      <c r="M979" s="28">
        <f>IF($H979="","",DATE(YEAR($H979),MONTH($H979),1))</f>
        <v/>
      </c>
      <c r="N979" s="26">
        <f>IF($H979="","",TODAY()-$H979)</f>
        <v/>
      </c>
      <c r="O979" s="15" t="n"/>
      <c r="P979" s="26">
        <f>IF($A979="","",COUNTIFS('Audit Versions'!$A$6:$A$605,$A979,'Audit Versions'!$L$6:$L$605,"Active"))</f>
        <v/>
      </c>
      <c r="Q979" s="15" t="n"/>
      <c r="R979" s="26">
        <f>IF(OR($A979="",$P979=0),"",MOD(N($Q979),$P979)+1)</f>
        <v/>
      </c>
      <c r="S979" s="15" t="n"/>
      <c r="T979" s="25" t="n"/>
      <c r="U979" s="26">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Builder'!$B$12="",N($S979)&lt;='Assignment Builder'!$B$12)))</f>
        <v/>
      </c>
      <c r="V979" s="23" t="n"/>
    </row>
    <row r="980">
      <c r="A980" s="23" t="n"/>
      <c r="B980" s="23" t="n"/>
      <c r="C980" s="24" t="n"/>
      <c r="D980" s="15" t="n"/>
      <c r="E980" s="23" t="n"/>
      <c r="F980" s="15" t="n"/>
      <c r="G980" s="23" t="n"/>
      <c r="H980" s="25" t="n"/>
      <c r="I980" s="15" t="n"/>
      <c r="J980" s="26">
        <f>IF($A980="","",LEN($C980)-LEN(SUBSTITUTE($C980,",",""))+1)</f>
        <v/>
      </c>
      <c r="K980" s="26">
        <f>IF($A980="","",SUMPRODUCT(--ISNUMBER(SEARCH('Category Dictionary'!$D$5:$D$135&amp;"",$C980)),--('Category Dictionary'!$D$5:$D$135&lt;&gt;"")))</f>
        <v/>
      </c>
      <c r="L980" s="27">
        <f>IF($A980="","",TRIM(IF(ISERROR(FIND(",",$C980)),$C980,LEFT($C980,FIND(",",$C980)-1))))</f>
        <v/>
      </c>
      <c r="M980" s="28">
        <f>IF($H980="","",DATE(YEAR($H980),MONTH($H980),1))</f>
        <v/>
      </c>
      <c r="N980" s="26">
        <f>IF($H980="","",TODAY()-$H980)</f>
        <v/>
      </c>
      <c r="O980" s="15" t="n"/>
      <c r="P980" s="26">
        <f>IF($A980="","",COUNTIFS('Audit Versions'!$A$6:$A$605,$A980,'Audit Versions'!$L$6:$L$605,"Active"))</f>
        <v/>
      </c>
      <c r="Q980" s="15" t="n"/>
      <c r="R980" s="26">
        <f>IF(OR($A980="",$P980=0),"",MOD(N($Q980),$P980)+1)</f>
        <v/>
      </c>
      <c r="S980" s="15" t="n"/>
      <c r="T980" s="25" t="n"/>
      <c r="U980" s="26">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Builder'!$B$12="",N($S980)&lt;='Assignment Builder'!$B$12)))</f>
        <v/>
      </c>
      <c r="V980" s="23" t="n"/>
    </row>
    <row r="981">
      <c r="A981" s="23" t="n"/>
      <c r="B981" s="23" t="n"/>
      <c r="C981" s="24" t="n"/>
      <c r="D981" s="15" t="n"/>
      <c r="E981" s="23" t="n"/>
      <c r="F981" s="15" t="n"/>
      <c r="G981" s="23" t="n"/>
      <c r="H981" s="25" t="n"/>
      <c r="I981" s="15" t="n"/>
      <c r="J981" s="26">
        <f>IF($A981="","",LEN($C981)-LEN(SUBSTITUTE($C981,",",""))+1)</f>
        <v/>
      </c>
      <c r="K981" s="26">
        <f>IF($A981="","",SUMPRODUCT(--ISNUMBER(SEARCH('Category Dictionary'!$D$5:$D$135&amp;"",$C981)),--('Category Dictionary'!$D$5:$D$135&lt;&gt;"")))</f>
        <v/>
      </c>
      <c r="L981" s="27">
        <f>IF($A981="","",TRIM(IF(ISERROR(FIND(",",$C981)),$C981,LEFT($C981,FIND(",",$C981)-1))))</f>
        <v/>
      </c>
      <c r="M981" s="28">
        <f>IF($H981="","",DATE(YEAR($H981),MONTH($H981),1))</f>
        <v/>
      </c>
      <c r="N981" s="26">
        <f>IF($H981="","",TODAY()-$H981)</f>
        <v/>
      </c>
      <c r="O981" s="15" t="n"/>
      <c r="P981" s="26">
        <f>IF($A981="","",COUNTIFS('Audit Versions'!$A$6:$A$605,$A981,'Audit Versions'!$L$6:$L$605,"Active"))</f>
        <v/>
      </c>
      <c r="Q981" s="15" t="n"/>
      <c r="R981" s="26">
        <f>IF(OR($A981="",$P981=0),"",MOD(N($Q981),$P981)+1)</f>
        <v/>
      </c>
      <c r="S981" s="15" t="n"/>
      <c r="T981" s="25" t="n"/>
      <c r="U981" s="26">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Builder'!$B$12="",N($S981)&lt;='Assignment Builder'!$B$12)))</f>
        <v/>
      </c>
      <c r="V981" s="23" t="n"/>
    </row>
    <row r="982">
      <c r="A982" s="23" t="n"/>
      <c r="B982" s="23" t="n"/>
      <c r="C982" s="24" t="n"/>
      <c r="D982" s="15" t="n"/>
      <c r="E982" s="23" t="n"/>
      <c r="F982" s="15" t="n"/>
      <c r="G982" s="23" t="n"/>
      <c r="H982" s="25" t="n"/>
      <c r="I982" s="15" t="n"/>
      <c r="J982" s="26">
        <f>IF($A982="","",LEN($C982)-LEN(SUBSTITUTE($C982,",",""))+1)</f>
        <v/>
      </c>
      <c r="K982" s="26">
        <f>IF($A982="","",SUMPRODUCT(--ISNUMBER(SEARCH('Category Dictionary'!$D$5:$D$135&amp;"",$C982)),--('Category Dictionary'!$D$5:$D$135&lt;&gt;"")))</f>
        <v/>
      </c>
      <c r="L982" s="27">
        <f>IF($A982="","",TRIM(IF(ISERROR(FIND(",",$C982)),$C982,LEFT($C982,FIND(",",$C982)-1))))</f>
        <v/>
      </c>
      <c r="M982" s="28">
        <f>IF($H982="","",DATE(YEAR($H982),MONTH($H982),1))</f>
        <v/>
      </c>
      <c r="N982" s="26">
        <f>IF($H982="","",TODAY()-$H982)</f>
        <v/>
      </c>
      <c r="O982" s="15" t="n"/>
      <c r="P982" s="26">
        <f>IF($A982="","",COUNTIFS('Audit Versions'!$A$6:$A$605,$A982,'Audit Versions'!$L$6:$L$605,"Active"))</f>
        <v/>
      </c>
      <c r="Q982" s="15" t="n"/>
      <c r="R982" s="26">
        <f>IF(OR($A982="",$P982=0),"",MOD(N($Q982),$P982)+1)</f>
        <v/>
      </c>
      <c r="S982" s="15" t="n"/>
      <c r="T982" s="25" t="n"/>
      <c r="U982" s="26">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Builder'!$B$12="",N($S982)&lt;='Assignment Builder'!$B$12)))</f>
        <v/>
      </c>
      <c r="V982" s="23" t="n"/>
    </row>
    <row r="983">
      <c r="A983" s="23" t="n"/>
      <c r="B983" s="23" t="n"/>
      <c r="C983" s="24" t="n"/>
      <c r="D983" s="15" t="n"/>
      <c r="E983" s="23" t="n"/>
      <c r="F983" s="15" t="n"/>
      <c r="G983" s="23" t="n"/>
      <c r="H983" s="25" t="n"/>
      <c r="I983" s="15" t="n"/>
      <c r="J983" s="26">
        <f>IF($A983="","",LEN($C983)-LEN(SUBSTITUTE($C983,",",""))+1)</f>
        <v/>
      </c>
      <c r="K983" s="26">
        <f>IF($A983="","",SUMPRODUCT(--ISNUMBER(SEARCH('Category Dictionary'!$D$5:$D$135&amp;"",$C983)),--('Category Dictionary'!$D$5:$D$135&lt;&gt;"")))</f>
        <v/>
      </c>
      <c r="L983" s="27">
        <f>IF($A983="","",TRIM(IF(ISERROR(FIND(",",$C983)),$C983,LEFT($C983,FIND(",",$C983)-1))))</f>
        <v/>
      </c>
      <c r="M983" s="28">
        <f>IF($H983="","",DATE(YEAR($H983),MONTH($H983),1))</f>
        <v/>
      </c>
      <c r="N983" s="26">
        <f>IF($H983="","",TODAY()-$H983)</f>
        <v/>
      </c>
      <c r="O983" s="15" t="n"/>
      <c r="P983" s="26">
        <f>IF($A983="","",COUNTIFS('Audit Versions'!$A$6:$A$605,$A983,'Audit Versions'!$L$6:$L$605,"Active"))</f>
        <v/>
      </c>
      <c r="Q983" s="15" t="n"/>
      <c r="R983" s="26">
        <f>IF(OR($A983="",$P983=0),"",MOD(N($Q983),$P983)+1)</f>
        <v/>
      </c>
      <c r="S983" s="15" t="n"/>
      <c r="T983" s="25" t="n"/>
      <c r="U983" s="26">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Builder'!$B$12="",N($S983)&lt;='Assignment Builder'!$B$12)))</f>
        <v/>
      </c>
      <c r="V983" s="23" t="n"/>
    </row>
    <row r="984">
      <c r="A984" s="23" t="n"/>
      <c r="B984" s="23" t="n"/>
      <c r="C984" s="24" t="n"/>
      <c r="D984" s="15" t="n"/>
      <c r="E984" s="23" t="n"/>
      <c r="F984" s="15" t="n"/>
      <c r="G984" s="23" t="n"/>
      <c r="H984" s="25" t="n"/>
      <c r="I984" s="15" t="n"/>
      <c r="J984" s="26">
        <f>IF($A984="","",LEN($C984)-LEN(SUBSTITUTE($C984,",",""))+1)</f>
        <v/>
      </c>
      <c r="K984" s="26">
        <f>IF($A984="","",SUMPRODUCT(--ISNUMBER(SEARCH('Category Dictionary'!$D$5:$D$135&amp;"",$C984)),--('Category Dictionary'!$D$5:$D$135&lt;&gt;"")))</f>
        <v/>
      </c>
      <c r="L984" s="27">
        <f>IF($A984="","",TRIM(IF(ISERROR(FIND(",",$C984)),$C984,LEFT($C984,FIND(",",$C984)-1))))</f>
        <v/>
      </c>
      <c r="M984" s="28">
        <f>IF($H984="","",DATE(YEAR($H984),MONTH($H984),1))</f>
        <v/>
      </c>
      <c r="N984" s="26">
        <f>IF($H984="","",TODAY()-$H984)</f>
        <v/>
      </c>
      <c r="O984" s="15" t="n"/>
      <c r="P984" s="26">
        <f>IF($A984="","",COUNTIFS('Audit Versions'!$A$6:$A$605,$A984,'Audit Versions'!$L$6:$L$605,"Active"))</f>
        <v/>
      </c>
      <c r="Q984" s="15" t="n"/>
      <c r="R984" s="26">
        <f>IF(OR($A984="",$P984=0),"",MOD(N($Q984),$P984)+1)</f>
        <v/>
      </c>
      <c r="S984" s="15" t="n"/>
      <c r="T984" s="25" t="n"/>
      <c r="U984" s="26">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Builder'!$B$12="",N($S984)&lt;='Assignment Builder'!$B$12)))</f>
        <v/>
      </c>
      <c r="V984" s="23" t="n"/>
    </row>
    <row r="985">
      <c r="A985" s="23" t="n"/>
      <c r="B985" s="23" t="n"/>
      <c r="C985" s="24" t="n"/>
      <c r="D985" s="15" t="n"/>
      <c r="E985" s="23" t="n"/>
      <c r="F985" s="15" t="n"/>
      <c r="G985" s="23" t="n"/>
      <c r="H985" s="25" t="n"/>
      <c r="I985" s="15" t="n"/>
      <c r="J985" s="26">
        <f>IF($A985="","",LEN($C985)-LEN(SUBSTITUTE($C985,",",""))+1)</f>
        <v/>
      </c>
      <c r="K985" s="26">
        <f>IF($A985="","",SUMPRODUCT(--ISNUMBER(SEARCH('Category Dictionary'!$D$5:$D$135&amp;"",$C985)),--('Category Dictionary'!$D$5:$D$135&lt;&gt;"")))</f>
        <v/>
      </c>
      <c r="L985" s="27">
        <f>IF($A985="","",TRIM(IF(ISERROR(FIND(",",$C985)),$C985,LEFT($C985,FIND(",",$C985)-1))))</f>
        <v/>
      </c>
      <c r="M985" s="28">
        <f>IF($H985="","",DATE(YEAR($H985),MONTH($H985),1))</f>
        <v/>
      </c>
      <c r="N985" s="26">
        <f>IF($H985="","",TODAY()-$H985)</f>
        <v/>
      </c>
      <c r="O985" s="15" t="n"/>
      <c r="P985" s="26">
        <f>IF($A985="","",COUNTIFS('Audit Versions'!$A$6:$A$605,$A985,'Audit Versions'!$L$6:$L$605,"Active"))</f>
        <v/>
      </c>
      <c r="Q985" s="15" t="n"/>
      <c r="R985" s="26">
        <f>IF(OR($A985="",$P985=0),"",MOD(N($Q985),$P985)+1)</f>
        <v/>
      </c>
      <c r="S985" s="15" t="n"/>
      <c r="T985" s="25" t="n"/>
      <c r="U985" s="26">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Builder'!$B$12="",N($S985)&lt;='Assignment Builder'!$B$12)))</f>
        <v/>
      </c>
      <c r="V985" s="23" t="n"/>
    </row>
    <row r="986">
      <c r="A986" s="23" t="n"/>
      <c r="B986" s="23" t="n"/>
      <c r="C986" s="24" t="n"/>
      <c r="D986" s="15" t="n"/>
      <c r="E986" s="23" t="n"/>
      <c r="F986" s="15" t="n"/>
      <c r="G986" s="23" t="n"/>
      <c r="H986" s="25" t="n"/>
      <c r="I986" s="15" t="n"/>
      <c r="J986" s="26">
        <f>IF($A986="","",LEN($C986)-LEN(SUBSTITUTE($C986,",",""))+1)</f>
        <v/>
      </c>
      <c r="K986" s="26">
        <f>IF($A986="","",SUMPRODUCT(--ISNUMBER(SEARCH('Category Dictionary'!$D$5:$D$135&amp;"",$C986)),--('Category Dictionary'!$D$5:$D$135&lt;&gt;"")))</f>
        <v/>
      </c>
      <c r="L986" s="27">
        <f>IF($A986="","",TRIM(IF(ISERROR(FIND(",",$C986)),$C986,LEFT($C986,FIND(",",$C986)-1))))</f>
        <v/>
      </c>
      <c r="M986" s="28">
        <f>IF($H986="","",DATE(YEAR($H986),MONTH($H986),1))</f>
        <v/>
      </c>
      <c r="N986" s="26">
        <f>IF($H986="","",TODAY()-$H986)</f>
        <v/>
      </c>
      <c r="O986" s="15" t="n"/>
      <c r="P986" s="26">
        <f>IF($A986="","",COUNTIFS('Audit Versions'!$A$6:$A$605,$A986,'Audit Versions'!$L$6:$L$605,"Active"))</f>
        <v/>
      </c>
      <c r="Q986" s="15" t="n"/>
      <c r="R986" s="26">
        <f>IF(OR($A986="",$P986=0),"",MOD(N($Q986),$P986)+1)</f>
        <v/>
      </c>
      <c r="S986" s="15" t="n"/>
      <c r="T986" s="25" t="n"/>
      <c r="U986" s="26">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Builder'!$B$12="",N($S986)&lt;='Assignment Builder'!$B$12)))</f>
        <v/>
      </c>
      <c r="V986" s="23" t="n"/>
    </row>
    <row r="987">
      <c r="A987" s="23" t="n"/>
      <c r="B987" s="23" t="n"/>
      <c r="C987" s="24" t="n"/>
      <c r="D987" s="15" t="n"/>
      <c r="E987" s="23" t="n"/>
      <c r="F987" s="15" t="n"/>
      <c r="G987" s="23" t="n"/>
      <c r="H987" s="25" t="n"/>
      <c r="I987" s="15" t="n"/>
      <c r="J987" s="26">
        <f>IF($A987="","",LEN($C987)-LEN(SUBSTITUTE($C987,",",""))+1)</f>
        <v/>
      </c>
      <c r="K987" s="26">
        <f>IF($A987="","",SUMPRODUCT(--ISNUMBER(SEARCH('Category Dictionary'!$D$5:$D$135&amp;"",$C987)),--('Category Dictionary'!$D$5:$D$135&lt;&gt;"")))</f>
        <v/>
      </c>
      <c r="L987" s="27">
        <f>IF($A987="","",TRIM(IF(ISERROR(FIND(",",$C987)),$C987,LEFT($C987,FIND(",",$C987)-1))))</f>
        <v/>
      </c>
      <c r="M987" s="28">
        <f>IF($H987="","",DATE(YEAR($H987),MONTH($H987),1))</f>
        <v/>
      </c>
      <c r="N987" s="26">
        <f>IF($H987="","",TODAY()-$H987)</f>
        <v/>
      </c>
      <c r="O987" s="15" t="n"/>
      <c r="P987" s="26">
        <f>IF($A987="","",COUNTIFS('Audit Versions'!$A$6:$A$605,$A987,'Audit Versions'!$L$6:$L$605,"Active"))</f>
        <v/>
      </c>
      <c r="Q987" s="15" t="n"/>
      <c r="R987" s="26">
        <f>IF(OR($A987="",$P987=0),"",MOD(N($Q987),$P987)+1)</f>
        <v/>
      </c>
      <c r="S987" s="15" t="n"/>
      <c r="T987" s="25" t="n"/>
      <c r="U987" s="26">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Builder'!$B$12="",N($S987)&lt;='Assignment Builder'!$B$12)))</f>
        <v/>
      </c>
      <c r="V987" s="23" t="n"/>
    </row>
    <row r="988">
      <c r="A988" s="23" t="n"/>
      <c r="B988" s="23" t="n"/>
      <c r="C988" s="24" t="n"/>
      <c r="D988" s="15" t="n"/>
      <c r="E988" s="23" t="n"/>
      <c r="F988" s="15" t="n"/>
      <c r="G988" s="23" t="n"/>
      <c r="H988" s="25" t="n"/>
      <c r="I988" s="15" t="n"/>
      <c r="J988" s="26">
        <f>IF($A988="","",LEN($C988)-LEN(SUBSTITUTE($C988,",",""))+1)</f>
        <v/>
      </c>
      <c r="K988" s="26">
        <f>IF($A988="","",SUMPRODUCT(--ISNUMBER(SEARCH('Category Dictionary'!$D$5:$D$135&amp;"",$C988)),--('Category Dictionary'!$D$5:$D$135&lt;&gt;"")))</f>
        <v/>
      </c>
      <c r="L988" s="27">
        <f>IF($A988="","",TRIM(IF(ISERROR(FIND(",",$C988)),$C988,LEFT($C988,FIND(",",$C988)-1))))</f>
        <v/>
      </c>
      <c r="M988" s="28">
        <f>IF($H988="","",DATE(YEAR($H988),MONTH($H988),1))</f>
        <v/>
      </c>
      <c r="N988" s="26">
        <f>IF($H988="","",TODAY()-$H988)</f>
        <v/>
      </c>
      <c r="O988" s="15" t="n"/>
      <c r="P988" s="26">
        <f>IF($A988="","",COUNTIFS('Audit Versions'!$A$6:$A$605,$A988,'Audit Versions'!$L$6:$L$605,"Active"))</f>
        <v/>
      </c>
      <c r="Q988" s="15" t="n"/>
      <c r="R988" s="26">
        <f>IF(OR($A988="",$P988=0),"",MOD(N($Q988),$P988)+1)</f>
        <v/>
      </c>
      <c r="S988" s="15" t="n"/>
      <c r="T988" s="25" t="n"/>
      <c r="U988" s="26">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Builder'!$B$12="",N($S988)&lt;='Assignment Builder'!$B$12)))</f>
        <v/>
      </c>
      <c r="V988" s="23" t="n"/>
    </row>
    <row r="989">
      <c r="A989" s="23" t="n"/>
      <c r="B989" s="23" t="n"/>
      <c r="C989" s="24" t="n"/>
      <c r="D989" s="15" t="n"/>
      <c r="E989" s="23" t="n"/>
      <c r="F989" s="15" t="n"/>
      <c r="G989" s="23" t="n"/>
      <c r="H989" s="25" t="n"/>
      <c r="I989" s="15" t="n"/>
      <c r="J989" s="26">
        <f>IF($A989="","",LEN($C989)-LEN(SUBSTITUTE($C989,",",""))+1)</f>
        <v/>
      </c>
      <c r="K989" s="26">
        <f>IF($A989="","",SUMPRODUCT(--ISNUMBER(SEARCH('Category Dictionary'!$D$5:$D$135&amp;"",$C989)),--('Category Dictionary'!$D$5:$D$135&lt;&gt;"")))</f>
        <v/>
      </c>
      <c r="L989" s="27">
        <f>IF($A989="","",TRIM(IF(ISERROR(FIND(",",$C989)),$C989,LEFT($C989,FIND(",",$C989)-1))))</f>
        <v/>
      </c>
      <c r="M989" s="28">
        <f>IF($H989="","",DATE(YEAR($H989),MONTH($H989),1))</f>
        <v/>
      </c>
      <c r="N989" s="26">
        <f>IF($H989="","",TODAY()-$H989)</f>
        <v/>
      </c>
      <c r="O989" s="15" t="n"/>
      <c r="P989" s="26">
        <f>IF($A989="","",COUNTIFS('Audit Versions'!$A$6:$A$605,$A989,'Audit Versions'!$L$6:$L$605,"Active"))</f>
        <v/>
      </c>
      <c r="Q989" s="15" t="n"/>
      <c r="R989" s="26">
        <f>IF(OR($A989="",$P989=0),"",MOD(N($Q989),$P989)+1)</f>
        <v/>
      </c>
      <c r="S989" s="15" t="n"/>
      <c r="T989" s="25" t="n"/>
      <c r="U989" s="26">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Builder'!$B$12="",N($S989)&lt;='Assignment Builder'!$B$12)))</f>
        <v/>
      </c>
      <c r="V989" s="23" t="n"/>
    </row>
    <row r="990">
      <c r="A990" s="23" t="n"/>
      <c r="B990" s="23" t="n"/>
      <c r="C990" s="24" t="n"/>
      <c r="D990" s="15" t="n"/>
      <c r="E990" s="23" t="n"/>
      <c r="F990" s="15" t="n"/>
      <c r="G990" s="23" t="n"/>
      <c r="H990" s="25" t="n"/>
      <c r="I990" s="15" t="n"/>
      <c r="J990" s="26">
        <f>IF($A990="","",LEN($C990)-LEN(SUBSTITUTE($C990,",",""))+1)</f>
        <v/>
      </c>
      <c r="K990" s="26">
        <f>IF($A990="","",SUMPRODUCT(--ISNUMBER(SEARCH('Category Dictionary'!$D$5:$D$135&amp;"",$C990)),--('Category Dictionary'!$D$5:$D$135&lt;&gt;"")))</f>
        <v/>
      </c>
      <c r="L990" s="27">
        <f>IF($A990="","",TRIM(IF(ISERROR(FIND(",",$C990)),$C990,LEFT($C990,FIND(",",$C990)-1))))</f>
        <v/>
      </c>
      <c r="M990" s="28">
        <f>IF($H990="","",DATE(YEAR($H990),MONTH($H990),1))</f>
        <v/>
      </c>
      <c r="N990" s="26">
        <f>IF($H990="","",TODAY()-$H990)</f>
        <v/>
      </c>
      <c r="O990" s="15" t="n"/>
      <c r="P990" s="26">
        <f>IF($A990="","",COUNTIFS('Audit Versions'!$A$6:$A$605,$A990,'Audit Versions'!$L$6:$L$605,"Active"))</f>
        <v/>
      </c>
      <c r="Q990" s="15" t="n"/>
      <c r="R990" s="26">
        <f>IF(OR($A990="",$P990=0),"",MOD(N($Q990),$P990)+1)</f>
        <v/>
      </c>
      <c r="S990" s="15" t="n"/>
      <c r="T990" s="25" t="n"/>
      <c r="U990" s="26">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Builder'!$B$12="",N($S990)&lt;='Assignment Builder'!$B$12)))</f>
        <v/>
      </c>
      <c r="V990" s="23" t="n"/>
    </row>
    <row r="991">
      <c r="A991" s="23" t="n"/>
      <c r="B991" s="23" t="n"/>
      <c r="C991" s="24" t="n"/>
      <c r="D991" s="15" t="n"/>
      <c r="E991" s="23" t="n"/>
      <c r="F991" s="15" t="n"/>
      <c r="G991" s="23" t="n"/>
      <c r="H991" s="25" t="n"/>
      <c r="I991" s="15" t="n"/>
      <c r="J991" s="26">
        <f>IF($A991="","",LEN($C991)-LEN(SUBSTITUTE($C991,",",""))+1)</f>
        <v/>
      </c>
      <c r="K991" s="26">
        <f>IF($A991="","",SUMPRODUCT(--ISNUMBER(SEARCH('Category Dictionary'!$D$5:$D$135&amp;"",$C991)),--('Category Dictionary'!$D$5:$D$135&lt;&gt;"")))</f>
        <v/>
      </c>
      <c r="L991" s="27">
        <f>IF($A991="","",TRIM(IF(ISERROR(FIND(",",$C991)),$C991,LEFT($C991,FIND(",",$C991)-1))))</f>
        <v/>
      </c>
      <c r="M991" s="28">
        <f>IF($H991="","",DATE(YEAR($H991),MONTH($H991),1))</f>
        <v/>
      </c>
      <c r="N991" s="26">
        <f>IF($H991="","",TODAY()-$H991)</f>
        <v/>
      </c>
      <c r="O991" s="15" t="n"/>
      <c r="P991" s="26">
        <f>IF($A991="","",COUNTIFS('Audit Versions'!$A$6:$A$605,$A991,'Audit Versions'!$L$6:$L$605,"Active"))</f>
        <v/>
      </c>
      <c r="Q991" s="15" t="n"/>
      <c r="R991" s="26">
        <f>IF(OR($A991="",$P991=0),"",MOD(N($Q991),$P991)+1)</f>
        <v/>
      </c>
      <c r="S991" s="15" t="n"/>
      <c r="T991" s="25" t="n"/>
      <c r="U991" s="26">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Builder'!$B$12="",N($S991)&lt;='Assignment Builder'!$B$12)))</f>
        <v/>
      </c>
      <c r="V991" s="23" t="n"/>
    </row>
    <row r="992">
      <c r="A992" s="23" t="n"/>
      <c r="B992" s="23" t="n"/>
      <c r="C992" s="24" t="n"/>
      <c r="D992" s="15" t="n"/>
      <c r="E992" s="23" t="n"/>
      <c r="F992" s="15" t="n"/>
      <c r="G992" s="23" t="n"/>
      <c r="H992" s="25" t="n"/>
      <c r="I992" s="15" t="n"/>
      <c r="J992" s="26">
        <f>IF($A992="","",LEN($C992)-LEN(SUBSTITUTE($C992,",",""))+1)</f>
        <v/>
      </c>
      <c r="K992" s="26">
        <f>IF($A992="","",SUMPRODUCT(--ISNUMBER(SEARCH('Category Dictionary'!$D$5:$D$135&amp;"",$C992)),--('Category Dictionary'!$D$5:$D$135&lt;&gt;"")))</f>
        <v/>
      </c>
      <c r="L992" s="27">
        <f>IF($A992="","",TRIM(IF(ISERROR(FIND(",",$C992)),$C992,LEFT($C992,FIND(",",$C992)-1))))</f>
        <v/>
      </c>
      <c r="M992" s="28">
        <f>IF($H992="","",DATE(YEAR($H992),MONTH($H992),1))</f>
        <v/>
      </c>
      <c r="N992" s="26">
        <f>IF($H992="","",TODAY()-$H992)</f>
        <v/>
      </c>
      <c r="O992" s="15" t="n"/>
      <c r="P992" s="26">
        <f>IF($A992="","",COUNTIFS('Audit Versions'!$A$6:$A$605,$A992,'Audit Versions'!$L$6:$L$605,"Active"))</f>
        <v/>
      </c>
      <c r="Q992" s="15" t="n"/>
      <c r="R992" s="26">
        <f>IF(OR($A992="",$P992=0),"",MOD(N($Q992),$P992)+1)</f>
        <v/>
      </c>
      <c r="S992" s="15" t="n"/>
      <c r="T992" s="25" t="n"/>
      <c r="U992" s="26">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Builder'!$B$12="",N($S992)&lt;='Assignment Builder'!$B$12)))</f>
        <v/>
      </c>
      <c r="V992" s="23" t="n"/>
    </row>
    <row r="993">
      <c r="A993" s="23" t="n"/>
      <c r="B993" s="23" t="n"/>
      <c r="C993" s="24" t="n"/>
      <c r="D993" s="15" t="n"/>
      <c r="E993" s="23" t="n"/>
      <c r="F993" s="15" t="n"/>
      <c r="G993" s="23" t="n"/>
      <c r="H993" s="25" t="n"/>
      <c r="I993" s="15" t="n"/>
      <c r="J993" s="26">
        <f>IF($A993="","",LEN($C993)-LEN(SUBSTITUTE($C993,",",""))+1)</f>
        <v/>
      </c>
      <c r="K993" s="26">
        <f>IF($A993="","",SUMPRODUCT(--ISNUMBER(SEARCH('Category Dictionary'!$D$5:$D$135&amp;"",$C993)),--('Category Dictionary'!$D$5:$D$135&lt;&gt;"")))</f>
        <v/>
      </c>
      <c r="L993" s="27">
        <f>IF($A993="","",TRIM(IF(ISERROR(FIND(",",$C993)),$C993,LEFT($C993,FIND(",",$C993)-1))))</f>
        <v/>
      </c>
      <c r="M993" s="28">
        <f>IF($H993="","",DATE(YEAR($H993),MONTH($H993),1))</f>
        <v/>
      </c>
      <c r="N993" s="26">
        <f>IF($H993="","",TODAY()-$H993)</f>
        <v/>
      </c>
      <c r="O993" s="15" t="n"/>
      <c r="P993" s="26">
        <f>IF($A993="","",COUNTIFS('Audit Versions'!$A$6:$A$605,$A993,'Audit Versions'!$L$6:$L$605,"Active"))</f>
        <v/>
      </c>
      <c r="Q993" s="15" t="n"/>
      <c r="R993" s="26">
        <f>IF(OR($A993="",$P993=0),"",MOD(N($Q993),$P993)+1)</f>
        <v/>
      </c>
      <c r="S993" s="15" t="n"/>
      <c r="T993" s="25" t="n"/>
      <c r="U993" s="26">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Builder'!$B$12="",N($S993)&lt;='Assignment Builder'!$B$12)))</f>
        <v/>
      </c>
      <c r="V993" s="23" t="n"/>
    </row>
    <row r="994">
      <c r="A994" s="23" t="n"/>
      <c r="B994" s="23" t="n"/>
      <c r="C994" s="24" t="n"/>
      <c r="D994" s="15" t="n"/>
      <c r="E994" s="23" t="n"/>
      <c r="F994" s="15" t="n"/>
      <c r="G994" s="23" t="n"/>
      <c r="H994" s="25" t="n"/>
      <c r="I994" s="15" t="n"/>
      <c r="J994" s="26">
        <f>IF($A994="","",LEN($C994)-LEN(SUBSTITUTE($C994,",",""))+1)</f>
        <v/>
      </c>
      <c r="K994" s="26">
        <f>IF($A994="","",SUMPRODUCT(--ISNUMBER(SEARCH('Category Dictionary'!$D$5:$D$135&amp;"",$C994)),--('Category Dictionary'!$D$5:$D$135&lt;&gt;"")))</f>
        <v/>
      </c>
      <c r="L994" s="27">
        <f>IF($A994="","",TRIM(IF(ISERROR(FIND(",",$C994)),$C994,LEFT($C994,FIND(",",$C994)-1))))</f>
        <v/>
      </c>
      <c r="M994" s="28">
        <f>IF($H994="","",DATE(YEAR($H994),MONTH($H994),1))</f>
        <v/>
      </c>
      <c r="N994" s="26">
        <f>IF($H994="","",TODAY()-$H994)</f>
        <v/>
      </c>
      <c r="O994" s="15" t="n"/>
      <c r="P994" s="26">
        <f>IF($A994="","",COUNTIFS('Audit Versions'!$A$6:$A$605,$A994,'Audit Versions'!$L$6:$L$605,"Active"))</f>
        <v/>
      </c>
      <c r="Q994" s="15" t="n"/>
      <c r="R994" s="26">
        <f>IF(OR($A994="",$P994=0),"",MOD(N($Q994),$P994)+1)</f>
        <v/>
      </c>
      <c r="S994" s="15" t="n"/>
      <c r="T994" s="25" t="n"/>
      <c r="U994" s="26">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Builder'!$B$12="",N($S994)&lt;='Assignment Builder'!$B$12)))</f>
        <v/>
      </c>
      <c r="V994" s="23" t="n"/>
    </row>
    <row r="995">
      <c r="A995" s="23" t="n"/>
      <c r="B995" s="23" t="n"/>
      <c r="C995" s="24" t="n"/>
      <c r="D995" s="15" t="n"/>
      <c r="E995" s="23" t="n"/>
      <c r="F995" s="15" t="n"/>
      <c r="G995" s="23" t="n"/>
      <c r="H995" s="25" t="n"/>
      <c r="I995" s="15" t="n"/>
      <c r="J995" s="26">
        <f>IF($A995="","",LEN($C995)-LEN(SUBSTITUTE($C995,",",""))+1)</f>
        <v/>
      </c>
      <c r="K995" s="26">
        <f>IF($A995="","",SUMPRODUCT(--ISNUMBER(SEARCH('Category Dictionary'!$D$5:$D$135&amp;"",$C995)),--('Category Dictionary'!$D$5:$D$135&lt;&gt;"")))</f>
        <v/>
      </c>
      <c r="L995" s="27">
        <f>IF($A995="","",TRIM(IF(ISERROR(FIND(",",$C995)),$C995,LEFT($C995,FIND(",",$C995)-1))))</f>
        <v/>
      </c>
      <c r="M995" s="28">
        <f>IF($H995="","",DATE(YEAR($H995),MONTH($H995),1))</f>
        <v/>
      </c>
      <c r="N995" s="26">
        <f>IF($H995="","",TODAY()-$H995)</f>
        <v/>
      </c>
      <c r="O995" s="15" t="n"/>
      <c r="P995" s="26">
        <f>IF($A995="","",COUNTIFS('Audit Versions'!$A$6:$A$605,$A995,'Audit Versions'!$L$6:$L$605,"Active"))</f>
        <v/>
      </c>
      <c r="Q995" s="15" t="n"/>
      <c r="R995" s="26">
        <f>IF(OR($A995="",$P995=0),"",MOD(N($Q995),$P995)+1)</f>
        <v/>
      </c>
      <c r="S995" s="15" t="n"/>
      <c r="T995" s="25" t="n"/>
      <c r="U995" s="26">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Builder'!$B$12="",N($S995)&lt;='Assignment Builder'!$B$12)))</f>
        <v/>
      </c>
      <c r="V995" s="23" t="n"/>
    </row>
    <row r="996">
      <c r="A996" s="23" t="n"/>
      <c r="B996" s="23" t="n"/>
      <c r="C996" s="24" t="n"/>
      <c r="D996" s="15" t="n"/>
      <c r="E996" s="23" t="n"/>
      <c r="F996" s="15" t="n"/>
      <c r="G996" s="23" t="n"/>
      <c r="H996" s="25" t="n"/>
      <c r="I996" s="15" t="n"/>
      <c r="J996" s="26">
        <f>IF($A996="","",LEN($C996)-LEN(SUBSTITUTE($C996,",",""))+1)</f>
        <v/>
      </c>
      <c r="K996" s="26">
        <f>IF($A996="","",SUMPRODUCT(--ISNUMBER(SEARCH('Category Dictionary'!$D$5:$D$135&amp;"",$C996)),--('Category Dictionary'!$D$5:$D$135&lt;&gt;"")))</f>
        <v/>
      </c>
      <c r="L996" s="27">
        <f>IF($A996="","",TRIM(IF(ISERROR(FIND(",",$C996)),$C996,LEFT($C996,FIND(",",$C996)-1))))</f>
        <v/>
      </c>
      <c r="M996" s="28">
        <f>IF($H996="","",DATE(YEAR($H996),MONTH($H996),1))</f>
        <v/>
      </c>
      <c r="N996" s="26">
        <f>IF($H996="","",TODAY()-$H996)</f>
        <v/>
      </c>
      <c r="O996" s="15" t="n"/>
      <c r="P996" s="26">
        <f>IF($A996="","",COUNTIFS('Audit Versions'!$A$6:$A$605,$A996,'Audit Versions'!$L$6:$L$605,"Active"))</f>
        <v/>
      </c>
      <c r="Q996" s="15" t="n"/>
      <c r="R996" s="26">
        <f>IF(OR($A996="",$P996=0),"",MOD(N($Q996),$P996)+1)</f>
        <v/>
      </c>
      <c r="S996" s="15" t="n"/>
      <c r="T996" s="25" t="n"/>
      <c r="U996" s="26">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Builder'!$B$12="",N($S996)&lt;='Assignment Builder'!$B$12)))</f>
        <v/>
      </c>
      <c r="V996" s="23" t="n"/>
    </row>
    <row r="997">
      <c r="A997" s="23" t="n"/>
      <c r="B997" s="23" t="n"/>
      <c r="C997" s="24" t="n"/>
      <c r="D997" s="15" t="n"/>
      <c r="E997" s="23" t="n"/>
      <c r="F997" s="15" t="n"/>
      <c r="G997" s="23" t="n"/>
      <c r="H997" s="25" t="n"/>
      <c r="I997" s="15" t="n"/>
      <c r="J997" s="26">
        <f>IF($A997="","",LEN($C997)-LEN(SUBSTITUTE($C997,",",""))+1)</f>
        <v/>
      </c>
      <c r="K997" s="26">
        <f>IF($A997="","",SUMPRODUCT(--ISNUMBER(SEARCH('Category Dictionary'!$D$5:$D$135&amp;"",$C997)),--('Category Dictionary'!$D$5:$D$135&lt;&gt;"")))</f>
        <v/>
      </c>
      <c r="L997" s="27">
        <f>IF($A997="","",TRIM(IF(ISERROR(FIND(",",$C997)),$C997,LEFT($C997,FIND(",",$C997)-1))))</f>
        <v/>
      </c>
      <c r="M997" s="28">
        <f>IF($H997="","",DATE(YEAR($H997),MONTH($H997),1))</f>
        <v/>
      </c>
      <c r="N997" s="26">
        <f>IF($H997="","",TODAY()-$H997)</f>
        <v/>
      </c>
      <c r="O997" s="15" t="n"/>
      <c r="P997" s="26">
        <f>IF($A997="","",COUNTIFS('Audit Versions'!$A$6:$A$605,$A997,'Audit Versions'!$L$6:$L$605,"Active"))</f>
        <v/>
      </c>
      <c r="Q997" s="15" t="n"/>
      <c r="R997" s="26">
        <f>IF(OR($A997="",$P997=0),"",MOD(N($Q997),$P997)+1)</f>
        <v/>
      </c>
      <c r="S997" s="15" t="n"/>
      <c r="T997" s="25" t="n"/>
      <c r="U997" s="26">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Builder'!$B$12="",N($S997)&lt;='Assignment Builder'!$B$12)))</f>
        <v/>
      </c>
      <c r="V997" s="23" t="n"/>
    </row>
    <row r="998">
      <c r="A998" s="23" t="n"/>
      <c r="B998" s="23" t="n"/>
      <c r="C998" s="24" t="n"/>
      <c r="D998" s="15" t="n"/>
      <c r="E998" s="23" t="n"/>
      <c r="F998" s="15" t="n"/>
      <c r="G998" s="23" t="n"/>
      <c r="H998" s="25" t="n"/>
      <c r="I998" s="15" t="n"/>
      <c r="J998" s="26">
        <f>IF($A998="","",LEN($C998)-LEN(SUBSTITUTE($C998,",",""))+1)</f>
        <v/>
      </c>
      <c r="K998" s="26">
        <f>IF($A998="","",SUMPRODUCT(--ISNUMBER(SEARCH('Category Dictionary'!$D$5:$D$135&amp;"",$C998)),--('Category Dictionary'!$D$5:$D$135&lt;&gt;"")))</f>
        <v/>
      </c>
      <c r="L998" s="27">
        <f>IF($A998="","",TRIM(IF(ISERROR(FIND(",",$C998)),$C998,LEFT($C998,FIND(",",$C998)-1))))</f>
        <v/>
      </c>
      <c r="M998" s="28">
        <f>IF($H998="","",DATE(YEAR($H998),MONTH($H998),1))</f>
        <v/>
      </c>
      <c r="N998" s="26">
        <f>IF($H998="","",TODAY()-$H998)</f>
        <v/>
      </c>
      <c r="O998" s="15" t="n"/>
      <c r="P998" s="26">
        <f>IF($A998="","",COUNTIFS('Audit Versions'!$A$6:$A$605,$A998,'Audit Versions'!$L$6:$L$605,"Active"))</f>
        <v/>
      </c>
      <c r="Q998" s="15" t="n"/>
      <c r="R998" s="26">
        <f>IF(OR($A998="",$P998=0),"",MOD(N($Q998),$P998)+1)</f>
        <v/>
      </c>
      <c r="S998" s="15" t="n"/>
      <c r="T998" s="25" t="n"/>
      <c r="U998" s="26">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Builder'!$B$12="",N($S998)&lt;='Assignment Builder'!$B$12)))</f>
        <v/>
      </c>
      <c r="V998" s="23" t="n"/>
    </row>
    <row r="999">
      <c r="A999" s="23" t="n"/>
      <c r="B999" s="23" t="n"/>
      <c r="C999" s="24" t="n"/>
      <c r="D999" s="15" t="n"/>
      <c r="E999" s="23" t="n"/>
      <c r="F999" s="15" t="n"/>
      <c r="G999" s="23" t="n"/>
      <c r="H999" s="25" t="n"/>
      <c r="I999" s="15" t="n"/>
      <c r="J999" s="26">
        <f>IF($A999="","",LEN($C999)-LEN(SUBSTITUTE($C999,",",""))+1)</f>
        <v/>
      </c>
      <c r="K999" s="26">
        <f>IF($A999="","",SUMPRODUCT(--ISNUMBER(SEARCH('Category Dictionary'!$D$5:$D$135&amp;"",$C999)),--('Category Dictionary'!$D$5:$D$135&lt;&gt;"")))</f>
        <v/>
      </c>
      <c r="L999" s="27">
        <f>IF($A999="","",TRIM(IF(ISERROR(FIND(",",$C999)),$C999,LEFT($C999,FIND(",",$C999)-1))))</f>
        <v/>
      </c>
      <c r="M999" s="28">
        <f>IF($H999="","",DATE(YEAR($H999),MONTH($H999),1))</f>
        <v/>
      </c>
      <c r="N999" s="26">
        <f>IF($H999="","",TODAY()-$H999)</f>
        <v/>
      </c>
      <c r="O999" s="15" t="n"/>
      <c r="P999" s="26">
        <f>IF($A999="","",COUNTIFS('Audit Versions'!$A$6:$A$605,$A999,'Audit Versions'!$L$6:$L$605,"Active"))</f>
        <v/>
      </c>
      <c r="Q999" s="15" t="n"/>
      <c r="R999" s="26">
        <f>IF(OR($A999="",$P999=0),"",MOD(N($Q999),$P999)+1)</f>
        <v/>
      </c>
      <c r="S999" s="15" t="n"/>
      <c r="T999" s="25" t="n"/>
      <c r="U999" s="26">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Builder'!$B$12="",N($S999)&lt;='Assignment Builder'!$B$12)))</f>
        <v/>
      </c>
      <c r="V999" s="23" t="n"/>
    </row>
    <row r="1000">
      <c r="A1000" s="23" t="n"/>
      <c r="B1000" s="23" t="n"/>
      <c r="C1000" s="24" t="n"/>
      <c r="D1000" s="15" t="n"/>
      <c r="E1000" s="23" t="n"/>
      <c r="F1000" s="15" t="n"/>
      <c r="G1000" s="23" t="n"/>
      <c r="H1000" s="25" t="n"/>
      <c r="I1000" s="15" t="n"/>
      <c r="J1000" s="26">
        <f>IF($A1000="","",LEN($C1000)-LEN(SUBSTITUTE($C1000,",",""))+1)</f>
        <v/>
      </c>
      <c r="K1000" s="26">
        <f>IF($A1000="","",SUMPRODUCT(--ISNUMBER(SEARCH('Category Dictionary'!$D$5:$D$135&amp;"",$C1000)),--('Category Dictionary'!$D$5:$D$135&lt;&gt;"")))</f>
        <v/>
      </c>
      <c r="L1000" s="27">
        <f>IF($A1000="","",TRIM(IF(ISERROR(FIND(",",$C1000)),$C1000,LEFT($C1000,FIND(",",$C1000)-1))))</f>
        <v/>
      </c>
      <c r="M1000" s="28">
        <f>IF($H1000="","",DATE(YEAR($H1000),MONTH($H1000),1))</f>
        <v/>
      </c>
      <c r="N1000" s="26">
        <f>IF($H1000="","",TODAY()-$H1000)</f>
        <v/>
      </c>
      <c r="O1000" s="15" t="n"/>
      <c r="P1000" s="26">
        <f>IF($A1000="","",COUNTIFS('Audit Versions'!$A$6:$A$605,$A1000,'Audit Versions'!$L$6:$L$605,"Active"))</f>
        <v/>
      </c>
      <c r="Q1000" s="15" t="n"/>
      <c r="R1000" s="26">
        <f>IF(OR($A1000="",$P1000=0),"",MOD(N($Q1000),$P1000)+1)</f>
        <v/>
      </c>
      <c r="S1000" s="15" t="n"/>
      <c r="T1000" s="25" t="n"/>
      <c r="U1000" s="26">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Builder'!$B$12="",N($S1000)&lt;='Assignment Builder'!$B$12)))</f>
        <v/>
      </c>
      <c r="V1000" s="23" t="n"/>
    </row>
    <row r="1001">
      <c r="A1001" s="23" t="n"/>
      <c r="B1001" s="23" t="n"/>
      <c r="C1001" s="24" t="n"/>
      <c r="D1001" s="15" t="n"/>
      <c r="E1001" s="23" t="n"/>
      <c r="F1001" s="15" t="n"/>
      <c r="G1001" s="23" t="n"/>
      <c r="H1001" s="25" t="n"/>
      <c r="I1001" s="15" t="n"/>
      <c r="J1001" s="26">
        <f>IF($A1001="","",LEN($C1001)-LEN(SUBSTITUTE($C1001,",",""))+1)</f>
        <v/>
      </c>
      <c r="K1001" s="26">
        <f>IF($A1001="","",SUMPRODUCT(--ISNUMBER(SEARCH('Category Dictionary'!$D$5:$D$135&amp;"",$C1001)),--('Category Dictionary'!$D$5:$D$135&lt;&gt;"")))</f>
        <v/>
      </c>
      <c r="L1001" s="27">
        <f>IF($A1001="","",TRIM(IF(ISERROR(FIND(",",$C1001)),$C1001,LEFT($C1001,FIND(",",$C1001)-1))))</f>
        <v/>
      </c>
      <c r="M1001" s="28">
        <f>IF($H1001="","",DATE(YEAR($H1001),MONTH($H1001),1))</f>
        <v/>
      </c>
      <c r="N1001" s="26">
        <f>IF($H1001="","",TODAY()-$H1001)</f>
        <v/>
      </c>
      <c r="O1001" s="15" t="n"/>
      <c r="P1001" s="26">
        <f>IF($A1001="","",COUNTIFS('Audit Versions'!$A$6:$A$605,$A1001,'Audit Versions'!$L$6:$L$605,"Active"))</f>
        <v/>
      </c>
      <c r="Q1001" s="15" t="n"/>
      <c r="R1001" s="26">
        <f>IF(OR($A1001="",$P1001=0),"",MOD(N($Q1001),$P1001)+1)</f>
        <v/>
      </c>
      <c r="S1001" s="15" t="n"/>
      <c r="T1001" s="25" t="n"/>
      <c r="U1001" s="26">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Builder'!$B$12="",N($S1001)&lt;='Assignment Builder'!$B$12)))</f>
        <v/>
      </c>
      <c r="V1001" s="23" t="n"/>
    </row>
    <row r="1002">
      <c r="A1002" s="23" t="n"/>
      <c r="B1002" s="23" t="n"/>
      <c r="C1002" s="24" t="n"/>
      <c r="D1002" s="15" t="n"/>
      <c r="E1002" s="23" t="n"/>
      <c r="F1002" s="15" t="n"/>
      <c r="G1002" s="23" t="n"/>
      <c r="H1002" s="25" t="n"/>
      <c r="I1002" s="15" t="n"/>
      <c r="J1002" s="26">
        <f>IF($A1002="","",LEN($C1002)-LEN(SUBSTITUTE($C1002,",",""))+1)</f>
        <v/>
      </c>
      <c r="K1002" s="26">
        <f>IF($A1002="","",SUMPRODUCT(--ISNUMBER(SEARCH('Category Dictionary'!$D$5:$D$135&amp;"",$C1002)),--('Category Dictionary'!$D$5:$D$135&lt;&gt;"")))</f>
        <v/>
      </c>
      <c r="L1002" s="27">
        <f>IF($A1002="","",TRIM(IF(ISERROR(FIND(",",$C1002)),$C1002,LEFT($C1002,FIND(",",$C1002)-1))))</f>
        <v/>
      </c>
      <c r="M1002" s="28">
        <f>IF($H1002="","",DATE(YEAR($H1002),MONTH($H1002),1))</f>
        <v/>
      </c>
      <c r="N1002" s="26">
        <f>IF($H1002="","",TODAY()-$H1002)</f>
        <v/>
      </c>
      <c r="O1002" s="15" t="n"/>
      <c r="P1002" s="26">
        <f>IF($A1002="","",COUNTIFS('Audit Versions'!$A$6:$A$605,$A1002,'Audit Versions'!$L$6:$L$605,"Active"))</f>
        <v/>
      </c>
      <c r="Q1002" s="15" t="n"/>
      <c r="R1002" s="26">
        <f>IF(OR($A1002="",$P1002=0),"",MOD(N($Q1002),$P1002)+1)</f>
        <v/>
      </c>
      <c r="S1002" s="15" t="n"/>
      <c r="T1002" s="25" t="n"/>
      <c r="U1002" s="26">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Builder'!$B$12="",N($S1002)&lt;='Assignment Builder'!$B$12)))</f>
        <v/>
      </c>
      <c r="V1002" s="23" t="n"/>
    </row>
    <row r="1003">
      <c r="A1003" s="23" t="n"/>
      <c r="B1003" s="23" t="n"/>
      <c r="C1003" s="24" t="n"/>
      <c r="D1003" s="15" t="n"/>
      <c r="E1003" s="23" t="n"/>
      <c r="F1003" s="15" t="n"/>
      <c r="G1003" s="23" t="n"/>
      <c r="H1003" s="25" t="n"/>
      <c r="I1003" s="15" t="n"/>
      <c r="J1003" s="26">
        <f>IF($A1003="","",LEN($C1003)-LEN(SUBSTITUTE($C1003,",",""))+1)</f>
        <v/>
      </c>
      <c r="K1003" s="26">
        <f>IF($A1003="","",SUMPRODUCT(--ISNUMBER(SEARCH('Category Dictionary'!$D$5:$D$135&amp;"",$C1003)),--('Category Dictionary'!$D$5:$D$135&lt;&gt;"")))</f>
        <v/>
      </c>
      <c r="L1003" s="27">
        <f>IF($A1003="","",TRIM(IF(ISERROR(FIND(",",$C1003)),$C1003,LEFT($C1003,FIND(",",$C1003)-1))))</f>
        <v/>
      </c>
      <c r="M1003" s="28">
        <f>IF($H1003="","",DATE(YEAR($H1003),MONTH($H1003),1))</f>
        <v/>
      </c>
      <c r="N1003" s="26">
        <f>IF($H1003="","",TODAY()-$H1003)</f>
        <v/>
      </c>
      <c r="O1003" s="15" t="n"/>
      <c r="P1003" s="26">
        <f>IF($A1003="","",COUNTIFS('Audit Versions'!$A$6:$A$605,$A1003,'Audit Versions'!$L$6:$L$605,"Active"))</f>
        <v/>
      </c>
      <c r="Q1003" s="15" t="n"/>
      <c r="R1003" s="26">
        <f>IF(OR($A1003="",$P1003=0),"",MOD(N($Q1003),$P1003)+1)</f>
        <v/>
      </c>
      <c r="S1003" s="15" t="n"/>
      <c r="T1003" s="25" t="n"/>
      <c r="U1003" s="26">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Builder'!$B$12="",N($S1003)&lt;='Assignment Builder'!$B$12)))</f>
        <v/>
      </c>
      <c r="V1003" s="23" t="n"/>
    </row>
    <row r="1004">
      <c r="A1004" s="23" t="n"/>
      <c r="B1004" s="23" t="n"/>
      <c r="C1004" s="24" t="n"/>
      <c r="D1004" s="15" t="n"/>
      <c r="E1004" s="23" t="n"/>
      <c r="F1004" s="15" t="n"/>
      <c r="G1004" s="23" t="n"/>
      <c r="H1004" s="25" t="n"/>
      <c r="I1004" s="15" t="n"/>
      <c r="J1004" s="26">
        <f>IF($A1004="","",LEN($C1004)-LEN(SUBSTITUTE($C1004,",",""))+1)</f>
        <v/>
      </c>
      <c r="K1004" s="26">
        <f>IF($A1004="","",SUMPRODUCT(--ISNUMBER(SEARCH('Category Dictionary'!$D$5:$D$135&amp;"",$C1004)),--('Category Dictionary'!$D$5:$D$135&lt;&gt;"")))</f>
        <v/>
      </c>
      <c r="L1004" s="27">
        <f>IF($A1004="","",TRIM(IF(ISERROR(FIND(",",$C1004)),$C1004,LEFT($C1004,FIND(",",$C1004)-1))))</f>
        <v/>
      </c>
      <c r="M1004" s="28">
        <f>IF($H1004="","",DATE(YEAR($H1004),MONTH($H1004),1))</f>
        <v/>
      </c>
      <c r="N1004" s="26">
        <f>IF($H1004="","",TODAY()-$H1004)</f>
        <v/>
      </c>
      <c r="O1004" s="15" t="n"/>
      <c r="P1004" s="26">
        <f>IF($A1004="","",COUNTIFS('Audit Versions'!$A$6:$A$605,$A1004,'Audit Versions'!$L$6:$L$605,"Active"))</f>
        <v/>
      </c>
      <c r="Q1004" s="15" t="n"/>
      <c r="R1004" s="26">
        <f>IF(OR($A1004="",$P1004=0),"",MOD(N($Q1004),$P1004)+1)</f>
        <v/>
      </c>
      <c r="S1004" s="15" t="n"/>
      <c r="T1004" s="25" t="n"/>
      <c r="U1004" s="26">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Builder'!$B$12="",N($S1004)&lt;='Assignment Builder'!$B$12)))</f>
        <v/>
      </c>
      <c r="V1004" s="23" t="n"/>
    </row>
    <row r="1005">
      <c r="A1005" s="23" t="n"/>
      <c r="B1005" s="23" t="n"/>
      <c r="C1005" s="24" t="n"/>
      <c r="D1005" s="15" t="n"/>
      <c r="E1005" s="23" t="n"/>
      <c r="F1005" s="15" t="n"/>
      <c r="G1005" s="23" t="n"/>
      <c r="H1005" s="25" t="n"/>
      <c r="I1005" s="15" t="n"/>
      <c r="J1005" s="26">
        <f>IF($A1005="","",LEN($C1005)-LEN(SUBSTITUTE($C1005,",",""))+1)</f>
        <v/>
      </c>
      <c r="K1005" s="26">
        <f>IF($A1005="","",SUMPRODUCT(--ISNUMBER(SEARCH('Category Dictionary'!$D$5:$D$135&amp;"",$C1005)),--('Category Dictionary'!$D$5:$D$135&lt;&gt;"")))</f>
        <v/>
      </c>
      <c r="L1005" s="27">
        <f>IF($A1005="","",TRIM(IF(ISERROR(FIND(",",$C1005)),$C1005,LEFT($C1005,FIND(",",$C1005)-1))))</f>
        <v/>
      </c>
      <c r="M1005" s="28">
        <f>IF($H1005="","",DATE(YEAR($H1005),MONTH($H1005),1))</f>
        <v/>
      </c>
      <c r="N1005" s="26">
        <f>IF($H1005="","",TODAY()-$H1005)</f>
        <v/>
      </c>
      <c r="O1005" s="15" t="n"/>
      <c r="P1005" s="26">
        <f>IF($A1005="","",COUNTIFS('Audit Versions'!$A$6:$A$605,$A1005,'Audit Versions'!$L$6:$L$605,"Active"))</f>
        <v/>
      </c>
      <c r="Q1005" s="15" t="n"/>
      <c r="R1005" s="26">
        <f>IF(OR($A1005="",$P1005=0),"",MOD(N($Q1005),$P1005)+1)</f>
        <v/>
      </c>
      <c r="S1005" s="15" t="n"/>
      <c r="T1005" s="25" t="n"/>
      <c r="U1005" s="26">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Builder'!$B$12="",N($S1005)&lt;='Assignment Builder'!$B$12)))</f>
        <v/>
      </c>
      <c r="V1005" s="23" t="n"/>
    </row>
    <row r="1006">
      <c r="A1006" s="23" t="n"/>
      <c r="B1006" s="23" t="n"/>
      <c r="C1006" s="24" t="n"/>
      <c r="D1006" s="15" t="n"/>
      <c r="E1006" s="23" t="n"/>
      <c r="F1006" s="15" t="n"/>
      <c r="G1006" s="23" t="n"/>
      <c r="H1006" s="25" t="n"/>
      <c r="I1006" s="15" t="n"/>
      <c r="J1006" s="26">
        <f>IF($A1006="","",LEN($C1006)-LEN(SUBSTITUTE($C1006,",",""))+1)</f>
        <v/>
      </c>
      <c r="K1006" s="26">
        <f>IF($A1006="","",SUMPRODUCT(--ISNUMBER(SEARCH('Category Dictionary'!$D$5:$D$135&amp;"",$C1006)),--('Category Dictionary'!$D$5:$D$135&lt;&gt;"")))</f>
        <v/>
      </c>
      <c r="L1006" s="27">
        <f>IF($A1006="","",TRIM(IF(ISERROR(FIND(",",$C1006)),$C1006,LEFT($C1006,FIND(",",$C1006)-1))))</f>
        <v/>
      </c>
      <c r="M1006" s="28">
        <f>IF($H1006="","",DATE(YEAR($H1006),MONTH($H1006),1))</f>
        <v/>
      </c>
      <c r="N1006" s="26">
        <f>IF($H1006="","",TODAY()-$H1006)</f>
        <v/>
      </c>
      <c r="O1006" s="15" t="n"/>
      <c r="P1006" s="26">
        <f>IF($A1006="","",COUNTIFS('Audit Versions'!$A$6:$A$605,$A1006,'Audit Versions'!$L$6:$L$605,"Active"))</f>
        <v/>
      </c>
      <c r="Q1006" s="15" t="n"/>
      <c r="R1006" s="26">
        <f>IF(OR($A1006="",$P1006=0),"",MOD(N($Q1006),$P1006)+1)</f>
        <v/>
      </c>
      <c r="S1006" s="15" t="n"/>
      <c r="T1006" s="25" t="n"/>
      <c r="U1006" s="26">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Builder'!$B$12="",N($S1006)&lt;='Assignment Builder'!$B$12)))</f>
        <v/>
      </c>
      <c r="V1006" s="23" t="n"/>
    </row>
    <row r="1007">
      <c r="A1007" s="23" t="n"/>
      <c r="B1007" s="23" t="n"/>
      <c r="C1007" s="24" t="n"/>
      <c r="D1007" s="15" t="n"/>
      <c r="E1007" s="23" t="n"/>
      <c r="F1007" s="15" t="n"/>
      <c r="G1007" s="23" t="n"/>
      <c r="H1007" s="25" t="n"/>
      <c r="I1007" s="15" t="n"/>
      <c r="J1007" s="26">
        <f>IF($A1007="","",LEN($C1007)-LEN(SUBSTITUTE($C1007,",",""))+1)</f>
        <v/>
      </c>
      <c r="K1007" s="26">
        <f>IF($A1007="","",SUMPRODUCT(--ISNUMBER(SEARCH('Category Dictionary'!$D$5:$D$135&amp;"",$C1007)),--('Category Dictionary'!$D$5:$D$135&lt;&gt;"")))</f>
        <v/>
      </c>
      <c r="L1007" s="27">
        <f>IF($A1007="","",TRIM(IF(ISERROR(FIND(",",$C1007)),$C1007,LEFT($C1007,FIND(",",$C1007)-1))))</f>
        <v/>
      </c>
      <c r="M1007" s="28">
        <f>IF($H1007="","",DATE(YEAR($H1007),MONTH($H1007),1))</f>
        <v/>
      </c>
      <c r="N1007" s="26">
        <f>IF($H1007="","",TODAY()-$H1007)</f>
        <v/>
      </c>
      <c r="O1007" s="15" t="n"/>
      <c r="P1007" s="26">
        <f>IF($A1007="","",COUNTIFS('Audit Versions'!$A$6:$A$605,$A1007,'Audit Versions'!$L$6:$L$605,"Active"))</f>
        <v/>
      </c>
      <c r="Q1007" s="15" t="n"/>
      <c r="R1007" s="26">
        <f>IF(OR($A1007="",$P1007=0),"",MOD(N($Q1007),$P1007)+1)</f>
        <v/>
      </c>
      <c r="S1007" s="15" t="n"/>
      <c r="T1007" s="25" t="n"/>
      <c r="U1007" s="26">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Builder'!$B$12="",N($S1007)&lt;='Assignment Builder'!$B$12)))</f>
        <v/>
      </c>
      <c r="V1007" s="23" t="n"/>
    </row>
    <row r="1008">
      <c r="A1008" s="23" t="n"/>
      <c r="B1008" s="23" t="n"/>
      <c r="C1008" s="24" t="n"/>
      <c r="D1008" s="15" t="n"/>
      <c r="E1008" s="23" t="n"/>
      <c r="F1008" s="15" t="n"/>
      <c r="G1008" s="23" t="n"/>
      <c r="H1008" s="25" t="n"/>
      <c r="I1008" s="15" t="n"/>
      <c r="J1008" s="26">
        <f>IF($A1008="","",LEN($C1008)-LEN(SUBSTITUTE($C1008,",",""))+1)</f>
        <v/>
      </c>
      <c r="K1008" s="26">
        <f>IF($A1008="","",SUMPRODUCT(--ISNUMBER(SEARCH('Category Dictionary'!$D$5:$D$135&amp;"",$C1008)),--('Category Dictionary'!$D$5:$D$135&lt;&gt;"")))</f>
        <v/>
      </c>
      <c r="L1008" s="27">
        <f>IF($A1008="","",TRIM(IF(ISERROR(FIND(",",$C1008)),$C1008,LEFT($C1008,FIND(",",$C1008)-1))))</f>
        <v/>
      </c>
      <c r="M1008" s="28">
        <f>IF($H1008="","",DATE(YEAR($H1008),MONTH($H1008),1))</f>
        <v/>
      </c>
      <c r="N1008" s="26">
        <f>IF($H1008="","",TODAY()-$H1008)</f>
        <v/>
      </c>
      <c r="O1008" s="15" t="n"/>
      <c r="P1008" s="26">
        <f>IF($A1008="","",COUNTIFS('Audit Versions'!$A$6:$A$605,$A1008,'Audit Versions'!$L$6:$L$605,"Active"))</f>
        <v/>
      </c>
      <c r="Q1008" s="15" t="n"/>
      <c r="R1008" s="26">
        <f>IF(OR($A1008="",$P1008=0),"",MOD(N($Q1008),$P1008)+1)</f>
        <v/>
      </c>
      <c r="S1008" s="15" t="n"/>
      <c r="T1008" s="25" t="n"/>
      <c r="U1008" s="26">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Builder'!$B$12="",N($S1008)&lt;='Assignment Builder'!$B$12)))</f>
        <v/>
      </c>
      <c r="V1008" s="23" t="n"/>
    </row>
    <row r="1009">
      <c r="A1009" s="23" t="n"/>
      <c r="B1009" s="23" t="n"/>
      <c r="C1009" s="24" t="n"/>
      <c r="D1009" s="15" t="n"/>
      <c r="E1009" s="23" t="n"/>
      <c r="F1009" s="15" t="n"/>
      <c r="G1009" s="23" t="n"/>
      <c r="H1009" s="25" t="n"/>
      <c r="I1009" s="15" t="n"/>
      <c r="J1009" s="26">
        <f>IF($A1009="","",LEN($C1009)-LEN(SUBSTITUTE($C1009,",",""))+1)</f>
        <v/>
      </c>
      <c r="K1009" s="26">
        <f>IF($A1009="","",SUMPRODUCT(--ISNUMBER(SEARCH('Category Dictionary'!$D$5:$D$135&amp;"",$C1009)),--('Category Dictionary'!$D$5:$D$135&lt;&gt;"")))</f>
        <v/>
      </c>
      <c r="L1009" s="27">
        <f>IF($A1009="","",TRIM(IF(ISERROR(FIND(",",$C1009)),$C1009,LEFT($C1009,FIND(",",$C1009)-1))))</f>
        <v/>
      </c>
      <c r="M1009" s="28">
        <f>IF($H1009="","",DATE(YEAR($H1009),MONTH($H1009),1))</f>
        <v/>
      </c>
      <c r="N1009" s="26">
        <f>IF($H1009="","",TODAY()-$H1009)</f>
        <v/>
      </c>
      <c r="O1009" s="15" t="n"/>
      <c r="P1009" s="26">
        <f>IF($A1009="","",COUNTIFS('Audit Versions'!$A$6:$A$605,$A1009,'Audit Versions'!$L$6:$L$605,"Active"))</f>
        <v/>
      </c>
      <c r="Q1009" s="15" t="n"/>
      <c r="R1009" s="26">
        <f>IF(OR($A1009="",$P1009=0),"",MOD(N($Q1009),$P1009)+1)</f>
        <v/>
      </c>
      <c r="S1009" s="15" t="n"/>
      <c r="T1009" s="25" t="n"/>
      <c r="U1009" s="26">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Builder'!$B$12="",N($S1009)&lt;='Assignment Builder'!$B$12)))</f>
        <v/>
      </c>
      <c r="V1009" s="23" t="n"/>
    </row>
    <row r="1010">
      <c r="A1010" s="23" t="n"/>
      <c r="B1010" s="23" t="n"/>
      <c r="C1010" s="24" t="n"/>
      <c r="D1010" s="15" t="n"/>
      <c r="E1010" s="23" t="n"/>
      <c r="F1010" s="15" t="n"/>
      <c r="G1010" s="23" t="n"/>
      <c r="H1010" s="25" t="n"/>
      <c r="I1010" s="15" t="n"/>
      <c r="J1010" s="26">
        <f>IF($A1010="","",LEN($C1010)-LEN(SUBSTITUTE($C1010,",",""))+1)</f>
        <v/>
      </c>
      <c r="K1010" s="26">
        <f>IF($A1010="","",SUMPRODUCT(--ISNUMBER(SEARCH('Category Dictionary'!$D$5:$D$135&amp;"",$C1010)),--('Category Dictionary'!$D$5:$D$135&lt;&gt;"")))</f>
        <v/>
      </c>
      <c r="L1010" s="27">
        <f>IF($A1010="","",TRIM(IF(ISERROR(FIND(",",$C1010)),$C1010,LEFT($C1010,FIND(",",$C1010)-1))))</f>
        <v/>
      </c>
      <c r="M1010" s="28">
        <f>IF($H1010="","",DATE(YEAR($H1010),MONTH($H1010),1))</f>
        <v/>
      </c>
      <c r="N1010" s="26">
        <f>IF($H1010="","",TODAY()-$H1010)</f>
        <v/>
      </c>
      <c r="O1010" s="15" t="n"/>
      <c r="P1010" s="26">
        <f>IF($A1010="","",COUNTIFS('Audit Versions'!$A$6:$A$605,$A1010,'Audit Versions'!$L$6:$L$605,"Active"))</f>
        <v/>
      </c>
      <c r="Q1010" s="15" t="n"/>
      <c r="R1010" s="26">
        <f>IF(OR($A1010="",$P1010=0),"",MOD(N($Q1010),$P1010)+1)</f>
        <v/>
      </c>
      <c r="S1010" s="15" t="n"/>
      <c r="T1010" s="25" t="n"/>
      <c r="U1010" s="26">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Builder'!$B$12="",N($S1010)&lt;='Assignment Builder'!$B$12)))</f>
        <v/>
      </c>
      <c r="V1010" s="23" t="n"/>
    </row>
    <row r="1011">
      <c r="A1011" s="23" t="n"/>
      <c r="B1011" s="23" t="n"/>
      <c r="C1011" s="24" t="n"/>
      <c r="D1011" s="15" t="n"/>
      <c r="E1011" s="23" t="n"/>
      <c r="F1011" s="15" t="n"/>
      <c r="G1011" s="23" t="n"/>
      <c r="H1011" s="25" t="n"/>
      <c r="I1011" s="15" t="n"/>
      <c r="J1011" s="26">
        <f>IF($A1011="","",LEN($C1011)-LEN(SUBSTITUTE($C1011,",",""))+1)</f>
        <v/>
      </c>
      <c r="K1011" s="26">
        <f>IF($A1011="","",SUMPRODUCT(--ISNUMBER(SEARCH('Category Dictionary'!$D$5:$D$135&amp;"",$C1011)),--('Category Dictionary'!$D$5:$D$135&lt;&gt;"")))</f>
        <v/>
      </c>
      <c r="L1011" s="27">
        <f>IF($A1011="","",TRIM(IF(ISERROR(FIND(",",$C1011)),$C1011,LEFT($C1011,FIND(",",$C1011)-1))))</f>
        <v/>
      </c>
      <c r="M1011" s="28">
        <f>IF($H1011="","",DATE(YEAR($H1011),MONTH($H1011),1))</f>
        <v/>
      </c>
      <c r="N1011" s="26">
        <f>IF($H1011="","",TODAY()-$H1011)</f>
        <v/>
      </c>
      <c r="O1011" s="15" t="n"/>
      <c r="P1011" s="26">
        <f>IF($A1011="","",COUNTIFS('Audit Versions'!$A$6:$A$605,$A1011,'Audit Versions'!$L$6:$L$605,"Active"))</f>
        <v/>
      </c>
      <c r="Q1011" s="15" t="n"/>
      <c r="R1011" s="26">
        <f>IF(OR($A1011="",$P1011=0),"",MOD(N($Q1011),$P1011)+1)</f>
        <v/>
      </c>
      <c r="S1011" s="15" t="n"/>
      <c r="T1011" s="25" t="n"/>
      <c r="U1011" s="26">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Builder'!$B$12="",N($S1011)&lt;='Assignment Builder'!$B$12)))</f>
        <v/>
      </c>
      <c r="V1011" s="23" t="n"/>
    </row>
    <row r="1012">
      <c r="A1012" s="23" t="n"/>
      <c r="B1012" s="23" t="n"/>
      <c r="C1012" s="24" t="n"/>
      <c r="D1012" s="15" t="n"/>
      <c r="E1012" s="23" t="n"/>
      <c r="F1012" s="15" t="n"/>
      <c r="G1012" s="23" t="n"/>
      <c r="H1012" s="25" t="n"/>
      <c r="I1012" s="15" t="n"/>
      <c r="J1012" s="26">
        <f>IF($A1012="","",LEN($C1012)-LEN(SUBSTITUTE($C1012,",",""))+1)</f>
        <v/>
      </c>
      <c r="K1012" s="26">
        <f>IF($A1012="","",SUMPRODUCT(--ISNUMBER(SEARCH('Category Dictionary'!$D$5:$D$135&amp;"",$C1012)),--('Category Dictionary'!$D$5:$D$135&lt;&gt;"")))</f>
        <v/>
      </c>
      <c r="L1012" s="27">
        <f>IF($A1012="","",TRIM(IF(ISERROR(FIND(",",$C1012)),$C1012,LEFT($C1012,FIND(",",$C1012)-1))))</f>
        <v/>
      </c>
      <c r="M1012" s="28">
        <f>IF($H1012="","",DATE(YEAR($H1012),MONTH($H1012),1))</f>
        <v/>
      </c>
      <c r="N1012" s="26">
        <f>IF($H1012="","",TODAY()-$H1012)</f>
        <v/>
      </c>
      <c r="O1012" s="15" t="n"/>
      <c r="P1012" s="26">
        <f>IF($A1012="","",COUNTIFS('Audit Versions'!$A$6:$A$605,$A1012,'Audit Versions'!$L$6:$L$605,"Active"))</f>
        <v/>
      </c>
      <c r="Q1012" s="15" t="n"/>
      <c r="R1012" s="26">
        <f>IF(OR($A1012="",$P1012=0),"",MOD(N($Q1012),$P1012)+1)</f>
        <v/>
      </c>
      <c r="S1012" s="15" t="n"/>
      <c r="T1012" s="25" t="n"/>
      <c r="U1012" s="26">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Builder'!$B$12="",N($S1012)&lt;='Assignment Builder'!$B$12)))</f>
        <v/>
      </c>
      <c r="V1012" s="23" t="n"/>
    </row>
    <row r="1013">
      <c r="A1013" s="23" t="n"/>
      <c r="B1013" s="23" t="n"/>
      <c r="C1013" s="24" t="n"/>
      <c r="D1013" s="15" t="n"/>
      <c r="E1013" s="23" t="n"/>
      <c r="F1013" s="15" t="n"/>
      <c r="G1013" s="23" t="n"/>
      <c r="H1013" s="25" t="n"/>
      <c r="I1013" s="15" t="n"/>
      <c r="J1013" s="26">
        <f>IF($A1013="","",LEN($C1013)-LEN(SUBSTITUTE($C1013,",",""))+1)</f>
        <v/>
      </c>
      <c r="K1013" s="26">
        <f>IF($A1013="","",SUMPRODUCT(--ISNUMBER(SEARCH('Category Dictionary'!$D$5:$D$135&amp;"",$C1013)),--('Category Dictionary'!$D$5:$D$135&lt;&gt;"")))</f>
        <v/>
      </c>
      <c r="L1013" s="27">
        <f>IF($A1013="","",TRIM(IF(ISERROR(FIND(",",$C1013)),$C1013,LEFT($C1013,FIND(",",$C1013)-1))))</f>
        <v/>
      </c>
      <c r="M1013" s="28">
        <f>IF($H1013="","",DATE(YEAR($H1013),MONTH($H1013),1))</f>
        <v/>
      </c>
      <c r="N1013" s="26">
        <f>IF($H1013="","",TODAY()-$H1013)</f>
        <v/>
      </c>
      <c r="O1013" s="15" t="n"/>
      <c r="P1013" s="26">
        <f>IF($A1013="","",COUNTIFS('Audit Versions'!$A$6:$A$605,$A1013,'Audit Versions'!$L$6:$L$605,"Active"))</f>
        <v/>
      </c>
      <c r="Q1013" s="15" t="n"/>
      <c r="R1013" s="26">
        <f>IF(OR($A1013="",$P1013=0),"",MOD(N($Q1013),$P1013)+1)</f>
        <v/>
      </c>
      <c r="S1013" s="15" t="n"/>
      <c r="T1013" s="25" t="n"/>
      <c r="U1013" s="26">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Builder'!$B$12="",N($S1013)&lt;='Assignment Builder'!$B$12)))</f>
        <v/>
      </c>
      <c r="V1013" s="23" t="n"/>
    </row>
    <row r="1014">
      <c r="A1014" s="23" t="n"/>
      <c r="B1014" s="23" t="n"/>
      <c r="C1014" s="24" t="n"/>
      <c r="D1014" s="15" t="n"/>
      <c r="E1014" s="23" t="n"/>
      <c r="F1014" s="15" t="n"/>
      <c r="G1014" s="23" t="n"/>
      <c r="H1014" s="25" t="n"/>
      <c r="I1014" s="15" t="n"/>
      <c r="J1014" s="26">
        <f>IF($A1014="","",LEN($C1014)-LEN(SUBSTITUTE($C1014,",",""))+1)</f>
        <v/>
      </c>
      <c r="K1014" s="26">
        <f>IF($A1014="","",SUMPRODUCT(--ISNUMBER(SEARCH('Category Dictionary'!$D$5:$D$135&amp;"",$C1014)),--('Category Dictionary'!$D$5:$D$135&lt;&gt;"")))</f>
        <v/>
      </c>
      <c r="L1014" s="27">
        <f>IF($A1014="","",TRIM(IF(ISERROR(FIND(",",$C1014)),$C1014,LEFT($C1014,FIND(",",$C1014)-1))))</f>
        <v/>
      </c>
      <c r="M1014" s="28">
        <f>IF($H1014="","",DATE(YEAR($H1014),MONTH($H1014),1))</f>
        <v/>
      </c>
      <c r="N1014" s="26">
        <f>IF($H1014="","",TODAY()-$H1014)</f>
        <v/>
      </c>
      <c r="O1014" s="15" t="n"/>
      <c r="P1014" s="26">
        <f>IF($A1014="","",COUNTIFS('Audit Versions'!$A$6:$A$605,$A1014,'Audit Versions'!$L$6:$L$605,"Active"))</f>
        <v/>
      </c>
      <c r="Q1014" s="15" t="n"/>
      <c r="R1014" s="26">
        <f>IF(OR($A1014="",$P1014=0),"",MOD(N($Q1014),$P1014)+1)</f>
        <v/>
      </c>
      <c r="S1014" s="15" t="n"/>
      <c r="T1014" s="25" t="n"/>
      <c r="U1014" s="26">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Builder'!$B$12="",N($S1014)&lt;='Assignment Builder'!$B$12)))</f>
        <v/>
      </c>
      <c r="V1014" s="23" t="n"/>
    </row>
    <row r="1015">
      <c r="A1015" s="23" t="n"/>
      <c r="B1015" s="23" t="n"/>
      <c r="C1015" s="24" t="n"/>
      <c r="D1015" s="15" t="n"/>
      <c r="E1015" s="23" t="n"/>
      <c r="F1015" s="15" t="n"/>
      <c r="G1015" s="23" t="n"/>
      <c r="H1015" s="25" t="n"/>
      <c r="I1015" s="15" t="n"/>
      <c r="J1015" s="26">
        <f>IF($A1015="","",LEN($C1015)-LEN(SUBSTITUTE($C1015,",",""))+1)</f>
        <v/>
      </c>
      <c r="K1015" s="26">
        <f>IF($A1015="","",SUMPRODUCT(--ISNUMBER(SEARCH('Category Dictionary'!$D$5:$D$135&amp;"",$C1015)),--('Category Dictionary'!$D$5:$D$135&lt;&gt;"")))</f>
        <v/>
      </c>
      <c r="L1015" s="27">
        <f>IF($A1015="","",TRIM(IF(ISERROR(FIND(",",$C1015)),$C1015,LEFT($C1015,FIND(",",$C1015)-1))))</f>
        <v/>
      </c>
      <c r="M1015" s="28">
        <f>IF($H1015="","",DATE(YEAR($H1015),MONTH($H1015),1))</f>
        <v/>
      </c>
      <c r="N1015" s="26">
        <f>IF($H1015="","",TODAY()-$H1015)</f>
        <v/>
      </c>
      <c r="O1015" s="15" t="n"/>
      <c r="P1015" s="26">
        <f>IF($A1015="","",COUNTIFS('Audit Versions'!$A$6:$A$605,$A1015,'Audit Versions'!$L$6:$L$605,"Active"))</f>
        <v/>
      </c>
      <c r="Q1015" s="15" t="n"/>
      <c r="R1015" s="26">
        <f>IF(OR($A1015="",$P1015=0),"",MOD(N($Q1015),$P1015)+1)</f>
        <v/>
      </c>
      <c r="S1015" s="15" t="n"/>
      <c r="T1015" s="25" t="n"/>
      <c r="U1015" s="26">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Builder'!$B$12="",N($S1015)&lt;='Assignment Builder'!$B$12)))</f>
        <v/>
      </c>
      <c r="V1015" s="23" t="n"/>
    </row>
    <row r="1016">
      <c r="A1016" s="23" t="n"/>
      <c r="B1016" s="23" t="n"/>
      <c r="C1016" s="24" t="n"/>
      <c r="D1016" s="15" t="n"/>
      <c r="E1016" s="23" t="n"/>
      <c r="F1016" s="15" t="n"/>
      <c r="G1016" s="23" t="n"/>
      <c r="H1016" s="25" t="n"/>
      <c r="I1016" s="15" t="n"/>
      <c r="J1016" s="26">
        <f>IF($A1016="","",LEN($C1016)-LEN(SUBSTITUTE($C1016,",",""))+1)</f>
        <v/>
      </c>
      <c r="K1016" s="26">
        <f>IF($A1016="","",SUMPRODUCT(--ISNUMBER(SEARCH('Category Dictionary'!$D$5:$D$135&amp;"",$C1016)),--('Category Dictionary'!$D$5:$D$135&lt;&gt;"")))</f>
        <v/>
      </c>
      <c r="L1016" s="27">
        <f>IF($A1016="","",TRIM(IF(ISERROR(FIND(",",$C1016)),$C1016,LEFT($C1016,FIND(",",$C1016)-1))))</f>
        <v/>
      </c>
      <c r="M1016" s="28">
        <f>IF($H1016="","",DATE(YEAR($H1016),MONTH($H1016),1))</f>
        <v/>
      </c>
      <c r="N1016" s="26">
        <f>IF($H1016="","",TODAY()-$H1016)</f>
        <v/>
      </c>
      <c r="O1016" s="15" t="n"/>
      <c r="P1016" s="26">
        <f>IF($A1016="","",COUNTIFS('Audit Versions'!$A$6:$A$605,$A1016,'Audit Versions'!$L$6:$L$605,"Active"))</f>
        <v/>
      </c>
      <c r="Q1016" s="15" t="n"/>
      <c r="R1016" s="26">
        <f>IF(OR($A1016="",$P1016=0),"",MOD(N($Q1016),$P1016)+1)</f>
        <v/>
      </c>
      <c r="S1016" s="15" t="n"/>
      <c r="T1016" s="25" t="n"/>
      <c r="U1016" s="26">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Builder'!$B$12="",N($S1016)&lt;='Assignment Builder'!$B$12)))</f>
        <v/>
      </c>
      <c r="V1016" s="23" t="n"/>
    </row>
    <row r="1017">
      <c r="A1017" s="23" t="n"/>
      <c r="B1017" s="23" t="n"/>
      <c r="C1017" s="24" t="n"/>
      <c r="D1017" s="15" t="n"/>
      <c r="E1017" s="23" t="n"/>
      <c r="F1017" s="15" t="n"/>
      <c r="G1017" s="23" t="n"/>
      <c r="H1017" s="25" t="n"/>
      <c r="I1017" s="15" t="n"/>
      <c r="J1017" s="26">
        <f>IF($A1017="","",LEN($C1017)-LEN(SUBSTITUTE($C1017,",",""))+1)</f>
        <v/>
      </c>
      <c r="K1017" s="26">
        <f>IF($A1017="","",SUMPRODUCT(--ISNUMBER(SEARCH('Category Dictionary'!$D$5:$D$135&amp;"",$C1017)),--('Category Dictionary'!$D$5:$D$135&lt;&gt;"")))</f>
        <v/>
      </c>
      <c r="L1017" s="27">
        <f>IF($A1017="","",TRIM(IF(ISERROR(FIND(",",$C1017)),$C1017,LEFT($C1017,FIND(",",$C1017)-1))))</f>
        <v/>
      </c>
      <c r="M1017" s="28">
        <f>IF($H1017="","",DATE(YEAR($H1017),MONTH($H1017),1))</f>
        <v/>
      </c>
      <c r="N1017" s="26">
        <f>IF($H1017="","",TODAY()-$H1017)</f>
        <v/>
      </c>
      <c r="O1017" s="15" t="n"/>
      <c r="P1017" s="26">
        <f>IF($A1017="","",COUNTIFS('Audit Versions'!$A$6:$A$605,$A1017,'Audit Versions'!$L$6:$L$605,"Active"))</f>
        <v/>
      </c>
      <c r="Q1017" s="15" t="n"/>
      <c r="R1017" s="26">
        <f>IF(OR($A1017="",$P1017=0),"",MOD(N($Q1017),$P1017)+1)</f>
        <v/>
      </c>
      <c r="S1017" s="15" t="n"/>
      <c r="T1017" s="25" t="n"/>
      <c r="U1017" s="26">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Builder'!$B$12="",N($S1017)&lt;='Assignment Builder'!$B$12)))</f>
        <v/>
      </c>
      <c r="V1017" s="23" t="n"/>
    </row>
    <row r="1018">
      <c r="A1018" s="23" t="n"/>
      <c r="B1018" s="23" t="n"/>
      <c r="C1018" s="24" t="n"/>
      <c r="D1018" s="15" t="n"/>
      <c r="E1018" s="23" t="n"/>
      <c r="F1018" s="15" t="n"/>
      <c r="G1018" s="23" t="n"/>
      <c r="H1018" s="25" t="n"/>
      <c r="I1018" s="15" t="n"/>
      <c r="J1018" s="26">
        <f>IF($A1018="","",LEN($C1018)-LEN(SUBSTITUTE($C1018,",",""))+1)</f>
        <v/>
      </c>
      <c r="K1018" s="26">
        <f>IF($A1018="","",SUMPRODUCT(--ISNUMBER(SEARCH('Category Dictionary'!$D$5:$D$135&amp;"",$C1018)),--('Category Dictionary'!$D$5:$D$135&lt;&gt;"")))</f>
        <v/>
      </c>
      <c r="L1018" s="27">
        <f>IF($A1018="","",TRIM(IF(ISERROR(FIND(",",$C1018)),$C1018,LEFT($C1018,FIND(",",$C1018)-1))))</f>
        <v/>
      </c>
      <c r="M1018" s="28">
        <f>IF($H1018="","",DATE(YEAR($H1018),MONTH($H1018),1))</f>
        <v/>
      </c>
      <c r="N1018" s="26">
        <f>IF($H1018="","",TODAY()-$H1018)</f>
        <v/>
      </c>
      <c r="O1018" s="15" t="n"/>
      <c r="P1018" s="26">
        <f>IF($A1018="","",COUNTIFS('Audit Versions'!$A$6:$A$605,$A1018,'Audit Versions'!$L$6:$L$605,"Active"))</f>
        <v/>
      </c>
      <c r="Q1018" s="15" t="n"/>
      <c r="R1018" s="26">
        <f>IF(OR($A1018="",$P1018=0),"",MOD(N($Q1018),$P1018)+1)</f>
        <v/>
      </c>
      <c r="S1018" s="15" t="n"/>
      <c r="T1018" s="25" t="n"/>
      <c r="U1018" s="26">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Builder'!$B$12="",N($S1018)&lt;='Assignment Builder'!$B$12)))</f>
        <v/>
      </c>
      <c r="V1018" s="23" t="n"/>
    </row>
    <row r="1019">
      <c r="A1019" s="23" t="n"/>
      <c r="B1019" s="23" t="n"/>
      <c r="C1019" s="24" t="n"/>
      <c r="D1019" s="15" t="n"/>
      <c r="E1019" s="23" t="n"/>
      <c r="F1019" s="15" t="n"/>
      <c r="G1019" s="23" t="n"/>
      <c r="H1019" s="25" t="n"/>
      <c r="I1019" s="15" t="n"/>
      <c r="J1019" s="26">
        <f>IF($A1019="","",LEN($C1019)-LEN(SUBSTITUTE($C1019,",",""))+1)</f>
        <v/>
      </c>
      <c r="K1019" s="26">
        <f>IF($A1019="","",SUMPRODUCT(--ISNUMBER(SEARCH('Category Dictionary'!$D$5:$D$135&amp;"",$C1019)),--('Category Dictionary'!$D$5:$D$135&lt;&gt;"")))</f>
        <v/>
      </c>
      <c r="L1019" s="27">
        <f>IF($A1019="","",TRIM(IF(ISERROR(FIND(",",$C1019)),$C1019,LEFT($C1019,FIND(",",$C1019)-1))))</f>
        <v/>
      </c>
      <c r="M1019" s="28">
        <f>IF($H1019="","",DATE(YEAR($H1019),MONTH($H1019),1))</f>
        <v/>
      </c>
      <c r="N1019" s="26">
        <f>IF($H1019="","",TODAY()-$H1019)</f>
        <v/>
      </c>
      <c r="O1019" s="15" t="n"/>
      <c r="P1019" s="26">
        <f>IF($A1019="","",COUNTIFS('Audit Versions'!$A$6:$A$605,$A1019,'Audit Versions'!$L$6:$L$605,"Active"))</f>
        <v/>
      </c>
      <c r="Q1019" s="15" t="n"/>
      <c r="R1019" s="26">
        <f>IF(OR($A1019="",$P1019=0),"",MOD(N($Q1019),$P1019)+1)</f>
        <v/>
      </c>
      <c r="S1019" s="15" t="n"/>
      <c r="T1019" s="25" t="n"/>
      <c r="U1019" s="26">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Builder'!$B$12="",N($S1019)&lt;='Assignment Builder'!$B$12)))</f>
        <v/>
      </c>
      <c r="V1019" s="23" t="n"/>
    </row>
    <row r="1020">
      <c r="A1020" s="23" t="n"/>
      <c r="B1020" s="23" t="n"/>
      <c r="C1020" s="24" t="n"/>
      <c r="D1020" s="15" t="n"/>
      <c r="E1020" s="23" t="n"/>
      <c r="F1020" s="15" t="n"/>
      <c r="G1020" s="23" t="n"/>
      <c r="H1020" s="25" t="n"/>
      <c r="I1020" s="15" t="n"/>
      <c r="J1020" s="26">
        <f>IF($A1020="","",LEN($C1020)-LEN(SUBSTITUTE($C1020,",",""))+1)</f>
        <v/>
      </c>
      <c r="K1020" s="26">
        <f>IF($A1020="","",SUMPRODUCT(--ISNUMBER(SEARCH('Category Dictionary'!$D$5:$D$135&amp;"",$C1020)),--('Category Dictionary'!$D$5:$D$135&lt;&gt;"")))</f>
        <v/>
      </c>
      <c r="L1020" s="27">
        <f>IF($A1020="","",TRIM(IF(ISERROR(FIND(",",$C1020)),$C1020,LEFT($C1020,FIND(",",$C1020)-1))))</f>
        <v/>
      </c>
      <c r="M1020" s="28">
        <f>IF($H1020="","",DATE(YEAR($H1020),MONTH($H1020),1))</f>
        <v/>
      </c>
      <c r="N1020" s="26">
        <f>IF($H1020="","",TODAY()-$H1020)</f>
        <v/>
      </c>
      <c r="O1020" s="15" t="n"/>
      <c r="P1020" s="26">
        <f>IF($A1020="","",COUNTIFS('Audit Versions'!$A$6:$A$605,$A1020,'Audit Versions'!$L$6:$L$605,"Active"))</f>
        <v/>
      </c>
      <c r="Q1020" s="15" t="n"/>
      <c r="R1020" s="26">
        <f>IF(OR($A1020="",$P1020=0),"",MOD(N($Q1020),$P1020)+1)</f>
        <v/>
      </c>
      <c r="S1020" s="15" t="n"/>
      <c r="T1020" s="25" t="n"/>
      <c r="U1020" s="26">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Builder'!$B$12="",N($S1020)&lt;='Assignment Builder'!$B$12)))</f>
        <v/>
      </c>
      <c r="V1020" s="23" t="n"/>
    </row>
    <row r="1021">
      <c r="A1021" s="23" t="n"/>
      <c r="B1021" s="23" t="n"/>
      <c r="C1021" s="24" t="n"/>
      <c r="D1021" s="15" t="n"/>
      <c r="E1021" s="23" t="n"/>
      <c r="F1021" s="15" t="n"/>
      <c r="G1021" s="23" t="n"/>
      <c r="H1021" s="25" t="n"/>
      <c r="I1021" s="15" t="n"/>
      <c r="J1021" s="26">
        <f>IF($A1021="","",LEN($C1021)-LEN(SUBSTITUTE($C1021,",",""))+1)</f>
        <v/>
      </c>
      <c r="K1021" s="26">
        <f>IF($A1021="","",SUMPRODUCT(--ISNUMBER(SEARCH('Category Dictionary'!$D$5:$D$135&amp;"",$C1021)),--('Category Dictionary'!$D$5:$D$135&lt;&gt;"")))</f>
        <v/>
      </c>
      <c r="L1021" s="27">
        <f>IF($A1021="","",TRIM(IF(ISERROR(FIND(",",$C1021)),$C1021,LEFT($C1021,FIND(",",$C1021)-1))))</f>
        <v/>
      </c>
      <c r="M1021" s="28">
        <f>IF($H1021="","",DATE(YEAR($H1021),MONTH($H1021),1))</f>
        <v/>
      </c>
      <c r="N1021" s="26">
        <f>IF($H1021="","",TODAY()-$H1021)</f>
        <v/>
      </c>
      <c r="O1021" s="15" t="n"/>
      <c r="P1021" s="26">
        <f>IF($A1021="","",COUNTIFS('Audit Versions'!$A$6:$A$605,$A1021,'Audit Versions'!$L$6:$L$605,"Active"))</f>
        <v/>
      </c>
      <c r="Q1021" s="15" t="n"/>
      <c r="R1021" s="26">
        <f>IF(OR($A1021="",$P1021=0),"",MOD(N($Q1021),$P1021)+1)</f>
        <v/>
      </c>
      <c r="S1021" s="15" t="n"/>
      <c r="T1021" s="25" t="n"/>
      <c r="U1021" s="26">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Builder'!$B$12="",N($S1021)&lt;='Assignment Builder'!$B$12)))</f>
        <v/>
      </c>
      <c r="V1021" s="23" t="n"/>
    </row>
    <row r="1022">
      <c r="A1022" s="23" t="n"/>
      <c r="B1022" s="23" t="n"/>
      <c r="C1022" s="24" t="n"/>
      <c r="D1022" s="15" t="n"/>
      <c r="E1022" s="23" t="n"/>
      <c r="F1022" s="15" t="n"/>
      <c r="G1022" s="23" t="n"/>
      <c r="H1022" s="25" t="n"/>
      <c r="I1022" s="15" t="n"/>
      <c r="J1022" s="26">
        <f>IF($A1022="","",LEN($C1022)-LEN(SUBSTITUTE($C1022,",",""))+1)</f>
        <v/>
      </c>
      <c r="K1022" s="26">
        <f>IF($A1022="","",SUMPRODUCT(--ISNUMBER(SEARCH('Category Dictionary'!$D$5:$D$135&amp;"",$C1022)),--('Category Dictionary'!$D$5:$D$135&lt;&gt;"")))</f>
        <v/>
      </c>
      <c r="L1022" s="27">
        <f>IF($A1022="","",TRIM(IF(ISERROR(FIND(",",$C1022)),$C1022,LEFT($C1022,FIND(",",$C1022)-1))))</f>
        <v/>
      </c>
      <c r="M1022" s="28">
        <f>IF($H1022="","",DATE(YEAR($H1022),MONTH($H1022),1))</f>
        <v/>
      </c>
      <c r="N1022" s="26">
        <f>IF($H1022="","",TODAY()-$H1022)</f>
        <v/>
      </c>
      <c r="O1022" s="15" t="n"/>
      <c r="P1022" s="26">
        <f>IF($A1022="","",COUNTIFS('Audit Versions'!$A$6:$A$605,$A1022,'Audit Versions'!$L$6:$L$605,"Active"))</f>
        <v/>
      </c>
      <c r="Q1022" s="15" t="n"/>
      <c r="R1022" s="26">
        <f>IF(OR($A1022="",$P1022=0),"",MOD(N($Q1022),$P1022)+1)</f>
        <v/>
      </c>
      <c r="S1022" s="15" t="n"/>
      <c r="T1022" s="25" t="n"/>
      <c r="U1022" s="26">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Builder'!$B$12="",N($S1022)&lt;='Assignment Builder'!$B$12)))</f>
        <v/>
      </c>
      <c r="V1022" s="23" t="n"/>
    </row>
    <row r="1023">
      <c r="A1023" s="23" t="n"/>
      <c r="B1023" s="23" t="n"/>
      <c r="C1023" s="24" t="n"/>
      <c r="D1023" s="15" t="n"/>
      <c r="E1023" s="23" t="n"/>
      <c r="F1023" s="15" t="n"/>
      <c r="G1023" s="23" t="n"/>
      <c r="H1023" s="25" t="n"/>
      <c r="I1023" s="15" t="n"/>
      <c r="J1023" s="26">
        <f>IF($A1023="","",LEN($C1023)-LEN(SUBSTITUTE($C1023,",",""))+1)</f>
        <v/>
      </c>
      <c r="K1023" s="26">
        <f>IF($A1023="","",SUMPRODUCT(--ISNUMBER(SEARCH('Category Dictionary'!$D$5:$D$135&amp;"",$C1023)),--('Category Dictionary'!$D$5:$D$135&lt;&gt;"")))</f>
        <v/>
      </c>
      <c r="L1023" s="27">
        <f>IF($A1023="","",TRIM(IF(ISERROR(FIND(",",$C1023)),$C1023,LEFT($C1023,FIND(",",$C1023)-1))))</f>
        <v/>
      </c>
      <c r="M1023" s="28">
        <f>IF($H1023="","",DATE(YEAR($H1023),MONTH($H1023),1))</f>
        <v/>
      </c>
      <c r="N1023" s="26">
        <f>IF($H1023="","",TODAY()-$H1023)</f>
        <v/>
      </c>
      <c r="O1023" s="15" t="n"/>
      <c r="P1023" s="26">
        <f>IF($A1023="","",COUNTIFS('Audit Versions'!$A$6:$A$605,$A1023,'Audit Versions'!$L$6:$L$605,"Active"))</f>
        <v/>
      </c>
      <c r="Q1023" s="15" t="n"/>
      <c r="R1023" s="26">
        <f>IF(OR($A1023="",$P1023=0),"",MOD(N($Q1023),$P1023)+1)</f>
        <v/>
      </c>
      <c r="S1023" s="15" t="n"/>
      <c r="T1023" s="25" t="n"/>
      <c r="U1023" s="26">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Builder'!$B$12="",N($S1023)&lt;='Assignment Builder'!$B$12)))</f>
        <v/>
      </c>
      <c r="V1023" s="23" t="n"/>
    </row>
    <row r="1024">
      <c r="A1024" s="23" t="n"/>
      <c r="B1024" s="23" t="n"/>
      <c r="C1024" s="24" t="n"/>
      <c r="D1024" s="15" t="n"/>
      <c r="E1024" s="23" t="n"/>
      <c r="F1024" s="15" t="n"/>
      <c r="G1024" s="23" t="n"/>
      <c r="H1024" s="25" t="n"/>
      <c r="I1024" s="15" t="n"/>
      <c r="J1024" s="26">
        <f>IF($A1024="","",LEN($C1024)-LEN(SUBSTITUTE($C1024,",",""))+1)</f>
        <v/>
      </c>
      <c r="K1024" s="26">
        <f>IF($A1024="","",SUMPRODUCT(--ISNUMBER(SEARCH('Category Dictionary'!$D$5:$D$135&amp;"",$C1024)),--('Category Dictionary'!$D$5:$D$135&lt;&gt;"")))</f>
        <v/>
      </c>
      <c r="L1024" s="27">
        <f>IF($A1024="","",TRIM(IF(ISERROR(FIND(",",$C1024)),$C1024,LEFT($C1024,FIND(",",$C1024)-1))))</f>
        <v/>
      </c>
      <c r="M1024" s="28">
        <f>IF($H1024="","",DATE(YEAR($H1024),MONTH($H1024),1))</f>
        <v/>
      </c>
      <c r="N1024" s="26">
        <f>IF($H1024="","",TODAY()-$H1024)</f>
        <v/>
      </c>
      <c r="O1024" s="15" t="n"/>
      <c r="P1024" s="26">
        <f>IF($A1024="","",COUNTIFS('Audit Versions'!$A$6:$A$605,$A1024,'Audit Versions'!$L$6:$L$605,"Active"))</f>
        <v/>
      </c>
      <c r="Q1024" s="15" t="n"/>
      <c r="R1024" s="26">
        <f>IF(OR($A1024="",$P1024=0),"",MOD(N($Q1024),$P1024)+1)</f>
        <v/>
      </c>
      <c r="S1024" s="15" t="n"/>
      <c r="T1024" s="25" t="n"/>
      <c r="U1024" s="26">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Builder'!$B$12="",N($S1024)&lt;='Assignment Builder'!$B$12)))</f>
        <v/>
      </c>
      <c r="V1024" s="23" t="n"/>
    </row>
    <row r="1025">
      <c r="A1025" s="23" t="n"/>
      <c r="B1025" s="23" t="n"/>
      <c r="C1025" s="24" t="n"/>
      <c r="D1025" s="15" t="n"/>
      <c r="E1025" s="23" t="n"/>
      <c r="F1025" s="15" t="n"/>
      <c r="G1025" s="23" t="n"/>
      <c r="H1025" s="25" t="n"/>
      <c r="I1025" s="15" t="n"/>
      <c r="J1025" s="26">
        <f>IF($A1025="","",LEN($C1025)-LEN(SUBSTITUTE($C1025,",",""))+1)</f>
        <v/>
      </c>
      <c r="K1025" s="26">
        <f>IF($A1025="","",SUMPRODUCT(--ISNUMBER(SEARCH('Category Dictionary'!$D$5:$D$135&amp;"",$C1025)),--('Category Dictionary'!$D$5:$D$135&lt;&gt;"")))</f>
        <v/>
      </c>
      <c r="L1025" s="27">
        <f>IF($A1025="","",TRIM(IF(ISERROR(FIND(",",$C1025)),$C1025,LEFT($C1025,FIND(",",$C1025)-1))))</f>
        <v/>
      </c>
      <c r="M1025" s="28">
        <f>IF($H1025="","",DATE(YEAR($H1025),MONTH($H1025),1))</f>
        <v/>
      </c>
      <c r="N1025" s="26">
        <f>IF($H1025="","",TODAY()-$H1025)</f>
        <v/>
      </c>
      <c r="O1025" s="15" t="n"/>
      <c r="P1025" s="26">
        <f>IF($A1025="","",COUNTIFS('Audit Versions'!$A$6:$A$605,$A1025,'Audit Versions'!$L$6:$L$605,"Active"))</f>
        <v/>
      </c>
      <c r="Q1025" s="15" t="n"/>
      <c r="R1025" s="26">
        <f>IF(OR($A1025="",$P1025=0),"",MOD(N($Q1025),$P1025)+1)</f>
        <v/>
      </c>
      <c r="S1025" s="15" t="n"/>
      <c r="T1025" s="25" t="n"/>
      <c r="U1025" s="26">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Builder'!$B$12="",N($S1025)&lt;='Assignment Builder'!$B$12)))</f>
        <v/>
      </c>
      <c r="V1025" s="23" t="n"/>
    </row>
    <row r="1026">
      <c r="A1026" s="23" t="n"/>
      <c r="B1026" s="23" t="n"/>
      <c r="C1026" s="24" t="n"/>
      <c r="D1026" s="15" t="n"/>
      <c r="E1026" s="23" t="n"/>
      <c r="F1026" s="15" t="n"/>
      <c r="G1026" s="23" t="n"/>
      <c r="H1026" s="25" t="n"/>
      <c r="I1026" s="15" t="n"/>
      <c r="J1026" s="26">
        <f>IF($A1026="","",LEN($C1026)-LEN(SUBSTITUTE($C1026,",",""))+1)</f>
        <v/>
      </c>
      <c r="K1026" s="26">
        <f>IF($A1026="","",SUMPRODUCT(--ISNUMBER(SEARCH('Category Dictionary'!$D$5:$D$135&amp;"",$C1026)),--('Category Dictionary'!$D$5:$D$135&lt;&gt;"")))</f>
        <v/>
      </c>
      <c r="L1026" s="27">
        <f>IF($A1026="","",TRIM(IF(ISERROR(FIND(",",$C1026)),$C1026,LEFT($C1026,FIND(",",$C1026)-1))))</f>
        <v/>
      </c>
      <c r="M1026" s="28">
        <f>IF($H1026="","",DATE(YEAR($H1026),MONTH($H1026),1))</f>
        <v/>
      </c>
      <c r="N1026" s="26">
        <f>IF($H1026="","",TODAY()-$H1026)</f>
        <v/>
      </c>
      <c r="O1026" s="15" t="n"/>
      <c r="P1026" s="26">
        <f>IF($A1026="","",COUNTIFS('Audit Versions'!$A$6:$A$605,$A1026,'Audit Versions'!$L$6:$L$605,"Active"))</f>
        <v/>
      </c>
      <c r="Q1026" s="15" t="n"/>
      <c r="R1026" s="26">
        <f>IF(OR($A1026="",$P1026=0),"",MOD(N($Q1026),$P1026)+1)</f>
        <v/>
      </c>
      <c r="S1026" s="15" t="n"/>
      <c r="T1026" s="25" t="n"/>
      <c r="U1026" s="26">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Builder'!$B$12="",N($S1026)&lt;='Assignment Builder'!$B$12)))</f>
        <v/>
      </c>
      <c r="V1026" s="23" t="n"/>
    </row>
    <row r="1027">
      <c r="A1027" s="23" t="n"/>
      <c r="B1027" s="23" t="n"/>
      <c r="C1027" s="24" t="n"/>
      <c r="D1027" s="15" t="n"/>
      <c r="E1027" s="23" t="n"/>
      <c r="F1027" s="15" t="n"/>
      <c r="G1027" s="23" t="n"/>
      <c r="H1027" s="25" t="n"/>
      <c r="I1027" s="15" t="n"/>
      <c r="J1027" s="26">
        <f>IF($A1027="","",LEN($C1027)-LEN(SUBSTITUTE($C1027,",",""))+1)</f>
        <v/>
      </c>
      <c r="K1027" s="26">
        <f>IF($A1027="","",SUMPRODUCT(--ISNUMBER(SEARCH('Category Dictionary'!$D$5:$D$135&amp;"",$C1027)),--('Category Dictionary'!$D$5:$D$135&lt;&gt;"")))</f>
        <v/>
      </c>
      <c r="L1027" s="27">
        <f>IF($A1027="","",TRIM(IF(ISERROR(FIND(",",$C1027)),$C1027,LEFT($C1027,FIND(",",$C1027)-1))))</f>
        <v/>
      </c>
      <c r="M1027" s="28">
        <f>IF($H1027="","",DATE(YEAR($H1027),MONTH($H1027),1))</f>
        <v/>
      </c>
      <c r="N1027" s="26">
        <f>IF($H1027="","",TODAY()-$H1027)</f>
        <v/>
      </c>
      <c r="O1027" s="15" t="n"/>
      <c r="P1027" s="26">
        <f>IF($A1027="","",COUNTIFS('Audit Versions'!$A$6:$A$605,$A1027,'Audit Versions'!$L$6:$L$605,"Active"))</f>
        <v/>
      </c>
      <c r="Q1027" s="15" t="n"/>
      <c r="R1027" s="26">
        <f>IF(OR($A1027="",$P1027=0),"",MOD(N($Q1027),$P1027)+1)</f>
        <v/>
      </c>
      <c r="S1027" s="15" t="n"/>
      <c r="T1027" s="25" t="n"/>
      <c r="U1027" s="26">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Builder'!$B$12="",N($S1027)&lt;='Assignment Builder'!$B$12)))</f>
        <v/>
      </c>
      <c r="V1027" s="23" t="n"/>
    </row>
    <row r="1028">
      <c r="A1028" s="23" t="n"/>
      <c r="B1028" s="23" t="n"/>
      <c r="C1028" s="24" t="n"/>
      <c r="D1028" s="15" t="n"/>
      <c r="E1028" s="23" t="n"/>
      <c r="F1028" s="15" t="n"/>
      <c r="G1028" s="23" t="n"/>
      <c r="H1028" s="25" t="n"/>
      <c r="I1028" s="15" t="n"/>
      <c r="J1028" s="26">
        <f>IF($A1028="","",LEN($C1028)-LEN(SUBSTITUTE($C1028,",",""))+1)</f>
        <v/>
      </c>
      <c r="K1028" s="26">
        <f>IF($A1028="","",SUMPRODUCT(--ISNUMBER(SEARCH('Category Dictionary'!$D$5:$D$135&amp;"",$C1028)),--('Category Dictionary'!$D$5:$D$135&lt;&gt;"")))</f>
        <v/>
      </c>
      <c r="L1028" s="27">
        <f>IF($A1028="","",TRIM(IF(ISERROR(FIND(",",$C1028)),$C1028,LEFT($C1028,FIND(",",$C1028)-1))))</f>
        <v/>
      </c>
      <c r="M1028" s="28">
        <f>IF($H1028="","",DATE(YEAR($H1028),MONTH($H1028),1))</f>
        <v/>
      </c>
      <c r="N1028" s="26">
        <f>IF($H1028="","",TODAY()-$H1028)</f>
        <v/>
      </c>
      <c r="O1028" s="15" t="n"/>
      <c r="P1028" s="26">
        <f>IF($A1028="","",COUNTIFS('Audit Versions'!$A$6:$A$605,$A1028,'Audit Versions'!$L$6:$L$605,"Active"))</f>
        <v/>
      </c>
      <c r="Q1028" s="15" t="n"/>
      <c r="R1028" s="26">
        <f>IF(OR($A1028="",$P1028=0),"",MOD(N($Q1028),$P1028)+1)</f>
        <v/>
      </c>
      <c r="S1028" s="15" t="n"/>
      <c r="T1028" s="25" t="n"/>
      <c r="U1028" s="26">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Builder'!$B$12="",N($S1028)&lt;='Assignment Builder'!$B$12)))</f>
        <v/>
      </c>
      <c r="V1028" s="23" t="n"/>
    </row>
    <row r="1029">
      <c r="A1029" s="23" t="n"/>
      <c r="B1029" s="23" t="n"/>
      <c r="C1029" s="24" t="n"/>
      <c r="D1029" s="15" t="n"/>
      <c r="E1029" s="23" t="n"/>
      <c r="F1029" s="15" t="n"/>
      <c r="G1029" s="23" t="n"/>
      <c r="H1029" s="25" t="n"/>
      <c r="I1029" s="15" t="n"/>
      <c r="J1029" s="26">
        <f>IF($A1029="","",LEN($C1029)-LEN(SUBSTITUTE($C1029,",",""))+1)</f>
        <v/>
      </c>
      <c r="K1029" s="26">
        <f>IF($A1029="","",SUMPRODUCT(--ISNUMBER(SEARCH('Category Dictionary'!$D$5:$D$135&amp;"",$C1029)),--('Category Dictionary'!$D$5:$D$135&lt;&gt;"")))</f>
        <v/>
      </c>
      <c r="L1029" s="27">
        <f>IF($A1029="","",TRIM(IF(ISERROR(FIND(",",$C1029)),$C1029,LEFT($C1029,FIND(",",$C1029)-1))))</f>
        <v/>
      </c>
      <c r="M1029" s="28">
        <f>IF($H1029="","",DATE(YEAR($H1029),MONTH($H1029),1))</f>
        <v/>
      </c>
      <c r="N1029" s="26">
        <f>IF($H1029="","",TODAY()-$H1029)</f>
        <v/>
      </c>
      <c r="O1029" s="15" t="n"/>
      <c r="P1029" s="26">
        <f>IF($A1029="","",COUNTIFS('Audit Versions'!$A$6:$A$605,$A1029,'Audit Versions'!$L$6:$L$605,"Active"))</f>
        <v/>
      </c>
      <c r="Q1029" s="15" t="n"/>
      <c r="R1029" s="26">
        <f>IF(OR($A1029="",$P1029=0),"",MOD(N($Q1029),$P1029)+1)</f>
        <v/>
      </c>
      <c r="S1029" s="15" t="n"/>
      <c r="T1029" s="25" t="n"/>
      <c r="U1029" s="26">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Builder'!$B$12="",N($S1029)&lt;='Assignment Builder'!$B$12)))</f>
        <v/>
      </c>
      <c r="V1029" s="23" t="n"/>
    </row>
    <row r="1030">
      <c r="A1030" s="23" t="n"/>
      <c r="B1030" s="23" t="n"/>
      <c r="C1030" s="24" t="n"/>
      <c r="D1030" s="15" t="n"/>
      <c r="E1030" s="23" t="n"/>
      <c r="F1030" s="15" t="n"/>
      <c r="G1030" s="23" t="n"/>
      <c r="H1030" s="25" t="n"/>
      <c r="I1030" s="15" t="n"/>
      <c r="J1030" s="26">
        <f>IF($A1030="","",LEN($C1030)-LEN(SUBSTITUTE($C1030,",",""))+1)</f>
        <v/>
      </c>
      <c r="K1030" s="26">
        <f>IF($A1030="","",SUMPRODUCT(--ISNUMBER(SEARCH('Category Dictionary'!$D$5:$D$135&amp;"",$C1030)),--('Category Dictionary'!$D$5:$D$135&lt;&gt;"")))</f>
        <v/>
      </c>
      <c r="L1030" s="27">
        <f>IF($A1030="","",TRIM(IF(ISERROR(FIND(",",$C1030)),$C1030,LEFT($C1030,FIND(",",$C1030)-1))))</f>
        <v/>
      </c>
      <c r="M1030" s="28">
        <f>IF($H1030="","",DATE(YEAR($H1030),MONTH($H1030),1))</f>
        <v/>
      </c>
      <c r="N1030" s="26">
        <f>IF($H1030="","",TODAY()-$H1030)</f>
        <v/>
      </c>
      <c r="O1030" s="15" t="n"/>
      <c r="P1030" s="26">
        <f>IF($A1030="","",COUNTIFS('Audit Versions'!$A$6:$A$605,$A1030,'Audit Versions'!$L$6:$L$605,"Active"))</f>
        <v/>
      </c>
      <c r="Q1030" s="15" t="n"/>
      <c r="R1030" s="26">
        <f>IF(OR($A1030="",$P1030=0),"",MOD(N($Q1030),$P1030)+1)</f>
        <v/>
      </c>
      <c r="S1030" s="15" t="n"/>
      <c r="T1030" s="25" t="n"/>
      <c r="U1030" s="26">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Builder'!$B$12="",N($S1030)&lt;='Assignment Builder'!$B$12)))</f>
        <v/>
      </c>
      <c r="V1030" s="23" t="n"/>
    </row>
    <row r="1031">
      <c r="A1031" s="23" t="n"/>
      <c r="B1031" s="23" t="n"/>
      <c r="C1031" s="24" t="n"/>
      <c r="D1031" s="15" t="n"/>
      <c r="E1031" s="23" t="n"/>
      <c r="F1031" s="15" t="n"/>
      <c r="G1031" s="23" t="n"/>
      <c r="H1031" s="25" t="n"/>
      <c r="I1031" s="15" t="n"/>
      <c r="J1031" s="26">
        <f>IF($A1031="","",LEN($C1031)-LEN(SUBSTITUTE($C1031,",",""))+1)</f>
        <v/>
      </c>
      <c r="K1031" s="26">
        <f>IF($A1031="","",SUMPRODUCT(--ISNUMBER(SEARCH('Category Dictionary'!$D$5:$D$135&amp;"",$C1031)),--('Category Dictionary'!$D$5:$D$135&lt;&gt;"")))</f>
        <v/>
      </c>
      <c r="L1031" s="27">
        <f>IF($A1031="","",TRIM(IF(ISERROR(FIND(",",$C1031)),$C1031,LEFT($C1031,FIND(",",$C1031)-1))))</f>
        <v/>
      </c>
      <c r="M1031" s="28">
        <f>IF($H1031="","",DATE(YEAR($H1031),MONTH($H1031),1))</f>
        <v/>
      </c>
      <c r="N1031" s="26">
        <f>IF($H1031="","",TODAY()-$H1031)</f>
        <v/>
      </c>
      <c r="O1031" s="15" t="n"/>
      <c r="P1031" s="26">
        <f>IF($A1031="","",COUNTIFS('Audit Versions'!$A$6:$A$605,$A1031,'Audit Versions'!$L$6:$L$605,"Active"))</f>
        <v/>
      </c>
      <c r="Q1031" s="15" t="n"/>
      <c r="R1031" s="26">
        <f>IF(OR($A1031="",$P1031=0),"",MOD(N($Q1031),$P1031)+1)</f>
        <v/>
      </c>
      <c r="S1031" s="15" t="n"/>
      <c r="T1031" s="25" t="n"/>
      <c r="U1031" s="26">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Builder'!$B$12="",N($S1031)&lt;='Assignment Builder'!$B$12)))</f>
        <v/>
      </c>
      <c r="V1031" s="23" t="n"/>
    </row>
    <row r="1032">
      <c r="A1032" s="23" t="n"/>
      <c r="B1032" s="23" t="n"/>
      <c r="C1032" s="24" t="n"/>
      <c r="D1032" s="15" t="n"/>
      <c r="E1032" s="23" t="n"/>
      <c r="F1032" s="15" t="n"/>
      <c r="G1032" s="23" t="n"/>
      <c r="H1032" s="25" t="n"/>
      <c r="I1032" s="15" t="n"/>
      <c r="J1032" s="26">
        <f>IF($A1032="","",LEN($C1032)-LEN(SUBSTITUTE($C1032,",",""))+1)</f>
        <v/>
      </c>
      <c r="K1032" s="26">
        <f>IF($A1032="","",SUMPRODUCT(--ISNUMBER(SEARCH('Category Dictionary'!$D$5:$D$135&amp;"",$C1032)),--('Category Dictionary'!$D$5:$D$135&lt;&gt;"")))</f>
        <v/>
      </c>
      <c r="L1032" s="27">
        <f>IF($A1032="","",TRIM(IF(ISERROR(FIND(",",$C1032)),$C1032,LEFT($C1032,FIND(",",$C1032)-1))))</f>
        <v/>
      </c>
      <c r="M1032" s="28">
        <f>IF($H1032="","",DATE(YEAR($H1032),MONTH($H1032),1))</f>
        <v/>
      </c>
      <c r="N1032" s="26">
        <f>IF($H1032="","",TODAY()-$H1032)</f>
        <v/>
      </c>
      <c r="O1032" s="15" t="n"/>
      <c r="P1032" s="26">
        <f>IF($A1032="","",COUNTIFS('Audit Versions'!$A$6:$A$605,$A1032,'Audit Versions'!$L$6:$L$605,"Active"))</f>
        <v/>
      </c>
      <c r="Q1032" s="15" t="n"/>
      <c r="R1032" s="26">
        <f>IF(OR($A1032="",$P1032=0),"",MOD(N($Q1032),$P1032)+1)</f>
        <v/>
      </c>
      <c r="S1032" s="15" t="n"/>
      <c r="T1032" s="25" t="n"/>
      <c r="U1032" s="26">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Builder'!$B$12="",N($S1032)&lt;='Assignment Builder'!$B$12)))</f>
        <v/>
      </c>
      <c r="V1032" s="23" t="n"/>
    </row>
    <row r="1033">
      <c r="A1033" s="23" t="n"/>
      <c r="B1033" s="23" t="n"/>
      <c r="C1033" s="24" t="n"/>
      <c r="D1033" s="15" t="n"/>
      <c r="E1033" s="23" t="n"/>
      <c r="F1033" s="15" t="n"/>
      <c r="G1033" s="23" t="n"/>
      <c r="H1033" s="25" t="n"/>
      <c r="I1033" s="15" t="n"/>
      <c r="J1033" s="26">
        <f>IF($A1033="","",LEN($C1033)-LEN(SUBSTITUTE($C1033,",",""))+1)</f>
        <v/>
      </c>
      <c r="K1033" s="26">
        <f>IF($A1033="","",SUMPRODUCT(--ISNUMBER(SEARCH('Category Dictionary'!$D$5:$D$135&amp;"",$C1033)),--('Category Dictionary'!$D$5:$D$135&lt;&gt;"")))</f>
        <v/>
      </c>
      <c r="L1033" s="27">
        <f>IF($A1033="","",TRIM(IF(ISERROR(FIND(",",$C1033)),$C1033,LEFT($C1033,FIND(",",$C1033)-1))))</f>
        <v/>
      </c>
      <c r="M1033" s="28">
        <f>IF($H1033="","",DATE(YEAR($H1033),MONTH($H1033),1))</f>
        <v/>
      </c>
      <c r="N1033" s="26">
        <f>IF($H1033="","",TODAY()-$H1033)</f>
        <v/>
      </c>
      <c r="O1033" s="15" t="n"/>
      <c r="P1033" s="26">
        <f>IF($A1033="","",COUNTIFS('Audit Versions'!$A$6:$A$605,$A1033,'Audit Versions'!$L$6:$L$605,"Active"))</f>
        <v/>
      </c>
      <c r="Q1033" s="15" t="n"/>
      <c r="R1033" s="26">
        <f>IF(OR($A1033="",$P1033=0),"",MOD(N($Q1033),$P1033)+1)</f>
        <v/>
      </c>
      <c r="S1033" s="15" t="n"/>
      <c r="T1033" s="25" t="n"/>
      <c r="U1033" s="26">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Builder'!$B$12="",N($S1033)&lt;='Assignment Builder'!$B$12)))</f>
        <v/>
      </c>
      <c r="V1033" s="23" t="n"/>
    </row>
    <row r="1034">
      <c r="A1034" s="23" t="n"/>
      <c r="B1034" s="23" t="n"/>
      <c r="C1034" s="24" t="n"/>
      <c r="D1034" s="15" t="n"/>
      <c r="E1034" s="23" t="n"/>
      <c r="F1034" s="15" t="n"/>
      <c r="G1034" s="23" t="n"/>
      <c r="H1034" s="25" t="n"/>
      <c r="I1034" s="15" t="n"/>
      <c r="J1034" s="26">
        <f>IF($A1034="","",LEN($C1034)-LEN(SUBSTITUTE($C1034,",",""))+1)</f>
        <v/>
      </c>
      <c r="K1034" s="26">
        <f>IF($A1034="","",SUMPRODUCT(--ISNUMBER(SEARCH('Category Dictionary'!$D$5:$D$135&amp;"",$C1034)),--('Category Dictionary'!$D$5:$D$135&lt;&gt;"")))</f>
        <v/>
      </c>
      <c r="L1034" s="27">
        <f>IF($A1034="","",TRIM(IF(ISERROR(FIND(",",$C1034)),$C1034,LEFT($C1034,FIND(",",$C1034)-1))))</f>
        <v/>
      </c>
      <c r="M1034" s="28">
        <f>IF($H1034="","",DATE(YEAR($H1034),MONTH($H1034),1))</f>
        <v/>
      </c>
      <c r="N1034" s="26">
        <f>IF($H1034="","",TODAY()-$H1034)</f>
        <v/>
      </c>
      <c r="O1034" s="15" t="n"/>
      <c r="P1034" s="26">
        <f>IF($A1034="","",COUNTIFS('Audit Versions'!$A$6:$A$605,$A1034,'Audit Versions'!$L$6:$L$605,"Active"))</f>
        <v/>
      </c>
      <c r="Q1034" s="15" t="n"/>
      <c r="R1034" s="26">
        <f>IF(OR($A1034="",$P1034=0),"",MOD(N($Q1034),$P1034)+1)</f>
        <v/>
      </c>
      <c r="S1034" s="15" t="n"/>
      <c r="T1034" s="25" t="n"/>
      <c r="U1034" s="26">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Builder'!$B$12="",N($S1034)&lt;='Assignment Builder'!$B$12)))</f>
        <v/>
      </c>
      <c r="V1034" s="23" t="n"/>
    </row>
    <row r="1035">
      <c r="A1035" s="23" t="n"/>
      <c r="B1035" s="23" t="n"/>
      <c r="C1035" s="24" t="n"/>
      <c r="D1035" s="15" t="n"/>
      <c r="E1035" s="23" t="n"/>
      <c r="F1035" s="15" t="n"/>
      <c r="G1035" s="23" t="n"/>
      <c r="H1035" s="25" t="n"/>
      <c r="I1035" s="15" t="n"/>
      <c r="J1035" s="26">
        <f>IF($A1035="","",LEN($C1035)-LEN(SUBSTITUTE($C1035,",",""))+1)</f>
        <v/>
      </c>
      <c r="K1035" s="26">
        <f>IF($A1035="","",SUMPRODUCT(--ISNUMBER(SEARCH('Category Dictionary'!$D$5:$D$135&amp;"",$C1035)),--('Category Dictionary'!$D$5:$D$135&lt;&gt;"")))</f>
        <v/>
      </c>
      <c r="L1035" s="27">
        <f>IF($A1035="","",TRIM(IF(ISERROR(FIND(",",$C1035)),$C1035,LEFT($C1035,FIND(",",$C1035)-1))))</f>
        <v/>
      </c>
      <c r="M1035" s="28">
        <f>IF($H1035="","",DATE(YEAR($H1035),MONTH($H1035),1))</f>
        <v/>
      </c>
      <c r="N1035" s="26">
        <f>IF($H1035="","",TODAY()-$H1035)</f>
        <v/>
      </c>
      <c r="O1035" s="15" t="n"/>
      <c r="P1035" s="26">
        <f>IF($A1035="","",COUNTIFS('Audit Versions'!$A$6:$A$605,$A1035,'Audit Versions'!$L$6:$L$605,"Active"))</f>
        <v/>
      </c>
      <c r="Q1035" s="15" t="n"/>
      <c r="R1035" s="26">
        <f>IF(OR($A1035="",$P1035=0),"",MOD(N($Q1035),$P1035)+1)</f>
        <v/>
      </c>
      <c r="S1035" s="15" t="n"/>
      <c r="T1035" s="25" t="n"/>
      <c r="U1035" s="26">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Builder'!$B$12="",N($S1035)&lt;='Assignment Builder'!$B$12)))</f>
        <v/>
      </c>
      <c r="V1035" s="23" t="n"/>
    </row>
    <row r="1036">
      <c r="A1036" s="23" t="n"/>
      <c r="B1036" s="23" t="n"/>
      <c r="C1036" s="24" t="n"/>
      <c r="D1036" s="15" t="n"/>
      <c r="E1036" s="23" t="n"/>
      <c r="F1036" s="15" t="n"/>
      <c r="G1036" s="23" t="n"/>
      <c r="H1036" s="25" t="n"/>
      <c r="I1036" s="15" t="n"/>
      <c r="J1036" s="26">
        <f>IF($A1036="","",LEN($C1036)-LEN(SUBSTITUTE($C1036,",",""))+1)</f>
        <v/>
      </c>
      <c r="K1036" s="26">
        <f>IF($A1036="","",SUMPRODUCT(--ISNUMBER(SEARCH('Category Dictionary'!$D$5:$D$135&amp;"",$C1036)),--('Category Dictionary'!$D$5:$D$135&lt;&gt;"")))</f>
        <v/>
      </c>
      <c r="L1036" s="27">
        <f>IF($A1036="","",TRIM(IF(ISERROR(FIND(",",$C1036)),$C1036,LEFT($C1036,FIND(",",$C1036)-1))))</f>
        <v/>
      </c>
      <c r="M1036" s="28">
        <f>IF($H1036="","",DATE(YEAR($H1036),MONTH($H1036),1))</f>
        <v/>
      </c>
      <c r="N1036" s="26">
        <f>IF($H1036="","",TODAY()-$H1036)</f>
        <v/>
      </c>
      <c r="O1036" s="15" t="n"/>
      <c r="P1036" s="26">
        <f>IF($A1036="","",COUNTIFS('Audit Versions'!$A$6:$A$605,$A1036,'Audit Versions'!$L$6:$L$605,"Active"))</f>
        <v/>
      </c>
      <c r="Q1036" s="15" t="n"/>
      <c r="R1036" s="26">
        <f>IF(OR($A1036="",$P1036=0),"",MOD(N($Q1036),$P1036)+1)</f>
        <v/>
      </c>
      <c r="S1036" s="15" t="n"/>
      <c r="T1036" s="25" t="n"/>
      <c r="U1036" s="26">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Builder'!$B$12="",N($S1036)&lt;='Assignment Builder'!$B$12)))</f>
        <v/>
      </c>
      <c r="V1036" s="23" t="n"/>
    </row>
    <row r="1037">
      <c r="A1037" s="23" t="n"/>
      <c r="B1037" s="23" t="n"/>
      <c r="C1037" s="24" t="n"/>
      <c r="D1037" s="15" t="n"/>
      <c r="E1037" s="23" t="n"/>
      <c r="F1037" s="15" t="n"/>
      <c r="G1037" s="23" t="n"/>
      <c r="H1037" s="25" t="n"/>
      <c r="I1037" s="15" t="n"/>
      <c r="J1037" s="26">
        <f>IF($A1037="","",LEN($C1037)-LEN(SUBSTITUTE($C1037,",",""))+1)</f>
        <v/>
      </c>
      <c r="K1037" s="26">
        <f>IF($A1037="","",SUMPRODUCT(--ISNUMBER(SEARCH('Category Dictionary'!$D$5:$D$135&amp;"",$C1037)),--('Category Dictionary'!$D$5:$D$135&lt;&gt;"")))</f>
        <v/>
      </c>
      <c r="L1037" s="27">
        <f>IF($A1037="","",TRIM(IF(ISERROR(FIND(",",$C1037)),$C1037,LEFT($C1037,FIND(",",$C1037)-1))))</f>
        <v/>
      </c>
      <c r="M1037" s="28">
        <f>IF($H1037="","",DATE(YEAR($H1037),MONTH($H1037),1))</f>
        <v/>
      </c>
      <c r="N1037" s="26">
        <f>IF($H1037="","",TODAY()-$H1037)</f>
        <v/>
      </c>
      <c r="O1037" s="15" t="n"/>
      <c r="P1037" s="26">
        <f>IF($A1037="","",COUNTIFS('Audit Versions'!$A$6:$A$605,$A1037,'Audit Versions'!$L$6:$L$605,"Active"))</f>
        <v/>
      </c>
      <c r="Q1037" s="15" t="n"/>
      <c r="R1037" s="26">
        <f>IF(OR($A1037="",$P1037=0),"",MOD(N($Q1037),$P1037)+1)</f>
        <v/>
      </c>
      <c r="S1037" s="15" t="n"/>
      <c r="T1037" s="25" t="n"/>
      <c r="U1037" s="26">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Builder'!$B$12="",N($S1037)&lt;='Assignment Builder'!$B$12)))</f>
        <v/>
      </c>
      <c r="V1037" s="23" t="n"/>
    </row>
    <row r="1038">
      <c r="A1038" s="23" t="n"/>
      <c r="B1038" s="23" t="n"/>
      <c r="C1038" s="24" t="n"/>
      <c r="D1038" s="15" t="n"/>
      <c r="E1038" s="23" t="n"/>
      <c r="F1038" s="15" t="n"/>
      <c r="G1038" s="23" t="n"/>
      <c r="H1038" s="25" t="n"/>
      <c r="I1038" s="15" t="n"/>
      <c r="J1038" s="26">
        <f>IF($A1038="","",LEN($C1038)-LEN(SUBSTITUTE($C1038,",",""))+1)</f>
        <v/>
      </c>
      <c r="K1038" s="26">
        <f>IF($A1038="","",SUMPRODUCT(--ISNUMBER(SEARCH('Category Dictionary'!$D$5:$D$135&amp;"",$C1038)),--('Category Dictionary'!$D$5:$D$135&lt;&gt;"")))</f>
        <v/>
      </c>
      <c r="L1038" s="27">
        <f>IF($A1038="","",TRIM(IF(ISERROR(FIND(",",$C1038)),$C1038,LEFT($C1038,FIND(",",$C1038)-1))))</f>
        <v/>
      </c>
      <c r="M1038" s="28">
        <f>IF($H1038="","",DATE(YEAR($H1038),MONTH($H1038),1))</f>
        <v/>
      </c>
      <c r="N1038" s="26">
        <f>IF($H1038="","",TODAY()-$H1038)</f>
        <v/>
      </c>
      <c r="O1038" s="15" t="n"/>
      <c r="P1038" s="26">
        <f>IF($A1038="","",COUNTIFS('Audit Versions'!$A$6:$A$605,$A1038,'Audit Versions'!$L$6:$L$605,"Active"))</f>
        <v/>
      </c>
      <c r="Q1038" s="15" t="n"/>
      <c r="R1038" s="26">
        <f>IF(OR($A1038="",$P1038=0),"",MOD(N($Q1038),$P1038)+1)</f>
        <v/>
      </c>
      <c r="S1038" s="15" t="n"/>
      <c r="T1038" s="25" t="n"/>
      <c r="U1038" s="26">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Builder'!$B$12="",N($S1038)&lt;='Assignment Builder'!$B$12)))</f>
        <v/>
      </c>
      <c r="V1038" s="23" t="n"/>
    </row>
    <row r="1039">
      <c r="A1039" s="23" t="n"/>
      <c r="B1039" s="23" t="n"/>
      <c r="C1039" s="24" t="n"/>
      <c r="D1039" s="15" t="n"/>
      <c r="E1039" s="23" t="n"/>
      <c r="F1039" s="15" t="n"/>
      <c r="G1039" s="23" t="n"/>
      <c r="H1039" s="25" t="n"/>
      <c r="I1039" s="15" t="n"/>
      <c r="J1039" s="26">
        <f>IF($A1039="","",LEN($C1039)-LEN(SUBSTITUTE($C1039,",",""))+1)</f>
        <v/>
      </c>
      <c r="K1039" s="26">
        <f>IF($A1039="","",SUMPRODUCT(--ISNUMBER(SEARCH('Category Dictionary'!$D$5:$D$135&amp;"",$C1039)),--('Category Dictionary'!$D$5:$D$135&lt;&gt;"")))</f>
        <v/>
      </c>
      <c r="L1039" s="27">
        <f>IF($A1039="","",TRIM(IF(ISERROR(FIND(",",$C1039)),$C1039,LEFT($C1039,FIND(",",$C1039)-1))))</f>
        <v/>
      </c>
      <c r="M1039" s="28">
        <f>IF($H1039="","",DATE(YEAR($H1039),MONTH($H1039),1))</f>
        <v/>
      </c>
      <c r="N1039" s="26">
        <f>IF($H1039="","",TODAY()-$H1039)</f>
        <v/>
      </c>
      <c r="O1039" s="15" t="n"/>
      <c r="P1039" s="26">
        <f>IF($A1039="","",COUNTIFS('Audit Versions'!$A$6:$A$605,$A1039,'Audit Versions'!$L$6:$L$605,"Active"))</f>
        <v/>
      </c>
      <c r="Q1039" s="15" t="n"/>
      <c r="R1039" s="26">
        <f>IF(OR($A1039="",$P1039=0),"",MOD(N($Q1039),$P1039)+1)</f>
        <v/>
      </c>
      <c r="S1039" s="15" t="n"/>
      <c r="T1039" s="25" t="n"/>
      <c r="U1039" s="26">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Builder'!$B$12="",N($S1039)&lt;='Assignment Builder'!$B$12)))</f>
        <v/>
      </c>
      <c r="V1039" s="23" t="n"/>
    </row>
    <row r="1040">
      <c r="A1040" s="23" t="n"/>
      <c r="B1040" s="23" t="n"/>
      <c r="C1040" s="24" t="n"/>
      <c r="D1040" s="15" t="n"/>
      <c r="E1040" s="23" t="n"/>
      <c r="F1040" s="15" t="n"/>
      <c r="G1040" s="23" t="n"/>
      <c r="H1040" s="25" t="n"/>
      <c r="I1040" s="15" t="n"/>
      <c r="J1040" s="26">
        <f>IF($A1040="","",LEN($C1040)-LEN(SUBSTITUTE($C1040,",",""))+1)</f>
        <v/>
      </c>
      <c r="K1040" s="26">
        <f>IF($A1040="","",SUMPRODUCT(--ISNUMBER(SEARCH('Category Dictionary'!$D$5:$D$135&amp;"",$C1040)),--('Category Dictionary'!$D$5:$D$135&lt;&gt;"")))</f>
        <v/>
      </c>
      <c r="L1040" s="27">
        <f>IF($A1040="","",TRIM(IF(ISERROR(FIND(",",$C1040)),$C1040,LEFT($C1040,FIND(",",$C1040)-1))))</f>
        <v/>
      </c>
      <c r="M1040" s="28">
        <f>IF($H1040="","",DATE(YEAR($H1040),MONTH($H1040),1))</f>
        <v/>
      </c>
      <c r="N1040" s="26">
        <f>IF($H1040="","",TODAY()-$H1040)</f>
        <v/>
      </c>
      <c r="O1040" s="15" t="n"/>
      <c r="P1040" s="26">
        <f>IF($A1040="","",COUNTIFS('Audit Versions'!$A$6:$A$605,$A1040,'Audit Versions'!$L$6:$L$605,"Active"))</f>
        <v/>
      </c>
      <c r="Q1040" s="15" t="n"/>
      <c r="R1040" s="26">
        <f>IF(OR($A1040="",$P1040=0),"",MOD(N($Q1040),$P1040)+1)</f>
        <v/>
      </c>
      <c r="S1040" s="15" t="n"/>
      <c r="T1040" s="25" t="n"/>
      <c r="U1040" s="26">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Builder'!$B$12="",N($S1040)&lt;='Assignment Builder'!$B$12)))</f>
        <v/>
      </c>
      <c r="V1040" s="23" t="n"/>
    </row>
    <row r="1041">
      <c r="A1041" s="23" t="n"/>
      <c r="B1041" s="23" t="n"/>
      <c r="C1041" s="24" t="n"/>
      <c r="D1041" s="15" t="n"/>
      <c r="E1041" s="23" t="n"/>
      <c r="F1041" s="15" t="n"/>
      <c r="G1041" s="23" t="n"/>
      <c r="H1041" s="25" t="n"/>
      <c r="I1041" s="15" t="n"/>
      <c r="J1041" s="26">
        <f>IF($A1041="","",LEN($C1041)-LEN(SUBSTITUTE($C1041,",",""))+1)</f>
        <v/>
      </c>
      <c r="K1041" s="26">
        <f>IF($A1041="","",SUMPRODUCT(--ISNUMBER(SEARCH('Category Dictionary'!$D$5:$D$135&amp;"",$C1041)),--('Category Dictionary'!$D$5:$D$135&lt;&gt;"")))</f>
        <v/>
      </c>
      <c r="L1041" s="27">
        <f>IF($A1041="","",TRIM(IF(ISERROR(FIND(",",$C1041)),$C1041,LEFT($C1041,FIND(",",$C1041)-1))))</f>
        <v/>
      </c>
      <c r="M1041" s="28">
        <f>IF($H1041="","",DATE(YEAR($H1041),MONTH($H1041),1))</f>
        <v/>
      </c>
      <c r="N1041" s="26">
        <f>IF($H1041="","",TODAY()-$H1041)</f>
        <v/>
      </c>
      <c r="O1041" s="15" t="n"/>
      <c r="P1041" s="26">
        <f>IF($A1041="","",COUNTIFS('Audit Versions'!$A$6:$A$605,$A1041,'Audit Versions'!$L$6:$L$605,"Active"))</f>
        <v/>
      </c>
      <c r="Q1041" s="15" t="n"/>
      <c r="R1041" s="26">
        <f>IF(OR($A1041="",$P1041=0),"",MOD(N($Q1041),$P1041)+1)</f>
        <v/>
      </c>
      <c r="S1041" s="15" t="n"/>
      <c r="T1041" s="25" t="n"/>
      <c r="U1041" s="26">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Builder'!$B$12="",N($S1041)&lt;='Assignment Builder'!$B$12)))</f>
        <v/>
      </c>
      <c r="V1041" s="23" t="n"/>
    </row>
    <row r="1042">
      <c r="A1042" s="23" t="n"/>
      <c r="B1042" s="23" t="n"/>
      <c r="C1042" s="24" t="n"/>
      <c r="D1042" s="15" t="n"/>
      <c r="E1042" s="23" t="n"/>
      <c r="F1042" s="15" t="n"/>
      <c r="G1042" s="23" t="n"/>
      <c r="H1042" s="25" t="n"/>
      <c r="I1042" s="15" t="n"/>
      <c r="J1042" s="26">
        <f>IF($A1042="","",LEN($C1042)-LEN(SUBSTITUTE($C1042,",",""))+1)</f>
        <v/>
      </c>
      <c r="K1042" s="26">
        <f>IF($A1042="","",SUMPRODUCT(--ISNUMBER(SEARCH('Category Dictionary'!$D$5:$D$135&amp;"",$C1042)),--('Category Dictionary'!$D$5:$D$135&lt;&gt;"")))</f>
        <v/>
      </c>
      <c r="L1042" s="27">
        <f>IF($A1042="","",TRIM(IF(ISERROR(FIND(",",$C1042)),$C1042,LEFT($C1042,FIND(",",$C1042)-1))))</f>
        <v/>
      </c>
      <c r="M1042" s="28">
        <f>IF($H1042="","",DATE(YEAR($H1042),MONTH($H1042),1))</f>
        <v/>
      </c>
      <c r="N1042" s="26">
        <f>IF($H1042="","",TODAY()-$H1042)</f>
        <v/>
      </c>
      <c r="O1042" s="15" t="n"/>
      <c r="P1042" s="26">
        <f>IF($A1042="","",COUNTIFS('Audit Versions'!$A$6:$A$605,$A1042,'Audit Versions'!$L$6:$L$605,"Active"))</f>
        <v/>
      </c>
      <c r="Q1042" s="15" t="n"/>
      <c r="R1042" s="26">
        <f>IF(OR($A1042="",$P1042=0),"",MOD(N($Q1042),$P1042)+1)</f>
        <v/>
      </c>
      <c r="S1042" s="15" t="n"/>
      <c r="T1042" s="25" t="n"/>
      <c r="U1042" s="26">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Builder'!$B$12="",N($S1042)&lt;='Assignment Builder'!$B$12)))</f>
        <v/>
      </c>
      <c r="V1042" s="23" t="n"/>
    </row>
    <row r="1043">
      <c r="A1043" s="23" t="n"/>
      <c r="B1043" s="23" t="n"/>
      <c r="C1043" s="24" t="n"/>
      <c r="D1043" s="15" t="n"/>
      <c r="E1043" s="23" t="n"/>
      <c r="F1043" s="15" t="n"/>
      <c r="G1043" s="23" t="n"/>
      <c r="H1043" s="25" t="n"/>
      <c r="I1043" s="15" t="n"/>
      <c r="J1043" s="26">
        <f>IF($A1043="","",LEN($C1043)-LEN(SUBSTITUTE($C1043,",",""))+1)</f>
        <v/>
      </c>
      <c r="K1043" s="26">
        <f>IF($A1043="","",SUMPRODUCT(--ISNUMBER(SEARCH('Category Dictionary'!$D$5:$D$135&amp;"",$C1043)),--('Category Dictionary'!$D$5:$D$135&lt;&gt;"")))</f>
        <v/>
      </c>
      <c r="L1043" s="27">
        <f>IF($A1043="","",TRIM(IF(ISERROR(FIND(",",$C1043)),$C1043,LEFT($C1043,FIND(",",$C1043)-1))))</f>
        <v/>
      </c>
      <c r="M1043" s="28">
        <f>IF($H1043="","",DATE(YEAR($H1043),MONTH($H1043),1))</f>
        <v/>
      </c>
      <c r="N1043" s="26">
        <f>IF($H1043="","",TODAY()-$H1043)</f>
        <v/>
      </c>
      <c r="O1043" s="15" t="n"/>
      <c r="P1043" s="26">
        <f>IF($A1043="","",COUNTIFS('Audit Versions'!$A$6:$A$605,$A1043,'Audit Versions'!$L$6:$L$605,"Active"))</f>
        <v/>
      </c>
      <c r="Q1043" s="15" t="n"/>
      <c r="R1043" s="26">
        <f>IF(OR($A1043="",$P1043=0),"",MOD(N($Q1043),$P1043)+1)</f>
        <v/>
      </c>
      <c r="S1043" s="15" t="n"/>
      <c r="T1043" s="25" t="n"/>
      <c r="U1043" s="26">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Builder'!$B$12="",N($S1043)&lt;='Assignment Builder'!$B$12)))</f>
        <v/>
      </c>
      <c r="V1043" s="23" t="n"/>
    </row>
    <row r="1044">
      <c r="A1044" s="23" t="n"/>
      <c r="B1044" s="23" t="n"/>
      <c r="C1044" s="24" t="n"/>
      <c r="D1044" s="15" t="n"/>
      <c r="E1044" s="23" t="n"/>
      <c r="F1044" s="15" t="n"/>
      <c r="G1044" s="23" t="n"/>
      <c r="H1044" s="25" t="n"/>
      <c r="I1044" s="15" t="n"/>
      <c r="J1044" s="26">
        <f>IF($A1044="","",LEN($C1044)-LEN(SUBSTITUTE($C1044,",",""))+1)</f>
        <v/>
      </c>
      <c r="K1044" s="26">
        <f>IF($A1044="","",SUMPRODUCT(--ISNUMBER(SEARCH('Category Dictionary'!$D$5:$D$135&amp;"",$C1044)),--('Category Dictionary'!$D$5:$D$135&lt;&gt;"")))</f>
        <v/>
      </c>
      <c r="L1044" s="27">
        <f>IF($A1044="","",TRIM(IF(ISERROR(FIND(",",$C1044)),$C1044,LEFT($C1044,FIND(",",$C1044)-1))))</f>
        <v/>
      </c>
      <c r="M1044" s="28">
        <f>IF($H1044="","",DATE(YEAR($H1044),MONTH($H1044),1))</f>
        <v/>
      </c>
      <c r="N1044" s="26">
        <f>IF($H1044="","",TODAY()-$H1044)</f>
        <v/>
      </c>
      <c r="O1044" s="15" t="n"/>
      <c r="P1044" s="26">
        <f>IF($A1044="","",COUNTIFS('Audit Versions'!$A$6:$A$605,$A1044,'Audit Versions'!$L$6:$L$605,"Active"))</f>
        <v/>
      </c>
      <c r="Q1044" s="15" t="n"/>
      <c r="R1044" s="26">
        <f>IF(OR($A1044="",$P1044=0),"",MOD(N($Q1044),$P1044)+1)</f>
        <v/>
      </c>
      <c r="S1044" s="15" t="n"/>
      <c r="T1044" s="25" t="n"/>
      <c r="U1044" s="26">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Builder'!$B$12="",N($S1044)&lt;='Assignment Builder'!$B$12)))</f>
        <v/>
      </c>
      <c r="V1044" s="23" t="n"/>
    </row>
    <row r="1045">
      <c r="A1045" s="23" t="n"/>
      <c r="B1045" s="23" t="n"/>
      <c r="C1045" s="24" t="n"/>
      <c r="D1045" s="15" t="n"/>
      <c r="E1045" s="23" t="n"/>
      <c r="F1045" s="15" t="n"/>
      <c r="G1045" s="23" t="n"/>
      <c r="H1045" s="25" t="n"/>
      <c r="I1045" s="15" t="n"/>
      <c r="J1045" s="26">
        <f>IF($A1045="","",LEN($C1045)-LEN(SUBSTITUTE($C1045,",",""))+1)</f>
        <v/>
      </c>
      <c r="K1045" s="26">
        <f>IF($A1045="","",SUMPRODUCT(--ISNUMBER(SEARCH('Category Dictionary'!$D$5:$D$135&amp;"",$C1045)),--('Category Dictionary'!$D$5:$D$135&lt;&gt;"")))</f>
        <v/>
      </c>
      <c r="L1045" s="27">
        <f>IF($A1045="","",TRIM(IF(ISERROR(FIND(",",$C1045)),$C1045,LEFT($C1045,FIND(",",$C1045)-1))))</f>
        <v/>
      </c>
      <c r="M1045" s="28">
        <f>IF($H1045="","",DATE(YEAR($H1045),MONTH($H1045),1))</f>
        <v/>
      </c>
      <c r="N1045" s="26">
        <f>IF($H1045="","",TODAY()-$H1045)</f>
        <v/>
      </c>
      <c r="O1045" s="15" t="n"/>
      <c r="P1045" s="26">
        <f>IF($A1045="","",COUNTIFS('Audit Versions'!$A$6:$A$605,$A1045,'Audit Versions'!$L$6:$L$605,"Active"))</f>
        <v/>
      </c>
      <c r="Q1045" s="15" t="n"/>
      <c r="R1045" s="26">
        <f>IF(OR($A1045="",$P1045=0),"",MOD(N($Q1045),$P1045)+1)</f>
        <v/>
      </c>
      <c r="S1045" s="15" t="n"/>
      <c r="T1045" s="25" t="n"/>
      <c r="U1045" s="26">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Builder'!$B$12="",N($S1045)&lt;='Assignment Builder'!$B$12)))</f>
        <v/>
      </c>
      <c r="V1045" s="23" t="n"/>
    </row>
    <row r="1046">
      <c r="A1046" s="23" t="n"/>
      <c r="B1046" s="23" t="n"/>
      <c r="C1046" s="24" t="n"/>
      <c r="D1046" s="15" t="n"/>
      <c r="E1046" s="23" t="n"/>
      <c r="F1046" s="15" t="n"/>
      <c r="G1046" s="23" t="n"/>
      <c r="H1046" s="25" t="n"/>
      <c r="I1046" s="15" t="n"/>
      <c r="J1046" s="26">
        <f>IF($A1046="","",LEN($C1046)-LEN(SUBSTITUTE($C1046,",",""))+1)</f>
        <v/>
      </c>
      <c r="K1046" s="26">
        <f>IF($A1046="","",SUMPRODUCT(--ISNUMBER(SEARCH('Category Dictionary'!$D$5:$D$135&amp;"",$C1046)),--('Category Dictionary'!$D$5:$D$135&lt;&gt;"")))</f>
        <v/>
      </c>
      <c r="L1046" s="27">
        <f>IF($A1046="","",TRIM(IF(ISERROR(FIND(",",$C1046)),$C1046,LEFT($C1046,FIND(",",$C1046)-1))))</f>
        <v/>
      </c>
      <c r="M1046" s="28">
        <f>IF($H1046="","",DATE(YEAR($H1046),MONTH($H1046),1))</f>
        <v/>
      </c>
      <c r="N1046" s="26">
        <f>IF($H1046="","",TODAY()-$H1046)</f>
        <v/>
      </c>
      <c r="O1046" s="15" t="n"/>
      <c r="P1046" s="26">
        <f>IF($A1046="","",COUNTIFS('Audit Versions'!$A$6:$A$605,$A1046,'Audit Versions'!$L$6:$L$605,"Active"))</f>
        <v/>
      </c>
      <c r="Q1046" s="15" t="n"/>
      <c r="R1046" s="26">
        <f>IF(OR($A1046="",$P1046=0),"",MOD(N($Q1046),$P1046)+1)</f>
        <v/>
      </c>
      <c r="S1046" s="15" t="n"/>
      <c r="T1046" s="25" t="n"/>
      <c r="U1046" s="26">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Builder'!$B$12="",N($S1046)&lt;='Assignment Builder'!$B$12)))</f>
        <v/>
      </c>
      <c r="V1046" s="23" t="n"/>
    </row>
    <row r="1047">
      <c r="A1047" s="23" t="n"/>
      <c r="B1047" s="23" t="n"/>
      <c r="C1047" s="24" t="n"/>
      <c r="D1047" s="15" t="n"/>
      <c r="E1047" s="23" t="n"/>
      <c r="F1047" s="15" t="n"/>
      <c r="G1047" s="23" t="n"/>
      <c r="H1047" s="25" t="n"/>
      <c r="I1047" s="15" t="n"/>
      <c r="J1047" s="26">
        <f>IF($A1047="","",LEN($C1047)-LEN(SUBSTITUTE($C1047,",",""))+1)</f>
        <v/>
      </c>
      <c r="K1047" s="26">
        <f>IF($A1047="","",SUMPRODUCT(--ISNUMBER(SEARCH('Category Dictionary'!$D$5:$D$135&amp;"",$C1047)),--('Category Dictionary'!$D$5:$D$135&lt;&gt;"")))</f>
        <v/>
      </c>
      <c r="L1047" s="27">
        <f>IF($A1047="","",TRIM(IF(ISERROR(FIND(",",$C1047)),$C1047,LEFT($C1047,FIND(",",$C1047)-1))))</f>
        <v/>
      </c>
      <c r="M1047" s="28">
        <f>IF($H1047="","",DATE(YEAR($H1047),MONTH($H1047),1))</f>
        <v/>
      </c>
      <c r="N1047" s="26">
        <f>IF($H1047="","",TODAY()-$H1047)</f>
        <v/>
      </c>
      <c r="O1047" s="15" t="n"/>
      <c r="P1047" s="26">
        <f>IF($A1047="","",COUNTIFS('Audit Versions'!$A$6:$A$605,$A1047,'Audit Versions'!$L$6:$L$605,"Active"))</f>
        <v/>
      </c>
      <c r="Q1047" s="15" t="n"/>
      <c r="R1047" s="26">
        <f>IF(OR($A1047="",$P1047=0),"",MOD(N($Q1047),$P1047)+1)</f>
        <v/>
      </c>
      <c r="S1047" s="15" t="n"/>
      <c r="T1047" s="25" t="n"/>
      <c r="U1047" s="26">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Builder'!$B$12="",N($S1047)&lt;='Assignment Builder'!$B$12)))</f>
        <v/>
      </c>
      <c r="V1047" s="23" t="n"/>
    </row>
    <row r="1048">
      <c r="A1048" s="23" t="n"/>
      <c r="B1048" s="23" t="n"/>
      <c r="C1048" s="24" t="n"/>
      <c r="D1048" s="15" t="n"/>
      <c r="E1048" s="23" t="n"/>
      <c r="F1048" s="15" t="n"/>
      <c r="G1048" s="23" t="n"/>
      <c r="H1048" s="25" t="n"/>
      <c r="I1048" s="15" t="n"/>
      <c r="J1048" s="26">
        <f>IF($A1048="","",LEN($C1048)-LEN(SUBSTITUTE($C1048,",",""))+1)</f>
        <v/>
      </c>
      <c r="K1048" s="26">
        <f>IF($A1048="","",SUMPRODUCT(--ISNUMBER(SEARCH('Category Dictionary'!$D$5:$D$135&amp;"",$C1048)),--('Category Dictionary'!$D$5:$D$135&lt;&gt;"")))</f>
        <v/>
      </c>
      <c r="L1048" s="27">
        <f>IF($A1048="","",TRIM(IF(ISERROR(FIND(",",$C1048)),$C1048,LEFT($C1048,FIND(",",$C1048)-1))))</f>
        <v/>
      </c>
      <c r="M1048" s="28">
        <f>IF($H1048="","",DATE(YEAR($H1048),MONTH($H1048),1))</f>
        <v/>
      </c>
      <c r="N1048" s="26">
        <f>IF($H1048="","",TODAY()-$H1048)</f>
        <v/>
      </c>
      <c r="O1048" s="15" t="n"/>
      <c r="P1048" s="26">
        <f>IF($A1048="","",COUNTIFS('Audit Versions'!$A$6:$A$605,$A1048,'Audit Versions'!$L$6:$L$605,"Active"))</f>
        <v/>
      </c>
      <c r="Q1048" s="15" t="n"/>
      <c r="R1048" s="26">
        <f>IF(OR($A1048="",$P1048=0),"",MOD(N($Q1048),$P1048)+1)</f>
        <v/>
      </c>
      <c r="S1048" s="15" t="n"/>
      <c r="T1048" s="25" t="n"/>
      <c r="U1048" s="26">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Builder'!$B$12="",N($S1048)&lt;='Assignment Builder'!$B$12)))</f>
        <v/>
      </c>
      <c r="V1048" s="23" t="n"/>
    </row>
    <row r="1049">
      <c r="A1049" s="23" t="n"/>
      <c r="B1049" s="23" t="n"/>
      <c r="C1049" s="24" t="n"/>
      <c r="D1049" s="15" t="n"/>
      <c r="E1049" s="23" t="n"/>
      <c r="F1049" s="15" t="n"/>
      <c r="G1049" s="23" t="n"/>
      <c r="H1049" s="25" t="n"/>
      <c r="I1049" s="15" t="n"/>
      <c r="J1049" s="26">
        <f>IF($A1049="","",LEN($C1049)-LEN(SUBSTITUTE($C1049,",",""))+1)</f>
        <v/>
      </c>
      <c r="K1049" s="26">
        <f>IF($A1049="","",SUMPRODUCT(--ISNUMBER(SEARCH('Category Dictionary'!$D$5:$D$135&amp;"",$C1049)),--('Category Dictionary'!$D$5:$D$135&lt;&gt;"")))</f>
        <v/>
      </c>
      <c r="L1049" s="27">
        <f>IF($A1049="","",TRIM(IF(ISERROR(FIND(",",$C1049)),$C1049,LEFT($C1049,FIND(",",$C1049)-1))))</f>
        <v/>
      </c>
      <c r="M1049" s="28">
        <f>IF($H1049="","",DATE(YEAR($H1049),MONTH($H1049),1))</f>
        <v/>
      </c>
      <c r="N1049" s="26">
        <f>IF($H1049="","",TODAY()-$H1049)</f>
        <v/>
      </c>
      <c r="O1049" s="15" t="n"/>
      <c r="P1049" s="26">
        <f>IF($A1049="","",COUNTIFS('Audit Versions'!$A$6:$A$605,$A1049,'Audit Versions'!$L$6:$L$605,"Active"))</f>
        <v/>
      </c>
      <c r="Q1049" s="15" t="n"/>
      <c r="R1049" s="26">
        <f>IF(OR($A1049="",$P1049=0),"",MOD(N($Q1049),$P1049)+1)</f>
        <v/>
      </c>
      <c r="S1049" s="15" t="n"/>
      <c r="T1049" s="25" t="n"/>
      <c r="U1049" s="26">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Builder'!$B$12="",N($S1049)&lt;='Assignment Builder'!$B$12)))</f>
        <v/>
      </c>
      <c r="V1049" s="23" t="n"/>
    </row>
    <row r="1050">
      <c r="A1050" s="23" t="n"/>
      <c r="B1050" s="23" t="n"/>
      <c r="C1050" s="24" t="n"/>
      <c r="D1050" s="15" t="n"/>
      <c r="E1050" s="23" t="n"/>
      <c r="F1050" s="15" t="n"/>
      <c r="G1050" s="23" t="n"/>
      <c r="H1050" s="25" t="n"/>
      <c r="I1050" s="15" t="n"/>
      <c r="J1050" s="26">
        <f>IF($A1050="","",LEN($C1050)-LEN(SUBSTITUTE($C1050,",",""))+1)</f>
        <v/>
      </c>
      <c r="K1050" s="26">
        <f>IF($A1050="","",SUMPRODUCT(--ISNUMBER(SEARCH('Category Dictionary'!$D$5:$D$135&amp;"",$C1050)),--('Category Dictionary'!$D$5:$D$135&lt;&gt;"")))</f>
        <v/>
      </c>
      <c r="L1050" s="27">
        <f>IF($A1050="","",TRIM(IF(ISERROR(FIND(",",$C1050)),$C1050,LEFT($C1050,FIND(",",$C1050)-1))))</f>
        <v/>
      </c>
      <c r="M1050" s="28">
        <f>IF($H1050="","",DATE(YEAR($H1050),MONTH($H1050),1))</f>
        <v/>
      </c>
      <c r="N1050" s="26">
        <f>IF($H1050="","",TODAY()-$H1050)</f>
        <v/>
      </c>
      <c r="O1050" s="15" t="n"/>
      <c r="P1050" s="26">
        <f>IF($A1050="","",COUNTIFS('Audit Versions'!$A$6:$A$605,$A1050,'Audit Versions'!$L$6:$L$605,"Active"))</f>
        <v/>
      </c>
      <c r="Q1050" s="15" t="n"/>
      <c r="R1050" s="26">
        <f>IF(OR($A1050="",$P1050=0),"",MOD(N($Q1050),$P1050)+1)</f>
        <v/>
      </c>
      <c r="S1050" s="15" t="n"/>
      <c r="T1050" s="25" t="n"/>
      <c r="U1050" s="26">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Builder'!$B$12="",N($S1050)&lt;='Assignment Builder'!$B$12)))</f>
        <v/>
      </c>
      <c r="V1050" s="23" t="n"/>
    </row>
    <row r="1051">
      <c r="A1051" s="23" t="n"/>
      <c r="B1051" s="23" t="n"/>
      <c r="C1051" s="24" t="n"/>
      <c r="D1051" s="15" t="n"/>
      <c r="E1051" s="23" t="n"/>
      <c r="F1051" s="15" t="n"/>
      <c r="G1051" s="23" t="n"/>
      <c r="H1051" s="25" t="n"/>
      <c r="I1051" s="15" t="n"/>
      <c r="J1051" s="26">
        <f>IF($A1051="","",LEN($C1051)-LEN(SUBSTITUTE($C1051,",",""))+1)</f>
        <v/>
      </c>
      <c r="K1051" s="26">
        <f>IF($A1051="","",SUMPRODUCT(--ISNUMBER(SEARCH('Category Dictionary'!$D$5:$D$135&amp;"",$C1051)),--('Category Dictionary'!$D$5:$D$135&lt;&gt;"")))</f>
        <v/>
      </c>
      <c r="L1051" s="27">
        <f>IF($A1051="","",TRIM(IF(ISERROR(FIND(",",$C1051)),$C1051,LEFT($C1051,FIND(",",$C1051)-1))))</f>
        <v/>
      </c>
      <c r="M1051" s="28">
        <f>IF($H1051="","",DATE(YEAR($H1051),MONTH($H1051),1))</f>
        <v/>
      </c>
      <c r="N1051" s="26">
        <f>IF($H1051="","",TODAY()-$H1051)</f>
        <v/>
      </c>
      <c r="O1051" s="15" t="n"/>
      <c r="P1051" s="26">
        <f>IF($A1051="","",COUNTIFS('Audit Versions'!$A$6:$A$605,$A1051,'Audit Versions'!$L$6:$L$605,"Active"))</f>
        <v/>
      </c>
      <c r="Q1051" s="15" t="n"/>
      <c r="R1051" s="26">
        <f>IF(OR($A1051="",$P1051=0),"",MOD(N($Q1051),$P1051)+1)</f>
        <v/>
      </c>
      <c r="S1051" s="15" t="n"/>
      <c r="T1051" s="25" t="n"/>
      <c r="U1051" s="26">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Builder'!$B$12="",N($S1051)&lt;='Assignment Builder'!$B$12)))</f>
        <v/>
      </c>
      <c r="V1051" s="23" t="n"/>
    </row>
    <row r="1052">
      <c r="A1052" s="23" t="n"/>
      <c r="B1052" s="23" t="n"/>
      <c r="C1052" s="24" t="n"/>
      <c r="D1052" s="15" t="n"/>
      <c r="E1052" s="23" t="n"/>
      <c r="F1052" s="15" t="n"/>
      <c r="G1052" s="23" t="n"/>
      <c r="H1052" s="25" t="n"/>
      <c r="I1052" s="15" t="n"/>
      <c r="J1052" s="26">
        <f>IF($A1052="","",LEN($C1052)-LEN(SUBSTITUTE($C1052,",",""))+1)</f>
        <v/>
      </c>
      <c r="K1052" s="26">
        <f>IF($A1052="","",SUMPRODUCT(--ISNUMBER(SEARCH('Category Dictionary'!$D$5:$D$135&amp;"",$C1052)),--('Category Dictionary'!$D$5:$D$135&lt;&gt;"")))</f>
        <v/>
      </c>
      <c r="L1052" s="27">
        <f>IF($A1052="","",TRIM(IF(ISERROR(FIND(",",$C1052)),$C1052,LEFT($C1052,FIND(",",$C1052)-1))))</f>
        <v/>
      </c>
      <c r="M1052" s="28">
        <f>IF($H1052="","",DATE(YEAR($H1052),MONTH($H1052),1))</f>
        <v/>
      </c>
      <c r="N1052" s="26">
        <f>IF($H1052="","",TODAY()-$H1052)</f>
        <v/>
      </c>
      <c r="O1052" s="15" t="n"/>
      <c r="P1052" s="26">
        <f>IF($A1052="","",COUNTIFS('Audit Versions'!$A$6:$A$605,$A1052,'Audit Versions'!$L$6:$L$605,"Active"))</f>
        <v/>
      </c>
      <c r="Q1052" s="15" t="n"/>
      <c r="R1052" s="26">
        <f>IF(OR($A1052="",$P1052=0),"",MOD(N($Q1052),$P1052)+1)</f>
        <v/>
      </c>
      <c r="S1052" s="15" t="n"/>
      <c r="T1052" s="25" t="n"/>
      <c r="U1052" s="26">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Builder'!$B$12="",N($S1052)&lt;='Assignment Builder'!$B$12)))</f>
        <v/>
      </c>
      <c r="V1052" s="23" t="n"/>
    </row>
    <row r="1053">
      <c r="A1053" s="23" t="n"/>
      <c r="B1053" s="23" t="n"/>
      <c r="C1053" s="24" t="n"/>
      <c r="D1053" s="15" t="n"/>
      <c r="E1053" s="23" t="n"/>
      <c r="F1053" s="15" t="n"/>
      <c r="G1053" s="23" t="n"/>
      <c r="H1053" s="25" t="n"/>
      <c r="I1053" s="15" t="n"/>
      <c r="J1053" s="26">
        <f>IF($A1053="","",LEN($C1053)-LEN(SUBSTITUTE($C1053,",",""))+1)</f>
        <v/>
      </c>
      <c r="K1053" s="26">
        <f>IF($A1053="","",SUMPRODUCT(--ISNUMBER(SEARCH('Category Dictionary'!$D$5:$D$135&amp;"",$C1053)),--('Category Dictionary'!$D$5:$D$135&lt;&gt;"")))</f>
        <v/>
      </c>
      <c r="L1053" s="27">
        <f>IF($A1053="","",TRIM(IF(ISERROR(FIND(",",$C1053)),$C1053,LEFT($C1053,FIND(",",$C1053)-1))))</f>
        <v/>
      </c>
      <c r="M1053" s="28">
        <f>IF($H1053="","",DATE(YEAR($H1053),MONTH($H1053),1))</f>
        <v/>
      </c>
      <c r="N1053" s="26">
        <f>IF($H1053="","",TODAY()-$H1053)</f>
        <v/>
      </c>
      <c r="O1053" s="15" t="n"/>
      <c r="P1053" s="26">
        <f>IF($A1053="","",COUNTIFS('Audit Versions'!$A$6:$A$605,$A1053,'Audit Versions'!$L$6:$L$605,"Active"))</f>
        <v/>
      </c>
      <c r="Q1053" s="15" t="n"/>
      <c r="R1053" s="26">
        <f>IF(OR($A1053="",$P1053=0),"",MOD(N($Q1053),$P1053)+1)</f>
        <v/>
      </c>
      <c r="S1053" s="15" t="n"/>
      <c r="T1053" s="25" t="n"/>
      <c r="U1053" s="26">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Builder'!$B$12="",N($S1053)&lt;='Assignment Builder'!$B$12)))</f>
        <v/>
      </c>
      <c r="V1053" s="23" t="n"/>
    </row>
    <row r="1054">
      <c r="A1054" s="23" t="n"/>
      <c r="B1054" s="23" t="n"/>
      <c r="C1054" s="24" t="n"/>
      <c r="D1054" s="15" t="n"/>
      <c r="E1054" s="23" t="n"/>
      <c r="F1054" s="15" t="n"/>
      <c r="G1054" s="23" t="n"/>
      <c r="H1054" s="25" t="n"/>
      <c r="I1054" s="15" t="n"/>
      <c r="J1054" s="26">
        <f>IF($A1054="","",LEN($C1054)-LEN(SUBSTITUTE($C1054,",",""))+1)</f>
        <v/>
      </c>
      <c r="K1054" s="26">
        <f>IF($A1054="","",SUMPRODUCT(--ISNUMBER(SEARCH('Category Dictionary'!$D$5:$D$135&amp;"",$C1054)),--('Category Dictionary'!$D$5:$D$135&lt;&gt;"")))</f>
        <v/>
      </c>
      <c r="L1054" s="27">
        <f>IF($A1054="","",TRIM(IF(ISERROR(FIND(",",$C1054)),$C1054,LEFT($C1054,FIND(",",$C1054)-1))))</f>
        <v/>
      </c>
      <c r="M1054" s="28">
        <f>IF($H1054="","",DATE(YEAR($H1054),MONTH($H1054),1))</f>
        <v/>
      </c>
      <c r="N1054" s="26">
        <f>IF($H1054="","",TODAY()-$H1054)</f>
        <v/>
      </c>
      <c r="O1054" s="15" t="n"/>
      <c r="P1054" s="26">
        <f>IF($A1054="","",COUNTIFS('Audit Versions'!$A$6:$A$605,$A1054,'Audit Versions'!$L$6:$L$605,"Active"))</f>
        <v/>
      </c>
      <c r="Q1054" s="15" t="n"/>
      <c r="R1054" s="26">
        <f>IF(OR($A1054="",$P1054=0),"",MOD(N($Q1054),$P1054)+1)</f>
        <v/>
      </c>
      <c r="S1054" s="15" t="n"/>
      <c r="T1054" s="25" t="n"/>
      <c r="U1054" s="26">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Builder'!$B$12="",N($S1054)&lt;='Assignment Builder'!$B$12)))</f>
        <v/>
      </c>
      <c r="V1054" s="23" t="n"/>
    </row>
    <row r="1055">
      <c r="A1055" s="23" t="n"/>
      <c r="B1055" s="23" t="n"/>
      <c r="C1055" s="24" t="n"/>
      <c r="D1055" s="15" t="n"/>
      <c r="E1055" s="23" t="n"/>
      <c r="F1055" s="15" t="n"/>
      <c r="G1055" s="23" t="n"/>
      <c r="H1055" s="25" t="n"/>
      <c r="I1055" s="15" t="n"/>
      <c r="J1055" s="26">
        <f>IF($A1055="","",LEN($C1055)-LEN(SUBSTITUTE($C1055,",",""))+1)</f>
        <v/>
      </c>
      <c r="K1055" s="26">
        <f>IF($A1055="","",SUMPRODUCT(--ISNUMBER(SEARCH('Category Dictionary'!$D$5:$D$135&amp;"",$C1055)),--('Category Dictionary'!$D$5:$D$135&lt;&gt;"")))</f>
        <v/>
      </c>
      <c r="L1055" s="27">
        <f>IF($A1055="","",TRIM(IF(ISERROR(FIND(",",$C1055)),$C1055,LEFT($C1055,FIND(",",$C1055)-1))))</f>
        <v/>
      </c>
      <c r="M1055" s="28">
        <f>IF($H1055="","",DATE(YEAR($H1055),MONTH($H1055),1))</f>
        <v/>
      </c>
      <c r="N1055" s="26">
        <f>IF($H1055="","",TODAY()-$H1055)</f>
        <v/>
      </c>
      <c r="O1055" s="15" t="n"/>
      <c r="P1055" s="26">
        <f>IF($A1055="","",COUNTIFS('Audit Versions'!$A$6:$A$605,$A1055,'Audit Versions'!$L$6:$L$605,"Active"))</f>
        <v/>
      </c>
      <c r="Q1055" s="15" t="n"/>
      <c r="R1055" s="26">
        <f>IF(OR($A1055="",$P1055=0),"",MOD(N($Q1055),$P1055)+1)</f>
        <v/>
      </c>
      <c r="S1055" s="15" t="n"/>
      <c r="T1055" s="25" t="n"/>
      <c r="U1055" s="26">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Builder'!$B$12="",N($S1055)&lt;='Assignment Builder'!$B$12)))</f>
        <v/>
      </c>
      <c r="V1055" s="23" t="n"/>
    </row>
    <row r="1056">
      <c r="A1056" s="23" t="n"/>
      <c r="B1056" s="23" t="n"/>
      <c r="C1056" s="24" t="n"/>
      <c r="D1056" s="15" t="n"/>
      <c r="E1056" s="23" t="n"/>
      <c r="F1056" s="15" t="n"/>
      <c r="G1056" s="23" t="n"/>
      <c r="H1056" s="25" t="n"/>
      <c r="I1056" s="15" t="n"/>
      <c r="J1056" s="26">
        <f>IF($A1056="","",LEN($C1056)-LEN(SUBSTITUTE($C1056,",",""))+1)</f>
        <v/>
      </c>
      <c r="K1056" s="26">
        <f>IF($A1056="","",SUMPRODUCT(--ISNUMBER(SEARCH('Category Dictionary'!$D$5:$D$135&amp;"",$C1056)),--('Category Dictionary'!$D$5:$D$135&lt;&gt;"")))</f>
        <v/>
      </c>
      <c r="L1056" s="27">
        <f>IF($A1056="","",TRIM(IF(ISERROR(FIND(",",$C1056)),$C1056,LEFT($C1056,FIND(",",$C1056)-1))))</f>
        <v/>
      </c>
      <c r="M1056" s="28">
        <f>IF($H1056="","",DATE(YEAR($H1056),MONTH($H1056),1))</f>
        <v/>
      </c>
      <c r="N1056" s="26">
        <f>IF($H1056="","",TODAY()-$H1056)</f>
        <v/>
      </c>
      <c r="O1056" s="15" t="n"/>
      <c r="P1056" s="26">
        <f>IF($A1056="","",COUNTIFS('Audit Versions'!$A$6:$A$605,$A1056,'Audit Versions'!$L$6:$L$605,"Active"))</f>
        <v/>
      </c>
      <c r="Q1056" s="15" t="n"/>
      <c r="R1056" s="26">
        <f>IF(OR($A1056="",$P1056=0),"",MOD(N($Q1056),$P1056)+1)</f>
        <v/>
      </c>
      <c r="S1056" s="15" t="n"/>
      <c r="T1056" s="25" t="n"/>
      <c r="U1056" s="26">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Builder'!$B$12="",N($S1056)&lt;='Assignment Builder'!$B$12)))</f>
        <v/>
      </c>
      <c r="V1056" s="23" t="n"/>
    </row>
    <row r="1057">
      <c r="A1057" s="23" t="n"/>
      <c r="B1057" s="23" t="n"/>
      <c r="C1057" s="24" t="n"/>
      <c r="D1057" s="15" t="n"/>
      <c r="E1057" s="23" t="n"/>
      <c r="F1057" s="15" t="n"/>
      <c r="G1057" s="23" t="n"/>
      <c r="H1057" s="25" t="n"/>
      <c r="I1057" s="15" t="n"/>
      <c r="J1057" s="26">
        <f>IF($A1057="","",LEN($C1057)-LEN(SUBSTITUTE($C1057,",",""))+1)</f>
        <v/>
      </c>
      <c r="K1057" s="26">
        <f>IF($A1057="","",SUMPRODUCT(--ISNUMBER(SEARCH('Category Dictionary'!$D$5:$D$135&amp;"",$C1057)),--('Category Dictionary'!$D$5:$D$135&lt;&gt;"")))</f>
        <v/>
      </c>
      <c r="L1057" s="27">
        <f>IF($A1057="","",TRIM(IF(ISERROR(FIND(",",$C1057)),$C1057,LEFT($C1057,FIND(",",$C1057)-1))))</f>
        <v/>
      </c>
      <c r="M1057" s="28">
        <f>IF($H1057="","",DATE(YEAR($H1057),MONTH($H1057),1))</f>
        <v/>
      </c>
      <c r="N1057" s="26">
        <f>IF($H1057="","",TODAY()-$H1057)</f>
        <v/>
      </c>
      <c r="O1057" s="15" t="n"/>
      <c r="P1057" s="26">
        <f>IF($A1057="","",COUNTIFS('Audit Versions'!$A$6:$A$605,$A1057,'Audit Versions'!$L$6:$L$605,"Active"))</f>
        <v/>
      </c>
      <c r="Q1057" s="15" t="n"/>
      <c r="R1057" s="26">
        <f>IF(OR($A1057="",$P1057=0),"",MOD(N($Q1057),$P1057)+1)</f>
        <v/>
      </c>
      <c r="S1057" s="15" t="n"/>
      <c r="T1057" s="25" t="n"/>
      <c r="U1057" s="26">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Builder'!$B$12="",N($S1057)&lt;='Assignment Builder'!$B$12)))</f>
        <v/>
      </c>
      <c r="V1057" s="23" t="n"/>
    </row>
    <row r="1058">
      <c r="A1058" s="23" t="n"/>
      <c r="B1058" s="23" t="n"/>
      <c r="C1058" s="24" t="n"/>
      <c r="D1058" s="15" t="n"/>
      <c r="E1058" s="23" t="n"/>
      <c r="F1058" s="15" t="n"/>
      <c r="G1058" s="23" t="n"/>
      <c r="H1058" s="25" t="n"/>
      <c r="I1058" s="15" t="n"/>
      <c r="J1058" s="26">
        <f>IF($A1058="","",LEN($C1058)-LEN(SUBSTITUTE($C1058,",",""))+1)</f>
        <v/>
      </c>
      <c r="K1058" s="26">
        <f>IF($A1058="","",SUMPRODUCT(--ISNUMBER(SEARCH('Category Dictionary'!$D$5:$D$135&amp;"",$C1058)),--('Category Dictionary'!$D$5:$D$135&lt;&gt;"")))</f>
        <v/>
      </c>
      <c r="L1058" s="27">
        <f>IF($A1058="","",TRIM(IF(ISERROR(FIND(",",$C1058)),$C1058,LEFT($C1058,FIND(",",$C1058)-1))))</f>
        <v/>
      </c>
      <c r="M1058" s="28">
        <f>IF($H1058="","",DATE(YEAR($H1058),MONTH($H1058),1))</f>
        <v/>
      </c>
      <c r="N1058" s="26">
        <f>IF($H1058="","",TODAY()-$H1058)</f>
        <v/>
      </c>
      <c r="O1058" s="15" t="n"/>
      <c r="P1058" s="26">
        <f>IF($A1058="","",COUNTIFS('Audit Versions'!$A$6:$A$605,$A1058,'Audit Versions'!$L$6:$L$605,"Active"))</f>
        <v/>
      </c>
      <c r="Q1058" s="15" t="n"/>
      <c r="R1058" s="26">
        <f>IF(OR($A1058="",$P1058=0),"",MOD(N($Q1058),$P1058)+1)</f>
        <v/>
      </c>
      <c r="S1058" s="15" t="n"/>
      <c r="T1058" s="25" t="n"/>
      <c r="U1058" s="26">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Builder'!$B$12="",N($S1058)&lt;='Assignment Builder'!$B$12)))</f>
        <v/>
      </c>
      <c r="V1058" s="23" t="n"/>
    </row>
    <row r="1059">
      <c r="A1059" s="23" t="n"/>
      <c r="B1059" s="23" t="n"/>
      <c r="C1059" s="24" t="n"/>
      <c r="D1059" s="15" t="n"/>
      <c r="E1059" s="23" t="n"/>
      <c r="F1059" s="15" t="n"/>
      <c r="G1059" s="23" t="n"/>
      <c r="H1059" s="25" t="n"/>
      <c r="I1059" s="15" t="n"/>
      <c r="J1059" s="26">
        <f>IF($A1059="","",LEN($C1059)-LEN(SUBSTITUTE($C1059,",",""))+1)</f>
        <v/>
      </c>
      <c r="K1059" s="26">
        <f>IF($A1059="","",SUMPRODUCT(--ISNUMBER(SEARCH('Category Dictionary'!$D$5:$D$135&amp;"",$C1059)),--('Category Dictionary'!$D$5:$D$135&lt;&gt;"")))</f>
        <v/>
      </c>
      <c r="L1059" s="27">
        <f>IF($A1059="","",TRIM(IF(ISERROR(FIND(",",$C1059)),$C1059,LEFT($C1059,FIND(",",$C1059)-1))))</f>
        <v/>
      </c>
      <c r="M1059" s="28">
        <f>IF($H1059="","",DATE(YEAR($H1059),MONTH($H1059),1))</f>
        <v/>
      </c>
      <c r="N1059" s="26">
        <f>IF($H1059="","",TODAY()-$H1059)</f>
        <v/>
      </c>
      <c r="O1059" s="15" t="n"/>
      <c r="P1059" s="26">
        <f>IF($A1059="","",COUNTIFS('Audit Versions'!$A$6:$A$605,$A1059,'Audit Versions'!$L$6:$L$605,"Active"))</f>
        <v/>
      </c>
      <c r="Q1059" s="15" t="n"/>
      <c r="R1059" s="26">
        <f>IF(OR($A1059="",$P1059=0),"",MOD(N($Q1059),$P1059)+1)</f>
        <v/>
      </c>
      <c r="S1059" s="15" t="n"/>
      <c r="T1059" s="25" t="n"/>
      <c r="U1059" s="26">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Builder'!$B$12="",N($S1059)&lt;='Assignment Builder'!$B$12)))</f>
        <v/>
      </c>
      <c r="V1059" s="23" t="n"/>
    </row>
    <row r="1060">
      <c r="A1060" s="23" t="n"/>
      <c r="B1060" s="23" t="n"/>
      <c r="C1060" s="24" t="n"/>
      <c r="D1060" s="15" t="n"/>
      <c r="E1060" s="23" t="n"/>
      <c r="F1060" s="15" t="n"/>
      <c r="G1060" s="23" t="n"/>
      <c r="H1060" s="25" t="n"/>
      <c r="I1060" s="15" t="n"/>
      <c r="J1060" s="26">
        <f>IF($A1060="","",LEN($C1060)-LEN(SUBSTITUTE($C1060,",",""))+1)</f>
        <v/>
      </c>
      <c r="K1060" s="26">
        <f>IF($A1060="","",SUMPRODUCT(--ISNUMBER(SEARCH('Category Dictionary'!$D$5:$D$135&amp;"",$C1060)),--('Category Dictionary'!$D$5:$D$135&lt;&gt;"")))</f>
        <v/>
      </c>
      <c r="L1060" s="27">
        <f>IF($A1060="","",TRIM(IF(ISERROR(FIND(",",$C1060)),$C1060,LEFT($C1060,FIND(",",$C1060)-1))))</f>
        <v/>
      </c>
      <c r="M1060" s="28">
        <f>IF($H1060="","",DATE(YEAR($H1060),MONTH($H1060),1))</f>
        <v/>
      </c>
      <c r="N1060" s="26">
        <f>IF($H1060="","",TODAY()-$H1060)</f>
        <v/>
      </c>
      <c r="O1060" s="15" t="n"/>
      <c r="P1060" s="26">
        <f>IF($A1060="","",COUNTIFS('Audit Versions'!$A$6:$A$605,$A1060,'Audit Versions'!$L$6:$L$605,"Active"))</f>
        <v/>
      </c>
      <c r="Q1060" s="15" t="n"/>
      <c r="R1060" s="26">
        <f>IF(OR($A1060="",$P1060=0),"",MOD(N($Q1060),$P1060)+1)</f>
        <v/>
      </c>
      <c r="S1060" s="15" t="n"/>
      <c r="T1060" s="25" t="n"/>
      <c r="U1060" s="26">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Builder'!$B$12="",N($S1060)&lt;='Assignment Builder'!$B$12)))</f>
        <v/>
      </c>
      <c r="V1060" s="23" t="n"/>
    </row>
    <row r="1061">
      <c r="A1061" s="23" t="n"/>
      <c r="B1061" s="23" t="n"/>
      <c r="C1061" s="24" t="n"/>
      <c r="D1061" s="15" t="n"/>
      <c r="E1061" s="23" t="n"/>
      <c r="F1061" s="15" t="n"/>
      <c r="G1061" s="23" t="n"/>
      <c r="H1061" s="25" t="n"/>
      <c r="I1061" s="15" t="n"/>
      <c r="J1061" s="26">
        <f>IF($A1061="","",LEN($C1061)-LEN(SUBSTITUTE($C1061,",",""))+1)</f>
        <v/>
      </c>
      <c r="K1061" s="26">
        <f>IF($A1061="","",SUMPRODUCT(--ISNUMBER(SEARCH('Category Dictionary'!$D$5:$D$135&amp;"",$C1061)),--('Category Dictionary'!$D$5:$D$135&lt;&gt;"")))</f>
        <v/>
      </c>
      <c r="L1061" s="27">
        <f>IF($A1061="","",TRIM(IF(ISERROR(FIND(",",$C1061)),$C1061,LEFT($C1061,FIND(",",$C1061)-1))))</f>
        <v/>
      </c>
      <c r="M1061" s="28">
        <f>IF($H1061="","",DATE(YEAR($H1061),MONTH($H1061),1))</f>
        <v/>
      </c>
      <c r="N1061" s="26">
        <f>IF($H1061="","",TODAY()-$H1061)</f>
        <v/>
      </c>
      <c r="O1061" s="15" t="n"/>
      <c r="P1061" s="26">
        <f>IF($A1061="","",COUNTIFS('Audit Versions'!$A$6:$A$605,$A1061,'Audit Versions'!$L$6:$L$605,"Active"))</f>
        <v/>
      </c>
      <c r="Q1061" s="15" t="n"/>
      <c r="R1061" s="26">
        <f>IF(OR($A1061="",$P1061=0),"",MOD(N($Q1061),$P1061)+1)</f>
        <v/>
      </c>
      <c r="S1061" s="15" t="n"/>
      <c r="T1061" s="25" t="n"/>
      <c r="U1061" s="26">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Builder'!$B$12="",N($S1061)&lt;='Assignment Builder'!$B$12)))</f>
        <v/>
      </c>
      <c r="V1061" s="23" t="n"/>
    </row>
    <row r="1062">
      <c r="A1062" s="23" t="n"/>
      <c r="B1062" s="23" t="n"/>
      <c r="C1062" s="24" t="n"/>
      <c r="D1062" s="15" t="n"/>
      <c r="E1062" s="23" t="n"/>
      <c r="F1062" s="15" t="n"/>
      <c r="G1062" s="23" t="n"/>
      <c r="H1062" s="25" t="n"/>
      <c r="I1062" s="15" t="n"/>
      <c r="J1062" s="26">
        <f>IF($A1062="","",LEN($C1062)-LEN(SUBSTITUTE($C1062,",",""))+1)</f>
        <v/>
      </c>
      <c r="K1062" s="26">
        <f>IF($A1062="","",SUMPRODUCT(--ISNUMBER(SEARCH('Category Dictionary'!$D$5:$D$135&amp;"",$C1062)),--('Category Dictionary'!$D$5:$D$135&lt;&gt;"")))</f>
        <v/>
      </c>
      <c r="L1062" s="27">
        <f>IF($A1062="","",TRIM(IF(ISERROR(FIND(",",$C1062)),$C1062,LEFT($C1062,FIND(",",$C1062)-1))))</f>
        <v/>
      </c>
      <c r="M1062" s="28">
        <f>IF($H1062="","",DATE(YEAR($H1062),MONTH($H1062),1))</f>
        <v/>
      </c>
      <c r="N1062" s="26">
        <f>IF($H1062="","",TODAY()-$H1062)</f>
        <v/>
      </c>
      <c r="O1062" s="15" t="n"/>
      <c r="P1062" s="26">
        <f>IF($A1062="","",COUNTIFS('Audit Versions'!$A$6:$A$605,$A1062,'Audit Versions'!$L$6:$L$605,"Active"))</f>
        <v/>
      </c>
      <c r="Q1062" s="15" t="n"/>
      <c r="R1062" s="26">
        <f>IF(OR($A1062="",$P1062=0),"",MOD(N($Q1062),$P1062)+1)</f>
        <v/>
      </c>
      <c r="S1062" s="15" t="n"/>
      <c r="T1062" s="25" t="n"/>
      <c r="U1062" s="26">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Builder'!$B$12="",N($S1062)&lt;='Assignment Builder'!$B$12)))</f>
        <v/>
      </c>
      <c r="V1062" s="23" t="n"/>
    </row>
    <row r="1063">
      <c r="A1063" s="23" t="n"/>
      <c r="B1063" s="23" t="n"/>
      <c r="C1063" s="24" t="n"/>
      <c r="D1063" s="15" t="n"/>
      <c r="E1063" s="23" t="n"/>
      <c r="F1063" s="15" t="n"/>
      <c r="G1063" s="23" t="n"/>
      <c r="H1063" s="25" t="n"/>
      <c r="I1063" s="15" t="n"/>
      <c r="J1063" s="26">
        <f>IF($A1063="","",LEN($C1063)-LEN(SUBSTITUTE($C1063,",",""))+1)</f>
        <v/>
      </c>
      <c r="K1063" s="26">
        <f>IF($A1063="","",SUMPRODUCT(--ISNUMBER(SEARCH('Category Dictionary'!$D$5:$D$135&amp;"",$C1063)),--('Category Dictionary'!$D$5:$D$135&lt;&gt;"")))</f>
        <v/>
      </c>
      <c r="L1063" s="27">
        <f>IF($A1063="","",TRIM(IF(ISERROR(FIND(",",$C1063)),$C1063,LEFT($C1063,FIND(",",$C1063)-1))))</f>
        <v/>
      </c>
      <c r="M1063" s="28">
        <f>IF($H1063="","",DATE(YEAR($H1063),MONTH($H1063),1))</f>
        <v/>
      </c>
      <c r="N1063" s="26">
        <f>IF($H1063="","",TODAY()-$H1063)</f>
        <v/>
      </c>
      <c r="O1063" s="15" t="n"/>
      <c r="P1063" s="26">
        <f>IF($A1063="","",COUNTIFS('Audit Versions'!$A$6:$A$605,$A1063,'Audit Versions'!$L$6:$L$605,"Active"))</f>
        <v/>
      </c>
      <c r="Q1063" s="15" t="n"/>
      <c r="R1063" s="26">
        <f>IF(OR($A1063="",$P1063=0),"",MOD(N($Q1063),$P1063)+1)</f>
        <v/>
      </c>
      <c r="S1063" s="15" t="n"/>
      <c r="T1063" s="25" t="n"/>
      <c r="U1063" s="26">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Builder'!$B$12="",N($S1063)&lt;='Assignment Builder'!$B$12)))</f>
        <v/>
      </c>
      <c r="V1063" s="23" t="n"/>
    </row>
    <row r="1064">
      <c r="A1064" s="23" t="n"/>
      <c r="B1064" s="23" t="n"/>
      <c r="C1064" s="24" t="n"/>
      <c r="D1064" s="15" t="n"/>
      <c r="E1064" s="23" t="n"/>
      <c r="F1064" s="15" t="n"/>
      <c r="G1064" s="23" t="n"/>
      <c r="H1064" s="25" t="n"/>
      <c r="I1064" s="15" t="n"/>
      <c r="J1064" s="26">
        <f>IF($A1064="","",LEN($C1064)-LEN(SUBSTITUTE($C1064,",",""))+1)</f>
        <v/>
      </c>
      <c r="K1064" s="26">
        <f>IF($A1064="","",SUMPRODUCT(--ISNUMBER(SEARCH('Category Dictionary'!$D$5:$D$135&amp;"",$C1064)),--('Category Dictionary'!$D$5:$D$135&lt;&gt;"")))</f>
        <v/>
      </c>
      <c r="L1064" s="27">
        <f>IF($A1064="","",TRIM(IF(ISERROR(FIND(",",$C1064)),$C1064,LEFT($C1064,FIND(",",$C1064)-1))))</f>
        <v/>
      </c>
      <c r="M1064" s="28">
        <f>IF($H1064="","",DATE(YEAR($H1064),MONTH($H1064),1))</f>
        <v/>
      </c>
      <c r="N1064" s="26">
        <f>IF($H1064="","",TODAY()-$H1064)</f>
        <v/>
      </c>
      <c r="O1064" s="15" t="n"/>
      <c r="P1064" s="26">
        <f>IF($A1064="","",COUNTIFS('Audit Versions'!$A$6:$A$605,$A1064,'Audit Versions'!$L$6:$L$605,"Active"))</f>
        <v/>
      </c>
      <c r="Q1064" s="15" t="n"/>
      <c r="R1064" s="26">
        <f>IF(OR($A1064="",$P1064=0),"",MOD(N($Q1064),$P1064)+1)</f>
        <v/>
      </c>
      <c r="S1064" s="15" t="n"/>
      <c r="T1064" s="25" t="n"/>
      <c r="U1064" s="26">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Builder'!$B$12="",N($S1064)&lt;='Assignment Builder'!$B$12)))</f>
        <v/>
      </c>
      <c r="V1064" s="23" t="n"/>
    </row>
    <row r="1065">
      <c r="A1065" s="23" t="n"/>
      <c r="B1065" s="23" t="n"/>
      <c r="C1065" s="24" t="n"/>
      <c r="D1065" s="15" t="n"/>
      <c r="E1065" s="23" t="n"/>
      <c r="F1065" s="15" t="n"/>
      <c r="G1065" s="23" t="n"/>
      <c r="H1065" s="25" t="n"/>
      <c r="I1065" s="15" t="n"/>
      <c r="J1065" s="26">
        <f>IF($A1065="","",LEN($C1065)-LEN(SUBSTITUTE($C1065,",",""))+1)</f>
        <v/>
      </c>
      <c r="K1065" s="26">
        <f>IF($A1065="","",SUMPRODUCT(--ISNUMBER(SEARCH('Category Dictionary'!$D$5:$D$135&amp;"",$C1065)),--('Category Dictionary'!$D$5:$D$135&lt;&gt;"")))</f>
        <v/>
      </c>
      <c r="L1065" s="27">
        <f>IF($A1065="","",TRIM(IF(ISERROR(FIND(",",$C1065)),$C1065,LEFT($C1065,FIND(",",$C1065)-1))))</f>
        <v/>
      </c>
      <c r="M1065" s="28">
        <f>IF($H1065="","",DATE(YEAR($H1065),MONTH($H1065),1))</f>
        <v/>
      </c>
      <c r="N1065" s="26">
        <f>IF($H1065="","",TODAY()-$H1065)</f>
        <v/>
      </c>
      <c r="O1065" s="15" t="n"/>
      <c r="P1065" s="26">
        <f>IF($A1065="","",COUNTIFS('Audit Versions'!$A$6:$A$605,$A1065,'Audit Versions'!$L$6:$L$605,"Active"))</f>
        <v/>
      </c>
      <c r="Q1065" s="15" t="n"/>
      <c r="R1065" s="26">
        <f>IF(OR($A1065="",$P1065=0),"",MOD(N($Q1065),$P1065)+1)</f>
        <v/>
      </c>
      <c r="S1065" s="15" t="n"/>
      <c r="T1065" s="25" t="n"/>
      <c r="U1065" s="26">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Builder'!$B$12="",N($S1065)&lt;='Assignment Builder'!$B$12)))</f>
        <v/>
      </c>
      <c r="V1065" s="23" t="n"/>
    </row>
    <row r="1066">
      <c r="A1066" s="23" t="n"/>
      <c r="B1066" s="23" t="n"/>
      <c r="C1066" s="24" t="n"/>
      <c r="D1066" s="15" t="n"/>
      <c r="E1066" s="23" t="n"/>
      <c r="F1066" s="15" t="n"/>
      <c r="G1066" s="23" t="n"/>
      <c r="H1066" s="25" t="n"/>
      <c r="I1066" s="15" t="n"/>
      <c r="J1066" s="26">
        <f>IF($A1066="","",LEN($C1066)-LEN(SUBSTITUTE($C1066,",",""))+1)</f>
        <v/>
      </c>
      <c r="K1066" s="26">
        <f>IF($A1066="","",SUMPRODUCT(--ISNUMBER(SEARCH('Category Dictionary'!$D$5:$D$135&amp;"",$C1066)),--('Category Dictionary'!$D$5:$D$135&lt;&gt;"")))</f>
        <v/>
      </c>
      <c r="L1066" s="27">
        <f>IF($A1066="","",TRIM(IF(ISERROR(FIND(",",$C1066)),$C1066,LEFT($C1066,FIND(",",$C1066)-1))))</f>
        <v/>
      </c>
      <c r="M1066" s="28">
        <f>IF($H1066="","",DATE(YEAR($H1066),MONTH($H1066),1))</f>
        <v/>
      </c>
      <c r="N1066" s="26">
        <f>IF($H1066="","",TODAY()-$H1066)</f>
        <v/>
      </c>
      <c r="O1066" s="15" t="n"/>
      <c r="P1066" s="26">
        <f>IF($A1066="","",COUNTIFS('Audit Versions'!$A$6:$A$605,$A1066,'Audit Versions'!$L$6:$L$605,"Active"))</f>
        <v/>
      </c>
      <c r="Q1066" s="15" t="n"/>
      <c r="R1066" s="26">
        <f>IF(OR($A1066="",$P1066=0),"",MOD(N($Q1066),$P1066)+1)</f>
        <v/>
      </c>
      <c r="S1066" s="15" t="n"/>
      <c r="T1066" s="25" t="n"/>
      <c r="U1066" s="26">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Builder'!$B$12="",N($S1066)&lt;='Assignment Builder'!$B$12)))</f>
        <v/>
      </c>
      <c r="V1066" s="23" t="n"/>
    </row>
    <row r="1067">
      <c r="A1067" s="23" t="n"/>
      <c r="B1067" s="23" t="n"/>
      <c r="C1067" s="24" t="n"/>
      <c r="D1067" s="15" t="n"/>
      <c r="E1067" s="23" t="n"/>
      <c r="F1067" s="15" t="n"/>
      <c r="G1067" s="23" t="n"/>
      <c r="H1067" s="25" t="n"/>
      <c r="I1067" s="15" t="n"/>
      <c r="J1067" s="26">
        <f>IF($A1067="","",LEN($C1067)-LEN(SUBSTITUTE($C1067,",",""))+1)</f>
        <v/>
      </c>
      <c r="K1067" s="26">
        <f>IF($A1067="","",SUMPRODUCT(--ISNUMBER(SEARCH('Category Dictionary'!$D$5:$D$135&amp;"",$C1067)),--('Category Dictionary'!$D$5:$D$135&lt;&gt;"")))</f>
        <v/>
      </c>
      <c r="L1067" s="27">
        <f>IF($A1067="","",TRIM(IF(ISERROR(FIND(",",$C1067)),$C1067,LEFT($C1067,FIND(",",$C1067)-1))))</f>
        <v/>
      </c>
      <c r="M1067" s="28">
        <f>IF($H1067="","",DATE(YEAR($H1067),MONTH($H1067),1))</f>
        <v/>
      </c>
      <c r="N1067" s="26">
        <f>IF($H1067="","",TODAY()-$H1067)</f>
        <v/>
      </c>
      <c r="O1067" s="15" t="n"/>
      <c r="P1067" s="26">
        <f>IF($A1067="","",COUNTIFS('Audit Versions'!$A$6:$A$605,$A1067,'Audit Versions'!$L$6:$L$605,"Active"))</f>
        <v/>
      </c>
      <c r="Q1067" s="15" t="n"/>
      <c r="R1067" s="26">
        <f>IF(OR($A1067="",$P1067=0),"",MOD(N($Q1067),$P1067)+1)</f>
        <v/>
      </c>
      <c r="S1067" s="15" t="n"/>
      <c r="T1067" s="25" t="n"/>
      <c r="U1067" s="26">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Builder'!$B$12="",N($S1067)&lt;='Assignment Builder'!$B$12)))</f>
        <v/>
      </c>
      <c r="V1067" s="23" t="n"/>
    </row>
    <row r="1068">
      <c r="A1068" s="23" t="n"/>
      <c r="B1068" s="23" t="n"/>
      <c r="C1068" s="24" t="n"/>
      <c r="D1068" s="15" t="n"/>
      <c r="E1068" s="23" t="n"/>
      <c r="F1068" s="15" t="n"/>
      <c r="G1068" s="23" t="n"/>
      <c r="H1068" s="25" t="n"/>
      <c r="I1068" s="15" t="n"/>
      <c r="J1068" s="26">
        <f>IF($A1068="","",LEN($C1068)-LEN(SUBSTITUTE($C1068,",",""))+1)</f>
        <v/>
      </c>
      <c r="K1068" s="26">
        <f>IF($A1068="","",SUMPRODUCT(--ISNUMBER(SEARCH('Category Dictionary'!$D$5:$D$135&amp;"",$C1068)),--('Category Dictionary'!$D$5:$D$135&lt;&gt;"")))</f>
        <v/>
      </c>
      <c r="L1068" s="27">
        <f>IF($A1068="","",TRIM(IF(ISERROR(FIND(",",$C1068)),$C1068,LEFT($C1068,FIND(",",$C1068)-1))))</f>
        <v/>
      </c>
      <c r="M1068" s="28">
        <f>IF($H1068="","",DATE(YEAR($H1068),MONTH($H1068),1))</f>
        <v/>
      </c>
      <c r="N1068" s="26">
        <f>IF($H1068="","",TODAY()-$H1068)</f>
        <v/>
      </c>
      <c r="O1068" s="15" t="n"/>
      <c r="P1068" s="26">
        <f>IF($A1068="","",COUNTIFS('Audit Versions'!$A$6:$A$605,$A1068,'Audit Versions'!$L$6:$L$605,"Active"))</f>
        <v/>
      </c>
      <c r="Q1068" s="15" t="n"/>
      <c r="R1068" s="26">
        <f>IF(OR($A1068="",$P1068=0),"",MOD(N($Q1068),$P1068)+1)</f>
        <v/>
      </c>
      <c r="S1068" s="15" t="n"/>
      <c r="T1068" s="25" t="n"/>
      <c r="U1068" s="26">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Builder'!$B$12="",N($S1068)&lt;='Assignment Builder'!$B$12)))</f>
        <v/>
      </c>
      <c r="V1068" s="23" t="n"/>
    </row>
    <row r="1069">
      <c r="A1069" s="23" t="n"/>
      <c r="B1069" s="23" t="n"/>
      <c r="C1069" s="24" t="n"/>
      <c r="D1069" s="15" t="n"/>
      <c r="E1069" s="23" t="n"/>
      <c r="F1069" s="15" t="n"/>
      <c r="G1069" s="23" t="n"/>
      <c r="H1069" s="25" t="n"/>
      <c r="I1069" s="15" t="n"/>
      <c r="J1069" s="26">
        <f>IF($A1069="","",LEN($C1069)-LEN(SUBSTITUTE($C1069,",",""))+1)</f>
        <v/>
      </c>
      <c r="K1069" s="26">
        <f>IF($A1069="","",SUMPRODUCT(--ISNUMBER(SEARCH('Category Dictionary'!$D$5:$D$135&amp;"",$C1069)),--('Category Dictionary'!$D$5:$D$135&lt;&gt;"")))</f>
        <v/>
      </c>
      <c r="L1069" s="27">
        <f>IF($A1069="","",TRIM(IF(ISERROR(FIND(",",$C1069)),$C1069,LEFT($C1069,FIND(",",$C1069)-1))))</f>
        <v/>
      </c>
      <c r="M1069" s="28">
        <f>IF($H1069="","",DATE(YEAR($H1069),MONTH($H1069),1))</f>
        <v/>
      </c>
      <c r="N1069" s="26">
        <f>IF($H1069="","",TODAY()-$H1069)</f>
        <v/>
      </c>
      <c r="O1069" s="15" t="n"/>
      <c r="P1069" s="26">
        <f>IF($A1069="","",COUNTIFS('Audit Versions'!$A$6:$A$605,$A1069,'Audit Versions'!$L$6:$L$605,"Active"))</f>
        <v/>
      </c>
      <c r="Q1069" s="15" t="n"/>
      <c r="R1069" s="26">
        <f>IF(OR($A1069="",$P1069=0),"",MOD(N($Q1069),$P1069)+1)</f>
        <v/>
      </c>
      <c r="S1069" s="15" t="n"/>
      <c r="T1069" s="25" t="n"/>
      <c r="U1069" s="26">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Builder'!$B$12="",N($S1069)&lt;='Assignment Builder'!$B$12)))</f>
        <v/>
      </c>
      <c r="V1069" s="23" t="n"/>
    </row>
    <row r="1070">
      <c r="A1070" s="23" t="n"/>
      <c r="B1070" s="23" t="n"/>
      <c r="C1070" s="24" t="n"/>
      <c r="D1070" s="15" t="n"/>
      <c r="E1070" s="23" t="n"/>
      <c r="F1070" s="15" t="n"/>
      <c r="G1070" s="23" t="n"/>
      <c r="H1070" s="25" t="n"/>
      <c r="I1070" s="15" t="n"/>
      <c r="J1070" s="26">
        <f>IF($A1070="","",LEN($C1070)-LEN(SUBSTITUTE($C1070,",",""))+1)</f>
        <v/>
      </c>
      <c r="K1070" s="26">
        <f>IF($A1070="","",SUMPRODUCT(--ISNUMBER(SEARCH('Category Dictionary'!$D$5:$D$135&amp;"",$C1070)),--('Category Dictionary'!$D$5:$D$135&lt;&gt;"")))</f>
        <v/>
      </c>
      <c r="L1070" s="27">
        <f>IF($A1070="","",TRIM(IF(ISERROR(FIND(",",$C1070)),$C1070,LEFT($C1070,FIND(",",$C1070)-1))))</f>
        <v/>
      </c>
      <c r="M1070" s="28">
        <f>IF($H1070="","",DATE(YEAR($H1070),MONTH($H1070),1))</f>
        <v/>
      </c>
      <c r="N1070" s="26">
        <f>IF($H1070="","",TODAY()-$H1070)</f>
        <v/>
      </c>
      <c r="O1070" s="15" t="n"/>
      <c r="P1070" s="26">
        <f>IF($A1070="","",COUNTIFS('Audit Versions'!$A$6:$A$605,$A1070,'Audit Versions'!$L$6:$L$605,"Active"))</f>
        <v/>
      </c>
      <c r="Q1070" s="15" t="n"/>
      <c r="R1070" s="26">
        <f>IF(OR($A1070="",$P1070=0),"",MOD(N($Q1070),$P1070)+1)</f>
        <v/>
      </c>
      <c r="S1070" s="15" t="n"/>
      <c r="T1070" s="25" t="n"/>
      <c r="U1070" s="26">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Builder'!$B$12="",N($S1070)&lt;='Assignment Builder'!$B$12)))</f>
        <v/>
      </c>
      <c r="V1070" s="23" t="n"/>
    </row>
    <row r="1071">
      <c r="A1071" s="23" t="n"/>
      <c r="B1071" s="23" t="n"/>
      <c r="C1071" s="24" t="n"/>
      <c r="D1071" s="15" t="n"/>
      <c r="E1071" s="23" t="n"/>
      <c r="F1071" s="15" t="n"/>
      <c r="G1071" s="23" t="n"/>
      <c r="H1071" s="25" t="n"/>
      <c r="I1071" s="15" t="n"/>
      <c r="J1071" s="26">
        <f>IF($A1071="","",LEN($C1071)-LEN(SUBSTITUTE($C1071,",",""))+1)</f>
        <v/>
      </c>
      <c r="K1071" s="26">
        <f>IF($A1071="","",SUMPRODUCT(--ISNUMBER(SEARCH('Category Dictionary'!$D$5:$D$135&amp;"",$C1071)),--('Category Dictionary'!$D$5:$D$135&lt;&gt;"")))</f>
        <v/>
      </c>
      <c r="L1071" s="27">
        <f>IF($A1071="","",TRIM(IF(ISERROR(FIND(",",$C1071)),$C1071,LEFT($C1071,FIND(",",$C1071)-1))))</f>
        <v/>
      </c>
      <c r="M1071" s="28">
        <f>IF($H1071="","",DATE(YEAR($H1071),MONTH($H1071),1))</f>
        <v/>
      </c>
      <c r="N1071" s="26">
        <f>IF($H1071="","",TODAY()-$H1071)</f>
        <v/>
      </c>
      <c r="O1071" s="15" t="n"/>
      <c r="P1071" s="26">
        <f>IF($A1071="","",COUNTIFS('Audit Versions'!$A$6:$A$605,$A1071,'Audit Versions'!$L$6:$L$605,"Active"))</f>
        <v/>
      </c>
      <c r="Q1071" s="15" t="n"/>
      <c r="R1071" s="26">
        <f>IF(OR($A1071="",$P1071=0),"",MOD(N($Q1071),$P1071)+1)</f>
        <v/>
      </c>
      <c r="S1071" s="15" t="n"/>
      <c r="T1071" s="25" t="n"/>
      <c r="U1071" s="26">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Builder'!$B$12="",N($S1071)&lt;='Assignment Builder'!$B$12)))</f>
        <v/>
      </c>
      <c r="V1071" s="23" t="n"/>
    </row>
    <row r="1072">
      <c r="A1072" s="23" t="n"/>
      <c r="B1072" s="23" t="n"/>
      <c r="C1072" s="24" t="n"/>
      <c r="D1072" s="15" t="n"/>
      <c r="E1072" s="23" t="n"/>
      <c r="F1072" s="15" t="n"/>
      <c r="G1072" s="23" t="n"/>
      <c r="H1072" s="25" t="n"/>
      <c r="I1072" s="15" t="n"/>
      <c r="J1072" s="26">
        <f>IF($A1072="","",LEN($C1072)-LEN(SUBSTITUTE($C1072,",",""))+1)</f>
        <v/>
      </c>
      <c r="K1072" s="26">
        <f>IF($A1072="","",SUMPRODUCT(--ISNUMBER(SEARCH('Category Dictionary'!$D$5:$D$135&amp;"",$C1072)),--('Category Dictionary'!$D$5:$D$135&lt;&gt;"")))</f>
        <v/>
      </c>
      <c r="L1072" s="27">
        <f>IF($A1072="","",TRIM(IF(ISERROR(FIND(",",$C1072)),$C1072,LEFT($C1072,FIND(",",$C1072)-1))))</f>
        <v/>
      </c>
      <c r="M1072" s="28">
        <f>IF($H1072="","",DATE(YEAR($H1072),MONTH($H1072),1))</f>
        <v/>
      </c>
      <c r="N1072" s="26">
        <f>IF($H1072="","",TODAY()-$H1072)</f>
        <v/>
      </c>
      <c r="O1072" s="15" t="n"/>
      <c r="P1072" s="26">
        <f>IF($A1072="","",COUNTIFS('Audit Versions'!$A$6:$A$605,$A1072,'Audit Versions'!$L$6:$L$605,"Active"))</f>
        <v/>
      </c>
      <c r="Q1072" s="15" t="n"/>
      <c r="R1072" s="26">
        <f>IF(OR($A1072="",$P1072=0),"",MOD(N($Q1072),$P1072)+1)</f>
        <v/>
      </c>
      <c r="S1072" s="15" t="n"/>
      <c r="T1072" s="25" t="n"/>
      <c r="U1072" s="26">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Builder'!$B$12="",N($S1072)&lt;='Assignment Builder'!$B$12)))</f>
        <v/>
      </c>
      <c r="V1072" s="23" t="n"/>
    </row>
    <row r="1073">
      <c r="A1073" s="23" t="n"/>
      <c r="B1073" s="23" t="n"/>
      <c r="C1073" s="24" t="n"/>
      <c r="D1073" s="15" t="n"/>
      <c r="E1073" s="23" t="n"/>
      <c r="F1073" s="15" t="n"/>
      <c r="G1073" s="23" t="n"/>
      <c r="H1073" s="25" t="n"/>
      <c r="I1073" s="15" t="n"/>
      <c r="J1073" s="26">
        <f>IF($A1073="","",LEN($C1073)-LEN(SUBSTITUTE($C1073,",",""))+1)</f>
        <v/>
      </c>
      <c r="K1073" s="26">
        <f>IF($A1073="","",SUMPRODUCT(--ISNUMBER(SEARCH('Category Dictionary'!$D$5:$D$135&amp;"",$C1073)),--('Category Dictionary'!$D$5:$D$135&lt;&gt;"")))</f>
        <v/>
      </c>
      <c r="L1073" s="27">
        <f>IF($A1073="","",TRIM(IF(ISERROR(FIND(",",$C1073)),$C1073,LEFT($C1073,FIND(",",$C1073)-1))))</f>
        <v/>
      </c>
      <c r="M1073" s="28">
        <f>IF($H1073="","",DATE(YEAR($H1073),MONTH($H1073),1))</f>
        <v/>
      </c>
      <c r="N1073" s="26">
        <f>IF($H1073="","",TODAY()-$H1073)</f>
        <v/>
      </c>
      <c r="O1073" s="15" t="n"/>
      <c r="P1073" s="26">
        <f>IF($A1073="","",COUNTIFS('Audit Versions'!$A$6:$A$605,$A1073,'Audit Versions'!$L$6:$L$605,"Active"))</f>
        <v/>
      </c>
      <c r="Q1073" s="15" t="n"/>
      <c r="R1073" s="26">
        <f>IF(OR($A1073="",$P1073=0),"",MOD(N($Q1073),$P1073)+1)</f>
        <v/>
      </c>
      <c r="S1073" s="15" t="n"/>
      <c r="T1073" s="25" t="n"/>
      <c r="U1073" s="26">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Builder'!$B$12="",N($S1073)&lt;='Assignment Builder'!$B$12)))</f>
        <v/>
      </c>
      <c r="V1073" s="23" t="n"/>
    </row>
    <row r="1074">
      <c r="A1074" s="23" t="n"/>
      <c r="B1074" s="23" t="n"/>
      <c r="C1074" s="24" t="n"/>
      <c r="D1074" s="15" t="n"/>
      <c r="E1074" s="23" t="n"/>
      <c r="F1074" s="15" t="n"/>
      <c r="G1074" s="23" t="n"/>
      <c r="H1074" s="25" t="n"/>
      <c r="I1074" s="15" t="n"/>
      <c r="J1074" s="26">
        <f>IF($A1074="","",LEN($C1074)-LEN(SUBSTITUTE($C1074,",",""))+1)</f>
        <v/>
      </c>
      <c r="K1074" s="26">
        <f>IF($A1074="","",SUMPRODUCT(--ISNUMBER(SEARCH('Category Dictionary'!$D$5:$D$135&amp;"",$C1074)),--('Category Dictionary'!$D$5:$D$135&lt;&gt;"")))</f>
        <v/>
      </c>
      <c r="L1074" s="27">
        <f>IF($A1074="","",TRIM(IF(ISERROR(FIND(",",$C1074)),$C1074,LEFT($C1074,FIND(",",$C1074)-1))))</f>
        <v/>
      </c>
      <c r="M1074" s="28">
        <f>IF($H1074="","",DATE(YEAR($H1074),MONTH($H1074),1))</f>
        <v/>
      </c>
      <c r="N1074" s="26">
        <f>IF($H1074="","",TODAY()-$H1074)</f>
        <v/>
      </c>
      <c r="O1074" s="15" t="n"/>
      <c r="P1074" s="26">
        <f>IF($A1074="","",COUNTIFS('Audit Versions'!$A$6:$A$605,$A1074,'Audit Versions'!$L$6:$L$605,"Active"))</f>
        <v/>
      </c>
      <c r="Q1074" s="15" t="n"/>
      <c r="R1074" s="26">
        <f>IF(OR($A1074="",$P1074=0),"",MOD(N($Q1074),$P1074)+1)</f>
        <v/>
      </c>
      <c r="S1074" s="15" t="n"/>
      <c r="T1074" s="25" t="n"/>
      <c r="U1074" s="26">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Builder'!$B$12="",N($S1074)&lt;='Assignment Builder'!$B$12)))</f>
        <v/>
      </c>
      <c r="V1074" s="23" t="n"/>
    </row>
    <row r="1075">
      <c r="A1075" s="23" t="n"/>
      <c r="B1075" s="23" t="n"/>
      <c r="C1075" s="24" t="n"/>
      <c r="D1075" s="15" t="n"/>
      <c r="E1075" s="23" t="n"/>
      <c r="F1075" s="15" t="n"/>
      <c r="G1075" s="23" t="n"/>
      <c r="H1075" s="25" t="n"/>
      <c r="I1075" s="15" t="n"/>
      <c r="J1075" s="26">
        <f>IF($A1075="","",LEN($C1075)-LEN(SUBSTITUTE($C1075,",",""))+1)</f>
        <v/>
      </c>
      <c r="K1075" s="26">
        <f>IF($A1075="","",SUMPRODUCT(--ISNUMBER(SEARCH('Category Dictionary'!$D$5:$D$135&amp;"",$C1075)),--('Category Dictionary'!$D$5:$D$135&lt;&gt;"")))</f>
        <v/>
      </c>
      <c r="L1075" s="27">
        <f>IF($A1075="","",TRIM(IF(ISERROR(FIND(",",$C1075)),$C1075,LEFT($C1075,FIND(",",$C1075)-1))))</f>
        <v/>
      </c>
      <c r="M1075" s="28">
        <f>IF($H1075="","",DATE(YEAR($H1075),MONTH($H1075),1))</f>
        <v/>
      </c>
      <c r="N1075" s="26">
        <f>IF($H1075="","",TODAY()-$H1075)</f>
        <v/>
      </c>
      <c r="O1075" s="15" t="n"/>
      <c r="P1075" s="26">
        <f>IF($A1075="","",COUNTIFS('Audit Versions'!$A$6:$A$605,$A1075,'Audit Versions'!$L$6:$L$605,"Active"))</f>
        <v/>
      </c>
      <c r="Q1075" s="15" t="n"/>
      <c r="R1075" s="26">
        <f>IF(OR($A1075="",$P1075=0),"",MOD(N($Q1075),$P1075)+1)</f>
        <v/>
      </c>
      <c r="S1075" s="15" t="n"/>
      <c r="T1075" s="25" t="n"/>
      <c r="U1075" s="26">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Builder'!$B$12="",N($S1075)&lt;='Assignment Builder'!$B$12)))</f>
        <v/>
      </c>
      <c r="V1075" s="23" t="n"/>
    </row>
    <row r="1076">
      <c r="A1076" s="23" t="n"/>
      <c r="B1076" s="23" t="n"/>
      <c r="C1076" s="24" t="n"/>
      <c r="D1076" s="15" t="n"/>
      <c r="E1076" s="23" t="n"/>
      <c r="F1076" s="15" t="n"/>
      <c r="G1076" s="23" t="n"/>
      <c r="H1076" s="25" t="n"/>
      <c r="I1076" s="15" t="n"/>
      <c r="J1076" s="26">
        <f>IF($A1076="","",LEN($C1076)-LEN(SUBSTITUTE($C1076,",",""))+1)</f>
        <v/>
      </c>
      <c r="K1076" s="26">
        <f>IF($A1076="","",SUMPRODUCT(--ISNUMBER(SEARCH('Category Dictionary'!$D$5:$D$135&amp;"",$C1076)),--('Category Dictionary'!$D$5:$D$135&lt;&gt;"")))</f>
        <v/>
      </c>
      <c r="L1076" s="27">
        <f>IF($A1076="","",TRIM(IF(ISERROR(FIND(",",$C1076)),$C1076,LEFT($C1076,FIND(",",$C1076)-1))))</f>
        <v/>
      </c>
      <c r="M1076" s="28">
        <f>IF($H1076="","",DATE(YEAR($H1076),MONTH($H1076),1))</f>
        <v/>
      </c>
      <c r="N1076" s="26">
        <f>IF($H1076="","",TODAY()-$H1076)</f>
        <v/>
      </c>
      <c r="O1076" s="15" t="n"/>
      <c r="P1076" s="26">
        <f>IF($A1076="","",COUNTIFS('Audit Versions'!$A$6:$A$605,$A1076,'Audit Versions'!$L$6:$L$605,"Active"))</f>
        <v/>
      </c>
      <c r="Q1076" s="15" t="n"/>
      <c r="R1076" s="26">
        <f>IF(OR($A1076="",$P1076=0),"",MOD(N($Q1076),$P1076)+1)</f>
        <v/>
      </c>
      <c r="S1076" s="15" t="n"/>
      <c r="T1076" s="25" t="n"/>
      <c r="U1076" s="26">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Builder'!$B$12="",N($S1076)&lt;='Assignment Builder'!$B$12)))</f>
        <v/>
      </c>
      <c r="V1076" s="23" t="n"/>
    </row>
    <row r="1077">
      <c r="A1077" s="23" t="n"/>
      <c r="B1077" s="23" t="n"/>
      <c r="C1077" s="24" t="n"/>
      <c r="D1077" s="15" t="n"/>
      <c r="E1077" s="23" t="n"/>
      <c r="F1077" s="15" t="n"/>
      <c r="G1077" s="23" t="n"/>
      <c r="H1077" s="25" t="n"/>
      <c r="I1077" s="15" t="n"/>
      <c r="J1077" s="26">
        <f>IF($A1077="","",LEN($C1077)-LEN(SUBSTITUTE($C1077,",",""))+1)</f>
        <v/>
      </c>
      <c r="K1077" s="26">
        <f>IF($A1077="","",SUMPRODUCT(--ISNUMBER(SEARCH('Category Dictionary'!$D$5:$D$135&amp;"",$C1077)),--('Category Dictionary'!$D$5:$D$135&lt;&gt;"")))</f>
        <v/>
      </c>
      <c r="L1077" s="27">
        <f>IF($A1077="","",TRIM(IF(ISERROR(FIND(",",$C1077)),$C1077,LEFT($C1077,FIND(",",$C1077)-1))))</f>
        <v/>
      </c>
      <c r="M1077" s="28">
        <f>IF($H1077="","",DATE(YEAR($H1077),MONTH($H1077),1))</f>
        <v/>
      </c>
      <c r="N1077" s="26">
        <f>IF($H1077="","",TODAY()-$H1077)</f>
        <v/>
      </c>
      <c r="O1077" s="15" t="n"/>
      <c r="P1077" s="26">
        <f>IF($A1077="","",COUNTIFS('Audit Versions'!$A$6:$A$605,$A1077,'Audit Versions'!$L$6:$L$605,"Active"))</f>
        <v/>
      </c>
      <c r="Q1077" s="15" t="n"/>
      <c r="R1077" s="26">
        <f>IF(OR($A1077="",$P1077=0),"",MOD(N($Q1077),$P1077)+1)</f>
        <v/>
      </c>
      <c r="S1077" s="15" t="n"/>
      <c r="T1077" s="25" t="n"/>
      <c r="U1077" s="26">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Builder'!$B$12="",N($S1077)&lt;='Assignment Builder'!$B$12)))</f>
        <v/>
      </c>
      <c r="V1077" s="23" t="n"/>
    </row>
    <row r="1078">
      <c r="A1078" s="23" t="n"/>
      <c r="B1078" s="23" t="n"/>
      <c r="C1078" s="24" t="n"/>
      <c r="D1078" s="15" t="n"/>
      <c r="E1078" s="23" t="n"/>
      <c r="F1078" s="15" t="n"/>
      <c r="G1078" s="23" t="n"/>
      <c r="H1078" s="25" t="n"/>
      <c r="I1078" s="15" t="n"/>
      <c r="J1078" s="26">
        <f>IF($A1078="","",LEN($C1078)-LEN(SUBSTITUTE($C1078,",",""))+1)</f>
        <v/>
      </c>
      <c r="K1078" s="26">
        <f>IF($A1078="","",SUMPRODUCT(--ISNUMBER(SEARCH('Category Dictionary'!$D$5:$D$135&amp;"",$C1078)),--('Category Dictionary'!$D$5:$D$135&lt;&gt;"")))</f>
        <v/>
      </c>
      <c r="L1078" s="27">
        <f>IF($A1078="","",TRIM(IF(ISERROR(FIND(",",$C1078)),$C1078,LEFT($C1078,FIND(",",$C1078)-1))))</f>
        <v/>
      </c>
      <c r="M1078" s="28">
        <f>IF($H1078="","",DATE(YEAR($H1078),MONTH($H1078),1))</f>
        <v/>
      </c>
      <c r="N1078" s="26">
        <f>IF($H1078="","",TODAY()-$H1078)</f>
        <v/>
      </c>
      <c r="O1078" s="15" t="n"/>
      <c r="P1078" s="26">
        <f>IF($A1078="","",COUNTIFS('Audit Versions'!$A$6:$A$605,$A1078,'Audit Versions'!$L$6:$L$605,"Active"))</f>
        <v/>
      </c>
      <c r="Q1078" s="15" t="n"/>
      <c r="R1078" s="26">
        <f>IF(OR($A1078="",$P1078=0),"",MOD(N($Q1078),$P1078)+1)</f>
        <v/>
      </c>
      <c r="S1078" s="15" t="n"/>
      <c r="T1078" s="25" t="n"/>
      <c r="U1078" s="26">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Builder'!$B$12="",N($S1078)&lt;='Assignment Builder'!$B$12)))</f>
        <v/>
      </c>
      <c r="V1078" s="23" t="n"/>
    </row>
    <row r="1079">
      <c r="A1079" s="23" t="n"/>
      <c r="B1079" s="23" t="n"/>
      <c r="C1079" s="24" t="n"/>
      <c r="D1079" s="15" t="n"/>
      <c r="E1079" s="23" t="n"/>
      <c r="F1079" s="15" t="n"/>
      <c r="G1079" s="23" t="n"/>
      <c r="H1079" s="25" t="n"/>
      <c r="I1079" s="15" t="n"/>
      <c r="J1079" s="26">
        <f>IF($A1079="","",LEN($C1079)-LEN(SUBSTITUTE($C1079,",",""))+1)</f>
        <v/>
      </c>
      <c r="K1079" s="26">
        <f>IF($A1079="","",SUMPRODUCT(--ISNUMBER(SEARCH('Category Dictionary'!$D$5:$D$135&amp;"",$C1079)),--('Category Dictionary'!$D$5:$D$135&lt;&gt;"")))</f>
        <v/>
      </c>
      <c r="L1079" s="27">
        <f>IF($A1079="","",TRIM(IF(ISERROR(FIND(",",$C1079)),$C1079,LEFT($C1079,FIND(",",$C1079)-1))))</f>
        <v/>
      </c>
      <c r="M1079" s="28">
        <f>IF($H1079="","",DATE(YEAR($H1079),MONTH($H1079),1))</f>
        <v/>
      </c>
      <c r="N1079" s="26">
        <f>IF($H1079="","",TODAY()-$H1079)</f>
        <v/>
      </c>
      <c r="O1079" s="15" t="n"/>
      <c r="P1079" s="26">
        <f>IF($A1079="","",COUNTIFS('Audit Versions'!$A$6:$A$605,$A1079,'Audit Versions'!$L$6:$L$605,"Active"))</f>
        <v/>
      </c>
      <c r="Q1079" s="15" t="n"/>
      <c r="R1079" s="26">
        <f>IF(OR($A1079="",$P1079=0),"",MOD(N($Q1079),$P1079)+1)</f>
        <v/>
      </c>
      <c r="S1079" s="15" t="n"/>
      <c r="T1079" s="25" t="n"/>
      <c r="U1079" s="26">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Builder'!$B$12="",N($S1079)&lt;='Assignment Builder'!$B$12)))</f>
        <v/>
      </c>
      <c r="V1079" s="23" t="n"/>
    </row>
    <row r="1080">
      <c r="A1080" s="23" t="n"/>
      <c r="B1080" s="23" t="n"/>
      <c r="C1080" s="24" t="n"/>
      <c r="D1080" s="15" t="n"/>
      <c r="E1080" s="23" t="n"/>
      <c r="F1080" s="15" t="n"/>
      <c r="G1080" s="23" t="n"/>
      <c r="H1080" s="25" t="n"/>
      <c r="I1080" s="15" t="n"/>
      <c r="J1080" s="26">
        <f>IF($A1080="","",LEN($C1080)-LEN(SUBSTITUTE($C1080,",",""))+1)</f>
        <v/>
      </c>
      <c r="K1080" s="26">
        <f>IF($A1080="","",SUMPRODUCT(--ISNUMBER(SEARCH('Category Dictionary'!$D$5:$D$135&amp;"",$C1080)),--('Category Dictionary'!$D$5:$D$135&lt;&gt;"")))</f>
        <v/>
      </c>
      <c r="L1080" s="27">
        <f>IF($A1080="","",TRIM(IF(ISERROR(FIND(",",$C1080)),$C1080,LEFT($C1080,FIND(",",$C1080)-1))))</f>
        <v/>
      </c>
      <c r="M1080" s="28">
        <f>IF($H1080="","",DATE(YEAR($H1080),MONTH($H1080),1))</f>
        <v/>
      </c>
      <c r="N1080" s="26">
        <f>IF($H1080="","",TODAY()-$H1080)</f>
        <v/>
      </c>
      <c r="O1080" s="15" t="n"/>
      <c r="P1080" s="26">
        <f>IF($A1080="","",COUNTIFS('Audit Versions'!$A$6:$A$605,$A1080,'Audit Versions'!$L$6:$L$605,"Active"))</f>
        <v/>
      </c>
      <c r="Q1080" s="15" t="n"/>
      <c r="R1080" s="26">
        <f>IF(OR($A1080="",$P1080=0),"",MOD(N($Q1080),$P1080)+1)</f>
        <v/>
      </c>
      <c r="S1080" s="15" t="n"/>
      <c r="T1080" s="25" t="n"/>
      <c r="U1080" s="26">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Builder'!$B$12="",N($S1080)&lt;='Assignment Builder'!$B$12)))</f>
        <v/>
      </c>
      <c r="V1080" s="23" t="n"/>
    </row>
    <row r="1081">
      <c r="A1081" s="23" t="n"/>
      <c r="B1081" s="23" t="n"/>
      <c r="C1081" s="24" t="n"/>
      <c r="D1081" s="15" t="n"/>
      <c r="E1081" s="23" t="n"/>
      <c r="F1081" s="15" t="n"/>
      <c r="G1081" s="23" t="n"/>
      <c r="H1081" s="25" t="n"/>
      <c r="I1081" s="15" t="n"/>
      <c r="J1081" s="26">
        <f>IF($A1081="","",LEN($C1081)-LEN(SUBSTITUTE($C1081,",",""))+1)</f>
        <v/>
      </c>
      <c r="K1081" s="26">
        <f>IF($A1081="","",SUMPRODUCT(--ISNUMBER(SEARCH('Category Dictionary'!$D$5:$D$135&amp;"",$C1081)),--('Category Dictionary'!$D$5:$D$135&lt;&gt;"")))</f>
        <v/>
      </c>
      <c r="L1081" s="27">
        <f>IF($A1081="","",TRIM(IF(ISERROR(FIND(",",$C1081)),$C1081,LEFT($C1081,FIND(",",$C1081)-1))))</f>
        <v/>
      </c>
      <c r="M1081" s="28">
        <f>IF($H1081="","",DATE(YEAR($H1081),MONTH($H1081),1))</f>
        <v/>
      </c>
      <c r="N1081" s="26">
        <f>IF($H1081="","",TODAY()-$H1081)</f>
        <v/>
      </c>
      <c r="O1081" s="15" t="n"/>
      <c r="P1081" s="26">
        <f>IF($A1081="","",COUNTIFS('Audit Versions'!$A$6:$A$605,$A1081,'Audit Versions'!$L$6:$L$605,"Active"))</f>
        <v/>
      </c>
      <c r="Q1081" s="15" t="n"/>
      <c r="R1081" s="26">
        <f>IF(OR($A1081="",$P1081=0),"",MOD(N($Q1081),$P1081)+1)</f>
        <v/>
      </c>
      <c r="S1081" s="15" t="n"/>
      <c r="T1081" s="25" t="n"/>
      <c r="U1081" s="26">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Builder'!$B$12="",N($S1081)&lt;='Assignment Builder'!$B$12)))</f>
        <v/>
      </c>
      <c r="V1081" s="23" t="n"/>
    </row>
    <row r="1082">
      <c r="A1082" s="23" t="n"/>
      <c r="B1082" s="23" t="n"/>
      <c r="C1082" s="24" t="n"/>
      <c r="D1082" s="15" t="n"/>
      <c r="E1082" s="23" t="n"/>
      <c r="F1082" s="15" t="n"/>
      <c r="G1082" s="23" t="n"/>
      <c r="H1082" s="25" t="n"/>
      <c r="I1082" s="15" t="n"/>
      <c r="J1082" s="26">
        <f>IF($A1082="","",LEN($C1082)-LEN(SUBSTITUTE($C1082,",",""))+1)</f>
        <v/>
      </c>
      <c r="K1082" s="26">
        <f>IF($A1082="","",SUMPRODUCT(--ISNUMBER(SEARCH('Category Dictionary'!$D$5:$D$135&amp;"",$C1082)),--('Category Dictionary'!$D$5:$D$135&lt;&gt;"")))</f>
        <v/>
      </c>
      <c r="L1082" s="27">
        <f>IF($A1082="","",TRIM(IF(ISERROR(FIND(",",$C1082)),$C1082,LEFT($C1082,FIND(",",$C1082)-1))))</f>
        <v/>
      </c>
      <c r="M1082" s="28">
        <f>IF($H1082="","",DATE(YEAR($H1082),MONTH($H1082),1))</f>
        <v/>
      </c>
      <c r="N1082" s="26">
        <f>IF($H1082="","",TODAY()-$H1082)</f>
        <v/>
      </c>
      <c r="O1082" s="15" t="n"/>
      <c r="P1082" s="26">
        <f>IF($A1082="","",COUNTIFS('Audit Versions'!$A$6:$A$605,$A1082,'Audit Versions'!$L$6:$L$605,"Active"))</f>
        <v/>
      </c>
      <c r="Q1082" s="15" t="n"/>
      <c r="R1082" s="26">
        <f>IF(OR($A1082="",$P1082=0),"",MOD(N($Q1082),$P1082)+1)</f>
        <v/>
      </c>
      <c r="S1082" s="15" t="n"/>
      <c r="T1082" s="25" t="n"/>
      <c r="U1082" s="26">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Builder'!$B$12="",N($S1082)&lt;='Assignment Builder'!$B$12)))</f>
        <v/>
      </c>
      <c r="V1082" s="23" t="n"/>
    </row>
    <row r="1083">
      <c r="A1083" s="23" t="n"/>
      <c r="B1083" s="23" t="n"/>
      <c r="C1083" s="24" t="n"/>
      <c r="D1083" s="15" t="n"/>
      <c r="E1083" s="23" t="n"/>
      <c r="F1083" s="15" t="n"/>
      <c r="G1083" s="23" t="n"/>
      <c r="H1083" s="25" t="n"/>
      <c r="I1083" s="15" t="n"/>
      <c r="J1083" s="26">
        <f>IF($A1083="","",LEN($C1083)-LEN(SUBSTITUTE($C1083,",",""))+1)</f>
        <v/>
      </c>
      <c r="K1083" s="26">
        <f>IF($A1083="","",SUMPRODUCT(--ISNUMBER(SEARCH('Category Dictionary'!$D$5:$D$135&amp;"",$C1083)),--('Category Dictionary'!$D$5:$D$135&lt;&gt;"")))</f>
        <v/>
      </c>
      <c r="L1083" s="27">
        <f>IF($A1083="","",TRIM(IF(ISERROR(FIND(",",$C1083)),$C1083,LEFT($C1083,FIND(",",$C1083)-1))))</f>
        <v/>
      </c>
      <c r="M1083" s="28">
        <f>IF($H1083="","",DATE(YEAR($H1083),MONTH($H1083),1))</f>
        <v/>
      </c>
      <c r="N1083" s="26">
        <f>IF($H1083="","",TODAY()-$H1083)</f>
        <v/>
      </c>
      <c r="O1083" s="15" t="n"/>
      <c r="P1083" s="26">
        <f>IF($A1083="","",COUNTIFS('Audit Versions'!$A$6:$A$605,$A1083,'Audit Versions'!$L$6:$L$605,"Active"))</f>
        <v/>
      </c>
      <c r="Q1083" s="15" t="n"/>
      <c r="R1083" s="26">
        <f>IF(OR($A1083="",$P1083=0),"",MOD(N($Q1083),$P1083)+1)</f>
        <v/>
      </c>
      <c r="S1083" s="15" t="n"/>
      <c r="T1083" s="25" t="n"/>
      <c r="U1083" s="26">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Builder'!$B$12="",N($S1083)&lt;='Assignment Builder'!$B$12)))</f>
        <v/>
      </c>
      <c r="V1083" s="23" t="n"/>
    </row>
    <row r="1084">
      <c r="A1084" s="23" t="n"/>
      <c r="B1084" s="23" t="n"/>
      <c r="C1084" s="24" t="n"/>
      <c r="D1084" s="15" t="n"/>
      <c r="E1084" s="23" t="n"/>
      <c r="F1084" s="15" t="n"/>
      <c r="G1084" s="23" t="n"/>
      <c r="H1084" s="25" t="n"/>
      <c r="I1084" s="15" t="n"/>
      <c r="J1084" s="26">
        <f>IF($A1084="","",LEN($C1084)-LEN(SUBSTITUTE($C1084,",",""))+1)</f>
        <v/>
      </c>
      <c r="K1084" s="26">
        <f>IF($A1084="","",SUMPRODUCT(--ISNUMBER(SEARCH('Category Dictionary'!$D$5:$D$135&amp;"",$C1084)),--('Category Dictionary'!$D$5:$D$135&lt;&gt;"")))</f>
        <v/>
      </c>
      <c r="L1084" s="27">
        <f>IF($A1084="","",TRIM(IF(ISERROR(FIND(",",$C1084)),$C1084,LEFT($C1084,FIND(",",$C1084)-1))))</f>
        <v/>
      </c>
      <c r="M1084" s="28">
        <f>IF($H1084="","",DATE(YEAR($H1084),MONTH($H1084),1))</f>
        <v/>
      </c>
      <c r="N1084" s="26">
        <f>IF($H1084="","",TODAY()-$H1084)</f>
        <v/>
      </c>
      <c r="O1084" s="15" t="n"/>
      <c r="P1084" s="26">
        <f>IF($A1084="","",COUNTIFS('Audit Versions'!$A$6:$A$605,$A1084,'Audit Versions'!$L$6:$L$605,"Active"))</f>
        <v/>
      </c>
      <c r="Q1084" s="15" t="n"/>
      <c r="R1084" s="26">
        <f>IF(OR($A1084="",$P1084=0),"",MOD(N($Q1084),$P1084)+1)</f>
        <v/>
      </c>
      <c r="S1084" s="15" t="n"/>
      <c r="T1084" s="25" t="n"/>
      <c r="U1084" s="26">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Builder'!$B$12="",N($S1084)&lt;='Assignment Builder'!$B$12)))</f>
        <v/>
      </c>
      <c r="V1084" s="23" t="n"/>
    </row>
    <row r="1085">
      <c r="A1085" s="23" t="n"/>
      <c r="B1085" s="23" t="n"/>
      <c r="C1085" s="24" t="n"/>
      <c r="D1085" s="15" t="n"/>
      <c r="E1085" s="23" t="n"/>
      <c r="F1085" s="15" t="n"/>
      <c r="G1085" s="23" t="n"/>
      <c r="H1085" s="25" t="n"/>
      <c r="I1085" s="15" t="n"/>
      <c r="J1085" s="26">
        <f>IF($A1085="","",LEN($C1085)-LEN(SUBSTITUTE($C1085,",",""))+1)</f>
        <v/>
      </c>
      <c r="K1085" s="26">
        <f>IF($A1085="","",SUMPRODUCT(--ISNUMBER(SEARCH('Category Dictionary'!$D$5:$D$135&amp;"",$C1085)),--('Category Dictionary'!$D$5:$D$135&lt;&gt;"")))</f>
        <v/>
      </c>
      <c r="L1085" s="27">
        <f>IF($A1085="","",TRIM(IF(ISERROR(FIND(",",$C1085)),$C1085,LEFT($C1085,FIND(",",$C1085)-1))))</f>
        <v/>
      </c>
      <c r="M1085" s="28">
        <f>IF($H1085="","",DATE(YEAR($H1085),MONTH($H1085),1))</f>
        <v/>
      </c>
      <c r="N1085" s="26">
        <f>IF($H1085="","",TODAY()-$H1085)</f>
        <v/>
      </c>
      <c r="O1085" s="15" t="n"/>
      <c r="P1085" s="26">
        <f>IF($A1085="","",COUNTIFS('Audit Versions'!$A$6:$A$605,$A1085,'Audit Versions'!$L$6:$L$605,"Active"))</f>
        <v/>
      </c>
      <c r="Q1085" s="15" t="n"/>
      <c r="R1085" s="26">
        <f>IF(OR($A1085="",$P1085=0),"",MOD(N($Q1085),$P1085)+1)</f>
        <v/>
      </c>
      <c r="S1085" s="15" t="n"/>
      <c r="T1085" s="25" t="n"/>
      <c r="U1085" s="26">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Builder'!$B$12="",N($S1085)&lt;='Assignment Builder'!$B$12)))</f>
        <v/>
      </c>
      <c r="V1085" s="23" t="n"/>
    </row>
    <row r="1086">
      <c r="A1086" s="23" t="n"/>
      <c r="B1086" s="23" t="n"/>
      <c r="C1086" s="24" t="n"/>
      <c r="D1086" s="15" t="n"/>
      <c r="E1086" s="23" t="n"/>
      <c r="F1086" s="15" t="n"/>
      <c r="G1086" s="23" t="n"/>
      <c r="H1086" s="25" t="n"/>
      <c r="I1086" s="15" t="n"/>
      <c r="J1086" s="26">
        <f>IF($A1086="","",LEN($C1086)-LEN(SUBSTITUTE($C1086,",",""))+1)</f>
        <v/>
      </c>
      <c r="K1086" s="26">
        <f>IF($A1086="","",SUMPRODUCT(--ISNUMBER(SEARCH('Category Dictionary'!$D$5:$D$135&amp;"",$C1086)),--('Category Dictionary'!$D$5:$D$135&lt;&gt;"")))</f>
        <v/>
      </c>
      <c r="L1086" s="27">
        <f>IF($A1086="","",TRIM(IF(ISERROR(FIND(",",$C1086)),$C1086,LEFT($C1086,FIND(",",$C1086)-1))))</f>
        <v/>
      </c>
      <c r="M1086" s="28">
        <f>IF($H1086="","",DATE(YEAR($H1086),MONTH($H1086),1))</f>
        <v/>
      </c>
      <c r="N1086" s="26">
        <f>IF($H1086="","",TODAY()-$H1086)</f>
        <v/>
      </c>
      <c r="O1086" s="15" t="n"/>
      <c r="P1086" s="26">
        <f>IF($A1086="","",COUNTIFS('Audit Versions'!$A$6:$A$605,$A1086,'Audit Versions'!$L$6:$L$605,"Active"))</f>
        <v/>
      </c>
      <c r="Q1086" s="15" t="n"/>
      <c r="R1086" s="26">
        <f>IF(OR($A1086="",$P1086=0),"",MOD(N($Q1086),$P1086)+1)</f>
        <v/>
      </c>
      <c r="S1086" s="15" t="n"/>
      <c r="T1086" s="25" t="n"/>
      <c r="U1086" s="26">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Builder'!$B$12="",N($S1086)&lt;='Assignment Builder'!$B$12)))</f>
        <v/>
      </c>
      <c r="V1086" s="23" t="n"/>
    </row>
    <row r="1087">
      <c r="A1087" s="23" t="n"/>
      <c r="B1087" s="23" t="n"/>
      <c r="C1087" s="24" t="n"/>
      <c r="D1087" s="15" t="n"/>
      <c r="E1087" s="23" t="n"/>
      <c r="F1087" s="15" t="n"/>
      <c r="G1087" s="23" t="n"/>
      <c r="H1087" s="25" t="n"/>
      <c r="I1087" s="15" t="n"/>
      <c r="J1087" s="26">
        <f>IF($A1087="","",LEN($C1087)-LEN(SUBSTITUTE($C1087,",",""))+1)</f>
        <v/>
      </c>
      <c r="K1087" s="26">
        <f>IF($A1087="","",SUMPRODUCT(--ISNUMBER(SEARCH('Category Dictionary'!$D$5:$D$135&amp;"",$C1087)),--('Category Dictionary'!$D$5:$D$135&lt;&gt;"")))</f>
        <v/>
      </c>
      <c r="L1087" s="27">
        <f>IF($A1087="","",TRIM(IF(ISERROR(FIND(",",$C1087)),$C1087,LEFT($C1087,FIND(",",$C1087)-1))))</f>
        <v/>
      </c>
      <c r="M1087" s="28">
        <f>IF($H1087="","",DATE(YEAR($H1087),MONTH($H1087),1))</f>
        <v/>
      </c>
      <c r="N1087" s="26">
        <f>IF($H1087="","",TODAY()-$H1087)</f>
        <v/>
      </c>
      <c r="O1087" s="15" t="n"/>
      <c r="P1087" s="26">
        <f>IF($A1087="","",COUNTIFS('Audit Versions'!$A$6:$A$605,$A1087,'Audit Versions'!$L$6:$L$605,"Active"))</f>
        <v/>
      </c>
      <c r="Q1087" s="15" t="n"/>
      <c r="R1087" s="26">
        <f>IF(OR($A1087="",$P1087=0),"",MOD(N($Q1087),$P1087)+1)</f>
        <v/>
      </c>
      <c r="S1087" s="15" t="n"/>
      <c r="T1087" s="25" t="n"/>
      <c r="U1087" s="26">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Builder'!$B$12="",N($S1087)&lt;='Assignment Builder'!$B$12)))</f>
        <v/>
      </c>
      <c r="V1087" s="23" t="n"/>
    </row>
    <row r="1088">
      <c r="A1088" s="23" t="n"/>
      <c r="B1088" s="23" t="n"/>
      <c r="C1088" s="24" t="n"/>
      <c r="D1088" s="15" t="n"/>
      <c r="E1088" s="23" t="n"/>
      <c r="F1088" s="15" t="n"/>
      <c r="G1088" s="23" t="n"/>
      <c r="H1088" s="25" t="n"/>
      <c r="I1088" s="15" t="n"/>
      <c r="J1088" s="26">
        <f>IF($A1088="","",LEN($C1088)-LEN(SUBSTITUTE($C1088,",",""))+1)</f>
        <v/>
      </c>
      <c r="K1088" s="26">
        <f>IF($A1088="","",SUMPRODUCT(--ISNUMBER(SEARCH('Category Dictionary'!$D$5:$D$135&amp;"",$C1088)),--('Category Dictionary'!$D$5:$D$135&lt;&gt;"")))</f>
        <v/>
      </c>
      <c r="L1088" s="27">
        <f>IF($A1088="","",TRIM(IF(ISERROR(FIND(",",$C1088)),$C1088,LEFT($C1088,FIND(",",$C1088)-1))))</f>
        <v/>
      </c>
      <c r="M1088" s="28">
        <f>IF($H1088="","",DATE(YEAR($H1088),MONTH($H1088),1))</f>
        <v/>
      </c>
      <c r="N1088" s="26">
        <f>IF($H1088="","",TODAY()-$H1088)</f>
        <v/>
      </c>
      <c r="O1088" s="15" t="n"/>
      <c r="P1088" s="26">
        <f>IF($A1088="","",COUNTIFS('Audit Versions'!$A$6:$A$605,$A1088,'Audit Versions'!$L$6:$L$605,"Active"))</f>
        <v/>
      </c>
      <c r="Q1088" s="15" t="n"/>
      <c r="R1088" s="26">
        <f>IF(OR($A1088="",$P1088=0),"",MOD(N($Q1088),$P1088)+1)</f>
        <v/>
      </c>
      <c r="S1088" s="15" t="n"/>
      <c r="T1088" s="25" t="n"/>
      <c r="U1088" s="26">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Builder'!$B$12="",N($S1088)&lt;='Assignment Builder'!$B$12)))</f>
        <v/>
      </c>
      <c r="V1088" s="23" t="n"/>
    </row>
    <row r="1089">
      <c r="A1089" s="23" t="n"/>
      <c r="B1089" s="23" t="n"/>
      <c r="C1089" s="24" t="n"/>
      <c r="D1089" s="15" t="n"/>
      <c r="E1089" s="23" t="n"/>
      <c r="F1089" s="15" t="n"/>
      <c r="G1089" s="23" t="n"/>
      <c r="H1089" s="25" t="n"/>
      <c r="I1089" s="15" t="n"/>
      <c r="J1089" s="26">
        <f>IF($A1089="","",LEN($C1089)-LEN(SUBSTITUTE($C1089,",",""))+1)</f>
        <v/>
      </c>
      <c r="K1089" s="26">
        <f>IF($A1089="","",SUMPRODUCT(--ISNUMBER(SEARCH('Category Dictionary'!$D$5:$D$135&amp;"",$C1089)),--('Category Dictionary'!$D$5:$D$135&lt;&gt;"")))</f>
        <v/>
      </c>
      <c r="L1089" s="27">
        <f>IF($A1089="","",TRIM(IF(ISERROR(FIND(",",$C1089)),$C1089,LEFT($C1089,FIND(",",$C1089)-1))))</f>
        <v/>
      </c>
      <c r="M1089" s="28">
        <f>IF($H1089="","",DATE(YEAR($H1089),MONTH($H1089),1))</f>
        <v/>
      </c>
      <c r="N1089" s="26">
        <f>IF($H1089="","",TODAY()-$H1089)</f>
        <v/>
      </c>
      <c r="O1089" s="15" t="n"/>
      <c r="P1089" s="26">
        <f>IF($A1089="","",COUNTIFS('Audit Versions'!$A$6:$A$605,$A1089,'Audit Versions'!$L$6:$L$605,"Active"))</f>
        <v/>
      </c>
      <c r="Q1089" s="15" t="n"/>
      <c r="R1089" s="26">
        <f>IF(OR($A1089="",$P1089=0),"",MOD(N($Q1089),$P1089)+1)</f>
        <v/>
      </c>
      <c r="S1089" s="15" t="n"/>
      <c r="T1089" s="25" t="n"/>
      <c r="U1089" s="26">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Builder'!$B$12="",N($S1089)&lt;='Assignment Builder'!$B$12)))</f>
        <v/>
      </c>
      <c r="V1089" s="23" t="n"/>
    </row>
    <row r="1090">
      <c r="A1090" s="23" t="n"/>
      <c r="B1090" s="23" t="n"/>
      <c r="C1090" s="24" t="n"/>
      <c r="D1090" s="15" t="n"/>
      <c r="E1090" s="23" t="n"/>
      <c r="F1090" s="15" t="n"/>
      <c r="G1090" s="23" t="n"/>
      <c r="H1090" s="25" t="n"/>
      <c r="I1090" s="15" t="n"/>
      <c r="J1090" s="26">
        <f>IF($A1090="","",LEN($C1090)-LEN(SUBSTITUTE($C1090,",",""))+1)</f>
        <v/>
      </c>
      <c r="K1090" s="26">
        <f>IF($A1090="","",SUMPRODUCT(--ISNUMBER(SEARCH('Category Dictionary'!$D$5:$D$135&amp;"",$C1090)),--('Category Dictionary'!$D$5:$D$135&lt;&gt;"")))</f>
        <v/>
      </c>
      <c r="L1090" s="27">
        <f>IF($A1090="","",TRIM(IF(ISERROR(FIND(",",$C1090)),$C1090,LEFT($C1090,FIND(",",$C1090)-1))))</f>
        <v/>
      </c>
      <c r="M1090" s="28">
        <f>IF($H1090="","",DATE(YEAR($H1090),MONTH($H1090),1))</f>
        <v/>
      </c>
      <c r="N1090" s="26">
        <f>IF($H1090="","",TODAY()-$H1090)</f>
        <v/>
      </c>
      <c r="O1090" s="15" t="n"/>
      <c r="P1090" s="26">
        <f>IF($A1090="","",COUNTIFS('Audit Versions'!$A$6:$A$605,$A1090,'Audit Versions'!$L$6:$L$605,"Active"))</f>
        <v/>
      </c>
      <c r="Q1090" s="15" t="n"/>
      <c r="R1090" s="26">
        <f>IF(OR($A1090="",$P1090=0),"",MOD(N($Q1090),$P1090)+1)</f>
        <v/>
      </c>
      <c r="S1090" s="15" t="n"/>
      <c r="T1090" s="25" t="n"/>
      <c r="U1090" s="26">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Builder'!$B$12="",N($S1090)&lt;='Assignment Builder'!$B$12)))</f>
        <v/>
      </c>
      <c r="V1090" s="23" t="n"/>
    </row>
    <row r="1091">
      <c r="A1091" s="23" t="n"/>
      <c r="B1091" s="23" t="n"/>
      <c r="C1091" s="24" t="n"/>
      <c r="D1091" s="15" t="n"/>
      <c r="E1091" s="23" t="n"/>
      <c r="F1091" s="15" t="n"/>
      <c r="G1091" s="23" t="n"/>
      <c r="H1091" s="25" t="n"/>
      <c r="I1091" s="15" t="n"/>
      <c r="J1091" s="26">
        <f>IF($A1091="","",LEN($C1091)-LEN(SUBSTITUTE($C1091,",",""))+1)</f>
        <v/>
      </c>
      <c r="K1091" s="26">
        <f>IF($A1091="","",SUMPRODUCT(--ISNUMBER(SEARCH('Category Dictionary'!$D$5:$D$135&amp;"",$C1091)),--('Category Dictionary'!$D$5:$D$135&lt;&gt;"")))</f>
        <v/>
      </c>
      <c r="L1091" s="27">
        <f>IF($A1091="","",TRIM(IF(ISERROR(FIND(",",$C1091)),$C1091,LEFT($C1091,FIND(",",$C1091)-1))))</f>
        <v/>
      </c>
      <c r="M1091" s="28">
        <f>IF($H1091="","",DATE(YEAR($H1091),MONTH($H1091),1))</f>
        <v/>
      </c>
      <c r="N1091" s="26">
        <f>IF($H1091="","",TODAY()-$H1091)</f>
        <v/>
      </c>
      <c r="O1091" s="15" t="n"/>
      <c r="P1091" s="26">
        <f>IF($A1091="","",COUNTIFS('Audit Versions'!$A$6:$A$605,$A1091,'Audit Versions'!$L$6:$L$605,"Active"))</f>
        <v/>
      </c>
      <c r="Q1091" s="15" t="n"/>
      <c r="R1091" s="26">
        <f>IF(OR($A1091="",$P1091=0),"",MOD(N($Q1091),$P1091)+1)</f>
        <v/>
      </c>
      <c r="S1091" s="15" t="n"/>
      <c r="T1091" s="25" t="n"/>
      <c r="U1091" s="26">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Builder'!$B$12="",N($S1091)&lt;='Assignment Builder'!$B$12)))</f>
        <v/>
      </c>
      <c r="V1091" s="23" t="n"/>
    </row>
    <row r="1092">
      <c r="A1092" s="23" t="n"/>
      <c r="B1092" s="23" t="n"/>
      <c r="C1092" s="24" t="n"/>
      <c r="D1092" s="15" t="n"/>
      <c r="E1092" s="23" t="n"/>
      <c r="F1092" s="15" t="n"/>
      <c r="G1092" s="23" t="n"/>
      <c r="H1092" s="25" t="n"/>
      <c r="I1092" s="15" t="n"/>
      <c r="J1092" s="26">
        <f>IF($A1092="","",LEN($C1092)-LEN(SUBSTITUTE($C1092,",",""))+1)</f>
        <v/>
      </c>
      <c r="K1092" s="26">
        <f>IF($A1092="","",SUMPRODUCT(--ISNUMBER(SEARCH('Category Dictionary'!$D$5:$D$135&amp;"",$C1092)),--('Category Dictionary'!$D$5:$D$135&lt;&gt;"")))</f>
        <v/>
      </c>
      <c r="L1092" s="27">
        <f>IF($A1092="","",TRIM(IF(ISERROR(FIND(",",$C1092)),$C1092,LEFT($C1092,FIND(",",$C1092)-1))))</f>
        <v/>
      </c>
      <c r="M1092" s="28">
        <f>IF($H1092="","",DATE(YEAR($H1092),MONTH($H1092),1))</f>
        <v/>
      </c>
      <c r="N1092" s="26">
        <f>IF($H1092="","",TODAY()-$H1092)</f>
        <v/>
      </c>
      <c r="O1092" s="15" t="n"/>
      <c r="P1092" s="26">
        <f>IF($A1092="","",COUNTIFS('Audit Versions'!$A$6:$A$605,$A1092,'Audit Versions'!$L$6:$L$605,"Active"))</f>
        <v/>
      </c>
      <c r="Q1092" s="15" t="n"/>
      <c r="R1092" s="26">
        <f>IF(OR($A1092="",$P1092=0),"",MOD(N($Q1092),$P1092)+1)</f>
        <v/>
      </c>
      <c r="S1092" s="15" t="n"/>
      <c r="T1092" s="25" t="n"/>
      <c r="U1092" s="26">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Builder'!$B$12="",N($S1092)&lt;='Assignment Builder'!$B$12)))</f>
        <v/>
      </c>
      <c r="V1092" s="23" t="n"/>
    </row>
    <row r="1093">
      <c r="A1093" s="23" t="n"/>
      <c r="B1093" s="23" t="n"/>
      <c r="C1093" s="24" t="n"/>
      <c r="D1093" s="15" t="n"/>
      <c r="E1093" s="23" t="n"/>
      <c r="F1093" s="15" t="n"/>
      <c r="G1093" s="23" t="n"/>
      <c r="H1093" s="25" t="n"/>
      <c r="I1093" s="15" t="n"/>
      <c r="J1093" s="26">
        <f>IF($A1093="","",LEN($C1093)-LEN(SUBSTITUTE($C1093,",",""))+1)</f>
        <v/>
      </c>
      <c r="K1093" s="26">
        <f>IF($A1093="","",SUMPRODUCT(--ISNUMBER(SEARCH('Category Dictionary'!$D$5:$D$135&amp;"",$C1093)),--('Category Dictionary'!$D$5:$D$135&lt;&gt;"")))</f>
        <v/>
      </c>
      <c r="L1093" s="27">
        <f>IF($A1093="","",TRIM(IF(ISERROR(FIND(",",$C1093)),$C1093,LEFT($C1093,FIND(",",$C1093)-1))))</f>
        <v/>
      </c>
      <c r="M1093" s="28">
        <f>IF($H1093="","",DATE(YEAR($H1093),MONTH($H1093),1))</f>
        <v/>
      </c>
      <c r="N1093" s="26">
        <f>IF($H1093="","",TODAY()-$H1093)</f>
        <v/>
      </c>
      <c r="O1093" s="15" t="n"/>
      <c r="P1093" s="26">
        <f>IF($A1093="","",COUNTIFS('Audit Versions'!$A$6:$A$605,$A1093,'Audit Versions'!$L$6:$L$605,"Active"))</f>
        <v/>
      </c>
      <c r="Q1093" s="15" t="n"/>
      <c r="R1093" s="26">
        <f>IF(OR($A1093="",$P1093=0),"",MOD(N($Q1093),$P1093)+1)</f>
        <v/>
      </c>
      <c r="S1093" s="15" t="n"/>
      <c r="T1093" s="25" t="n"/>
      <c r="U1093" s="26">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Builder'!$B$12="",N($S1093)&lt;='Assignment Builder'!$B$12)))</f>
        <v/>
      </c>
      <c r="V1093" s="23" t="n"/>
    </row>
    <row r="1094">
      <c r="A1094" s="23" t="n"/>
      <c r="B1094" s="23" t="n"/>
      <c r="C1094" s="24" t="n"/>
      <c r="D1094" s="15" t="n"/>
      <c r="E1094" s="23" t="n"/>
      <c r="F1094" s="15" t="n"/>
      <c r="G1094" s="23" t="n"/>
      <c r="H1094" s="25" t="n"/>
      <c r="I1094" s="15" t="n"/>
      <c r="J1094" s="26">
        <f>IF($A1094="","",LEN($C1094)-LEN(SUBSTITUTE($C1094,",",""))+1)</f>
        <v/>
      </c>
      <c r="K1094" s="26">
        <f>IF($A1094="","",SUMPRODUCT(--ISNUMBER(SEARCH('Category Dictionary'!$D$5:$D$135&amp;"",$C1094)),--('Category Dictionary'!$D$5:$D$135&lt;&gt;"")))</f>
        <v/>
      </c>
      <c r="L1094" s="27">
        <f>IF($A1094="","",TRIM(IF(ISERROR(FIND(",",$C1094)),$C1094,LEFT($C1094,FIND(",",$C1094)-1))))</f>
        <v/>
      </c>
      <c r="M1094" s="28">
        <f>IF($H1094="","",DATE(YEAR($H1094),MONTH($H1094),1))</f>
        <v/>
      </c>
      <c r="N1094" s="26">
        <f>IF($H1094="","",TODAY()-$H1094)</f>
        <v/>
      </c>
      <c r="O1094" s="15" t="n"/>
      <c r="P1094" s="26">
        <f>IF($A1094="","",COUNTIFS('Audit Versions'!$A$6:$A$605,$A1094,'Audit Versions'!$L$6:$L$605,"Active"))</f>
        <v/>
      </c>
      <c r="Q1094" s="15" t="n"/>
      <c r="R1094" s="26">
        <f>IF(OR($A1094="",$P1094=0),"",MOD(N($Q1094),$P1094)+1)</f>
        <v/>
      </c>
      <c r="S1094" s="15" t="n"/>
      <c r="T1094" s="25" t="n"/>
      <c r="U1094" s="26">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Builder'!$B$12="",N($S1094)&lt;='Assignment Builder'!$B$12)))</f>
        <v/>
      </c>
      <c r="V1094" s="23" t="n"/>
    </row>
    <row r="1095">
      <c r="A1095" s="23" t="n"/>
      <c r="B1095" s="23" t="n"/>
      <c r="C1095" s="24" t="n"/>
      <c r="D1095" s="15" t="n"/>
      <c r="E1095" s="23" t="n"/>
      <c r="F1095" s="15" t="n"/>
      <c r="G1095" s="23" t="n"/>
      <c r="H1095" s="25" t="n"/>
      <c r="I1095" s="15" t="n"/>
      <c r="J1095" s="26">
        <f>IF($A1095="","",LEN($C1095)-LEN(SUBSTITUTE($C1095,",",""))+1)</f>
        <v/>
      </c>
      <c r="K1095" s="26">
        <f>IF($A1095="","",SUMPRODUCT(--ISNUMBER(SEARCH('Category Dictionary'!$D$5:$D$135&amp;"",$C1095)),--('Category Dictionary'!$D$5:$D$135&lt;&gt;"")))</f>
        <v/>
      </c>
      <c r="L1095" s="27">
        <f>IF($A1095="","",TRIM(IF(ISERROR(FIND(",",$C1095)),$C1095,LEFT($C1095,FIND(",",$C1095)-1))))</f>
        <v/>
      </c>
      <c r="M1095" s="28">
        <f>IF($H1095="","",DATE(YEAR($H1095),MONTH($H1095),1))</f>
        <v/>
      </c>
      <c r="N1095" s="26">
        <f>IF($H1095="","",TODAY()-$H1095)</f>
        <v/>
      </c>
      <c r="O1095" s="15" t="n"/>
      <c r="P1095" s="26">
        <f>IF($A1095="","",COUNTIFS('Audit Versions'!$A$6:$A$605,$A1095,'Audit Versions'!$L$6:$L$605,"Active"))</f>
        <v/>
      </c>
      <c r="Q1095" s="15" t="n"/>
      <c r="R1095" s="26">
        <f>IF(OR($A1095="",$P1095=0),"",MOD(N($Q1095),$P1095)+1)</f>
        <v/>
      </c>
      <c r="S1095" s="15" t="n"/>
      <c r="T1095" s="25" t="n"/>
      <c r="U1095" s="26">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Builder'!$B$12="",N($S1095)&lt;='Assignment Builder'!$B$12)))</f>
        <v/>
      </c>
      <c r="V1095" s="23" t="n"/>
    </row>
    <row r="1096">
      <c r="A1096" s="23" t="n"/>
      <c r="B1096" s="23" t="n"/>
      <c r="C1096" s="24" t="n"/>
      <c r="D1096" s="15" t="n"/>
      <c r="E1096" s="23" t="n"/>
      <c r="F1096" s="15" t="n"/>
      <c r="G1096" s="23" t="n"/>
      <c r="H1096" s="25" t="n"/>
      <c r="I1096" s="15" t="n"/>
      <c r="J1096" s="26">
        <f>IF($A1096="","",LEN($C1096)-LEN(SUBSTITUTE($C1096,",",""))+1)</f>
        <v/>
      </c>
      <c r="K1096" s="26">
        <f>IF($A1096="","",SUMPRODUCT(--ISNUMBER(SEARCH('Category Dictionary'!$D$5:$D$135&amp;"",$C1096)),--('Category Dictionary'!$D$5:$D$135&lt;&gt;"")))</f>
        <v/>
      </c>
      <c r="L1096" s="27">
        <f>IF($A1096="","",TRIM(IF(ISERROR(FIND(",",$C1096)),$C1096,LEFT($C1096,FIND(",",$C1096)-1))))</f>
        <v/>
      </c>
      <c r="M1096" s="28">
        <f>IF($H1096="","",DATE(YEAR($H1096),MONTH($H1096),1))</f>
        <v/>
      </c>
      <c r="N1096" s="26">
        <f>IF($H1096="","",TODAY()-$H1096)</f>
        <v/>
      </c>
      <c r="O1096" s="15" t="n"/>
      <c r="P1096" s="26">
        <f>IF($A1096="","",COUNTIFS('Audit Versions'!$A$6:$A$605,$A1096,'Audit Versions'!$L$6:$L$605,"Active"))</f>
        <v/>
      </c>
      <c r="Q1096" s="15" t="n"/>
      <c r="R1096" s="26">
        <f>IF(OR($A1096="",$P1096=0),"",MOD(N($Q1096),$P1096)+1)</f>
        <v/>
      </c>
      <c r="S1096" s="15" t="n"/>
      <c r="T1096" s="25" t="n"/>
      <c r="U1096" s="26">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Builder'!$B$12="",N($S1096)&lt;='Assignment Builder'!$B$12)))</f>
        <v/>
      </c>
      <c r="V1096" s="23" t="n"/>
    </row>
    <row r="1097">
      <c r="A1097" s="23" t="n"/>
      <c r="B1097" s="23" t="n"/>
      <c r="C1097" s="24" t="n"/>
      <c r="D1097" s="15" t="n"/>
      <c r="E1097" s="23" t="n"/>
      <c r="F1097" s="15" t="n"/>
      <c r="G1097" s="23" t="n"/>
      <c r="H1097" s="25" t="n"/>
      <c r="I1097" s="15" t="n"/>
      <c r="J1097" s="26">
        <f>IF($A1097="","",LEN($C1097)-LEN(SUBSTITUTE($C1097,",",""))+1)</f>
        <v/>
      </c>
      <c r="K1097" s="26">
        <f>IF($A1097="","",SUMPRODUCT(--ISNUMBER(SEARCH('Category Dictionary'!$D$5:$D$135&amp;"",$C1097)),--('Category Dictionary'!$D$5:$D$135&lt;&gt;"")))</f>
        <v/>
      </c>
      <c r="L1097" s="27">
        <f>IF($A1097="","",TRIM(IF(ISERROR(FIND(",",$C1097)),$C1097,LEFT($C1097,FIND(",",$C1097)-1))))</f>
        <v/>
      </c>
      <c r="M1097" s="28">
        <f>IF($H1097="","",DATE(YEAR($H1097),MONTH($H1097),1))</f>
        <v/>
      </c>
      <c r="N1097" s="26">
        <f>IF($H1097="","",TODAY()-$H1097)</f>
        <v/>
      </c>
      <c r="O1097" s="15" t="n"/>
      <c r="P1097" s="26">
        <f>IF($A1097="","",COUNTIFS('Audit Versions'!$A$6:$A$605,$A1097,'Audit Versions'!$L$6:$L$605,"Active"))</f>
        <v/>
      </c>
      <c r="Q1097" s="15" t="n"/>
      <c r="R1097" s="26">
        <f>IF(OR($A1097="",$P1097=0),"",MOD(N($Q1097),$P1097)+1)</f>
        <v/>
      </c>
      <c r="S1097" s="15" t="n"/>
      <c r="T1097" s="25" t="n"/>
      <c r="U1097" s="26">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Builder'!$B$12="",N($S1097)&lt;='Assignment Builder'!$B$12)))</f>
        <v/>
      </c>
      <c r="V1097" s="23" t="n"/>
    </row>
    <row r="1098">
      <c r="A1098" s="23" t="n"/>
      <c r="B1098" s="23" t="n"/>
      <c r="C1098" s="24" t="n"/>
      <c r="D1098" s="15" t="n"/>
      <c r="E1098" s="23" t="n"/>
      <c r="F1098" s="15" t="n"/>
      <c r="G1098" s="23" t="n"/>
      <c r="H1098" s="25" t="n"/>
      <c r="I1098" s="15" t="n"/>
      <c r="J1098" s="26">
        <f>IF($A1098="","",LEN($C1098)-LEN(SUBSTITUTE($C1098,",",""))+1)</f>
        <v/>
      </c>
      <c r="K1098" s="26">
        <f>IF($A1098="","",SUMPRODUCT(--ISNUMBER(SEARCH('Category Dictionary'!$D$5:$D$135&amp;"",$C1098)),--('Category Dictionary'!$D$5:$D$135&lt;&gt;"")))</f>
        <v/>
      </c>
      <c r="L1098" s="27">
        <f>IF($A1098="","",TRIM(IF(ISERROR(FIND(",",$C1098)),$C1098,LEFT($C1098,FIND(",",$C1098)-1))))</f>
        <v/>
      </c>
      <c r="M1098" s="28">
        <f>IF($H1098="","",DATE(YEAR($H1098),MONTH($H1098),1))</f>
        <v/>
      </c>
      <c r="N1098" s="26">
        <f>IF($H1098="","",TODAY()-$H1098)</f>
        <v/>
      </c>
      <c r="O1098" s="15" t="n"/>
      <c r="P1098" s="26">
        <f>IF($A1098="","",COUNTIFS('Audit Versions'!$A$6:$A$605,$A1098,'Audit Versions'!$L$6:$L$605,"Active"))</f>
        <v/>
      </c>
      <c r="Q1098" s="15" t="n"/>
      <c r="R1098" s="26">
        <f>IF(OR($A1098="",$P1098=0),"",MOD(N($Q1098),$P1098)+1)</f>
        <v/>
      </c>
      <c r="S1098" s="15" t="n"/>
      <c r="T1098" s="25" t="n"/>
      <c r="U1098" s="26">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Builder'!$B$12="",N($S1098)&lt;='Assignment Builder'!$B$12)))</f>
        <v/>
      </c>
      <c r="V1098" s="23" t="n"/>
    </row>
    <row r="1099">
      <c r="A1099" s="23" t="n"/>
      <c r="B1099" s="23" t="n"/>
      <c r="C1099" s="24" t="n"/>
      <c r="D1099" s="15" t="n"/>
      <c r="E1099" s="23" t="n"/>
      <c r="F1099" s="15" t="n"/>
      <c r="G1099" s="23" t="n"/>
      <c r="H1099" s="25" t="n"/>
      <c r="I1099" s="15" t="n"/>
      <c r="J1099" s="26">
        <f>IF($A1099="","",LEN($C1099)-LEN(SUBSTITUTE($C1099,",",""))+1)</f>
        <v/>
      </c>
      <c r="K1099" s="26">
        <f>IF($A1099="","",SUMPRODUCT(--ISNUMBER(SEARCH('Category Dictionary'!$D$5:$D$135&amp;"",$C1099)),--('Category Dictionary'!$D$5:$D$135&lt;&gt;"")))</f>
        <v/>
      </c>
      <c r="L1099" s="27">
        <f>IF($A1099="","",TRIM(IF(ISERROR(FIND(",",$C1099)),$C1099,LEFT($C1099,FIND(",",$C1099)-1))))</f>
        <v/>
      </c>
      <c r="M1099" s="28">
        <f>IF($H1099="","",DATE(YEAR($H1099),MONTH($H1099),1))</f>
        <v/>
      </c>
      <c r="N1099" s="26">
        <f>IF($H1099="","",TODAY()-$H1099)</f>
        <v/>
      </c>
      <c r="O1099" s="15" t="n"/>
      <c r="P1099" s="26">
        <f>IF($A1099="","",COUNTIFS('Audit Versions'!$A$6:$A$605,$A1099,'Audit Versions'!$L$6:$L$605,"Active"))</f>
        <v/>
      </c>
      <c r="Q1099" s="15" t="n"/>
      <c r="R1099" s="26">
        <f>IF(OR($A1099="",$P1099=0),"",MOD(N($Q1099),$P1099)+1)</f>
        <v/>
      </c>
      <c r="S1099" s="15" t="n"/>
      <c r="T1099" s="25" t="n"/>
      <c r="U1099" s="26">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Builder'!$B$12="",N($S1099)&lt;='Assignment Builder'!$B$12)))</f>
        <v/>
      </c>
      <c r="V1099" s="23" t="n"/>
    </row>
    <row r="1100">
      <c r="A1100" s="23" t="n"/>
      <c r="B1100" s="23" t="n"/>
      <c r="C1100" s="24" t="n"/>
      <c r="D1100" s="15" t="n"/>
      <c r="E1100" s="23" t="n"/>
      <c r="F1100" s="15" t="n"/>
      <c r="G1100" s="23" t="n"/>
      <c r="H1100" s="25" t="n"/>
      <c r="I1100" s="15" t="n"/>
      <c r="J1100" s="26">
        <f>IF($A1100="","",LEN($C1100)-LEN(SUBSTITUTE($C1100,",",""))+1)</f>
        <v/>
      </c>
      <c r="K1100" s="26">
        <f>IF($A1100="","",SUMPRODUCT(--ISNUMBER(SEARCH('Category Dictionary'!$D$5:$D$135&amp;"",$C1100)),--('Category Dictionary'!$D$5:$D$135&lt;&gt;"")))</f>
        <v/>
      </c>
      <c r="L1100" s="27">
        <f>IF($A1100="","",TRIM(IF(ISERROR(FIND(",",$C1100)),$C1100,LEFT($C1100,FIND(",",$C1100)-1))))</f>
        <v/>
      </c>
      <c r="M1100" s="28">
        <f>IF($H1100="","",DATE(YEAR($H1100),MONTH($H1100),1))</f>
        <v/>
      </c>
      <c r="N1100" s="26">
        <f>IF($H1100="","",TODAY()-$H1100)</f>
        <v/>
      </c>
      <c r="O1100" s="15" t="n"/>
      <c r="P1100" s="26">
        <f>IF($A1100="","",COUNTIFS('Audit Versions'!$A$6:$A$605,$A1100,'Audit Versions'!$L$6:$L$605,"Active"))</f>
        <v/>
      </c>
      <c r="Q1100" s="15" t="n"/>
      <c r="R1100" s="26">
        <f>IF(OR($A1100="",$P1100=0),"",MOD(N($Q1100),$P1100)+1)</f>
        <v/>
      </c>
      <c r="S1100" s="15" t="n"/>
      <c r="T1100" s="25" t="n"/>
      <c r="U1100" s="26">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Builder'!$B$12="",N($S1100)&lt;='Assignment Builder'!$B$12)))</f>
        <v/>
      </c>
      <c r="V1100" s="23" t="n"/>
    </row>
    <row r="1101">
      <c r="A1101" s="23" t="n"/>
      <c r="B1101" s="23" t="n"/>
      <c r="C1101" s="24" t="n"/>
      <c r="D1101" s="15" t="n"/>
      <c r="E1101" s="23" t="n"/>
      <c r="F1101" s="15" t="n"/>
      <c r="G1101" s="23" t="n"/>
      <c r="H1101" s="25" t="n"/>
      <c r="I1101" s="15" t="n"/>
      <c r="J1101" s="26">
        <f>IF($A1101="","",LEN($C1101)-LEN(SUBSTITUTE($C1101,",",""))+1)</f>
        <v/>
      </c>
      <c r="K1101" s="26">
        <f>IF($A1101="","",SUMPRODUCT(--ISNUMBER(SEARCH('Category Dictionary'!$D$5:$D$135&amp;"",$C1101)),--('Category Dictionary'!$D$5:$D$135&lt;&gt;"")))</f>
        <v/>
      </c>
      <c r="L1101" s="27">
        <f>IF($A1101="","",TRIM(IF(ISERROR(FIND(",",$C1101)),$C1101,LEFT($C1101,FIND(",",$C1101)-1))))</f>
        <v/>
      </c>
      <c r="M1101" s="28">
        <f>IF($H1101="","",DATE(YEAR($H1101),MONTH($H1101),1))</f>
        <v/>
      </c>
      <c r="N1101" s="26">
        <f>IF($H1101="","",TODAY()-$H1101)</f>
        <v/>
      </c>
      <c r="O1101" s="15" t="n"/>
      <c r="P1101" s="26">
        <f>IF($A1101="","",COUNTIFS('Audit Versions'!$A$6:$A$605,$A1101,'Audit Versions'!$L$6:$L$605,"Active"))</f>
        <v/>
      </c>
      <c r="Q1101" s="15" t="n"/>
      <c r="R1101" s="26">
        <f>IF(OR($A1101="",$P1101=0),"",MOD(N($Q1101),$P1101)+1)</f>
        <v/>
      </c>
      <c r="S1101" s="15" t="n"/>
      <c r="T1101" s="25" t="n"/>
      <c r="U1101" s="26">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Builder'!$B$12="",N($S1101)&lt;='Assignment Builder'!$B$12)))</f>
        <v/>
      </c>
      <c r="V1101" s="23" t="n"/>
    </row>
    <row r="1102">
      <c r="A1102" s="23" t="n"/>
      <c r="B1102" s="23" t="n"/>
      <c r="C1102" s="24" t="n"/>
      <c r="D1102" s="15" t="n"/>
      <c r="E1102" s="23" t="n"/>
      <c r="F1102" s="15" t="n"/>
      <c r="G1102" s="23" t="n"/>
      <c r="H1102" s="25" t="n"/>
      <c r="I1102" s="15" t="n"/>
      <c r="J1102" s="26">
        <f>IF($A1102="","",LEN($C1102)-LEN(SUBSTITUTE($C1102,",",""))+1)</f>
        <v/>
      </c>
      <c r="K1102" s="26">
        <f>IF($A1102="","",SUMPRODUCT(--ISNUMBER(SEARCH('Category Dictionary'!$D$5:$D$135&amp;"",$C1102)),--('Category Dictionary'!$D$5:$D$135&lt;&gt;"")))</f>
        <v/>
      </c>
      <c r="L1102" s="27">
        <f>IF($A1102="","",TRIM(IF(ISERROR(FIND(",",$C1102)),$C1102,LEFT($C1102,FIND(",",$C1102)-1))))</f>
        <v/>
      </c>
      <c r="M1102" s="28">
        <f>IF($H1102="","",DATE(YEAR($H1102),MONTH($H1102),1))</f>
        <v/>
      </c>
      <c r="N1102" s="26">
        <f>IF($H1102="","",TODAY()-$H1102)</f>
        <v/>
      </c>
      <c r="O1102" s="15" t="n"/>
      <c r="P1102" s="26">
        <f>IF($A1102="","",COUNTIFS('Audit Versions'!$A$6:$A$605,$A1102,'Audit Versions'!$L$6:$L$605,"Active"))</f>
        <v/>
      </c>
      <c r="Q1102" s="15" t="n"/>
      <c r="R1102" s="26">
        <f>IF(OR($A1102="",$P1102=0),"",MOD(N($Q1102),$P1102)+1)</f>
        <v/>
      </c>
      <c r="S1102" s="15" t="n"/>
      <c r="T1102" s="25" t="n"/>
      <c r="U1102" s="26">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Builder'!$B$12="",N($S1102)&lt;='Assignment Builder'!$B$12)))</f>
        <v/>
      </c>
      <c r="V1102" s="23" t="n"/>
    </row>
    <row r="1103">
      <c r="A1103" s="23" t="n"/>
      <c r="B1103" s="23" t="n"/>
      <c r="C1103" s="24" t="n"/>
      <c r="D1103" s="15" t="n"/>
      <c r="E1103" s="23" t="n"/>
      <c r="F1103" s="15" t="n"/>
      <c r="G1103" s="23" t="n"/>
      <c r="H1103" s="25" t="n"/>
      <c r="I1103" s="15" t="n"/>
      <c r="J1103" s="26">
        <f>IF($A1103="","",LEN($C1103)-LEN(SUBSTITUTE($C1103,",",""))+1)</f>
        <v/>
      </c>
      <c r="K1103" s="26">
        <f>IF($A1103="","",SUMPRODUCT(--ISNUMBER(SEARCH('Category Dictionary'!$D$5:$D$135&amp;"",$C1103)),--('Category Dictionary'!$D$5:$D$135&lt;&gt;"")))</f>
        <v/>
      </c>
      <c r="L1103" s="27">
        <f>IF($A1103="","",TRIM(IF(ISERROR(FIND(",",$C1103)),$C1103,LEFT($C1103,FIND(",",$C1103)-1))))</f>
        <v/>
      </c>
      <c r="M1103" s="28">
        <f>IF($H1103="","",DATE(YEAR($H1103),MONTH($H1103),1))</f>
        <v/>
      </c>
      <c r="N1103" s="26">
        <f>IF($H1103="","",TODAY()-$H1103)</f>
        <v/>
      </c>
      <c r="O1103" s="15" t="n"/>
      <c r="P1103" s="26">
        <f>IF($A1103="","",COUNTIFS('Audit Versions'!$A$6:$A$605,$A1103,'Audit Versions'!$L$6:$L$605,"Active"))</f>
        <v/>
      </c>
      <c r="Q1103" s="15" t="n"/>
      <c r="R1103" s="26">
        <f>IF(OR($A1103="",$P1103=0),"",MOD(N($Q1103),$P1103)+1)</f>
        <v/>
      </c>
      <c r="S1103" s="15" t="n"/>
      <c r="T1103" s="25" t="n"/>
      <c r="U1103" s="26">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Builder'!$B$12="",N($S1103)&lt;='Assignment Builder'!$B$12)))</f>
        <v/>
      </c>
      <c r="V1103" s="23" t="n"/>
    </row>
    <row r="1104">
      <c r="A1104" s="23" t="n"/>
      <c r="B1104" s="23" t="n"/>
      <c r="C1104" s="24" t="n"/>
      <c r="D1104" s="15" t="n"/>
      <c r="E1104" s="23" t="n"/>
      <c r="F1104" s="15" t="n"/>
      <c r="G1104" s="23" t="n"/>
      <c r="H1104" s="25" t="n"/>
      <c r="I1104" s="15" t="n"/>
      <c r="J1104" s="26">
        <f>IF($A1104="","",LEN($C1104)-LEN(SUBSTITUTE($C1104,",",""))+1)</f>
        <v/>
      </c>
      <c r="K1104" s="26">
        <f>IF($A1104="","",SUMPRODUCT(--ISNUMBER(SEARCH('Category Dictionary'!$D$5:$D$135&amp;"",$C1104)),--('Category Dictionary'!$D$5:$D$135&lt;&gt;"")))</f>
        <v/>
      </c>
      <c r="L1104" s="27">
        <f>IF($A1104="","",TRIM(IF(ISERROR(FIND(",",$C1104)),$C1104,LEFT($C1104,FIND(",",$C1104)-1))))</f>
        <v/>
      </c>
      <c r="M1104" s="28">
        <f>IF($H1104="","",DATE(YEAR($H1104),MONTH($H1104),1))</f>
        <v/>
      </c>
      <c r="N1104" s="26">
        <f>IF($H1104="","",TODAY()-$H1104)</f>
        <v/>
      </c>
      <c r="O1104" s="15" t="n"/>
      <c r="P1104" s="26">
        <f>IF($A1104="","",COUNTIFS('Audit Versions'!$A$6:$A$605,$A1104,'Audit Versions'!$L$6:$L$605,"Active"))</f>
        <v/>
      </c>
      <c r="Q1104" s="15" t="n"/>
      <c r="R1104" s="26">
        <f>IF(OR($A1104="",$P1104=0),"",MOD(N($Q1104),$P1104)+1)</f>
        <v/>
      </c>
      <c r="S1104" s="15" t="n"/>
      <c r="T1104" s="25" t="n"/>
      <c r="U1104" s="26">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Builder'!$B$12="",N($S1104)&lt;='Assignment Builder'!$B$12)))</f>
        <v/>
      </c>
      <c r="V1104" s="23" t="n"/>
    </row>
    <row r="1105">
      <c r="A1105" s="23" t="n"/>
      <c r="B1105" s="23" t="n"/>
      <c r="C1105" s="24" t="n"/>
      <c r="D1105" s="15" t="n"/>
      <c r="E1105" s="23" t="n"/>
      <c r="F1105" s="15" t="n"/>
      <c r="G1105" s="23" t="n"/>
      <c r="H1105" s="25" t="n"/>
      <c r="I1105" s="15" t="n"/>
      <c r="J1105" s="26">
        <f>IF($A1105="","",LEN($C1105)-LEN(SUBSTITUTE($C1105,",",""))+1)</f>
        <v/>
      </c>
      <c r="K1105" s="26">
        <f>IF($A1105="","",SUMPRODUCT(--ISNUMBER(SEARCH('Category Dictionary'!$D$5:$D$135&amp;"",$C1105)),--('Category Dictionary'!$D$5:$D$135&lt;&gt;"")))</f>
        <v/>
      </c>
      <c r="L1105" s="27">
        <f>IF($A1105="","",TRIM(IF(ISERROR(FIND(",",$C1105)),$C1105,LEFT($C1105,FIND(",",$C1105)-1))))</f>
        <v/>
      </c>
      <c r="M1105" s="28">
        <f>IF($H1105="","",DATE(YEAR($H1105),MONTH($H1105),1))</f>
        <v/>
      </c>
      <c r="N1105" s="26">
        <f>IF($H1105="","",TODAY()-$H1105)</f>
        <v/>
      </c>
      <c r="O1105" s="15" t="n"/>
      <c r="P1105" s="26">
        <f>IF($A1105="","",COUNTIFS('Audit Versions'!$A$6:$A$605,$A1105,'Audit Versions'!$L$6:$L$605,"Active"))</f>
        <v/>
      </c>
      <c r="Q1105" s="15" t="n"/>
      <c r="R1105" s="26">
        <f>IF(OR($A1105="",$P1105=0),"",MOD(N($Q1105),$P1105)+1)</f>
        <v/>
      </c>
      <c r="S1105" s="15" t="n"/>
      <c r="T1105" s="25" t="n"/>
      <c r="U1105" s="26">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Builder'!$B$12="",N($S1105)&lt;='Assignment Builder'!$B$12)))</f>
        <v/>
      </c>
      <c r="V1105" s="23" t="n"/>
    </row>
    <row r="1106">
      <c r="A1106" s="23" t="n"/>
      <c r="B1106" s="23" t="n"/>
      <c r="C1106" s="24" t="n"/>
      <c r="D1106" s="15" t="n"/>
      <c r="E1106" s="23" t="n"/>
      <c r="F1106" s="15" t="n"/>
      <c r="G1106" s="23" t="n"/>
      <c r="H1106" s="25" t="n"/>
      <c r="I1106" s="15" t="n"/>
      <c r="J1106" s="26">
        <f>IF($A1106="","",LEN($C1106)-LEN(SUBSTITUTE($C1106,",",""))+1)</f>
        <v/>
      </c>
      <c r="K1106" s="26">
        <f>IF($A1106="","",SUMPRODUCT(--ISNUMBER(SEARCH('Category Dictionary'!$D$5:$D$135&amp;"",$C1106)),--('Category Dictionary'!$D$5:$D$135&lt;&gt;"")))</f>
        <v/>
      </c>
      <c r="L1106" s="27">
        <f>IF($A1106="","",TRIM(IF(ISERROR(FIND(",",$C1106)),$C1106,LEFT($C1106,FIND(",",$C1106)-1))))</f>
        <v/>
      </c>
      <c r="M1106" s="28">
        <f>IF($H1106="","",DATE(YEAR($H1106),MONTH($H1106),1))</f>
        <v/>
      </c>
      <c r="N1106" s="26">
        <f>IF($H1106="","",TODAY()-$H1106)</f>
        <v/>
      </c>
      <c r="O1106" s="15" t="n"/>
      <c r="P1106" s="26">
        <f>IF($A1106="","",COUNTIFS('Audit Versions'!$A$6:$A$605,$A1106,'Audit Versions'!$L$6:$L$605,"Active"))</f>
        <v/>
      </c>
      <c r="Q1106" s="15" t="n"/>
      <c r="R1106" s="26">
        <f>IF(OR($A1106="",$P1106=0),"",MOD(N($Q1106),$P1106)+1)</f>
        <v/>
      </c>
      <c r="S1106" s="15" t="n"/>
      <c r="T1106" s="25" t="n"/>
      <c r="U1106" s="26">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Builder'!$B$12="",N($S1106)&lt;='Assignment Builder'!$B$12)))</f>
        <v/>
      </c>
      <c r="V1106" s="23" t="n"/>
    </row>
    <row r="1107">
      <c r="A1107" s="23" t="n"/>
      <c r="B1107" s="23" t="n"/>
      <c r="C1107" s="24" t="n"/>
      <c r="D1107" s="15" t="n"/>
      <c r="E1107" s="23" t="n"/>
      <c r="F1107" s="15" t="n"/>
      <c r="G1107" s="23" t="n"/>
      <c r="H1107" s="25" t="n"/>
      <c r="I1107" s="15" t="n"/>
      <c r="J1107" s="26">
        <f>IF($A1107="","",LEN($C1107)-LEN(SUBSTITUTE($C1107,",",""))+1)</f>
        <v/>
      </c>
      <c r="K1107" s="26">
        <f>IF($A1107="","",SUMPRODUCT(--ISNUMBER(SEARCH('Category Dictionary'!$D$5:$D$135&amp;"",$C1107)),--('Category Dictionary'!$D$5:$D$135&lt;&gt;"")))</f>
        <v/>
      </c>
      <c r="L1107" s="27">
        <f>IF($A1107="","",TRIM(IF(ISERROR(FIND(",",$C1107)),$C1107,LEFT($C1107,FIND(",",$C1107)-1))))</f>
        <v/>
      </c>
      <c r="M1107" s="28">
        <f>IF($H1107="","",DATE(YEAR($H1107),MONTH($H1107),1))</f>
        <v/>
      </c>
      <c r="N1107" s="26">
        <f>IF($H1107="","",TODAY()-$H1107)</f>
        <v/>
      </c>
      <c r="O1107" s="15" t="n"/>
      <c r="P1107" s="26">
        <f>IF($A1107="","",COUNTIFS('Audit Versions'!$A$6:$A$605,$A1107,'Audit Versions'!$L$6:$L$605,"Active"))</f>
        <v/>
      </c>
      <c r="Q1107" s="15" t="n"/>
      <c r="R1107" s="26">
        <f>IF(OR($A1107="",$P1107=0),"",MOD(N($Q1107),$P1107)+1)</f>
        <v/>
      </c>
      <c r="S1107" s="15" t="n"/>
      <c r="T1107" s="25" t="n"/>
      <c r="U1107" s="26">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Builder'!$B$12="",N($S1107)&lt;='Assignment Builder'!$B$12)))</f>
        <v/>
      </c>
      <c r="V1107" s="23" t="n"/>
    </row>
    <row r="1108">
      <c r="A1108" s="23" t="n"/>
      <c r="B1108" s="23" t="n"/>
      <c r="C1108" s="24" t="n"/>
      <c r="D1108" s="15" t="n"/>
      <c r="E1108" s="23" t="n"/>
      <c r="F1108" s="15" t="n"/>
      <c r="G1108" s="23" t="n"/>
      <c r="H1108" s="25" t="n"/>
      <c r="I1108" s="15" t="n"/>
      <c r="J1108" s="26">
        <f>IF($A1108="","",LEN($C1108)-LEN(SUBSTITUTE($C1108,",",""))+1)</f>
        <v/>
      </c>
      <c r="K1108" s="26">
        <f>IF($A1108="","",SUMPRODUCT(--ISNUMBER(SEARCH('Category Dictionary'!$D$5:$D$135&amp;"",$C1108)),--('Category Dictionary'!$D$5:$D$135&lt;&gt;"")))</f>
        <v/>
      </c>
      <c r="L1108" s="27">
        <f>IF($A1108="","",TRIM(IF(ISERROR(FIND(",",$C1108)),$C1108,LEFT($C1108,FIND(",",$C1108)-1))))</f>
        <v/>
      </c>
      <c r="M1108" s="28">
        <f>IF($H1108="","",DATE(YEAR($H1108),MONTH($H1108),1))</f>
        <v/>
      </c>
      <c r="N1108" s="26">
        <f>IF($H1108="","",TODAY()-$H1108)</f>
        <v/>
      </c>
      <c r="O1108" s="15" t="n"/>
      <c r="P1108" s="26">
        <f>IF($A1108="","",COUNTIFS('Audit Versions'!$A$6:$A$605,$A1108,'Audit Versions'!$L$6:$L$605,"Active"))</f>
        <v/>
      </c>
      <c r="Q1108" s="15" t="n"/>
      <c r="R1108" s="26">
        <f>IF(OR($A1108="",$P1108=0),"",MOD(N($Q1108),$P1108)+1)</f>
        <v/>
      </c>
      <c r="S1108" s="15" t="n"/>
      <c r="T1108" s="25" t="n"/>
      <c r="U1108" s="26">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Builder'!$B$12="",N($S1108)&lt;='Assignment Builder'!$B$12)))</f>
        <v/>
      </c>
      <c r="V1108" s="23" t="n"/>
    </row>
    <row r="1109">
      <c r="A1109" s="23" t="n"/>
      <c r="B1109" s="23" t="n"/>
      <c r="C1109" s="24" t="n"/>
      <c r="D1109" s="15" t="n"/>
      <c r="E1109" s="23" t="n"/>
      <c r="F1109" s="15" t="n"/>
      <c r="G1109" s="23" t="n"/>
      <c r="H1109" s="25" t="n"/>
      <c r="I1109" s="15" t="n"/>
      <c r="J1109" s="26">
        <f>IF($A1109="","",LEN($C1109)-LEN(SUBSTITUTE($C1109,",",""))+1)</f>
        <v/>
      </c>
      <c r="K1109" s="26">
        <f>IF($A1109="","",SUMPRODUCT(--ISNUMBER(SEARCH('Category Dictionary'!$D$5:$D$135&amp;"",$C1109)),--('Category Dictionary'!$D$5:$D$135&lt;&gt;"")))</f>
        <v/>
      </c>
      <c r="L1109" s="27">
        <f>IF($A1109="","",TRIM(IF(ISERROR(FIND(",",$C1109)),$C1109,LEFT($C1109,FIND(",",$C1109)-1))))</f>
        <v/>
      </c>
      <c r="M1109" s="28">
        <f>IF($H1109="","",DATE(YEAR($H1109),MONTH($H1109),1))</f>
        <v/>
      </c>
      <c r="N1109" s="26">
        <f>IF($H1109="","",TODAY()-$H1109)</f>
        <v/>
      </c>
      <c r="O1109" s="15" t="n"/>
      <c r="P1109" s="26">
        <f>IF($A1109="","",COUNTIFS('Audit Versions'!$A$6:$A$605,$A1109,'Audit Versions'!$L$6:$L$605,"Active"))</f>
        <v/>
      </c>
      <c r="Q1109" s="15" t="n"/>
      <c r="R1109" s="26">
        <f>IF(OR($A1109="",$P1109=0),"",MOD(N($Q1109),$P1109)+1)</f>
        <v/>
      </c>
      <c r="S1109" s="15" t="n"/>
      <c r="T1109" s="25" t="n"/>
      <c r="U1109" s="26">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Builder'!$B$12="",N($S1109)&lt;='Assignment Builder'!$B$12)))</f>
        <v/>
      </c>
      <c r="V1109" s="23" t="n"/>
    </row>
    <row r="1110">
      <c r="A1110" s="23" t="n"/>
      <c r="B1110" s="23" t="n"/>
      <c r="C1110" s="24" t="n"/>
      <c r="D1110" s="15" t="n"/>
      <c r="E1110" s="23" t="n"/>
      <c r="F1110" s="15" t="n"/>
      <c r="G1110" s="23" t="n"/>
      <c r="H1110" s="25" t="n"/>
      <c r="I1110" s="15" t="n"/>
      <c r="J1110" s="26">
        <f>IF($A1110="","",LEN($C1110)-LEN(SUBSTITUTE($C1110,",",""))+1)</f>
        <v/>
      </c>
      <c r="K1110" s="26">
        <f>IF($A1110="","",SUMPRODUCT(--ISNUMBER(SEARCH('Category Dictionary'!$D$5:$D$135&amp;"",$C1110)),--('Category Dictionary'!$D$5:$D$135&lt;&gt;"")))</f>
        <v/>
      </c>
      <c r="L1110" s="27">
        <f>IF($A1110="","",TRIM(IF(ISERROR(FIND(",",$C1110)),$C1110,LEFT($C1110,FIND(",",$C1110)-1))))</f>
        <v/>
      </c>
      <c r="M1110" s="28">
        <f>IF($H1110="","",DATE(YEAR($H1110),MONTH($H1110),1))</f>
        <v/>
      </c>
      <c r="N1110" s="26">
        <f>IF($H1110="","",TODAY()-$H1110)</f>
        <v/>
      </c>
      <c r="O1110" s="15" t="n"/>
      <c r="P1110" s="26">
        <f>IF($A1110="","",COUNTIFS('Audit Versions'!$A$6:$A$605,$A1110,'Audit Versions'!$L$6:$L$605,"Active"))</f>
        <v/>
      </c>
      <c r="Q1110" s="15" t="n"/>
      <c r="R1110" s="26">
        <f>IF(OR($A1110="",$P1110=0),"",MOD(N($Q1110),$P1110)+1)</f>
        <v/>
      </c>
      <c r="S1110" s="15" t="n"/>
      <c r="T1110" s="25" t="n"/>
      <c r="U1110" s="26">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Builder'!$B$12="",N($S1110)&lt;='Assignment Builder'!$B$12)))</f>
        <v/>
      </c>
      <c r="V1110" s="23" t="n"/>
    </row>
    <row r="1111">
      <c r="A1111" s="23" t="n"/>
      <c r="B1111" s="23" t="n"/>
      <c r="C1111" s="24" t="n"/>
      <c r="D1111" s="15" t="n"/>
      <c r="E1111" s="23" t="n"/>
      <c r="F1111" s="15" t="n"/>
      <c r="G1111" s="23" t="n"/>
      <c r="H1111" s="25" t="n"/>
      <c r="I1111" s="15" t="n"/>
      <c r="J1111" s="26">
        <f>IF($A1111="","",LEN($C1111)-LEN(SUBSTITUTE($C1111,",",""))+1)</f>
        <v/>
      </c>
      <c r="K1111" s="26">
        <f>IF($A1111="","",SUMPRODUCT(--ISNUMBER(SEARCH('Category Dictionary'!$D$5:$D$135&amp;"",$C1111)),--('Category Dictionary'!$D$5:$D$135&lt;&gt;"")))</f>
        <v/>
      </c>
      <c r="L1111" s="27">
        <f>IF($A1111="","",TRIM(IF(ISERROR(FIND(",",$C1111)),$C1111,LEFT($C1111,FIND(",",$C1111)-1))))</f>
        <v/>
      </c>
      <c r="M1111" s="28">
        <f>IF($H1111="","",DATE(YEAR($H1111),MONTH($H1111),1))</f>
        <v/>
      </c>
      <c r="N1111" s="26">
        <f>IF($H1111="","",TODAY()-$H1111)</f>
        <v/>
      </c>
      <c r="O1111" s="15" t="n"/>
      <c r="P1111" s="26">
        <f>IF($A1111="","",COUNTIFS('Audit Versions'!$A$6:$A$605,$A1111,'Audit Versions'!$L$6:$L$605,"Active"))</f>
        <v/>
      </c>
      <c r="Q1111" s="15" t="n"/>
      <c r="R1111" s="26">
        <f>IF(OR($A1111="",$P1111=0),"",MOD(N($Q1111),$P1111)+1)</f>
        <v/>
      </c>
      <c r="S1111" s="15" t="n"/>
      <c r="T1111" s="25" t="n"/>
      <c r="U1111" s="26">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Builder'!$B$12="",N($S1111)&lt;='Assignment Builder'!$B$12)))</f>
        <v/>
      </c>
      <c r="V1111" s="23" t="n"/>
    </row>
    <row r="1112">
      <c r="A1112" s="23" t="n"/>
      <c r="B1112" s="23" t="n"/>
      <c r="C1112" s="24" t="n"/>
      <c r="D1112" s="15" t="n"/>
      <c r="E1112" s="23" t="n"/>
      <c r="F1112" s="15" t="n"/>
      <c r="G1112" s="23" t="n"/>
      <c r="H1112" s="25" t="n"/>
      <c r="I1112" s="15" t="n"/>
      <c r="J1112" s="26">
        <f>IF($A1112="","",LEN($C1112)-LEN(SUBSTITUTE($C1112,",",""))+1)</f>
        <v/>
      </c>
      <c r="K1112" s="26">
        <f>IF($A1112="","",SUMPRODUCT(--ISNUMBER(SEARCH('Category Dictionary'!$D$5:$D$135&amp;"",$C1112)),--('Category Dictionary'!$D$5:$D$135&lt;&gt;"")))</f>
        <v/>
      </c>
      <c r="L1112" s="27">
        <f>IF($A1112="","",TRIM(IF(ISERROR(FIND(",",$C1112)),$C1112,LEFT($C1112,FIND(",",$C1112)-1))))</f>
        <v/>
      </c>
      <c r="M1112" s="28">
        <f>IF($H1112="","",DATE(YEAR($H1112),MONTH($H1112),1))</f>
        <v/>
      </c>
      <c r="N1112" s="26">
        <f>IF($H1112="","",TODAY()-$H1112)</f>
        <v/>
      </c>
      <c r="O1112" s="15" t="n"/>
      <c r="P1112" s="26">
        <f>IF($A1112="","",COUNTIFS('Audit Versions'!$A$6:$A$605,$A1112,'Audit Versions'!$L$6:$L$605,"Active"))</f>
        <v/>
      </c>
      <c r="Q1112" s="15" t="n"/>
      <c r="R1112" s="26">
        <f>IF(OR($A1112="",$P1112=0),"",MOD(N($Q1112),$P1112)+1)</f>
        <v/>
      </c>
      <c r="S1112" s="15" t="n"/>
      <c r="T1112" s="25" t="n"/>
      <c r="U1112" s="26">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Builder'!$B$12="",N($S1112)&lt;='Assignment Builder'!$B$12)))</f>
        <v/>
      </c>
      <c r="V1112" s="23" t="n"/>
    </row>
    <row r="1113">
      <c r="A1113" s="23" t="n"/>
      <c r="B1113" s="23" t="n"/>
      <c r="C1113" s="24" t="n"/>
      <c r="D1113" s="15" t="n"/>
      <c r="E1113" s="23" t="n"/>
      <c r="F1113" s="15" t="n"/>
      <c r="G1113" s="23" t="n"/>
      <c r="H1113" s="25" t="n"/>
      <c r="I1113" s="15" t="n"/>
      <c r="J1113" s="26">
        <f>IF($A1113="","",LEN($C1113)-LEN(SUBSTITUTE($C1113,",",""))+1)</f>
        <v/>
      </c>
      <c r="K1113" s="26">
        <f>IF($A1113="","",SUMPRODUCT(--ISNUMBER(SEARCH('Category Dictionary'!$D$5:$D$135&amp;"",$C1113)),--('Category Dictionary'!$D$5:$D$135&lt;&gt;"")))</f>
        <v/>
      </c>
      <c r="L1113" s="27">
        <f>IF($A1113="","",TRIM(IF(ISERROR(FIND(",",$C1113)),$C1113,LEFT($C1113,FIND(",",$C1113)-1))))</f>
        <v/>
      </c>
      <c r="M1113" s="28">
        <f>IF($H1113="","",DATE(YEAR($H1113),MONTH($H1113),1))</f>
        <v/>
      </c>
      <c r="N1113" s="26">
        <f>IF($H1113="","",TODAY()-$H1113)</f>
        <v/>
      </c>
      <c r="O1113" s="15" t="n"/>
      <c r="P1113" s="26">
        <f>IF($A1113="","",COUNTIFS('Audit Versions'!$A$6:$A$605,$A1113,'Audit Versions'!$L$6:$L$605,"Active"))</f>
        <v/>
      </c>
      <c r="Q1113" s="15" t="n"/>
      <c r="R1113" s="26">
        <f>IF(OR($A1113="",$P1113=0),"",MOD(N($Q1113),$P1113)+1)</f>
        <v/>
      </c>
      <c r="S1113" s="15" t="n"/>
      <c r="T1113" s="25" t="n"/>
      <c r="U1113" s="26">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Builder'!$B$12="",N($S1113)&lt;='Assignment Builder'!$B$12)))</f>
        <v/>
      </c>
      <c r="V1113" s="23" t="n"/>
    </row>
    <row r="1114">
      <c r="A1114" s="23" t="n"/>
      <c r="B1114" s="23" t="n"/>
      <c r="C1114" s="24" t="n"/>
      <c r="D1114" s="15" t="n"/>
      <c r="E1114" s="23" t="n"/>
      <c r="F1114" s="15" t="n"/>
      <c r="G1114" s="23" t="n"/>
      <c r="H1114" s="25" t="n"/>
      <c r="I1114" s="15" t="n"/>
      <c r="J1114" s="26">
        <f>IF($A1114="","",LEN($C1114)-LEN(SUBSTITUTE($C1114,",",""))+1)</f>
        <v/>
      </c>
      <c r="K1114" s="26">
        <f>IF($A1114="","",SUMPRODUCT(--ISNUMBER(SEARCH('Category Dictionary'!$D$5:$D$135&amp;"",$C1114)),--('Category Dictionary'!$D$5:$D$135&lt;&gt;"")))</f>
        <v/>
      </c>
      <c r="L1114" s="27">
        <f>IF($A1114="","",TRIM(IF(ISERROR(FIND(",",$C1114)),$C1114,LEFT($C1114,FIND(",",$C1114)-1))))</f>
        <v/>
      </c>
      <c r="M1114" s="28">
        <f>IF($H1114="","",DATE(YEAR($H1114),MONTH($H1114),1))</f>
        <v/>
      </c>
      <c r="N1114" s="26">
        <f>IF($H1114="","",TODAY()-$H1114)</f>
        <v/>
      </c>
      <c r="O1114" s="15" t="n"/>
      <c r="P1114" s="26">
        <f>IF($A1114="","",COUNTIFS('Audit Versions'!$A$6:$A$605,$A1114,'Audit Versions'!$L$6:$L$605,"Active"))</f>
        <v/>
      </c>
      <c r="Q1114" s="15" t="n"/>
      <c r="R1114" s="26">
        <f>IF(OR($A1114="",$P1114=0),"",MOD(N($Q1114),$P1114)+1)</f>
        <v/>
      </c>
      <c r="S1114" s="15" t="n"/>
      <c r="T1114" s="25" t="n"/>
      <c r="U1114" s="26">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Builder'!$B$12="",N($S1114)&lt;='Assignment Builder'!$B$12)))</f>
        <v/>
      </c>
      <c r="V1114" s="23" t="n"/>
    </row>
    <row r="1115">
      <c r="A1115" s="23" t="n"/>
      <c r="B1115" s="23" t="n"/>
      <c r="C1115" s="24" t="n"/>
      <c r="D1115" s="15" t="n"/>
      <c r="E1115" s="23" t="n"/>
      <c r="F1115" s="15" t="n"/>
      <c r="G1115" s="23" t="n"/>
      <c r="H1115" s="25" t="n"/>
      <c r="I1115" s="15" t="n"/>
      <c r="J1115" s="26">
        <f>IF($A1115="","",LEN($C1115)-LEN(SUBSTITUTE($C1115,",",""))+1)</f>
        <v/>
      </c>
      <c r="K1115" s="26">
        <f>IF($A1115="","",SUMPRODUCT(--ISNUMBER(SEARCH('Category Dictionary'!$D$5:$D$135&amp;"",$C1115)),--('Category Dictionary'!$D$5:$D$135&lt;&gt;"")))</f>
        <v/>
      </c>
      <c r="L1115" s="27">
        <f>IF($A1115="","",TRIM(IF(ISERROR(FIND(",",$C1115)),$C1115,LEFT($C1115,FIND(",",$C1115)-1))))</f>
        <v/>
      </c>
      <c r="M1115" s="28">
        <f>IF($H1115="","",DATE(YEAR($H1115),MONTH($H1115),1))</f>
        <v/>
      </c>
      <c r="N1115" s="26">
        <f>IF($H1115="","",TODAY()-$H1115)</f>
        <v/>
      </c>
      <c r="O1115" s="15" t="n"/>
      <c r="P1115" s="26">
        <f>IF($A1115="","",COUNTIFS('Audit Versions'!$A$6:$A$605,$A1115,'Audit Versions'!$L$6:$L$605,"Active"))</f>
        <v/>
      </c>
      <c r="Q1115" s="15" t="n"/>
      <c r="R1115" s="26">
        <f>IF(OR($A1115="",$P1115=0),"",MOD(N($Q1115),$P1115)+1)</f>
        <v/>
      </c>
      <c r="S1115" s="15" t="n"/>
      <c r="T1115" s="25" t="n"/>
      <c r="U1115" s="26">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Builder'!$B$12="",N($S1115)&lt;='Assignment Builder'!$B$12)))</f>
        <v/>
      </c>
      <c r="V1115" s="23" t="n"/>
    </row>
    <row r="1116">
      <c r="A1116" s="23" t="n"/>
      <c r="B1116" s="23" t="n"/>
      <c r="C1116" s="24" t="n"/>
      <c r="D1116" s="15" t="n"/>
      <c r="E1116" s="23" t="n"/>
      <c r="F1116" s="15" t="n"/>
      <c r="G1116" s="23" t="n"/>
      <c r="H1116" s="25" t="n"/>
      <c r="I1116" s="15" t="n"/>
      <c r="J1116" s="26">
        <f>IF($A1116="","",LEN($C1116)-LEN(SUBSTITUTE($C1116,",",""))+1)</f>
        <v/>
      </c>
      <c r="K1116" s="26">
        <f>IF($A1116="","",SUMPRODUCT(--ISNUMBER(SEARCH('Category Dictionary'!$D$5:$D$135&amp;"",$C1116)),--('Category Dictionary'!$D$5:$D$135&lt;&gt;"")))</f>
        <v/>
      </c>
      <c r="L1116" s="27">
        <f>IF($A1116="","",TRIM(IF(ISERROR(FIND(",",$C1116)),$C1116,LEFT($C1116,FIND(",",$C1116)-1))))</f>
        <v/>
      </c>
      <c r="M1116" s="28">
        <f>IF($H1116="","",DATE(YEAR($H1116),MONTH($H1116),1))</f>
        <v/>
      </c>
      <c r="N1116" s="26">
        <f>IF($H1116="","",TODAY()-$H1116)</f>
        <v/>
      </c>
      <c r="O1116" s="15" t="n"/>
      <c r="P1116" s="26">
        <f>IF($A1116="","",COUNTIFS('Audit Versions'!$A$6:$A$605,$A1116,'Audit Versions'!$L$6:$L$605,"Active"))</f>
        <v/>
      </c>
      <c r="Q1116" s="15" t="n"/>
      <c r="R1116" s="26">
        <f>IF(OR($A1116="",$P1116=0),"",MOD(N($Q1116),$P1116)+1)</f>
        <v/>
      </c>
      <c r="S1116" s="15" t="n"/>
      <c r="T1116" s="25" t="n"/>
      <c r="U1116" s="26">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Builder'!$B$12="",N($S1116)&lt;='Assignment Builder'!$B$12)))</f>
        <v/>
      </c>
      <c r="V1116" s="23" t="n"/>
    </row>
    <row r="1117">
      <c r="A1117" s="23" t="n"/>
      <c r="B1117" s="23" t="n"/>
      <c r="C1117" s="24" t="n"/>
      <c r="D1117" s="15" t="n"/>
      <c r="E1117" s="23" t="n"/>
      <c r="F1117" s="15" t="n"/>
      <c r="G1117" s="23" t="n"/>
      <c r="H1117" s="25" t="n"/>
      <c r="I1117" s="15" t="n"/>
      <c r="J1117" s="26">
        <f>IF($A1117="","",LEN($C1117)-LEN(SUBSTITUTE($C1117,",",""))+1)</f>
        <v/>
      </c>
      <c r="K1117" s="26">
        <f>IF($A1117="","",SUMPRODUCT(--ISNUMBER(SEARCH('Category Dictionary'!$D$5:$D$135&amp;"",$C1117)),--('Category Dictionary'!$D$5:$D$135&lt;&gt;"")))</f>
        <v/>
      </c>
      <c r="L1117" s="27">
        <f>IF($A1117="","",TRIM(IF(ISERROR(FIND(",",$C1117)),$C1117,LEFT($C1117,FIND(",",$C1117)-1))))</f>
        <v/>
      </c>
      <c r="M1117" s="28">
        <f>IF($H1117="","",DATE(YEAR($H1117),MONTH($H1117),1))</f>
        <v/>
      </c>
      <c r="N1117" s="26">
        <f>IF($H1117="","",TODAY()-$H1117)</f>
        <v/>
      </c>
      <c r="O1117" s="15" t="n"/>
      <c r="P1117" s="26">
        <f>IF($A1117="","",COUNTIFS('Audit Versions'!$A$6:$A$605,$A1117,'Audit Versions'!$L$6:$L$605,"Active"))</f>
        <v/>
      </c>
      <c r="Q1117" s="15" t="n"/>
      <c r="R1117" s="26">
        <f>IF(OR($A1117="",$P1117=0),"",MOD(N($Q1117),$P1117)+1)</f>
        <v/>
      </c>
      <c r="S1117" s="15" t="n"/>
      <c r="T1117" s="25" t="n"/>
      <c r="U1117" s="26">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Builder'!$B$12="",N($S1117)&lt;='Assignment Builder'!$B$12)))</f>
        <v/>
      </c>
      <c r="V1117" s="23" t="n"/>
    </row>
    <row r="1118">
      <c r="A1118" s="23" t="n"/>
      <c r="B1118" s="23" t="n"/>
      <c r="C1118" s="24" t="n"/>
      <c r="D1118" s="15" t="n"/>
      <c r="E1118" s="23" t="n"/>
      <c r="F1118" s="15" t="n"/>
      <c r="G1118" s="23" t="n"/>
      <c r="H1118" s="25" t="n"/>
      <c r="I1118" s="15" t="n"/>
      <c r="J1118" s="26">
        <f>IF($A1118="","",LEN($C1118)-LEN(SUBSTITUTE($C1118,",",""))+1)</f>
        <v/>
      </c>
      <c r="K1118" s="26">
        <f>IF($A1118="","",SUMPRODUCT(--ISNUMBER(SEARCH('Category Dictionary'!$D$5:$D$135&amp;"",$C1118)),--('Category Dictionary'!$D$5:$D$135&lt;&gt;"")))</f>
        <v/>
      </c>
      <c r="L1118" s="27">
        <f>IF($A1118="","",TRIM(IF(ISERROR(FIND(",",$C1118)),$C1118,LEFT($C1118,FIND(",",$C1118)-1))))</f>
        <v/>
      </c>
      <c r="M1118" s="28">
        <f>IF($H1118="","",DATE(YEAR($H1118),MONTH($H1118),1))</f>
        <v/>
      </c>
      <c r="N1118" s="26">
        <f>IF($H1118="","",TODAY()-$H1118)</f>
        <v/>
      </c>
      <c r="O1118" s="15" t="n"/>
      <c r="P1118" s="26">
        <f>IF($A1118="","",COUNTIFS('Audit Versions'!$A$6:$A$605,$A1118,'Audit Versions'!$L$6:$L$605,"Active"))</f>
        <v/>
      </c>
      <c r="Q1118" s="15" t="n"/>
      <c r="R1118" s="26">
        <f>IF(OR($A1118="",$P1118=0),"",MOD(N($Q1118),$P1118)+1)</f>
        <v/>
      </c>
      <c r="S1118" s="15" t="n"/>
      <c r="T1118" s="25" t="n"/>
      <c r="U1118" s="26">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Builder'!$B$12="",N($S1118)&lt;='Assignment Builder'!$B$12)))</f>
        <v/>
      </c>
      <c r="V1118" s="23" t="n"/>
    </row>
    <row r="1119">
      <c r="A1119" s="23" t="n"/>
      <c r="B1119" s="23" t="n"/>
      <c r="C1119" s="24" t="n"/>
      <c r="D1119" s="15" t="n"/>
      <c r="E1119" s="23" t="n"/>
      <c r="F1119" s="15" t="n"/>
      <c r="G1119" s="23" t="n"/>
      <c r="H1119" s="25" t="n"/>
      <c r="I1119" s="15" t="n"/>
      <c r="J1119" s="26">
        <f>IF($A1119="","",LEN($C1119)-LEN(SUBSTITUTE($C1119,",",""))+1)</f>
        <v/>
      </c>
      <c r="K1119" s="26">
        <f>IF($A1119="","",SUMPRODUCT(--ISNUMBER(SEARCH('Category Dictionary'!$D$5:$D$135&amp;"",$C1119)),--('Category Dictionary'!$D$5:$D$135&lt;&gt;"")))</f>
        <v/>
      </c>
      <c r="L1119" s="27">
        <f>IF($A1119="","",TRIM(IF(ISERROR(FIND(",",$C1119)),$C1119,LEFT($C1119,FIND(",",$C1119)-1))))</f>
        <v/>
      </c>
      <c r="M1119" s="28">
        <f>IF($H1119="","",DATE(YEAR($H1119),MONTH($H1119),1))</f>
        <v/>
      </c>
      <c r="N1119" s="26">
        <f>IF($H1119="","",TODAY()-$H1119)</f>
        <v/>
      </c>
      <c r="O1119" s="15" t="n"/>
      <c r="P1119" s="26">
        <f>IF($A1119="","",COUNTIFS('Audit Versions'!$A$6:$A$605,$A1119,'Audit Versions'!$L$6:$L$605,"Active"))</f>
        <v/>
      </c>
      <c r="Q1119" s="15" t="n"/>
      <c r="R1119" s="26">
        <f>IF(OR($A1119="",$P1119=0),"",MOD(N($Q1119),$P1119)+1)</f>
        <v/>
      </c>
      <c r="S1119" s="15" t="n"/>
      <c r="T1119" s="25" t="n"/>
      <c r="U1119" s="26">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Builder'!$B$12="",N($S1119)&lt;='Assignment Builder'!$B$12)))</f>
        <v/>
      </c>
      <c r="V1119" s="23" t="n"/>
    </row>
    <row r="1120">
      <c r="A1120" s="23" t="n"/>
      <c r="B1120" s="23" t="n"/>
      <c r="C1120" s="24" t="n"/>
      <c r="D1120" s="15" t="n"/>
      <c r="E1120" s="23" t="n"/>
      <c r="F1120" s="15" t="n"/>
      <c r="G1120" s="23" t="n"/>
      <c r="H1120" s="25" t="n"/>
      <c r="I1120" s="15" t="n"/>
      <c r="J1120" s="26">
        <f>IF($A1120="","",LEN($C1120)-LEN(SUBSTITUTE($C1120,",",""))+1)</f>
        <v/>
      </c>
      <c r="K1120" s="26">
        <f>IF($A1120="","",SUMPRODUCT(--ISNUMBER(SEARCH('Category Dictionary'!$D$5:$D$135&amp;"",$C1120)),--('Category Dictionary'!$D$5:$D$135&lt;&gt;"")))</f>
        <v/>
      </c>
      <c r="L1120" s="27">
        <f>IF($A1120="","",TRIM(IF(ISERROR(FIND(",",$C1120)),$C1120,LEFT($C1120,FIND(",",$C1120)-1))))</f>
        <v/>
      </c>
      <c r="M1120" s="28">
        <f>IF($H1120="","",DATE(YEAR($H1120),MONTH($H1120),1))</f>
        <v/>
      </c>
      <c r="N1120" s="26">
        <f>IF($H1120="","",TODAY()-$H1120)</f>
        <v/>
      </c>
      <c r="O1120" s="15" t="n"/>
      <c r="P1120" s="26">
        <f>IF($A1120="","",COUNTIFS('Audit Versions'!$A$6:$A$605,$A1120,'Audit Versions'!$L$6:$L$605,"Active"))</f>
        <v/>
      </c>
      <c r="Q1120" s="15" t="n"/>
      <c r="R1120" s="26">
        <f>IF(OR($A1120="",$P1120=0),"",MOD(N($Q1120),$P1120)+1)</f>
        <v/>
      </c>
      <c r="S1120" s="15" t="n"/>
      <c r="T1120" s="25" t="n"/>
      <c r="U1120" s="26">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Builder'!$B$12="",N($S1120)&lt;='Assignment Builder'!$B$12)))</f>
        <v/>
      </c>
      <c r="V1120" s="23" t="n"/>
    </row>
    <row r="1121">
      <c r="A1121" s="23" t="n"/>
      <c r="B1121" s="23" t="n"/>
      <c r="C1121" s="24" t="n"/>
      <c r="D1121" s="15" t="n"/>
      <c r="E1121" s="23" t="n"/>
      <c r="F1121" s="15" t="n"/>
      <c r="G1121" s="23" t="n"/>
      <c r="H1121" s="25" t="n"/>
      <c r="I1121" s="15" t="n"/>
      <c r="J1121" s="26">
        <f>IF($A1121="","",LEN($C1121)-LEN(SUBSTITUTE($C1121,",",""))+1)</f>
        <v/>
      </c>
      <c r="K1121" s="26">
        <f>IF($A1121="","",SUMPRODUCT(--ISNUMBER(SEARCH('Category Dictionary'!$D$5:$D$135&amp;"",$C1121)),--('Category Dictionary'!$D$5:$D$135&lt;&gt;"")))</f>
        <v/>
      </c>
      <c r="L1121" s="27">
        <f>IF($A1121="","",TRIM(IF(ISERROR(FIND(",",$C1121)),$C1121,LEFT($C1121,FIND(",",$C1121)-1))))</f>
        <v/>
      </c>
      <c r="M1121" s="28">
        <f>IF($H1121="","",DATE(YEAR($H1121),MONTH($H1121),1))</f>
        <v/>
      </c>
      <c r="N1121" s="26">
        <f>IF($H1121="","",TODAY()-$H1121)</f>
        <v/>
      </c>
      <c r="O1121" s="15" t="n"/>
      <c r="P1121" s="26">
        <f>IF($A1121="","",COUNTIFS('Audit Versions'!$A$6:$A$605,$A1121,'Audit Versions'!$L$6:$L$605,"Active"))</f>
        <v/>
      </c>
      <c r="Q1121" s="15" t="n"/>
      <c r="R1121" s="26">
        <f>IF(OR($A1121="",$P1121=0),"",MOD(N($Q1121),$P1121)+1)</f>
        <v/>
      </c>
      <c r="S1121" s="15" t="n"/>
      <c r="T1121" s="25" t="n"/>
      <c r="U1121" s="26">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Builder'!$B$12="",N($S1121)&lt;='Assignment Builder'!$B$12)))</f>
        <v/>
      </c>
      <c r="V1121" s="23" t="n"/>
    </row>
    <row r="1122">
      <c r="A1122" s="23" t="n"/>
      <c r="B1122" s="23" t="n"/>
      <c r="C1122" s="24" t="n"/>
      <c r="D1122" s="15" t="n"/>
      <c r="E1122" s="23" t="n"/>
      <c r="F1122" s="15" t="n"/>
      <c r="G1122" s="23" t="n"/>
      <c r="H1122" s="25" t="n"/>
      <c r="I1122" s="15" t="n"/>
      <c r="J1122" s="26">
        <f>IF($A1122="","",LEN($C1122)-LEN(SUBSTITUTE($C1122,",",""))+1)</f>
        <v/>
      </c>
      <c r="K1122" s="26">
        <f>IF($A1122="","",SUMPRODUCT(--ISNUMBER(SEARCH('Category Dictionary'!$D$5:$D$135&amp;"",$C1122)),--('Category Dictionary'!$D$5:$D$135&lt;&gt;"")))</f>
        <v/>
      </c>
      <c r="L1122" s="27">
        <f>IF($A1122="","",TRIM(IF(ISERROR(FIND(",",$C1122)),$C1122,LEFT($C1122,FIND(",",$C1122)-1))))</f>
        <v/>
      </c>
      <c r="M1122" s="28">
        <f>IF($H1122="","",DATE(YEAR($H1122),MONTH($H1122),1))</f>
        <v/>
      </c>
      <c r="N1122" s="26">
        <f>IF($H1122="","",TODAY()-$H1122)</f>
        <v/>
      </c>
      <c r="O1122" s="15" t="n"/>
      <c r="P1122" s="26">
        <f>IF($A1122="","",COUNTIFS('Audit Versions'!$A$6:$A$605,$A1122,'Audit Versions'!$L$6:$L$605,"Active"))</f>
        <v/>
      </c>
      <c r="Q1122" s="15" t="n"/>
      <c r="R1122" s="26">
        <f>IF(OR($A1122="",$P1122=0),"",MOD(N($Q1122),$P1122)+1)</f>
        <v/>
      </c>
      <c r="S1122" s="15" t="n"/>
      <c r="T1122" s="25" t="n"/>
      <c r="U1122" s="26">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Builder'!$B$12="",N($S1122)&lt;='Assignment Builder'!$B$12)))</f>
        <v/>
      </c>
      <c r="V1122" s="23" t="n"/>
    </row>
    <row r="1123">
      <c r="A1123" s="23" t="n"/>
      <c r="B1123" s="23" t="n"/>
      <c r="C1123" s="24" t="n"/>
      <c r="D1123" s="15" t="n"/>
      <c r="E1123" s="23" t="n"/>
      <c r="F1123" s="15" t="n"/>
      <c r="G1123" s="23" t="n"/>
      <c r="H1123" s="25" t="n"/>
      <c r="I1123" s="15" t="n"/>
      <c r="J1123" s="26">
        <f>IF($A1123="","",LEN($C1123)-LEN(SUBSTITUTE($C1123,",",""))+1)</f>
        <v/>
      </c>
      <c r="K1123" s="26">
        <f>IF($A1123="","",SUMPRODUCT(--ISNUMBER(SEARCH('Category Dictionary'!$D$5:$D$135&amp;"",$C1123)),--('Category Dictionary'!$D$5:$D$135&lt;&gt;"")))</f>
        <v/>
      </c>
      <c r="L1123" s="27">
        <f>IF($A1123="","",TRIM(IF(ISERROR(FIND(",",$C1123)),$C1123,LEFT($C1123,FIND(",",$C1123)-1))))</f>
        <v/>
      </c>
      <c r="M1123" s="28">
        <f>IF($H1123="","",DATE(YEAR($H1123),MONTH($H1123),1))</f>
        <v/>
      </c>
      <c r="N1123" s="26">
        <f>IF($H1123="","",TODAY()-$H1123)</f>
        <v/>
      </c>
      <c r="O1123" s="15" t="n"/>
      <c r="P1123" s="26">
        <f>IF($A1123="","",COUNTIFS('Audit Versions'!$A$6:$A$605,$A1123,'Audit Versions'!$L$6:$L$605,"Active"))</f>
        <v/>
      </c>
      <c r="Q1123" s="15" t="n"/>
      <c r="R1123" s="26">
        <f>IF(OR($A1123="",$P1123=0),"",MOD(N($Q1123),$P1123)+1)</f>
        <v/>
      </c>
      <c r="S1123" s="15" t="n"/>
      <c r="T1123" s="25" t="n"/>
      <c r="U1123" s="26">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Builder'!$B$12="",N($S1123)&lt;='Assignment Builder'!$B$12)))</f>
        <v/>
      </c>
      <c r="V1123" s="23" t="n"/>
    </row>
    <row r="1124">
      <c r="A1124" s="23" t="n"/>
      <c r="B1124" s="23" t="n"/>
      <c r="C1124" s="24" t="n"/>
      <c r="D1124" s="15" t="n"/>
      <c r="E1124" s="23" t="n"/>
      <c r="F1124" s="15" t="n"/>
      <c r="G1124" s="23" t="n"/>
      <c r="H1124" s="25" t="n"/>
      <c r="I1124" s="15" t="n"/>
      <c r="J1124" s="26">
        <f>IF($A1124="","",LEN($C1124)-LEN(SUBSTITUTE($C1124,",",""))+1)</f>
        <v/>
      </c>
      <c r="K1124" s="26">
        <f>IF($A1124="","",SUMPRODUCT(--ISNUMBER(SEARCH('Category Dictionary'!$D$5:$D$135&amp;"",$C1124)),--('Category Dictionary'!$D$5:$D$135&lt;&gt;"")))</f>
        <v/>
      </c>
      <c r="L1124" s="27">
        <f>IF($A1124="","",TRIM(IF(ISERROR(FIND(",",$C1124)),$C1124,LEFT($C1124,FIND(",",$C1124)-1))))</f>
        <v/>
      </c>
      <c r="M1124" s="28">
        <f>IF($H1124="","",DATE(YEAR($H1124),MONTH($H1124),1))</f>
        <v/>
      </c>
      <c r="N1124" s="26">
        <f>IF($H1124="","",TODAY()-$H1124)</f>
        <v/>
      </c>
      <c r="O1124" s="15" t="n"/>
      <c r="P1124" s="26">
        <f>IF($A1124="","",COUNTIFS('Audit Versions'!$A$6:$A$605,$A1124,'Audit Versions'!$L$6:$L$605,"Active"))</f>
        <v/>
      </c>
      <c r="Q1124" s="15" t="n"/>
      <c r="R1124" s="26">
        <f>IF(OR($A1124="",$P1124=0),"",MOD(N($Q1124),$P1124)+1)</f>
        <v/>
      </c>
      <c r="S1124" s="15" t="n"/>
      <c r="T1124" s="25" t="n"/>
      <c r="U1124" s="26">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Builder'!$B$12="",N($S1124)&lt;='Assignment Builder'!$B$12)))</f>
        <v/>
      </c>
      <c r="V1124" s="23" t="n"/>
    </row>
    <row r="1125">
      <c r="A1125" s="23" t="n"/>
      <c r="B1125" s="23" t="n"/>
      <c r="C1125" s="24" t="n"/>
      <c r="D1125" s="15" t="n"/>
      <c r="E1125" s="23" t="n"/>
      <c r="F1125" s="15" t="n"/>
      <c r="G1125" s="23" t="n"/>
      <c r="H1125" s="25" t="n"/>
      <c r="I1125" s="15" t="n"/>
      <c r="J1125" s="26">
        <f>IF($A1125="","",LEN($C1125)-LEN(SUBSTITUTE($C1125,",",""))+1)</f>
        <v/>
      </c>
      <c r="K1125" s="26">
        <f>IF($A1125="","",SUMPRODUCT(--ISNUMBER(SEARCH('Category Dictionary'!$D$5:$D$135&amp;"",$C1125)),--('Category Dictionary'!$D$5:$D$135&lt;&gt;"")))</f>
        <v/>
      </c>
      <c r="L1125" s="27">
        <f>IF($A1125="","",TRIM(IF(ISERROR(FIND(",",$C1125)),$C1125,LEFT($C1125,FIND(",",$C1125)-1))))</f>
        <v/>
      </c>
      <c r="M1125" s="28">
        <f>IF($H1125="","",DATE(YEAR($H1125),MONTH($H1125),1))</f>
        <v/>
      </c>
      <c r="N1125" s="26">
        <f>IF($H1125="","",TODAY()-$H1125)</f>
        <v/>
      </c>
      <c r="O1125" s="15" t="n"/>
      <c r="P1125" s="26">
        <f>IF($A1125="","",COUNTIFS('Audit Versions'!$A$6:$A$605,$A1125,'Audit Versions'!$L$6:$L$605,"Active"))</f>
        <v/>
      </c>
      <c r="Q1125" s="15" t="n"/>
      <c r="R1125" s="26">
        <f>IF(OR($A1125="",$P1125=0),"",MOD(N($Q1125),$P1125)+1)</f>
        <v/>
      </c>
      <c r="S1125" s="15" t="n"/>
      <c r="T1125" s="25" t="n"/>
      <c r="U1125" s="26">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Builder'!$B$12="",N($S1125)&lt;='Assignment Builder'!$B$12)))</f>
        <v/>
      </c>
      <c r="V1125" s="23" t="n"/>
    </row>
    <row r="1126">
      <c r="A1126" s="23" t="n"/>
      <c r="B1126" s="23" t="n"/>
      <c r="C1126" s="24" t="n"/>
      <c r="D1126" s="15" t="n"/>
      <c r="E1126" s="23" t="n"/>
      <c r="F1126" s="15" t="n"/>
      <c r="G1126" s="23" t="n"/>
      <c r="H1126" s="25" t="n"/>
      <c r="I1126" s="15" t="n"/>
      <c r="J1126" s="26">
        <f>IF($A1126="","",LEN($C1126)-LEN(SUBSTITUTE($C1126,",",""))+1)</f>
        <v/>
      </c>
      <c r="K1126" s="26">
        <f>IF($A1126="","",SUMPRODUCT(--ISNUMBER(SEARCH('Category Dictionary'!$D$5:$D$135&amp;"",$C1126)),--('Category Dictionary'!$D$5:$D$135&lt;&gt;"")))</f>
        <v/>
      </c>
      <c r="L1126" s="27">
        <f>IF($A1126="","",TRIM(IF(ISERROR(FIND(",",$C1126)),$C1126,LEFT($C1126,FIND(",",$C1126)-1))))</f>
        <v/>
      </c>
      <c r="M1126" s="28">
        <f>IF($H1126="","",DATE(YEAR($H1126),MONTH($H1126),1))</f>
        <v/>
      </c>
      <c r="N1126" s="26">
        <f>IF($H1126="","",TODAY()-$H1126)</f>
        <v/>
      </c>
      <c r="O1126" s="15" t="n"/>
      <c r="P1126" s="26">
        <f>IF($A1126="","",COUNTIFS('Audit Versions'!$A$6:$A$605,$A1126,'Audit Versions'!$L$6:$L$605,"Active"))</f>
        <v/>
      </c>
      <c r="Q1126" s="15" t="n"/>
      <c r="R1126" s="26">
        <f>IF(OR($A1126="",$P1126=0),"",MOD(N($Q1126),$P1126)+1)</f>
        <v/>
      </c>
      <c r="S1126" s="15" t="n"/>
      <c r="T1126" s="25" t="n"/>
      <c r="U1126" s="26">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Builder'!$B$12="",N($S1126)&lt;='Assignment Builder'!$B$12)))</f>
        <v/>
      </c>
      <c r="V1126" s="23" t="n"/>
    </row>
    <row r="1127">
      <c r="A1127" s="23" t="n"/>
      <c r="B1127" s="23" t="n"/>
      <c r="C1127" s="24" t="n"/>
      <c r="D1127" s="15" t="n"/>
      <c r="E1127" s="23" t="n"/>
      <c r="F1127" s="15" t="n"/>
      <c r="G1127" s="23" t="n"/>
      <c r="H1127" s="25" t="n"/>
      <c r="I1127" s="15" t="n"/>
      <c r="J1127" s="26">
        <f>IF($A1127="","",LEN($C1127)-LEN(SUBSTITUTE($C1127,",",""))+1)</f>
        <v/>
      </c>
      <c r="K1127" s="26">
        <f>IF($A1127="","",SUMPRODUCT(--ISNUMBER(SEARCH('Category Dictionary'!$D$5:$D$135&amp;"",$C1127)),--('Category Dictionary'!$D$5:$D$135&lt;&gt;"")))</f>
        <v/>
      </c>
      <c r="L1127" s="27">
        <f>IF($A1127="","",TRIM(IF(ISERROR(FIND(",",$C1127)),$C1127,LEFT($C1127,FIND(",",$C1127)-1))))</f>
        <v/>
      </c>
      <c r="M1127" s="28">
        <f>IF($H1127="","",DATE(YEAR($H1127),MONTH($H1127),1))</f>
        <v/>
      </c>
      <c r="N1127" s="26">
        <f>IF($H1127="","",TODAY()-$H1127)</f>
        <v/>
      </c>
      <c r="O1127" s="15" t="n"/>
      <c r="P1127" s="26">
        <f>IF($A1127="","",COUNTIFS('Audit Versions'!$A$6:$A$605,$A1127,'Audit Versions'!$L$6:$L$605,"Active"))</f>
        <v/>
      </c>
      <c r="Q1127" s="15" t="n"/>
      <c r="R1127" s="26">
        <f>IF(OR($A1127="",$P1127=0),"",MOD(N($Q1127),$P1127)+1)</f>
        <v/>
      </c>
      <c r="S1127" s="15" t="n"/>
      <c r="T1127" s="25" t="n"/>
      <c r="U1127" s="26">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Builder'!$B$12="",N($S1127)&lt;='Assignment Builder'!$B$12)))</f>
        <v/>
      </c>
      <c r="V1127" s="23" t="n"/>
    </row>
    <row r="1128">
      <c r="A1128" s="23" t="n"/>
      <c r="B1128" s="23" t="n"/>
      <c r="C1128" s="24" t="n"/>
      <c r="D1128" s="15" t="n"/>
      <c r="E1128" s="23" t="n"/>
      <c r="F1128" s="15" t="n"/>
      <c r="G1128" s="23" t="n"/>
      <c r="H1128" s="25" t="n"/>
      <c r="I1128" s="15" t="n"/>
      <c r="J1128" s="26">
        <f>IF($A1128="","",LEN($C1128)-LEN(SUBSTITUTE($C1128,",",""))+1)</f>
        <v/>
      </c>
      <c r="K1128" s="26">
        <f>IF($A1128="","",SUMPRODUCT(--ISNUMBER(SEARCH('Category Dictionary'!$D$5:$D$135&amp;"",$C1128)),--('Category Dictionary'!$D$5:$D$135&lt;&gt;"")))</f>
        <v/>
      </c>
      <c r="L1128" s="27">
        <f>IF($A1128="","",TRIM(IF(ISERROR(FIND(",",$C1128)),$C1128,LEFT($C1128,FIND(",",$C1128)-1))))</f>
        <v/>
      </c>
      <c r="M1128" s="28">
        <f>IF($H1128="","",DATE(YEAR($H1128),MONTH($H1128),1))</f>
        <v/>
      </c>
      <c r="N1128" s="26">
        <f>IF($H1128="","",TODAY()-$H1128)</f>
        <v/>
      </c>
      <c r="O1128" s="15" t="n"/>
      <c r="P1128" s="26">
        <f>IF($A1128="","",COUNTIFS('Audit Versions'!$A$6:$A$605,$A1128,'Audit Versions'!$L$6:$L$605,"Active"))</f>
        <v/>
      </c>
      <c r="Q1128" s="15" t="n"/>
      <c r="R1128" s="26">
        <f>IF(OR($A1128="",$P1128=0),"",MOD(N($Q1128),$P1128)+1)</f>
        <v/>
      </c>
      <c r="S1128" s="15" t="n"/>
      <c r="T1128" s="25" t="n"/>
      <c r="U1128" s="26">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Builder'!$B$12="",N($S1128)&lt;='Assignment Builder'!$B$12)))</f>
        <v/>
      </c>
      <c r="V1128" s="23" t="n"/>
    </row>
    <row r="1129">
      <c r="A1129" s="23" t="n"/>
      <c r="B1129" s="23" t="n"/>
      <c r="C1129" s="24" t="n"/>
      <c r="D1129" s="15" t="n"/>
      <c r="E1129" s="23" t="n"/>
      <c r="F1129" s="15" t="n"/>
      <c r="G1129" s="23" t="n"/>
      <c r="H1129" s="25" t="n"/>
      <c r="I1129" s="15" t="n"/>
      <c r="J1129" s="26">
        <f>IF($A1129="","",LEN($C1129)-LEN(SUBSTITUTE($C1129,",",""))+1)</f>
        <v/>
      </c>
      <c r="K1129" s="26">
        <f>IF($A1129="","",SUMPRODUCT(--ISNUMBER(SEARCH('Category Dictionary'!$D$5:$D$135&amp;"",$C1129)),--('Category Dictionary'!$D$5:$D$135&lt;&gt;"")))</f>
        <v/>
      </c>
      <c r="L1129" s="27">
        <f>IF($A1129="","",TRIM(IF(ISERROR(FIND(",",$C1129)),$C1129,LEFT($C1129,FIND(",",$C1129)-1))))</f>
        <v/>
      </c>
      <c r="M1129" s="28">
        <f>IF($H1129="","",DATE(YEAR($H1129),MONTH($H1129),1))</f>
        <v/>
      </c>
      <c r="N1129" s="26">
        <f>IF($H1129="","",TODAY()-$H1129)</f>
        <v/>
      </c>
      <c r="O1129" s="15" t="n"/>
      <c r="P1129" s="26">
        <f>IF($A1129="","",COUNTIFS('Audit Versions'!$A$6:$A$605,$A1129,'Audit Versions'!$L$6:$L$605,"Active"))</f>
        <v/>
      </c>
      <c r="Q1129" s="15" t="n"/>
      <c r="R1129" s="26">
        <f>IF(OR($A1129="",$P1129=0),"",MOD(N($Q1129),$P1129)+1)</f>
        <v/>
      </c>
      <c r="S1129" s="15" t="n"/>
      <c r="T1129" s="25" t="n"/>
      <c r="U1129" s="26">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Builder'!$B$12="",N($S1129)&lt;='Assignment Builder'!$B$12)))</f>
        <v/>
      </c>
      <c r="V1129" s="23" t="n"/>
    </row>
    <row r="1130">
      <c r="A1130" s="23" t="n"/>
      <c r="B1130" s="23" t="n"/>
      <c r="C1130" s="24" t="n"/>
      <c r="D1130" s="15" t="n"/>
      <c r="E1130" s="23" t="n"/>
      <c r="F1130" s="15" t="n"/>
      <c r="G1130" s="23" t="n"/>
      <c r="H1130" s="25" t="n"/>
      <c r="I1130" s="15" t="n"/>
      <c r="J1130" s="26">
        <f>IF($A1130="","",LEN($C1130)-LEN(SUBSTITUTE($C1130,",",""))+1)</f>
        <v/>
      </c>
      <c r="K1130" s="26">
        <f>IF($A1130="","",SUMPRODUCT(--ISNUMBER(SEARCH('Category Dictionary'!$D$5:$D$135&amp;"",$C1130)),--('Category Dictionary'!$D$5:$D$135&lt;&gt;"")))</f>
        <v/>
      </c>
      <c r="L1130" s="27">
        <f>IF($A1130="","",TRIM(IF(ISERROR(FIND(",",$C1130)),$C1130,LEFT($C1130,FIND(",",$C1130)-1))))</f>
        <v/>
      </c>
      <c r="M1130" s="28">
        <f>IF($H1130="","",DATE(YEAR($H1130),MONTH($H1130),1))</f>
        <v/>
      </c>
      <c r="N1130" s="26">
        <f>IF($H1130="","",TODAY()-$H1130)</f>
        <v/>
      </c>
      <c r="O1130" s="15" t="n"/>
      <c r="P1130" s="26">
        <f>IF($A1130="","",COUNTIFS('Audit Versions'!$A$6:$A$605,$A1130,'Audit Versions'!$L$6:$L$605,"Active"))</f>
        <v/>
      </c>
      <c r="Q1130" s="15" t="n"/>
      <c r="R1130" s="26">
        <f>IF(OR($A1130="",$P1130=0),"",MOD(N($Q1130),$P1130)+1)</f>
        <v/>
      </c>
      <c r="S1130" s="15" t="n"/>
      <c r="T1130" s="25" t="n"/>
      <c r="U1130" s="26">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Builder'!$B$12="",N($S1130)&lt;='Assignment Builder'!$B$12)))</f>
        <v/>
      </c>
      <c r="V1130" s="23" t="n"/>
    </row>
    <row r="1131">
      <c r="A1131" s="23" t="n"/>
      <c r="B1131" s="23" t="n"/>
      <c r="C1131" s="24" t="n"/>
      <c r="D1131" s="15" t="n"/>
      <c r="E1131" s="23" t="n"/>
      <c r="F1131" s="15" t="n"/>
      <c r="G1131" s="23" t="n"/>
      <c r="H1131" s="25" t="n"/>
      <c r="I1131" s="15" t="n"/>
      <c r="J1131" s="26">
        <f>IF($A1131="","",LEN($C1131)-LEN(SUBSTITUTE($C1131,",",""))+1)</f>
        <v/>
      </c>
      <c r="K1131" s="26">
        <f>IF($A1131="","",SUMPRODUCT(--ISNUMBER(SEARCH('Category Dictionary'!$D$5:$D$135&amp;"",$C1131)),--('Category Dictionary'!$D$5:$D$135&lt;&gt;"")))</f>
        <v/>
      </c>
      <c r="L1131" s="27">
        <f>IF($A1131="","",TRIM(IF(ISERROR(FIND(",",$C1131)),$C1131,LEFT($C1131,FIND(",",$C1131)-1))))</f>
        <v/>
      </c>
      <c r="M1131" s="28">
        <f>IF($H1131="","",DATE(YEAR($H1131),MONTH($H1131),1))</f>
        <v/>
      </c>
      <c r="N1131" s="26">
        <f>IF($H1131="","",TODAY()-$H1131)</f>
        <v/>
      </c>
      <c r="O1131" s="15" t="n"/>
      <c r="P1131" s="26">
        <f>IF($A1131="","",COUNTIFS('Audit Versions'!$A$6:$A$605,$A1131,'Audit Versions'!$L$6:$L$605,"Active"))</f>
        <v/>
      </c>
      <c r="Q1131" s="15" t="n"/>
      <c r="R1131" s="26">
        <f>IF(OR($A1131="",$P1131=0),"",MOD(N($Q1131),$P1131)+1)</f>
        <v/>
      </c>
      <c r="S1131" s="15" t="n"/>
      <c r="T1131" s="25" t="n"/>
      <c r="U1131" s="26">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Builder'!$B$12="",N($S1131)&lt;='Assignment Builder'!$B$12)))</f>
        <v/>
      </c>
      <c r="V1131" s="23" t="n"/>
    </row>
    <row r="1132">
      <c r="A1132" s="23" t="n"/>
      <c r="B1132" s="23" t="n"/>
      <c r="C1132" s="24" t="n"/>
      <c r="D1132" s="15" t="n"/>
      <c r="E1132" s="23" t="n"/>
      <c r="F1132" s="15" t="n"/>
      <c r="G1132" s="23" t="n"/>
      <c r="H1132" s="25" t="n"/>
      <c r="I1132" s="15" t="n"/>
      <c r="J1132" s="26">
        <f>IF($A1132="","",LEN($C1132)-LEN(SUBSTITUTE($C1132,",",""))+1)</f>
        <v/>
      </c>
      <c r="K1132" s="26">
        <f>IF($A1132="","",SUMPRODUCT(--ISNUMBER(SEARCH('Category Dictionary'!$D$5:$D$135&amp;"",$C1132)),--('Category Dictionary'!$D$5:$D$135&lt;&gt;"")))</f>
        <v/>
      </c>
      <c r="L1132" s="27">
        <f>IF($A1132="","",TRIM(IF(ISERROR(FIND(",",$C1132)),$C1132,LEFT($C1132,FIND(",",$C1132)-1))))</f>
        <v/>
      </c>
      <c r="M1132" s="28">
        <f>IF($H1132="","",DATE(YEAR($H1132),MONTH($H1132),1))</f>
        <v/>
      </c>
      <c r="N1132" s="26">
        <f>IF($H1132="","",TODAY()-$H1132)</f>
        <v/>
      </c>
      <c r="O1132" s="15" t="n"/>
      <c r="P1132" s="26">
        <f>IF($A1132="","",COUNTIFS('Audit Versions'!$A$6:$A$605,$A1132,'Audit Versions'!$L$6:$L$605,"Active"))</f>
        <v/>
      </c>
      <c r="Q1132" s="15" t="n"/>
      <c r="R1132" s="26">
        <f>IF(OR($A1132="",$P1132=0),"",MOD(N($Q1132),$P1132)+1)</f>
        <v/>
      </c>
      <c r="S1132" s="15" t="n"/>
      <c r="T1132" s="25" t="n"/>
      <c r="U1132" s="26">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Builder'!$B$12="",N($S1132)&lt;='Assignment Builder'!$B$12)))</f>
        <v/>
      </c>
      <c r="V1132" s="23" t="n"/>
    </row>
    <row r="1133">
      <c r="A1133" s="23" t="n"/>
      <c r="B1133" s="23" t="n"/>
      <c r="C1133" s="24" t="n"/>
      <c r="D1133" s="15" t="n"/>
      <c r="E1133" s="23" t="n"/>
      <c r="F1133" s="15" t="n"/>
      <c r="G1133" s="23" t="n"/>
      <c r="H1133" s="25" t="n"/>
      <c r="I1133" s="15" t="n"/>
      <c r="J1133" s="26">
        <f>IF($A1133="","",LEN($C1133)-LEN(SUBSTITUTE($C1133,",",""))+1)</f>
        <v/>
      </c>
      <c r="K1133" s="26">
        <f>IF($A1133="","",SUMPRODUCT(--ISNUMBER(SEARCH('Category Dictionary'!$D$5:$D$135&amp;"",$C1133)),--('Category Dictionary'!$D$5:$D$135&lt;&gt;"")))</f>
        <v/>
      </c>
      <c r="L1133" s="27">
        <f>IF($A1133="","",TRIM(IF(ISERROR(FIND(",",$C1133)),$C1133,LEFT($C1133,FIND(",",$C1133)-1))))</f>
        <v/>
      </c>
      <c r="M1133" s="28">
        <f>IF($H1133="","",DATE(YEAR($H1133),MONTH($H1133),1))</f>
        <v/>
      </c>
      <c r="N1133" s="26">
        <f>IF($H1133="","",TODAY()-$H1133)</f>
        <v/>
      </c>
      <c r="O1133" s="15" t="n"/>
      <c r="P1133" s="26">
        <f>IF($A1133="","",COUNTIFS('Audit Versions'!$A$6:$A$605,$A1133,'Audit Versions'!$L$6:$L$605,"Active"))</f>
        <v/>
      </c>
      <c r="Q1133" s="15" t="n"/>
      <c r="R1133" s="26">
        <f>IF(OR($A1133="",$P1133=0),"",MOD(N($Q1133),$P1133)+1)</f>
        <v/>
      </c>
      <c r="S1133" s="15" t="n"/>
      <c r="T1133" s="25" t="n"/>
      <c r="U1133" s="26">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Builder'!$B$12="",N($S1133)&lt;='Assignment Builder'!$B$12)))</f>
        <v/>
      </c>
      <c r="V1133" s="23" t="n"/>
    </row>
    <row r="1134">
      <c r="A1134" s="23" t="n"/>
      <c r="B1134" s="23" t="n"/>
      <c r="C1134" s="24" t="n"/>
      <c r="D1134" s="15" t="n"/>
      <c r="E1134" s="23" t="n"/>
      <c r="F1134" s="15" t="n"/>
      <c r="G1134" s="23" t="n"/>
      <c r="H1134" s="25" t="n"/>
      <c r="I1134" s="15" t="n"/>
      <c r="J1134" s="26">
        <f>IF($A1134="","",LEN($C1134)-LEN(SUBSTITUTE($C1134,",",""))+1)</f>
        <v/>
      </c>
      <c r="K1134" s="26">
        <f>IF($A1134="","",SUMPRODUCT(--ISNUMBER(SEARCH('Category Dictionary'!$D$5:$D$135&amp;"",$C1134)),--('Category Dictionary'!$D$5:$D$135&lt;&gt;"")))</f>
        <v/>
      </c>
      <c r="L1134" s="27">
        <f>IF($A1134="","",TRIM(IF(ISERROR(FIND(",",$C1134)),$C1134,LEFT($C1134,FIND(",",$C1134)-1))))</f>
        <v/>
      </c>
      <c r="M1134" s="28">
        <f>IF($H1134="","",DATE(YEAR($H1134),MONTH($H1134),1))</f>
        <v/>
      </c>
      <c r="N1134" s="26">
        <f>IF($H1134="","",TODAY()-$H1134)</f>
        <v/>
      </c>
      <c r="O1134" s="15" t="n"/>
      <c r="P1134" s="26">
        <f>IF($A1134="","",COUNTIFS('Audit Versions'!$A$6:$A$605,$A1134,'Audit Versions'!$L$6:$L$605,"Active"))</f>
        <v/>
      </c>
      <c r="Q1134" s="15" t="n"/>
      <c r="R1134" s="26">
        <f>IF(OR($A1134="",$P1134=0),"",MOD(N($Q1134),$P1134)+1)</f>
        <v/>
      </c>
      <c r="S1134" s="15" t="n"/>
      <c r="T1134" s="25" t="n"/>
      <c r="U1134" s="26">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Builder'!$B$12="",N($S1134)&lt;='Assignment Builder'!$B$12)))</f>
        <v/>
      </c>
      <c r="V1134" s="23" t="n"/>
    </row>
    <row r="1135">
      <c r="A1135" s="23" t="n"/>
      <c r="B1135" s="23" t="n"/>
      <c r="C1135" s="24" t="n"/>
      <c r="D1135" s="15" t="n"/>
      <c r="E1135" s="23" t="n"/>
      <c r="F1135" s="15" t="n"/>
      <c r="G1135" s="23" t="n"/>
      <c r="H1135" s="25" t="n"/>
      <c r="I1135" s="15" t="n"/>
      <c r="J1135" s="26">
        <f>IF($A1135="","",LEN($C1135)-LEN(SUBSTITUTE($C1135,",",""))+1)</f>
        <v/>
      </c>
      <c r="K1135" s="26">
        <f>IF($A1135="","",SUMPRODUCT(--ISNUMBER(SEARCH('Category Dictionary'!$D$5:$D$135&amp;"",$C1135)),--('Category Dictionary'!$D$5:$D$135&lt;&gt;"")))</f>
        <v/>
      </c>
      <c r="L1135" s="27">
        <f>IF($A1135="","",TRIM(IF(ISERROR(FIND(",",$C1135)),$C1135,LEFT($C1135,FIND(",",$C1135)-1))))</f>
        <v/>
      </c>
      <c r="M1135" s="28">
        <f>IF($H1135="","",DATE(YEAR($H1135),MONTH($H1135),1))</f>
        <v/>
      </c>
      <c r="N1135" s="26">
        <f>IF($H1135="","",TODAY()-$H1135)</f>
        <v/>
      </c>
      <c r="O1135" s="15" t="n"/>
      <c r="P1135" s="26">
        <f>IF($A1135="","",COUNTIFS('Audit Versions'!$A$6:$A$605,$A1135,'Audit Versions'!$L$6:$L$605,"Active"))</f>
        <v/>
      </c>
      <c r="Q1135" s="15" t="n"/>
      <c r="R1135" s="26">
        <f>IF(OR($A1135="",$P1135=0),"",MOD(N($Q1135),$P1135)+1)</f>
        <v/>
      </c>
      <c r="S1135" s="15" t="n"/>
      <c r="T1135" s="25" t="n"/>
      <c r="U1135" s="26">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Builder'!$B$12="",N($S1135)&lt;='Assignment Builder'!$B$12)))</f>
        <v/>
      </c>
      <c r="V1135" s="23" t="n"/>
    </row>
    <row r="1136">
      <c r="A1136" s="23" t="n"/>
      <c r="B1136" s="23" t="n"/>
      <c r="C1136" s="24" t="n"/>
      <c r="D1136" s="15" t="n"/>
      <c r="E1136" s="23" t="n"/>
      <c r="F1136" s="15" t="n"/>
      <c r="G1136" s="23" t="n"/>
      <c r="H1136" s="25" t="n"/>
      <c r="I1136" s="15" t="n"/>
      <c r="J1136" s="26">
        <f>IF($A1136="","",LEN($C1136)-LEN(SUBSTITUTE($C1136,",",""))+1)</f>
        <v/>
      </c>
      <c r="K1136" s="26">
        <f>IF($A1136="","",SUMPRODUCT(--ISNUMBER(SEARCH('Category Dictionary'!$D$5:$D$135&amp;"",$C1136)),--('Category Dictionary'!$D$5:$D$135&lt;&gt;"")))</f>
        <v/>
      </c>
      <c r="L1136" s="27">
        <f>IF($A1136="","",TRIM(IF(ISERROR(FIND(",",$C1136)),$C1136,LEFT($C1136,FIND(",",$C1136)-1))))</f>
        <v/>
      </c>
      <c r="M1136" s="28">
        <f>IF($H1136="","",DATE(YEAR($H1136),MONTH($H1136),1))</f>
        <v/>
      </c>
      <c r="N1136" s="26">
        <f>IF($H1136="","",TODAY()-$H1136)</f>
        <v/>
      </c>
      <c r="O1136" s="15" t="n"/>
      <c r="P1136" s="26">
        <f>IF($A1136="","",COUNTIFS('Audit Versions'!$A$6:$A$605,$A1136,'Audit Versions'!$L$6:$L$605,"Active"))</f>
        <v/>
      </c>
      <c r="Q1136" s="15" t="n"/>
      <c r="R1136" s="26">
        <f>IF(OR($A1136="",$P1136=0),"",MOD(N($Q1136),$P1136)+1)</f>
        <v/>
      </c>
      <c r="S1136" s="15" t="n"/>
      <c r="T1136" s="25" t="n"/>
      <c r="U1136" s="26">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Builder'!$B$12="",N($S1136)&lt;='Assignment Builder'!$B$12)))</f>
        <v/>
      </c>
      <c r="V1136" s="23" t="n"/>
    </row>
    <row r="1137">
      <c r="A1137" s="23" t="n"/>
      <c r="B1137" s="23" t="n"/>
      <c r="C1137" s="24" t="n"/>
      <c r="D1137" s="15" t="n"/>
      <c r="E1137" s="23" t="n"/>
      <c r="F1137" s="15" t="n"/>
      <c r="G1137" s="23" t="n"/>
      <c r="H1137" s="25" t="n"/>
      <c r="I1137" s="15" t="n"/>
      <c r="J1137" s="26">
        <f>IF($A1137="","",LEN($C1137)-LEN(SUBSTITUTE($C1137,",",""))+1)</f>
        <v/>
      </c>
      <c r="K1137" s="26">
        <f>IF($A1137="","",SUMPRODUCT(--ISNUMBER(SEARCH('Category Dictionary'!$D$5:$D$135&amp;"",$C1137)),--('Category Dictionary'!$D$5:$D$135&lt;&gt;"")))</f>
        <v/>
      </c>
      <c r="L1137" s="27">
        <f>IF($A1137="","",TRIM(IF(ISERROR(FIND(",",$C1137)),$C1137,LEFT($C1137,FIND(",",$C1137)-1))))</f>
        <v/>
      </c>
      <c r="M1137" s="28">
        <f>IF($H1137="","",DATE(YEAR($H1137),MONTH($H1137),1))</f>
        <v/>
      </c>
      <c r="N1137" s="26">
        <f>IF($H1137="","",TODAY()-$H1137)</f>
        <v/>
      </c>
      <c r="O1137" s="15" t="n"/>
      <c r="P1137" s="26">
        <f>IF($A1137="","",COUNTIFS('Audit Versions'!$A$6:$A$605,$A1137,'Audit Versions'!$L$6:$L$605,"Active"))</f>
        <v/>
      </c>
      <c r="Q1137" s="15" t="n"/>
      <c r="R1137" s="26">
        <f>IF(OR($A1137="",$P1137=0),"",MOD(N($Q1137),$P1137)+1)</f>
        <v/>
      </c>
      <c r="S1137" s="15" t="n"/>
      <c r="T1137" s="25" t="n"/>
      <c r="U1137" s="26">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Builder'!$B$12="",N($S1137)&lt;='Assignment Builder'!$B$12)))</f>
        <v/>
      </c>
      <c r="V1137" s="23" t="n"/>
    </row>
    <row r="1138">
      <c r="A1138" s="23" t="n"/>
      <c r="B1138" s="23" t="n"/>
      <c r="C1138" s="24" t="n"/>
      <c r="D1138" s="15" t="n"/>
      <c r="E1138" s="23" t="n"/>
      <c r="F1138" s="15" t="n"/>
      <c r="G1138" s="23" t="n"/>
      <c r="H1138" s="25" t="n"/>
      <c r="I1138" s="15" t="n"/>
      <c r="J1138" s="26">
        <f>IF($A1138="","",LEN($C1138)-LEN(SUBSTITUTE($C1138,",",""))+1)</f>
        <v/>
      </c>
      <c r="K1138" s="26">
        <f>IF($A1138="","",SUMPRODUCT(--ISNUMBER(SEARCH('Category Dictionary'!$D$5:$D$135&amp;"",$C1138)),--('Category Dictionary'!$D$5:$D$135&lt;&gt;"")))</f>
        <v/>
      </c>
      <c r="L1138" s="27">
        <f>IF($A1138="","",TRIM(IF(ISERROR(FIND(",",$C1138)),$C1138,LEFT($C1138,FIND(",",$C1138)-1))))</f>
        <v/>
      </c>
      <c r="M1138" s="28">
        <f>IF($H1138="","",DATE(YEAR($H1138),MONTH($H1138),1))</f>
        <v/>
      </c>
      <c r="N1138" s="26">
        <f>IF($H1138="","",TODAY()-$H1138)</f>
        <v/>
      </c>
      <c r="O1138" s="15" t="n"/>
      <c r="P1138" s="26">
        <f>IF($A1138="","",COUNTIFS('Audit Versions'!$A$6:$A$605,$A1138,'Audit Versions'!$L$6:$L$605,"Active"))</f>
        <v/>
      </c>
      <c r="Q1138" s="15" t="n"/>
      <c r="R1138" s="26">
        <f>IF(OR($A1138="",$P1138=0),"",MOD(N($Q1138),$P1138)+1)</f>
        <v/>
      </c>
      <c r="S1138" s="15" t="n"/>
      <c r="T1138" s="25" t="n"/>
      <c r="U1138" s="26">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Builder'!$B$12="",N($S1138)&lt;='Assignment Builder'!$B$12)))</f>
        <v/>
      </c>
      <c r="V1138" s="23" t="n"/>
    </row>
    <row r="1139">
      <c r="A1139" s="23" t="n"/>
      <c r="B1139" s="23" t="n"/>
      <c r="C1139" s="24" t="n"/>
      <c r="D1139" s="15" t="n"/>
      <c r="E1139" s="23" t="n"/>
      <c r="F1139" s="15" t="n"/>
      <c r="G1139" s="23" t="n"/>
      <c r="H1139" s="25" t="n"/>
      <c r="I1139" s="15" t="n"/>
      <c r="J1139" s="26">
        <f>IF($A1139="","",LEN($C1139)-LEN(SUBSTITUTE($C1139,",",""))+1)</f>
        <v/>
      </c>
      <c r="K1139" s="26">
        <f>IF($A1139="","",SUMPRODUCT(--ISNUMBER(SEARCH('Category Dictionary'!$D$5:$D$135&amp;"",$C1139)),--('Category Dictionary'!$D$5:$D$135&lt;&gt;"")))</f>
        <v/>
      </c>
      <c r="L1139" s="27">
        <f>IF($A1139="","",TRIM(IF(ISERROR(FIND(",",$C1139)),$C1139,LEFT($C1139,FIND(",",$C1139)-1))))</f>
        <v/>
      </c>
      <c r="M1139" s="28">
        <f>IF($H1139="","",DATE(YEAR($H1139),MONTH($H1139),1))</f>
        <v/>
      </c>
      <c r="N1139" s="26">
        <f>IF($H1139="","",TODAY()-$H1139)</f>
        <v/>
      </c>
      <c r="O1139" s="15" t="n"/>
      <c r="P1139" s="26">
        <f>IF($A1139="","",COUNTIFS('Audit Versions'!$A$6:$A$605,$A1139,'Audit Versions'!$L$6:$L$605,"Active"))</f>
        <v/>
      </c>
      <c r="Q1139" s="15" t="n"/>
      <c r="R1139" s="26">
        <f>IF(OR($A1139="",$P1139=0),"",MOD(N($Q1139),$P1139)+1)</f>
        <v/>
      </c>
      <c r="S1139" s="15" t="n"/>
      <c r="T1139" s="25" t="n"/>
      <c r="U1139" s="26">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Builder'!$B$12="",N($S1139)&lt;='Assignment Builder'!$B$12)))</f>
        <v/>
      </c>
      <c r="V1139" s="23" t="n"/>
    </row>
    <row r="1140">
      <c r="A1140" s="23" t="n"/>
      <c r="B1140" s="23" t="n"/>
      <c r="C1140" s="24" t="n"/>
      <c r="D1140" s="15" t="n"/>
      <c r="E1140" s="23" t="n"/>
      <c r="F1140" s="15" t="n"/>
      <c r="G1140" s="23" t="n"/>
      <c r="H1140" s="25" t="n"/>
      <c r="I1140" s="15" t="n"/>
      <c r="J1140" s="26">
        <f>IF($A1140="","",LEN($C1140)-LEN(SUBSTITUTE($C1140,",",""))+1)</f>
        <v/>
      </c>
      <c r="K1140" s="26">
        <f>IF($A1140="","",SUMPRODUCT(--ISNUMBER(SEARCH('Category Dictionary'!$D$5:$D$135&amp;"",$C1140)),--('Category Dictionary'!$D$5:$D$135&lt;&gt;"")))</f>
        <v/>
      </c>
      <c r="L1140" s="27">
        <f>IF($A1140="","",TRIM(IF(ISERROR(FIND(",",$C1140)),$C1140,LEFT($C1140,FIND(",",$C1140)-1))))</f>
        <v/>
      </c>
      <c r="M1140" s="28">
        <f>IF($H1140="","",DATE(YEAR($H1140),MONTH($H1140),1))</f>
        <v/>
      </c>
      <c r="N1140" s="26">
        <f>IF($H1140="","",TODAY()-$H1140)</f>
        <v/>
      </c>
      <c r="O1140" s="15" t="n"/>
      <c r="P1140" s="26">
        <f>IF($A1140="","",COUNTIFS('Audit Versions'!$A$6:$A$605,$A1140,'Audit Versions'!$L$6:$L$605,"Active"))</f>
        <v/>
      </c>
      <c r="Q1140" s="15" t="n"/>
      <c r="R1140" s="26">
        <f>IF(OR($A1140="",$P1140=0),"",MOD(N($Q1140),$P1140)+1)</f>
        <v/>
      </c>
      <c r="S1140" s="15" t="n"/>
      <c r="T1140" s="25" t="n"/>
      <c r="U1140" s="26">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Builder'!$B$12="",N($S1140)&lt;='Assignment Builder'!$B$12)))</f>
        <v/>
      </c>
      <c r="V1140" s="23" t="n"/>
    </row>
    <row r="1141">
      <c r="A1141" s="23" t="n"/>
      <c r="B1141" s="23" t="n"/>
      <c r="C1141" s="24" t="n"/>
      <c r="D1141" s="15" t="n"/>
      <c r="E1141" s="23" t="n"/>
      <c r="F1141" s="15" t="n"/>
      <c r="G1141" s="23" t="n"/>
      <c r="H1141" s="25" t="n"/>
      <c r="I1141" s="15" t="n"/>
      <c r="J1141" s="26">
        <f>IF($A1141="","",LEN($C1141)-LEN(SUBSTITUTE($C1141,",",""))+1)</f>
        <v/>
      </c>
      <c r="K1141" s="26">
        <f>IF($A1141="","",SUMPRODUCT(--ISNUMBER(SEARCH('Category Dictionary'!$D$5:$D$135&amp;"",$C1141)),--('Category Dictionary'!$D$5:$D$135&lt;&gt;"")))</f>
        <v/>
      </c>
      <c r="L1141" s="27">
        <f>IF($A1141="","",TRIM(IF(ISERROR(FIND(",",$C1141)),$C1141,LEFT($C1141,FIND(",",$C1141)-1))))</f>
        <v/>
      </c>
      <c r="M1141" s="28">
        <f>IF($H1141="","",DATE(YEAR($H1141),MONTH($H1141),1))</f>
        <v/>
      </c>
      <c r="N1141" s="26">
        <f>IF($H1141="","",TODAY()-$H1141)</f>
        <v/>
      </c>
      <c r="O1141" s="15" t="n"/>
      <c r="P1141" s="26">
        <f>IF($A1141="","",COUNTIFS('Audit Versions'!$A$6:$A$605,$A1141,'Audit Versions'!$L$6:$L$605,"Active"))</f>
        <v/>
      </c>
      <c r="Q1141" s="15" t="n"/>
      <c r="R1141" s="26">
        <f>IF(OR($A1141="",$P1141=0),"",MOD(N($Q1141),$P1141)+1)</f>
        <v/>
      </c>
      <c r="S1141" s="15" t="n"/>
      <c r="T1141" s="25" t="n"/>
      <c r="U1141" s="26">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Builder'!$B$12="",N($S1141)&lt;='Assignment Builder'!$B$12)))</f>
        <v/>
      </c>
      <c r="V1141" s="23" t="n"/>
    </row>
    <row r="1142">
      <c r="A1142" s="23" t="n"/>
      <c r="B1142" s="23" t="n"/>
      <c r="C1142" s="24" t="n"/>
      <c r="D1142" s="15" t="n"/>
      <c r="E1142" s="23" t="n"/>
      <c r="F1142" s="15" t="n"/>
      <c r="G1142" s="23" t="n"/>
      <c r="H1142" s="25" t="n"/>
      <c r="I1142" s="15" t="n"/>
      <c r="J1142" s="26">
        <f>IF($A1142="","",LEN($C1142)-LEN(SUBSTITUTE($C1142,",",""))+1)</f>
        <v/>
      </c>
      <c r="K1142" s="26">
        <f>IF($A1142="","",SUMPRODUCT(--ISNUMBER(SEARCH('Category Dictionary'!$D$5:$D$135&amp;"",$C1142)),--('Category Dictionary'!$D$5:$D$135&lt;&gt;"")))</f>
        <v/>
      </c>
      <c r="L1142" s="27">
        <f>IF($A1142="","",TRIM(IF(ISERROR(FIND(",",$C1142)),$C1142,LEFT($C1142,FIND(",",$C1142)-1))))</f>
        <v/>
      </c>
      <c r="M1142" s="28">
        <f>IF($H1142="","",DATE(YEAR($H1142),MONTH($H1142),1))</f>
        <v/>
      </c>
      <c r="N1142" s="26">
        <f>IF($H1142="","",TODAY()-$H1142)</f>
        <v/>
      </c>
      <c r="O1142" s="15" t="n"/>
      <c r="P1142" s="26">
        <f>IF($A1142="","",COUNTIFS('Audit Versions'!$A$6:$A$605,$A1142,'Audit Versions'!$L$6:$L$605,"Active"))</f>
        <v/>
      </c>
      <c r="Q1142" s="15" t="n"/>
      <c r="R1142" s="26">
        <f>IF(OR($A1142="",$P1142=0),"",MOD(N($Q1142),$P1142)+1)</f>
        <v/>
      </c>
      <c r="S1142" s="15" t="n"/>
      <c r="T1142" s="25" t="n"/>
      <c r="U1142" s="26">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Builder'!$B$12="",N($S1142)&lt;='Assignment Builder'!$B$12)))</f>
        <v/>
      </c>
      <c r="V1142" s="23" t="n"/>
    </row>
    <row r="1143">
      <c r="A1143" s="23" t="n"/>
      <c r="B1143" s="23" t="n"/>
      <c r="C1143" s="24" t="n"/>
      <c r="D1143" s="15" t="n"/>
      <c r="E1143" s="23" t="n"/>
      <c r="F1143" s="15" t="n"/>
      <c r="G1143" s="23" t="n"/>
      <c r="H1143" s="25" t="n"/>
      <c r="I1143" s="15" t="n"/>
      <c r="J1143" s="26">
        <f>IF($A1143="","",LEN($C1143)-LEN(SUBSTITUTE($C1143,",",""))+1)</f>
        <v/>
      </c>
      <c r="K1143" s="26">
        <f>IF($A1143="","",SUMPRODUCT(--ISNUMBER(SEARCH('Category Dictionary'!$D$5:$D$135&amp;"",$C1143)),--('Category Dictionary'!$D$5:$D$135&lt;&gt;"")))</f>
        <v/>
      </c>
      <c r="L1143" s="27">
        <f>IF($A1143="","",TRIM(IF(ISERROR(FIND(",",$C1143)),$C1143,LEFT($C1143,FIND(",",$C1143)-1))))</f>
        <v/>
      </c>
      <c r="M1143" s="28">
        <f>IF($H1143="","",DATE(YEAR($H1143),MONTH($H1143),1))</f>
        <v/>
      </c>
      <c r="N1143" s="26">
        <f>IF($H1143="","",TODAY()-$H1143)</f>
        <v/>
      </c>
      <c r="O1143" s="15" t="n"/>
      <c r="P1143" s="26">
        <f>IF($A1143="","",COUNTIFS('Audit Versions'!$A$6:$A$605,$A1143,'Audit Versions'!$L$6:$L$605,"Active"))</f>
        <v/>
      </c>
      <c r="Q1143" s="15" t="n"/>
      <c r="R1143" s="26">
        <f>IF(OR($A1143="",$P1143=0),"",MOD(N($Q1143),$P1143)+1)</f>
        <v/>
      </c>
      <c r="S1143" s="15" t="n"/>
      <c r="T1143" s="25" t="n"/>
      <c r="U1143" s="26">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Builder'!$B$12="",N($S1143)&lt;='Assignment Builder'!$B$12)))</f>
        <v/>
      </c>
      <c r="V1143" s="23" t="n"/>
    </row>
    <row r="1144">
      <c r="A1144" s="23" t="n"/>
      <c r="B1144" s="23" t="n"/>
      <c r="C1144" s="24" t="n"/>
      <c r="D1144" s="15" t="n"/>
      <c r="E1144" s="23" t="n"/>
      <c r="F1144" s="15" t="n"/>
      <c r="G1144" s="23" t="n"/>
      <c r="H1144" s="25" t="n"/>
      <c r="I1144" s="15" t="n"/>
      <c r="J1144" s="26">
        <f>IF($A1144="","",LEN($C1144)-LEN(SUBSTITUTE($C1144,",",""))+1)</f>
        <v/>
      </c>
      <c r="K1144" s="26">
        <f>IF($A1144="","",SUMPRODUCT(--ISNUMBER(SEARCH('Category Dictionary'!$D$5:$D$135&amp;"",$C1144)),--('Category Dictionary'!$D$5:$D$135&lt;&gt;"")))</f>
        <v/>
      </c>
      <c r="L1144" s="27">
        <f>IF($A1144="","",TRIM(IF(ISERROR(FIND(",",$C1144)),$C1144,LEFT($C1144,FIND(",",$C1144)-1))))</f>
        <v/>
      </c>
      <c r="M1144" s="28">
        <f>IF($H1144="","",DATE(YEAR($H1144),MONTH($H1144),1))</f>
        <v/>
      </c>
      <c r="N1144" s="26">
        <f>IF($H1144="","",TODAY()-$H1144)</f>
        <v/>
      </c>
      <c r="O1144" s="15" t="n"/>
      <c r="P1144" s="26">
        <f>IF($A1144="","",COUNTIFS('Audit Versions'!$A$6:$A$605,$A1144,'Audit Versions'!$L$6:$L$605,"Active"))</f>
        <v/>
      </c>
      <c r="Q1144" s="15" t="n"/>
      <c r="R1144" s="26">
        <f>IF(OR($A1144="",$P1144=0),"",MOD(N($Q1144),$P1144)+1)</f>
        <v/>
      </c>
      <c r="S1144" s="15" t="n"/>
      <c r="T1144" s="25" t="n"/>
      <c r="U1144" s="26">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Builder'!$B$12="",N($S1144)&lt;='Assignment Builder'!$B$12)))</f>
        <v/>
      </c>
      <c r="V1144" s="23" t="n"/>
    </row>
    <row r="1145">
      <c r="A1145" s="23" t="n"/>
      <c r="B1145" s="23" t="n"/>
      <c r="C1145" s="24" t="n"/>
      <c r="D1145" s="15" t="n"/>
      <c r="E1145" s="23" t="n"/>
      <c r="F1145" s="15" t="n"/>
      <c r="G1145" s="23" t="n"/>
      <c r="H1145" s="25" t="n"/>
      <c r="I1145" s="15" t="n"/>
      <c r="J1145" s="26">
        <f>IF($A1145="","",LEN($C1145)-LEN(SUBSTITUTE($C1145,",",""))+1)</f>
        <v/>
      </c>
      <c r="K1145" s="26">
        <f>IF($A1145="","",SUMPRODUCT(--ISNUMBER(SEARCH('Category Dictionary'!$D$5:$D$135&amp;"",$C1145)),--('Category Dictionary'!$D$5:$D$135&lt;&gt;"")))</f>
        <v/>
      </c>
      <c r="L1145" s="27">
        <f>IF($A1145="","",TRIM(IF(ISERROR(FIND(",",$C1145)),$C1145,LEFT($C1145,FIND(",",$C1145)-1))))</f>
        <v/>
      </c>
      <c r="M1145" s="28">
        <f>IF($H1145="","",DATE(YEAR($H1145),MONTH($H1145),1))</f>
        <v/>
      </c>
      <c r="N1145" s="26">
        <f>IF($H1145="","",TODAY()-$H1145)</f>
        <v/>
      </c>
      <c r="O1145" s="15" t="n"/>
      <c r="P1145" s="26">
        <f>IF($A1145="","",COUNTIFS('Audit Versions'!$A$6:$A$605,$A1145,'Audit Versions'!$L$6:$L$605,"Active"))</f>
        <v/>
      </c>
      <c r="Q1145" s="15" t="n"/>
      <c r="R1145" s="26">
        <f>IF(OR($A1145="",$P1145=0),"",MOD(N($Q1145),$P1145)+1)</f>
        <v/>
      </c>
      <c r="S1145" s="15" t="n"/>
      <c r="T1145" s="25" t="n"/>
      <c r="U1145" s="26">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Builder'!$B$12="",N($S1145)&lt;='Assignment Builder'!$B$12)))</f>
        <v/>
      </c>
      <c r="V1145" s="23" t="n"/>
    </row>
    <row r="1146">
      <c r="A1146" s="23" t="n"/>
      <c r="B1146" s="23" t="n"/>
      <c r="C1146" s="24" t="n"/>
      <c r="D1146" s="15" t="n"/>
      <c r="E1146" s="23" t="n"/>
      <c r="F1146" s="15" t="n"/>
      <c r="G1146" s="23" t="n"/>
      <c r="H1146" s="25" t="n"/>
      <c r="I1146" s="15" t="n"/>
      <c r="J1146" s="26">
        <f>IF($A1146="","",LEN($C1146)-LEN(SUBSTITUTE($C1146,",",""))+1)</f>
        <v/>
      </c>
      <c r="K1146" s="26">
        <f>IF($A1146="","",SUMPRODUCT(--ISNUMBER(SEARCH('Category Dictionary'!$D$5:$D$135&amp;"",$C1146)),--('Category Dictionary'!$D$5:$D$135&lt;&gt;"")))</f>
        <v/>
      </c>
      <c r="L1146" s="27">
        <f>IF($A1146="","",TRIM(IF(ISERROR(FIND(",",$C1146)),$C1146,LEFT($C1146,FIND(",",$C1146)-1))))</f>
        <v/>
      </c>
      <c r="M1146" s="28">
        <f>IF($H1146="","",DATE(YEAR($H1146),MONTH($H1146),1))</f>
        <v/>
      </c>
      <c r="N1146" s="26">
        <f>IF($H1146="","",TODAY()-$H1146)</f>
        <v/>
      </c>
      <c r="O1146" s="15" t="n"/>
      <c r="P1146" s="26">
        <f>IF($A1146="","",COUNTIFS('Audit Versions'!$A$6:$A$605,$A1146,'Audit Versions'!$L$6:$L$605,"Active"))</f>
        <v/>
      </c>
      <c r="Q1146" s="15" t="n"/>
      <c r="R1146" s="26">
        <f>IF(OR($A1146="",$P1146=0),"",MOD(N($Q1146),$P1146)+1)</f>
        <v/>
      </c>
      <c r="S1146" s="15" t="n"/>
      <c r="T1146" s="25" t="n"/>
      <c r="U1146" s="26">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Builder'!$B$12="",N($S1146)&lt;='Assignment Builder'!$B$12)))</f>
        <v/>
      </c>
      <c r="V1146" s="23" t="n"/>
    </row>
    <row r="1147">
      <c r="A1147" s="23" t="n"/>
      <c r="B1147" s="23" t="n"/>
      <c r="C1147" s="24" t="n"/>
      <c r="D1147" s="15" t="n"/>
      <c r="E1147" s="23" t="n"/>
      <c r="F1147" s="15" t="n"/>
      <c r="G1147" s="23" t="n"/>
      <c r="H1147" s="25" t="n"/>
      <c r="I1147" s="15" t="n"/>
      <c r="J1147" s="26">
        <f>IF($A1147="","",LEN($C1147)-LEN(SUBSTITUTE($C1147,",",""))+1)</f>
        <v/>
      </c>
      <c r="K1147" s="26">
        <f>IF($A1147="","",SUMPRODUCT(--ISNUMBER(SEARCH('Category Dictionary'!$D$5:$D$135&amp;"",$C1147)),--('Category Dictionary'!$D$5:$D$135&lt;&gt;"")))</f>
        <v/>
      </c>
      <c r="L1147" s="27">
        <f>IF($A1147="","",TRIM(IF(ISERROR(FIND(",",$C1147)),$C1147,LEFT($C1147,FIND(",",$C1147)-1))))</f>
        <v/>
      </c>
      <c r="M1147" s="28">
        <f>IF($H1147="","",DATE(YEAR($H1147),MONTH($H1147),1))</f>
        <v/>
      </c>
      <c r="N1147" s="26">
        <f>IF($H1147="","",TODAY()-$H1147)</f>
        <v/>
      </c>
      <c r="O1147" s="15" t="n"/>
      <c r="P1147" s="26">
        <f>IF($A1147="","",COUNTIFS('Audit Versions'!$A$6:$A$605,$A1147,'Audit Versions'!$L$6:$L$605,"Active"))</f>
        <v/>
      </c>
      <c r="Q1147" s="15" t="n"/>
      <c r="R1147" s="26">
        <f>IF(OR($A1147="",$P1147=0),"",MOD(N($Q1147),$P1147)+1)</f>
        <v/>
      </c>
      <c r="S1147" s="15" t="n"/>
      <c r="T1147" s="25" t="n"/>
      <c r="U1147" s="26">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Builder'!$B$12="",N($S1147)&lt;='Assignment Builder'!$B$12)))</f>
        <v/>
      </c>
      <c r="V1147" s="23" t="n"/>
    </row>
    <row r="1148">
      <c r="A1148" s="23" t="n"/>
      <c r="B1148" s="23" t="n"/>
      <c r="C1148" s="24" t="n"/>
      <c r="D1148" s="15" t="n"/>
      <c r="E1148" s="23" t="n"/>
      <c r="F1148" s="15" t="n"/>
      <c r="G1148" s="23" t="n"/>
      <c r="H1148" s="25" t="n"/>
      <c r="I1148" s="15" t="n"/>
      <c r="J1148" s="26">
        <f>IF($A1148="","",LEN($C1148)-LEN(SUBSTITUTE($C1148,",",""))+1)</f>
        <v/>
      </c>
      <c r="K1148" s="26">
        <f>IF($A1148="","",SUMPRODUCT(--ISNUMBER(SEARCH('Category Dictionary'!$D$5:$D$135&amp;"",$C1148)),--('Category Dictionary'!$D$5:$D$135&lt;&gt;"")))</f>
        <v/>
      </c>
      <c r="L1148" s="27">
        <f>IF($A1148="","",TRIM(IF(ISERROR(FIND(",",$C1148)),$C1148,LEFT($C1148,FIND(",",$C1148)-1))))</f>
        <v/>
      </c>
      <c r="M1148" s="28">
        <f>IF($H1148="","",DATE(YEAR($H1148),MONTH($H1148),1))</f>
        <v/>
      </c>
      <c r="N1148" s="26">
        <f>IF($H1148="","",TODAY()-$H1148)</f>
        <v/>
      </c>
      <c r="O1148" s="15" t="n"/>
      <c r="P1148" s="26">
        <f>IF($A1148="","",COUNTIFS('Audit Versions'!$A$6:$A$605,$A1148,'Audit Versions'!$L$6:$L$605,"Active"))</f>
        <v/>
      </c>
      <c r="Q1148" s="15" t="n"/>
      <c r="R1148" s="26">
        <f>IF(OR($A1148="",$P1148=0),"",MOD(N($Q1148),$P1148)+1)</f>
        <v/>
      </c>
      <c r="S1148" s="15" t="n"/>
      <c r="T1148" s="25" t="n"/>
      <c r="U1148" s="26">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Builder'!$B$12="",N($S1148)&lt;='Assignment Builder'!$B$12)))</f>
        <v/>
      </c>
      <c r="V1148" s="23" t="n"/>
    </row>
    <row r="1149">
      <c r="A1149" s="23" t="n"/>
      <c r="B1149" s="23" t="n"/>
      <c r="C1149" s="24" t="n"/>
      <c r="D1149" s="15" t="n"/>
      <c r="E1149" s="23" t="n"/>
      <c r="F1149" s="15" t="n"/>
      <c r="G1149" s="23" t="n"/>
      <c r="H1149" s="25" t="n"/>
      <c r="I1149" s="15" t="n"/>
      <c r="J1149" s="26">
        <f>IF($A1149="","",LEN($C1149)-LEN(SUBSTITUTE($C1149,",",""))+1)</f>
        <v/>
      </c>
      <c r="K1149" s="26">
        <f>IF($A1149="","",SUMPRODUCT(--ISNUMBER(SEARCH('Category Dictionary'!$D$5:$D$135&amp;"",$C1149)),--('Category Dictionary'!$D$5:$D$135&lt;&gt;"")))</f>
        <v/>
      </c>
      <c r="L1149" s="27">
        <f>IF($A1149="","",TRIM(IF(ISERROR(FIND(",",$C1149)),$C1149,LEFT($C1149,FIND(",",$C1149)-1))))</f>
        <v/>
      </c>
      <c r="M1149" s="28">
        <f>IF($H1149="","",DATE(YEAR($H1149),MONTH($H1149),1))</f>
        <v/>
      </c>
      <c r="N1149" s="26">
        <f>IF($H1149="","",TODAY()-$H1149)</f>
        <v/>
      </c>
      <c r="O1149" s="15" t="n"/>
      <c r="P1149" s="26">
        <f>IF($A1149="","",COUNTIFS('Audit Versions'!$A$6:$A$605,$A1149,'Audit Versions'!$L$6:$L$605,"Active"))</f>
        <v/>
      </c>
      <c r="Q1149" s="15" t="n"/>
      <c r="R1149" s="26">
        <f>IF(OR($A1149="",$P1149=0),"",MOD(N($Q1149),$P1149)+1)</f>
        <v/>
      </c>
      <c r="S1149" s="15" t="n"/>
      <c r="T1149" s="25" t="n"/>
      <c r="U1149" s="26">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Builder'!$B$12="",N($S1149)&lt;='Assignment Builder'!$B$12)))</f>
        <v/>
      </c>
      <c r="V1149" s="23" t="n"/>
    </row>
    <row r="1150">
      <c r="A1150" s="23" t="n"/>
      <c r="B1150" s="23" t="n"/>
      <c r="C1150" s="24" t="n"/>
      <c r="D1150" s="15" t="n"/>
      <c r="E1150" s="23" t="n"/>
      <c r="F1150" s="15" t="n"/>
      <c r="G1150" s="23" t="n"/>
      <c r="H1150" s="25" t="n"/>
      <c r="I1150" s="15" t="n"/>
      <c r="J1150" s="26">
        <f>IF($A1150="","",LEN($C1150)-LEN(SUBSTITUTE($C1150,",",""))+1)</f>
        <v/>
      </c>
      <c r="K1150" s="26">
        <f>IF($A1150="","",SUMPRODUCT(--ISNUMBER(SEARCH('Category Dictionary'!$D$5:$D$135&amp;"",$C1150)),--('Category Dictionary'!$D$5:$D$135&lt;&gt;"")))</f>
        <v/>
      </c>
      <c r="L1150" s="27">
        <f>IF($A1150="","",TRIM(IF(ISERROR(FIND(",",$C1150)),$C1150,LEFT($C1150,FIND(",",$C1150)-1))))</f>
        <v/>
      </c>
      <c r="M1150" s="28">
        <f>IF($H1150="","",DATE(YEAR($H1150),MONTH($H1150),1))</f>
        <v/>
      </c>
      <c r="N1150" s="26">
        <f>IF($H1150="","",TODAY()-$H1150)</f>
        <v/>
      </c>
      <c r="O1150" s="15" t="n"/>
      <c r="P1150" s="26">
        <f>IF($A1150="","",COUNTIFS('Audit Versions'!$A$6:$A$605,$A1150,'Audit Versions'!$L$6:$L$605,"Active"))</f>
        <v/>
      </c>
      <c r="Q1150" s="15" t="n"/>
      <c r="R1150" s="26">
        <f>IF(OR($A1150="",$P1150=0),"",MOD(N($Q1150),$P1150)+1)</f>
        <v/>
      </c>
      <c r="S1150" s="15" t="n"/>
      <c r="T1150" s="25" t="n"/>
      <c r="U1150" s="26">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Builder'!$B$12="",N($S1150)&lt;='Assignment Builder'!$B$12)))</f>
        <v/>
      </c>
      <c r="V1150" s="23" t="n"/>
    </row>
    <row r="1151">
      <c r="A1151" s="23" t="n"/>
      <c r="B1151" s="23" t="n"/>
      <c r="C1151" s="24" t="n"/>
      <c r="D1151" s="15" t="n"/>
      <c r="E1151" s="23" t="n"/>
      <c r="F1151" s="15" t="n"/>
      <c r="G1151" s="23" t="n"/>
      <c r="H1151" s="25" t="n"/>
      <c r="I1151" s="15" t="n"/>
      <c r="J1151" s="26">
        <f>IF($A1151="","",LEN($C1151)-LEN(SUBSTITUTE($C1151,",",""))+1)</f>
        <v/>
      </c>
      <c r="K1151" s="26">
        <f>IF($A1151="","",SUMPRODUCT(--ISNUMBER(SEARCH('Category Dictionary'!$D$5:$D$135&amp;"",$C1151)),--('Category Dictionary'!$D$5:$D$135&lt;&gt;"")))</f>
        <v/>
      </c>
      <c r="L1151" s="27">
        <f>IF($A1151="","",TRIM(IF(ISERROR(FIND(",",$C1151)),$C1151,LEFT($C1151,FIND(",",$C1151)-1))))</f>
        <v/>
      </c>
      <c r="M1151" s="28">
        <f>IF($H1151="","",DATE(YEAR($H1151),MONTH($H1151),1))</f>
        <v/>
      </c>
      <c r="N1151" s="26">
        <f>IF($H1151="","",TODAY()-$H1151)</f>
        <v/>
      </c>
      <c r="O1151" s="15" t="n"/>
      <c r="P1151" s="26">
        <f>IF($A1151="","",COUNTIFS('Audit Versions'!$A$6:$A$605,$A1151,'Audit Versions'!$L$6:$L$605,"Active"))</f>
        <v/>
      </c>
      <c r="Q1151" s="15" t="n"/>
      <c r="R1151" s="26">
        <f>IF(OR($A1151="",$P1151=0),"",MOD(N($Q1151),$P1151)+1)</f>
        <v/>
      </c>
      <c r="S1151" s="15" t="n"/>
      <c r="T1151" s="25" t="n"/>
      <c r="U1151" s="26">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Builder'!$B$12="",N($S1151)&lt;='Assignment Builder'!$B$12)))</f>
        <v/>
      </c>
      <c r="V1151" s="23" t="n"/>
    </row>
    <row r="1152">
      <c r="A1152" s="23" t="n"/>
      <c r="B1152" s="23" t="n"/>
      <c r="C1152" s="24" t="n"/>
      <c r="D1152" s="15" t="n"/>
      <c r="E1152" s="23" t="n"/>
      <c r="F1152" s="15" t="n"/>
      <c r="G1152" s="23" t="n"/>
      <c r="H1152" s="25" t="n"/>
      <c r="I1152" s="15" t="n"/>
      <c r="J1152" s="26">
        <f>IF($A1152="","",LEN($C1152)-LEN(SUBSTITUTE($C1152,",",""))+1)</f>
        <v/>
      </c>
      <c r="K1152" s="26">
        <f>IF($A1152="","",SUMPRODUCT(--ISNUMBER(SEARCH('Category Dictionary'!$D$5:$D$135&amp;"",$C1152)),--('Category Dictionary'!$D$5:$D$135&lt;&gt;"")))</f>
        <v/>
      </c>
      <c r="L1152" s="27">
        <f>IF($A1152="","",TRIM(IF(ISERROR(FIND(",",$C1152)),$C1152,LEFT($C1152,FIND(",",$C1152)-1))))</f>
        <v/>
      </c>
      <c r="M1152" s="28">
        <f>IF($H1152="","",DATE(YEAR($H1152),MONTH($H1152),1))</f>
        <v/>
      </c>
      <c r="N1152" s="26">
        <f>IF($H1152="","",TODAY()-$H1152)</f>
        <v/>
      </c>
      <c r="O1152" s="15" t="n"/>
      <c r="P1152" s="26">
        <f>IF($A1152="","",COUNTIFS('Audit Versions'!$A$6:$A$605,$A1152,'Audit Versions'!$L$6:$L$605,"Active"))</f>
        <v/>
      </c>
      <c r="Q1152" s="15" t="n"/>
      <c r="R1152" s="26">
        <f>IF(OR($A1152="",$P1152=0),"",MOD(N($Q1152),$P1152)+1)</f>
        <v/>
      </c>
      <c r="S1152" s="15" t="n"/>
      <c r="T1152" s="25" t="n"/>
      <c r="U1152" s="26">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Builder'!$B$12="",N($S1152)&lt;='Assignment Builder'!$B$12)))</f>
        <v/>
      </c>
      <c r="V1152" s="23" t="n"/>
    </row>
    <row r="1153">
      <c r="A1153" s="23" t="n"/>
      <c r="B1153" s="23" t="n"/>
      <c r="C1153" s="24" t="n"/>
      <c r="D1153" s="15" t="n"/>
      <c r="E1153" s="23" t="n"/>
      <c r="F1153" s="15" t="n"/>
      <c r="G1153" s="23" t="n"/>
      <c r="H1153" s="25" t="n"/>
      <c r="I1153" s="15" t="n"/>
      <c r="J1153" s="26">
        <f>IF($A1153="","",LEN($C1153)-LEN(SUBSTITUTE($C1153,",",""))+1)</f>
        <v/>
      </c>
      <c r="K1153" s="26">
        <f>IF($A1153="","",SUMPRODUCT(--ISNUMBER(SEARCH('Category Dictionary'!$D$5:$D$135&amp;"",$C1153)),--('Category Dictionary'!$D$5:$D$135&lt;&gt;"")))</f>
        <v/>
      </c>
      <c r="L1153" s="27">
        <f>IF($A1153="","",TRIM(IF(ISERROR(FIND(",",$C1153)),$C1153,LEFT($C1153,FIND(",",$C1153)-1))))</f>
        <v/>
      </c>
      <c r="M1153" s="28">
        <f>IF($H1153="","",DATE(YEAR($H1153),MONTH($H1153),1))</f>
        <v/>
      </c>
      <c r="N1153" s="26">
        <f>IF($H1153="","",TODAY()-$H1153)</f>
        <v/>
      </c>
      <c r="O1153" s="15" t="n"/>
      <c r="P1153" s="26">
        <f>IF($A1153="","",COUNTIFS('Audit Versions'!$A$6:$A$605,$A1153,'Audit Versions'!$L$6:$L$605,"Active"))</f>
        <v/>
      </c>
      <c r="Q1153" s="15" t="n"/>
      <c r="R1153" s="26">
        <f>IF(OR($A1153="",$P1153=0),"",MOD(N($Q1153),$P1153)+1)</f>
        <v/>
      </c>
      <c r="S1153" s="15" t="n"/>
      <c r="T1153" s="25" t="n"/>
      <c r="U1153" s="26">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Builder'!$B$12="",N($S1153)&lt;='Assignment Builder'!$B$12)))</f>
        <v/>
      </c>
      <c r="V1153" s="23" t="n"/>
    </row>
    <row r="1154">
      <c r="A1154" s="23" t="n"/>
      <c r="B1154" s="23" t="n"/>
      <c r="C1154" s="24" t="n"/>
      <c r="D1154" s="15" t="n"/>
      <c r="E1154" s="23" t="n"/>
      <c r="F1154" s="15" t="n"/>
      <c r="G1154" s="23" t="n"/>
      <c r="H1154" s="25" t="n"/>
      <c r="I1154" s="15" t="n"/>
      <c r="J1154" s="26">
        <f>IF($A1154="","",LEN($C1154)-LEN(SUBSTITUTE($C1154,",",""))+1)</f>
        <v/>
      </c>
      <c r="K1154" s="26">
        <f>IF($A1154="","",SUMPRODUCT(--ISNUMBER(SEARCH('Category Dictionary'!$D$5:$D$135&amp;"",$C1154)),--('Category Dictionary'!$D$5:$D$135&lt;&gt;"")))</f>
        <v/>
      </c>
      <c r="L1154" s="27">
        <f>IF($A1154="","",TRIM(IF(ISERROR(FIND(",",$C1154)),$C1154,LEFT($C1154,FIND(",",$C1154)-1))))</f>
        <v/>
      </c>
      <c r="M1154" s="28">
        <f>IF($H1154="","",DATE(YEAR($H1154),MONTH($H1154),1))</f>
        <v/>
      </c>
      <c r="N1154" s="26">
        <f>IF($H1154="","",TODAY()-$H1154)</f>
        <v/>
      </c>
      <c r="O1154" s="15" t="n"/>
      <c r="P1154" s="26">
        <f>IF($A1154="","",COUNTIFS('Audit Versions'!$A$6:$A$605,$A1154,'Audit Versions'!$L$6:$L$605,"Active"))</f>
        <v/>
      </c>
      <c r="Q1154" s="15" t="n"/>
      <c r="R1154" s="26">
        <f>IF(OR($A1154="",$P1154=0),"",MOD(N($Q1154),$P1154)+1)</f>
        <v/>
      </c>
      <c r="S1154" s="15" t="n"/>
      <c r="T1154" s="25" t="n"/>
      <c r="U1154" s="26">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Builder'!$B$12="",N($S1154)&lt;='Assignment Builder'!$B$12)))</f>
        <v/>
      </c>
      <c r="V1154" s="23" t="n"/>
    </row>
    <row r="1155">
      <c r="A1155" s="23" t="n"/>
      <c r="B1155" s="23" t="n"/>
      <c r="C1155" s="24" t="n"/>
      <c r="D1155" s="15" t="n"/>
      <c r="E1155" s="23" t="n"/>
      <c r="F1155" s="15" t="n"/>
      <c r="G1155" s="23" t="n"/>
      <c r="H1155" s="25" t="n"/>
      <c r="I1155" s="15" t="n"/>
      <c r="J1155" s="26">
        <f>IF($A1155="","",LEN($C1155)-LEN(SUBSTITUTE($C1155,",",""))+1)</f>
        <v/>
      </c>
      <c r="K1155" s="26">
        <f>IF($A1155="","",SUMPRODUCT(--ISNUMBER(SEARCH('Category Dictionary'!$D$5:$D$135&amp;"",$C1155)),--('Category Dictionary'!$D$5:$D$135&lt;&gt;"")))</f>
        <v/>
      </c>
      <c r="L1155" s="27">
        <f>IF($A1155="","",TRIM(IF(ISERROR(FIND(",",$C1155)),$C1155,LEFT($C1155,FIND(",",$C1155)-1))))</f>
        <v/>
      </c>
      <c r="M1155" s="28">
        <f>IF($H1155="","",DATE(YEAR($H1155),MONTH($H1155),1))</f>
        <v/>
      </c>
      <c r="N1155" s="26">
        <f>IF($H1155="","",TODAY()-$H1155)</f>
        <v/>
      </c>
      <c r="O1155" s="15" t="n"/>
      <c r="P1155" s="26">
        <f>IF($A1155="","",COUNTIFS('Audit Versions'!$A$6:$A$605,$A1155,'Audit Versions'!$L$6:$L$605,"Active"))</f>
        <v/>
      </c>
      <c r="Q1155" s="15" t="n"/>
      <c r="R1155" s="26">
        <f>IF(OR($A1155="",$P1155=0),"",MOD(N($Q1155),$P1155)+1)</f>
        <v/>
      </c>
      <c r="S1155" s="15" t="n"/>
      <c r="T1155" s="25" t="n"/>
      <c r="U1155" s="26">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Builder'!$B$12="",N($S1155)&lt;='Assignment Builder'!$B$12)))</f>
        <v/>
      </c>
      <c r="V1155" s="23" t="n"/>
    </row>
    <row r="1156">
      <c r="A1156" s="23" t="n"/>
      <c r="B1156" s="23" t="n"/>
      <c r="C1156" s="24" t="n"/>
      <c r="D1156" s="15" t="n"/>
      <c r="E1156" s="23" t="n"/>
      <c r="F1156" s="15" t="n"/>
      <c r="G1156" s="23" t="n"/>
      <c r="H1156" s="25" t="n"/>
      <c r="I1156" s="15" t="n"/>
      <c r="J1156" s="26">
        <f>IF($A1156="","",LEN($C1156)-LEN(SUBSTITUTE($C1156,",",""))+1)</f>
        <v/>
      </c>
      <c r="K1156" s="26">
        <f>IF($A1156="","",SUMPRODUCT(--ISNUMBER(SEARCH('Category Dictionary'!$D$5:$D$135&amp;"",$C1156)),--('Category Dictionary'!$D$5:$D$135&lt;&gt;"")))</f>
        <v/>
      </c>
      <c r="L1156" s="27">
        <f>IF($A1156="","",TRIM(IF(ISERROR(FIND(",",$C1156)),$C1156,LEFT($C1156,FIND(",",$C1156)-1))))</f>
        <v/>
      </c>
      <c r="M1156" s="28">
        <f>IF($H1156="","",DATE(YEAR($H1156),MONTH($H1156),1))</f>
        <v/>
      </c>
      <c r="N1156" s="26">
        <f>IF($H1156="","",TODAY()-$H1156)</f>
        <v/>
      </c>
      <c r="O1156" s="15" t="n"/>
      <c r="P1156" s="26">
        <f>IF($A1156="","",COUNTIFS('Audit Versions'!$A$6:$A$605,$A1156,'Audit Versions'!$L$6:$L$605,"Active"))</f>
        <v/>
      </c>
      <c r="Q1156" s="15" t="n"/>
      <c r="R1156" s="26">
        <f>IF(OR($A1156="",$P1156=0),"",MOD(N($Q1156),$P1156)+1)</f>
        <v/>
      </c>
      <c r="S1156" s="15" t="n"/>
      <c r="T1156" s="25" t="n"/>
      <c r="U1156" s="26">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Builder'!$B$12="",N($S1156)&lt;='Assignment Builder'!$B$12)))</f>
        <v/>
      </c>
      <c r="V1156" s="23" t="n"/>
    </row>
    <row r="1157">
      <c r="A1157" s="23" t="n"/>
      <c r="B1157" s="23" t="n"/>
      <c r="C1157" s="24" t="n"/>
      <c r="D1157" s="15" t="n"/>
      <c r="E1157" s="23" t="n"/>
      <c r="F1157" s="15" t="n"/>
      <c r="G1157" s="23" t="n"/>
      <c r="H1157" s="25" t="n"/>
      <c r="I1157" s="15" t="n"/>
      <c r="J1157" s="26">
        <f>IF($A1157="","",LEN($C1157)-LEN(SUBSTITUTE($C1157,",",""))+1)</f>
        <v/>
      </c>
      <c r="K1157" s="26">
        <f>IF($A1157="","",SUMPRODUCT(--ISNUMBER(SEARCH('Category Dictionary'!$D$5:$D$135&amp;"",$C1157)),--('Category Dictionary'!$D$5:$D$135&lt;&gt;"")))</f>
        <v/>
      </c>
      <c r="L1157" s="27">
        <f>IF($A1157="","",TRIM(IF(ISERROR(FIND(",",$C1157)),$C1157,LEFT($C1157,FIND(",",$C1157)-1))))</f>
        <v/>
      </c>
      <c r="M1157" s="28">
        <f>IF($H1157="","",DATE(YEAR($H1157),MONTH($H1157),1))</f>
        <v/>
      </c>
      <c r="N1157" s="26">
        <f>IF($H1157="","",TODAY()-$H1157)</f>
        <v/>
      </c>
      <c r="O1157" s="15" t="n"/>
      <c r="P1157" s="26">
        <f>IF($A1157="","",COUNTIFS('Audit Versions'!$A$6:$A$605,$A1157,'Audit Versions'!$L$6:$L$605,"Active"))</f>
        <v/>
      </c>
      <c r="Q1157" s="15" t="n"/>
      <c r="R1157" s="26">
        <f>IF(OR($A1157="",$P1157=0),"",MOD(N($Q1157),$P1157)+1)</f>
        <v/>
      </c>
      <c r="S1157" s="15" t="n"/>
      <c r="T1157" s="25" t="n"/>
      <c r="U1157" s="26">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Builder'!$B$12="",N($S1157)&lt;='Assignment Builder'!$B$12)))</f>
        <v/>
      </c>
      <c r="V1157" s="23" t="n"/>
    </row>
    <row r="1158">
      <c r="A1158" s="23" t="n"/>
      <c r="B1158" s="23" t="n"/>
      <c r="C1158" s="24" t="n"/>
      <c r="D1158" s="15" t="n"/>
      <c r="E1158" s="23" t="n"/>
      <c r="F1158" s="15" t="n"/>
      <c r="G1158" s="23" t="n"/>
      <c r="H1158" s="25" t="n"/>
      <c r="I1158" s="15" t="n"/>
      <c r="J1158" s="26">
        <f>IF($A1158="","",LEN($C1158)-LEN(SUBSTITUTE($C1158,",",""))+1)</f>
        <v/>
      </c>
      <c r="K1158" s="26">
        <f>IF($A1158="","",SUMPRODUCT(--ISNUMBER(SEARCH('Category Dictionary'!$D$5:$D$135&amp;"",$C1158)),--('Category Dictionary'!$D$5:$D$135&lt;&gt;"")))</f>
        <v/>
      </c>
      <c r="L1158" s="27">
        <f>IF($A1158="","",TRIM(IF(ISERROR(FIND(",",$C1158)),$C1158,LEFT($C1158,FIND(",",$C1158)-1))))</f>
        <v/>
      </c>
      <c r="M1158" s="28">
        <f>IF($H1158="","",DATE(YEAR($H1158),MONTH($H1158),1))</f>
        <v/>
      </c>
      <c r="N1158" s="26">
        <f>IF($H1158="","",TODAY()-$H1158)</f>
        <v/>
      </c>
      <c r="O1158" s="15" t="n"/>
      <c r="P1158" s="26">
        <f>IF($A1158="","",COUNTIFS('Audit Versions'!$A$6:$A$605,$A1158,'Audit Versions'!$L$6:$L$605,"Active"))</f>
        <v/>
      </c>
      <c r="Q1158" s="15" t="n"/>
      <c r="R1158" s="26">
        <f>IF(OR($A1158="",$P1158=0),"",MOD(N($Q1158),$P1158)+1)</f>
        <v/>
      </c>
      <c r="S1158" s="15" t="n"/>
      <c r="T1158" s="25" t="n"/>
      <c r="U1158" s="26">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Builder'!$B$12="",N($S1158)&lt;='Assignment Builder'!$B$12)))</f>
        <v/>
      </c>
      <c r="V1158" s="23" t="n"/>
    </row>
    <row r="1159">
      <c r="A1159" s="23" t="n"/>
      <c r="B1159" s="23" t="n"/>
      <c r="C1159" s="24" t="n"/>
      <c r="D1159" s="15" t="n"/>
      <c r="E1159" s="23" t="n"/>
      <c r="F1159" s="15" t="n"/>
      <c r="G1159" s="23" t="n"/>
      <c r="H1159" s="25" t="n"/>
      <c r="I1159" s="15" t="n"/>
      <c r="J1159" s="26">
        <f>IF($A1159="","",LEN($C1159)-LEN(SUBSTITUTE($C1159,",",""))+1)</f>
        <v/>
      </c>
      <c r="K1159" s="26">
        <f>IF($A1159="","",SUMPRODUCT(--ISNUMBER(SEARCH('Category Dictionary'!$D$5:$D$135&amp;"",$C1159)),--('Category Dictionary'!$D$5:$D$135&lt;&gt;"")))</f>
        <v/>
      </c>
      <c r="L1159" s="27">
        <f>IF($A1159="","",TRIM(IF(ISERROR(FIND(",",$C1159)),$C1159,LEFT($C1159,FIND(",",$C1159)-1))))</f>
        <v/>
      </c>
      <c r="M1159" s="28">
        <f>IF($H1159="","",DATE(YEAR($H1159),MONTH($H1159),1))</f>
        <v/>
      </c>
      <c r="N1159" s="26">
        <f>IF($H1159="","",TODAY()-$H1159)</f>
        <v/>
      </c>
      <c r="O1159" s="15" t="n"/>
      <c r="P1159" s="26">
        <f>IF($A1159="","",COUNTIFS('Audit Versions'!$A$6:$A$605,$A1159,'Audit Versions'!$L$6:$L$605,"Active"))</f>
        <v/>
      </c>
      <c r="Q1159" s="15" t="n"/>
      <c r="R1159" s="26">
        <f>IF(OR($A1159="",$P1159=0),"",MOD(N($Q1159),$P1159)+1)</f>
        <v/>
      </c>
      <c r="S1159" s="15" t="n"/>
      <c r="T1159" s="25" t="n"/>
      <c r="U1159" s="26">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Builder'!$B$12="",N($S1159)&lt;='Assignment Builder'!$B$12)))</f>
        <v/>
      </c>
      <c r="V1159" s="23" t="n"/>
    </row>
    <row r="1160">
      <c r="A1160" s="23" t="n"/>
      <c r="B1160" s="23" t="n"/>
      <c r="C1160" s="24" t="n"/>
      <c r="D1160" s="15" t="n"/>
      <c r="E1160" s="23" t="n"/>
      <c r="F1160" s="15" t="n"/>
      <c r="G1160" s="23" t="n"/>
      <c r="H1160" s="25" t="n"/>
      <c r="I1160" s="15" t="n"/>
      <c r="J1160" s="26">
        <f>IF($A1160="","",LEN($C1160)-LEN(SUBSTITUTE($C1160,",",""))+1)</f>
        <v/>
      </c>
      <c r="K1160" s="26">
        <f>IF($A1160="","",SUMPRODUCT(--ISNUMBER(SEARCH('Category Dictionary'!$D$5:$D$135&amp;"",$C1160)),--('Category Dictionary'!$D$5:$D$135&lt;&gt;"")))</f>
        <v/>
      </c>
      <c r="L1160" s="27">
        <f>IF($A1160="","",TRIM(IF(ISERROR(FIND(",",$C1160)),$C1160,LEFT($C1160,FIND(",",$C1160)-1))))</f>
        <v/>
      </c>
      <c r="M1160" s="28">
        <f>IF($H1160="","",DATE(YEAR($H1160),MONTH($H1160),1))</f>
        <v/>
      </c>
      <c r="N1160" s="26">
        <f>IF($H1160="","",TODAY()-$H1160)</f>
        <v/>
      </c>
      <c r="O1160" s="15" t="n"/>
      <c r="P1160" s="26">
        <f>IF($A1160="","",COUNTIFS('Audit Versions'!$A$6:$A$605,$A1160,'Audit Versions'!$L$6:$L$605,"Active"))</f>
        <v/>
      </c>
      <c r="Q1160" s="15" t="n"/>
      <c r="R1160" s="26">
        <f>IF(OR($A1160="",$P1160=0),"",MOD(N($Q1160),$P1160)+1)</f>
        <v/>
      </c>
      <c r="S1160" s="15" t="n"/>
      <c r="T1160" s="25" t="n"/>
      <c r="U1160" s="26">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Builder'!$B$12="",N($S1160)&lt;='Assignment Builder'!$B$12)))</f>
        <v/>
      </c>
      <c r="V1160" s="23" t="n"/>
    </row>
    <row r="1161">
      <c r="A1161" s="23" t="n"/>
      <c r="B1161" s="23" t="n"/>
      <c r="C1161" s="24" t="n"/>
      <c r="D1161" s="15" t="n"/>
      <c r="E1161" s="23" t="n"/>
      <c r="F1161" s="15" t="n"/>
      <c r="G1161" s="23" t="n"/>
      <c r="H1161" s="25" t="n"/>
      <c r="I1161" s="15" t="n"/>
      <c r="J1161" s="26">
        <f>IF($A1161="","",LEN($C1161)-LEN(SUBSTITUTE($C1161,",",""))+1)</f>
        <v/>
      </c>
      <c r="K1161" s="26">
        <f>IF($A1161="","",SUMPRODUCT(--ISNUMBER(SEARCH('Category Dictionary'!$D$5:$D$135&amp;"",$C1161)),--('Category Dictionary'!$D$5:$D$135&lt;&gt;"")))</f>
        <v/>
      </c>
      <c r="L1161" s="27">
        <f>IF($A1161="","",TRIM(IF(ISERROR(FIND(",",$C1161)),$C1161,LEFT($C1161,FIND(",",$C1161)-1))))</f>
        <v/>
      </c>
      <c r="M1161" s="28">
        <f>IF($H1161="","",DATE(YEAR($H1161),MONTH($H1161),1))</f>
        <v/>
      </c>
      <c r="N1161" s="26">
        <f>IF($H1161="","",TODAY()-$H1161)</f>
        <v/>
      </c>
      <c r="O1161" s="15" t="n"/>
      <c r="P1161" s="26">
        <f>IF($A1161="","",COUNTIFS('Audit Versions'!$A$6:$A$605,$A1161,'Audit Versions'!$L$6:$L$605,"Active"))</f>
        <v/>
      </c>
      <c r="Q1161" s="15" t="n"/>
      <c r="R1161" s="26">
        <f>IF(OR($A1161="",$P1161=0),"",MOD(N($Q1161),$P1161)+1)</f>
        <v/>
      </c>
      <c r="S1161" s="15" t="n"/>
      <c r="T1161" s="25" t="n"/>
      <c r="U1161" s="26">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Builder'!$B$12="",N($S1161)&lt;='Assignment Builder'!$B$12)))</f>
        <v/>
      </c>
      <c r="V1161" s="23" t="n"/>
    </row>
    <row r="1162">
      <c r="A1162" s="23" t="n"/>
      <c r="B1162" s="23" t="n"/>
      <c r="C1162" s="24" t="n"/>
      <c r="D1162" s="15" t="n"/>
      <c r="E1162" s="23" t="n"/>
      <c r="F1162" s="15" t="n"/>
      <c r="G1162" s="23" t="n"/>
      <c r="H1162" s="25" t="n"/>
      <c r="I1162" s="15" t="n"/>
      <c r="J1162" s="26">
        <f>IF($A1162="","",LEN($C1162)-LEN(SUBSTITUTE($C1162,",",""))+1)</f>
        <v/>
      </c>
      <c r="K1162" s="26">
        <f>IF($A1162="","",SUMPRODUCT(--ISNUMBER(SEARCH('Category Dictionary'!$D$5:$D$135&amp;"",$C1162)),--('Category Dictionary'!$D$5:$D$135&lt;&gt;"")))</f>
        <v/>
      </c>
      <c r="L1162" s="27">
        <f>IF($A1162="","",TRIM(IF(ISERROR(FIND(",",$C1162)),$C1162,LEFT($C1162,FIND(",",$C1162)-1))))</f>
        <v/>
      </c>
      <c r="M1162" s="28">
        <f>IF($H1162="","",DATE(YEAR($H1162),MONTH($H1162),1))</f>
        <v/>
      </c>
      <c r="N1162" s="26">
        <f>IF($H1162="","",TODAY()-$H1162)</f>
        <v/>
      </c>
      <c r="O1162" s="15" t="n"/>
      <c r="P1162" s="26">
        <f>IF($A1162="","",COUNTIFS('Audit Versions'!$A$6:$A$605,$A1162,'Audit Versions'!$L$6:$L$605,"Active"))</f>
        <v/>
      </c>
      <c r="Q1162" s="15" t="n"/>
      <c r="R1162" s="26">
        <f>IF(OR($A1162="",$P1162=0),"",MOD(N($Q1162),$P1162)+1)</f>
        <v/>
      </c>
      <c r="S1162" s="15" t="n"/>
      <c r="T1162" s="25" t="n"/>
      <c r="U1162" s="26">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Builder'!$B$12="",N($S1162)&lt;='Assignment Builder'!$B$12)))</f>
        <v/>
      </c>
      <c r="V1162" s="23" t="n"/>
    </row>
    <row r="1163">
      <c r="A1163" s="23" t="n"/>
      <c r="B1163" s="23" t="n"/>
      <c r="C1163" s="24" t="n"/>
      <c r="D1163" s="15" t="n"/>
      <c r="E1163" s="23" t="n"/>
      <c r="F1163" s="15" t="n"/>
      <c r="G1163" s="23" t="n"/>
      <c r="H1163" s="25" t="n"/>
      <c r="I1163" s="15" t="n"/>
      <c r="J1163" s="26">
        <f>IF($A1163="","",LEN($C1163)-LEN(SUBSTITUTE($C1163,",",""))+1)</f>
        <v/>
      </c>
      <c r="K1163" s="26">
        <f>IF($A1163="","",SUMPRODUCT(--ISNUMBER(SEARCH('Category Dictionary'!$D$5:$D$135&amp;"",$C1163)),--('Category Dictionary'!$D$5:$D$135&lt;&gt;"")))</f>
        <v/>
      </c>
      <c r="L1163" s="27">
        <f>IF($A1163="","",TRIM(IF(ISERROR(FIND(",",$C1163)),$C1163,LEFT($C1163,FIND(",",$C1163)-1))))</f>
        <v/>
      </c>
      <c r="M1163" s="28">
        <f>IF($H1163="","",DATE(YEAR($H1163),MONTH($H1163),1))</f>
        <v/>
      </c>
      <c r="N1163" s="26">
        <f>IF($H1163="","",TODAY()-$H1163)</f>
        <v/>
      </c>
      <c r="O1163" s="15" t="n"/>
      <c r="P1163" s="26">
        <f>IF($A1163="","",COUNTIFS('Audit Versions'!$A$6:$A$605,$A1163,'Audit Versions'!$L$6:$L$605,"Active"))</f>
        <v/>
      </c>
      <c r="Q1163" s="15" t="n"/>
      <c r="R1163" s="26">
        <f>IF(OR($A1163="",$P1163=0),"",MOD(N($Q1163),$P1163)+1)</f>
        <v/>
      </c>
      <c r="S1163" s="15" t="n"/>
      <c r="T1163" s="25" t="n"/>
      <c r="U1163" s="26">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Builder'!$B$12="",N($S1163)&lt;='Assignment Builder'!$B$12)))</f>
        <v/>
      </c>
      <c r="V1163" s="23" t="n"/>
    </row>
    <row r="1164">
      <c r="A1164" s="23" t="n"/>
      <c r="B1164" s="23" t="n"/>
      <c r="C1164" s="24" t="n"/>
      <c r="D1164" s="15" t="n"/>
      <c r="E1164" s="23" t="n"/>
      <c r="F1164" s="15" t="n"/>
      <c r="G1164" s="23" t="n"/>
      <c r="H1164" s="25" t="n"/>
      <c r="I1164" s="15" t="n"/>
      <c r="J1164" s="26">
        <f>IF($A1164="","",LEN($C1164)-LEN(SUBSTITUTE($C1164,",",""))+1)</f>
        <v/>
      </c>
      <c r="K1164" s="26">
        <f>IF($A1164="","",SUMPRODUCT(--ISNUMBER(SEARCH('Category Dictionary'!$D$5:$D$135&amp;"",$C1164)),--('Category Dictionary'!$D$5:$D$135&lt;&gt;"")))</f>
        <v/>
      </c>
      <c r="L1164" s="27">
        <f>IF($A1164="","",TRIM(IF(ISERROR(FIND(",",$C1164)),$C1164,LEFT($C1164,FIND(",",$C1164)-1))))</f>
        <v/>
      </c>
      <c r="M1164" s="28">
        <f>IF($H1164="","",DATE(YEAR($H1164),MONTH($H1164),1))</f>
        <v/>
      </c>
      <c r="N1164" s="26">
        <f>IF($H1164="","",TODAY()-$H1164)</f>
        <v/>
      </c>
      <c r="O1164" s="15" t="n"/>
      <c r="P1164" s="26">
        <f>IF($A1164="","",COUNTIFS('Audit Versions'!$A$6:$A$605,$A1164,'Audit Versions'!$L$6:$L$605,"Active"))</f>
        <v/>
      </c>
      <c r="Q1164" s="15" t="n"/>
      <c r="R1164" s="26">
        <f>IF(OR($A1164="",$P1164=0),"",MOD(N($Q1164),$P1164)+1)</f>
        <v/>
      </c>
      <c r="S1164" s="15" t="n"/>
      <c r="T1164" s="25" t="n"/>
      <c r="U1164" s="26">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Builder'!$B$12="",N($S1164)&lt;='Assignment Builder'!$B$12)))</f>
        <v/>
      </c>
      <c r="V1164" s="23" t="n"/>
    </row>
    <row r="1165">
      <c r="A1165" s="23" t="n"/>
      <c r="B1165" s="23" t="n"/>
      <c r="C1165" s="24" t="n"/>
      <c r="D1165" s="15" t="n"/>
      <c r="E1165" s="23" t="n"/>
      <c r="F1165" s="15" t="n"/>
      <c r="G1165" s="23" t="n"/>
      <c r="H1165" s="25" t="n"/>
      <c r="I1165" s="15" t="n"/>
      <c r="J1165" s="26">
        <f>IF($A1165="","",LEN($C1165)-LEN(SUBSTITUTE($C1165,",",""))+1)</f>
        <v/>
      </c>
      <c r="K1165" s="26">
        <f>IF($A1165="","",SUMPRODUCT(--ISNUMBER(SEARCH('Category Dictionary'!$D$5:$D$135&amp;"",$C1165)),--('Category Dictionary'!$D$5:$D$135&lt;&gt;"")))</f>
        <v/>
      </c>
      <c r="L1165" s="27">
        <f>IF($A1165="","",TRIM(IF(ISERROR(FIND(",",$C1165)),$C1165,LEFT($C1165,FIND(",",$C1165)-1))))</f>
        <v/>
      </c>
      <c r="M1165" s="28">
        <f>IF($H1165="","",DATE(YEAR($H1165),MONTH($H1165),1))</f>
        <v/>
      </c>
      <c r="N1165" s="26">
        <f>IF($H1165="","",TODAY()-$H1165)</f>
        <v/>
      </c>
      <c r="O1165" s="15" t="n"/>
      <c r="P1165" s="26">
        <f>IF($A1165="","",COUNTIFS('Audit Versions'!$A$6:$A$605,$A1165,'Audit Versions'!$L$6:$L$605,"Active"))</f>
        <v/>
      </c>
      <c r="Q1165" s="15" t="n"/>
      <c r="R1165" s="26">
        <f>IF(OR($A1165="",$P1165=0),"",MOD(N($Q1165),$P1165)+1)</f>
        <v/>
      </c>
      <c r="S1165" s="15" t="n"/>
      <c r="T1165" s="25" t="n"/>
      <c r="U1165" s="26">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Builder'!$B$12="",N($S1165)&lt;='Assignment Builder'!$B$12)))</f>
        <v/>
      </c>
      <c r="V1165" s="23" t="n"/>
    </row>
    <row r="1166">
      <c r="A1166" s="23" t="n"/>
      <c r="B1166" s="23" t="n"/>
      <c r="C1166" s="24" t="n"/>
      <c r="D1166" s="15" t="n"/>
      <c r="E1166" s="23" t="n"/>
      <c r="F1166" s="15" t="n"/>
      <c r="G1166" s="23" t="n"/>
      <c r="H1166" s="25" t="n"/>
      <c r="I1166" s="15" t="n"/>
      <c r="J1166" s="26">
        <f>IF($A1166="","",LEN($C1166)-LEN(SUBSTITUTE($C1166,",",""))+1)</f>
        <v/>
      </c>
      <c r="K1166" s="26">
        <f>IF($A1166="","",SUMPRODUCT(--ISNUMBER(SEARCH('Category Dictionary'!$D$5:$D$135&amp;"",$C1166)),--('Category Dictionary'!$D$5:$D$135&lt;&gt;"")))</f>
        <v/>
      </c>
      <c r="L1166" s="27">
        <f>IF($A1166="","",TRIM(IF(ISERROR(FIND(",",$C1166)),$C1166,LEFT($C1166,FIND(",",$C1166)-1))))</f>
        <v/>
      </c>
      <c r="M1166" s="28">
        <f>IF($H1166="","",DATE(YEAR($H1166),MONTH($H1166),1))</f>
        <v/>
      </c>
      <c r="N1166" s="26">
        <f>IF($H1166="","",TODAY()-$H1166)</f>
        <v/>
      </c>
      <c r="O1166" s="15" t="n"/>
      <c r="P1166" s="26">
        <f>IF($A1166="","",COUNTIFS('Audit Versions'!$A$6:$A$605,$A1166,'Audit Versions'!$L$6:$L$605,"Active"))</f>
        <v/>
      </c>
      <c r="Q1166" s="15" t="n"/>
      <c r="R1166" s="26">
        <f>IF(OR($A1166="",$P1166=0),"",MOD(N($Q1166),$P1166)+1)</f>
        <v/>
      </c>
      <c r="S1166" s="15" t="n"/>
      <c r="T1166" s="25" t="n"/>
      <c r="U1166" s="26">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Builder'!$B$12="",N($S1166)&lt;='Assignment Builder'!$B$12)))</f>
        <v/>
      </c>
      <c r="V1166" s="23" t="n"/>
    </row>
    <row r="1167">
      <c r="A1167" s="23" t="n"/>
      <c r="B1167" s="23" t="n"/>
      <c r="C1167" s="24" t="n"/>
      <c r="D1167" s="15" t="n"/>
      <c r="E1167" s="23" t="n"/>
      <c r="F1167" s="15" t="n"/>
      <c r="G1167" s="23" t="n"/>
      <c r="H1167" s="25" t="n"/>
      <c r="I1167" s="15" t="n"/>
      <c r="J1167" s="26">
        <f>IF($A1167="","",LEN($C1167)-LEN(SUBSTITUTE($C1167,",",""))+1)</f>
        <v/>
      </c>
      <c r="K1167" s="26">
        <f>IF($A1167="","",SUMPRODUCT(--ISNUMBER(SEARCH('Category Dictionary'!$D$5:$D$135&amp;"",$C1167)),--('Category Dictionary'!$D$5:$D$135&lt;&gt;"")))</f>
        <v/>
      </c>
      <c r="L1167" s="27">
        <f>IF($A1167="","",TRIM(IF(ISERROR(FIND(",",$C1167)),$C1167,LEFT($C1167,FIND(",",$C1167)-1))))</f>
        <v/>
      </c>
      <c r="M1167" s="28">
        <f>IF($H1167="","",DATE(YEAR($H1167),MONTH($H1167),1))</f>
        <v/>
      </c>
      <c r="N1167" s="26">
        <f>IF($H1167="","",TODAY()-$H1167)</f>
        <v/>
      </c>
      <c r="O1167" s="15" t="n"/>
      <c r="P1167" s="26">
        <f>IF($A1167="","",COUNTIFS('Audit Versions'!$A$6:$A$605,$A1167,'Audit Versions'!$L$6:$L$605,"Active"))</f>
        <v/>
      </c>
      <c r="Q1167" s="15" t="n"/>
      <c r="R1167" s="26">
        <f>IF(OR($A1167="",$P1167=0),"",MOD(N($Q1167),$P1167)+1)</f>
        <v/>
      </c>
      <c r="S1167" s="15" t="n"/>
      <c r="T1167" s="25" t="n"/>
      <c r="U1167" s="26">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Builder'!$B$12="",N($S1167)&lt;='Assignment Builder'!$B$12)))</f>
        <v/>
      </c>
      <c r="V1167" s="23" t="n"/>
    </row>
    <row r="1168">
      <c r="A1168" s="23" t="n"/>
      <c r="B1168" s="23" t="n"/>
      <c r="C1168" s="24" t="n"/>
      <c r="D1168" s="15" t="n"/>
      <c r="E1168" s="23" t="n"/>
      <c r="F1168" s="15" t="n"/>
      <c r="G1168" s="23" t="n"/>
      <c r="H1168" s="25" t="n"/>
      <c r="I1168" s="15" t="n"/>
      <c r="J1168" s="26">
        <f>IF($A1168="","",LEN($C1168)-LEN(SUBSTITUTE($C1168,",",""))+1)</f>
        <v/>
      </c>
      <c r="K1168" s="26">
        <f>IF($A1168="","",SUMPRODUCT(--ISNUMBER(SEARCH('Category Dictionary'!$D$5:$D$135&amp;"",$C1168)),--('Category Dictionary'!$D$5:$D$135&lt;&gt;"")))</f>
        <v/>
      </c>
      <c r="L1168" s="27">
        <f>IF($A1168="","",TRIM(IF(ISERROR(FIND(",",$C1168)),$C1168,LEFT($C1168,FIND(",",$C1168)-1))))</f>
        <v/>
      </c>
      <c r="M1168" s="28">
        <f>IF($H1168="","",DATE(YEAR($H1168),MONTH($H1168),1))</f>
        <v/>
      </c>
      <c r="N1168" s="26">
        <f>IF($H1168="","",TODAY()-$H1168)</f>
        <v/>
      </c>
      <c r="O1168" s="15" t="n"/>
      <c r="P1168" s="26">
        <f>IF($A1168="","",COUNTIFS('Audit Versions'!$A$6:$A$605,$A1168,'Audit Versions'!$L$6:$L$605,"Active"))</f>
        <v/>
      </c>
      <c r="Q1168" s="15" t="n"/>
      <c r="R1168" s="26">
        <f>IF(OR($A1168="",$P1168=0),"",MOD(N($Q1168),$P1168)+1)</f>
        <v/>
      </c>
      <c r="S1168" s="15" t="n"/>
      <c r="T1168" s="25" t="n"/>
      <c r="U1168" s="26">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Builder'!$B$12="",N($S1168)&lt;='Assignment Builder'!$B$12)))</f>
        <v/>
      </c>
      <c r="V1168" s="23" t="n"/>
    </row>
    <row r="1169">
      <c r="A1169" s="23" t="n"/>
      <c r="B1169" s="23" t="n"/>
      <c r="C1169" s="24" t="n"/>
      <c r="D1169" s="15" t="n"/>
      <c r="E1169" s="23" t="n"/>
      <c r="F1169" s="15" t="n"/>
      <c r="G1169" s="23" t="n"/>
      <c r="H1169" s="25" t="n"/>
      <c r="I1169" s="15" t="n"/>
      <c r="J1169" s="26">
        <f>IF($A1169="","",LEN($C1169)-LEN(SUBSTITUTE($C1169,",",""))+1)</f>
        <v/>
      </c>
      <c r="K1169" s="26">
        <f>IF($A1169="","",SUMPRODUCT(--ISNUMBER(SEARCH('Category Dictionary'!$D$5:$D$135&amp;"",$C1169)),--('Category Dictionary'!$D$5:$D$135&lt;&gt;"")))</f>
        <v/>
      </c>
      <c r="L1169" s="27">
        <f>IF($A1169="","",TRIM(IF(ISERROR(FIND(",",$C1169)),$C1169,LEFT($C1169,FIND(",",$C1169)-1))))</f>
        <v/>
      </c>
      <c r="M1169" s="28">
        <f>IF($H1169="","",DATE(YEAR($H1169),MONTH($H1169),1))</f>
        <v/>
      </c>
      <c r="N1169" s="26">
        <f>IF($H1169="","",TODAY()-$H1169)</f>
        <v/>
      </c>
      <c r="O1169" s="15" t="n"/>
      <c r="P1169" s="26">
        <f>IF($A1169="","",COUNTIFS('Audit Versions'!$A$6:$A$605,$A1169,'Audit Versions'!$L$6:$L$605,"Active"))</f>
        <v/>
      </c>
      <c r="Q1169" s="15" t="n"/>
      <c r="R1169" s="26">
        <f>IF(OR($A1169="",$P1169=0),"",MOD(N($Q1169),$P1169)+1)</f>
        <v/>
      </c>
      <c r="S1169" s="15" t="n"/>
      <c r="T1169" s="25" t="n"/>
      <c r="U1169" s="26">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Builder'!$B$12="",N($S1169)&lt;='Assignment Builder'!$B$12)))</f>
        <v/>
      </c>
      <c r="V1169" s="23" t="n"/>
    </row>
    <row r="1170">
      <c r="A1170" s="23" t="n"/>
      <c r="B1170" s="23" t="n"/>
      <c r="C1170" s="24" t="n"/>
      <c r="D1170" s="15" t="n"/>
      <c r="E1170" s="23" t="n"/>
      <c r="F1170" s="15" t="n"/>
      <c r="G1170" s="23" t="n"/>
      <c r="H1170" s="25" t="n"/>
      <c r="I1170" s="15" t="n"/>
      <c r="J1170" s="26">
        <f>IF($A1170="","",LEN($C1170)-LEN(SUBSTITUTE($C1170,",",""))+1)</f>
        <v/>
      </c>
      <c r="K1170" s="26">
        <f>IF($A1170="","",SUMPRODUCT(--ISNUMBER(SEARCH('Category Dictionary'!$D$5:$D$135&amp;"",$C1170)),--('Category Dictionary'!$D$5:$D$135&lt;&gt;"")))</f>
        <v/>
      </c>
      <c r="L1170" s="27">
        <f>IF($A1170="","",TRIM(IF(ISERROR(FIND(",",$C1170)),$C1170,LEFT($C1170,FIND(",",$C1170)-1))))</f>
        <v/>
      </c>
      <c r="M1170" s="28">
        <f>IF($H1170="","",DATE(YEAR($H1170),MONTH($H1170),1))</f>
        <v/>
      </c>
      <c r="N1170" s="26">
        <f>IF($H1170="","",TODAY()-$H1170)</f>
        <v/>
      </c>
      <c r="O1170" s="15" t="n"/>
      <c r="P1170" s="26">
        <f>IF($A1170="","",COUNTIFS('Audit Versions'!$A$6:$A$605,$A1170,'Audit Versions'!$L$6:$L$605,"Active"))</f>
        <v/>
      </c>
      <c r="Q1170" s="15" t="n"/>
      <c r="R1170" s="26">
        <f>IF(OR($A1170="",$P1170=0),"",MOD(N($Q1170),$P1170)+1)</f>
        <v/>
      </c>
      <c r="S1170" s="15" t="n"/>
      <c r="T1170" s="25" t="n"/>
      <c r="U1170" s="26">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Builder'!$B$12="",N($S1170)&lt;='Assignment Builder'!$B$12)))</f>
        <v/>
      </c>
      <c r="V1170" s="23" t="n"/>
    </row>
    <row r="1171">
      <c r="A1171" s="23" t="n"/>
      <c r="B1171" s="23" t="n"/>
      <c r="C1171" s="24" t="n"/>
      <c r="D1171" s="15" t="n"/>
      <c r="E1171" s="23" t="n"/>
      <c r="F1171" s="15" t="n"/>
      <c r="G1171" s="23" t="n"/>
      <c r="H1171" s="25" t="n"/>
      <c r="I1171" s="15" t="n"/>
      <c r="J1171" s="26">
        <f>IF($A1171="","",LEN($C1171)-LEN(SUBSTITUTE($C1171,",",""))+1)</f>
        <v/>
      </c>
      <c r="K1171" s="26">
        <f>IF($A1171="","",SUMPRODUCT(--ISNUMBER(SEARCH('Category Dictionary'!$D$5:$D$135&amp;"",$C1171)),--('Category Dictionary'!$D$5:$D$135&lt;&gt;"")))</f>
        <v/>
      </c>
      <c r="L1171" s="27">
        <f>IF($A1171="","",TRIM(IF(ISERROR(FIND(",",$C1171)),$C1171,LEFT($C1171,FIND(",",$C1171)-1))))</f>
        <v/>
      </c>
      <c r="M1171" s="28">
        <f>IF($H1171="","",DATE(YEAR($H1171),MONTH($H1171),1))</f>
        <v/>
      </c>
      <c r="N1171" s="26">
        <f>IF($H1171="","",TODAY()-$H1171)</f>
        <v/>
      </c>
      <c r="O1171" s="15" t="n"/>
      <c r="P1171" s="26">
        <f>IF($A1171="","",COUNTIFS('Audit Versions'!$A$6:$A$605,$A1171,'Audit Versions'!$L$6:$L$605,"Active"))</f>
        <v/>
      </c>
      <c r="Q1171" s="15" t="n"/>
      <c r="R1171" s="26">
        <f>IF(OR($A1171="",$P1171=0),"",MOD(N($Q1171),$P1171)+1)</f>
        <v/>
      </c>
      <c r="S1171" s="15" t="n"/>
      <c r="T1171" s="25" t="n"/>
      <c r="U1171" s="26">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Builder'!$B$12="",N($S1171)&lt;='Assignment Builder'!$B$12)))</f>
        <v/>
      </c>
      <c r="V1171" s="23" t="n"/>
    </row>
    <row r="1172">
      <c r="A1172" s="23" t="n"/>
      <c r="B1172" s="23" t="n"/>
      <c r="C1172" s="24" t="n"/>
      <c r="D1172" s="15" t="n"/>
      <c r="E1172" s="23" t="n"/>
      <c r="F1172" s="15" t="n"/>
      <c r="G1172" s="23" t="n"/>
      <c r="H1172" s="25" t="n"/>
      <c r="I1172" s="15" t="n"/>
      <c r="J1172" s="26">
        <f>IF($A1172="","",LEN($C1172)-LEN(SUBSTITUTE($C1172,",",""))+1)</f>
        <v/>
      </c>
      <c r="K1172" s="26">
        <f>IF($A1172="","",SUMPRODUCT(--ISNUMBER(SEARCH('Category Dictionary'!$D$5:$D$135&amp;"",$C1172)),--('Category Dictionary'!$D$5:$D$135&lt;&gt;"")))</f>
        <v/>
      </c>
      <c r="L1172" s="27">
        <f>IF($A1172="","",TRIM(IF(ISERROR(FIND(",",$C1172)),$C1172,LEFT($C1172,FIND(",",$C1172)-1))))</f>
        <v/>
      </c>
      <c r="M1172" s="28">
        <f>IF($H1172="","",DATE(YEAR($H1172),MONTH($H1172),1))</f>
        <v/>
      </c>
      <c r="N1172" s="26">
        <f>IF($H1172="","",TODAY()-$H1172)</f>
        <v/>
      </c>
      <c r="O1172" s="15" t="n"/>
      <c r="P1172" s="26">
        <f>IF($A1172="","",COUNTIFS('Audit Versions'!$A$6:$A$605,$A1172,'Audit Versions'!$L$6:$L$605,"Active"))</f>
        <v/>
      </c>
      <c r="Q1172" s="15" t="n"/>
      <c r="R1172" s="26">
        <f>IF(OR($A1172="",$P1172=0),"",MOD(N($Q1172),$P1172)+1)</f>
        <v/>
      </c>
      <c r="S1172" s="15" t="n"/>
      <c r="T1172" s="25" t="n"/>
      <c r="U1172" s="26">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Builder'!$B$12="",N($S1172)&lt;='Assignment Builder'!$B$12)))</f>
        <v/>
      </c>
      <c r="V1172" s="23" t="n"/>
    </row>
    <row r="1173">
      <c r="A1173" s="23" t="n"/>
      <c r="B1173" s="23" t="n"/>
      <c r="C1173" s="24" t="n"/>
      <c r="D1173" s="15" t="n"/>
      <c r="E1173" s="23" t="n"/>
      <c r="F1173" s="15" t="n"/>
      <c r="G1173" s="23" t="n"/>
      <c r="H1173" s="25" t="n"/>
      <c r="I1173" s="15" t="n"/>
      <c r="J1173" s="26">
        <f>IF($A1173="","",LEN($C1173)-LEN(SUBSTITUTE($C1173,",",""))+1)</f>
        <v/>
      </c>
      <c r="K1173" s="26">
        <f>IF($A1173="","",SUMPRODUCT(--ISNUMBER(SEARCH('Category Dictionary'!$D$5:$D$135&amp;"",$C1173)),--('Category Dictionary'!$D$5:$D$135&lt;&gt;"")))</f>
        <v/>
      </c>
      <c r="L1173" s="27">
        <f>IF($A1173="","",TRIM(IF(ISERROR(FIND(",",$C1173)),$C1173,LEFT($C1173,FIND(",",$C1173)-1))))</f>
        <v/>
      </c>
      <c r="M1173" s="28">
        <f>IF($H1173="","",DATE(YEAR($H1173),MONTH($H1173),1))</f>
        <v/>
      </c>
      <c r="N1173" s="26">
        <f>IF($H1173="","",TODAY()-$H1173)</f>
        <v/>
      </c>
      <c r="O1173" s="15" t="n"/>
      <c r="P1173" s="26">
        <f>IF($A1173="","",COUNTIFS('Audit Versions'!$A$6:$A$605,$A1173,'Audit Versions'!$L$6:$L$605,"Active"))</f>
        <v/>
      </c>
      <c r="Q1173" s="15" t="n"/>
      <c r="R1173" s="26">
        <f>IF(OR($A1173="",$P1173=0),"",MOD(N($Q1173),$P1173)+1)</f>
        <v/>
      </c>
      <c r="S1173" s="15" t="n"/>
      <c r="T1173" s="25" t="n"/>
      <c r="U1173" s="26">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Builder'!$B$12="",N($S1173)&lt;='Assignment Builder'!$B$12)))</f>
        <v/>
      </c>
      <c r="V1173" s="23" t="n"/>
    </row>
    <row r="1174">
      <c r="A1174" s="23" t="n"/>
      <c r="B1174" s="23" t="n"/>
      <c r="C1174" s="24" t="n"/>
      <c r="D1174" s="15" t="n"/>
      <c r="E1174" s="23" t="n"/>
      <c r="F1174" s="15" t="n"/>
      <c r="G1174" s="23" t="n"/>
      <c r="H1174" s="25" t="n"/>
      <c r="I1174" s="15" t="n"/>
      <c r="J1174" s="26">
        <f>IF($A1174="","",LEN($C1174)-LEN(SUBSTITUTE($C1174,",",""))+1)</f>
        <v/>
      </c>
      <c r="K1174" s="26">
        <f>IF($A1174="","",SUMPRODUCT(--ISNUMBER(SEARCH('Category Dictionary'!$D$5:$D$135&amp;"",$C1174)),--('Category Dictionary'!$D$5:$D$135&lt;&gt;"")))</f>
        <v/>
      </c>
      <c r="L1174" s="27">
        <f>IF($A1174="","",TRIM(IF(ISERROR(FIND(",",$C1174)),$C1174,LEFT($C1174,FIND(",",$C1174)-1))))</f>
        <v/>
      </c>
      <c r="M1174" s="28">
        <f>IF($H1174="","",DATE(YEAR($H1174),MONTH($H1174),1))</f>
        <v/>
      </c>
      <c r="N1174" s="26">
        <f>IF($H1174="","",TODAY()-$H1174)</f>
        <v/>
      </c>
      <c r="O1174" s="15" t="n"/>
      <c r="P1174" s="26">
        <f>IF($A1174="","",COUNTIFS('Audit Versions'!$A$6:$A$605,$A1174,'Audit Versions'!$L$6:$L$605,"Active"))</f>
        <v/>
      </c>
      <c r="Q1174" s="15" t="n"/>
      <c r="R1174" s="26">
        <f>IF(OR($A1174="",$P1174=0),"",MOD(N($Q1174),$P1174)+1)</f>
        <v/>
      </c>
      <c r="S1174" s="15" t="n"/>
      <c r="T1174" s="25" t="n"/>
      <c r="U1174" s="26">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Builder'!$B$12="",N($S1174)&lt;='Assignment Builder'!$B$12)))</f>
        <v/>
      </c>
      <c r="V1174" s="23" t="n"/>
    </row>
    <row r="1175">
      <c r="A1175" s="23" t="n"/>
      <c r="B1175" s="23" t="n"/>
      <c r="C1175" s="24" t="n"/>
      <c r="D1175" s="15" t="n"/>
      <c r="E1175" s="23" t="n"/>
      <c r="F1175" s="15" t="n"/>
      <c r="G1175" s="23" t="n"/>
      <c r="H1175" s="25" t="n"/>
      <c r="I1175" s="15" t="n"/>
      <c r="J1175" s="26">
        <f>IF($A1175="","",LEN($C1175)-LEN(SUBSTITUTE($C1175,",",""))+1)</f>
        <v/>
      </c>
      <c r="K1175" s="26">
        <f>IF($A1175="","",SUMPRODUCT(--ISNUMBER(SEARCH('Category Dictionary'!$D$5:$D$135&amp;"",$C1175)),--('Category Dictionary'!$D$5:$D$135&lt;&gt;"")))</f>
        <v/>
      </c>
      <c r="L1175" s="27">
        <f>IF($A1175="","",TRIM(IF(ISERROR(FIND(",",$C1175)),$C1175,LEFT($C1175,FIND(",",$C1175)-1))))</f>
        <v/>
      </c>
      <c r="M1175" s="28">
        <f>IF($H1175="","",DATE(YEAR($H1175),MONTH($H1175),1))</f>
        <v/>
      </c>
      <c r="N1175" s="26">
        <f>IF($H1175="","",TODAY()-$H1175)</f>
        <v/>
      </c>
      <c r="O1175" s="15" t="n"/>
      <c r="P1175" s="26">
        <f>IF($A1175="","",COUNTIFS('Audit Versions'!$A$6:$A$605,$A1175,'Audit Versions'!$L$6:$L$605,"Active"))</f>
        <v/>
      </c>
      <c r="Q1175" s="15" t="n"/>
      <c r="R1175" s="26">
        <f>IF(OR($A1175="",$P1175=0),"",MOD(N($Q1175),$P1175)+1)</f>
        <v/>
      </c>
      <c r="S1175" s="15" t="n"/>
      <c r="T1175" s="25" t="n"/>
      <c r="U1175" s="26">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Builder'!$B$12="",N($S1175)&lt;='Assignment Builder'!$B$12)))</f>
        <v/>
      </c>
      <c r="V1175" s="23" t="n"/>
    </row>
    <row r="1176">
      <c r="A1176" s="23" t="n"/>
      <c r="B1176" s="23" t="n"/>
      <c r="C1176" s="24" t="n"/>
      <c r="D1176" s="15" t="n"/>
      <c r="E1176" s="23" t="n"/>
      <c r="F1176" s="15" t="n"/>
      <c r="G1176" s="23" t="n"/>
      <c r="H1176" s="25" t="n"/>
      <c r="I1176" s="15" t="n"/>
      <c r="J1176" s="26">
        <f>IF($A1176="","",LEN($C1176)-LEN(SUBSTITUTE($C1176,",",""))+1)</f>
        <v/>
      </c>
      <c r="K1176" s="26">
        <f>IF($A1176="","",SUMPRODUCT(--ISNUMBER(SEARCH('Category Dictionary'!$D$5:$D$135&amp;"",$C1176)),--('Category Dictionary'!$D$5:$D$135&lt;&gt;"")))</f>
        <v/>
      </c>
      <c r="L1176" s="27">
        <f>IF($A1176="","",TRIM(IF(ISERROR(FIND(",",$C1176)),$C1176,LEFT($C1176,FIND(",",$C1176)-1))))</f>
        <v/>
      </c>
      <c r="M1176" s="28">
        <f>IF($H1176="","",DATE(YEAR($H1176),MONTH($H1176),1))</f>
        <v/>
      </c>
      <c r="N1176" s="26">
        <f>IF($H1176="","",TODAY()-$H1176)</f>
        <v/>
      </c>
      <c r="O1176" s="15" t="n"/>
      <c r="P1176" s="26">
        <f>IF($A1176="","",COUNTIFS('Audit Versions'!$A$6:$A$605,$A1176,'Audit Versions'!$L$6:$L$605,"Active"))</f>
        <v/>
      </c>
      <c r="Q1176" s="15" t="n"/>
      <c r="R1176" s="26">
        <f>IF(OR($A1176="",$P1176=0),"",MOD(N($Q1176),$P1176)+1)</f>
        <v/>
      </c>
      <c r="S1176" s="15" t="n"/>
      <c r="T1176" s="25" t="n"/>
      <c r="U1176" s="26">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Builder'!$B$12="",N($S1176)&lt;='Assignment Builder'!$B$12)))</f>
        <v/>
      </c>
      <c r="V1176" s="23" t="n"/>
    </row>
    <row r="1177">
      <c r="A1177" s="23" t="n"/>
      <c r="B1177" s="23" t="n"/>
      <c r="C1177" s="24" t="n"/>
      <c r="D1177" s="15" t="n"/>
      <c r="E1177" s="23" t="n"/>
      <c r="F1177" s="15" t="n"/>
      <c r="G1177" s="23" t="n"/>
      <c r="H1177" s="25" t="n"/>
      <c r="I1177" s="15" t="n"/>
      <c r="J1177" s="26">
        <f>IF($A1177="","",LEN($C1177)-LEN(SUBSTITUTE($C1177,",",""))+1)</f>
        <v/>
      </c>
      <c r="K1177" s="26">
        <f>IF($A1177="","",SUMPRODUCT(--ISNUMBER(SEARCH('Category Dictionary'!$D$5:$D$135&amp;"",$C1177)),--('Category Dictionary'!$D$5:$D$135&lt;&gt;"")))</f>
        <v/>
      </c>
      <c r="L1177" s="27">
        <f>IF($A1177="","",TRIM(IF(ISERROR(FIND(",",$C1177)),$C1177,LEFT($C1177,FIND(",",$C1177)-1))))</f>
        <v/>
      </c>
      <c r="M1177" s="28">
        <f>IF($H1177="","",DATE(YEAR($H1177),MONTH($H1177),1))</f>
        <v/>
      </c>
      <c r="N1177" s="26">
        <f>IF($H1177="","",TODAY()-$H1177)</f>
        <v/>
      </c>
      <c r="O1177" s="15" t="n"/>
      <c r="P1177" s="26">
        <f>IF($A1177="","",COUNTIFS('Audit Versions'!$A$6:$A$605,$A1177,'Audit Versions'!$L$6:$L$605,"Active"))</f>
        <v/>
      </c>
      <c r="Q1177" s="15" t="n"/>
      <c r="R1177" s="26">
        <f>IF(OR($A1177="",$P1177=0),"",MOD(N($Q1177),$P1177)+1)</f>
        <v/>
      </c>
      <c r="S1177" s="15" t="n"/>
      <c r="T1177" s="25" t="n"/>
      <c r="U1177" s="26">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Builder'!$B$12="",N($S1177)&lt;='Assignment Builder'!$B$12)))</f>
        <v/>
      </c>
      <c r="V1177" s="23" t="n"/>
    </row>
    <row r="1178">
      <c r="A1178" s="23" t="n"/>
      <c r="B1178" s="23" t="n"/>
      <c r="C1178" s="24" t="n"/>
      <c r="D1178" s="15" t="n"/>
      <c r="E1178" s="23" t="n"/>
      <c r="F1178" s="15" t="n"/>
      <c r="G1178" s="23" t="n"/>
      <c r="H1178" s="25" t="n"/>
      <c r="I1178" s="15" t="n"/>
      <c r="J1178" s="26">
        <f>IF($A1178="","",LEN($C1178)-LEN(SUBSTITUTE($C1178,",",""))+1)</f>
        <v/>
      </c>
      <c r="K1178" s="26">
        <f>IF($A1178="","",SUMPRODUCT(--ISNUMBER(SEARCH('Category Dictionary'!$D$5:$D$135&amp;"",$C1178)),--('Category Dictionary'!$D$5:$D$135&lt;&gt;"")))</f>
        <v/>
      </c>
      <c r="L1178" s="27">
        <f>IF($A1178="","",TRIM(IF(ISERROR(FIND(",",$C1178)),$C1178,LEFT($C1178,FIND(",",$C1178)-1))))</f>
        <v/>
      </c>
      <c r="M1178" s="28">
        <f>IF($H1178="","",DATE(YEAR($H1178),MONTH($H1178),1))</f>
        <v/>
      </c>
      <c r="N1178" s="26">
        <f>IF($H1178="","",TODAY()-$H1178)</f>
        <v/>
      </c>
      <c r="O1178" s="15" t="n"/>
      <c r="P1178" s="26">
        <f>IF($A1178="","",COUNTIFS('Audit Versions'!$A$6:$A$605,$A1178,'Audit Versions'!$L$6:$L$605,"Active"))</f>
        <v/>
      </c>
      <c r="Q1178" s="15" t="n"/>
      <c r="R1178" s="26">
        <f>IF(OR($A1178="",$P1178=0),"",MOD(N($Q1178),$P1178)+1)</f>
        <v/>
      </c>
      <c r="S1178" s="15" t="n"/>
      <c r="T1178" s="25" t="n"/>
      <c r="U1178" s="26">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Builder'!$B$12="",N($S1178)&lt;='Assignment Builder'!$B$12)))</f>
        <v/>
      </c>
      <c r="V1178" s="23" t="n"/>
    </row>
    <row r="1179">
      <c r="A1179" s="23" t="n"/>
      <c r="B1179" s="23" t="n"/>
      <c r="C1179" s="24" t="n"/>
      <c r="D1179" s="15" t="n"/>
      <c r="E1179" s="23" t="n"/>
      <c r="F1179" s="15" t="n"/>
      <c r="G1179" s="23" t="n"/>
      <c r="H1179" s="25" t="n"/>
      <c r="I1179" s="15" t="n"/>
      <c r="J1179" s="26">
        <f>IF($A1179="","",LEN($C1179)-LEN(SUBSTITUTE($C1179,",",""))+1)</f>
        <v/>
      </c>
      <c r="K1179" s="26">
        <f>IF($A1179="","",SUMPRODUCT(--ISNUMBER(SEARCH('Category Dictionary'!$D$5:$D$135&amp;"",$C1179)),--('Category Dictionary'!$D$5:$D$135&lt;&gt;"")))</f>
        <v/>
      </c>
      <c r="L1179" s="27">
        <f>IF($A1179="","",TRIM(IF(ISERROR(FIND(",",$C1179)),$C1179,LEFT($C1179,FIND(",",$C1179)-1))))</f>
        <v/>
      </c>
      <c r="M1179" s="28">
        <f>IF($H1179="","",DATE(YEAR($H1179),MONTH($H1179),1))</f>
        <v/>
      </c>
      <c r="N1179" s="26">
        <f>IF($H1179="","",TODAY()-$H1179)</f>
        <v/>
      </c>
      <c r="O1179" s="15" t="n"/>
      <c r="P1179" s="26">
        <f>IF($A1179="","",COUNTIFS('Audit Versions'!$A$6:$A$605,$A1179,'Audit Versions'!$L$6:$L$605,"Active"))</f>
        <v/>
      </c>
      <c r="Q1179" s="15" t="n"/>
      <c r="R1179" s="26">
        <f>IF(OR($A1179="",$P1179=0),"",MOD(N($Q1179),$P1179)+1)</f>
        <v/>
      </c>
      <c r="S1179" s="15" t="n"/>
      <c r="T1179" s="25" t="n"/>
      <c r="U1179" s="26">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Builder'!$B$12="",N($S1179)&lt;='Assignment Builder'!$B$12)))</f>
        <v/>
      </c>
      <c r="V1179" s="23" t="n"/>
    </row>
    <row r="1180">
      <c r="A1180" s="23" t="n"/>
      <c r="B1180" s="23" t="n"/>
      <c r="C1180" s="24" t="n"/>
      <c r="D1180" s="15" t="n"/>
      <c r="E1180" s="23" t="n"/>
      <c r="F1180" s="15" t="n"/>
      <c r="G1180" s="23" t="n"/>
      <c r="H1180" s="25" t="n"/>
      <c r="I1180" s="15" t="n"/>
      <c r="J1180" s="26">
        <f>IF($A1180="","",LEN($C1180)-LEN(SUBSTITUTE($C1180,",",""))+1)</f>
        <v/>
      </c>
      <c r="K1180" s="26">
        <f>IF($A1180="","",SUMPRODUCT(--ISNUMBER(SEARCH('Category Dictionary'!$D$5:$D$135&amp;"",$C1180)),--('Category Dictionary'!$D$5:$D$135&lt;&gt;"")))</f>
        <v/>
      </c>
      <c r="L1180" s="27">
        <f>IF($A1180="","",TRIM(IF(ISERROR(FIND(",",$C1180)),$C1180,LEFT($C1180,FIND(",",$C1180)-1))))</f>
        <v/>
      </c>
      <c r="M1180" s="28">
        <f>IF($H1180="","",DATE(YEAR($H1180),MONTH($H1180),1))</f>
        <v/>
      </c>
      <c r="N1180" s="26">
        <f>IF($H1180="","",TODAY()-$H1180)</f>
        <v/>
      </c>
      <c r="O1180" s="15" t="n"/>
      <c r="P1180" s="26">
        <f>IF($A1180="","",COUNTIFS('Audit Versions'!$A$6:$A$605,$A1180,'Audit Versions'!$L$6:$L$605,"Active"))</f>
        <v/>
      </c>
      <c r="Q1180" s="15" t="n"/>
      <c r="R1180" s="26">
        <f>IF(OR($A1180="",$P1180=0),"",MOD(N($Q1180),$P1180)+1)</f>
        <v/>
      </c>
      <c r="S1180" s="15" t="n"/>
      <c r="T1180" s="25" t="n"/>
      <c r="U1180" s="26">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Builder'!$B$12="",N($S1180)&lt;='Assignment Builder'!$B$12)))</f>
        <v/>
      </c>
      <c r="V1180" s="23" t="n"/>
    </row>
    <row r="1181">
      <c r="A1181" s="23" t="n"/>
      <c r="B1181" s="23" t="n"/>
      <c r="C1181" s="24" t="n"/>
      <c r="D1181" s="15" t="n"/>
      <c r="E1181" s="23" t="n"/>
      <c r="F1181" s="15" t="n"/>
      <c r="G1181" s="23" t="n"/>
      <c r="H1181" s="25" t="n"/>
      <c r="I1181" s="15" t="n"/>
      <c r="J1181" s="26">
        <f>IF($A1181="","",LEN($C1181)-LEN(SUBSTITUTE($C1181,",",""))+1)</f>
        <v/>
      </c>
      <c r="K1181" s="26">
        <f>IF($A1181="","",SUMPRODUCT(--ISNUMBER(SEARCH('Category Dictionary'!$D$5:$D$135&amp;"",$C1181)),--('Category Dictionary'!$D$5:$D$135&lt;&gt;"")))</f>
        <v/>
      </c>
      <c r="L1181" s="27">
        <f>IF($A1181="","",TRIM(IF(ISERROR(FIND(",",$C1181)),$C1181,LEFT($C1181,FIND(",",$C1181)-1))))</f>
        <v/>
      </c>
      <c r="M1181" s="28">
        <f>IF($H1181="","",DATE(YEAR($H1181),MONTH($H1181),1))</f>
        <v/>
      </c>
      <c r="N1181" s="26">
        <f>IF($H1181="","",TODAY()-$H1181)</f>
        <v/>
      </c>
      <c r="O1181" s="15" t="n"/>
      <c r="P1181" s="26">
        <f>IF($A1181="","",COUNTIFS('Audit Versions'!$A$6:$A$605,$A1181,'Audit Versions'!$L$6:$L$605,"Active"))</f>
        <v/>
      </c>
      <c r="Q1181" s="15" t="n"/>
      <c r="R1181" s="26">
        <f>IF(OR($A1181="",$P1181=0),"",MOD(N($Q1181),$P1181)+1)</f>
        <v/>
      </c>
      <c r="S1181" s="15" t="n"/>
      <c r="T1181" s="25" t="n"/>
      <c r="U1181" s="26">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Builder'!$B$12="",N($S1181)&lt;='Assignment Builder'!$B$12)))</f>
        <v/>
      </c>
      <c r="V1181" s="23" t="n"/>
    </row>
    <row r="1182">
      <c r="A1182" s="23" t="n"/>
      <c r="B1182" s="23" t="n"/>
      <c r="C1182" s="24" t="n"/>
      <c r="D1182" s="15" t="n"/>
      <c r="E1182" s="23" t="n"/>
      <c r="F1182" s="15" t="n"/>
      <c r="G1182" s="23" t="n"/>
      <c r="H1182" s="25" t="n"/>
      <c r="I1182" s="15" t="n"/>
      <c r="J1182" s="26">
        <f>IF($A1182="","",LEN($C1182)-LEN(SUBSTITUTE($C1182,",",""))+1)</f>
        <v/>
      </c>
      <c r="K1182" s="26">
        <f>IF($A1182="","",SUMPRODUCT(--ISNUMBER(SEARCH('Category Dictionary'!$D$5:$D$135&amp;"",$C1182)),--('Category Dictionary'!$D$5:$D$135&lt;&gt;"")))</f>
        <v/>
      </c>
      <c r="L1182" s="27">
        <f>IF($A1182="","",TRIM(IF(ISERROR(FIND(",",$C1182)),$C1182,LEFT($C1182,FIND(",",$C1182)-1))))</f>
        <v/>
      </c>
      <c r="M1182" s="28">
        <f>IF($H1182="","",DATE(YEAR($H1182),MONTH($H1182),1))</f>
        <v/>
      </c>
      <c r="N1182" s="26">
        <f>IF($H1182="","",TODAY()-$H1182)</f>
        <v/>
      </c>
      <c r="O1182" s="15" t="n"/>
      <c r="P1182" s="26">
        <f>IF($A1182="","",COUNTIFS('Audit Versions'!$A$6:$A$605,$A1182,'Audit Versions'!$L$6:$L$605,"Active"))</f>
        <v/>
      </c>
      <c r="Q1182" s="15" t="n"/>
      <c r="R1182" s="26">
        <f>IF(OR($A1182="",$P1182=0),"",MOD(N($Q1182),$P1182)+1)</f>
        <v/>
      </c>
      <c r="S1182" s="15" t="n"/>
      <c r="T1182" s="25" t="n"/>
      <c r="U1182" s="26">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Builder'!$B$12="",N($S1182)&lt;='Assignment Builder'!$B$12)))</f>
        <v/>
      </c>
      <c r="V1182" s="23" t="n"/>
    </row>
    <row r="1183">
      <c r="A1183" s="23" t="n"/>
      <c r="B1183" s="23" t="n"/>
      <c r="C1183" s="24" t="n"/>
      <c r="D1183" s="15" t="n"/>
      <c r="E1183" s="23" t="n"/>
      <c r="F1183" s="15" t="n"/>
      <c r="G1183" s="23" t="n"/>
      <c r="H1183" s="25" t="n"/>
      <c r="I1183" s="15" t="n"/>
      <c r="J1183" s="26">
        <f>IF($A1183="","",LEN($C1183)-LEN(SUBSTITUTE($C1183,",",""))+1)</f>
        <v/>
      </c>
      <c r="K1183" s="26">
        <f>IF($A1183="","",SUMPRODUCT(--ISNUMBER(SEARCH('Category Dictionary'!$D$5:$D$135&amp;"",$C1183)),--('Category Dictionary'!$D$5:$D$135&lt;&gt;"")))</f>
        <v/>
      </c>
      <c r="L1183" s="27">
        <f>IF($A1183="","",TRIM(IF(ISERROR(FIND(",",$C1183)),$C1183,LEFT($C1183,FIND(",",$C1183)-1))))</f>
        <v/>
      </c>
      <c r="M1183" s="28">
        <f>IF($H1183="","",DATE(YEAR($H1183),MONTH($H1183),1))</f>
        <v/>
      </c>
      <c r="N1183" s="26">
        <f>IF($H1183="","",TODAY()-$H1183)</f>
        <v/>
      </c>
      <c r="O1183" s="15" t="n"/>
      <c r="P1183" s="26">
        <f>IF($A1183="","",COUNTIFS('Audit Versions'!$A$6:$A$605,$A1183,'Audit Versions'!$L$6:$L$605,"Active"))</f>
        <v/>
      </c>
      <c r="Q1183" s="15" t="n"/>
      <c r="R1183" s="26">
        <f>IF(OR($A1183="",$P1183=0),"",MOD(N($Q1183),$P1183)+1)</f>
        <v/>
      </c>
      <c r="S1183" s="15" t="n"/>
      <c r="T1183" s="25" t="n"/>
      <c r="U1183" s="26">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Builder'!$B$12="",N($S1183)&lt;='Assignment Builder'!$B$12)))</f>
        <v/>
      </c>
      <c r="V1183" s="23" t="n"/>
    </row>
    <row r="1184">
      <c r="A1184" s="23" t="n"/>
      <c r="B1184" s="23" t="n"/>
      <c r="C1184" s="24" t="n"/>
      <c r="D1184" s="15" t="n"/>
      <c r="E1184" s="23" t="n"/>
      <c r="F1184" s="15" t="n"/>
      <c r="G1184" s="23" t="n"/>
      <c r="H1184" s="25" t="n"/>
      <c r="I1184" s="15" t="n"/>
      <c r="J1184" s="26">
        <f>IF($A1184="","",LEN($C1184)-LEN(SUBSTITUTE($C1184,",",""))+1)</f>
        <v/>
      </c>
      <c r="K1184" s="26">
        <f>IF($A1184="","",SUMPRODUCT(--ISNUMBER(SEARCH('Category Dictionary'!$D$5:$D$135&amp;"",$C1184)),--('Category Dictionary'!$D$5:$D$135&lt;&gt;"")))</f>
        <v/>
      </c>
      <c r="L1184" s="27">
        <f>IF($A1184="","",TRIM(IF(ISERROR(FIND(",",$C1184)),$C1184,LEFT($C1184,FIND(",",$C1184)-1))))</f>
        <v/>
      </c>
      <c r="M1184" s="28">
        <f>IF($H1184="","",DATE(YEAR($H1184),MONTH($H1184),1))</f>
        <v/>
      </c>
      <c r="N1184" s="26">
        <f>IF($H1184="","",TODAY()-$H1184)</f>
        <v/>
      </c>
      <c r="O1184" s="15" t="n"/>
      <c r="P1184" s="26">
        <f>IF($A1184="","",COUNTIFS('Audit Versions'!$A$6:$A$605,$A1184,'Audit Versions'!$L$6:$L$605,"Active"))</f>
        <v/>
      </c>
      <c r="Q1184" s="15" t="n"/>
      <c r="R1184" s="26">
        <f>IF(OR($A1184="",$P1184=0),"",MOD(N($Q1184),$P1184)+1)</f>
        <v/>
      </c>
      <c r="S1184" s="15" t="n"/>
      <c r="T1184" s="25" t="n"/>
      <c r="U1184" s="26">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Builder'!$B$12="",N($S1184)&lt;='Assignment Builder'!$B$12)))</f>
        <v/>
      </c>
      <c r="V1184" s="23" t="n"/>
    </row>
    <row r="1185">
      <c r="A1185" s="23" t="n"/>
      <c r="B1185" s="23" t="n"/>
      <c r="C1185" s="24" t="n"/>
      <c r="D1185" s="15" t="n"/>
      <c r="E1185" s="23" t="n"/>
      <c r="F1185" s="15" t="n"/>
      <c r="G1185" s="23" t="n"/>
      <c r="H1185" s="25" t="n"/>
      <c r="I1185" s="15" t="n"/>
      <c r="J1185" s="26">
        <f>IF($A1185="","",LEN($C1185)-LEN(SUBSTITUTE($C1185,",",""))+1)</f>
        <v/>
      </c>
      <c r="K1185" s="26">
        <f>IF($A1185="","",SUMPRODUCT(--ISNUMBER(SEARCH('Category Dictionary'!$D$5:$D$135&amp;"",$C1185)),--('Category Dictionary'!$D$5:$D$135&lt;&gt;"")))</f>
        <v/>
      </c>
      <c r="L1185" s="27">
        <f>IF($A1185="","",TRIM(IF(ISERROR(FIND(",",$C1185)),$C1185,LEFT($C1185,FIND(",",$C1185)-1))))</f>
        <v/>
      </c>
      <c r="M1185" s="28">
        <f>IF($H1185="","",DATE(YEAR($H1185),MONTH($H1185),1))</f>
        <v/>
      </c>
      <c r="N1185" s="26">
        <f>IF($H1185="","",TODAY()-$H1185)</f>
        <v/>
      </c>
      <c r="O1185" s="15" t="n"/>
      <c r="P1185" s="26">
        <f>IF($A1185="","",COUNTIFS('Audit Versions'!$A$6:$A$605,$A1185,'Audit Versions'!$L$6:$L$605,"Active"))</f>
        <v/>
      </c>
      <c r="Q1185" s="15" t="n"/>
      <c r="R1185" s="26">
        <f>IF(OR($A1185="",$P1185=0),"",MOD(N($Q1185),$P1185)+1)</f>
        <v/>
      </c>
      <c r="S1185" s="15" t="n"/>
      <c r="T1185" s="25" t="n"/>
      <c r="U1185" s="26">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Builder'!$B$12="",N($S1185)&lt;='Assignment Builder'!$B$12)))</f>
        <v/>
      </c>
      <c r="V1185" s="23" t="n"/>
    </row>
    <row r="1186">
      <c r="A1186" s="23" t="n"/>
      <c r="B1186" s="23" t="n"/>
      <c r="C1186" s="24" t="n"/>
      <c r="D1186" s="15" t="n"/>
      <c r="E1186" s="23" t="n"/>
      <c r="F1186" s="15" t="n"/>
      <c r="G1186" s="23" t="n"/>
      <c r="H1186" s="25" t="n"/>
      <c r="I1186" s="15" t="n"/>
      <c r="J1186" s="26">
        <f>IF($A1186="","",LEN($C1186)-LEN(SUBSTITUTE($C1186,",",""))+1)</f>
        <v/>
      </c>
      <c r="K1186" s="26">
        <f>IF($A1186="","",SUMPRODUCT(--ISNUMBER(SEARCH('Category Dictionary'!$D$5:$D$135&amp;"",$C1186)),--('Category Dictionary'!$D$5:$D$135&lt;&gt;"")))</f>
        <v/>
      </c>
      <c r="L1186" s="27">
        <f>IF($A1186="","",TRIM(IF(ISERROR(FIND(",",$C1186)),$C1186,LEFT($C1186,FIND(",",$C1186)-1))))</f>
        <v/>
      </c>
      <c r="M1186" s="28">
        <f>IF($H1186="","",DATE(YEAR($H1186),MONTH($H1186),1))</f>
        <v/>
      </c>
      <c r="N1186" s="26">
        <f>IF($H1186="","",TODAY()-$H1186)</f>
        <v/>
      </c>
      <c r="O1186" s="15" t="n"/>
      <c r="P1186" s="26">
        <f>IF($A1186="","",COUNTIFS('Audit Versions'!$A$6:$A$605,$A1186,'Audit Versions'!$L$6:$L$605,"Active"))</f>
        <v/>
      </c>
      <c r="Q1186" s="15" t="n"/>
      <c r="R1186" s="26">
        <f>IF(OR($A1186="",$P1186=0),"",MOD(N($Q1186),$P1186)+1)</f>
        <v/>
      </c>
      <c r="S1186" s="15" t="n"/>
      <c r="T1186" s="25" t="n"/>
      <c r="U1186" s="26">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Builder'!$B$12="",N($S1186)&lt;='Assignment Builder'!$B$12)))</f>
        <v/>
      </c>
      <c r="V1186" s="23" t="n"/>
    </row>
    <row r="1187">
      <c r="A1187" s="23" t="n"/>
      <c r="B1187" s="23" t="n"/>
      <c r="C1187" s="24" t="n"/>
      <c r="D1187" s="15" t="n"/>
      <c r="E1187" s="23" t="n"/>
      <c r="F1187" s="15" t="n"/>
      <c r="G1187" s="23" t="n"/>
      <c r="H1187" s="25" t="n"/>
      <c r="I1187" s="15" t="n"/>
      <c r="J1187" s="26">
        <f>IF($A1187="","",LEN($C1187)-LEN(SUBSTITUTE($C1187,",",""))+1)</f>
        <v/>
      </c>
      <c r="K1187" s="26">
        <f>IF($A1187="","",SUMPRODUCT(--ISNUMBER(SEARCH('Category Dictionary'!$D$5:$D$135&amp;"",$C1187)),--('Category Dictionary'!$D$5:$D$135&lt;&gt;"")))</f>
        <v/>
      </c>
      <c r="L1187" s="27">
        <f>IF($A1187="","",TRIM(IF(ISERROR(FIND(",",$C1187)),$C1187,LEFT($C1187,FIND(",",$C1187)-1))))</f>
        <v/>
      </c>
      <c r="M1187" s="28">
        <f>IF($H1187="","",DATE(YEAR($H1187),MONTH($H1187),1))</f>
        <v/>
      </c>
      <c r="N1187" s="26">
        <f>IF($H1187="","",TODAY()-$H1187)</f>
        <v/>
      </c>
      <c r="O1187" s="15" t="n"/>
      <c r="P1187" s="26">
        <f>IF($A1187="","",COUNTIFS('Audit Versions'!$A$6:$A$605,$A1187,'Audit Versions'!$L$6:$L$605,"Active"))</f>
        <v/>
      </c>
      <c r="Q1187" s="15" t="n"/>
      <c r="R1187" s="26">
        <f>IF(OR($A1187="",$P1187=0),"",MOD(N($Q1187),$P1187)+1)</f>
        <v/>
      </c>
      <c r="S1187" s="15" t="n"/>
      <c r="T1187" s="25" t="n"/>
      <c r="U1187" s="26">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Builder'!$B$12="",N($S1187)&lt;='Assignment Builder'!$B$12)))</f>
        <v/>
      </c>
      <c r="V1187" s="23" t="n"/>
    </row>
    <row r="1188">
      <c r="A1188" s="23" t="n"/>
      <c r="B1188" s="23" t="n"/>
      <c r="C1188" s="24" t="n"/>
      <c r="D1188" s="15" t="n"/>
      <c r="E1188" s="23" t="n"/>
      <c r="F1188" s="15" t="n"/>
      <c r="G1188" s="23" t="n"/>
      <c r="H1188" s="25" t="n"/>
      <c r="I1188" s="15" t="n"/>
      <c r="J1188" s="26">
        <f>IF($A1188="","",LEN($C1188)-LEN(SUBSTITUTE($C1188,",",""))+1)</f>
        <v/>
      </c>
      <c r="K1188" s="26">
        <f>IF($A1188="","",SUMPRODUCT(--ISNUMBER(SEARCH('Category Dictionary'!$D$5:$D$135&amp;"",$C1188)),--('Category Dictionary'!$D$5:$D$135&lt;&gt;"")))</f>
        <v/>
      </c>
      <c r="L1188" s="27">
        <f>IF($A1188="","",TRIM(IF(ISERROR(FIND(",",$C1188)),$C1188,LEFT($C1188,FIND(",",$C1188)-1))))</f>
        <v/>
      </c>
      <c r="M1188" s="28">
        <f>IF($H1188="","",DATE(YEAR($H1188),MONTH($H1188),1))</f>
        <v/>
      </c>
      <c r="N1188" s="26">
        <f>IF($H1188="","",TODAY()-$H1188)</f>
        <v/>
      </c>
      <c r="O1188" s="15" t="n"/>
      <c r="P1188" s="26">
        <f>IF($A1188="","",COUNTIFS('Audit Versions'!$A$6:$A$605,$A1188,'Audit Versions'!$L$6:$L$605,"Active"))</f>
        <v/>
      </c>
      <c r="Q1188" s="15" t="n"/>
      <c r="R1188" s="26">
        <f>IF(OR($A1188="",$P1188=0),"",MOD(N($Q1188),$P1188)+1)</f>
        <v/>
      </c>
      <c r="S1188" s="15" t="n"/>
      <c r="T1188" s="25" t="n"/>
      <c r="U1188" s="26">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Builder'!$B$12="",N($S1188)&lt;='Assignment Builder'!$B$12)))</f>
        <v/>
      </c>
      <c r="V1188" s="23" t="n"/>
    </row>
    <row r="1189">
      <c r="A1189" s="23" t="n"/>
      <c r="B1189" s="23" t="n"/>
      <c r="C1189" s="24" t="n"/>
      <c r="D1189" s="15" t="n"/>
      <c r="E1189" s="23" t="n"/>
      <c r="F1189" s="15" t="n"/>
      <c r="G1189" s="23" t="n"/>
      <c r="H1189" s="25" t="n"/>
      <c r="I1189" s="15" t="n"/>
      <c r="J1189" s="26">
        <f>IF($A1189="","",LEN($C1189)-LEN(SUBSTITUTE($C1189,",",""))+1)</f>
        <v/>
      </c>
      <c r="K1189" s="26">
        <f>IF($A1189="","",SUMPRODUCT(--ISNUMBER(SEARCH('Category Dictionary'!$D$5:$D$135&amp;"",$C1189)),--('Category Dictionary'!$D$5:$D$135&lt;&gt;"")))</f>
        <v/>
      </c>
      <c r="L1189" s="27">
        <f>IF($A1189="","",TRIM(IF(ISERROR(FIND(",",$C1189)),$C1189,LEFT($C1189,FIND(",",$C1189)-1))))</f>
        <v/>
      </c>
      <c r="M1189" s="28">
        <f>IF($H1189="","",DATE(YEAR($H1189),MONTH($H1189),1))</f>
        <v/>
      </c>
      <c r="N1189" s="26">
        <f>IF($H1189="","",TODAY()-$H1189)</f>
        <v/>
      </c>
      <c r="O1189" s="15" t="n"/>
      <c r="P1189" s="26">
        <f>IF($A1189="","",COUNTIFS('Audit Versions'!$A$6:$A$605,$A1189,'Audit Versions'!$L$6:$L$605,"Active"))</f>
        <v/>
      </c>
      <c r="Q1189" s="15" t="n"/>
      <c r="R1189" s="26">
        <f>IF(OR($A1189="",$P1189=0),"",MOD(N($Q1189),$P1189)+1)</f>
        <v/>
      </c>
      <c r="S1189" s="15" t="n"/>
      <c r="T1189" s="25" t="n"/>
      <c r="U1189" s="26">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Builder'!$B$12="",N($S1189)&lt;='Assignment Builder'!$B$12)))</f>
        <v/>
      </c>
      <c r="V1189" s="23" t="n"/>
    </row>
    <row r="1190">
      <c r="A1190" s="23" t="n"/>
      <c r="B1190" s="23" t="n"/>
      <c r="C1190" s="24" t="n"/>
      <c r="D1190" s="15" t="n"/>
      <c r="E1190" s="23" t="n"/>
      <c r="F1190" s="15" t="n"/>
      <c r="G1190" s="23" t="n"/>
      <c r="H1190" s="25" t="n"/>
      <c r="I1190" s="15" t="n"/>
      <c r="J1190" s="26">
        <f>IF($A1190="","",LEN($C1190)-LEN(SUBSTITUTE($C1190,",",""))+1)</f>
        <v/>
      </c>
      <c r="K1190" s="26">
        <f>IF($A1190="","",SUMPRODUCT(--ISNUMBER(SEARCH('Category Dictionary'!$D$5:$D$135&amp;"",$C1190)),--('Category Dictionary'!$D$5:$D$135&lt;&gt;"")))</f>
        <v/>
      </c>
      <c r="L1190" s="27">
        <f>IF($A1190="","",TRIM(IF(ISERROR(FIND(",",$C1190)),$C1190,LEFT($C1190,FIND(",",$C1190)-1))))</f>
        <v/>
      </c>
      <c r="M1190" s="28">
        <f>IF($H1190="","",DATE(YEAR($H1190),MONTH($H1190),1))</f>
        <v/>
      </c>
      <c r="N1190" s="26">
        <f>IF($H1190="","",TODAY()-$H1190)</f>
        <v/>
      </c>
      <c r="O1190" s="15" t="n"/>
      <c r="P1190" s="26">
        <f>IF($A1190="","",COUNTIFS('Audit Versions'!$A$6:$A$605,$A1190,'Audit Versions'!$L$6:$L$605,"Active"))</f>
        <v/>
      </c>
      <c r="Q1190" s="15" t="n"/>
      <c r="R1190" s="26">
        <f>IF(OR($A1190="",$P1190=0),"",MOD(N($Q1190),$P1190)+1)</f>
        <v/>
      </c>
      <c r="S1190" s="15" t="n"/>
      <c r="T1190" s="25" t="n"/>
      <c r="U1190" s="26">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Builder'!$B$12="",N($S1190)&lt;='Assignment Builder'!$B$12)))</f>
        <v/>
      </c>
      <c r="V1190" s="23" t="n"/>
    </row>
    <row r="1191">
      <c r="A1191" s="23" t="n"/>
      <c r="B1191" s="23" t="n"/>
      <c r="C1191" s="24" t="n"/>
      <c r="D1191" s="15" t="n"/>
      <c r="E1191" s="23" t="n"/>
      <c r="F1191" s="15" t="n"/>
      <c r="G1191" s="23" t="n"/>
      <c r="H1191" s="25" t="n"/>
      <c r="I1191" s="15" t="n"/>
      <c r="J1191" s="26">
        <f>IF($A1191="","",LEN($C1191)-LEN(SUBSTITUTE($C1191,",",""))+1)</f>
        <v/>
      </c>
      <c r="K1191" s="26">
        <f>IF($A1191="","",SUMPRODUCT(--ISNUMBER(SEARCH('Category Dictionary'!$D$5:$D$135&amp;"",$C1191)),--('Category Dictionary'!$D$5:$D$135&lt;&gt;"")))</f>
        <v/>
      </c>
      <c r="L1191" s="27">
        <f>IF($A1191="","",TRIM(IF(ISERROR(FIND(",",$C1191)),$C1191,LEFT($C1191,FIND(",",$C1191)-1))))</f>
        <v/>
      </c>
      <c r="M1191" s="28">
        <f>IF($H1191="","",DATE(YEAR($H1191),MONTH($H1191),1))</f>
        <v/>
      </c>
      <c r="N1191" s="26">
        <f>IF($H1191="","",TODAY()-$H1191)</f>
        <v/>
      </c>
      <c r="O1191" s="15" t="n"/>
      <c r="P1191" s="26">
        <f>IF($A1191="","",COUNTIFS('Audit Versions'!$A$6:$A$605,$A1191,'Audit Versions'!$L$6:$L$605,"Active"))</f>
        <v/>
      </c>
      <c r="Q1191" s="15" t="n"/>
      <c r="R1191" s="26">
        <f>IF(OR($A1191="",$P1191=0),"",MOD(N($Q1191),$P1191)+1)</f>
        <v/>
      </c>
      <c r="S1191" s="15" t="n"/>
      <c r="T1191" s="25" t="n"/>
      <c r="U1191" s="26">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Builder'!$B$12="",N($S1191)&lt;='Assignment Builder'!$B$12)))</f>
        <v/>
      </c>
      <c r="V1191" s="23" t="n"/>
    </row>
    <row r="1192">
      <c r="A1192" s="23" t="n"/>
      <c r="B1192" s="23" t="n"/>
      <c r="C1192" s="24" t="n"/>
      <c r="D1192" s="15" t="n"/>
      <c r="E1192" s="23" t="n"/>
      <c r="F1192" s="15" t="n"/>
      <c r="G1192" s="23" t="n"/>
      <c r="H1192" s="25" t="n"/>
      <c r="I1192" s="15" t="n"/>
      <c r="J1192" s="26">
        <f>IF($A1192="","",LEN($C1192)-LEN(SUBSTITUTE($C1192,",",""))+1)</f>
        <v/>
      </c>
      <c r="K1192" s="26">
        <f>IF($A1192="","",SUMPRODUCT(--ISNUMBER(SEARCH('Category Dictionary'!$D$5:$D$135&amp;"",$C1192)),--('Category Dictionary'!$D$5:$D$135&lt;&gt;"")))</f>
        <v/>
      </c>
      <c r="L1192" s="27">
        <f>IF($A1192="","",TRIM(IF(ISERROR(FIND(",",$C1192)),$C1192,LEFT($C1192,FIND(",",$C1192)-1))))</f>
        <v/>
      </c>
      <c r="M1192" s="28">
        <f>IF($H1192="","",DATE(YEAR($H1192),MONTH($H1192),1))</f>
        <v/>
      </c>
      <c r="N1192" s="26">
        <f>IF($H1192="","",TODAY()-$H1192)</f>
        <v/>
      </c>
      <c r="O1192" s="15" t="n"/>
      <c r="P1192" s="26">
        <f>IF($A1192="","",COUNTIFS('Audit Versions'!$A$6:$A$605,$A1192,'Audit Versions'!$L$6:$L$605,"Active"))</f>
        <v/>
      </c>
      <c r="Q1192" s="15" t="n"/>
      <c r="R1192" s="26">
        <f>IF(OR($A1192="",$P1192=0),"",MOD(N($Q1192),$P1192)+1)</f>
        <v/>
      </c>
      <c r="S1192" s="15" t="n"/>
      <c r="T1192" s="25" t="n"/>
      <c r="U1192" s="26">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Builder'!$B$12="",N($S1192)&lt;='Assignment Builder'!$B$12)))</f>
        <v/>
      </c>
      <c r="V1192" s="23" t="n"/>
    </row>
    <row r="1193">
      <c r="A1193" s="23" t="n"/>
      <c r="B1193" s="23" t="n"/>
      <c r="C1193" s="24" t="n"/>
      <c r="D1193" s="15" t="n"/>
      <c r="E1193" s="23" t="n"/>
      <c r="F1193" s="15" t="n"/>
      <c r="G1193" s="23" t="n"/>
      <c r="H1193" s="25" t="n"/>
      <c r="I1193" s="15" t="n"/>
      <c r="J1193" s="26">
        <f>IF($A1193="","",LEN($C1193)-LEN(SUBSTITUTE($C1193,",",""))+1)</f>
        <v/>
      </c>
      <c r="K1193" s="26">
        <f>IF($A1193="","",SUMPRODUCT(--ISNUMBER(SEARCH('Category Dictionary'!$D$5:$D$135&amp;"",$C1193)),--('Category Dictionary'!$D$5:$D$135&lt;&gt;"")))</f>
        <v/>
      </c>
      <c r="L1193" s="27">
        <f>IF($A1193="","",TRIM(IF(ISERROR(FIND(",",$C1193)),$C1193,LEFT($C1193,FIND(",",$C1193)-1))))</f>
        <v/>
      </c>
      <c r="M1193" s="28">
        <f>IF($H1193="","",DATE(YEAR($H1193),MONTH($H1193),1))</f>
        <v/>
      </c>
      <c r="N1193" s="26">
        <f>IF($H1193="","",TODAY()-$H1193)</f>
        <v/>
      </c>
      <c r="O1193" s="15" t="n"/>
      <c r="P1193" s="26">
        <f>IF($A1193="","",COUNTIFS('Audit Versions'!$A$6:$A$605,$A1193,'Audit Versions'!$L$6:$L$605,"Active"))</f>
        <v/>
      </c>
      <c r="Q1193" s="15" t="n"/>
      <c r="R1193" s="26">
        <f>IF(OR($A1193="",$P1193=0),"",MOD(N($Q1193),$P1193)+1)</f>
        <v/>
      </c>
      <c r="S1193" s="15" t="n"/>
      <c r="T1193" s="25" t="n"/>
      <c r="U1193" s="26">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Builder'!$B$12="",N($S1193)&lt;='Assignment Builder'!$B$12)))</f>
        <v/>
      </c>
      <c r="V1193" s="23" t="n"/>
    </row>
    <row r="1194">
      <c r="A1194" s="23" t="n"/>
      <c r="B1194" s="23" t="n"/>
      <c r="C1194" s="24" t="n"/>
      <c r="D1194" s="15" t="n"/>
      <c r="E1194" s="23" t="n"/>
      <c r="F1194" s="15" t="n"/>
      <c r="G1194" s="23" t="n"/>
      <c r="H1194" s="25" t="n"/>
      <c r="I1194" s="15" t="n"/>
      <c r="J1194" s="26">
        <f>IF($A1194="","",LEN($C1194)-LEN(SUBSTITUTE($C1194,",",""))+1)</f>
        <v/>
      </c>
      <c r="K1194" s="26">
        <f>IF($A1194="","",SUMPRODUCT(--ISNUMBER(SEARCH('Category Dictionary'!$D$5:$D$135&amp;"",$C1194)),--('Category Dictionary'!$D$5:$D$135&lt;&gt;"")))</f>
        <v/>
      </c>
      <c r="L1194" s="27">
        <f>IF($A1194="","",TRIM(IF(ISERROR(FIND(",",$C1194)),$C1194,LEFT($C1194,FIND(",",$C1194)-1))))</f>
        <v/>
      </c>
      <c r="M1194" s="28">
        <f>IF($H1194="","",DATE(YEAR($H1194),MONTH($H1194),1))</f>
        <v/>
      </c>
      <c r="N1194" s="26">
        <f>IF($H1194="","",TODAY()-$H1194)</f>
        <v/>
      </c>
      <c r="O1194" s="15" t="n"/>
      <c r="P1194" s="26">
        <f>IF($A1194="","",COUNTIFS('Audit Versions'!$A$6:$A$605,$A1194,'Audit Versions'!$L$6:$L$605,"Active"))</f>
        <v/>
      </c>
      <c r="Q1194" s="15" t="n"/>
      <c r="R1194" s="26">
        <f>IF(OR($A1194="",$P1194=0),"",MOD(N($Q1194),$P1194)+1)</f>
        <v/>
      </c>
      <c r="S1194" s="15" t="n"/>
      <c r="T1194" s="25" t="n"/>
      <c r="U1194" s="26">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Builder'!$B$12="",N($S1194)&lt;='Assignment Builder'!$B$12)))</f>
        <v/>
      </c>
      <c r="V1194" s="23" t="n"/>
    </row>
    <row r="1195">
      <c r="A1195" s="23" t="n"/>
      <c r="B1195" s="23" t="n"/>
      <c r="C1195" s="24" t="n"/>
      <c r="D1195" s="15" t="n"/>
      <c r="E1195" s="23" t="n"/>
      <c r="F1195" s="15" t="n"/>
      <c r="G1195" s="23" t="n"/>
      <c r="H1195" s="25" t="n"/>
      <c r="I1195" s="15" t="n"/>
      <c r="J1195" s="26">
        <f>IF($A1195="","",LEN($C1195)-LEN(SUBSTITUTE($C1195,",",""))+1)</f>
        <v/>
      </c>
      <c r="K1195" s="26">
        <f>IF($A1195="","",SUMPRODUCT(--ISNUMBER(SEARCH('Category Dictionary'!$D$5:$D$135&amp;"",$C1195)),--('Category Dictionary'!$D$5:$D$135&lt;&gt;"")))</f>
        <v/>
      </c>
      <c r="L1195" s="27">
        <f>IF($A1195="","",TRIM(IF(ISERROR(FIND(",",$C1195)),$C1195,LEFT($C1195,FIND(",",$C1195)-1))))</f>
        <v/>
      </c>
      <c r="M1195" s="28">
        <f>IF($H1195="","",DATE(YEAR($H1195),MONTH($H1195),1))</f>
        <v/>
      </c>
      <c r="N1195" s="26">
        <f>IF($H1195="","",TODAY()-$H1195)</f>
        <v/>
      </c>
      <c r="O1195" s="15" t="n"/>
      <c r="P1195" s="26">
        <f>IF($A1195="","",COUNTIFS('Audit Versions'!$A$6:$A$605,$A1195,'Audit Versions'!$L$6:$L$605,"Active"))</f>
        <v/>
      </c>
      <c r="Q1195" s="15" t="n"/>
      <c r="R1195" s="26">
        <f>IF(OR($A1195="",$P1195=0),"",MOD(N($Q1195),$P1195)+1)</f>
        <v/>
      </c>
      <c r="S1195" s="15" t="n"/>
      <c r="T1195" s="25" t="n"/>
      <c r="U1195" s="26">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Builder'!$B$12="",N($S1195)&lt;='Assignment Builder'!$B$12)))</f>
        <v/>
      </c>
      <c r="V1195" s="23" t="n"/>
    </row>
    <row r="1196">
      <c r="A1196" s="23" t="n"/>
      <c r="B1196" s="23" t="n"/>
      <c r="C1196" s="24" t="n"/>
      <c r="D1196" s="15" t="n"/>
      <c r="E1196" s="23" t="n"/>
      <c r="F1196" s="15" t="n"/>
      <c r="G1196" s="23" t="n"/>
      <c r="H1196" s="25" t="n"/>
      <c r="I1196" s="15" t="n"/>
      <c r="J1196" s="26">
        <f>IF($A1196="","",LEN($C1196)-LEN(SUBSTITUTE($C1196,",",""))+1)</f>
        <v/>
      </c>
      <c r="K1196" s="26">
        <f>IF($A1196="","",SUMPRODUCT(--ISNUMBER(SEARCH('Category Dictionary'!$D$5:$D$135&amp;"",$C1196)),--('Category Dictionary'!$D$5:$D$135&lt;&gt;"")))</f>
        <v/>
      </c>
      <c r="L1196" s="27">
        <f>IF($A1196="","",TRIM(IF(ISERROR(FIND(",",$C1196)),$C1196,LEFT($C1196,FIND(",",$C1196)-1))))</f>
        <v/>
      </c>
      <c r="M1196" s="28">
        <f>IF($H1196="","",DATE(YEAR($H1196),MONTH($H1196),1))</f>
        <v/>
      </c>
      <c r="N1196" s="26">
        <f>IF($H1196="","",TODAY()-$H1196)</f>
        <v/>
      </c>
      <c r="O1196" s="15" t="n"/>
      <c r="P1196" s="26">
        <f>IF($A1196="","",COUNTIFS('Audit Versions'!$A$6:$A$605,$A1196,'Audit Versions'!$L$6:$L$605,"Active"))</f>
        <v/>
      </c>
      <c r="Q1196" s="15" t="n"/>
      <c r="R1196" s="26">
        <f>IF(OR($A1196="",$P1196=0),"",MOD(N($Q1196),$P1196)+1)</f>
        <v/>
      </c>
      <c r="S1196" s="15" t="n"/>
      <c r="T1196" s="25" t="n"/>
      <c r="U1196" s="26">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Builder'!$B$12="",N($S1196)&lt;='Assignment Builder'!$B$12)))</f>
        <v/>
      </c>
      <c r="V1196" s="23" t="n"/>
    </row>
    <row r="1197">
      <c r="A1197" s="23" t="n"/>
      <c r="B1197" s="23" t="n"/>
      <c r="C1197" s="24" t="n"/>
      <c r="D1197" s="15" t="n"/>
      <c r="E1197" s="23" t="n"/>
      <c r="F1197" s="15" t="n"/>
      <c r="G1197" s="23" t="n"/>
      <c r="H1197" s="25" t="n"/>
      <c r="I1197" s="15" t="n"/>
      <c r="J1197" s="26">
        <f>IF($A1197="","",LEN($C1197)-LEN(SUBSTITUTE($C1197,",",""))+1)</f>
        <v/>
      </c>
      <c r="K1197" s="26">
        <f>IF($A1197="","",SUMPRODUCT(--ISNUMBER(SEARCH('Category Dictionary'!$D$5:$D$135&amp;"",$C1197)),--('Category Dictionary'!$D$5:$D$135&lt;&gt;"")))</f>
        <v/>
      </c>
      <c r="L1197" s="27">
        <f>IF($A1197="","",TRIM(IF(ISERROR(FIND(",",$C1197)),$C1197,LEFT($C1197,FIND(",",$C1197)-1))))</f>
        <v/>
      </c>
      <c r="M1197" s="28">
        <f>IF($H1197="","",DATE(YEAR($H1197),MONTH($H1197),1))</f>
        <v/>
      </c>
      <c r="N1197" s="26">
        <f>IF($H1197="","",TODAY()-$H1197)</f>
        <v/>
      </c>
      <c r="O1197" s="15" t="n"/>
      <c r="P1197" s="26">
        <f>IF($A1197="","",COUNTIFS('Audit Versions'!$A$6:$A$605,$A1197,'Audit Versions'!$L$6:$L$605,"Active"))</f>
        <v/>
      </c>
      <c r="Q1197" s="15" t="n"/>
      <c r="R1197" s="26">
        <f>IF(OR($A1197="",$P1197=0),"",MOD(N($Q1197),$P1197)+1)</f>
        <v/>
      </c>
      <c r="S1197" s="15" t="n"/>
      <c r="T1197" s="25" t="n"/>
      <c r="U1197" s="26">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Builder'!$B$12="",N($S1197)&lt;='Assignment Builder'!$B$12)))</f>
        <v/>
      </c>
      <c r="V1197" s="23" t="n"/>
    </row>
    <row r="1198">
      <c r="A1198" s="23" t="n"/>
      <c r="B1198" s="23" t="n"/>
      <c r="C1198" s="24" t="n"/>
      <c r="D1198" s="15" t="n"/>
      <c r="E1198" s="23" t="n"/>
      <c r="F1198" s="15" t="n"/>
      <c r="G1198" s="23" t="n"/>
      <c r="H1198" s="25" t="n"/>
      <c r="I1198" s="15" t="n"/>
      <c r="J1198" s="26">
        <f>IF($A1198="","",LEN($C1198)-LEN(SUBSTITUTE($C1198,",",""))+1)</f>
        <v/>
      </c>
      <c r="K1198" s="26">
        <f>IF($A1198="","",SUMPRODUCT(--ISNUMBER(SEARCH('Category Dictionary'!$D$5:$D$135&amp;"",$C1198)),--('Category Dictionary'!$D$5:$D$135&lt;&gt;"")))</f>
        <v/>
      </c>
      <c r="L1198" s="27">
        <f>IF($A1198="","",TRIM(IF(ISERROR(FIND(",",$C1198)),$C1198,LEFT($C1198,FIND(",",$C1198)-1))))</f>
        <v/>
      </c>
      <c r="M1198" s="28">
        <f>IF($H1198="","",DATE(YEAR($H1198),MONTH($H1198),1))</f>
        <v/>
      </c>
      <c r="N1198" s="26">
        <f>IF($H1198="","",TODAY()-$H1198)</f>
        <v/>
      </c>
      <c r="O1198" s="15" t="n"/>
      <c r="P1198" s="26">
        <f>IF($A1198="","",COUNTIFS('Audit Versions'!$A$6:$A$605,$A1198,'Audit Versions'!$L$6:$L$605,"Active"))</f>
        <v/>
      </c>
      <c r="Q1198" s="15" t="n"/>
      <c r="R1198" s="26">
        <f>IF(OR($A1198="",$P1198=0),"",MOD(N($Q1198),$P1198)+1)</f>
        <v/>
      </c>
      <c r="S1198" s="15" t="n"/>
      <c r="T1198" s="25" t="n"/>
      <c r="U1198" s="26">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Builder'!$B$12="",N($S1198)&lt;='Assignment Builder'!$B$12)))</f>
        <v/>
      </c>
      <c r="V1198" s="23" t="n"/>
    </row>
    <row r="1199">
      <c r="A1199" s="23" t="n"/>
      <c r="B1199" s="23" t="n"/>
      <c r="C1199" s="24" t="n"/>
      <c r="D1199" s="15" t="n"/>
      <c r="E1199" s="23" t="n"/>
      <c r="F1199" s="15" t="n"/>
      <c r="G1199" s="23" t="n"/>
      <c r="H1199" s="25" t="n"/>
      <c r="I1199" s="15" t="n"/>
      <c r="J1199" s="26">
        <f>IF($A1199="","",LEN($C1199)-LEN(SUBSTITUTE($C1199,",",""))+1)</f>
        <v/>
      </c>
      <c r="K1199" s="26">
        <f>IF($A1199="","",SUMPRODUCT(--ISNUMBER(SEARCH('Category Dictionary'!$D$5:$D$135&amp;"",$C1199)),--('Category Dictionary'!$D$5:$D$135&lt;&gt;"")))</f>
        <v/>
      </c>
      <c r="L1199" s="27">
        <f>IF($A1199="","",TRIM(IF(ISERROR(FIND(",",$C1199)),$C1199,LEFT($C1199,FIND(",",$C1199)-1))))</f>
        <v/>
      </c>
      <c r="M1199" s="28">
        <f>IF($H1199="","",DATE(YEAR($H1199),MONTH($H1199),1))</f>
        <v/>
      </c>
      <c r="N1199" s="26">
        <f>IF($H1199="","",TODAY()-$H1199)</f>
        <v/>
      </c>
      <c r="O1199" s="15" t="n"/>
      <c r="P1199" s="26">
        <f>IF($A1199="","",COUNTIFS('Audit Versions'!$A$6:$A$605,$A1199,'Audit Versions'!$L$6:$L$605,"Active"))</f>
        <v/>
      </c>
      <c r="Q1199" s="15" t="n"/>
      <c r="R1199" s="26">
        <f>IF(OR($A1199="",$P1199=0),"",MOD(N($Q1199),$P1199)+1)</f>
        <v/>
      </c>
      <c r="S1199" s="15" t="n"/>
      <c r="T1199" s="25" t="n"/>
      <c r="U1199" s="26">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Builder'!$B$12="",N($S1199)&lt;='Assignment Builder'!$B$12)))</f>
        <v/>
      </c>
      <c r="V1199" s="23" t="n"/>
    </row>
    <row r="1200">
      <c r="A1200" s="23" t="n"/>
      <c r="B1200" s="23" t="n"/>
      <c r="C1200" s="24" t="n"/>
      <c r="D1200" s="15" t="n"/>
      <c r="E1200" s="23" t="n"/>
      <c r="F1200" s="15" t="n"/>
      <c r="G1200" s="23" t="n"/>
      <c r="H1200" s="25" t="n"/>
      <c r="I1200" s="15" t="n"/>
      <c r="J1200" s="26">
        <f>IF($A1200="","",LEN($C1200)-LEN(SUBSTITUTE($C1200,",",""))+1)</f>
        <v/>
      </c>
      <c r="K1200" s="26">
        <f>IF($A1200="","",SUMPRODUCT(--ISNUMBER(SEARCH('Category Dictionary'!$D$5:$D$135&amp;"",$C1200)),--('Category Dictionary'!$D$5:$D$135&lt;&gt;"")))</f>
        <v/>
      </c>
      <c r="L1200" s="27">
        <f>IF($A1200="","",TRIM(IF(ISERROR(FIND(",",$C1200)),$C1200,LEFT($C1200,FIND(",",$C1200)-1))))</f>
        <v/>
      </c>
      <c r="M1200" s="28">
        <f>IF($H1200="","",DATE(YEAR($H1200),MONTH($H1200),1))</f>
        <v/>
      </c>
      <c r="N1200" s="26">
        <f>IF($H1200="","",TODAY()-$H1200)</f>
        <v/>
      </c>
      <c r="O1200" s="15" t="n"/>
      <c r="P1200" s="26">
        <f>IF($A1200="","",COUNTIFS('Audit Versions'!$A$6:$A$605,$A1200,'Audit Versions'!$L$6:$L$605,"Active"))</f>
        <v/>
      </c>
      <c r="Q1200" s="15" t="n"/>
      <c r="R1200" s="26">
        <f>IF(OR($A1200="",$P1200=0),"",MOD(N($Q1200),$P1200)+1)</f>
        <v/>
      </c>
      <c r="S1200" s="15" t="n"/>
      <c r="T1200" s="25" t="n"/>
      <c r="U1200" s="26">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Builder'!$B$12="",N($S1200)&lt;='Assignment Builder'!$B$12)))</f>
        <v/>
      </c>
      <c r="V1200" s="23" t="n"/>
    </row>
    <row r="1201">
      <c r="A1201" s="23" t="n"/>
      <c r="B1201" s="23" t="n"/>
      <c r="C1201" s="24" t="n"/>
      <c r="D1201" s="15" t="n"/>
      <c r="E1201" s="23" t="n"/>
      <c r="F1201" s="15" t="n"/>
      <c r="G1201" s="23" t="n"/>
      <c r="H1201" s="25" t="n"/>
      <c r="I1201" s="15" t="n"/>
      <c r="J1201" s="26">
        <f>IF($A1201="","",LEN($C1201)-LEN(SUBSTITUTE($C1201,",",""))+1)</f>
        <v/>
      </c>
      <c r="K1201" s="26">
        <f>IF($A1201="","",SUMPRODUCT(--ISNUMBER(SEARCH('Category Dictionary'!$D$5:$D$135&amp;"",$C1201)),--('Category Dictionary'!$D$5:$D$135&lt;&gt;"")))</f>
        <v/>
      </c>
      <c r="L1201" s="27">
        <f>IF($A1201="","",TRIM(IF(ISERROR(FIND(",",$C1201)),$C1201,LEFT($C1201,FIND(",",$C1201)-1))))</f>
        <v/>
      </c>
      <c r="M1201" s="28">
        <f>IF($H1201="","",DATE(YEAR($H1201),MONTH($H1201),1))</f>
        <v/>
      </c>
      <c r="N1201" s="26">
        <f>IF($H1201="","",TODAY()-$H1201)</f>
        <v/>
      </c>
      <c r="O1201" s="15" t="n"/>
      <c r="P1201" s="26">
        <f>IF($A1201="","",COUNTIFS('Audit Versions'!$A$6:$A$605,$A1201,'Audit Versions'!$L$6:$L$605,"Active"))</f>
        <v/>
      </c>
      <c r="Q1201" s="15" t="n"/>
      <c r="R1201" s="26">
        <f>IF(OR($A1201="",$P1201=0),"",MOD(N($Q1201),$P1201)+1)</f>
        <v/>
      </c>
      <c r="S1201" s="15" t="n"/>
      <c r="T1201" s="25" t="n"/>
      <c r="U1201" s="26">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Builder'!$B$12="",N($S1201)&lt;='Assignment Builder'!$B$12)))</f>
        <v/>
      </c>
      <c r="V1201" s="23" t="n"/>
    </row>
    <row r="1202">
      <c r="A1202" s="23" t="n"/>
      <c r="B1202" s="23" t="n"/>
      <c r="C1202" s="24" t="n"/>
      <c r="D1202" s="15" t="n"/>
      <c r="E1202" s="23" t="n"/>
      <c r="F1202" s="15" t="n"/>
      <c r="G1202" s="23" t="n"/>
      <c r="H1202" s="25" t="n"/>
      <c r="I1202" s="15" t="n"/>
      <c r="J1202" s="26">
        <f>IF($A1202="","",LEN($C1202)-LEN(SUBSTITUTE($C1202,",",""))+1)</f>
        <v/>
      </c>
      <c r="K1202" s="26">
        <f>IF($A1202="","",SUMPRODUCT(--ISNUMBER(SEARCH('Category Dictionary'!$D$5:$D$135&amp;"",$C1202)),--('Category Dictionary'!$D$5:$D$135&lt;&gt;"")))</f>
        <v/>
      </c>
      <c r="L1202" s="27">
        <f>IF($A1202="","",TRIM(IF(ISERROR(FIND(",",$C1202)),$C1202,LEFT($C1202,FIND(",",$C1202)-1))))</f>
        <v/>
      </c>
      <c r="M1202" s="28">
        <f>IF($H1202="","",DATE(YEAR($H1202),MONTH($H1202),1))</f>
        <v/>
      </c>
      <c r="N1202" s="26">
        <f>IF($H1202="","",TODAY()-$H1202)</f>
        <v/>
      </c>
      <c r="O1202" s="15" t="n"/>
      <c r="P1202" s="26">
        <f>IF($A1202="","",COUNTIFS('Audit Versions'!$A$6:$A$605,$A1202,'Audit Versions'!$L$6:$L$605,"Active"))</f>
        <v/>
      </c>
      <c r="Q1202" s="15" t="n"/>
      <c r="R1202" s="26">
        <f>IF(OR($A1202="",$P1202=0),"",MOD(N($Q1202),$P1202)+1)</f>
        <v/>
      </c>
      <c r="S1202" s="15" t="n"/>
      <c r="T1202" s="25" t="n"/>
      <c r="U1202" s="26">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Builder'!$B$12="",N($S1202)&lt;='Assignment Builder'!$B$12)))</f>
        <v/>
      </c>
      <c r="V1202" s="23" t="n"/>
    </row>
    <row r="1203">
      <c r="A1203" s="23" t="n"/>
      <c r="B1203" s="23" t="n"/>
      <c r="C1203" s="24" t="n"/>
      <c r="D1203" s="15" t="n"/>
      <c r="E1203" s="23" t="n"/>
      <c r="F1203" s="15" t="n"/>
      <c r="G1203" s="23" t="n"/>
      <c r="H1203" s="25" t="n"/>
      <c r="I1203" s="15" t="n"/>
      <c r="J1203" s="26">
        <f>IF($A1203="","",LEN($C1203)-LEN(SUBSTITUTE($C1203,",",""))+1)</f>
        <v/>
      </c>
      <c r="K1203" s="26">
        <f>IF($A1203="","",SUMPRODUCT(--ISNUMBER(SEARCH('Category Dictionary'!$D$5:$D$135&amp;"",$C1203)),--('Category Dictionary'!$D$5:$D$135&lt;&gt;"")))</f>
        <v/>
      </c>
      <c r="L1203" s="27">
        <f>IF($A1203="","",TRIM(IF(ISERROR(FIND(",",$C1203)),$C1203,LEFT($C1203,FIND(",",$C1203)-1))))</f>
        <v/>
      </c>
      <c r="M1203" s="28">
        <f>IF($H1203="","",DATE(YEAR($H1203),MONTH($H1203),1))</f>
        <v/>
      </c>
      <c r="N1203" s="26">
        <f>IF($H1203="","",TODAY()-$H1203)</f>
        <v/>
      </c>
      <c r="O1203" s="15" t="n"/>
      <c r="P1203" s="26">
        <f>IF($A1203="","",COUNTIFS('Audit Versions'!$A$6:$A$605,$A1203,'Audit Versions'!$L$6:$L$605,"Active"))</f>
        <v/>
      </c>
      <c r="Q1203" s="15" t="n"/>
      <c r="R1203" s="26">
        <f>IF(OR($A1203="",$P1203=0),"",MOD(N($Q1203),$P1203)+1)</f>
        <v/>
      </c>
      <c r="S1203" s="15" t="n"/>
      <c r="T1203" s="25" t="n"/>
      <c r="U1203" s="26">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Builder'!$B$12="",N($S1203)&lt;='Assignment Builder'!$B$12)))</f>
        <v/>
      </c>
      <c r="V1203" s="23" t="n"/>
    </row>
    <row r="1204">
      <c r="A1204" s="23" t="n"/>
      <c r="B1204" s="23" t="n"/>
      <c r="C1204" s="24" t="n"/>
      <c r="D1204" s="15" t="n"/>
      <c r="E1204" s="23" t="n"/>
      <c r="F1204" s="15" t="n"/>
      <c r="G1204" s="23" t="n"/>
      <c r="H1204" s="25" t="n"/>
      <c r="I1204" s="15" t="n"/>
      <c r="J1204" s="26">
        <f>IF($A1204="","",LEN($C1204)-LEN(SUBSTITUTE($C1204,",",""))+1)</f>
        <v/>
      </c>
      <c r="K1204" s="26">
        <f>IF($A1204="","",SUMPRODUCT(--ISNUMBER(SEARCH('Category Dictionary'!$D$5:$D$135&amp;"",$C1204)),--('Category Dictionary'!$D$5:$D$135&lt;&gt;"")))</f>
        <v/>
      </c>
      <c r="L1204" s="27">
        <f>IF($A1204="","",TRIM(IF(ISERROR(FIND(",",$C1204)),$C1204,LEFT($C1204,FIND(",",$C1204)-1))))</f>
        <v/>
      </c>
      <c r="M1204" s="28">
        <f>IF($H1204="","",DATE(YEAR($H1204),MONTH($H1204),1))</f>
        <v/>
      </c>
      <c r="N1204" s="26">
        <f>IF($H1204="","",TODAY()-$H1204)</f>
        <v/>
      </c>
      <c r="O1204" s="15" t="n"/>
      <c r="P1204" s="26">
        <f>IF($A1204="","",COUNTIFS('Audit Versions'!$A$6:$A$605,$A1204,'Audit Versions'!$L$6:$L$605,"Active"))</f>
        <v/>
      </c>
      <c r="Q1204" s="15" t="n"/>
      <c r="R1204" s="26">
        <f>IF(OR($A1204="",$P1204=0),"",MOD(N($Q1204),$P1204)+1)</f>
        <v/>
      </c>
      <c r="S1204" s="15" t="n"/>
      <c r="T1204" s="25" t="n"/>
      <c r="U1204" s="26">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Builder'!$B$12="",N($S1204)&lt;='Assignment Builder'!$B$12)))</f>
        <v/>
      </c>
      <c r="V1204" s="23" t="n"/>
    </row>
    <row r="1205">
      <c r="A1205" s="23" t="n"/>
      <c r="B1205" s="23" t="n"/>
      <c r="C1205" s="24" t="n"/>
      <c r="D1205" s="15" t="n"/>
      <c r="E1205" s="23" t="n"/>
      <c r="F1205" s="15" t="n"/>
      <c r="G1205" s="23" t="n"/>
      <c r="H1205" s="25" t="n"/>
      <c r="I1205" s="15" t="n"/>
      <c r="J1205" s="26">
        <f>IF($A1205="","",LEN($C1205)-LEN(SUBSTITUTE($C1205,",",""))+1)</f>
        <v/>
      </c>
      <c r="K1205" s="26">
        <f>IF($A1205="","",SUMPRODUCT(--ISNUMBER(SEARCH('Category Dictionary'!$D$5:$D$135&amp;"",$C1205)),--('Category Dictionary'!$D$5:$D$135&lt;&gt;"")))</f>
        <v/>
      </c>
      <c r="L1205" s="27">
        <f>IF($A1205="","",TRIM(IF(ISERROR(FIND(",",$C1205)),$C1205,LEFT($C1205,FIND(",",$C1205)-1))))</f>
        <v/>
      </c>
      <c r="M1205" s="28">
        <f>IF($H1205="","",DATE(YEAR($H1205),MONTH($H1205),1))</f>
        <v/>
      </c>
      <c r="N1205" s="26">
        <f>IF($H1205="","",TODAY()-$H1205)</f>
        <v/>
      </c>
      <c r="O1205" s="15" t="n"/>
      <c r="P1205" s="26">
        <f>IF($A1205="","",COUNTIFS('Audit Versions'!$A$6:$A$605,$A1205,'Audit Versions'!$L$6:$L$605,"Active"))</f>
        <v/>
      </c>
      <c r="Q1205" s="15" t="n"/>
      <c r="R1205" s="26">
        <f>IF(OR($A1205="",$P1205=0),"",MOD(N($Q1205),$P1205)+1)</f>
        <v/>
      </c>
      <c r="S1205" s="15" t="n"/>
      <c r="T1205" s="25" t="n"/>
      <c r="U1205" s="26">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Builder'!$B$12="",N($S1205)&lt;='Assignment Builder'!$B$12)))</f>
        <v/>
      </c>
      <c r="V1205" s="23" t="n"/>
    </row>
    <row r="1206">
      <c r="A1206" s="23" t="n"/>
      <c r="B1206" s="23" t="n"/>
      <c r="C1206" s="24" t="n"/>
      <c r="D1206" s="15" t="n"/>
      <c r="E1206" s="23" t="n"/>
      <c r="F1206" s="15" t="n"/>
      <c r="G1206" s="23" t="n"/>
      <c r="H1206" s="25" t="n"/>
      <c r="I1206" s="15" t="n"/>
      <c r="J1206" s="26">
        <f>IF($A1206="","",LEN($C1206)-LEN(SUBSTITUTE($C1206,",",""))+1)</f>
        <v/>
      </c>
      <c r="K1206" s="26">
        <f>IF($A1206="","",SUMPRODUCT(--ISNUMBER(SEARCH('Category Dictionary'!$D$5:$D$135&amp;"",$C1206)),--('Category Dictionary'!$D$5:$D$135&lt;&gt;"")))</f>
        <v/>
      </c>
      <c r="L1206" s="27">
        <f>IF($A1206="","",TRIM(IF(ISERROR(FIND(",",$C1206)),$C1206,LEFT($C1206,FIND(",",$C1206)-1))))</f>
        <v/>
      </c>
      <c r="M1206" s="28">
        <f>IF($H1206="","",DATE(YEAR($H1206),MONTH($H1206),1))</f>
        <v/>
      </c>
      <c r="N1206" s="26">
        <f>IF($H1206="","",TODAY()-$H1206)</f>
        <v/>
      </c>
      <c r="O1206" s="15" t="n"/>
      <c r="P1206" s="26">
        <f>IF($A1206="","",COUNTIFS('Audit Versions'!$A$6:$A$605,$A1206,'Audit Versions'!$L$6:$L$605,"Active"))</f>
        <v/>
      </c>
      <c r="Q1206" s="15" t="n"/>
      <c r="R1206" s="26">
        <f>IF(OR($A1206="",$P1206=0),"",MOD(N($Q1206),$P1206)+1)</f>
        <v/>
      </c>
      <c r="S1206" s="15" t="n"/>
      <c r="T1206" s="25" t="n"/>
      <c r="U1206" s="26">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Builder'!$B$12="",N($S1206)&lt;='Assignment Builder'!$B$12)))</f>
        <v/>
      </c>
      <c r="V1206" s="23" t="n"/>
    </row>
    <row r="1207">
      <c r="A1207" s="23" t="n"/>
      <c r="B1207" s="23" t="n"/>
      <c r="C1207" s="24" t="n"/>
      <c r="D1207" s="15" t="n"/>
      <c r="E1207" s="23" t="n"/>
      <c r="F1207" s="15" t="n"/>
      <c r="G1207" s="23" t="n"/>
      <c r="H1207" s="25" t="n"/>
      <c r="I1207" s="15" t="n"/>
      <c r="J1207" s="26">
        <f>IF($A1207="","",LEN($C1207)-LEN(SUBSTITUTE($C1207,",",""))+1)</f>
        <v/>
      </c>
      <c r="K1207" s="26">
        <f>IF($A1207="","",SUMPRODUCT(--ISNUMBER(SEARCH('Category Dictionary'!$D$5:$D$135&amp;"",$C1207)),--('Category Dictionary'!$D$5:$D$135&lt;&gt;"")))</f>
        <v/>
      </c>
      <c r="L1207" s="27">
        <f>IF($A1207="","",TRIM(IF(ISERROR(FIND(",",$C1207)),$C1207,LEFT($C1207,FIND(",",$C1207)-1))))</f>
        <v/>
      </c>
      <c r="M1207" s="28">
        <f>IF($H1207="","",DATE(YEAR($H1207),MONTH($H1207),1))</f>
        <v/>
      </c>
      <c r="N1207" s="26">
        <f>IF($H1207="","",TODAY()-$H1207)</f>
        <v/>
      </c>
      <c r="O1207" s="15" t="n"/>
      <c r="P1207" s="26">
        <f>IF($A1207="","",COUNTIFS('Audit Versions'!$A$6:$A$605,$A1207,'Audit Versions'!$L$6:$L$605,"Active"))</f>
        <v/>
      </c>
      <c r="Q1207" s="15" t="n"/>
      <c r="R1207" s="26">
        <f>IF(OR($A1207="",$P1207=0),"",MOD(N($Q1207),$P1207)+1)</f>
        <v/>
      </c>
      <c r="S1207" s="15" t="n"/>
      <c r="T1207" s="25" t="n"/>
      <c r="U1207" s="26">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Builder'!$B$12="",N($S1207)&lt;='Assignment Builder'!$B$12)))</f>
        <v/>
      </c>
      <c r="V1207" s="23" t="n"/>
    </row>
    <row r="1208">
      <c r="A1208" s="23" t="n"/>
      <c r="B1208" s="23" t="n"/>
      <c r="C1208" s="24" t="n"/>
      <c r="D1208" s="15" t="n"/>
      <c r="E1208" s="23" t="n"/>
      <c r="F1208" s="15" t="n"/>
      <c r="G1208" s="23" t="n"/>
      <c r="H1208" s="25" t="n"/>
      <c r="I1208" s="15" t="n"/>
      <c r="J1208" s="26">
        <f>IF($A1208="","",LEN($C1208)-LEN(SUBSTITUTE($C1208,",",""))+1)</f>
        <v/>
      </c>
      <c r="K1208" s="26">
        <f>IF($A1208="","",SUMPRODUCT(--ISNUMBER(SEARCH('Category Dictionary'!$D$5:$D$135&amp;"",$C1208)),--('Category Dictionary'!$D$5:$D$135&lt;&gt;"")))</f>
        <v/>
      </c>
      <c r="L1208" s="27">
        <f>IF($A1208="","",TRIM(IF(ISERROR(FIND(",",$C1208)),$C1208,LEFT($C1208,FIND(",",$C1208)-1))))</f>
        <v/>
      </c>
      <c r="M1208" s="28">
        <f>IF($H1208="","",DATE(YEAR($H1208),MONTH($H1208),1))</f>
        <v/>
      </c>
      <c r="N1208" s="26">
        <f>IF($H1208="","",TODAY()-$H1208)</f>
        <v/>
      </c>
      <c r="O1208" s="15" t="n"/>
      <c r="P1208" s="26">
        <f>IF($A1208="","",COUNTIFS('Audit Versions'!$A$6:$A$605,$A1208,'Audit Versions'!$L$6:$L$605,"Active"))</f>
        <v/>
      </c>
      <c r="Q1208" s="15" t="n"/>
      <c r="R1208" s="26">
        <f>IF(OR($A1208="",$P1208=0),"",MOD(N($Q1208),$P1208)+1)</f>
        <v/>
      </c>
      <c r="S1208" s="15" t="n"/>
      <c r="T1208" s="25" t="n"/>
      <c r="U1208" s="26">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Builder'!$B$12="",N($S1208)&lt;='Assignment Builder'!$B$12)))</f>
        <v/>
      </c>
      <c r="V1208" s="23" t="n"/>
    </row>
    <row r="1209">
      <c r="A1209" s="23" t="n"/>
      <c r="B1209" s="23" t="n"/>
      <c r="C1209" s="24" t="n"/>
      <c r="D1209" s="15" t="n"/>
      <c r="E1209" s="23" t="n"/>
      <c r="F1209" s="15" t="n"/>
      <c r="G1209" s="23" t="n"/>
      <c r="H1209" s="25" t="n"/>
      <c r="I1209" s="15" t="n"/>
      <c r="J1209" s="26">
        <f>IF($A1209="","",LEN($C1209)-LEN(SUBSTITUTE($C1209,",",""))+1)</f>
        <v/>
      </c>
      <c r="K1209" s="26">
        <f>IF($A1209="","",SUMPRODUCT(--ISNUMBER(SEARCH('Category Dictionary'!$D$5:$D$135&amp;"",$C1209)),--('Category Dictionary'!$D$5:$D$135&lt;&gt;"")))</f>
        <v/>
      </c>
      <c r="L1209" s="27">
        <f>IF($A1209="","",TRIM(IF(ISERROR(FIND(",",$C1209)),$C1209,LEFT($C1209,FIND(",",$C1209)-1))))</f>
        <v/>
      </c>
      <c r="M1209" s="28">
        <f>IF($H1209="","",DATE(YEAR($H1209),MONTH($H1209),1))</f>
        <v/>
      </c>
      <c r="N1209" s="26">
        <f>IF($H1209="","",TODAY()-$H1209)</f>
        <v/>
      </c>
      <c r="O1209" s="15" t="n"/>
      <c r="P1209" s="26">
        <f>IF($A1209="","",COUNTIFS('Audit Versions'!$A$6:$A$605,$A1209,'Audit Versions'!$L$6:$L$605,"Active"))</f>
        <v/>
      </c>
      <c r="Q1209" s="15" t="n"/>
      <c r="R1209" s="26">
        <f>IF(OR($A1209="",$P1209=0),"",MOD(N($Q1209),$P1209)+1)</f>
        <v/>
      </c>
      <c r="S1209" s="15" t="n"/>
      <c r="T1209" s="25" t="n"/>
      <c r="U1209" s="26">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Builder'!$B$12="",N($S1209)&lt;='Assignment Builder'!$B$12)))</f>
        <v/>
      </c>
      <c r="V1209" s="23" t="n"/>
    </row>
    <row r="1210">
      <c r="A1210" s="23" t="n"/>
      <c r="B1210" s="23" t="n"/>
      <c r="C1210" s="24" t="n"/>
      <c r="D1210" s="15" t="n"/>
      <c r="E1210" s="23" t="n"/>
      <c r="F1210" s="15" t="n"/>
      <c r="G1210" s="23" t="n"/>
      <c r="H1210" s="25" t="n"/>
      <c r="I1210" s="15" t="n"/>
      <c r="J1210" s="26">
        <f>IF($A1210="","",LEN($C1210)-LEN(SUBSTITUTE($C1210,",",""))+1)</f>
        <v/>
      </c>
      <c r="K1210" s="26">
        <f>IF($A1210="","",SUMPRODUCT(--ISNUMBER(SEARCH('Category Dictionary'!$D$5:$D$135&amp;"",$C1210)),--('Category Dictionary'!$D$5:$D$135&lt;&gt;"")))</f>
        <v/>
      </c>
      <c r="L1210" s="27">
        <f>IF($A1210="","",TRIM(IF(ISERROR(FIND(",",$C1210)),$C1210,LEFT($C1210,FIND(",",$C1210)-1))))</f>
        <v/>
      </c>
      <c r="M1210" s="28">
        <f>IF($H1210="","",DATE(YEAR($H1210),MONTH($H1210),1))</f>
        <v/>
      </c>
      <c r="N1210" s="26">
        <f>IF($H1210="","",TODAY()-$H1210)</f>
        <v/>
      </c>
      <c r="O1210" s="15" t="n"/>
      <c r="P1210" s="26">
        <f>IF($A1210="","",COUNTIFS('Audit Versions'!$A$6:$A$605,$A1210,'Audit Versions'!$L$6:$L$605,"Active"))</f>
        <v/>
      </c>
      <c r="Q1210" s="15" t="n"/>
      <c r="R1210" s="26">
        <f>IF(OR($A1210="",$P1210=0),"",MOD(N($Q1210),$P1210)+1)</f>
        <v/>
      </c>
      <c r="S1210" s="15" t="n"/>
      <c r="T1210" s="25" t="n"/>
      <c r="U1210" s="26">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Builder'!$B$12="",N($S1210)&lt;='Assignment Builder'!$B$12)))</f>
        <v/>
      </c>
      <c r="V1210" s="23" t="n"/>
    </row>
    <row r="1211">
      <c r="A1211" s="23" t="n"/>
      <c r="B1211" s="23" t="n"/>
      <c r="C1211" s="24" t="n"/>
      <c r="D1211" s="15" t="n"/>
      <c r="E1211" s="23" t="n"/>
      <c r="F1211" s="15" t="n"/>
      <c r="G1211" s="23" t="n"/>
      <c r="H1211" s="25" t="n"/>
      <c r="I1211" s="15" t="n"/>
      <c r="J1211" s="26">
        <f>IF($A1211="","",LEN($C1211)-LEN(SUBSTITUTE($C1211,",",""))+1)</f>
        <v/>
      </c>
      <c r="K1211" s="26">
        <f>IF($A1211="","",SUMPRODUCT(--ISNUMBER(SEARCH('Category Dictionary'!$D$5:$D$135&amp;"",$C1211)),--('Category Dictionary'!$D$5:$D$135&lt;&gt;"")))</f>
        <v/>
      </c>
      <c r="L1211" s="27">
        <f>IF($A1211="","",TRIM(IF(ISERROR(FIND(",",$C1211)),$C1211,LEFT($C1211,FIND(",",$C1211)-1))))</f>
        <v/>
      </c>
      <c r="M1211" s="28">
        <f>IF($H1211="","",DATE(YEAR($H1211),MONTH($H1211),1))</f>
        <v/>
      </c>
      <c r="N1211" s="26">
        <f>IF($H1211="","",TODAY()-$H1211)</f>
        <v/>
      </c>
      <c r="O1211" s="15" t="n"/>
      <c r="P1211" s="26">
        <f>IF($A1211="","",COUNTIFS('Audit Versions'!$A$6:$A$605,$A1211,'Audit Versions'!$L$6:$L$605,"Active"))</f>
        <v/>
      </c>
      <c r="Q1211" s="15" t="n"/>
      <c r="R1211" s="26">
        <f>IF(OR($A1211="",$P1211=0),"",MOD(N($Q1211),$P1211)+1)</f>
        <v/>
      </c>
      <c r="S1211" s="15" t="n"/>
      <c r="T1211" s="25" t="n"/>
      <c r="U1211" s="26">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Builder'!$B$12="",N($S1211)&lt;='Assignment Builder'!$B$12)))</f>
        <v/>
      </c>
      <c r="V1211" s="23" t="n"/>
    </row>
    <row r="1212">
      <c r="A1212" s="23" t="n"/>
      <c r="B1212" s="23" t="n"/>
      <c r="C1212" s="24" t="n"/>
      <c r="D1212" s="15" t="n"/>
      <c r="E1212" s="23" t="n"/>
      <c r="F1212" s="15" t="n"/>
      <c r="G1212" s="23" t="n"/>
      <c r="H1212" s="25" t="n"/>
      <c r="I1212" s="15" t="n"/>
      <c r="J1212" s="26">
        <f>IF($A1212="","",LEN($C1212)-LEN(SUBSTITUTE($C1212,",",""))+1)</f>
        <v/>
      </c>
      <c r="K1212" s="26">
        <f>IF($A1212="","",SUMPRODUCT(--ISNUMBER(SEARCH('Category Dictionary'!$D$5:$D$135&amp;"",$C1212)),--('Category Dictionary'!$D$5:$D$135&lt;&gt;"")))</f>
        <v/>
      </c>
      <c r="L1212" s="27">
        <f>IF($A1212="","",TRIM(IF(ISERROR(FIND(",",$C1212)),$C1212,LEFT($C1212,FIND(",",$C1212)-1))))</f>
        <v/>
      </c>
      <c r="M1212" s="28">
        <f>IF($H1212="","",DATE(YEAR($H1212),MONTH($H1212),1))</f>
        <v/>
      </c>
      <c r="N1212" s="26">
        <f>IF($H1212="","",TODAY()-$H1212)</f>
        <v/>
      </c>
      <c r="O1212" s="15" t="n"/>
      <c r="P1212" s="26">
        <f>IF($A1212="","",COUNTIFS('Audit Versions'!$A$6:$A$605,$A1212,'Audit Versions'!$L$6:$L$605,"Active"))</f>
        <v/>
      </c>
      <c r="Q1212" s="15" t="n"/>
      <c r="R1212" s="26">
        <f>IF(OR($A1212="",$P1212=0),"",MOD(N($Q1212),$P1212)+1)</f>
        <v/>
      </c>
      <c r="S1212" s="15" t="n"/>
      <c r="T1212" s="25" t="n"/>
      <c r="U1212" s="26">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Builder'!$B$12="",N($S1212)&lt;='Assignment Builder'!$B$12)))</f>
        <v/>
      </c>
      <c r="V1212" s="23" t="n"/>
    </row>
    <row r="1213">
      <c r="A1213" s="23" t="n"/>
      <c r="B1213" s="23" t="n"/>
      <c r="C1213" s="24" t="n"/>
      <c r="D1213" s="15" t="n"/>
      <c r="E1213" s="23" t="n"/>
      <c r="F1213" s="15" t="n"/>
      <c r="G1213" s="23" t="n"/>
      <c r="H1213" s="25" t="n"/>
      <c r="I1213" s="15" t="n"/>
      <c r="J1213" s="26">
        <f>IF($A1213="","",LEN($C1213)-LEN(SUBSTITUTE($C1213,",",""))+1)</f>
        <v/>
      </c>
      <c r="K1213" s="26">
        <f>IF($A1213="","",SUMPRODUCT(--ISNUMBER(SEARCH('Category Dictionary'!$D$5:$D$135&amp;"",$C1213)),--('Category Dictionary'!$D$5:$D$135&lt;&gt;"")))</f>
        <v/>
      </c>
      <c r="L1213" s="27">
        <f>IF($A1213="","",TRIM(IF(ISERROR(FIND(",",$C1213)),$C1213,LEFT($C1213,FIND(",",$C1213)-1))))</f>
        <v/>
      </c>
      <c r="M1213" s="28">
        <f>IF($H1213="","",DATE(YEAR($H1213),MONTH($H1213),1))</f>
        <v/>
      </c>
      <c r="N1213" s="26">
        <f>IF($H1213="","",TODAY()-$H1213)</f>
        <v/>
      </c>
      <c r="O1213" s="15" t="n"/>
      <c r="P1213" s="26">
        <f>IF($A1213="","",COUNTIFS('Audit Versions'!$A$6:$A$605,$A1213,'Audit Versions'!$L$6:$L$605,"Active"))</f>
        <v/>
      </c>
      <c r="Q1213" s="15" t="n"/>
      <c r="R1213" s="26">
        <f>IF(OR($A1213="",$P1213=0),"",MOD(N($Q1213),$P1213)+1)</f>
        <v/>
      </c>
      <c r="S1213" s="15" t="n"/>
      <c r="T1213" s="25" t="n"/>
      <c r="U1213" s="26">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Builder'!$B$12="",N($S1213)&lt;='Assignment Builder'!$B$12)))</f>
        <v/>
      </c>
      <c r="V1213" s="23" t="n"/>
    </row>
    <row r="1214">
      <c r="A1214" s="23" t="n"/>
      <c r="B1214" s="23" t="n"/>
      <c r="C1214" s="24" t="n"/>
      <c r="D1214" s="15" t="n"/>
      <c r="E1214" s="23" t="n"/>
      <c r="F1214" s="15" t="n"/>
      <c r="G1214" s="23" t="n"/>
      <c r="H1214" s="25" t="n"/>
      <c r="I1214" s="15" t="n"/>
      <c r="J1214" s="26">
        <f>IF($A1214="","",LEN($C1214)-LEN(SUBSTITUTE($C1214,",",""))+1)</f>
        <v/>
      </c>
      <c r="K1214" s="26">
        <f>IF($A1214="","",SUMPRODUCT(--ISNUMBER(SEARCH('Category Dictionary'!$D$5:$D$135&amp;"",$C1214)),--('Category Dictionary'!$D$5:$D$135&lt;&gt;"")))</f>
        <v/>
      </c>
      <c r="L1214" s="27">
        <f>IF($A1214="","",TRIM(IF(ISERROR(FIND(",",$C1214)),$C1214,LEFT($C1214,FIND(",",$C1214)-1))))</f>
        <v/>
      </c>
      <c r="M1214" s="28">
        <f>IF($H1214="","",DATE(YEAR($H1214),MONTH($H1214),1))</f>
        <v/>
      </c>
      <c r="N1214" s="26">
        <f>IF($H1214="","",TODAY()-$H1214)</f>
        <v/>
      </c>
      <c r="O1214" s="15" t="n"/>
      <c r="P1214" s="26">
        <f>IF($A1214="","",COUNTIFS('Audit Versions'!$A$6:$A$605,$A1214,'Audit Versions'!$L$6:$L$605,"Active"))</f>
        <v/>
      </c>
      <c r="Q1214" s="15" t="n"/>
      <c r="R1214" s="26">
        <f>IF(OR($A1214="",$P1214=0),"",MOD(N($Q1214),$P1214)+1)</f>
        <v/>
      </c>
      <c r="S1214" s="15" t="n"/>
      <c r="T1214" s="25" t="n"/>
      <c r="U1214" s="26">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Builder'!$B$12="",N($S1214)&lt;='Assignment Builder'!$B$12)))</f>
        <v/>
      </c>
      <c r="V1214" s="23" t="n"/>
    </row>
    <row r="1215">
      <c r="A1215" s="23" t="n"/>
      <c r="B1215" s="23" t="n"/>
      <c r="C1215" s="24" t="n"/>
      <c r="D1215" s="15" t="n"/>
      <c r="E1215" s="23" t="n"/>
      <c r="F1215" s="15" t="n"/>
      <c r="G1215" s="23" t="n"/>
      <c r="H1215" s="25" t="n"/>
      <c r="I1215" s="15" t="n"/>
      <c r="J1215" s="26">
        <f>IF($A1215="","",LEN($C1215)-LEN(SUBSTITUTE($C1215,",",""))+1)</f>
        <v/>
      </c>
      <c r="K1215" s="26">
        <f>IF($A1215="","",SUMPRODUCT(--ISNUMBER(SEARCH('Category Dictionary'!$D$5:$D$135&amp;"",$C1215)),--('Category Dictionary'!$D$5:$D$135&lt;&gt;"")))</f>
        <v/>
      </c>
      <c r="L1215" s="27">
        <f>IF($A1215="","",TRIM(IF(ISERROR(FIND(",",$C1215)),$C1215,LEFT($C1215,FIND(",",$C1215)-1))))</f>
        <v/>
      </c>
      <c r="M1215" s="28">
        <f>IF($H1215="","",DATE(YEAR($H1215),MONTH($H1215),1))</f>
        <v/>
      </c>
      <c r="N1215" s="26">
        <f>IF($H1215="","",TODAY()-$H1215)</f>
        <v/>
      </c>
      <c r="O1215" s="15" t="n"/>
      <c r="P1215" s="26">
        <f>IF($A1215="","",COUNTIFS('Audit Versions'!$A$6:$A$605,$A1215,'Audit Versions'!$L$6:$L$605,"Active"))</f>
        <v/>
      </c>
      <c r="Q1215" s="15" t="n"/>
      <c r="R1215" s="26">
        <f>IF(OR($A1215="",$P1215=0),"",MOD(N($Q1215),$P1215)+1)</f>
        <v/>
      </c>
      <c r="S1215" s="15" t="n"/>
      <c r="T1215" s="25" t="n"/>
      <c r="U1215" s="26">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Builder'!$B$12="",N($S1215)&lt;='Assignment Builder'!$B$12)))</f>
        <v/>
      </c>
      <c r="V1215" s="23" t="n"/>
    </row>
    <row r="1216">
      <c r="A1216" s="23" t="n"/>
      <c r="B1216" s="23" t="n"/>
      <c r="C1216" s="24" t="n"/>
      <c r="D1216" s="15" t="n"/>
      <c r="E1216" s="23" t="n"/>
      <c r="F1216" s="15" t="n"/>
      <c r="G1216" s="23" t="n"/>
      <c r="H1216" s="25" t="n"/>
      <c r="I1216" s="15" t="n"/>
      <c r="J1216" s="26">
        <f>IF($A1216="","",LEN($C1216)-LEN(SUBSTITUTE($C1216,",",""))+1)</f>
        <v/>
      </c>
      <c r="K1216" s="26">
        <f>IF($A1216="","",SUMPRODUCT(--ISNUMBER(SEARCH('Category Dictionary'!$D$5:$D$135&amp;"",$C1216)),--('Category Dictionary'!$D$5:$D$135&lt;&gt;"")))</f>
        <v/>
      </c>
      <c r="L1216" s="27">
        <f>IF($A1216="","",TRIM(IF(ISERROR(FIND(",",$C1216)),$C1216,LEFT($C1216,FIND(",",$C1216)-1))))</f>
        <v/>
      </c>
      <c r="M1216" s="28">
        <f>IF($H1216="","",DATE(YEAR($H1216),MONTH($H1216),1))</f>
        <v/>
      </c>
      <c r="N1216" s="26">
        <f>IF($H1216="","",TODAY()-$H1216)</f>
        <v/>
      </c>
      <c r="O1216" s="15" t="n"/>
      <c r="P1216" s="26">
        <f>IF($A1216="","",COUNTIFS('Audit Versions'!$A$6:$A$605,$A1216,'Audit Versions'!$L$6:$L$605,"Active"))</f>
        <v/>
      </c>
      <c r="Q1216" s="15" t="n"/>
      <c r="R1216" s="26">
        <f>IF(OR($A1216="",$P1216=0),"",MOD(N($Q1216),$P1216)+1)</f>
        <v/>
      </c>
      <c r="S1216" s="15" t="n"/>
      <c r="T1216" s="25" t="n"/>
      <c r="U1216" s="26">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Builder'!$B$12="",N($S1216)&lt;='Assignment Builder'!$B$12)))</f>
        <v/>
      </c>
      <c r="V1216" s="23" t="n"/>
    </row>
    <row r="1217">
      <c r="A1217" s="23" t="n"/>
      <c r="B1217" s="23" t="n"/>
      <c r="C1217" s="24" t="n"/>
      <c r="D1217" s="15" t="n"/>
      <c r="E1217" s="23" t="n"/>
      <c r="F1217" s="15" t="n"/>
      <c r="G1217" s="23" t="n"/>
      <c r="H1217" s="25" t="n"/>
      <c r="I1217" s="15" t="n"/>
      <c r="J1217" s="26">
        <f>IF($A1217="","",LEN($C1217)-LEN(SUBSTITUTE($C1217,",",""))+1)</f>
        <v/>
      </c>
      <c r="K1217" s="26">
        <f>IF($A1217="","",SUMPRODUCT(--ISNUMBER(SEARCH('Category Dictionary'!$D$5:$D$135&amp;"",$C1217)),--('Category Dictionary'!$D$5:$D$135&lt;&gt;"")))</f>
        <v/>
      </c>
      <c r="L1217" s="27">
        <f>IF($A1217="","",TRIM(IF(ISERROR(FIND(",",$C1217)),$C1217,LEFT($C1217,FIND(",",$C1217)-1))))</f>
        <v/>
      </c>
      <c r="M1217" s="28">
        <f>IF($H1217="","",DATE(YEAR($H1217),MONTH($H1217),1))</f>
        <v/>
      </c>
      <c r="N1217" s="26">
        <f>IF($H1217="","",TODAY()-$H1217)</f>
        <v/>
      </c>
      <c r="O1217" s="15" t="n"/>
      <c r="P1217" s="26">
        <f>IF($A1217="","",COUNTIFS('Audit Versions'!$A$6:$A$605,$A1217,'Audit Versions'!$L$6:$L$605,"Active"))</f>
        <v/>
      </c>
      <c r="Q1217" s="15" t="n"/>
      <c r="R1217" s="26">
        <f>IF(OR($A1217="",$P1217=0),"",MOD(N($Q1217),$P1217)+1)</f>
        <v/>
      </c>
      <c r="S1217" s="15" t="n"/>
      <c r="T1217" s="25" t="n"/>
      <c r="U1217" s="26">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Builder'!$B$12="",N($S1217)&lt;='Assignment Builder'!$B$12)))</f>
        <v/>
      </c>
      <c r="V1217" s="23" t="n"/>
    </row>
    <row r="1218">
      <c r="A1218" s="23" t="n"/>
      <c r="B1218" s="23" t="n"/>
      <c r="C1218" s="24" t="n"/>
      <c r="D1218" s="15" t="n"/>
      <c r="E1218" s="23" t="n"/>
      <c r="F1218" s="15" t="n"/>
      <c r="G1218" s="23" t="n"/>
      <c r="H1218" s="25" t="n"/>
      <c r="I1218" s="15" t="n"/>
      <c r="J1218" s="26">
        <f>IF($A1218="","",LEN($C1218)-LEN(SUBSTITUTE($C1218,",",""))+1)</f>
        <v/>
      </c>
      <c r="K1218" s="26">
        <f>IF($A1218="","",SUMPRODUCT(--ISNUMBER(SEARCH('Category Dictionary'!$D$5:$D$135&amp;"",$C1218)),--('Category Dictionary'!$D$5:$D$135&lt;&gt;"")))</f>
        <v/>
      </c>
      <c r="L1218" s="27">
        <f>IF($A1218="","",TRIM(IF(ISERROR(FIND(",",$C1218)),$C1218,LEFT($C1218,FIND(",",$C1218)-1))))</f>
        <v/>
      </c>
      <c r="M1218" s="28">
        <f>IF($H1218="","",DATE(YEAR($H1218),MONTH($H1218),1))</f>
        <v/>
      </c>
      <c r="N1218" s="26">
        <f>IF($H1218="","",TODAY()-$H1218)</f>
        <v/>
      </c>
      <c r="O1218" s="15" t="n"/>
      <c r="P1218" s="26">
        <f>IF($A1218="","",COUNTIFS('Audit Versions'!$A$6:$A$605,$A1218,'Audit Versions'!$L$6:$L$605,"Active"))</f>
        <v/>
      </c>
      <c r="Q1218" s="15" t="n"/>
      <c r="R1218" s="26">
        <f>IF(OR($A1218="",$P1218=0),"",MOD(N($Q1218),$P1218)+1)</f>
        <v/>
      </c>
      <c r="S1218" s="15" t="n"/>
      <c r="T1218" s="25" t="n"/>
      <c r="U1218" s="26">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Builder'!$B$12="",N($S1218)&lt;='Assignment Builder'!$B$12)))</f>
        <v/>
      </c>
      <c r="V1218" s="23" t="n"/>
    </row>
    <row r="1219">
      <c r="A1219" s="23" t="n"/>
      <c r="B1219" s="23" t="n"/>
      <c r="C1219" s="24" t="n"/>
      <c r="D1219" s="15" t="n"/>
      <c r="E1219" s="23" t="n"/>
      <c r="F1219" s="15" t="n"/>
      <c r="G1219" s="23" t="n"/>
      <c r="H1219" s="25" t="n"/>
      <c r="I1219" s="15" t="n"/>
      <c r="J1219" s="26">
        <f>IF($A1219="","",LEN($C1219)-LEN(SUBSTITUTE($C1219,",",""))+1)</f>
        <v/>
      </c>
      <c r="K1219" s="26">
        <f>IF($A1219="","",SUMPRODUCT(--ISNUMBER(SEARCH('Category Dictionary'!$D$5:$D$135&amp;"",$C1219)),--('Category Dictionary'!$D$5:$D$135&lt;&gt;"")))</f>
        <v/>
      </c>
      <c r="L1219" s="27">
        <f>IF($A1219="","",TRIM(IF(ISERROR(FIND(",",$C1219)),$C1219,LEFT($C1219,FIND(",",$C1219)-1))))</f>
        <v/>
      </c>
      <c r="M1219" s="28">
        <f>IF($H1219="","",DATE(YEAR($H1219),MONTH($H1219),1))</f>
        <v/>
      </c>
      <c r="N1219" s="26">
        <f>IF($H1219="","",TODAY()-$H1219)</f>
        <v/>
      </c>
      <c r="O1219" s="15" t="n"/>
      <c r="P1219" s="26">
        <f>IF($A1219="","",COUNTIFS('Audit Versions'!$A$6:$A$605,$A1219,'Audit Versions'!$L$6:$L$605,"Active"))</f>
        <v/>
      </c>
      <c r="Q1219" s="15" t="n"/>
      <c r="R1219" s="26">
        <f>IF(OR($A1219="",$P1219=0),"",MOD(N($Q1219),$P1219)+1)</f>
        <v/>
      </c>
      <c r="S1219" s="15" t="n"/>
      <c r="T1219" s="25" t="n"/>
      <c r="U1219" s="26">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Builder'!$B$12="",N($S1219)&lt;='Assignment Builder'!$B$12)))</f>
        <v/>
      </c>
      <c r="V1219" s="23" t="n"/>
    </row>
    <row r="1220">
      <c r="A1220" s="23" t="n"/>
      <c r="B1220" s="23" t="n"/>
      <c r="C1220" s="24" t="n"/>
      <c r="D1220" s="15" t="n"/>
      <c r="E1220" s="23" t="n"/>
      <c r="F1220" s="15" t="n"/>
      <c r="G1220" s="23" t="n"/>
      <c r="H1220" s="25" t="n"/>
      <c r="I1220" s="15" t="n"/>
      <c r="J1220" s="26">
        <f>IF($A1220="","",LEN($C1220)-LEN(SUBSTITUTE($C1220,",",""))+1)</f>
        <v/>
      </c>
      <c r="K1220" s="26">
        <f>IF($A1220="","",SUMPRODUCT(--ISNUMBER(SEARCH('Category Dictionary'!$D$5:$D$135&amp;"",$C1220)),--('Category Dictionary'!$D$5:$D$135&lt;&gt;"")))</f>
        <v/>
      </c>
      <c r="L1220" s="27">
        <f>IF($A1220="","",TRIM(IF(ISERROR(FIND(",",$C1220)),$C1220,LEFT($C1220,FIND(",",$C1220)-1))))</f>
        <v/>
      </c>
      <c r="M1220" s="28">
        <f>IF($H1220="","",DATE(YEAR($H1220),MONTH($H1220),1))</f>
        <v/>
      </c>
      <c r="N1220" s="26">
        <f>IF($H1220="","",TODAY()-$H1220)</f>
        <v/>
      </c>
      <c r="O1220" s="15" t="n"/>
      <c r="P1220" s="26">
        <f>IF($A1220="","",COUNTIFS('Audit Versions'!$A$6:$A$605,$A1220,'Audit Versions'!$L$6:$L$605,"Active"))</f>
        <v/>
      </c>
      <c r="Q1220" s="15" t="n"/>
      <c r="R1220" s="26">
        <f>IF(OR($A1220="",$P1220=0),"",MOD(N($Q1220),$P1220)+1)</f>
        <v/>
      </c>
      <c r="S1220" s="15" t="n"/>
      <c r="T1220" s="25" t="n"/>
      <c r="U1220" s="26">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Builder'!$B$12="",N($S1220)&lt;='Assignment Builder'!$B$12)))</f>
        <v/>
      </c>
      <c r="V1220" s="23" t="n"/>
    </row>
    <row r="1221">
      <c r="A1221" s="23" t="n"/>
      <c r="B1221" s="23" t="n"/>
      <c r="C1221" s="24" t="n"/>
      <c r="D1221" s="15" t="n"/>
      <c r="E1221" s="23" t="n"/>
      <c r="F1221" s="15" t="n"/>
      <c r="G1221" s="23" t="n"/>
      <c r="H1221" s="25" t="n"/>
      <c r="I1221" s="15" t="n"/>
      <c r="J1221" s="26">
        <f>IF($A1221="","",LEN($C1221)-LEN(SUBSTITUTE($C1221,",",""))+1)</f>
        <v/>
      </c>
      <c r="K1221" s="26">
        <f>IF($A1221="","",SUMPRODUCT(--ISNUMBER(SEARCH('Category Dictionary'!$D$5:$D$135&amp;"",$C1221)),--('Category Dictionary'!$D$5:$D$135&lt;&gt;"")))</f>
        <v/>
      </c>
      <c r="L1221" s="27">
        <f>IF($A1221="","",TRIM(IF(ISERROR(FIND(",",$C1221)),$C1221,LEFT($C1221,FIND(",",$C1221)-1))))</f>
        <v/>
      </c>
      <c r="M1221" s="28">
        <f>IF($H1221="","",DATE(YEAR($H1221),MONTH($H1221),1))</f>
        <v/>
      </c>
      <c r="N1221" s="26">
        <f>IF($H1221="","",TODAY()-$H1221)</f>
        <v/>
      </c>
      <c r="O1221" s="15" t="n"/>
      <c r="P1221" s="26">
        <f>IF($A1221="","",COUNTIFS('Audit Versions'!$A$6:$A$605,$A1221,'Audit Versions'!$L$6:$L$605,"Active"))</f>
        <v/>
      </c>
      <c r="Q1221" s="15" t="n"/>
      <c r="R1221" s="26">
        <f>IF(OR($A1221="",$P1221=0),"",MOD(N($Q1221),$P1221)+1)</f>
        <v/>
      </c>
      <c r="S1221" s="15" t="n"/>
      <c r="T1221" s="25" t="n"/>
      <c r="U1221" s="26">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Builder'!$B$12="",N($S1221)&lt;='Assignment Builder'!$B$12)))</f>
        <v/>
      </c>
      <c r="V1221" s="23" t="n"/>
    </row>
    <row r="1222">
      <c r="A1222" s="23" t="n"/>
      <c r="B1222" s="23" t="n"/>
      <c r="C1222" s="24" t="n"/>
      <c r="D1222" s="15" t="n"/>
      <c r="E1222" s="23" t="n"/>
      <c r="F1222" s="15" t="n"/>
      <c r="G1222" s="23" t="n"/>
      <c r="H1222" s="25" t="n"/>
      <c r="I1222" s="15" t="n"/>
      <c r="J1222" s="26">
        <f>IF($A1222="","",LEN($C1222)-LEN(SUBSTITUTE($C1222,",",""))+1)</f>
        <v/>
      </c>
      <c r="K1222" s="26">
        <f>IF($A1222="","",SUMPRODUCT(--ISNUMBER(SEARCH('Category Dictionary'!$D$5:$D$135&amp;"",$C1222)),--('Category Dictionary'!$D$5:$D$135&lt;&gt;"")))</f>
        <v/>
      </c>
      <c r="L1222" s="27">
        <f>IF($A1222="","",TRIM(IF(ISERROR(FIND(",",$C1222)),$C1222,LEFT($C1222,FIND(",",$C1222)-1))))</f>
        <v/>
      </c>
      <c r="M1222" s="28">
        <f>IF($H1222="","",DATE(YEAR($H1222),MONTH($H1222),1))</f>
        <v/>
      </c>
      <c r="N1222" s="26">
        <f>IF($H1222="","",TODAY()-$H1222)</f>
        <v/>
      </c>
      <c r="O1222" s="15" t="n"/>
      <c r="P1222" s="26">
        <f>IF($A1222="","",COUNTIFS('Audit Versions'!$A$6:$A$605,$A1222,'Audit Versions'!$L$6:$L$605,"Active"))</f>
        <v/>
      </c>
      <c r="Q1222" s="15" t="n"/>
      <c r="R1222" s="26">
        <f>IF(OR($A1222="",$P1222=0),"",MOD(N($Q1222),$P1222)+1)</f>
        <v/>
      </c>
      <c r="S1222" s="15" t="n"/>
      <c r="T1222" s="25" t="n"/>
      <c r="U1222" s="26">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Builder'!$B$12="",N($S1222)&lt;='Assignment Builder'!$B$12)))</f>
        <v/>
      </c>
      <c r="V1222" s="23" t="n"/>
    </row>
    <row r="1223">
      <c r="A1223" s="23" t="n"/>
      <c r="B1223" s="23" t="n"/>
      <c r="C1223" s="24" t="n"/>
      <c r="D1223" s="15" t="n"/>
      <c r="E1223" s="23" t="n"/>
      <c r="F1223" s="15" t="n"/>
      <c r="G1223" s="23" t="n"/>
      <c r="H1223" s="25" t="n"/>
      <c r="I1223" s="15" t="n"/>
      <c r="J1223" s="26">
        <f>IF($A1223="","",LEN($C1223)-LEN(SUBSTITUTE($C1223,",",""))+1)</f>
        <v/>
      </c>
      <c r="K1223" s="26">
        <f>IF($A1223="","",SUMPRODUCT(--ISNUMBER(SEARCH('Category Dictionary'!$D$5:$D$135&amp;"",$C1223)),--('Category Dictionary'!$D$5:$D$135&lt;&gt;"")))</f>
        <v/>
      </c>
      <c r="L1223" s="27">
        <f>IF($A1223="","",TRIM(IF(ISERROR(FIND(",",$C1223)),$C1223,LEFT($C1223,FIND(",",$C1223)-1))))</f>
        <v/>
      </c>
      <c r="M1223" s="28">
        <f>IF($H1223="","",DATE(YEAR($H1223),MONTH($H1223),1))</f>
        <v/>
      </c>
      <c r="N1223" s="26">
        <f>IF($H1223="","",TODAY()-$H1223)</f>
        <v/>
      </c>
      <c r="O1223" s="15" t="n"/>
      <c r="P1223" s="26">
        <f>IF($A1223="","",COUNTIFS('Audit Versions'!$A$6:$A$605,$A1223,'Audit Versions'!$L$6:$L$605,"Active"))</f>
        <v/>
      </c>
      <c r="Q1223" s="15" t="n"/>
      <c r="R1223" s="26">
        <f>IF(OR($A1223="",$P1223=0),"",MOD(N($Q1223),$P1223)+1)</f>
        <v/>
      </c>
      <c r="S1223" s="15" t="n"/>
      <c r="T1223" s="25" t="n"/>
      <c r="U1223" s="26">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Builder'!$B$12="",N($S1223)&lt;='Assignment Builder'!$B$12)))</f>
        <v/>
      </c>
      <c r="V1223" s="23" t="n"/>
    </row>
    <row r="1224">
      <c r="A1224" s="23" t="n"/>
      <c r="B1224" s="23" t="n"/>
      <c r="C1224" s="24" t="n"/>
      <c r="D1224" s="15" t="n"/>
      <c r="E1224" s="23" t="n"/>
      <c r="F1224" s="15" t="n"/>
      <c r="G1224" s="23" t="n"/>
      <c r="H1224" s="25" t="n"/>
      <c r="I1224" s="15" t="n"/>
      <c r="J1224" s="26">
        <f>IF($A1224="","",LEN($C1224)-LEN(SUBSTITUTE($C1224,",",""))+1)</f>
        <v/>
      </c>
      <c r="K1224" s="26">
        <f>IF($A1224="","",SUMPRODUCT(--ISNUMBER(SEARCH('Category Dictionary'!$D$5:$D$135&amp;"",$C1224)),--('Category Dictionary'!$D$5:$D$135&lt;&gt;"")))</f>
        <v/>
      </c>
      <c r="L1224" s="27">
        <f>IF($A1224="","",TRIM(IF(ISERROR(FIND(",",$C1224)),$C1224,LEFT($C1224,FIND(",",$C1224)-1))))</f>
        <v/>
      </c>
      <c r="M1224" s="28">
        <f>IF($H1224="","",DATE(YEAR($H1224),MONTH($H1224),1))</f>
        <v/>
      </c>
      <c r="N1224" s="26">
        <f>IF($H1224="","",TODAY()-$H1224)</f>
        <v/>
      </c>
      <c r="O1224" s="15" t="n"/>
      <c r="P1224" s="26">
        <f>IF($A1224="","",COUNTIFS('Audit Versions'!$A$6:$A$605,$A1224,'Audit Versions'!$L$6:$L$605,"Active"))</f>
        <v/>
      </c>
      <c r="Q1224" s="15" t="n"/>
      <c r="R1224" s="26">
        <f>IF(OR($A1224="",$P1224=0),"",MOD(N($Q1224),$P1224)+1)</f>
        <v/>
      </c>
      <c r="S1224" s="15" t="n"/>
      <c r="T1224" s="25" t="n"/>
      <c r="U1224" s="26">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Builder'!$B$12="",N($S1224)&lt;='Assignment Builder'!$B$12)))</f>
        <v/>
      </c>
      <c r="V1224" s="23" t="n"/>
    </row>
    <row r="1225">
      <c r="A1225" s="23" t="n"/>
      <c r="B1225" s="23" t="n"/>
      <c r="C1225" s="24" t="n"/>
      <c r="D1225" s="15" t="n"/>
      <c r="E1225" s="23" t="n"/>
      <c r="F1225" s="15" t="n"/>
      <c r="G1225" s="23" t="n"/>
      <c r="H1225" s="25" t="n"/>
      <c r="I1225" s="15" t="n"/>
      <c r="J1225" s="26">
        <f>IF($A1225="","",LEN($C1225)-LEN(SUBSTITUTE($C1225,",",""))+1)</f>
        <v/>
      </c>
      <c r="K1225" s="26">
        <f>IF($A1225="","",SUMPRODUCT(--ISNUMBER(SEARCH('Category Dictionary'!$D$5:$D$135&amp;"",$C1225)),--('Category Dictionary'!$D$5:$D$135&lt;&gt;"")))</f>
        <v/>
      </c>
      <c r="L1225" s="27">
        <f>IF($A1225="","",TRIM(IF(ISERROR(FIND(",",$C1225)),$C1225,LEFT($C1225,FIND(",",$C1225)-1))))</f>
        <v/>
      </c>
      <c r="M1225" s="28">
        <f>IF($H1225="","",DATE(YEAR($H1225),MONTH($H1225),1))</f>
        <v/>
      </c>
      <c r="N1225" s="26">
        <f>IF($H1225="","",TODAY()-$H1225)</f>
        <v/>
      </c>
      <c r="O1225" s="15" t="n"/>
      <c r="P1225" s="26">
        <f>IF($A1225="","",COUNTIFS('Audit Versions'!$A$6:$A$605,$A1225,'Audit Versions'!$L$6:$L$605,"Active"))</f>
        <v/>
      </c>
      <c r="Q1225" s="15" t="n"/>
      <c r="R1225" s="26">
        <f>IF(OR($A1225="",$P1225=0),"",MOD(N($Q1225),$P1225)+1)</f>
        <v/>
      </c>
      <c r="S1225" s="15" t="n"/>
      <c r="T1225" s="25" t="n"/>
      <c r="U1225" s="26">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Builder'!$B$12="",N($S1225)&lt;='Assignment Builder'!$B$12)))</f>
        <v/>
      </c>
      <c r="V1225" s="23" t="n"/>
    </row>
    <row r="1226">
      <c r="A1226" s="23" t="n"/>
      <c r="B1226" s="23" t="n"/>
      <c r="C1226" s="24" t="n"/>
      <c r="D1226" s="15" t="n"/>
      <c r="E1226" s="23" t="n"/>
      <c r="F1226" s="15" t="n"/>
      <c r="G1226" s="23" t="n"/>
      <c r="H1226" s="25" t="n"/>
      <c r="I1226" s="15" t="n"/>
      <c r="J1226" s="26">
        <f>IF($A1226="","",LEN($C1226)-LEN(SUBSTITUTE($C1226,",",""))+1)</f>
        <v/>
      </c>
      <c r="K1226" s="26">
        <f>IF($A1226="","",SUMPRODUCT(--ISNUMBER(SEARCH('Category Dictionary'!$D$5:$D$135&amp;"",$C1226)),--('Category Dictionary'!$D$5:$D$135&lt;&gt;"")))</f>
        <v/>
      </c>
      <c r="L1226" s="27">
        <f>IF($A1226="","",TRIM(IF(ISERROR(FIND(",",$C1226)),$C1226,LEFT($C1226,FIND(",",$C1226)-1))))</f>
        <v/>
      </c>
      <c r="M1226" s="28">
        <f>IF($H1226="","",DATE(YEAR($H1226),MONTH($H1226),1))</f>
        <v/>
      </c>
      <c r="N1226" s="26">
        <f>IF($H1226="","",TODAY()-$H1226)</f>
        <v/>
      </c>
      <c r="O1226" s="15" t="n"/>
      <c r="P1226" s="26">
        <f>IF($A1226="","",COUNTIFS('Audit Versions'!$A$6:$A$605,$A1226,'Audit Versions'!$L$6:$L$605,"Active"))</f>
        <v/>
      </c>
      <c r="Q1226" s="15" t="n"/>
      <c r="R1226" s="26">
        <f>IF(OR($A1226="",$P1226=0),"",MOD(N($Q1226),$P1226)+1)</f>
        <v/>
      </c>
      <c r="S1226" s="15" t="n"/>
      <c r="T1226" s="25" t="n"/>
      <c r="U1226" s="26">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Builder'!$B$12="",N($S1226)&lt;='Assignment Builder'!$B$12)))</f>
        <v/>
      </c>
      <c r="V1226" s="23" t="n"/>
    </row>
    <row r="1227">
      <c r="A1227" s="23" t="n"/>
      <c r="B1227" s="23" t="n"/>
      <c r="C1227" s="24" t="n"/>
      <c r="D1227" s="15" t="n"/>
      <c r="E1227" s="23" t="n"/>
      <c r="F1227" s="15" t="n"/>
      <c r="G1227" s="23" t="n"/>
      <c r="H1227" s="25" t="n"/>
      <c r="I1227" s="15" t="n"/>
      <c r="J1227" s="26">
        <f>IF($A1227="","",LEN($C1227)-LEN(SUBSTITUTE($C1227,",",""))+1)</f>
        <v/>
      </c>
      <c r="K1227" s="26">
        <f>IF($A1227="","",SUMPRODUCT(--ISNUMBER(SEARCH('Category Dictionary'!$D$5:$D$135&amp;"",$C1227)),--('Category Dictionary'!$D$5:$D$135&lt;&gt;"")))</f>
        <v/>
      </c>
      <c r="L1227" s="27">
        <f>IF($A1227="","",TRIM(IF(ISERROR(FIND(",",$C1227)),$C1227,LEFT($C1227,FIND(",",$C1227)-1))))</f>
        <v/>
      </c>
      <c r="M1227" s="28">
        <f>IF($H1227="","",DATE(YEAR($H1227),MONTH($H1227),1))</f>
        <v/>
      </c>
      <c r="N1227" s="26">
        <f>IF($H1227="","",TODAY()-$H1227)</f>
        <v/>
      </c>
      <c r="O1227" s="15" t="n"/>
      <c r="P1227" s="26">
        <f>IF($A1227="","",COUNTIFS('Audit Versions'!$A$6:$A$605,$A1227,'Audit Versions'!$L$6:$L$605,"Active"))</f>
        <v/>
      </c>
      <c r="Q1227" s="15" t="n"/>
      <c r="R1227" s="26">
        <f>IF(OR($A1227="",$P1227=0),"",MOD(N($Q1227),$P1227)+1)</f>
        <v/>
      </c>
      <c r="S1227" s="15" t="n"/>
      <c r="T1227" s="25" t="n"/>
      <c r="U1227" s="26">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Builder'!$B$12="",N($S1227)&lt;='Assignment Builder'!$B$12)))</f>
        <v/>
      </c>
      <c r="V1227" s="23" t="n"/>
    </row>
    <row r="1228">
      <c r="A1228" s="23" t="n"/>
      <c r="B1228" s="23" t="n"/>
      <c r="C1228" s="24" t="n"/>
      <c r="D1228" s="15" t="n"/>
      <c r="E1228" s="23" t="n"/>
      <c r="F1228" s="15" t="n"/>
      <c r="G1228" s="23" t="n"/>
      <c r="H1228" s="25" t="n"/>
      <c r="I1228" s="15" t="n"/>
      <c r="J1228" s="26">
        <f>IF($A1228="","",LEN($C1228)-LEN(SUBSTITUTE($C1228,",",""))+1)</f>
        <v/>
      </c>
      <c r="K1228" s="26">
        <f>IF($A1228="","",SUMPRODUCT(--ISNUMBER(SEARCH('Category Dictionary'!$D$5:$D$135&amp;"",$C1228)),--('Category Dictionary'!$D$5:$D$135&lt;&gt;"")))</f>
        <v/>
      </c>
      <c r="L1228" s="27">
        <f>IF($A1228="","",TRIM(IF(ISERROR(FIND(",",$C1228)),$C1228,LEFT($C1228,FIND(",",$C1228)-1))))</f>
        <v/>
      </c>
      <c r="M1228" s="28">
        <f>IF($H1228="","",DATE(YEAR($H1228),MONTH($H1228),1))</f>
        <v/>
      </c>
      <c r="N1228" s="26">
        <f>IF($H1228="","",TODAY()-$H1228)</f>
        <v/>
      </c>
      <c r="O1228" s="15" t="n"/>
      <c r="P1228" s="26">
        <f>IF($A1228="","",COUNTIFS('Audit Versions'!$A$6:$A$605,$A1228,'Audit Versions'!$L$6:$L$605,"Active"))</f>
        <v/>
      </c>
      <c r="Q1228" s="15" t="n"/>
      <c r="R1228" s="26">
        <f>IF(OR($A1228="",$P1228=0),"",MOD(N($Q1228),$P1228)+1)</f>
        <v/>
      </c>
      <c r="S1228" s="15" t="n"/>
      <c r="T1228" s="25" t="n"/>
      <c r="U1228" s="26">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Builder'!$B$12="",N($S1228)&lt;='Assignment Builder'!$B$12)))</f>
        <v/>
      </c>
      <c r="V1228" s="23" t="n"/>
    </row>
    <row r="1229">
      <c r="A1229" s="23" t="n"/>
      <c r="B1229" s="23" t="n"/>
      <c r="C1229" s="24" t="n"/>
      <c r="D1229" s="15" t="n"/>
      <c r="E1229" s="23" t="n"/>
      <c r="F1229" s="15" t="n"/>
      <c r="G1229" s="23" t="n"/>
      <c r="H1229" s="25" t="n"/>
      <c r="I1229" s="15" t="n"/>
      <c r="J1229" s="26">
        <f>IF($A1229="","",LEN($C1229)-LEN(SUBSTITUTE($C1229,",",""))+1)</f>
        <v/>
      </c>
      <c r="K1229" s="26">
        <f>IF($A1229="","",SUMPRODUCT(--ISNUMBER(SEARCH('Category Dictionary'!$D$5:$D$135&amp;"",$C1229)),--('Category Dictionary'!$D$5:$D$135&lt;&gt;"")))</f>
        <v/>
      </c>
      <c r="L1229" s="27">
        <f>IF($A1229="","",TRIM(IF(ISERROR(FIND(",",$C1229)),$C1229,LEFT($C1229,FIND(",",$C1229)-1))))</f>
        <v/>
      </c>
      <c r="M1229" s="28">
        <f>IF($H1229="","",DATE(YEAR($H1229),MONTH($H1229),1))</f>
        <v/>
      </c>
      <c r="N1229" s="26">
        <f>IF($H1229="","",TODAY()-$H1229)</f>
        <v/>
      </c>
      <c r="O1229" s="15" t="n"/>
      <c r="P1229" s="26">
        <f>IF($A1229="","",COUNTIFS('Audit Versions'!$A$6:$A$605,$A1229,'Audit Versions'!$L$6:$L$605,"Active"))</f>
        <v/>
      </c>
      <c r="Q1229" s="15" t="n"/>
      <c r="R1229" s="26">
        <f>IF(OR($A1229="",$P1229=0),"",MOD(N($Q1229),$P1229)+1)</f>
        <v/>
      </c>
      <c r="S1229" s="15" t="n"/>
      <c r="T1229" s="25" t="n"/>
      <c r="U1229" s="26">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Builder'!$B$12="",N($S1229)&lt;='Assignment Builder'!$B$12)))</f>
        <v/>
      </c>
      <c r="V1229" s="23" t="n"/>
    </row>
    <row r="1230">
      <c r="A1230" s="23" t="n"/>
      <c r="B1230" s="23" t="n"/>
      <c r="C1230" s="24" t="n"/>
      <c r="D1230" s="15" t="n"/>
      <c r="E1230" s="23" t="n"/>
      <c r="F1230" s="15" t="n"/>
      <c r="G1230" s="23" t="n"/>
      <c r="H1230" s="25" t="n"/>
      <c r="I1230" s="15" t="n"/>
      <c r="J1230" s="26">
        <f>IF($A1230="","",LEN($C1230)-LEN(SUBSTITUTE($C1230,",",""))+1)</f>
        <v/>
      </c>
      <c r="K1230" s="26">
        <f>IF($A1230="","",SUMPRODUCT(--ISNUMBER(SEARCH('Category Dictionary'!$D$5:$D$135&amp;"",$C1230)),--('Category Dictionary'!$D$5:$D$135&lt;&gt;"")))</f>
        <v/>
      </c>
      <c r="L1230" s="27">
        <f>IF($A1230="","",TRIM(IF(ISERROR(FIND(",",$C1230)),$C1230,LEFT($C1230,FIND(",",$C1230)-1))))</f>
        <v/>
      </c>
      <c r="M1230" s="28">
        <f>IF($H1230="","",DATE(YEAR($H1230),MONTH($H1230),1))</f>
        <v/>
      </c>
      <c r="N1230" s="26">
        <f>IF($H1230="","",TODAY()-$H1230)</f>
        <v/>
      </c>
      <c r="O1230" s="15" t="n"/>
      <c r="P1230" s="26">
        <f>IF($A1230="","",COUNTIFS('Audit Versions'!$A$6:$A$605,$A1230,'Audit Versions'!$L$6:$L$605,"Active"))</f>
        <v/>
      </c>
      <c r="Q1230" s="15" t="n"/>
      <c r="R1230" s="26">
        <f>IF(OR($A1230="",$P1230=0),"",MOD(N($Q1230),$P1230)+1)</f>
        <v/>
      </c>
      <c r="S1230" s="15" t="n"/>
      <c r="T1230" s="25" t="n"/>
      <c r="U1230" s="26">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Builder'!$B$12="",N($S1230)&lt;='Assignment Builder'!$B$12)))</f>
        <v/>
      </c>
      <c r="V1230" s="23" t="n"/>
    </row>
    <row r="1231">
      <c r="A1231" s="23" t="n"/>
      <c r="B1231" s="23" t="n"/>
      <c r="C1231" s="24" t="n"/>
      <c r="D1231" s="15" t="n"/>
      <c r="E1231" s="23" t="n"/>
      <c r="F1231" s="15" t="n"/>
      <c r="G1231" s="23" t="n"/>
      <c r="H1231" s="25" t="n"/>
      <c r="I1231" s="15" t="n"/>
      <c r="J1231" s="26">
        <f>IF($A1231="","",LEN($C1231)-LEN(SUBSTITUTE($C1231,",",""))+1)</f>
        <v/>
      </c>
      <c r="K1231" s="26">
        <f>IF($A1231="","",SUMPRODUCT(--ISNUMBER(SEARCH('Category Dictionary'!$D$5:$D$135&amp;"",$C1231)),--('Category Dictionary'!$D$5:$D$135&lt;&gt;"")))</f>
        <v/>
      </c>
      <c r="L1231" s="27">
        <f>IF($A1231="","",TRIM(IF(ISERROR(FIND(",",$C1231)),$C1231,LEFT($C1231,FIND(",",$C1231)-1))))</f>
        <v/>
      </c>
      <c r="M1231" s="28">
        <f>IF($H1231="","",DATE(YEAR($H1231),MONTH($H1231),1))</f>
        <v/>
      </c>
      <c r="N1231" s="26">
        <f>IF($H1231="","",TODAY()-$H1231)</f>
        <v/>
      </c>
      <c r="O1231" s="15" t="n"/>
      <c r="P1231" s="26">
        <f>IF($A1231="","",COUNTIFS('Audit Versions'!$A$6:$A$605,$A1231,'Audit Versions'!$L$6:$L$605,"Active"))</f>
        <v/>
      </c>
      <c r="Q1231" s="15" t="n"/>
      <c r="R1231" s="26">
        <f>IF(OR($A1231="",$P1231=0),"",MOD(N($Q1231),$P1231)+1)</f>
        <v/>
      </c>
      <c r="S1231" s="15" t="n"/>
      <c r="T1231" s="25" t="n"/>
      <c r="U1231" s="26">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Builder'!$B$12="",N($S1231)&lt;='Assignment Builder'!$B$12)))</f>
        <v/>
      </c>
      <c r="V1231" s="23" t="n"/>
    </row>
    <row r="1232">
      <c r="A1232" s="23" t="n"/>
      <c r="B1232" s="23" t="n"/>
      <c r="C1232" s="24" t="n"/>
      <c r="D1232" s="15" t="n"/>
      <c r="E1232" s="23" t="n"/>
      <c r="F1232" s="15" t="n"/>
      <c r="G1232" s="23" t="n"/>
      <c r="H1232" s="25" t="n"/>
      <c r="I1232" s="15" t="n"/>
      <c r="J1232" s="26">
        <f>IF($A1232="","",LEN($C1232)-LEN(SUBSTITUTE($C1232,",",""))+1)</f>
        <v/>
      </c>
      <c r="K1232" s="26">
        <f>IF($A1232="","",SUMPRODUCT(--ISNUMBER(SEARCH('Category Dictionary'!$D$5:$D$135&amp;"",$C1232)),--('Category Dictionary'!$D$5:$D$135&lt;&gt;"")))</f>
        <v/>
      </c>
      <c r="L1232" s="27">
        <f>IF($A1232="","",TRIM(IF(ISERROR(FIND(",",$C1232)),$C1232,LEFT($C1232,FIND(",",$C1232)-1))))</f>
        <v/>
      </c>
      <c r="M1232" s="28">
        <f>IF($H1232="","",DATE(YEAR($H1232),MONTH($H1232),1))</f>
        <v/>
      </c>
      <c r="N1232" s="26">
        <f>IF($H1232="","",TODAY()-$H1232)</f>
        <v/>
      </c>
      <c r="O1232" s="15" t="n"/>
      <c r="P1232" s="26">
        <f>IF($A1232="","",COUNTIFS('Audit Versions'!$A$6:$A$605,$A1232,'Audit Versions'!$L$6:$L$605,"Active"))</f>
        <v/>
      </c>
      <c r="Q1232" s="15" t="n"/>
      <c r="R1232" s="26">
        <f>IF(OR($A1232="",$P1232=0),"",MOD(N($Q1232),$P1232)+1)</f>
        <v/>
      </c>
      <c r="S1232" s="15" t="n"/>
      <c r="T1232" s="25" t="n"/>
      <c r="U1232" s="26">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Builder'!$B$12="",N($S1232)&lt;='Assignment Builder'!$B$12)))</f>
        <v/>
      </c>
      <c r="V1232" s="23" t="n"/>
    </row>
    <row r="1233">
      <c r="A1233" s="23" t="n"/>
      <c r="B1233" s="23" t="n"/>
      <c r="C1233" s="24" t="n"/>
      <c r="D1233" s="15" t="n"/>
      <c r="E1233" s="23" t="n"/>
      <c r="F1233" s="15" t="n"/>
      <c r="G1233" s="23" t="n"/>
      <c r="H1233" s="25" t="n"/>
      <c r="I1233" s="15" t="n"/>
      <c r="J1233" s="26">
        <f>IF($A1233="","",LEN($C1233)-LEN(SUBSTITUTE($C1233,",",""))+1)</f>
        <v/>
      </c>
      <c r="K1233" s="26">
        <f>IF($A1233="","",SUMPRODUCT(--ISNUMBER(SEARCH('Category Dictionary'!$D$5:$D$135&amp;"",$C1233)),--('Category Dictionary'!$D$5:$D$135&lt;&gt;"")))</f>
        <v/>
      </c>
      <c r="L1233" s="27">
        <f>IF($A1233="","",TRIM(IF(ISERROR(FIND(",",$C1233)),$C1233,LEFT($C1233,FIND(",",$C1233)-1))))</f>
        <v/>
      </c>
      <c r="M1233" s="28">
        <f>IF($H1233="","",DATE(YEAR($H1233),MONTH($H1233),1))</f>
        <v/>
      </c>
      <c r="N1233" s="26">
        <f>IF($H1233="","",TODAY()-$H1233)</f>
        <v/>
      </c>
      <c r="O1233" s="15" t="n"/>
      <c r="P1233" s="26">
        <f>IF($A1233="","",COUNTIFS('Audit Versions'!$A$6:$A$605,$A1233,'Audit Versions'!$L$6:$L$605,"Active"))</f>
        <v/>
      </c>
      <c r="Q1233" s="15" t="n"/>
      <c r="R1233" s="26">
        <f>IF(OR($A1233="",$P1233=0),"",MOD(N($Q1233),$P1233)+1)</f>
        <v/>
      </c>
      <c r="S1233" s="15" t="n"/>
      <c r="T1233" s="25" t="n"/>
      <c r="U1233" s="26">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Builder'!$B$12="",N($S1233)&lt;='Assignment Builder'!$B$12)))</f>
        <v/>
      </c>
      <c r="V1233" s="23" t="n"/>
    </row>
    <row r="1234">
      <c r="A1234" s="23" t="n"/>
      <c r="B1234" s="23" t="n"/>
      <c r="C1234" s="24" t="n"/>
      <c r="D1234" s="15" t="n"/>
      <c r="E1234" s="23" t="n"/>
      <c r="F1234" s="15" t="n"/>
      <c r="G1234" s="23" t="n"/>
      <c r="H1234" s="25" t="n"/>
      <c r="I1234" s="15" t="n"/>
      <c r="J1234" s="26">
        <f>IF($A1234="","",LEN($C1234)-LEN(SUBSTITUTE($C1234,",",""))+1)</f>
        <v/>
      </c>
      <c r="K1234" s="26">
        <f>IF($A1234="","",SUMPRODUCT(--ISNUMBER(SEARCH('Category Dictionary'!$D$5:$D$135&amp;"",$C1234)),--('Category Dictionary'!$D$5:$D$135&lt;&gt;"")))</f>
        <v/>
      </c>
      <c r="L1234" s="27">
        <f>IF($A1234="","",TRIM(IF(ISERROR(FIND(",",$C1234)),$C1234,LEFT($C1234,FIND(",",$C1234)-1))))</f>
        <v/>
      </c>
      <c r="M1234" s="28">
        <f>IF($H1234="","",DATE(YEAR($H1234),MONTH($H1234),1))</f>
        <v/>
      </c>
      <c r="N1234" s="26">
        <f>IF($H1234="","",TODAY()-$H1234)</f>
        <v/>
      </c>
      <c r="O1234" s="15" t="n"/>
      <c r="P1234" s="26">
        <f>IF($A1234="","",COUNTIFS('Audit Versions'!$A$6:$A$605,$A1234,'Audit Versions'!$L$6:$L$605,"Active"))</f>
        <v/>
      </c>
      <c r="Q1234" s="15" t="n"/>
      <c r="R1234" s="26">
        <f>IF(OR($A1234="",$P1234=0),"",MOD(N($Q1234),$P1234)+1)</f>
        <v/>
      </c>
      <c r="S1234" s="15" t="n"/>
      <c r="T1234" s="25" t="n"/>
      <c r="U1234" s="26">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Builder'!$B$12="",N($S1234)&lt;='Assignment Builder'!$B$12)))</f>
        <v/>
      </c>
      <c r="V1234" s="23" t="n"/>
    </row>
    <row r="1235">
      <c r="A1235" s="23" t="n"/>
      <c r="B1235" s="23" t="n"/>
      <c r="C1235" s="24" t="n"/>
      <c r="D1235" s="15" t="n"/>
      <c r="E1235" s="23" t="n"/>
      <c r="F1235" s="15" t="n"/>
      <c r="G1235" s="23" t="n"/>
      <c r="H1235" s="25" t="n"/>
      <c r="I1235" s="15" t="n"/>
      <c r="J1235" s="26">
        <f>IF($A1235="","",LEN($C1235)-LEN(SUBSTITUTE($C1235,",",""))+1)</f>
        <v/>
      </c>
      <c r="K1235" s="26">
        <f>IF($A1235="","",SUMPRODUCT(--ISNUMBER(SEARCH('Category Dictionary'!$D$5:$D$135&amp;"",$C1235)),--('Category Dictionary'!$D$5:$D$135&lt;&gt;"")))</f>
        <v/>
      </c>
      <c r="L1235" s="27">
        <f>IF($A1235="","",TRIM(IF(ISERROR(FIND(",",$C1235)),$C1235,LEFT($C1235,FIND(",",$C1235)-1))))</f>
        <v/>
      </c>
      <c r="M1235" s="28">
        <f>IF($H1235="","",DATE(YEAR($H1235),MONTH($H1235),1))</f>
        <v/>
      </c>
      <c r="N1235" s="26">
        <f>IF($H1235="","",TODAY()-$H1235)</f>
        <v/>
      </c>
      <c r="O1235" s="15" t="n"/>
      <c r="P1235" s="26">
        <f>IF($A1235="","",COUNTIFS('Audit Versions'!$A$6:$A$605,$A1235,'Audit Versions'!$L$6:$L$605,"Active"))</f>
        <v/>
      </c>
      <c r="Q1235" s="15" t="n"/>
      <c r="R1235" s="26">
        <f>IF(OR($A1235="",$P1235=0),"",MOD(N($Q1235),$P1235)+1)</f>
        <v/>
      </c>
      <c r="S1235" s="15" t="n"/>
      <c r="T1235" s="25" t="n"/>
      <c r="U1235" s="26">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Builder'!$B$12="",N($S1235)&lt;='Assignment Builder'!$B$12)))</f>
        <v/>
      </c>
      <c r="V1235" s="23" t="n"/>
    </row>
    <row r="1236">
      <c r="A1236" s="23" t="n"/>
      <c r="B1236" s="23" t="n"/>
      <c r="C1236" s="24" t="n"/>
      <c r="D1236" s="15" t="n"/>
      <c r="E1236" s="23" t="n"/>
      <c r="F1236" s="15" t="n"/>
      <c r="G1236" s="23" t="n"/>
      <c r="H1236" s="25" t="n"/>
      <c r="I1236" s="15" t="n"/>
      <c r="J1236" s="26">
        <f>IF($A1236="","",LEN($C1236)-LEN(SUBSTITUTE($C1236,",",""))+1)</f>
        <v/>
      </c>
      <c r="K1236" s="26">
        <f>IF($A1236="","",SUMPRODUCT(--ISNUMBER(SEARCH('Category Dictionary'!$D$5:$D$135&amp;"",$C1236)),--('Category Dictionary'!$D$5:$D$135&lt;&gt;"")))</f>
        <v/>
      </c>
      <c r="L1236" s="27">
        <f>IF($A1236="","",TRIM(IF(ISERROR(FIND(",",$C1236)),$C1236,LEFT($C1236,FIND(",",$C1236)-1))))</f>
        <v/>
      </c>
      <c r="M1236" s="28">
        <f>IF($H1236="","",DATE(YEAR($H1236),MONTH($H1236),1))</f>
        <v/>
      </c>
      <c r="N1236" s="26">
        <f>IF($H1236="","",TODAY()-$H1236)</f>
        <v/>
      </c>
      <c r="O1236" s="15" t="n"/>
      <c r="P1236" s="26">
        <f>IF($A1236="","",COUNTIFS('Audit Versions'!$A$6:$A$605,$A1236,'Audit Versions'!$L$6:$L$605,"Active"))</f>
        <v/>
      </c>
      <c r="Q1236" s="15" t="n"/>
      <c r="R1236" s="26">
        <f>IF(OR($A1236="",$P1236=0),"",MOD(N($Q1236),$P1236)+1)</f>
        <v/>
      </c>
      <c r="S1236" s="15" t="n"/>
      <c r="T1236" s="25" t="n"/>
      <c r="U1236" s="26">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Builder'!$B$12="",N($S1236)&lt;='Assignment Builder'!$B$12)))</f>
        <v/>
      </c>
      <c r="V1236" s="23" t="n"/>
    </row>
    <row r="1237">
      <c r="A1237" s="23" t="n"/>
      <c r="B1237" s="23" t="n"/>
      <c r="C1237" s="24" t="n"/>
      <c r="D1237" s="15" t="n"/>
      <c r="E1237" s="23" t="n"/>
      <c r="F1237" s="15" t="n"/>
      <c r="G1237" s="23" t="n"/>
      <c r="H1237" s="25" t="n"/>
      <c r="I1237" s="15" t="n"/>
      <c r="J1237" s="26">
        <f>IF($A1237="","",LEN($C1237)-LEN(SUBSTITUTE($C1237,",",""))+1)</f>
        <v/>
      </c>
      <c r="K1237" s="26">
        <f>IF($A1237="","",SUMPRODUCT(--ISNUMBER(SEARCH('Category Dictionary'!$D$5:$D$135&amp;"",$C1237)),--('Category Dictionary'!$D$5:$D$135&lt;&gt;"")))</f>
        <v/>
      </c>
      <c r="L1237" s="27">
        <f>IF($A1237="","",TRIM(IF(ISERROR(FIND(",",$C1237)),$C1237,LEFT($C1237,FIND(",",$C1237)-1))))</f>
        <v/>
      </c>
      <c r="M1237" s="28">
        <f>IF($H1237="","",DATE(YEAR($H1237),MONTH($H1237),1))</f>
        <v/>
      </c>
      <c r="N1237" s="26">
        <f>IF($H1237="","",TODAY()-$H1237)</f>
        <v/>
      </c>
      <c r="O1237" s="15" t="n"/>
      <c r="P1237" s="26">
        <f>IF($A1237="","",COUNTIFS('Audit Versions'!$A$6:$A$605,$A1237,'Audit Versions'!$L$6:$L$605,"Active"))</f>
        <v/>
      </c>
      <c r="Q1237" s="15" t="n"/>
      <c r="R1237" s="26">
        <f>IF(OR($A1237="",$P1237=0),"",MOD(N($Q1237),$P1237)+1)</f>
        <v/>
      </c>
      <c r="S1237" s="15" t="n"/>
      <c r="T1237" s="25" t="n"/>
      <c r="U1237" s="26">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Builder'!$B$12="",N($S1237)&lt;='Assignment Builder'!$B$12)))</f>
        <v/>
      </c>
      <c r="V1237" s="23" t="n"/>
    </row>
    <row r="1238">
      <c r="A1238" s="23" t="n"/>
      <c r="B1238" s="23" t="n"/>
      <c r="C1238" s="24" t="n"/>
      <c r="D1238" s="15" t="n"/>
      <c r="E1238" s="23" t="n"/>
      <c r="F1238" s="15" t="n"/>
      <c r="G1238" s="23" t="n"/>
      <c r="H1238" s="25" t="n"/>
      <c r="I1238" s="15" t="n"/>
      <c r="J1238" s="26">
        <f>IF($A1238="","",LEN($C1238)-LEN(SUBSTITUTE($C1238,",",""))+1)</f>
        <v/>
      </c>
      <c r="K1238" s="26">
        <f>IF($A1238="","",SUMPRODUCT(--ISNUMBER(SEARCH('Category Dictionary'!$D$5:$D$135&amp;"",$C1238)),--('Category Dictionary'!$D$5:$D$135&lt;&gt;"")))</f>
        <v/>
      </c>
      <c r="L1238" s="27">
        <f>IF($A1238="","",TRIM(IF(ISERROR(FIND(",",$C1238)),$C1238,LEFT($C1238,FIND(",",$C1238)-1))))</f>
        <v/>
      </c>
      <c r="M1238" s="28">
        <f>IF($H1238="","",DATE(YEAR($H1238),MONTH($H1238),1))</f>
        <v/>
      </c>
      <c r="N1238" s="26">
        <f>IF($H1238="","",TODAY()-$H1238)</f>
        <v/>
      </c>
      <c r="O1238" s="15" t="n"/>
      <c r="P1238" s="26">
        <f>IF($A1238="","",COUNTIFS('Audit Versions'!$A$6:$A$605,$A1238,'Audit Versions'!$L$6:$L$605,"Active"))</f>
        <v/>
      </c>
      <c r="Q1238" s="15" t="n"/>
      <c r="R1238" s="26">
        <f>IF(OR($A1238="",$P1238=0),"",MOD(N($Q1238),$P1238)+1)</f>
        <v/>
      </c>
      <c r="S1238" s="15" t="n"/>
      <c r="T1238" s="25" t="n"/>
      <c r="U1238" s="26">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Builder'!$B$12="",N($S1238)&lt;='Assignment Builder'!$B$12)))</f>
        <v/>
      </c>
      <c r="V1238" s="23" t="n"/>
    </row>
    <row r="1239">
      <c r="A1239" s="23" t="n"/>
      <c r="B1239" s="23" t="n"/>
      <c r="C1239" s="24" t="n"/>
      <c r="D1239" s="15" t="n"/>
      <c r="E1239" s="23" t="n"/>
      <c r="F1239" s="15" t="n"/>
      <c r="G1239" s="23" t="n"/>
      <c r="H1239" s="25" t="n"/>
      <c r="I1239" s="15" t="n"/>
      <c r="J1239" s="26">
        <f>IF($A1239="","",LEN($C1239)-LEN(SUBSTITUTE($C1239,",",""))+1)</f>
        <v/>
      </c>
      <c r="K1239" s="26">
        <f>IF($A1239="","",SUMPRODUCT(--ISNUMBER(SEARCH('Category Dictionary'!$D$5:$D$135&amp;"",$C1239)),--('Category Dictionary'!$D$5:$D$135&lt;&gt;"")))</f>
        <v/>
      </c>
      <c r="L1239" s="27">
        <f>IF($A1239="","",TRIM(IF(ISERROR(FIND(",",$C1239)),$C1239,LEFT($C1239,FIND(",",$C1239)-1))))</f>
        <v/>
      </c>
      <c r="M1239" s="28">
        <f>IF($H1239="","",DATE(YEAR($H1239),MONTH($H1239),1))</f>
        <v/>
      </c>
      <c r="N1239" s="26">
        <f>IF($H1239="","",TODAY()-$H1239)</f>
        <v/>
      </c>
      <c r="O1239" s="15" t="n"/>
      <c r="P1239" s="26">
        <f>IF($A1239="","",COUNTIFS('Audit Versions'!$A$6:$A$605,$A1239,'Audit Versions'!$L$6:$L$605,"Active"))</f>
        <v/>
      </c>
      <c r="Q1239" s="15" t="n"/>
      <c r="R1239" s="26">
        <f>IF(OR($A1239="",$P1239=0),"",MOD(N($Q1239),$P1239)+1)</f>
        <v/>
      </c>
      <c r="S1239" s="15" t="n"/>
      <c r="T1239" s="25" t="n"/>
      <c r="U1239" s="26">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Builder'!$B$12="",N($S1239)&lt;='Assignment Builder'!$B$12)))</f>
        <v/>
      </c>
      <c r="V1239" s="23" t="n"/>
    </row>
    <row r="1240">
      <c r="A1240" s="23" t="n"/>
      <c r="B1240" s="23" t="n"/>
      <c r="C1240" s="24" t="n"/>
      <c r="D1240" s="15" t="n"/>
      <c r="E1240" s="23" t="n"/>
      <c r="F1240" s="15" t="n"/>
      <c r="G1240" s="23" t="n"/>
      <c r="H1240" s="25" t="n"/>
      <c r="I1240" s="15" t="n"/>
      <c r="J1240" s="26">
        <f>IF($A1240="","",LEN($C1240)-LEN(SUBSTITUTE($C1240,",",""))+1)</f>
        <v/>
      </c>
      <c r="K1240" s="26">
        <f>IF($A1240="","",SUMPRODUCT(--ISNUMBER(SEARCH('Category Dictionary'!$D$5:$D$135&amp;"",$C1240)),--('Category Dictionary'!$D$5:$D$135&lt;&gt;"")))</f>
        <v/>
      </c>
      <c r="L1240" s="27">
        <f>IF($A1240="","",TRIM(IF(ISERROR(FIND(",",$C1240)),$C1240,LEFT($C1240,FIND(",",$C1240)-1))))</f>
        <v/>
      </c>
      <c r="M1240" s="28">
        <f>IF($H1240="","",DATE(YEAR($H1240),MONTH($H1240),1))</f>
        <v/>
      </c>
      <c r="N1240" s="26">
        <f>IF($H1240="","",TODAY()-$H1240)</f>
        <v/>
      </c>
      <c r="O1240" s="15" t="n"/>
      <c r="P1240" s="26">
        <f>IF($A1240="","",COUNTIFS('Audit Versions'!$A$6:$A$605,$A1240,'Audit Versions'!$L$6:$L$605,"Active"))</f>
        <v/>
      </c>
      <c r="Q1240" s="15" t="n"/>
      <c r="R1240" s="26">
        <f>IF(OR($A1240="",$P1240=0),"",MOD(N($Q1240),$P1240)+1)</f>
        <v/>
      </c>
      <c r="S1240" s="15" t="n"/>
      <c r="T1240" s="25" t="n"/>
      <c r="U1240" s="26">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Builder'!$B$12="",N($S1240)&lt;='Assignment Builder'!$B$12)))</f>
        <v/>
      </c>
      <c r="V1240" s="23" t="n"/>
    </row>
    <row r="1241">
      <c r="A1241" s="23" t="n"/>
      <c r="B1241" s="23" t="n"/>
      <c r="C1241" s="24" t="n"/>
      <c r="D1241" s="15" t="n"/>
      <c r="E1241" s="23" t="n"/>
      <c r="F1241" s="15" t="n"/>
      <c r="G1241" s="23" t="n"/>
      <c r="H1241" s="25" t="n"/>
      <c r="I1241" s="15" t="n"/>
      <c r="J1241" s="26">
        <f>IF($A1241="","",LEN($C1241)-LEN(SUBSTITUTE($C1241,",",""))+1)</f>
        <v/>
      </c>
      <c r="K1241" s="26">
        <f>IF($A1241="","",SUMPRODUCT(--ISNUMBER(SEARCH('Category Dictionary'!$D$5:$D$135&amp;"",$C1241)),--('Category Dictionary'!$D$5:$D$135&lt;&gt;"")))</f>
        <v/>
      </c>
      <c r="L1241" s="27">
        <f>IF($A1241="","",TRIM(IF(ISERROR(FIND(",",$C1241)),$C1241,LEFT($C1241,FIND(",",$C1241)-1))))</f>
        <v/>
      </c>
      <c r="M1241" s="28">
        <f>IF($H1241="","",DATE(YEAR($H1241),MONTH($H1241),1))</f>
        <v/>
      </c>
      <c r="N1241" s="26">
        <f>IF($H1241="","",TODAY()-$H1241)</f>
        <v/>
      </c>
      <c r="O1241" s="15" t="n"/>
      <c r="P1241" s="26">
        <f>IF($A1241="","",COUNTIFS('Audit Versions'!$A$6:$A$605,$A1241,'Audit Versions'!$L$6:$L$605,"Active"))</f>
        <v/>
      </c>
      <c r="Q1241" s="15" t="n"/>
      <c r="R1241" s="26">
        <f>IF(OR($A1241="",$P1241=0),"",MOD(N($Q1241),$P1241)+1)</f>
        <v/>
      </c>
      <c r="S1241" s="15" t="n"/>
      <c r="T1241" s="25" t="n"/>
      <c r="U1241" s="26">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Builder'!$B$12="",N($S1241)&lt;='Assignment Builder'!$B$12)))</f>
        <v/>
      </c>
      <c r="V1241" s="23" t="n"/>
    </row>
    <row r="1242">
      <c r="A1242" s="23" t="n"/>
      <c r="B1242" s="23" t="n"/>
      <c r="C1242" s="24" t="n"/>
      <c r="D1242" s="15" t="n"/>
      <c r="E1242" s="23" t="n"/>
      <c r="F1242" s="15" t="n"/>
      <c r="G1242" s="23" t="n"/>
      <c r="H1242" s="25" t="n"/>
      <c r="I1242" s="15" t="n"/>
      <c r="J1242" s="26">
        <f>IF($A1242="","",LEN($C1242)-LEN(SUBSTITUTE($C1242,",",""))+1)</f>
        <v/>
      </c>
      <c r="K1242" s="26">
        <f>IF($A1242="","",SUMPRODUCT(--ISNUMBER(SEARCH('Category Dictionary'!$D$5:$D$135&amp;"",$C1242)),--('Category Dictionary'!$D$5:$D$135&lt;&gt;"")))</f>
        <v/>
      </c>
      <c r="L1242" s="27">
        <f>IF($A1242="","",TRIM(IF(ISERROR(FIND(",",$C1242)),$C1242,LEFT($C1242,FIND(",",$C1242)-1))))</f>
        <v/>
      </c>
      <c r="M1242" s="28">
        <f>IF($H1242="","",DATE(YEAR($H1242),MONTH($H1242),1))</f>
        <v/>
      </c>
      <c r="N1242" s="26">
        <f>IF($H1242="","",TODAY()-$H1242)</f>
        <v/>
      </c>
      <c r="O1242" s="15" t="n"/>
      <c r="P1242" s="26">
        <f>IF($A1242="","",COUNTIFS('Audit Versions'!$A$6:$A$605,$A1242,'Audit Versions'!$L$6:$L$605,"Active"))</f>
        <v/>
      </c>
      <c r="Q1242" s="15" t="n"/>
      <c r="R1242" s="26">
        <f>IF(OR($A1242="",$P1242=0),"",MOD(N($Q1242),$P1242)+1)</f>
        <v/>
      </c>
      <c r="S1242" s="15" t="n"/>
      <c r="T1242" s="25" t="n"/>
      <c r="U1242" s="26">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Builder'!$B$12="",N($S1242)&lt;='Assignment Builder'!$B$12)))</f>
        <v/>
      </c>
      <c r="V1242" s="23" t="n"/>
    </row>
    <row r="1243">
      <c r="A1243" s="23" t="n"/>
      <c r="B1243" s="23" t="n"/>
      <c r="C1243" s="24" t="n"/>
      <c r="D1243" s="15" t="n"/>
      <c r="E1243" s="23" t="n"/>
      <c r="F1243" s="15" t="n"/>
      <c r="G1243" s="23" t="n"/>
      <c r="H1243" s="25" t="n"/>
      <c r="I1243" s="15" t="n"/>
      <c r="J1243" s="26">
        <f>IF($A1243="","",LEN($C1243)-LEN(SUBSTITUTE($C1243,",",""))+1)</f>
        <v/>
      </c>
      <c r="K1243" s="26">
        <f>IF($A1243="","",SUMPRODUCT(--ISNUMBER(SEARCH('Category Dictionary'!$D$5:$D$135&amp;"",$C1243)),--('Category Dictionary'!$D$5:$D$135&lt;&gt;"")))</f>
        <v/>
      </c>
      <c r="L1243" s="27">
        <f>IF($A1243="","",TRIM(IF(ISERROR(FIND(",",$C1243)),$C1243,LEFT($C1243,FIND(",",$C1243)-1))))</f>
        <v/>
      </c>
      <c r="M1243" s="28">
        <f>IF($H1243="","",DATE(YEAR($H1243),MONTH($H1243),1))</f>
        <v/>
      </c>
      <c r="N1243" s="26">
        <f>IF($H1243="","",TODAY()-$H1243)</f>
        <v/>
      </c>
      <c r="O1243" s="15" t="n"/>
      <c r="P1243" s="26">
        <f>IF($A1243="","",COUNTIFS('Audit Versions'!$A$6:$A$605,$A1243,'Audit Versions'!$L$6:$L$605,"Active"))</f>
        <v/>
      </c>
      <c r="Q1243" s="15" t="n"/>
      <c r="R1243" s="26">
        <f>IF(OR($A1243="",$P1243=0),"",MOD(N($Q1243),$P1243)+1)</f>
        <v/>
      </c>
      <c r="S1243" s="15" t="n"/>
      <c r="T1243" s="25" t="n"/>
      <c r="U1243" s="26">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Builder'!$B$12="",N($S1243)&lt;='Assignment Builder'!$B$12)))</f>
        <v/>
      </c>
      <c r="V1243" s="23" t="n"/>
    </row>
    <row r="1244">
      <c r="A1244" s="23" t="n"/>
      <c r="B1244" s="23" t="n"/>
      <c r="C1244" s="24" t="n"/>
      <c r="D1244" s="15" t="n"/>
      <c r="E1244" s="23" t="n"/>
      <c r="F1244" s="15" t="n"/>
      <c r="G1244" s="23" t="n"/>
      <c r="H1244" s="25" t="n"/>
      <c r="I1244" s="15" t="n"/>
      <c r="J1244" s="26">
        <f>IF($A1244="","",LEN($C1244)-LEN(SUBSTITUTE($C1244,",",""))+1)</f>
        <v/>
      </c>
      <c r="K1244" s="26">
        <f>IF($A1244="","",SUMPRODUCT(--ISNUMBER(SEARCH('Category Dictionary'!$D$5:$D$135&amp;"",$C1244)),--('Category Dictionary'!$D$5:$D$135&lt;&gt;"")))</f>
        <v/>
      </c>
      <c r="L1244" s="27">
        <f>IF($A1244="","",TRIM(IF(ISERROR(FIND(",",$C1244)),$C1244,LEFT($C1244,FIND(",",$C1244)-1))))</f>
        <v/>
      </c>
      <c r="M1244" s="28">
        <f>IF($H1244="","",DATE(YEAR($H1244),MONTH($H1244),1))</f>
        <v/>
      </c>
      <c r="N1244" s="26">
        <f>IF($H1244="","",TODAY()-$H1244)</f>
        <v/>
      </c>
      <c r="O1244" s="15" t="n"/>
      <c r="P1244" s="26">
        <f>IF($A1244="","",COUNTIFS('Audit Versions'!$A$6:$A$605,$A1244,'Audit Versions'!$L$6:$L$605,"Active"))</f>
        <v/>
      </c>
      <c r="Q1244" s="15" t="n"/>
      <c r="R1244" s="26">
        <f>IF(OR($A1244="",$P1244=0),"",MOD(N($Q1244),$P1244)+1)</f>
        <v/>
      </c>
      <c r="S1244" s="15" t="n"/>
      <c r="T1244" s="25" t="n"/>
      <c r="U1244" s="26">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Builder'!$B$12="",N($S1244)&lt;='Assignment Builder'!$B$12)))</f>
        <v/>
      </c>
      <c r="V1244" s="23" t="n"/>
    </row>
    <row r="1245">
      <c r="A1245" s="23" t="n"/>
      <c r="B1245" s="23" t="n"/>
      <c r="C1245" s="24" t="n"/>
      <c r="D1245" s="15" t="n"/>
      <c r="E1245" s="23" t="n"/>
      <c r="F1245" s="15" t="n"/>
      <c r="G1245" s="23" t="n"/>
      <c r="H1245" s="25" t="n"/>
      <c r="I1245" s="15" t="n"/>
      <c r="J1245" s="26">
        <f>IF($A1245="","",LEN($C1245)-LEN(SUBSTITUTE($C1245,",",""))+1)</f>
        <v/>
      </c>
      <c r="K1245" s="26">
        <f>IF($A1245="","",SUMPRODUCT(--ISNUMBER(SEARCH('Category Dictionary'!$D$5:$D$135&amp;"",$C1245)),--('Category Dictionary'!$D$5:$D$135&lt;&gt;"")))</f>
        <v/>
      </c>
      <c r="L1245" s="27">
        <f>IF($A1245="","",TRIM(IF(ISERROR(FIND(",",$C1245)),$C1245,LEFT($C1245,FIND(",",$C1245)-1))))</f>
        <v/>
      </c>
      <c r="M1245" s="28">
        <f>IF($H1245="","",DATE(YEAR($H1245),MONTH($H1245),1))</f>
        <v/>
      </c>
      <c r="N1245" s="26">
        <f>IF($H1245="","",TODAY()-$H1245)</f>
        <v/>
      </c>
      <c r="O1245" s="15" t="n"/>
      <c r="P1245" s="26">
        <f>IF($A1245="","",COUNTIFS('Audit Versions'!$A$6:$A$605,$A1245,'Audit Versions'!$L$6:$L$605,"Active"))</f>
        <v/>
      </c>
      <c r="Q1245" s="15" t="n"/>
      <c r="R1245" s="26">
        <f>IF(OR($A1245="",$P1245=0),"",MOD(N($Q1245),$P1245)+1)</f>
        <v/>
      </c>
      <c r="S1245" s="15" t="n"/>
      <c r="T1245" s="25" t="n"/>
      <c r="U1245" s="26">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Builder'!$B$12="",N($S1245)&lt;='Assignment Builder'!$B$12)))</f>
        <v/>
      </c>
      <c r="V1245" s="23" t="n"/>
    </row>
    <row r="1246">
      <c r="A1246" s="23" t="n"/>
      <c r="B1246" s="23" t="n"/>
      <c r="C1246" s="24" t="n"/>
      <c r="D1246" s="15" t="n"/>
      <c r="E1246" s="23" t="n"/>
      <c r="F1246" s="15" t="n"/>
      <c r="G1246" s="23" t="n"/>
      <c r="H1246" s="25" t="n"/>
      <c r="I1246" s="15" t="n"/>
      <c r="J1246" s="26">
        <f>IF($A1246="","",LEN($C1246)-LEN(SUBSTITUTE($C1246,",",""))+1)</f>
        <v/>
      </c>
      <c r="K1246" s="26">
        <f>IF($A1246="","",SUMPRODUCT(--ISNUMBER(SEARCH('Category Dictionary'!$D$5:$D$135&amp;"",$C1246)),--('Category Dictionary'!$D$5:$D$135&lt;&gt;"")))</f>
        <v/>
      </c>
      <c r="L1246" s="27">
        <f>IF($A1246="","",TRIM(IF(ISERROR(FIND(",",$C1246)),$C1246,LEFT($C1246,FIND(",",$C1246)-1))))</f>
        <v/>
      </c>
      <c r="M1246" s="28">
        <f>IF($H1246="","",DATE(YEAR($H1246),MONTH($H1246),1))</f>
        <v/>
      </c>
      <c r="N1246" s="26">
        <f>IF($H1246="","",TODAY()-$H1246)</f>
        <v/>
      </c>
      <c r="O1246" s="15" t="n"/>
      <c r="P1246" s="26">
        <f>IF($A1246="","",COUNTIFS('Audit Versions'!$A$6:$A$605,$A1246,'Audit Versions'!$L$6:$L$605,"Active"))</f>
        <v/>
      </c>
      <c r="Q1246" s="15" t="n"/>
      <c r="R1246" s="26">
        <f>IF(OR($A1246="",$P1246=0),"",MOD(N($Q1246),$P1246)+1)</f>
        <v/>
      </c>
      <c r="S1246" s="15" t="n"/>
      <c r="T1246" s="25" t="n"/>
      <c r="U1246" s="26">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Builder'!$B$12="",N($S1246)&lt;='Assignment Builder'!$B$12)))</f>
        <v/>
      </c>
      <c r="V1246" s="23" t="n"/>
    </row>
    <row r="1247">
      <c r="A1247" s="23" t="n"/>
      <c r="B1247" s="23" t="n"/>
      <c r="C1247" s="24" t="n"/>
      <c r="D1247" s="15" t="n"/>
      <c r="E1247" s="23" t="n"/>
      <c r="F1247" s="15" t="n"/>
      <c r="G1247" s="23" t="n"/>
      <c r="H1247" s="25" t="n"/>
      <c r="I1247" s="15" t="n"/>
      <c r="J1247" s="26">
        <f>IF($A1247="","",LEN($C1247)-LEN(SUBSTITUTE($C1247,",",""))+1)</f>
        <v/>
      </c>
      <c r="K1247" s="26">
        <f>IF($A1247="","",SUMPRODUCT(--ISNUMBER(SEARCH('Category Dictionary'!$D$5:$D$135&amp;"",$C1247)),--('Category Dictionary'!$D$5:$D$135&lt;&gt;"")))</f>
        <v/>
      </c>
      <c r="L1247" s="27">
        <f>IF($A1247="","",TRIM(IF(ISERROR(FIND(",",$C1247)),$C1247,LEFT($C1247,FIND(",",$C1247)-1))))</f>
        <v/>
      </c>
      <c r="M1247" s="28">
        <f>IF($H1247="","",DATE(YEAR($H1247),MONTH($H1247),1))</f>
        <v/>
      </c>
      <c r="N1247" s="26">
        <f>IF($H1247="","",TODAY()-$H1247)</f>
        <v/>
      </c>
      <c r="O1247" s="15" t="n"/>
      <c r="P1247" s="26">
        <f>IF($A1247="","",COUNTIFS('Audit Versions'!$A$6:$A$605,$A1247,'Audit Versions'!$L$6:$L$605,"Active"))</f>
        <v/>
      </c>
      <c r="Q1247" s="15" t="n"/>
      <c r="R1247" s="26">
        <f>IF(OR($A1247="",$P1247=0),"",MOD(N($Q1247),$P1247)+1)</f>
        <v/>
      </c>
      <c r="S1247" s="15" t="n"/>
      <c r="T1247" s="25" t="n"/>
      <c r="U1247" s="26">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Builder'!$B$12="",N($S1247)&lt;='Assignment Builder'!$B$12)))</f>
        <v/>
      </c>
      <c r="V1247" s="23" t="n"/>
    </row>
    <row r="1248">
      <c r="A1248" s="23" t="n"/>
      <c r="B1248" s="23" t="n"/>
      <c r="C1248" s="24" t="n"/>
      <c r="D1248" s="15" t="n"/>
      <c r="E1248" s="23" t="n"/>
      <c r="F1248" s="15" t="n"/>
      <c r="G1248" s="23" t="n"/>
      <c r="H1248" s="25" t="n"/>
      <c r="I1248" s="15" t="n"/>
      <c r="J1248" s="26">
        <f>IF($A1248="","",LEN($C1248)-LEN(SUBSTITUTE($C1248,",",""))+1)</f>
        <v/>
      </c>
      <c r="K1248" s="26">
        <f>IF($A1248="","",SUMPRODUCT(--ISNUMBER(SEARCH('Category Dictionary'!$D$5:$D$135&amp;"",$C1248)),--('Category Dictionary'!$D$5:$D$135&lt;&gt;"")))</f>
        <v/>
      </c>
      <c r="L1248" s="27">
        <f>IF($A1248="","",TRIM(IF(ISERROR(FIND(",",$C1248)),$C1248,LEFT($C1248,FIND(",",$C1248)-1))))</f>
        <v/>
      </c>
      <c r="M1248" s="28">
        <f>IF($H1248="","",DATE(YEAR($H1248),MONTH($H1248),1))</f>
        <v/>
      </c>
      <c r="N1248" s="26">
        <f>IF($H1248="","",TODAY()-$H1248)</f>
        <v/>
      </c>
      <c r="O1248" s="15" t="n"/>
      <c r="P1248" s="26">
        <f>IF($A1248="","",COUNTIFS('Audit Versions'!$A$6:$A$605,$A1248,'Audit Versions'!$L$6:$L$605,"Active"))</f>
        <v/>
      </c>
      <c r="Q1248" s="15" t="n"/>
      <c r="R1248" s="26">
        <f>IF(OR($A1248="",$P1248=0),"",MOD(N($Q1248),$P1248)+1)</f>
        <v/>
      </c>
      <c r="S1248" s="15" t="n"/>
      <c r="T1248" s="25" t="n"/>
      <c r="U1248" s="26">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Builder'!$B$12="",N($S1248)&lt;='Assignment Builder'!$B$12)))</f>
        <v/>
      </c>
      <c r="V1248" s="23" t="n"/>
    </row>
    <row r="1249">
      <c r="A1249" s="23" t="n"/>
      <c r="B1249" s="23" t="n"/>
      <c r="C1249" s="24" t="n"/>
      <c r="D1249" s="15" t="n"/>
      <c r="E1249" s="23" t="n"/>
      <c r="F1249" s="15" t="n"/>
      <c r="G1249" s="23" t="n"/>
      <c r="H1249" s="25" t="n"/>
      <c r="I1249" s="15" t="n"/>
      <c r="J1249" s="26">
        <f>IF($A1249="","",LEN($C1249)-LEN(SUBSTITUTE($C1249,",",""))+1)</f>
        <v/>
      </c>
      <c r="K1249" s="26">
        <f>IF($A1249="","",SUMPRODUCT(--ISNUMBER(SEARCH('Category Dictionary'!$D$5:$D$135&amp;"",$C1249)),--('Category Dictionary'!$D$5:$D$135&lt;&gt;"")))</f>
        <v/>
      </c>
      <c r="L1249" s="27">
        <f>IF($A1249="","",TRIM(IF(ISERROR(FIND(",",$C1249)),$C1249,LEFT($C1249,FIND(",",$C1249)-1))))</f>
        <v/>
      </c>
      <c r="M1249" s="28">
        <f>IF($H1249="","",DATE(YEAR($H1249),MONTH($H1249),1))</f>
        <v/>
      </c>
      <c r="N1249" s="26">
        <f>IF($H1249="","",TODAY()-$H1249)</f>
        <v/>
      </c>
      <c r="O1249" s="15" t="n"/>
      <c r="P1249" s="26">
        <f>IF($A1249="","",COUNTIFS('Audit Versions'!$A$6:$A$605,$A1249,'Audit Versions'!$L$6:$L$605,"Active"))</f>
        <v/>
      </c>
      <c r="Q1249" s="15" t="n"/>
      <c r="R1249" s="26">
        <f>IF(OR($A1249="",$P1249=0),"",MOD(N($Q1249),$P1249)+1)</f>
        <v/>
      </c>
      <c r="S1249" s="15" t="n"/>
      <c r="T1249" s="25" t="n"/>
      <c r="U1249" s="26">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Builder'!$B$12="",N($S1249)&lt;='Assignment Builder'!$B$12)))</f>
        <v/>
      </c>
      <c r="V1249" s="23" t="n"/>
    </row>
    <row r="1250">
      <c r="A1250" s="23" t="n"/>
      <c r="B1250" s="23" t="n"/>
      <c r="C1250" s="24" t="n"/>
      <c r="D1250" s="15" t="n"/>
      <c r="E1250" s="23" t="n"/>
      <c r="F1250" s="15" t="n"/>
      <c r="G1250" s="23" t="n"/>
      <c r="H1250" s="25" t="n"/>
      <c r="I1250" s="15" t="n"/>
      <c r="J1250" s="26">
        <f>IF($A1250="","",LEN($C1250)-LEN(SUBSTITUTE($C1250,",",""))+1)</f>
        <v/>
      </c>
      <c r="K1250" s="26">
        <f>IF($A1250="","",SUMPRODUCT(--ISNUMBER(SEARCH('Category Dictionary'!$D$5:$D$135&amp;"",$C1250)),--('Category Dictionary'!$D$5:$D$135&lt;&gt;"")))</f>
        <v/>
      </c>
      <c r="L1250" s="27">
        <f>IF($A1250="","",TRIM(IF(ISERROR(FIND(",",$C1250)),$C1250,LEFT($C1250,FIND(",",$C1250)-1))))</f>
        <v/>
      </c>
      <c r="M1250" s="28">
        <f>IF($H1250="","",DATE(YEAR($H1250),MONTH($H1250),1))</f>
        <v/>
      </c>
      <c r="N1250" s="26">
        <f>IF($H1250="","",TODAY()-$H1250)</f>
        <v/>
      </c>
      <c r="O1250" s="15" t="n"/>
      <c r="P1250" s="26">
        <f>IF($A1250="","",COUNTIFS('Audit Versions'!$A$6:$A$605,$A1250,'Audit Versions'!$L$6:$L$605,"Active"))</f>
        <v/>
      </c>
      <c r="Q1250" s="15" t="n"/>
      <c r="R1250" s="26">
        <f>IF(OR($A1250="",$P1250=0),"",MOD(N($Q1250),$P1250)+1)</f>
        <v/>
      </c>
      <c r="S1250" s="15" t="n"/>
      <c r="T1250" s="25" t="n"/>
      <c r="U1250" s="26">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Builder'!$B$12="",N($S1250)&lt;='Assignment Builder'!$B$12)))</f>
        <v/>
      </c>
      <c r="V1250" s="23" t="n"/>
    </row>
    <row r="1251">
      <c r="A1251" s="23" t="n"/>
      <c r="B1251" s="23" t="n"/>
      <c r="C1251" s="24" t="n"/>
      <c r="D1251" s="15" t="n"/>
      <c r="E1251" s="23" t="n"/>
      <c r="F1251" s="15" t="n"/>
      <c r="G1251" s="23" t="n"/>
      <c r="H1251" s="25" t="n"/>
      <c r="I1251" s="15" t="n"/>
      <c r="J1251" s="26">
        <f>IF($A1251="","",LEN($C1251)-LEN(SUBSTITUTE($C1251,",",""))+1)</f>
        <v/>
      </c>
      <c r="K1251" s="26">
        <f>IF($A1251="","",SUMPRODUCT(--ISNUMBER(SEARCH('Category Dictionary'!$D$5:$D$135&amp;"",$C1251)),--('Category Dictionary'!$D$5:$D$135&lt;&gt;"")))</f>
        <v/>
      </c>
      <c r="L1251" s="27">
        <f>IF($A1251="","",TRIM(IF(ISERROR(FIND(",",$C1251)),$C1251,LEFT($C1251,FIND(",",$C1251)-1))))</f>
        <v/>
      </c>
      <c r="M1251" s="28">
        <f>IF($H1251="","",DATE(YEAR($H1251),MONTH($H1251),1))</f>
        <v/>
      </c>
      <c r="N1251" s="26">
        <f>IF($H1251="","",TODAY()-$H1251)</f>
        <v/>
      </c>
      <c r="O1251" s="15" t="n"/>
      <c r="P1251" s="26">
        <f>IF($A1251="","",COUNTIFS('Audit Versions'!$A$6:$A$605,$A1251,'Audit Versions'!$L$6:$L$605,"Active"))</f>
        <v/>
      </c>
      <c r="Q1251" s="15" t="n"/>
      <c r="R1251" s="26">
        <f>IF(OR($A1251="",$P1251=0),"",MOD(N($Q1251),$P1251)+1)</f>
        <v/>
      </c>
      <c r="S1251" s="15" t="n"/>
      <c r="T1251" s="25" t="n"/>
      <c r="U1251" s="26">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Builder'!$B$12="",N($S1251)&lt;='Assignment Builder'!$B$12)))</f>
        <v/>
      </c>
      <c r="V1251" s="23" t="n"/>
    </row>
    <row r="1252">
      <c r="A1252" s="23" t="n"/>
      <c r="B1252" s="23" t="n"/>
      <c r="C1252" s="24" t="n"/>
      <c r="D1252" s="15" t="n"/>
      <c r="E1252" s="23" t="n"/>
      <c r="F1252" s="15" t="n"/>
      <c r="G1252" s="23" t="n"/>
      <c r="H1252" s="25" t="n"/>
      <c r="I1252" s="15" t="n"/>
      <c r="J1252" s="26">
        <f>IF($A1252="","",LEN($C1252)-LEN(SUBSTITUTE($C1252,",",""))+1)</f>
        <v/>
      </c>
      <c r="K1252" s="26">
        <f>IF($A1252="","",SUMPRODUCT(--ISNUMBER(SEARCH('Category Dictionary'!$D$5:$D$135&amp;"",$C1252)),--('Category Dictionary'!$D$5:$D$135&lt;&gt;"")))</f>
        <v/>
      </c>
      <c r="L1252" s="27">
        <f>IF($A1252="","",TRIM(IF(ISERROR(FIND(",",$C1252)),$C1252,LEFT($C1252,FIND(",",$C1252)-1))))</f>
        <v/>
      </c>
      <c r="M1252" s="28">
        <f>IF($H1252="","",DATE(YEAR($H1252),MONTH($H1252),1))</f>
        <v/>
      </c>
      <c r="N1252" s="26">
        <f>IF($H1252="","",TODAY()-$H1252)</f>
        <v/>
      </c>
      <c r="O1252" s="15" t="n"/>
      <c r="P1252" s="26">
        <f>IF($A1252="","",COUNTIFS('Audit Versions'!$A$6:$A$605,$A1252,'Audit Versions'!$L$6:$L$605,"Active"))</f>
        <v/>
      </c>
      <c r="Q1252" s="15" t="n"/>
      <c r="R1252" s="26">
        <f>IF(OR($A1252="",$P1252=0),"",MOD(N($Q1252),$P1252)+1)</f>
        <v/>
      </c>
      <c r="S1252" s="15" t="n"/>
      <c r="T1252" s="25" t="n"/>
      <c r="U1252" s="26">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Builder'!$B$12="",N($S1252)&lt;='Assignment Builder'!$B$12)))</f>
        <v/>
      </c>
      <c r="V1252" s="23" t="n"/>
    </row>
    <row r="1253">
      <c r="A1253" s="23" t="n"/>
      <c r="B1253" s="23" t="n"/>
      <c r="C1253" s="24" t="n"/>
      <c r="D1253" s="15" t="n"/>
      <c r="E1253" s="23" t="n"/>
      <c r="F1253" s="15" t="n"/>
      <c r="G1253" s="23" t="n"/>
      <c r="H1253" s="25" t="n"/>
      <c r="I1253" s="15" t="n"/>
      <c r="J1253" s="26">
        <f>IF($A1253="","",LEN($C1253)-LEN(SUBSTITUTE($C1253,",",""))+1)</f>
        <v/>
      </c>
      <c r="K1253" s="26">
        <f>IF($A1253="","",SUMPRODUCT(--ISNUMBER(SEARCH('Category Dictionary'!$D$5:$D$135&amp;"",$C1253)),--('Category Dictionary'!$D$5:$D$135&lt;&gt;"")))</f>
        <v/>
      </c>
      <c r="L1253" s="27">
        <f>IF($A1253="","",TRIM(IF(ISERROR(FIND(",",$C1253)),$C1253,LEFT($C1253,FIND(",",$C1253)-1))))</f>
        <v/>
      </c>
      <c r="M1253" s="28">
        <f>IF($H1253="","",DATE(YEAR($H1253),MONTH($H1253),1))</f>
        <v/>
      </c>
      <c r="N1253" s="26">
        <f>IF($H1253="","",TODAY()-$H1253)</f>
        <v/>
      </c>
      <c r="O1253" s="15" t="n"/>
      <c r="P1253" s="26">
        <f>IF($A1253="","",COUNTIFS('Audit Versions'!$A$6:$A$605,$A1253,'Audit Versions'!$L$6:$L$605,"Active"))</f>
        <v/>
      </c>
      <c r="Q1253" s="15" t="n"/>
      <c r="R1253" s="26">
        <f>IF(OR($A1253="",$P1253=0),"",MOD(N($Q1253),$P1253)+1)</f>
        <v/>
      </c>
      <c r="S1253" s="15" t="n"/>
      <c r="T1253" s="25" t="n"/>
      <c r="U1253" s="26">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Builder'!$B$12="",N($S1253)&lt;='Assignment Builder'!$B$12)))</f>
        <v/>
      </c>
      <c r="V1253" s="23" t="n"/>
    </row>
    <row r="1254">
      <c r="A1254" s="23" t="n"/>
      <c r="B1254" s="23" t="n"/>
      <c r="C1254" s="24" t="n"/>
      <c r="D1254" s="15" t="n"/>
      <c r="E1254" s="23" t="n"/>
      <c r="F1254" s="15" t="n"/>
      <c r="G1254" s="23" t="n"/>
      <c r="H1254" s="25" t="n"/>
      <c r="I1254" s="15" t="n"/>
      <c r="J1254" s="26">
        <f>IF($A1254="","",LEN($C1254)-LEN(SUBSTITUTE($C1254,",",""))+1)</f>
        <v/>
      </c>
      <c r="K1254" s="26">
        <f>IF($A1254="","",SUMPRODUCT(--ISNUMBER(SEARCH('Category Dictionary'!$D$5:$D$135&amp;"",$C1254)),--('Category Dictionary'!$D$5:$D$135&lt;&gt;"")))</f>
        <v/>
      </c>
      <c r="L1254" s="27">
        <f>IF($A1254="","",TRIM(IF(ISERROR(FIND(",",$C1254)),$C1254,LEFT($C1254,FIND(",",$C1254)-1))))</f>
        <v/>
      </c>
      <c r="M1254" s="28">
        <f>IF($H1254="","",DATE(YEAR($H1254),MONTH($H1254),1))</f>
        <v/>
      </c>
      <c r="N1254" s="26">
        <f>IF($H1254="","",TODAY()-$H1254)</f>
        <v/>
      </c>
      <c r="O1254" s="15" t="n"/>
      <c r="P1254" s="26">
        <f>IF($A1254="","",COUNTIFS('Audit Versions'!$A$6:$A$605,$A1254,'Audit Versions'!$L$6:$L$605,"Active"))</f>
        <v/>
      </c>
      <c r="Q1254" s="15" t="n"/>
      <c r="R1254" s="26">
        <f>IF(OR($A1254="",$P1254=0),"",MOD(N($Q1254),$P1254)+1)</f>
        <v/>
      </c>
      <c r="S1254" s="15" t="n"/>
      <c r="T1254" s="25" t="n"/>
      <c r="U1254" s="26">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Builder'!$B$12="",N($S1254)&lt;='Assignment Builder'!$B$12)))</f>
        <v/>
      </c>
      <c r="V1254" s="23" t="n"/>
    </row>
    <row r="1255">
      <c r="A1255" s="23" t="n"/>
      <c r="B1255" s="23" t="n"/>
      <c r="C1255" s="24" t="n"/>
      <c r="D1255" s="15" t="n"/>
      <c r="E1255" s="23" t="n"/>
      <c r="F1255" s="15" t="n"/>
      <c r="G1255" s="23" t="n"/>
      <c r="H1255" s="25" t="n"/>
      <c r="I1255" s="15" t="n"/>
      <c r="J1255" s="26">
        <f>IF($A1255="","",LEN($C1255)-LEN(SUBSTITUTE($C1255,",",""))+1)</f>
        <v/>
      </c>
      <c r="K1255" s="26">
        <f>IF($A1255="","",SUMPRODUCT(--ISNUMBER(SEARCH('Category Dictionary'!$D$5:$D$135&amp;"",$C1255)),--('Category Dictionary'!$D$5:$D$135&lt;&gt;"")))</f>
        <v/>
      </c>
      <c r="L1255" s="27">
        <f>IF($A1255="","",TRIM(IF(ISERROR(FIND(",",$C1255)),$C1255,LEFT($C1255,FIND(",",$C1255)-1))))</f>
        <v/>
      </c>
      <c r="M1255" s="28">
        <f>IF($H1255="","",DATE(YEAR($H1255),MONTH($H1255),1))</f>
        <v/>
      </c>
      <c r="N1255" s="26">
        <f>IF($H1255="","",TODAY()-$H1255)</f>
        <v/>
      </c>
      <c r="O1255" s="15" t="n"/>
      <c r="P1255" s="26">
        <f>IF($A1255="","",COUNTIFS('Audit Versions'!$A$6:$A$605,$A1255,'Audit Versions'!$L$6:$L$605,"Active"))</f>
        <v/>
      </c>
      <c r="Q1255" s="15" t="n"/>
      <c r="R1255" s="26">
        <f>IF(OR($A1255="",$P1255=0),"",MOD(N($Q1255),$P1255)+1)</f>
        <v/>
      </c>
      <c r="S1255" s="15" t="n"/>
      <c r="T1255" s="25" t="n"/>
      <c r="U1255" s="26">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Builder'!$B$12="",N($S1255)&lt;='Assignment Builder'!$B$12)))</f>
        <v/>
      </c>
      <c r="V1255" s="23" t="n"/>
    </row>
    <row r="1256">
      <c r="A1256" s="23" t="n"/>
      <c r="B1256" s="23" t="n"/>
      <c r="C1256" s="24" t="n"/>
      <c r="D1256" s="15" t="n"/>
      <c r="E1256" s="23" t="n"/>
      <c r="F1256" s="15" t="n"/>
      <c r="G1256" s="23" t="n"/>
      <c r="H1256" s="25" t="n"/>
      <c r="I1256" s="15" t="n"/>
      <c r="J1256" s="26">
        <f>IF($A1256="","",LEN($C1256)-LEN(SUBSTITUTE($C1256,",",""))+1)</f>
        <v/>
      </c>
      <c r="K1256" s="26">
        <f>IF($A1256="","",SUMPRODUCT(--ISNUMBER(SEARCH('Category Dictionary'!$D$5:$D$135&amp;"",$C1256)),--('Category Dictionary'!$D$5:$D$135&lt;&gt;"")))</f>
        <v/>
      </c>
      <c r="L1256" s="27">
        <f>IF($A1256="","",TRIM(IF(ISERROR(FIND(",",$C1256)),$C1256,LEFT($C1256,FIND(",",$C1256)-1))))</f>
        <v/>
      </c>
      <c r="M1256" s="28">
        <f>IF($H1256="","",DATE(YEAR($H1256),MONTH($H1256),1))</f>
        <v/>
      </c>
      <c r="N1256" s="26">
        <f>IF($H1256="","",TODAY()-$H1256)</f>
        <v/>
      </c>
      <c r="O1256" s="15" t="n"/>
      <c r="P1256" s="26">
        <f>IF($A1256="","",COUNTIFS('Audit Versions'!$A$6:$A$605,$A1256,'Audit Versions'!$L$6:$L$605,"Active"))</f>
        <v/>
      </c>
      <c r="Q1256" s="15" t="n"/>
      <c r="R1256" s="26">
        <f>IF(OR($A1256="",$P1256=0),"",MOD(N($Q1256),$P1256)+1)</f>
        <v/>
      </c>
      <c r="S1256" s="15" t="n"/>
      <c r="T1256" s="25" t="n"/>
      <c r="U1256" s="26">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Builder'!$B$12="",N($S1256)&lt;='Assignment Builder'!$B$12)))</f>
        <v/>
      </c>
      <c r="V1256" s="23" t="n"/>
    </row>
    <row r="1257">
      <c r="A1257" s="23" t="n"/>
      <c r="B1257" s="23" t="n"/>
      <c r="C1257" s="24" t="n"/>
      <c r="D1257" s="15" t="n"/>
      <c r="E1257" s="23" t="n"/>
      <c r="F1257" s="15" t="n"/>
      <c r="G1257" s="23" t="n"/>
      <c r="H1257" s="25" t="n"/>
      <c r="I1257" s="15" t="n"/>
      <c r="J1257" s="26">
        <f>IF($A1257="","",LEN($C1257)-LEN(SUBSTITUTE($C1257,",",""))+1)</f>
        <v/>
      </c>
      <c r="K1257" s="26">
        <f>IF($A1257="","",SUMPRODUCT(--ISNUMBER(SEARCH('Category Dictionary'!$D$5:$D$135&amp;"",$C1257)),--('Category Dictionary'!$D$5:$D$135&lt;&gt;"")))</f>
        <v/>
      </c>
      <c r="L1257" s="27">
        <f>IF($A1257="","",TRIM(IF(ISERROR(FIND(",",$C1257)),$C1257,LEFT($C1257,FIND(",",$C1257)-1))))</f>
        <v/>
      </c>
      <c r="M1257" s="28">
        <f>IF($H1257="","",DATE(YEAR($H1257),MONTH($H1257),1))</f>
        <v/>
      </c>
      <c r="N1257" s="26">
        <f>IF($H1257="","",TODAY()-$H1257)</f>
        <v/>
      </c>
      <c r="O1257" s="15" t="n"/>
      <c r="P1257" s="26">
        <f>IF($A1257="","",COUNTIFS('Audit Versions'!$A$6:$A$605,$A1257,'Audit Versions'!$L$6:$L$605,"Active"))</f>
        <v/>
      </c>
      <c r="Q1257" s="15" t="n"/>
      <c r="R1257" s="26">
        <f>IF(OR($A1257="",$P1257=0),"",MOD(N($Q1257),$P1257)+1)</f>
        <v/>
      </c>
      <c r="S1257" s="15" t="n"/>
      <c r="T1257" s="25" t="n"/>
      <c r="U1257" s="26">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Builder'!$B$12="",N($S1257)&lt;='Assignment Builder'!$B$12)))</f>
        <v/>
      </c>
      <c r="V1257" s="23" t="n"/>
    </row>
    <row r="1258">
      <c r="A1258" s="23" t="n"/>
      <c r="B1258" s="23" t="n"/>
      <c r="C1258" s="24" t="n"/>
      <c r="D1258" s="15" t="n"/>
      <c r="E1258" s="23" t="n"/>
      <c r="F1258" s="15" t="n"/>
      <c r="G1258" s="23" t="n"/>
      <c r="H1258" s="25" t="n"/>
      <c r="I1258" s="15" t="n"/>
      <c r="J1258" s="26">
        <f>IF($A1258="","",LEN($C1258)-LEN(SUBSTITUTE($C1258,",",""))+1)</f>
        <v/>
      </c>
      <c r="K1258" s="26">
        <f>IF($A1258="","",SUMPRODUCT(--ISNUMBER(SEARCH('Category Dictionary'!$D$5:$D$135&amp;"",$C1258)),--('Category Dictionary'!$D$5:$D$135&lt;&gt;"")))</f>
        <v/>
      </c>
      <c r="L1258" s="27">
        <f>IF($A1258="","",TRIM(IF(ISERROR(FIND(",",$C1258)),$C1258,LEFT($C1258,FIND(",",$C1258)-1))))</f>
        <v/>
      </c>
      <c r="M1258" s="28">
        <f>IF($H1258="","",DATE(YEAR($H1258),MONTH($H1258),1))</f>
        <v/>
      </c>
      <c r="N1258" s="26">
        <f>IF($H1258="","",TODAY()-$H1258)</f>
        <v/>
      </c>
      <c r="O1258" s="15" t="n"/>
      <c r="P1258" s="26">
        <f>IF($A1258="","",COUNTIFS('Audit Versions'!$A$6:$A$605,$A1258,'Audit Versions'!$L$6:$L$605,"Active"))</f>
        <v/>
      </c>
      <c r="Q1258" s="15" t="n"/>
      <c r="R1258" s="26">
        <f>IF(OR($A1258="",$P1258=0),"",MOD(N($Q1258),$P1258)+1)</f>
        <v/>
      </c>
      <c r="S1258" s="15" t="n"/>
      <c r="T1258" s="25" t="n"/>
      <c r="U1258" s="26">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Builder'!$B$12="",N($S1258)&lt;='Assignment Builder'!$B$12)))</f>
        <v/>
      </c>
      <c r="V1258" s="23" t="n"/>
    </row>
    <row r="1259">
      <c r="A1259" s="23" t="n"/>
      <c r="B1259" s="23" t="n"/>
      <c r="C1259" s="24" t="n"/>
      <c r="D1259" s="15" t="n"/>
      <c r="E1259" s="23" t="n"/>
      <c r="F1259" s="15" t="n"/>
      <c r="G1259" s="23" t="n"/>
      <c r="H1259" s="25" t="n"/>
      <c r="I1259" s="15" t="n"/>
      <c r="J1259" s="26">
        <f>IF($A1259="","",LEN($C1259)-LEN(SUBSTITUTE($C1259,",",""))+1)</f>
        <v/>
      </c>
      <c r="K1259" s="26">
        <f>IF($A1259="","",SUMPRODUCT(--ISNUMBER(SEARCH('Category Dictionary'!$D$5:$D$135&amp;"",$C1259)),--('Category Dictionary'!$D$5:$D$135&lt;&gt;"")))</f>
        <v/>
      </c>
      <c r="L1259" s="27">
        <f>IF($A1259="","",TRIM(IF(ISERROR(FIND(",",$C1259)),$C1259,LEFT($C1259,FIND(",",$C1259)-1))))</f>
        <v/>
      </c>
      <c r="M1259" s="28">
        <f>IF($H1259="","",DATE(YEAR($H1259),MONTH($H1259),1))</f>
        <v/>
      </c>
      <c r="N1259" s="26">
        <f>IF($H1259="","",TODAY()-$H1259)</f>
        <v/>
      </c>
      <c r="O1259" s="15" t="n"/>
      <c r="P1259" s="26">
        <f>IF($A1259="","",COUNTIFS('Audit Versions'!$A$6:$A$605,$A1259,'Audit Versions'!$L$6:$L$605,"Active"))</f>
        <v/>
      </c>
      <c r="Q1259" s="15" t="n"/>
      <c r="R1259" s="26">
        <f>IF(OR($A1259="",$P1259=0),"",MOD(N($Q1259),$P1259)+1)</f>
        <v/>
      </c>
      <c r="S1259" s="15" t="n"/>
      <c r="T1259" s="25" t="n"/>
      <c r="U1259" s="26">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Builder'!$B$12="",N($S1259)&lt;='Assignment Builder'!$B$12)))</f>
        <v/>
      </c>
      <c r="V1259" s="23" t="n"/>
    </row>
    <row r="1260">
      <c r="A1260" s="23" t="n"/>
      <c r="B1260" s="23" t="n"/>
      <c r="C1260" s="24" t="n"/>
      <c r="D1260" s="15" t="n"/>
      <c r="E1260" s="23" t="n"/>
      <c r="F1260" s="15" t="n"/>
      <c r="G1260" s="23" t="n"/>
      <c r="H1260" s="25" t="n"/>
      <c r="I1260" s="15" t="n"/>
      <c r="J1260" s="26">
        <f>IF($A1260="","",LEN($C1260)-LEN(SUBSTITUTE($C1260,",",""))+1)</f>
        <v/>
      </c>
      <c r="K1260" s="26">
        <f>IF($A1260="","",SUMPRODUCT(--ISNUMBER(SEARCH('Category Dictionary'!$D$5:$D$135&amp;"",$C1260)),--('Category Dictionary'!$D$5:$D$135&lt;&gt;"")))</f>
        <v/>
      </c>
      <c r="L1260" s="27">
        <f>IF($A1260="","",TRIM(IF(ISERROR(FIND(",",$C1260)),$C1260,LEFT($C1260,FIND(",",$C1260)-1))))</f>
        <v/>
      </c>
      <c r="M1260" s="28">
        <f>IF($H1260="","",DATE(YEAR($H1260),MONTH($H1260),1))</f>
        <v/>
      </c>
      <c r="N1260" s="26">
        <f>IF($H1260="","",TODAY()-$H1260)</f>
        <v/>
      </c>
      <c r="O1260" s="15" t="n"/>
      <c r="P1260" s="26">
        <f>IF($A1260="","",COUNTIFS('Audit Versions'!$A$6:$A$605,$A1260,'Audit Versions'!$L$6:$L$605,"Active"))</f>
        <v/>
      </c>
      <c r="Q1260" s="15" t="n"/>
      <c r="R1260" s="26">
        <f>IF(OR($A1260="",$P1260=0),"",MOD(N($Q1260),$P1260)+1)</f>
        <v/>
      </c>
      <c r="S1260" s="15" t="n"/>
      <c r="T1260" s="25" t="n"/>
      <c r="U1260" s="26">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Builder'!$B$12="",N($S1260)&lt;='Assignment Builder'!$B$12)))</f>
        <v/>
      </c>
      <c r="V1260" s="23" t="n"/>
    </row>
    <row r="1261">
      <c r="A1261" s="23" t="n"/>
      <c r="B1261" s="23" t="n"/>
      <c r="C1261" s="24" t="n"/>
      <c r="D1261" s="15" t="n"/>
      <c r="E1261" s="23" t="n"/>
      <c r="F1261" s="15" t="n"/>
      <c r="G1261" s="23" t="n"/>
      <c r="H1261" s="25" t="n"/>
      <c r="I1261" s="15" t="n"/>
      <c r="J1261" s="26">
        <f>IF($A1261="","",LEN($C1261)-LEN(SUBSTITUTE($C1261,",",""))+1)</f>
        <v/>
      </c>
      <c r="K1261" s="26">
        <f>IF($A1261="","",SUMPRODUCT(--ISNUMBER(SEARCH('Category Dictionary'!$D$5:$D$135&amp;"",$C1261)),--('Category Dictionary'!$D$5:$D$135&lt;&gt;"")))</f>
        <v/>
      </c>
      <c r="L1261" s="27">
        <f>IF($A1261="","",TRIM(IF(ISERROR(FIND(",",$C1261)),$C1261,LEFT($C1261,FIND(",",$C1261)-1))))</f>
        <v/>
      </c>
      <c r="M1261" s="28">
        <f>IF($H1261="","",DATE(YEAR($H1261),MONTH($H1261),1))</f>
        <v/>
      </c>
      <c r="N1261" s="26">
        <f>IF($H1261="","",TODAY()-$H1261)</f>
        <v/>
      </c>
      <c r="O1261" s="15" t="n"/>
      <c r="P1261" s="26">
        <f>IF($A1261="","",COUNTIFS('Audit Versions'!$A$6:$A$605,$A1261,'Audit Versions'!$L$6:$L$605,"Active"))</f>
        <v/>
      </c>
      <c r="Q1261" s="15" t="n"/>
      <c r="R1261" s="26">
        <f>IF(OR($A1261="",$P1261=0),"",MOD(N($Q1261),$P1261)+1)</f>
        <v/>
      </c>
      <c r="S1261" s="15" t="n"/>
      <c r="T1261" s="25" t="n"/>
      <c r="U1261" s="26">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Builder'!$B$12="",N($S1261)&lt;='Assignment Builder'!$B$12)))</f>
        <v/>
      </c>
      <c r="V1261" s="23" t="n"/>
    </row>
    <row r="1262">
      <c r="A1262" s="23" t="n"/>
      <c r="B1262" s="23" t="n"/>
      <c r="C1262" s="24" t="n"/>
      <c r="D1262" s="15" t="n"/>
      <c r="E1262" s="23" t="n"/>
      <c r="F1262" s="15" t="n"/>
      <c r="G1262" s="23" t="n"/>
      <c r="H1262" s="25" t="n"/>
      <c r="I1262" s="15" t="n"/>
      <c r="J1262" s="26">
        <f>IF($A1262="","",LEN($C1262)-LEN(SUBSTITUTE($C1262,",",""))+1)</f>
        <v/>
      </c>
      <c r="K1262" s="26">
        <f>IF($A1262="","",SUMPRODUCT(--ISNUMBER(SEARCH('Category Dictionary'!$D$5:$D$135&amp;"",$C1262)),--('Category Dictionary'!$D$5:$D$135&lt;&gt;"")))</f>
        <v/>
      </c>
      <c r="L1262" s="27">
        <f>IF($A1262="","",TRIM(IF(ISERROR(FIND(",",$C1262)),$C1262,LEFT($C1262,FIND(",",$C1262)-1))))</f>
        <v/>
      </c>
      <c r="M1262" s="28">
        <f>IF($H1262="","",DATE(YEAR($H1262),MONTH($H1262),1))</f>
        <v/>
      </c>
      <c r="N1262" s="26">
        <f>IF($H1262="","",TODAY()-$H1262)</f>
        <v/>
      </c>
      <c r="O1262" s="15" t="n"/>
      <c r="P1262" s="26">
        <f>IF($A1262="","",COUNTIFS('Audit Versions'!$A$6:$A$605,$A1262,'Audit Versions'!$L$6:$L$605,"Active"))</f>
        <v/>
      </c>
      <c r="Q1262" s="15" t="n"/>
      <c r="R1262" s="26">
        <f>IF(OR($A1262="",$P1262=0),"",MOD(N($Q1262),$P1262)+1)</f>
        <v/>
      </c>
      <c r="S1262" s="15" t="n"/>
      <c r="T1262" s="25" t="n"/>
      <c r="U1262" s="26">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Builder'!$B$12="",N($S1262)&lt;='Assignment Builder'!$B$12)))</f>
        <v/>
      </c>
      <c r="V1262" s="23" t="n"/>
    </row>
    <row r="1263">
      <c r="A1263" s="23" t="n"/>
      <c r="B1263" s="23" t="n"/>
      <c r="C1263" s="24" t="n"/>
      <c r="D1263" s="15" t="n"/>
      <c r="E1263" s="23" t="n"/>
      <c r="F1263" s="15" t="n"/>
      <c r="G1263" s="23" t="n"/>
      <c r="H1263" s="25" t="n"/>
      <c r="I1263" s="15" t="n"/>
      <c r="J1263" s="26">
        <f>IF($A1263="","",LEN($C1263)-LEN(SUBSTITUTE($C1263,",",""))+1)</f>
        <v/>
      </c>
      <c r="K1263" s="26">
        <f>IF($A1263="","",SUMPRODUCT(--ISNUMBER(SEARCH('Category Dictionary'!$D$5:$D$135&amp;"",$C1263)),--('Category Dictionary'!$D$5:$D$135&lt;&gt;"")))</f>
        <v/>
      </c>
      <c r="L1263" s="27">
        <f>IF($A1263="","",TRIM(IF(ISERROR(FIND(",",$C1263)),$C1263,LEFT($C1263,FIND(",",$C1263)-1))))</f>
        <v/>
      </c>
      <c r="M1263" s="28">
        <f>IF($H1263="","",DATE(YEAR($H1263),MONTH($H1263),1))</f>
        <v/>
      </c>
      <c r="N1263" s="26">
        <f>IF($H1263="","",TODAY()-$H1263)</f>
        <v/>
      </c>
      <c r="O1263" s="15" t="n"/>
      <c r="P1263" s="26">
        <f>IF($A1263="","",COUNTIFS('Audit Versions'!$A$6:$A$605,$A1263,'Audit Versions'!$L$6:$L$605,"Active"))</f>
        <v/>
      </c>
      <c r="Q1263" s="15" t="n"/>
      <c r="R1263" s="26">
        <f>IF(OR($A1263="",$P1263=0),"",MOD(N($Q1263),$P1263)+1)</f>
        <v/>
      </c>
      <c r="S1263" s="15" t="n"/>
      <c r="T1263" s="25" t="n"/>
      <c r="U1263" s="26">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Builder'!$B$12="",N($S1263)&lt;='Assignment Builder'!$B$12)))</f>
        <v/>
      </c>
      <c r="V1263" s="23" t="n"/>
    </row>
    <row r="1264">
      <c r="A1264" s="23" t="n"/>
      <c r="B1264" s="23" t="n"/>
      <c r="C1264" s="24" t="n"/>
      <c r="D1264" s="15" t="n"/>
      <c r="E1264" s="23" t="n"/>
      <c r="F1264" s="15" t="n"/>
      <c r="G1264" s="23" t="n"/>
      <c r="H1264" s="25" t="n"/>
      <c r="I1264" s="15" t="n"/>
      <c r="J1264" s="26">
        <f>IF($A1264="","",LEN($C1264)-LEN(SUBSTITUTE($C1264,",",""))+1)</f>
        <v/>
      </c>
      <c r="K1264" s="26">
        <f>IF($A1264="","",SUMPRODUCT(--ISNUMBER(SEARCH('Category Dictionary'!$D$5:$D$135&amp;"",$C1264)),--('Category Dictionary'!$D$5:$D$135&lt;&gt;"")))</f>
        <v/>
      </c>
      <c r="L1264" s="27">
        <f>IF($A1264="","",TRIM(IF(ISERROR(FIND(",",$C1264)),$C1264,LEFT($C1264,FIND(",",$C1264)-1))))</f>
        <v/>
      </c>
      <c r="M1264" s="28">
        <f>IF($H1264="","",DATE(YEAR($H1264),MONTH($H1264),1))</f>
        <v/>
      </c>
      <c r="N1264" s="26">
        <f>IF($H1264="","",TODAY()-$H1264)</f>
        <v/>
      </c>
      <c r="O1264" s="15" t="n"/>
      <c r="P1264" s="26">
        <f>IF($A1264="","",COUNTIFS('Audit Versions'!$A$6:$A$605,$A1264,'Audit Versions'!$L$6:$L$605,"Active"))</f>
        <v/>
      </c>
      <c r="Q1264" s="15" t="n"/>
      <c r="R1264" s="26">
        <f>IF(OR($A1264="",$P1264=0),"",MOD(N($Q1264),$P1264)+1)</f>
        <v/>
      </c>
      <c r="S1264" s="15" t="n"/>
      <c r="T1264" s="25" t="n"/>
      <c r="U1264" s="26">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Builder'!$B$12="",N($S1264)&lt;='Assignment Builder'!$B$12)))</f>
        <v/>
      </c>
      <c r="V1264" s="23" t="n"/>
    </row>
    <row r="1265">
      <c r="A1265" s="23" t="n"/>
      <c r="B1265" s="23" t="n"/>
      <c r="C1265" s="24" t="n"/>
      <c r="D1265" s="15" t="n"/>
      <c r="E1265" s="23" t="n"/>
      <c r="F1265" s="15" t="n"/>
      <c r="G1265" s="23" t="n"/>
      <c r="H1265" s="25" t="n"/>
      <c r="I1265" s="15" t="n"/>
      <c r="J1265" s="26">
        <f>IF($A1265="","",LEN($C1265)-LEN(SUBSTITUTE($C1265,",",""))+1)</f>
        <v/>
      </c>
      <c r="K1265" s="26">
        <f>IF($A1265="","",SUMPRODUCT(--ISNUMBER(SEARCH('Category Dictionary'!$D$5:$D$135&amp;"",$C1265)),--('Category Dictionary'!$D$5:$D$135&lt;&gt;"")))</f>
        <v/>
      </c>
      <c r="L1265" s="27">
        <f>IF($A1265="","",TRIM(IF(ISERROR(FIND(",",$C1265)),$C1265,LEFT($C1265,FIND(",",$C1265)-1))))</f>
        <v/>
      </c>
      <c r="M1265" s="28">
        <f>IF($H1265="","",DATE(YEAR($H1265),MONTH($H1265),1))</f>
        <v/>
      </c>
      <c r="N1265" s="26">
        <f>IF($H1265="","",TODAY()-$H1265)</f>
        <v/>
      </c>
      <c r="O1265" s="15" t="n"/>
      <c r="P1265" s="26">
        <f>IF($A1265="","",COUNTIFS('Audit Versions'!$A$6:$A$605,$A1265,'Audit Versions'!$L$6:$L$605,"Active"))</f>
        <v/>
      </c>
      <c r="Q1265" s="15" t="n"/>
      <c r="R1265" s="26">
        <f>IF(OR($A1265="",$P1265=0),"",MOD(N($Q1265),$P1265)+1)</f>
        <v/>
      </c>
      <c r="S1265" s="15" t="n"/>
      <c r="T1265" s="25" t="n"/>
      <c r="U1265" s="26">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Builder'!$B$12="",N($S1265)&lt;='Assignment Builder'!$B$12)))</f>
        <v/>
      </c>
      <c r="V1265" s="23" t="n"/>
    </row>
    <row r="1266">
      <c r="A1266" s="23" t="n"/>
      <c r="B1266" s="23" t="n"/>
      <c r="C1266" s="24" t="n"/>
      <c r="D1266" s="15" t="n"/>
      <c r="E1266" s="23" t="n"/>
      <c r="F1266" s="15" t="n"/>
      <c r="G1266" s="23" t="n"/>
      <c r="H1266" s="25" t="n"/>
      <c r="I1266" s="15" t="n"/>
      <c r="J1266" s="26">
        <f>IF($A1266="","",LEN($C1266)-LEN(SUBSTITUTE($C1266,",",""))+1)</f>
        <v/>
      </c>
      <c r="K1266" s="26">
        <f>IF($A1266="","",SUMPRODUCT(--ISNUMBER(SEARCH('Category Dictionary'!$D$5:$D$135&amp;"",$C1266)),--('Category Dictionary'!$D$5:$D$135&lt;&gt;"")))</f>
        <v/>
      </c>
      <c r="L1266" s="27">
        <f>IF($A1266="","",TRIM(IF(ISERROR(FIND(",",$C1266)),$C1266,LEFT($C1266,FIND(",",$C1266)-1))))</f>
        <v/>
      </c>
      <c r="M1266" s="28">
        <f>IF($H1266="","",DATE(YEAR($H1266),MONTH($H1266),1))</f>
        <v/>
      </c>
      <c r="N1266" s="26">
        <f>IF($H1266="","",TODAY()-$H1266)</f>
        <v/>
      </c>
      <c r="O1266" s="15" t="n"/>
      <c r="P1266" s="26">
        <f>IF($A1266="","",COUNTIFS('Audit Versions'!$A$6:$A$605,$A1266,'Audit Versions'!$L$6:$L$605,"Active"))</f>
        <v/>
      </c>
      <c r="Q1266" s="15" t="n"/>
      <c r="R1266" s="26">
        <f>IF(OR($A1266="",$P1266=0),"",MOD(N($Q1266),$P1266)+1)</f>
        <v/>
      </c>
      <c r="S1266" s="15" t="n"/>
      <c r="T1266" s="25" t="n"/>
      <c r="U1266" s="26">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Builder'!$B$12="",N($S1266)&lt;='Assignment Builder'!$B$12)))</f>
        <v/>
      </c>
      <c r="V1266" s="23" t="n"/>
    </row>
    <row r="1267">
      <c r="A1267" s="23" t="n"/>
      <c r="B1267" s="23" t="n"/>
      <c r="C1267" s="24" t="n"/>
      <c r="D1267" s="15" t="n"/>
      <c r="E1267" s="23" t="n"/>
      <c r="F1267" s="15" t="n"/>
      <c r="G1267" s="23" t="n"/>
      <c r="H1267" s="25" t="n"/>
      <c r="I1267" s="15" t="n"/>
      <c r="J1267" s="26">
        <f>IF($A1267="","",LEN($C1267)-LEN(SUBSTITUTE($C1267,",",""))+1)</f>
        <v/>
      </c>
      <c r="K1267" s="26">
        <f>IF($A1267="","",SUMPRODUCT(--ISNUMBER(SEARCH('Category Dictionary'!$D$5:$D$135&amp;"",$C1267)),--('Category Dictionary'!$D$5:$D$135&lt;&gt;"")))</f>
        <v/>
      </c>
      <c r="L1267" s="27">
        <f>IF($A1267="","",TRIM(IF(ISERROR(FIND(",",$C1267)),$C1267,LEFT($C1267,FIND(",",$C1267)-1))))</f>
        <v/>
      </c>
      <c r="M1267" s="28">
        <f>IF($H1267="","",DATE(YEAR($H1267),MONTH($H1267),1))</f>
        <v/>
      </c>
      <c r="N1267" s="26">
        <f>IF($H1267="","",TODAY()-$H1267)</f>
        <v/>
      </c>
      <c r="O1267" s="15" t="n"/>
      <c r="P1267" s="26">
        <f>IF($A1267="","",COUNTIFS('Audit Versions'!$A$6:$A$605,$A1267,'Audit Versions'!$L$6:$L$605,"Active"))</f>
        <v/>
      </c>
      <c r="Q1267" s="15" t="n"/>
      <c r="R1267" s="26">
        <f>IF(OR($A1267="",$P1267=0),"",MOD(N($Q1267),$P1267)+1)</f>
        <v/>
      </c>
      <c r="S1267" s="15" t="n"/>
      <c r="T1267" s="25" t="n"/>
      <c r="U1267" s="26">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Builder'!$B$12="",N($S1267)&lt;='Assignment Builder'!$B$12)))</f>
        <v/>
      </c>
      <c r="V1267" s="23" t="n"/>
    </row>
    <row r="1268">
      <c r="A1268" s="23" t="n"/>
      <c r="B1268" s="23" t="n"/>
      <c r="C1268" s="24" t="n"/>
      <c r="D1268" s="15" t="n"/>
      <c r="E1268" s="23" t="n"/>
      <c r="F1268" s="15" t="n"/>
      <c r="G1268" s="23" t="n"/>
      <c r="H1268" s="25" t="n"/>
      <c r="I1268" s="15" t="n"/>
      <c r="J1268" s="26">
        <f>IF($A1268="","",LEN($C1268)-LEN(SUBSTITUTE($C1268,",",""))+1)</f>
        <v/>
      </c>
      <c r="K1268" s="26">
        <f>IF($A1268="","",SUMPRODUCT(--ISNUMBER(SEARCH('Category Dictionary'!$D$5:$D$135&amp;"",$C1268)),--('Category Dictionary'!$D$5:$D$135&lt;&gt;"")))</f>
        <v/>
      </c>
      <c r="L1268" s="27">
        <f>IF($A1268="","",TRIM(IF(ISERROR(FIND(",",$C1268)),$C1268,LEFT($C1268,FIND(",",$C1268)-1))))</f>
        <v/>
      </c>
      <c r="M1268" s="28">
        <f>IF($H1268="","",DATE(YEAR($H1268),MONTH($H1268),1))</f>
        <v/>
      </c>
      <c r="N1268" s="26">
        <f>IF($H1268="","",TODAY()-$H1268)</f>
        <v/>
      </c>
      <c r="O1268" s="15" t="n"/>
      <c r="P1268" s="26">
        <f>IF($A1268="","",COUNTIFS('Audit Versions'!$A$6:$A$605,$A1268,'Audit Versions'!$L$6:$L$605,"Active"))</f>
        <v/>
      </c>
      <c r="Q1268" s="15" t="n"/>
      <c r="R1268" s="26">
        <f>IF(OR($A1268="",$P1268=0),"",MOD(N($Q1268),$P1268)+1)</f>
        <v/>
      </c>
      <c r="S1268" s="15" t="n"/>
      <c r="T1268" s="25" t="n"/>
      <c r="U1268" s="26">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Builder'!$B$12="",N($S1268)&lt;='Assignment Builder'!$B$12)))</f>
        <v/>
      </c>
      <c r="V1268" s="23" t="n"/>
    </row>
    <row r="1269">
      <c r="A1269" s="23" t="n"/>
      <c r="B1269" s="23" t="n"/>
      <c r="C1269" s="24" t="n"/>
      <c r="D1269" s="15" t="n"/>
      <c r="E1269" s="23" t="n"/>
      <c r="F1269" s="15" t="n"/>
      <c r="G1269" s="23" t="n"/>
      <c r="H1269" s="25" t="n"/>
      <c r="I1269" s="15" t="n"/>
      <c r="J1269" s="26">
        <f>IF($A1269="","",LEN($C1269)-LEN(SUBSTITUTE($C1269,",",""))+1)</f>
        <v/>
      </c>
      <c r="K1269" s="26">
        <f>IF($A1269="","",SUMPRODUCT(--ISNUMBER(SEARCH('Category Dictionary'!$D$5:$D$135&amp;"",$C1269)),--('Category Dictionary'!$D$5:$D$135&lt;&gt;"")))</f>
        <v/>
      </c>
      <c r="L1269" s="27">
        <f>IF($A1269="","",TRIM(IF(ISERROR(FIND(",",$C1269)),$C1269,LEFT($C1269,FIND(",",$C1269)-1))))</f>
        <v/>
      </c>
      <c r="M1269" s="28">
        <f>IF($H1269="","",DATE(YEAR($H1269),MONTH($H1269),1))</f>
        <v/>
      </c>
      <c r="N1269" s="26">
        <f>IF($H1269="","",TODAY()-$H1269)</f>
        <v/>
      </c>
      <c r="O1269" s="15" t="n"/>
      <c r="P1269" s="26">
        <f>IF($A1269="","",COUNTIFS('Audit Versions'!$A$6:$A$605,$A1269,'Audit Versions'!$L$6:$L$605,"Active"))</f>
        <v/>
      </c>
      <c r="Q1269" s="15" t="n"/>
      <c r="R1269" s="26">
        <f>IF(OR($A1269="",$P1269=0),"",MOD(N($Q1269),$P1269)+1)</f>
        <v/>
      </c>
      <c r="S1269" s="15" t="n"/>
      <c r="T1269" s="25" t="n"/>
      <c r="U1269" s="26">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Builder'!$B$12="",N($S1269)&lt;='Assignment Builder'!$B$12)))</f>
        <v/>
      </c>
      <c r="V1269" s="23" t="n"/>
    </row>
    <row r="1270">
      <c r="A1270" s="23" t="n"/>
      <c r="B1270" s="23" t="n"/>
      <c r="C1270" s="24" t="n"/>
      <c r="D1270" s="15" t="n"/>
      <c r="E1270" s="23" t="n"/>
      <c r="F1270" s="15" t="n"/>
      <c r="G1270" s="23" t="n"/>
      <c r="H1270" s="25" t="n"/>
      <c r="I1270" s="15" t="n"/>
      <c r="J1270" s="26">
        <f>IF($A1270="","",LEN($C1270)-LEN(SUBSTITUTE($C1270,",",""))+1)</f>
        <v/>
      </c>
      <c r="K1270" s="26">
        <f>IF($A1270="","",SUMPRODUCT(--ISNUMBER(SEARCH('Category Dictionary'!$D$5:$D$135&amp;"",$C1270)),--('Category Dictionary'!$D$5:$D$135&lt;&gt;"")))</f>
        <v/>
      </c>
      <c r="L1270" s="27">
        <f>IF($A1270="","",TRIM(IF(ISERROR(FIND(",",$C1270)),$C1270,LEFT($C1270,FIND(",",$C1270)-1))))</f>
        <v/>
      </c>
      <c r="M1270" s="28">
        <f>IF($H1270="","",DATE(YEAR($H1270),MONTH($H1270),1))</f>
        <v/>
      </c>
      <c r="N1270" s="26">
        <f>IF($H1270="","",TODAY()-$H1270)</f>
        <v/>
      </c>
      <c r="O1270" s="15" t="n"/>
      <c r="P1270" s="26">
        <f>IF($A1270="","",COUNTIFS('Audit Versions'!$A$6:$A$605,$A1270,'Audit Versions'!$L$6:$L$605,"Active"))</f>
        <v/>
      </c>
      <c r="Q1270" s="15" t="n"/>
      <c r="R1270" s="26">
        <f>IF(OR($A1270="",$P1270=0),"",MOD(N($Q1270),$P1270)+1)</f>
        <v/>
      </c>
      <c r="S1270" s="15" t="n"/>
      <c r="T1270" s="25" t="n"/>
      <c r="U1270" s="26">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Builder'!$B$12="",N($S1270)&lt;='Assignment Builder'!$B$12)))</f>
        <v/>
      </c>
      <c r="V1270" s="23" t="n"/>
    </row>
    <row r="1271">
      <c r="A1271" s="23" t="n"/>
      <c r="B1271" s="23" t="n"/>
      <c r="C1271" s="24" t="n"/>
      <c r="D1271" s="15" t="n"/>
      <c r="E1271" s="23" t="n"/>
      <c r="F1271" s="15" t="n"/>
      <c r="G1271" s="23" t="n"/>
      <c r="H1271" s="25" t="n"/>
      <c r="I1271" s="15" t="n"/>
      <c r="J1271" s="26">
        <f>IF($A1271="","",LEN($C1271)-LEN(SUBSTITUTE($C1271,",",""))+1)</f>
        <v/>
      </c>
      <c r="K1271" s="26">
        <f>IF($A1271="","",SUMPRODUCT(--ISNUMBER(SEARCH('Category Dictionary'!$D$5:$D$135&amp;"",$C1271)),--('Category Dictionary'!$D$5:$D$135&lt;&gt;"")))</f>
        <v/>
      </c>
      <c r="L1271" s="27">
        <f>IF($A1271="","",TRIM(IF(ISERROR(FIND(",",$C1271)),$C1271,LEFT($C1271,FIND(",",$C1271)-1))))</f>
        <v/>
      </c>
      <c r="M1271" s="28">
        <f>IF($H1271="","",DATE(YEAR($H1271),MONTH($H1271),1))</f>
        <v/>
      </c>
      <c r="N1271" s="26">
        <f>IF($H1271="","",TODAY()-$H1271)</f>
        <v/>
      </c>
      <c r="O1271" s="15" t="n"/>
      <c r="P1271" s="26">
        <f>IF($A1271="","",COUNTIFS('Audit Versions'!$A$6:$A$605,$A1271,'Audit Versions'!$L$6:$L$605,"Active"))</f>
        <v/>
      </c>
      <c r="Q1271" s="15" t="n"/>
      <c r="R1271" s="26">
        <f>IF(OR($A1271="",$P1271=0),"",MOD(N($Q1271),$P1271)+1)</f>
        <v/>
      </c>
      <c r="S1271" s="15" t="n"/>
      <c r="T1271" s="25" t="n"/>
      <c r="U1271" s="26">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Builder'!$B$12="",N($S1271)&lt;='Assignment Builder'!$B$12)))</f>
        <v/>
      </c>
      <c r="V1271" s="23" t="n"/>
    </row>
    <row r="1272">
      <c r="A1272" s="23" t="n"/>
      <c r="B1272" s="23" t="n"/>
      <c r="C1272" s="24" t="n"/>
      <c r="D1272" s="15" t="n"/>
      <c r="E1272" s="23" t="n"/>
      <c r="F1272" s="15" t="n"/>
      <c r="G1272" s="23" t="n"/>
      <c r="H1272" s="25" t="n"/>
      <c r="I1272" s="15" t="n"/>
      <c r="J1272" s="26">
        <f>IF($A1272="","",LEN($C1272)-LEN(SUBSTITUTE($C1272,",",""))+1)</f>
        <v/>
      </c>
      <c r="K1272" s="26">
        <f>IF($A1272="","",SUMPRODUCT(--ISNUMBER(SEARCH('Category Dictionary'!$D$5:$D$135&amp;"",$C1272)),--('Category Dictionary'!$D$5:$D$135&lt;&gt;"")))</f>
        <v/>
      </c>
      <c r="L1272" s="27">
        <f>IF($A1272="","",TRIM(IF(ISERROR(FIND(",",$C1272)),$C1272,LEFT($C1272,FIND(",",$C1272)-1))))</f>
        <v/>
      </c>
      <c r="M1272" s="28">
        <f>IF($H1272="","",DATE(YEAR($H1272),MONTH($H1272),1))</f>
        <v/>
      </c>
      <c r="N1272" s="26">
        <f>IF($H1272="","",TODAY()-$H1272)</f>
        <v/>
      </c>
      <c r="O1272" s="15" t="n"/>
      <c r="P1272" s="26">
        <f>IF($A1272="","",COUNTIFS('Audit Versions'!$A$6:$A$605,$A1272,'Audit Versions'!$L$6:$L$605,"Active"))</f>
        <v/>
      </c>
      <c r="Q1272" s="15" t="n"/>
      <c r="R1272" s="26">
        <f>IF(OR($A1272="",$P1272=0),"",MOD(N($Q1272),$P1272)+1)</f>
        <v/>
      </c>
      <c r="S1272" s="15" t="n"/>
      <c r="T1272" s="25" t="n"/>
      <c r="U1272" s="26">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Builder'!$B$12="",N($S1272)&lt;='Assignment Builder'!$B$12)))</f>
        <v/>
      </c>
      <c r="V1272" s="23" t="n"/>
    </row>
    <row r="1273">
      <c r="A1273" s="23" t="n"/>
      <c r="B1273" s="23" t="n"/>
      <c r="C1273" s="24" t="n"/>
      <c r="D1273" s="15" t="n"/>
      <c r="E1273" s="23" t="n"/>
      <c r="F1273" s="15" t="n"/>
      <c r="G1273" s="23" t="n"/>
      <c r="H1273" s="25" t="n"/>
      <c r="I1273" s="15" t="n"/>
      <c r="J1273" s="26">
        <f>IF($A1273="","",LEN($C1273)-LEN(SUBSTITUTE($C1273,",",""))+1)</f>
        <v/>
      </c>
      <c r="K1273" s="26">
        <f>IF($A1273="","",SUMPRODUCT(--ISNUMBER(SEARCH('Category Dictionary'!$D$5:$D$135&amp;"",$C1273)),--('Category Dictionary'!$D$5:$D$135&lt;&gt;"")))</f>
        <v/>
      </c>
      <c r="L1273" s="27">
        <f>IF($A1273="","",TRIM(IF(ISERROR(FIND(",",$C1273)),$C1273,LEFT($C1273,FIND(",",$C1273)-1))))</f>
        <v/>
      </c>
      <c r="M1273" s="28">
        <f>IF($H1273="","",DATE(YEAR($H1273),MONTH($H1273),1))</f>
        <v/>
      </c>
      <c r="N1273" s="26">
        <f>IF($H1273="","",TODAY()-$H1273)</f>
        <v/>
      </c>
      <c r="O1273" s="15" t="n"/>
      <c r="P1273" s="26">
        <f>IF($A1273="","",COUNTIFS('Audit Versions'!$A$6:$A$605,$A1273,'Audit Versions'!$L$6:$L$605,"Active"))</f>
        <v/>
      </c>
      <c r="Q1273" s="15" t="n"/>
      <c r="R1273" s="26">
        <f>IF(OR($A1273="",$P1273=0),"",MOD(N($Q1273),$P1273)+1)</f>
        <v/>
      </c>
      <c r="S1273" s="15" t="n"/>
      <c r="T1273" s="25" t="n"/>
      <c r="U1273" s="26">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Builder'!$B$12="",N($S1273)&lt;='Assignment Builder'!$B$12)))</f>
        <v/>
      </c>
      <c r="V1273" s="23" t="n"/>
    </row>
    <row r="1274">
      <c r="A1274" s="23" t="n"/>
      <c r="B1274" s="23" t="n"/>
      <c r="C1274" s="24" t="n"/>
      <c r="D1274" s="15" t="n"/>
      <c r="E1274" s="23" t="n"/>
      <c r="F1274" s="15" t="n"/>
      <c r="G1274" s="23" t="n"/>
      <c r="H1274" s="25" t="n"/>
      <c r="I1274" s="15" t="n"/>
      <c r="J1274" s="26">
        <f>IF($A1274="","",LEN($C1274)-LEN(SUBSTITUTE($C1274,",",""))+1)</f>
        <v/>
      </c>
      <c r="K1274" s="26">
        <f>IF($A1274="","",SUMPRODUCT(--ISNUMBER(SEARCH('Category Dictionary'!$D$5:$D$135&amp;"",$C1274)),--('Category Dictionary'!$D$5:$D$135&lt;&gt;"")))</f>
        <v/>
      </c>
      <c r="L1274" s="27">
        <f>IF($A1274="","",TRIM(IF(ISERROR(FIND(",",$C1274)),$C1274,LEFT($C1274,FIND(",",$C1274)-1))))</f>
        <v/>
      </c>
      <c r="M1274" s="28">
        <f>IF($H1274="","",DATE(YEAR($H1274),MONTH($H1274),1))</f>
        <v/>
      </c>
      <c r="N1274" s="26">
        <f>IF($H1274="","",TODAY()-$H1274)</f>
        <v/>
      </c>
      <c r="O1274" s="15" t="n"/>
      <c r="P1274" s="26">
        <f>IF($A1274="","",COUNTIFS('Audit Versions'!$A$6:$A$605,$A1274,'Audit Versions'!$L$6:$L$605,"Active"))</f>
        <v/>
      </c>
      <c r="Q1274" s="15" t="n"/>
      <c r="R1274" s="26">
        <f>IF(OR($A1274="",$P1274=0),"",MOD(N($Q1274),$P1274)+1)</f>
        <v/>
      </c>
      <c r="S1274" s="15" t="n"/>
      <c r="T1274" s="25" t="n"/>
      <c r="U1274" s="26">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Builder'!$B$12="",N($S1274)&lt;='Assignment Builder'!$B$12)))</f>
        <v/>
      </c>
      <c r="V1274" s="23" t="n"/>
    </row>
    <row r="1275">
      <c r="A1275" s="23" t="n"/>
      <c r="B1275" s="23" t="n"/>
      <c r="C1275" s="24" t="n"/>
      <c r="D1275" s="15" t="n"/>
      <c r="E1275" s="23" t="n"/>
      <c r="F1275" s="15" t="n"/>
      <c r="G1275" s="23" t="n"/>
      <c r="H1275" s="25" t="n"/>
      <c r="I1275" s="15" t="n"/>
      <c r="J1275" s="26">
        <f>IF($A1275="","",LEN($C1275)-LEN(SUBSTITUTE($C1275,",",""))+1)</f>
        <v/>
      </c>
      <c r="K1275" s="26">
        <f>IF($A1275="","",SUMPRODUCT(--ISNUMBER(SEARCH('Category Dictionary'!$D$5:$D$135&amp;"",$C1275)),--('Category Dictionary'!$D$5:$D$135&lt;&gt;"")))</f>
        <v/>
      </c>
      <c r="L1275" s="27">
        <f>IF($A1275="","",TRIM(IF(ISERROR(FIND(",",$C1275)),$C1275,LEFT($C1275,FIND(",",$C1275)-1))))</f>
        <v/>
      </c>
      <c r="M1275" s="28">
        <f>IF($H1275="","",DATE(YEAR($H1275),MONTH($H1275),1))</f>
        <v/>
      </c>
      <c r="N1275" s="26">
        <f>IF($H1275="","",TODAY()-$H1275)</f>
        <v/>
      </c>
      <c r="O1275" s="15" t="n"/>
      <c r="P1275" s="26">
        <f>IF($A1275="","",COUNTIFS('Audit Versions'!$A$6:$A$605,$A1275,'Audit Versions'!$L$6:$L$605,"Active"))</f>
        <v/>
      </c>
      <c r="Q1275" s="15" t="n"/>
      <c r="R1275" s="26">
        <f>IF(OR($A1275="",$P1275=0),"",MOD(N($Q1275),$P1275)+1)</f>
        <v/>
      </c>
      <c r="S1275" s="15" t="n"/>
      <c r="T1275" s="25" t="n"/>
      <c r="U1275" s="26">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Builder'!$B$12="",N($S1275)&lt;='Assignment Builder'!$B$12)))</f>
        <v/>
      </c>
      <c r="V1275" s="23" t="n"/>
    </row>
    <row r="1276">
      <c r="A1276" s="23" t="n"/>
      <c r="B1276" s="23" t="n"/>
      <c r="C1276" s="24" t="n"/>
      <c r="D1276" s="15" t="n"/>
      <c r="E1276" s="23" t="n"/>
      <c r="F1276" s="15" t="n"/>
      <c r="G1276" s="23" t="n"/>
      <c r="H1276" s="25" t="n"/>
      <c r="I1276" s="15" t="n"/>
      <c r="J1276" s="26">
        <f>IF($A1276="","",LEN($C1276)-LEN(SUBSTITUTE($C1276,",",""))+1)</f>
        <v/>
      </c>
      <c r="K1276" s="26">
        <f>IF($A1276="","",SUMPRODUCT(--ISNUMBER(SEARCH('Category Dictionary'!$D$5:$D$135&amp;"",$C1276)),--('Category Dictionary'!$D$5:$D$135&lt;&gt;"")))</f>
        <v/>
      </c>
      <c r="L1276" s="27">
        <f>IF($A1276="","",TRIM(IF(ISERROR(FIND(",",$C1276)),$C1276,LEFT($C1276,FIND(",",$C1276)-1))))</f>
        <v/>
      </c>
      <c r="M1276" s="28">
        <f>IF($H1276="","",DATE(YEAR($H1276),MONTH($H1276),1))</f>
        <v/>
      </c>
      <c r="N1276" s="26">
        <f>IF($H1276="","",TODAY()-$H1276)</f>
        <v/>
      </c>
      <c r="O1276" s="15" t="n"/>
      <c r="P1276" s="26">
        <f>IF($A1276="","",COUNTIFS('Audit Versions'!$A$6:$A$605,$A1276,'Audit Versions'!$L$6:$L$605,"Active"))</f>
        <v/>
      </c>
      <c r="Q1276" s="15" t="n"/>
      <c r="R1276" s="26">
        <f>IF(OR($A1276="",$P1276=0),"",MOD(N($Q1276),$P1276)+1)</f>
        <v/>
      </c>
      <c r="S1276" s="15" t="n"/>
      <c r="T1276" s="25" t="n"/>
      <c r="U1276" s="26">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Builder'!$B$12="",N($S1276)&lt;='Assignment Builder'!$B$12)))</f>
        <v/>
      </c>
      <c r="V1276" s="23" t="n"/>
    </row>
    <row r="1277">
      <c r="A1277" s="23" t="n"/>
      <c r="B1277" s="23" t="n"/>
      <c r="C1277" s="24" t="n"/>
      <c r="D1277" s="15" t="n"/>
      <c r="E1277" s="23" t="n"/>
      <c r="F1277" s="15" t="n"/>
      <c r="G1277" s="23" t="n"/>
      <c r="H1277" s="25" t="n"/>
      <c r="I1277" s="15" t="n"/>
      <c r="J1277" s="26">
        <f>IF($A1277="","",LEN($C1277)-LEN(SUBSTITUTE($C1277,",",""))+1)</f>
        <v/>
      </c>
      <c r="K1277" s="26">
        <f>IF($A1277="","",SUMPRODUCT(--ISNUMBER(SEARCH('Category Dictionary'!$D$5:$D$135&amp;"",$C1277)),--('Category Dictionary'!$D$5:$D$135&lt;&gt;"")))</f>
        <v/>
      </c>
      <c r="L1277" s="27">
        <f>IF($A1277="","",TRIM(IF(ISERROR(FIND(",",$C1277)),$C1277,LEFT($C1277,FIND(",",$C1277)-1))))</f>
        <v/>
      </c>
      <c r="M1277" s="28">
        <f>IF($H1277="","",DATE(YEAR($H1277),MONTH($H1277),1))</f>
        <v/>
      </c>
      <c r="N1277" s="26">
        <f>IF($H1277="","",TODAY()-$H1277)</f>
        <v/>
      </c>
      <c r="O1277" s="15" t="n"/>
      <c r="P1277" s="26">
        <f>IF($A1277="","",COUNTIFS('Audit Versions'!$A$6:$A$605,$A1277,'Audit Versions'!$L$6:$L$605,"Active"))</f>
        <v/>
      </c>
      <c r="Q1277" s="15" t="n"/>
      <c r="R1277" s="26">
        <f>IF(OR($A1277="",$P1277=0),"",MOD(N($Q1277),$P1277)+1)</f>
        <v/>
      </c>
      <c r="S1277" s="15" t="n"/>
      <c r="T1277" s="25" t="n"/>
      <c r="U1277" s="26">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Builder'!$B$12="",N($S1277)&lt;='Assignment Builder'!$B$12)))</f>
        <v/>
      </c>
      <c r="V1277" s="23" t="n"/>
    </row>
    <row r="1278">
      <c r="A1278" s="23" t="n"/>
      <c r="B1278" s="23" t="n"/>
      <c r="C1278" s="24" t="n"/>
      <c r="D1278" s="15" t="n"/>
      <c r="E1278" s="23" t="n"/>
      <c r="F1278" s="15" t="n"/>
      <c r="G1278" s="23" t="n"/>
      <c r="H1278" s="25" t="n"/>
      <c r="I1278" s="15" t="n"/>
      <c r="J1278" s="26">
        <f>IF($A1278="","",LEN($C1278)-LEN(SUBSTITUTE($C1278,",",""))+1)</f>
        <v/>
      </c>
      <c r="K1278" s="26">
        <f>IF($A1278="","",SUMPRODUCT(--ISNUMBER(SEARCH('Category Dictionary'!$D$5:$D$135&amp;"",$C1278)),--('Category Dictionary'!$D$5:$D$135&lt;&gt;"")))</f>
        <v/>
      </c>
      <c r="L1278" s="27">
        <f>IF($A1278="","",TRIM(IF(ISERROR(FIND(",",$C1278)),$C1278,LEFT($C1278,FIND(",",$C1278)-1))))</f>
        <v/>
      </c>
      <c r="M1278" s="28">
        <f>IF($H1278="","",DATE(YEAR($H1278),MONTH($H1278),1))</f>
        <v/>
      </c>
      <c r="N1278" s="26">
        <f>IF($H1278="","",TODAY()-$H1278)</f>
        <v/>
      </c>
      <c r="O1278" s="15" t="n"/>
      <c r="P1278" s="26">
        <f>IF($A1278="","",COUNTIFS('Audit Versions'!$A$6:$A$605,$A1278,'Audit Versions'!$L$6:$L$605,"Active"))</f>
        <v/>
      </c>
      <c r="Q1278" s="15" t="n"/>
      <c r="R1278" s="26">
        <f>IF(OR($A1278="",$P1278=0),"",MOD(N($Q1278),$P1278)+1)</f>
        <v/>
      </c>
      <c r="S1278" s="15" t="n"/>
      <c r="T1278" s="25" t="n"/>
      <c r="U1278" s="26">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Builder'!$B$12="",N($S1278)&lt;='Assignment Builder'!$B$12)))</f>
        <v/>
      </c>
      <c r="V1278" s="23" t="n"/>
    </row>
    <row r="1279">
      <c r="A1279" s="23" t="n"/>
      <c r="B1279" s="23" t="n"/>
      <c r="C1279" s="24" t="n"/>
      <c r="D1279" s="15" t="n"/>
      <c r="E1279" s="23" t="n"/>
      <c r="F1279" s="15" t="n"/>
      <c r="G1279" s="23" t="n"/>
      <c r="H1279" s="25" t="n"/>
      <c r="I1279" s="15" t="n"/>
      <c r="J1279" s="26">
        <f>IF($A1279="","",LEN($C1279)-LEN(SUBSTITUTE($C1279,",",""))+1)</f>
        <v/>
      </c>
      <c r="K1279" s="26">
        <f>IF($A1279="","",SUMPRODUCT(--ISNUMBER(SEARCH('Category Dictionary'!$D$5:$D$135&amp;"",$C1279)),--('Category Dictionary'!$D$5:$D$135&lt;&gt;"")))</f>
        <v/>
      </c>
      <c r="L1279" s="27">
        <f>IF($A1279="","",TRIM(IF(ISERROR(FIND(",",$C1279)),$C1279,LEFT($C1279,FIND(",",$C1279)-1))))</f>
        <v/>
      </c>
      <c r="M1279" s="28">
        <f>IF($H1279="","",DATE(YEAR($H1279),MONTH($H1279),1))</f>
        <v/>
      </c>
      <c r="N1279" s="26">
        <f>IF($H1279="","",TODAY()-$H1279)</f>
        <v/>
      </c>
      <c r="O1279" s="15" t="n"/>
      <c r="P1279" s="26">
        <f>IF($A1279="","",COUNTIFS('Audit Versions'!$A$6:$A$605,$A1279,'Audit Versions'!$L$6:$L$605,"Active"))</f>
        <v/>
      </c>
      <c r="Q1279" s="15" t="n"/>
      <c r="R1279" s="26">
        <f>IF(OR($A1279="",$P1279=0),"",MOD(N($Q1279),$P1279)+1)</f>
        <v/>
      </c>
      <c r="S1279" s="15" t="n"/>
      <c r="T1279" s="25" t="n"/>
      <c r="U1279" s="26">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Builder'!$B$12="",N($S1279)&lt;='Assignment Builder'!$B$12)))</f>
        <v/>
      </c>
      <c r="V1279" s="23" t="n"/>
    </row>
    <row r="1280">
      <c r="A1280" s="23" t="n"/>
      <c r="B1280" s="23" t="n"/>
      <c r="C1280" s="24" t="n"/>
      <c r="D1280" s="15" t="n"/>
      <c r="E1280" s="23" t="n"/>
      <c r="F1280" s="15" t="n"/>
      <c r="G1280" s="23" t="n"/>
      <c r="H1280" s="25" t="n"/>
      <c r="I1280" s="15" t="n"/>
      <c r="J1280" s="26">
        <f>IF($A1280="","",LEN($C1280)-LEN(SUBSTITUTE($C1280,",",""))+1)</f>
        <v/>
      </c>
      <c r="K1280" s="26">
        <f>IF($A1280="","",SUMPRODUCT(--ISNUMBER(SEARCH('Category Dictionary'!$D$5:$D$135&amp;"",$C1280)),--('Category Dictionary'!$D$5:$D$135&lt;&gt;"")))</f>
        <v/>
      </c>
      <c r="L1280" s="27">
        <f>IF($A1280="","",TRIM(IF(ISERROR(FIND(",",$C1280)),$C1280,LEFT($C1280,FIND(",",$C1280)-1))))</f>
        <v/>
      </c>
      <c r="M1280" s="28">
        <f>IF($H1280="","",DATE(YEAR($H1280),MONTH($H1280),1))</f>
        <v/>
      </c>
      <c r="N1280" s="26">
        <f>IF($H1280="","",TODAY()-$H1280)</f>
        <v/>
      </c>
      <c r="O1280" s="15" t="n"/>
      <c r="P1280" s="26">
        <f>IF($A1280="","",COUNTIFS('Audit Versions'!$A$6:$A$605,$A1280,'Audit Versions'!$L$6:$L$605,"Active"))</f>
        <v/>
      </c>
      <c r="Q1280" s="15" t="n"/>
      <c r="R1280" s="26">
        <f>IF(OR($A1280="",$P1280=0),"",MOD(N($Q1280),$P1280)+1)</f>
        <v/>
      </c>
      <c r="S1280" s="15" t="n"/>
      <c r="T1280" s="25" t="n"/>
      <c r="U1280" s="26">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Builder'!$B$12="",N($S1280)&lt;='Assignment Builder'!$B$12)))</f>
        <v/>
      </c>
      <c r="V1280" s="23" t="n"/>
    </row>
    <row r="1281">
      <c r="A1281" s="23" t="n"/>
      <c r="B1281" s="23" t="n"/>
      <c r="C1281" s="24" t="n"/>
      <c r="D1281" s="15" t="n"/>
      <c r="E1281" s="23" t="n"/>
      <c r="F1281" s="15" t="n"/>
      <c r="G1281" s="23" t="n"/>
      <c r="H1281" s="25" t="n"/>
      <c r="I1281" s="15" t="n"/>
      <c r="J1281" s="26">
        <f>IF($A1281="","",LEN($C1281)-LEN(SUBSTITUTE($C1281,",",""))+1)</f>
        <v/>
      </c>
      <c r="K1281" s="26">
        <f>IF($A1281="","",SUMPRODUCT(--ISNUMBER(SEARCH('Category Dictionary'!$D$5:$D$135&amp;"",$C1281)),--('Category Dictionary'!$D$5:$D$135&lt;&gt;"")))</f>
        <v/>
      </c>
      <c r="L1281" s="27">
        <f>IF($A1281="","",TRIM(IF(ISERROR(FIND(",",$C1281)),$C1281,LEFT($C1281,FIND(",",$C1281)-1))))</f>
        <v/>
      </c>
      <c r="M1281" s="28">
        <f>IF($H1281="","",DATE(YEAR($H1281),MONTH($H1281),1))</f>
        <v/>
      </c>
      <c r="N1281" s="26">
        <f>IF($H1281="","",TODAY()-$H1281)</f>
        <v/>
      </c>
      <c r="O1281" s="15" t="n"/>
      <c r="P1281" s="26">
        <f>IF($A1281="","",COUNTIFS('Audit Versions'!$A$6:$A$605,$A1281,'Audit Versions'!$L$6:$L$605,"Active"))</f>
        <v/>
      </c>
      <c r="Q1281" s="15" t="n"/>
      <c r="R1281" s="26">
        <f>IF(OR($A1281="",$P1281=0),"",MOD(N($Q1281),$P1281)+1)</f>
        <v/>
      </c>
      <c r="S1281" s="15" t="n"/>
      <c r="T1281" s="25" t="n"/>
      <c r="U1281" s="26">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Builder'!$B$12="",N($S1281)&lt;='Assignment Builder'!$B$12)))</f>
        <v/>
      </c>
      <c r="V1281" s="23" t="n"/>
    </row>
    <row r="1282">
      <c r="A1282" s="23" t="n"/>
      <c r="B1282" s="23" t="n"/>
      <c r="C1282" s="24" t="n"/>
      <c r="D1282" s="15" t="n"/>
      <c r="E1282" s="23" t="n"/>
      <c r="F1282" s="15" t="n"/>
      <c r="G1282" s="23" t="n"/>
      <c r="H1282" s="25" t="n"/>
      <c r="I1282" s="15" t="n"/>
      <c r="J1282" s="26">
        <f>IF($A1282="","",LEN($C1282)-LEN(SUBSTITUTE($C1282,",",""))+1)</f>
        <v/>
      </c>
      <c r="K1282" s="26">
        <f>IF($A1282="","",SUMPRODUCT(--ISNUMBER(SEARCH('Category Dictionary'!$D$5:$D$135&amp;"",$C1282)),--('Category Dictionary'!$D$5:$D$135&lt;&gt;"")))</f>
        <v/>
      </c>
      <c r="L1282" s="27">
        <f>IF($A1282="","",TRIM(IF(ISERROR(FIND(",",$C1282)),$C1282,LEFT($C1282,FIND(",",$C1282)-1))))</f>
        <v/>
      </c>
      <c r="M1282" s="28">
        <f>IF($H1282="","",DATE(YEAR($H1282),MONTH($H1282),1))</f>
        <v/>
      </c>
      <c r="N1282" s="26">
        <f>IF($H1282="","",TODAY()-$H1282)</f>
        <v/>
      </c>
      <c r="O1282" s="15" t="n"/>
      <c r="P1282" s="26">
        <f>IF($A1282="","",COUNTIFS('Audit Versions'!$A$6:$A$605,$A1282,'Audit Versions'!$L$6:$L$605,"Active"))</f>
        <v/>
      </c>
      <c r="Q1282" s="15" t="n"/>
      <c r="R1282" s="26">
        <f>IF(OR($A1282="",$P1282=0),"",MOD(N($Q1282),$P1282)+1)</f>
        <v/>
      </c>
      <c r="S1282" s="15" t="n"/>
      <c r="T1282" s="25" t="n"/>
      <c r="U1282" s="26">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Builder'!$B$12="",N($S1282)&lt;='Assignment Builder'!$B$12)))</f>
        <v/>
      </c>
      <c r="V1282" s="23" t="n"/>
    </row>
    <row r="1283">
      <c r="A1283" s="23" t="n"/>
      <c r="B1283" s="23" t="n"/>
      <c r="C1283" s="24" t="n"/>
      <c r="D1283" s="15" t="n"/>
      <c r="E1283" s="23" t="n"/>
      <c r="F1283" s="15" t="n"/>
      <c r="G1283" s="23" t="n"/>
      <c r="H1283" s="25" t="n"/>
      <c r="I1283" s="15" t="n"/>
      <c r="J1283" s="26">
        <f>IF($A1283="","",LEN($C1283)-LEN(SUBSTITUTE($C1283,",",""))+1)</f>
        <v/>
      </c>
      <c r="K1283" s="26">
        <f>IF($A1283="","",SUMPRODUCT(--ISNUMBER(SEARCH('Category Dictionary'!$D$5:$D$135&amp;"",$C1283)),--('Category Dictionary'!$D$5:$D$135&lt;&gt;"")))</f>
        <v/>
      </c>
      <c r="L1283" s="27">
        <f>IF($A1283="","",TRIM(IF(ISERROR(FIND(",",$C1283)),$C1283,LEFT($C1283,FIND(",",$C1283)-1))))</f>
        <v/>
      </c>
      <c r="M1283" s="28">
        <f>IF($H1283="","",DATE(YEAR($H1283),MONTH($H1283),1))</f>
        <v/>
      </c>
      <c r="N1283" s="26">
        <f>IF($H1283="","",TODAY()-$H1283)</f>
        <v/>
      </c>
      <c r="O1283" s="15" t="n"/>
      <c r="P1283" s="26">
        <f>IF($A1283="","",COUNTIFS('Audit Versions'!$A$6:$A$605,$A1283,'Audit Versions'!$L$6:$L$605,"Active"))</f>
        <v/>
      </c>
      <c r="Q1283" s="15" t="n"/>
      <c r="R1283" s="26">
        <f>IF(OR($A1283="",$P1283=0),"",MOD(N($Q1283),$P1283)+1)</f>
        <v/>
      </c>
      <c r="S1283" s="15" t="n"/>
      <c r="T1283" s="25" t="n"/>
      <c r="U1283" s="26">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Builder'!$B$12="",N($S1283)&lt;='Assignment Builder'!$B$12)))</f>
        <v/>
      </c>
      <c r="V1283" s="23" t="n"/>
    </row>
    <row r="1284">
      <c r="A1284" s="23" t="n"/>
      <c r="B1284" s="23" t="n"/>
      <c r="C1284" s="24" t="n"/>
      <c r="D1284" s="15" t="n"/>
      <c r="E1284" s="23" t="n"/>
      <c r="F1284" s="15" t="n"/>
      <c r="G1284" s="23" t="n"/>
      <c r="H1284" s="25" t="n"/>
      <c r="I1284" s="15" t="n"/>
      <c r="J1284" s="26">
        <f>IF($A1284="","",LEN($C1284)-LEN(SUBSTITUTE($C1284,",",""))+1)</f>
        <v/>
      </c>
      <c r="K1284" s="26">
        <f>IF($A1284="","",SUMPRODUCT(--ISNUMBER(SEARCH('Category Dictionary'!$D$5:$D$135&amp;"",$C1284)),--('Category Dictionary'!$D$5:$D$135&lt;&gt;"")))</f>
        <v/>
      </c>
      <c r="L1284" s="27">
        <f>IF($A1284="","",TRIM(IF(ISERROR(FIND(",",$C1284)),$C1284,LEFT($C1284,FIND(",",$C1284)-1))))</f>
        <v/>
      </c>
      <c r="M1284" s="28">
        <f>IF($H1284="","",DATE(YEAR($H1284),MONTH($H1284),1))</f>
        <v/>
      </c>
      <c r="N1284" s="26">
        <f>IF($H1284="","",TODAY()-$H1284)</f>
        <v/>
      </c>
      <c r="O1284" s="15" t="n"/>
      <c r="P1284" s="26">
        <f>IF($A1284="","",COUNTIFS('Audit Versions'!$A$6:$A$605,$A1284,'Audit Versions'!$L$6:$L$605,"Active"))</f>
        <v/>
      </c>
      <c r="Q1284" s="15" t="n"/>
      <c r="R1284" s="26">
        <f>IF(OR($A1284="",$P1284=0),"",MOD(N($Q1284),$P1284)+1)</f>
        <v/>
      </c>
      <c r="S1284" s="15" t="n"/>
      <c r="T1284" s="25" t="n"/>
      <c r="U1284" s="26">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Builder'!$B$12="",N($S1284)&lt;='Assignment Builder'!$B$12)))</f>
        <v/>
      </c>
      <c r="V1284" s="23" t="n"/>
    </row>
    <row r="1285">
      <c r="A1285" s="23" t="n"/>
      <c r="B1285" s="23" t="n"/>
      <c r="C1285" s="24" t="n"/>
      <c r="D1285" s="15" t="n"/>
      <c r="E1285" s="23" t="n"/>
      <c r="F1285" s="15" t="n"/>
      <c r="G1285" s="23" t="n"/>
      <c r="H1285" s="25" t="n"/>
      <c r="I1285" s="15" t="n"/>
      <c r="J1285" s="26">
        <f>IF($A1285="","",LEN($C1285)-LEN(SUBSTITUTE($C1285,",",""))+1)</f>
        <v/>
      </c>
      <c r="K1285" s="26">
        <f>IF($A1285="","",SUMPRODUCT(--ISNUMBER(SEARCH('Category Dictionary'!$D$5:$D$135&amp;"",$C1285)),--('Category Dictionary'!$D$5:$D$135&lt;&gt;"")))</f>
        <v/>
      </c>
      <c r="L1285" s="27">
        <f>IF($A1285="","",TRIM(IF(ISERROR(FIND(",",$C1285)),$C1285,LEFT($C1285,FIND(",",$C1285)-1))))</f>
        <v/>
      </c>
      <c r="M1285" s="28">
        <f>IF($H1285="","",DATE(YEAR($H1285),MONTH($H1285),1))</f>
        <v/>
      </c>
      <c r="N1285" s="26">
        <f>IF($H1285="","",TODAY()-$H1285)</f>
        <v/>
      </c>
      <c r="O1285" s="15" t="n"/>
      <c r="P1285" s="26">
        <f>IF($A1285="","",COUNTIFS('Audit Versions'!$A$6:$A$605,$A1285,'Audit Versions'!$L$6:$L$605,"Active"))</f>
        <v/>
      </c>
      <c r="Q1285" s="15" t="n"/>
      <c r="R1285" s="26">
        <f>IF(OR($A1285="",$P1285=0),"",MOD(N($Q1285),$P1285)+1)</f>
        <v/>
      </c>
      <c r="S1285" s="15" t="n"/>
      <c r="T1285" s="25" t="n"/>
      <c r="U1285" s="26">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Builder'!$B$12="",N($S1285)&lt;='Assignment Builder'!$B$12)))</f>
        <v/>
      </c>
      <c r="V1285" s="23" t="n"/>
    </row>
    <row r="1286">
      <c r="A1286" s="23" t="n"/>
      <c r="B1286" s="23" t="n"/>
      <c r="C1286" s="24" t="n"/>
      <c r="D1286" s="15" t="n"/>
      <c r="E1286" s="23" t="n"/>
      <c r="F1286" s="15" t="n"/>
      <c r="G1286" s="23" t="n"/>
      <c r="H1286" s="25" t="n"/>
      <c r="I1286" s="15" t="n"/>
      <c r="J1286" s="26">
        <f>IF($A1286="","",LEN($C1286)-LEN(SUBSTITUTE($C1286,",",""))+1)</f>
        <v/>
      </c>
      <c r="K1286" s="26">
        <f>IF($A1286="","",SUMPRODUCT(--ISNUMBER(SEARCH('Category Dictionary'!$D$5:$D$135&amp;"",$C1286)),--('Category Dictionary'!$D$5:$D$135&lt;&gt;"")))</f>
        <v/>
      </c>
      <c r="L1286" s="27">
        <f>IF($A1286="","",TRIM(IF(ISERROR(FIND(",",$C1286)),$C1286,LEFT($C1286,FIND(",",$C1286)-1))))</f>
        <v/>
      </c>
      <c r="M1286" s="28">
        <f>IF($H1286="","",DATE(YEAR($H1286),MONTH($H1286),1))</f>
        <v/>
      </c>
      <c r="N1286" s="26">
        <f>IF($H1286="","",TODAY()-$H1286)</f>
        <v/>
      </c>
      <c r="O1286" s="15" t="n"/>
      <c r="P1286" s="26">
        <f>IF($A1286="","",COUNTIFS('Audit Versions'!$A$6:$A$605,$A1286,'Audit Versions'!$L$6:$L$605,"Active"))</f>
        <v/>
      </c>
      <c r="Q1286" s="15" t="n"/>
      <c r="R1286" s="26">
        <f>IF(OR($A1286="",$P1286=0),"",MOD(N($Q1286),$P1286)+1)</f>
        <v/>
      </c>
      <c r="S1286" s="15" t="n"/>
      <c r="T1286" s="25" t="n"/>
      <c r="U1286" s="26">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Builder'!$B$12="",N($S1286)&lt;='Assignment Builder'!$B$12)))</f>
        <v/>
      </c>
      <c r="V1286" s="23" t="n"/>
    </row>
    <row r="1287">
      <c r="A1287" s="23" t="n"/>
      <c r="B1287" s="23" t="n"/>
      <c r="C1287" s="24" t="n"/>
      <c r="D1287" s="15" t="n"/>
      <c r="E1287" s="23" t="n"/>
      <c r="F1287" s="15" t="n"/>
      <c r="G1287" s="23" t="n"/>
      <c r="H1287" s="25" t="n"/>
      <c r="I1287" s="15" t="n"/>
      <c r="J1287" s="26">
        <f>IF($A1287="","",LEN($C1287)-LEN(SUBSTITUTE($C1287,",",""))+1)</f>
        <v/>
      </c>
      <c r="K1287" s="26">
        <f>IF($A1287="","",SUMPRODUCT(--ISNUMBER(SEARCH('Category Dictionary'!$D$5:$D$135&amp;"",$C1287)),--('Category Dictionary'!$D$5:$D$135&lt;&gt;"")))</f>
        <v/>
      </c>
      <c r="L1287" s="27">
        <f>IF($A1287="","",TRIM(IF(ISERROR(FIND(",",$C1287)),$C1287,LEFT($C1287,FIND(",",$C1287)-1))))</f>
        <v/>
      </c>
      <c r="M1287" s="28">
        <f>IF($H1287="","",DATE(YEAR($H1287),MONTH($H1287),1))</f>
        <v/>
      </c>
      <c r="N1287" s="26">
        <f>IF($H1287="","",TODAY()-$H1287)</f>
        <v/>
      </c>
      <c r="O1287" s="15" t="n"/>
      <c r="P1287" s="26">
        <f>IF($A1287="","",COUNTIFS('Audit Versions'!$A$6:$A$605,$A1287,'Audit Versions'!$L$6:$L$605,"Active"))</f>
        <v/>
      </c>
      <c r="Q1287" s="15" t="n"/>
      <c r="R1287" s="26">
        <f>IF(OR($A1287="",$P1287=0),"",MOD(N($Q1287),$P1287)+1)</f>
        <v/>
      </c>
      <c r="S1287" s="15" t="n"/>
      <c r="T1287" s="25" t="n"/>
      <c r="U1287" s="26">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Builder'!$B$12="",N($S1287)&lt;='Assignment Builder'!$B$12)))</f>
        <v/>
      </c>
      <c r="V1287" s="23" t="n"/>
    </row>
    <row r="1288">
      <c r="A1288" s="23" t="n"/>
      <c r="B1288" s="23" t="n"/>
      <c r="C1288" s="24" t="n"/>
      <c r="D1288" s="15" t="n"/>
      <c r="E1288" s="23" t="n"/>
      <c r="F1288" s="15" t="n"/>
      <c r="G1288" s="23" t="n"/>
      <c r="H1288" s="25" t="n"/>
      <c r="I1288" s="15" t="n"/>
      <c r="J1288" s="26">
        <f>IF($A1288="","",LEN($C1288)-LEN(SUBSTITUTE($C1288,",",""))+1)</f>
        <v/>
      </c>
      <c r="K1288" s="26">
        <f>IF($A1288="","",SUMPRODUCT(--ISNUMBER(SEARCH('Category Dictionary'!$D$5:$D$135&amp;"",$C1288)),--('Category Dictionary'!$D$5:$D$135&lt;&gt;"")))</f>
        <v/>
      </c>
      <c r="L1288" s="27">
        <f>IF($A1288="","",TRIM(IF(ISERROR(FIND(",",$C1288)),$C1288,LEFT($C1288,FIND(",",$C1288)-1))))</f>
        <v/>
      </c>
      <c r="M1288" s="28">
        <f>IF($H1288="","",DATE(YEAR($H1288),MONTH($H1288),1))</f>
        <v/>
      </c>
      <c r="N1288" s="26">
        <f>IF($H1288="","",TODAY()-$H1288)</f>
        <v/>
      </c>
      <c r="O1288" s="15" t="n"/>
      <c r="P1288" s="26">
        <f>IF($A1288="","",COUNTIFS('Audit Versions'!$A$6:$A$605,$A1288,'Audit Versions'!$L$6:$L$605,"Active"))</f>
        <v/>
      </c>
      <c r="Q1288" s="15" t="n"/>
      <c r="R1288" s="26">
        <f>IF(OR($A1288="",$P1288=0),"",MOD(N($Q1288),$P1288)+1)</f>
        <v/>
      </c>
      <c r="S1288" s="15" t="n"/>
      <c r="T1288" s="25" t="n"/>
      <c r="U1288" s="26">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Builder'!$B$12="",N($S1288)&lt;='Assignment Builder'!$B$12)))</f>
        <v/>
      </c>
      <c r="V1288" s="23" t="n"/>
    </row>
    <row r="1289">
      <c r="A1289" s="23" t="n"/>
      <c r="B1289" s="23" t="n"/>
      <c r="C1289" s="24" t="n"/>
      <c r="D1289" s="15" t="n"/>
      <c r="E1289" s="23" t="n"/>
      <c r="F1289" s="15" t="n"/>
      <c r="G1289" s="23" t="n"/>
      <c r="H1289" s="25" t="n"/>
      <c r="I1289" s="15" t="n"/>
      <c r="J1289" s="26">
        <f>IF($A1289="","",LEN($C1289)-LEN(SUBSTITUTE($C1289,",",""))+1)</f>
        <v/>
      </c>
      <c r="K1289" s="26">
        <f>IF($A1289="","",SUMPRODUCT(--ISNUMBER(SEARCH('Category Dictionary'!$D$5:$D$135&amp;"",$C1289)),--('Category Dictionary'!$D$5:$D$135&lt;&gt;"")))</f>
        <v/>
      </c>
      <c r="L1289" s="27">
        <f>IF($A1289="","",TRIM(IF(ISERROR(FIND(",",$C1289)),$C1289,LEFT($C1289,FIND(",",$C1289)-1))))</f>
        <v/>
      </c>
      <c r="M1289" s="28">
        <f>IF($H1289="","",DATE(YEAR($H1289),MONTH($H1289),1))</f>
        <v/>
      </c>
      <c r="N1289" s="26">
        <f>IF($H1289="","",TODAY()-$H1289)</f>
        <v/>
      </c>
      <c r="O1289" s="15" t="n"/>
      <c r="P1289" s="26">
        <f>IF($A1289="","",COUNTIFS('Audit Versions'!$A$6:$A$605,$A1289,'Audit Versions'!$L$6:$L$605,"Active"))</f>
        <v/>
      </c>
      <c r="Q1289" s="15" t="n"/>
      <c r="R1289" s="26">
        <f>IF(OR($A1289="",$P1289=0),"",MOD(N($Q1289),$P1289)+1)</f>
        <v/>
      </c>
      <c r="S1289" s="15" t="n"/>
      <c r="T1289" s="25" t="n"/>
      <c r="U1289" s="26">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Builder'!$B$12="",N($S1289)&lt;='Assignment Builder'!$B$12)))</f>
        <v/>
      </c>
      <c r="V1289" s="23" t="n"/>
    </row>
    <row r="1290">
      <c r="A1290" s="23" t="n"/>
      <c r="B1290" s="23" t="n"/>
      <c r="C1290" s="24" t="n"/>
      <c r="D1290" s="15" t="n"/>
      <c r="E1290" s="23" t="n"/>
      <c r="F1290" s="15" t="n"/>
      <c r="G1290" s="23" t="n"/>
      <c r="H1290" s="25" t="n"/>
      <c r="I1290" s="15" t="n"/>
      <c r="J1290" s="26">
        <f>IF($A1290="","",LEN($C1290)-LEN(SUBSTITUTE($C1290,",",""))+1)</f>
        <v/>
      </c>
      <c r="K1290" s="26">
        <f>IF($A1290="","",SUMPRODUCT(--ISNUMBER(SEARCH('Category Dictionary'!$D$5:$D$135&amp;"",$C1290)),--('Category Dictionary'!$D$5:$D$135&lt;&gt;"")))</f>
        <v/>
      </c>
      <c r="L1290" s="27">
        <f>IF($A1290="","",TRIM(IF(ISERROR(FIND(",",$C1290)),$C1290,LEFT($C1290,FIND(",",$C1290)-1))))</f>
        <v/>
      </c>
      <c r="M1290" s="28">
        <f>IF($H1290="","",DATE(YEAR($H1290),MONTH($H1290),1))</f>
        <v/>
      </c>
      <c r="N1290" s="26">
        <f>IF($H1290="","",TODAY()-$H1290)</f>
        <v/>
      </c>
      <c r="O1290" s="15" t="n"/>
      <c r="P1290" s="26">
        <f>IF($A1290="","",COUNTIFS('Audit Versions'!$A$6:$A$605,$A1290,'Audit Versions'!$L$6:$L$605,"Active"))</f>
        <v/>
      </c>
      <c r="Q1290" s="15" t="n"/>
      <c r="R1290" s="26">
        <f>IF(OR($A1290="",$P1290=0),"",MOD(N($Q1290),$P1290)+1)</f>
        <v/>
      </c>
      <c r="S1290" s="15" t="n"/>
      <c r="T1290" s="25" t="n"/>
      <c r="U1290" s="26">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Builder'!$B$12="",N($S1290)&lt;='Assignment Builder'!$B$12)))</f>
        <v/>
      </c>
      <c r="V1290" s="23" t="n"/>
    </row>
    <row r="1291">
      <c r="A1291" s="23" t="n"/>
      <c r="B1291" s="23" t="n"/>
      <c r="C1291" s="24" t="n"/>
      <c r="D1291" s="15" t="n"/>
      <c r="E1291" s="23" t="n"/>
      <c r="F1291" s="15" t="n"/>
      <c r="G1291" s="23" t="n"/>
      <c r="H1291" s="25" t="n"/>
      <c r="I1291" s="15" t="n"/>
      <c r="J1291" s="26">
        <f>IF($A1291="","",LEN($C1291)-LEN(SUBSTITUTE($C1291,",",""))+1)</f>
        <v/>
      </c>
      <c r="K1291" s="26">
        <f>IF($A1291="","",SUMPRODUCT(--ISNUMBER(SEARCH('Category Dictionary'!$D$5:$D$135&amp;"",$C1291)),--('Category Dictionary'!$D$5:$D$135&lt;&gt;"")))</f>
        <v/>
      </c>
      <c r="L1291" s="27">
        <f>IF($A1291="","",TRIM(IF(ISERROR(FIND(",",$C1291)),$C1291,LEFT($C1291,FIND(",",$C1291)-1))))</f>
        <v/>
      </c>
      <c r="M1291" s="28">
        <f>IF($H1291="","",DATE(YEAR($H1291),MONTH($H1291),1))</f>
        <v/>
      </c>
      <c r="N1291" s="26">
        <f>IF($H1291="","",TODAY()-$H1291)</f>
        <v/>
      </c>
      <c r="O1291" s="15" t="n"/>
      <c r="P1291" s="26">
        <f>IF($A1291="","",COUNTIFS('Audit Versions'!$A$6:$A$605,$A1291,'Audit Versions'!$L$6:$L$605,"Active"))</f>
        <v/>
      </c>
      <c r="Q1291" s="15" t="n"/>
      <c r="R1291" s="26">
        <f>IF(OR($A1291="",$P1291=0),"",MOD(N($Q1291),$P1291)+1)</f>
        <v/>
      </c>
      <c r="S1291" s="15" t="n"/>
      <c r="T1291" s="25" t="n"/>
      <c r="U1291" s="26">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Builder'!$B$12="",N($S1291)&lt;='Assignment Builder'!$B$12)))</f>
        <v/>
      </c>
      <c r="V1291" s="23" t="n"/>
    </row>
    <row r="1292">
      <c r="A1292" s="23" t="n"/>
      <c r="B1292" s="23" t="n"/>
      <c r="C1292" s="24" t="n"/>
      <c r="D1292" s="15" t="n"/>
      <c r="E1292" s="23" t="n"/>
      <c r="F1292" s="15" t="n"/>
      <c r="G1292" s="23" t="n"/>
      <c r="H1292" s="25" t="n"/>
      <c r="I1292" s="15" t="n"/>
      <c r="J1292" s="26">
        <f>IF($A1292="","",LEN($C1292)-LEN(SUBSTITUTE($C1292,",",""))+1)</f>
        <v/>
      </c>
      <c r="K1292" s="26">
        <f>IF($A1292="","",SUMPRODUCT(--ISNUMBER(SEARCH('Category Dictionary'!$D$5:$D$135&amp;"",$C1292)),--('Category Dictionary'!$D$5:$D$135&lt;&gt;"")))</f>
        <v/>
      </c>
      <c r="L1292" s="27">
        <f>IF($A1292="","",TRIM(IF(ISERROR(FIND(",",$C1292)),$C1292,LEFT($C1292,FIND(",",$C1292)-1))))</f>
        <v/>
      </c>
      <c r="M1292" s="28">
        <f>IF($H1292="","",DATE(YEAR($H1292),MONTH($H1292),1))</f>
        <v/>
      </c>
      <c r="N1292" s="26">
        <f>IF($H1292="","",TODAY()-$H1292)</f>
        <v/>
      </c>
      <c r="O1292" s="15" t="n"/>
      <c r="P1292" s="26">
        <f>IF($A1292="","",COUNTIFS('Audit Versions'!$A$6:$A$605,$A1292,'Audit Versions'!$L$6:$L$605,"Active"))</f>
        <v/>
      </c>
      <c r="Q1292" s="15" t="n"/>
      <c r="R1292" s="26">
        <f>IF(OR($A1292="",$P1292=0),"",MOD(N($Q1292),$P1292)+1)</f>
        <v/>
      </c>
      <c r="S1292" s="15" t="n"/>
      <c r="T1292" s="25" t="n"/>
      <c r="U1292" s="26">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Builder'!$B$12="",N($S1292)&lt;='Assignment Builder'!$B$12)))</f>
        <v/>
      </c>
      <c r="V1292" s="23" t="n"/>
    </row>
    <row r="1293">
      <c r="A1293" s="23" t="n"/>
      <c r="B1293" s="23" t="n"/>
      <c r="C1293" s="24" t="n"/>
      <c r="D1293" s="15" t="n"/>
      <c r="E1293" s="23" t="n"/>
      <c r="F1293" s="15" t="n"/>
      <c r="G1293" s="23" t="n"/>
      <c r="H1293" s="25" t="n"/>
      <c r="I1293" s="15" t="n"/>
      <c r="J1293" s="26">
        <f>IF($A1293="","",LEN($C1293)-LEN(SUBSTITUTE($C1293,",",""))+1)</f>
        <v/>
      </c>
      <c r="K1293" s="26">
        <f>IF($A1293="","",SUMPRODUCT(--ISNUMBER(SEARCH('Category Dictionary'!$D$5:$D$135&amp;"",$C1293)),--('Category Dictionary'!$D$5:$D$135&lt;&gt;"")))</f>
        <v/>
      </c>
      <c r="L1293" s="27">
        <f>IF($A1293="","",TRIM(IF(ISERROR(FIND(",",$C1293)),$C1293,LEFT($C1293,FIND(",",$C1293)-1))))</f>
        <v/>
      </c>
      <c r="M1293" s="28">
        <f>IF($H1293="","",DATE(YEAR($H1293),MONTH($H1293),1))</f>
        <v/>
      </c>
      <c r="N1293" s="26">
        <f>IF($H1293="","",TODAY()-$H1293)</f>
        <v/>
      </c>
      <c r="O1293" s="15" t="n"/>
      <c r="P1293" s="26">
        <f>IF($A1293="","",COUNTIFS('Audit Versions'!$A$6:$A$605,$A1293,'Audit Versions'!$L$6:$L$605,"Active"))</f>
        <v/>
      </c>
      <c r="Q1293" s="15" t="n"/>
      <c r="R1293" s="26">
        <f>IF(OR($A1293="",$P1293=0),"",MOD(N($Q1293),$P1293)+1)</f>
        <v/>
      </c>
      <c r="S1293" s="15" t="n"/>
      <c r="T1293" s="25" t="n"/>
      <c r="U1293" s="26">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Builder'!$B$12="",N($S1293)&lt;='Assignment Builder'!$B$12)))</f>
        <v/>
      </c>
      <c r="V1293" s="23" t="n"/>
    </row>
    <row r="1294">
      <c r="A1294" s="23" t="n"/>
      <c r="B1294" s="23" t="n"/>
      <c r="C1294" s="24" t="n"/>
      <c r="D1294" s="15" t="n"/>
      <c r="E1294" s="23" t="n"/>
      <c r="F1294" s="15" t="n"/>
      <c r="G1294" s="23" t="n"/>
      <c r="H1294" s="25" t="n"/>
      <c r="I1294" s="15" t="n"/>
      <c r="J1294" s="26">
        <f>IF($A1294="","",LEN($C1294)-LEN(SUBSTITUTE($C1294,",",""))+1)</f>
        <v/>
      </c>
      <c r="K1294" s="26">
        <f>IF($A1294="","",SUMPRODUCT(--ISNUMBER(SEARCH('Category Dictionary'!$D$5:$D$135&amp;"",$C1294)),--('Category Dictionary'!$D$5:$D$135&lt;&gt;"")))</f>
        <v/>
      </c>
      <c r="L1294" s="27">
        <f>IF($A1294="","",TRIM(IF(ISERROR(FIND(",",$C1294)),$C1294,LEFT($C1294,FIND(",",$C1294)-1))))</f>
        <v/>
      </c>
      <c r="M1294" s="28">
        <f>IF($H1294="","",DATE(YEAR($H1294),MONTH($H1294),1))</f>
        <v/>
      </c>
      <c r="N1294" s="26">
        <f>IF($H1294="","",TODAY()-$H1294)</f>
        <v/>
      </c>
      <c r="O1294" s="15" t="n"/>
      <c r="P1294" s="26">
        <f>IF($A1294="","",COUNTIFS('Audit Versions'!$A$6:$A$605,$A1294,'Audit Versions'!$L$6:$L$605,"Active"))</f>
        <v/>
      </c>
      <c r="Q1294" s="15" t="n"/>
      <c r="R1294" s="26">
        <f>IF(OR($A1294="",$P1294=0),"",MOD(N($Q1294),$P1294)+1)</f>
        <v/>
      </c>
      <c r="S1294" s="15" t="n"/>
      <c r="T1294" s="25" t="n"/>
      <c r="U1294" s="26">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Builder'!$B$12="",N($S1294)&lt;='Assignment Builder'!$B$12)))</f>
        <v/>
      </c>
      <c r="V1294" s="23" t="n"/>
    </row>
    <row r="1295">
      <c r="A1295" s="23" t="n"/>
      <c r="B1295" s="23" t="n"/>
      <c r="C1295" s="24" t="n"/>
      <c r="D1295" s="15" t="n"/>
      <c r="E1295" s="23" t="n"/>
      <c r="F1295" s="15" t="n"/>
      <c r="G1295" s="23" t="n"/>
      <c r="H1295" s="25" t="n"/>
      <c r="I1295" s="15" t="n"/>
      <c r="J1295" s="26">
        <f>IF($A1295="","",LEN($C1295)-LEN(SUBSTITUTE($C1295,",",""))+1)</f>
        <v/>
      </c>
      <c r="K1295" s="26">
        <f>IF($A1295="","",SUMPRODUCT(--ISNUMBER(SEARCH('Category Dictionary'!$D$5:$D$135&amp;"",$C1295)),--('Category Dictionary'!$D$5:$D$135&lt;&gt;"")))</f>
        <v/>
      </c>
      <c r="L1295" s="27">
        <f>IF($A1295="","",TRIM(IF(ISERROR(FIND(",",$C1295)),$C1295,LEFT($C1295,FIND(",",$C1295)-1))))</f>
        <v/>
      </c>
      <c r="M1295" s="28">
        <f>IF($H1295="","",DATE(YEAR($H1295),MONTH($H1295),1))</f>
        <v/>
      </c>
      <c r="N1295" s="26">
        <f>IF($H1295="","",TODAY()-$H1295)</f>
        <v/>
      </c>
      <c r="O1295" s="15" t="n"/>
      <c r="P1295" s="26">
        <f>IF($A1295="","",COUNTIFS('Audit Versions'!$A$6:$A$605,$A1295,'Audit Versions'!$L$6:$L$605,"Active"))</f>
        <v/>
      </c>
      <c r="Q1295" s="15" t="n"/>
      <c r="R1295" s="26">
        <f>IF(OR($A1295="",$P1295=0),"",MOD(N($Q1295),$P1295)+1)</f>
        <v/>
      </c>
      <c r="S1295" s="15" t="n"/>
      <c r="T1295" s="25" t="n"/>
      <c r="U1295" s="26">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Builder'!$B$12="",N($S1295)&lt;='Assignment Builder'!$B$12)))</f>
        <v/>
      </c>
      <c r="V1295" s="23" t="n"/>
    </row>
    <row r="1296">
      <c r="A1296" s="23" t="n"/>
      <c r="B1296" s="23" t="n"/>
      <c r="C1296" s="24" t="n"/>
      <c r="D1296" s="15" t="n"/>
      <c r="E1296" s="23" t="n"/>
      <c r="F1296" s="15" t="n"/>
      <c r="G1296" s="23" t="n"/>
      <c r="H1296" s="25" t="n"/>
      <c r="I1296" s="15" t="n"/>
      <c r="J1296" s="26">
        <f>IF($A1296="","",LEN($C1296)-LEN(SUBSTITUTE($C1296,",",""))+1)</f>
        <v/>
      </c>
      <c r="K1296" s="26">
        <f>IF($A1296="","",SUMPRODUCT(--ISNUMBER(SEARCH('Category Dictionary'!$D$5:$D$135&amp;"",$C1296)),--('Category Dictionary'!$D$5:$D$135&lt;&gt;"")))</f>
        <v/>
      </c>
      <c r="L1296" s="27">
        <f>IF($A1296="","",TRIM(IF(ISERROR(FIND(",",$C1296)),$C1296,LEFT($C1296,FIND(",",$C1296)-1))))</f>
        <v/>
      </c>
      <c r="M1296" s="28">
        <f>IF($H1296="","",DATE(YEAR($H1296),MONTH($H1296),1))</f>
        <v/>
      </c>
      <c r="N1296" s="26">
        <f>IF($H1296="","",TODAY()-$H1296)</f>
        <v/>
      </c>
      <c r="O1296" s="15" t="n"/>
      <c r="P1296" s="26">
        <f>IF($A1296="","",COUNTIFS('Audit Versions'!$A$6:$A$605,$A1296,'Audit Versions'!$L$6:$L$605,"Active"))</f>
        <v/>
      </c>
      <c r="Q1296" s="15" t="n"/>
      <c r="R1296" s="26">
        <f>IF(OR($A1296="",$P1296=0),"",MOD(N($Q1296),$P1296)+1)</f>
        <v/>
      </c>
      <c r="S1296" s="15" t="n"/>
      <c r="T1296" s="25" t="n"/>
      <c r="U1296" s="26">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Builder'!$B$12="",N($S1296)&lt;='Assignment Builder'!$B$12)))</f>
        <v/>
      </c>
      <c r="V1296" s="23" t="n"/>
    </row>
    <row r="1297">
      <c r="A1297" s="23" t="n"/>
      <c r="B1297" s="23" t="n"/>
      <c r="C1297" s="24" t="n"/>
      <c r="D1297" s="15" t="n"/>
      <c r="E1297" s="23" t="n"/>
      <c r="F1297" s="15" t="n"/>
      <c r="G1297" s="23" t="n"/>
      <c r="H1297" s="25" t="n"/>
      <c r="I1297" s="15" t="n"/>
      <c r="J1297" s="26">
        <f>IF($A1297="","",LEN($C1297)-LEN(SUBSTITUTE($C1297,",",""))+1)</f>
        <v/>
      </c>
      <c r="K1297" s="26">
        <f>IF($A1297="","",SUMPRODUCT(--ISNUMBER(SEARCH('Category Dictionary'!$D$5:$D$135&amp;"",$C1297)),--('Category Dictionary'!$D$5:$D$135&lt;&gt;"")))</f>
        <v/>
      </c>
      <c r="L1297" s="27">
        <f>IF($A1297="","",TRIM(IF(ISERROR(FIND(",",$C1297)),$C1297,LEFT($C1297,FIND(",",$C1297)-1))))</f>
        <v/>
      </c>
      <c r="M1297" s="28">
        <f>IF($H1297="","",DATE(YEAR($H1297),MONTH($H1297),1))</f>
        <v/>
      </c>
      <c r="N1297" s="26">
        <f>IF($H1297="","",TODAY()-$H1297)</f>
        <v/>
      </c>
      <c r="O1297" s="15" t="n"/>
      <c r="P1297" s="26">
        <f>IF($A1297="","",COUNTIFS('Audit Versions'!$A$6:$A$605,$A1297,'Audit Versions'!$L$6:$L$605,"Active"))</f>
        <v/>
      </c>
      <c r="Q1297" s="15" t="n"/>
      <c r="R1297" s="26">
        <f>IF(OR($A1297="",$P1297=0),"",MOD(N($Q1297),$P1297)+1)</f>
        <v/>
      </c>
      <c r="S1297" s="15" t="n"/>
      <c r="T1297" s="25" t="n"/>
      <c r="U1297" s="26">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Builder'!$B$12="",N($S1297)&lt;='Assignment Builder'!$B$12)))</f>
        <v/>
      </c>
      <c r="V1297" s="23" t="n"/>
    </row>
    <row r="1298">
      <c r="A1298" s="23" t="n"/>
      <c r="B1298" s="23" t="n"/>
      <c r="C1298" s="24" t="n"/>
      <c r="D1298" s="15" t="n"/>
      <c r="E1298" s="23" t="n"/>
      <c r="F1298" s="15" t="n"/>
      <c r="G1298" s="23" t="n"/>
      <c r="H1298" s="25" t="n"/>
      <c r="I1298" s="15" t="n"/>
      <c r="J1298" s="26">
        <f>IF($A1298="","",LEN($C1298)-LEN(SUBSTITUTE($C1298,",",""))+1)</f>
        <v/>
      </c>
      <c r="K1298" s="26">
        <f>IF($A1298="","",SUMPRODUCT(--ISNUMBER(SEARCH('Category Dictionary'!$D$5:$D$135&amp;"",$C1298)),--('Category Dictionary'!$D$5:$D$135&lt;&gt;"")))</f>
        <v/>
      </c>
      <c r="L1298" s="27">
        <f>IF($A1298="","",TRIM(IF(ISERROR(FIND(",",$C1298)),$C1298,LEFT($C1298,FIND(",",$C1298)-1))))</f>
        <v/>
      </c>
      <c r="M1298" s="28">
        <f>IF($H1298="","",DATE(YEAR($H1298),MONTH($H1298),1))</f>
        <v/>
      </c>
      <c r="N1298" s="26">
        <f>IF($H1298="","",TODAY()-$H1298)</f>
        <v/>
      </c>
      <c r="O1298" s="15" t="n"/>
      <c r="P1298" s="26">
        <f>IF($A1298="","",COUNTIFS('Audit Versions'!$A$6:$A$605,$A1298,'Audit Versions'!$L$6:$L$605,"Active"))</f>
        <v/>
      </c>
      <c r="Q1298" s="15" t="n"/>
      <c r="R1298" s="26">
        <f>IF(OR($A1298="",$P1298=0),"",MOD(N($Q1298),$P1298)+1)</f>
        <v/>
      </c>
      <c r="S1298" s="15" t="n"/>
      <c r="T1298" s="25" t="n"/>
      <c r="U1298" s="26">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Builder'!$B$12="",N($S1298)&lt;='Assignment Builder'!$B$12)))</f>
        <v/>
      </c>
      <c r="V1298" s="23" t="n"/>
    </row>
    <row r="1299">
      <c r="A1299" s="23" t="n"/>
      <c r="B1299" s="23" t="n"/>
      <c r="C1299" s="24" t="n"/>
      <c r="D1299" s="15" t="n"/>
      <c r="E1299" s="23" t="n"/>
      <c r="F1299" s="15" t="n"/>
      <c r="G1299" s="23" t="n"/>
      <c r="H1299" s="25" t="n"/>
      <c r="I1299" s="15" t="n"/>
      <c r="J1299" s="26">
        <f>IF($A1299="","",LEN($C1299)-LEN(SUBSTITUTE($C1299,",",""))+1)</f>
        <v/>
      </c>
      <c r="K1299" s="26">
        <f>IF($A1299="","",SUMPRODUCT(--ISNUMBER(SEARCH('Category Dictionary'!$D$5:$D$135&amp;"",$C1299)),--('Category Dictionary'!$D$5:$D$135&lt;&gt;"")))</f>
        <v/>
      </c>
      <c r="L1299" s="27">
        <f>IF($A1299="","",TRIM(IF(ISERROR(FIND(",",$C1299)),$C1299,LEFT($C1299,FIND(",",$C1299)-1))))</f>
        <v/>
      </c>
      <c r="M1299" s="28">
        <f>IF($H1299="","",DATE(YEAR($H1299),MONTH($H1299),1))</f>
        <v/>
      </c>
      <c r="N1299" s="26">
        <f>IF($H1299="","",TODAY()-$H1299)</f>
        <v/>
      </c>
      <c r="O1299" s="15" t="n"/>
      <c r="P1299" s="26">
        <f>IF($A1299="","",COUNTIFS('Audit Versions'!$A$6:$A$605,$A1299,'Audit Versions'!$L$6:$L$605,"Active"))</f>
        <v/>
      </c>
      <c r="Q1299" s="15" t="n"/>
      <c r="R1299" s="26">
        <f>IF(OR($A1299="",$P1299=0),"",MOD(N($Q1299),$P1299)+1)</f>
        <v/>
      </c>
      <c r="S1299" s="15" t="n"/>
      <c r="T1299" s="25" t="n"/>
      <c r="U1299" s="26">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Builder'!$B$12="",N($S1299)&lt;='Assignment Builder'!$B$12)))</f>
        <v/>
      </c>
      <c r="V1299" s="23" t="n"/>
    </row>
    <row r="1300">
      <c r="A1300" s="23" t="n"/>
      <c r="B1300" s="23" t="n"/>
      <c r="C1300" s="24" t="n"/>
      <c r="D1300" s="15" t="n"/>
      <c r="E1300" s="23" t="n"/>
      <c r="F1300" s="15" t="n"/>
      <c r="G1300" s="23" t="n"/>
      <c r="H1300" s="25" t="n"/>
      <c r="I1300" s="15" t="n"/>
      <c r="J1300" s="26">
        <f>IF($A1300="","",LEN($C1300)-LEN(SUBSTITUTE($C1300,",",""))+1)</f>
        <v/>
      </c>
      <c r="K1300" s="26">
        <f>IF($A1300="","",SUMPRODUCT(--ISNUMBER(SEARCH('Category Dictionary'!$D$5:$D$135&amp;"",$C1300)),--('Category Dictionary'!$D$5:$D$135&lt;&gt;"")))</f>
        <v/>
      </c>
      <c r="L1300" s="27">
        <f>IF($A1300="","",TRIM(IF(ISERROR(FIND(",",$C1300)),$C1300,LEFT($C1300,FIND(",",$C1300)-1))))</f>
        <v/>
      </c>
      <c r="M1300" s="28">
        <f>IF($H1300="","",DATE(YEAR($H1300),MONTH($H1300),1))</f>
        <v/>
      </c>
      <c r="N1300" s="26">
        <f>IF($H1300="","",TODAY()-$H1300)</f>
        <v/>
      </c>
      <c r="O1300" s="15" t="n"/>
      <c r="P1300" s="26">
        <f>IF($A1300="","",COUNTIFS('Audit Versions'!$A$6:$A$605,$A1300,'Audit Versions'!$L$6:$L$605,"Active"))</f>
        <v/>
      </c>
      <c r="Q1300" s="15" t="n"/>
      <c r="R1300" s="26">
        <f>IF(OR($A1300="",$P1300=0),"",MOD(N($Q1300),$P1300)+1)</f>
        <v/>
      </c>
      <c r="S1300" s="15" t="n"/>
      <c r="T1300" s="25" t="n"/>
      <c r="U1300" s="26">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Builder'!$B$12="",N($S1300)&lt;='Assignment Builder'!$B$12)))</f>
        <v/>
      </c>
      <c r="V1300" s="23" t="n"/>
    </row>
    <row r="1301">
      <c r="A1301" s="23" t="n"/>
      <c r="B1301" s="23" t="n"/>
      <c r="C1301" s="24" t="n"/>
      <c r="D1301" s="15" t="n"/>
      <c r="E1301" s="23" t="n"/>
      <c r="F1301" s="15" t="n"/>
      <c r="G1301" s="23" t="n"/>
      <c r="H1301" s="25" t="n"/>
      <c r="I1301" s="15" t="n"/>
      <c r="J1301" s="26">
        <f>IF($A1301="","",LEN($C1301)-LEN(SUBSTITUTE($C1301,",",""))+1)</f>
        <v/>
      </c>
      <c r="K1301" s="26">
        <f>IF($A1301="","",SUMPRODUCT(--ISNUMBER(SEARCH('Category Dictionary'!$D$5:$D$135&amp;"",$C1301)),--('Category Dictionary'!$D$5:$D$135&lt;&gt;"")))</f>
        <v/>
      </c>
      <c r="L1301" s="27">
        <f>IF($A1301="","",TRIM(IF(ISERROR(FIND(",",$C1301)),$C1301,LEFT($C1301,FIND(",",$C1301)-1))))</f>
        <v/>
      </c>
      <c r="M1301" s="28">
        <f>IF($H1301="","",DATE(YEAR($H1301),MONTH($H1301),1))</f>
        <v/>
      </c>
      <c r="N1301" s="26">
        <f>IF($H1301="","",TODAY()-$H1301)</f>
        <v/>
      </c>
      <c r="O1301" s="15" t="n"/>
      <c r="P1301" s="26">
        <f>IF($A1301="","",COUNTIFS('Audit Versions'!$A$6:$A$605,$A1301,'Audit Versions'!$L$6:$L$605,"Active"))</f>
        <v/>
      </c>
      <c r="Q1301" s="15" t="n"/>
      <c r="R1301" s="26">
        <f>IF(OR($A1301="",$P1301=0),"",MOD(N($Q1301),$P1301)+1)</f>
        <v/>
      </c>
      <c r="S1301" s="15" t="n"/>
      <c r="T1301" s="25" t="n"/>
      <c r="U1301" s="26">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Builder'!$B$12="",N($S1301)&lt;='Assignment Builder'!$B$12)))</f>
        <v/>
      </c>
      <c r="V1301" s="23" t="n"/>
    </row>
    <row r="1302">
      <c r="A1302" s="23" t="n"/>
      <c r="B1302" s="23" t="n"/>
      <c r="C1302" s="24" t="n"/>
      <c r="D1302" s="15" t="n"/>
      <c r="E1302" s="23" t="n"/>
      <c r="F1302" s="15" t="n"/>
      <c r="G1302" s="23" t="n"/>
      <c r="H1302" s="25" t="n"/>
      <c r="I1302" s="15" t="n"/>
      <c r="J1302" s="26">
        <f>IF($A1302="","",LEN($C1302)-LEN(SUBSTITUTE($C1302,",",""))+1)</f>
        <v/>
      </c>
      <c r="K1302" s="26">
        <f>IF($A1302="","",SUMPRODUCT(--ISNUMBER(SEARCH('Category Dictionary'!$D$5:$D$135&amp;"",$C1302)),--('Category Dictionary'!$D$5:$D$135&lt;&gt;"")))</f>
        <v/>
      </c>
      <c r="L1302" s="27">
        <f>IF($A1302="","",TRIM(IF(ISERROR(FIND(",",$C1302)),$C1302,LEFT($C1302,FIND(",",$C1302)-1))))</f>
        <v/>
      </c>
      <c r="M1302" s="28">
        <f>IF($H1302="","",DATE(YEAR($H1302),MONTH($H1302),1))</f>
        <v/>
      </c>
      <c r="N1302" s="26">
        <f>IF($H1302="","",TODAY()-$H1302)</f>
        <v/>
      </c>
      <c r="O1302" s="15" t="n"/>
      <c r="P1302" s="26">
        <f>IF($A1302="","",COUNTIFS('Audit Versions'!$A$6:$A$605,$A1302,'Audit Versions'!$L$6:$L$605,"Active"))</f>
        <v/>
      </c>
      <c r="Q1302" s="15" t="n"/>
      <c r="R1302" s="26">
        <f>IF(OR($A1302="",$P1302=0),"",MOD(N($Q1302),$P1302)+1)</f>
        <v/>
      </c>
      <c r="S1302" s="15" t="n"/>
      <c r="T1302" s="25" t="n"/>
      <c r="U1302" s="26">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Builder'!$B$12="",N($S1302)&lt;='Assignment Builder'!$B$12)))</f>
        <v/>
      </c>
      <c r="V1302" s="23" t="n"/>
    </row>
    <row r="1303">
      <c r="A1303" s="23" t="n"/>
      <c r="B1303" s="23" t="n"/>
      <c r="C1303" s="24" t="n"/>
      <c r="D1303" s="15" t="n"/>
      <c r="E1303" s="23" t="n"/>
      <c r="F1303" s="15" t="n"/>
      <c r="G1303" s="23" t="n"/>
      <c r="H1303" s="25" t="n"/>
      <c r="I1303" s="15" t="n"/>
      <c r="J1303" s="26">
        <f>IF($A1303="","",LEN($C1303)-LEN(SUBSTITUTE($C1303,",",""))+1)</f>
        <v/>
      </c>
      <c r="K1303" s="26">
        <f>IF($A1303="","",SUMPRODUCT(--ISNUMBER(SEARCH('Category Dictionary'!$D$5:$D$135&amp;"",$C1303)),--('Category Dictionary'!$D$5:$D$135&lt;&gt;"")))</f>
        <v/>
      </c>
      <c r="L1303" s="27">
        <f>IF($A1303="","",TRIM(IF(ISERROR(FIND(",",$C1303)),$C1303,LEFT($C1303,FIND(",",$C1303)-1))))</f>
        <v/>
      </c>
      <c r="M1303" s="28">
        <f>IF($H1303="","",DATE(YEAR($H1303),MONTH($H1303),1))</f>
        <v/>
      </c>
      <c r="N1303" s="26">
        <f>IF($H1303="","",TODAY()-$H1303)</f>
        <v/>
      </c>
      <c r="O1303" s="15" t="n"/>
      <c r="P1303" s="26">
        <f>IF($A1303="","",COUNTIFS('Audit Versions'!$A$6:$A$605,$A1303,'Audit Versions'!$L$6:$L$605,"Active"))</f>
        <v/>
      </c>
      <c r="Q1303" s="15" t="n"/>
      <c r="R1303" s="26">
        <f>IF(OR($A1303="",$P1303=0),"",MOD(N($Q1303),$P1303)+1)</f>
        <v/>
      </c>
      <c r="S1303" s="15" t="n"/>
      <c r="T1303" s="25" t="n"/>
      <c r="U1303" s="26">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Builder'!$B$12="",N($S1303)&lt;='Assignment Builder'!$B$12)))</f>
        <v/>
      </c>
      <c r="V1303" s="23" t="n"/>
    </row>
    <row r="1304">
      <c r="A1304" s="23" t="n"/>
      <c r="B1304" s="23" t="n"/>
      <c r="C1304" s="24" t="n"/>
      <c r="D1304" s="15" t="n"/>
      <c r="E1304" s="23" t="n"/>
      <c r="F1304" s="15" t="n"/>
      <c r="G1304" s="23" t="n"/>
      <c r="H1304" s="25" t="n"/>
      <c r="I1304" s="15" t="n"/>
      <c r="J1304" s="26">
        <f>IF($A1304="","",LEN($C1304)-LEN(SUBSTITUTE($C1304,",",""))+1)</f>
        <v/>
      </c>
      <c r="K1304" s="26">
        <f>IF($A1304="","",SUMPRODUCT(--ISNUMBER(SEARCH('Category Dictionary'!$D$5:$D$135&amp;"",$C1304)),--('Category Dictionary'!$D$5:$D$135&lt;&gt;"")))</f>
        <v/>
      </c>
      <c r="L1304" s="27">
        <f>IF($A1304="","",TRIM(IF(ISERROR(FIND(",",$C1304)),$C1304,LEFT($C1304,FIND(",",$C1304)-1))))</f>
        <v/>
      </c>
      <c r="M1304" s="28">
        <f>IF($H1304="","",DATE(YEAR($H1304),MONTH($H1304),1))</f>
        <v/>
      </c>
      <c r="N1304" s="26">
        <f>IF($H1304="","",TODAY()-$H1304)</f>
        <v/>
      </c>
      <c r="O1304" s="15" t="n"/>
      <c r="P1304" s="26">
        <f>IF($A1304="","",COUNTIFS('Audit Versions'!$A$6:$A$605,$A1304,'Audit Versions'!$L$6:$L$605,"Active"))</f>
        <v/>
      </c>
      <c r="Q1304" s="15" t="n"/>
      <c r="R1304" s="26">
        <f>IF(OR($A1304="",$P1304=0),"",MOD(N($Q1304),$P1304)+1)</f>
        <v/>
      </c>
      <c r="S1304" s="15" t="n"/>
      <c r="T1304" s="25" t="n"/>
      <c r="U1304" s="26">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Builder'!$B$12="",N($S1304)&lt;='Assignment Builder'!$B$12)))</f>
        <v/>
      </c>
      <c r="V1304" s="23" t="n"/>
    </row>
    <row r="1305">
      <c r="A1305" s="23" t="n"/>
      <c r="B1305" s="23" t="n"/>
      <c r="C1305" s="24" t="n"/>
      <c r="D1305" s="15" t="n"/>
      <c r="E1305" s="23" t="n"/>
      <c r="F1305" s="15" t="n"/>
      <c r="G1305" s="23" t="n"/>
      <c r="H1305" s="25" t="n"/>
      <c r="I1305" s="15" t="n"/>
      <c r="J1305" s="26">
        <f>IF($A1305="","",LEN($C1305)-LEN(SUBSTITUTE($C1305,",",""))+1)</f>
        <v/>
      </c>
      <c r="K1305" s="26">
        <f>IF($A1305="","",SUMPRODUCT(--ISNUMBER(SEARCH('Category Dictionary'!$D$5:$D$135&amp;"",$C1305)),--('Category Dictionary'!$D$5:$D$135&lt;&gt;"")))</f>
        <v/>
      </c>
      <c r="L1305" s="27">
        <f>IF($A1305="","",TRIM(IF(ISERROR(FIND(",",$C1305)),$C1305,LEFT($C1305,FIND(",",$C1305)-1))))</f>
        <v/>
      </c>
      <c r="M1305" s="28">
        <f>IF($H1305="","",DATE(YEAR($H1305),MONTH($H1305),1))</f>
        <v/>
      </c>
      <c r="N1305" s="26">
        <f>IF($H1305="","",TODAY()-$H1305)</f>
        <v/>
      </c>
      <c r="O1305" s="15" t="n"/>
      <c r="P1305" s="26">
        <f>IF($A1305="","",COUNTIFS('Audit Versions'!$A$6:$A$605,$A1305,'Audit Versions'!$L$6:$L$605,"Active"))</f>
        <v/>
      </c>
      <c r="Q1305" s="15" t="n"/>
      <c r="R1305" s="26">
        <f>IF(OR($A1305="",$P1305=0),"",MOD(N($Q1305),$P1305)+1)</f>
        <v/>
      </c>
      <c r="S1305" s="15" t="n"/>
      <c r="T1305" s="25" t="n"/>
      <c r="U1305" s="26">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Builder'!$B$12="",N($S1305)&lt;='Assignment Builder'!$B$12)))</f>
        <v/>
      </c>
      <c r="V1305" s="23" t="n"/>
    </row>
    <row r="1306">
      <c r="A1306" s="23" t="n"/>
      <c r="B1306" s="23" t="n"/>
      <c r="C1306" s="24" t="n"/>
      <c r="D1306" s="15" t="n"/>
      <c r="E1306" s="23" t="n"/>
      <c r="F1306" s="15" t="n"/>
      <c r="G1306" s="23" t="n"/>
      <c r="H1306" s="25" t="n"/>
      <c r="I1306" s="15" t="n"/>
      <c r="J1306" s="26">
        <f>IF($A1306="","",LEN($C1306)-LEN(SUBSTITUTE($C1306,",",""))+1)</f>
        <v/>
      </c>
      <c r="K1306" s="26">
        <f>IF($A1306="","",SUMPRODUCT(--ISNUMBER(SEARCH('Category Dictionary'!$D$5:$D$135&amp;"",$C1306)),--('Category Dictionary'!$D$5:$D$135&lt;&gt;"")))</f>
        <v/>
      </c>
      <c r="L1306" s="27">
        <f>IF($A1306="","",TRIM(IF(ISERROR(FIND(",",$C1306)),$C1306,LEFT($C1306,FIND(",",$C1306)-1))))</f>
        <v/>
      </c>
      <c r="M1306" s="28">
        <f>IF($H1306="","",DATE(YEAR($H1306),MONTH($H1306),1))</f>
        <v/>
      </c>
      <c r="N1306" s="26">
        <f>IF($H1306="","",TODAY()-$H1306)</f>
        <v/>
      </c>
      <c r="O1306" s="15" t="n"/>
      <c r="P1306" s="26">
        <f>IF($A1306="","",COUNTIFS('Audit Versions'!$A$6:$A$605,$A1306,'Audit Versions'!$L$6:$L$605,"Active"))</f>
        <v/>
      </c>
      <c r="Q1306" s="15" t="n"/>
      <c r="R1306" s="26">
        <f>IF(OR($A1306="",$P1306=0),"",MOD(N($Q1306),$P1306)+1)</f>
        <v/>
      </c>
      <c r="S1306" s="15" t="n"/>
      <c r="T1306" s="25" t="n"/>
      <c r="U1306" s="26">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Builder'!$B$12="",N($S1306)&lt;='Assignment Builder'!$B$12)))</f>
        <v/>
      </c>
      <c r="V1306" s="23" t="n"/>
    </row>
    <row r="1307">
      <c r="A1307" s="23" t="n"/>
      <c r="B1307" s="23" t="n"/>
      <c r="C1307" s="24" t="n"/>
      <c r="D1307" s="15" t="n"/>
      <c r="E1307" s="23" t="n"/>
      <c r="F1307" s="15" t="n"/>
      <c r="G1307" s="23" t="n"/>
      <c r="H1307" s="25" t="n"/>
      <c r="I1307" s="15" t="n"/>
      <c r="J1307" s="26">
        <f>IF($A1307="","",LEN($C1307)-LEN(SUBSTITUTE($C1307,",",""))+1)</f>
        <v/>
      </c>
      <c r="K1307" s="26">
        <f>IF($A1307="","",SUMPRODUCT(--ISNUMBER(SEARCH('Category Dictionary'!$D$5:$D$135&amp;"",$C1307)),--('Category Dictionary'!$D$5:$D$135&lt;&gt;"")))</f>
        <v/>
      </c>
      <c r="L1307" s="27">
        <f>IF($A1307="","",TRIM(IF(ISERROR(FIND(",",$C1307)),$C1307,LEFT($C1307,FIND(",",$C1307)-1))))</f>
        <v/>
      </c>
      <c r="M1307" s="28">
        <f>IF($H1307="","",DATE(YEAR($H1307),MONTH($H1307),1))</f>
        <v/>
      </c>
      <c r="N1307" s="26">
        <f>IF($H1307="","",TODAY()-$H1307)</f>
        <v/>
      </c>
      <c r="O1307" s="15" t="n"/>
      <c r="P1307" s="26">
        <f>IF($A1307="","",COUNTIFS('Audit Versions'!$A$6:$A$605,$A1307,'Audit Versions'!$L$6:$L$605,"Active"))</f>
        <v/>
      </c>
      <c r="Q1307" s="15" t="n"/>
      <c r="R1307" s="26">
        <f>IF(OR($A1307="",$P1307=0),"",MOD(N($Q1307),$P1307)+1)</f>
        <v/>
      </c>
      <c r="S1307" s="15" t="n"/>
      <c r="T1307" s="25" t="n"/>
      <c r="U1307" s="26">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Builder'!$B$12="",N($S1307)&lt;='Assignment Builder'!$B$12)))</f>
        <v/>
      </c>
      <c r="V1307" s="23" t="n"/>
    </row>
    <row r="1308">
      <c r="A1308" s="23" t="n"/>
      <c r="B1308" s="23" t="n"/>
      <c r="C1308" s="24" t="n"/>
      <c r="D1308" s="15" t="n"/>
      <c r="E1308" s="23" t="n"/>
      <c r="F1308" s="15" t="n"/>
      <c r="G1308" s="23" t="n"/>
      <c r="H1308" s="25" t="n"/>
      <c r="I1308" s="15" t="n"/>
      <c r="J1308" s="26">
        <f>IF($A1308="","",LEN($C1308)-LEN(SUBSTITUTE($C1308,",",""))+1)</f>
        <v/>
      </c>
      <c r="K1308" s="26">
        <f>IF($A1308="","",SUMPRODUCT(--ISNUMBER(SEARCH('Category Dictionary'!$D$5:$D$135&amp;"",$C1308)),--('Category Dictionary'!$D$5:$D$135&lt;&gt;"")))</f>
        <v/>
      </c>
      <c r="L1308" s="27">
        <f>IF($A1308="","",TRIM(IF(ISERROR(FIND(",",$C1308)),$C1308,LEFT($C1308,FIND(",",$C1308)-1))))</f>
        <v/>
      </c>
      <c r="M1308" s="28">
        <f>IF($H1308="","",DATE(YEAR($H1308),MONTH($H1308),1))</f>
        <v/>
      </c>
      <c r="N1308" s="26">
        <f>IF($H1308="","",TODAY()-$H1308)</f>
        <v/>
      </c>
      <c r="O1308" s="15" t="n"/>
      <c r="P1308" s="26">
        <f>IF($A1308="","",COUNTIFS('Audit Versions'!$A$6:$A$605,$A1308,'Audit Versions'!$L$6:$L$605,"Active"))</f>
        <v/>
      </c>
      <c r="Q1308" s="15" t="n"/>
      <c r="R1308" s="26">
        <f>IF(OR($A1308="",$P1308=0),"",MOD(N($Q1308),$P1308)+1)</f>
        <v/>
      </c>
      <c r="S1308" s="15" t="n"/>
      <c r="T1308" s="25" t="n"/>
      <c r="U1308" s="26">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Builder'!$B$12="",N($S1308)&lt;='Assignment Builder'!$B$12)))</f>
        <v/>
      </c>
      <c r="V1308" s="23" t="n"/>
    </row>
    <row r="1309">
      <c r="A1309" s="23" t="n"/>
      <c r="B1309" s="23" t="n"/>
      <c r="C1309" s="24" t="n"/>
      <c r="D1309" s="15" t="n"/>
      <c r="E1309" s="23" t="n"/>
      <c r="F1309" s="15" t="n"/>
      <c r="G1309" s="23" t="n"/>
      <c r="H1309" s="25" t="n"/>
      <c r="I1309" s="15" t="n"/>
      <c r="J1309" s="26">
        <f>IF($A1309="","",LEN($C1309)-LEN(SUBSTITUTE($C1309,",",""))+1)</f>
        <v/>
      </c>
      <c r="K1309" s="26">
        <f>IF($A1309="","",SUMPRODUCT(--ISNUMBER(SEARCH('Category Dictionary'!$D$5:$D$135&amp;"",$C1309)),--('Category Dictionary'!$D$5:$D$135&lt;&gt;"")))</f>
        <v/>
      </c>
      <c r="L1309" s="27">
        <f>IF($A1309="","",TRIM(IF(ISERROR(FIND(",",$C1309)),$C1309,LEFT($C1309,FIND(",",$C1309)-1))))</f>
        <v/>
      </c>
      <c r="M1309" s="28">
        <f>IF($H1309="","",DATE(YEAR($H1309),MONTH($H1309),1))</f>
        <v/>
      </c>
      <c r="N1309" s="26">
        <f>IF($H1309="","",TODAY()-$H1309)</f>
        <v/>
      </c>
      <c r="O1309" s="15" t="n"/>
      <c r="P1309" s="26">
        <f>IF($A1309="","",COUNTIFS('Audit Versions'!$A$6:$A$605,$A1309,'Audit Versions'!$L$6:$L$605,"Active"))</f>
        <v/>
      </c>
      <c r="Q1309" s="15" t="n"/>
      <c r="R1309" s="26">
        <f>IF(OR($A1309="",$P1309=0),"",MOD(N($Q1309),$P1309)+1)</f>
        <v/>
      </c>
      <c r="S1309" s="15" t="n"/>
      <c r="T1309" s="25" t="n"/>
      <c r="U1309" s="26">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Builder'!$B$12="",N($S1309)&lt;='Assignment Builder'!$B$12)))</f>
        <v/>
      </c>
      <c r="V1309" s="23" t="n"/>
    </row>
    <row r="1310">
      <c r="A1310" s="23" t="n"/>
      <c r="B1310" s="23" t="n"/>
      <c r="C1310" s="24" t="n"/>
      <c r="D1310" s="15" t="n"/>
      <c r="E1310" s="23" t="n"/>
      <c r="F1310" s="15" t="n"/>
      <c r="G1310" s="23" t="n"/>
      <c r="H1310" s="25" t="n"/>
      <c r="I1310" s="15" t="n"/>
      <c r="J1310" s="26">
        <f>IF($A1310="","",LEN($C1310)-LEN(SUBSTITUTE($C1310,",",""))+1)</f>
        <v/>
      </c>
      <c r="K1310" s="26">
        <f>IF($A1310="","",SUMPRODUCT(--ISNUMBER(SEARCH('Category Dictionary'!$D$5:$D$135&amp;"",$C1310)),--('Category Dictionary'!$D$5:$D$135&lt;&gt;"")))</f>
        <v/>
      </c>
      <c r="L1310" s="27">
        <f>IF($A1310="","",TRIM(IF(ISERROR(FIND(",",$C1310)),$C1310,LEFT($C1310,FIND(",",$C1310)-1))))</f>
        <v/>
      </c>
      <c r="M1310" s="28">
        <f>IF($H1310="","",DATE(YEAR($H1310),MONTH($H1310),1))</f>
        <v/>
      </c>
      <c r="N1310" s="26">
        <f>IF($H1310="","",TODAY()-$H1310)</f>
        <v/>
      </c>
      <c r="O1310" s="15" t="n"/>
      <c r="P1310" s="26">
        <f>IF($A1310="","",COUNTIFS('Audit Versions'!$A$6:$A$605,$A1310,'Audit Versions'!$L$6:$L$605,"Active"))</f>
        <v/>
      </c>
      <c r="Q1310" s="15" t="n"/>
      <c r="R1310" s="26">
        <f>IF(OR($A1310="",$P1310=0),"",MOD(N($Q1310),$P1310)+1)</f>
        <v/>
      </c>
      <c r="S1310" s="15" t="n"/>
      <c r="T1310" s="25" t="n"/>
      <c r="U1310" s="26">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Builder'!$B$12="",N($S1310)&lt;='Assignment Builder'!$B$12)))</f>
        <v/>
      </c>
      <c r="V1310" s="23" t="n"/>
    </row>
    <row r="1311">
      <c r="A1311" s="23" t="n"/>
      <c r="B1311" s="23" t="n"/>
      <c r="C1311" s="24" t="n"/>
      <c r="D1311" s="15" t="n"/>
      <c r="E1311" s="23" t="n"/>
      <c r="F1311" s="15" t="n"/>
      <c r="G1311" s="23" t="n"/>
      <c r="H1311" s="25" t="n"/>
      <c r="I1311" s="15" t="n"/>
      <c r="J1311" s="26">
        <f>IF($A1311="","",LEN($C1311)-LEN(SUBSTITUTE($C1311,",",""))+1)</f>
        <v/>
      </c>
      <c r="K1311" s="26">
        <f>IF($A1311="","",SUMPRODUCT(--ISNUMBER(SEARCH('Category Dictionary'!$D$5:$D$135&amp;"",$C1311)),--('Category Dictionary'!$D$5:$D$135&lt;&gt;"")))</f>
        <v/>
      </c>
      <c r="L1311" s="27">
        <f>IF($A1311="","",TRIM(IF(ISERROR(FIND(",",$C1311)),$C1311,LEFT($C1311,FIND(",",$C1311)-1))))</f>
        <v/>
      </c>
      <c r="M1311" s="28">
        <f>IF($H1311="","",DATE(YEAR($H1311),MONTH($H1311),1))</f>
        <v/>
      </c>
      <c r="N1311" s="26">
        <f>IF($H1311="","",TODAY()-$H1311)</f>
        <v/>
      </c>
      <c r="O1311" s="15" t="n"/>
      <c r="P1311" s="26">
        <f>IF($A1311="","",COUNTIFS('Audit Versions'!$A$6:$A$605,$A1311,'Audit Versions'!$L$6:$L$605,"Active"))</f>
        <v/>
      </c>
      <c r="Q1311" s="15" t="n"/>
      <c r="R1311" s="26">
        <f>IF(OR($A1311="",$P1311=0),"",MOD(N($Q1311),$P1311)+1)</f>
        <v/>
      </c>
      <c r="S1311" s="15" t="n"/>
      <c r="T1311" s="25" t="n"/>
      <c r="U1311" s="26">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Builder'!$B$12="",N($S1311)&lt;='Assignment Builder'!$B$12)))</f>
        <v/>
      </c>
      <c r="V1311" s="23" t="n"/>
    </row>
    <row r="1312">
      <c r="A1312" s="23" t="n"/>
      <c r="B1312" s="23" t="n"/>
      <c r="C1312" s="24" t="n"/>
      <c r="D1312" s="15" t="n"/>
      <c r="E1312" s="23" t="n"/>
      <c r="F1312" s="15" t="n"/>
      <c r="G1312" s="23" t="n"/>
      <c r="H1312" s="25" t="n"/>
      <c r="I1312" s="15" t="n"/>
      <c r="J1312" s="26">
        <f>IF($A1312="","",LEN($C1312)-LEN(SUBSTITUTE($C1312,",",""))+1)</f>
        <v/>
      </c>
      <c r="K1312" s="26">
        <f>IF($A1312="","",SUMPRODUCT(--ISNUMBER(SEARCH('Category Dictionary'!$D$5:$D$135&amp;"",$C1312)),--('Category Dictionary'!$D$5:$D$135&lt;&gt;"")))</f>
        <v/>
      </c>
      <c r="L1312" s="27">
        <f>IF($A1312="","",TRIM(IF(ISERROR(FIND(",",$C1312)),$C1312,LEFT($C1312,FIND(",",$C1312)-1))))</f>
        <v/>
      </c>
      <c r="M1312" s="28">
        <f>IF($H1312="","",DATE(YEAR($H1312),MONTH($H1312),1))</f>
        <v/>
      </c>
      <c r="N1312" s="26">
        <f>IF($H1312="","",TODAY()-$H1312)</f>
        <v/>
      </c>
      <c r="O1312" s="15" t="n"/>
      <c r="P1312" s="26">
        <f>IF($A1312="","",COUNTIFS('Audit Versions'!$A$6:$A$605,$A1312,'Audit Versions'!$L$6:$L$605,"Active"))</f>
        <v/>
      </c>
      <c r="Q1312" s="15" t="n"/>
      <c r="R1312" s="26">
        <f>IF(OR($A1312="",$P1312=0),"",MOD(N($Q1312),$P1312)+1)</f>
        <v/>
      </c>
      <c r="S1312" s="15" t="n"/>
      <c r="T1312" s="25" t="n"/>
      <c r="U1312" s="26">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Builder'!$B$12="",N($S1312)&lt;='Assignment Builder'!$B$12)))</f>
        <v/>
      </c>
      <c r="V1312" s="23" t="n"/>
    </row>
    <row r="1313">
      <c r="A1313" s="23" t="n"/>
      <c r="B1313" s="23" t="n"/>
      <c r="C1313" s="24" t="n"/>
      <c r="D1313" s="15" t="n"/>
      <c r="E1313" s="23" t="n"/>
      <c r="F1313" s="15" t="n"/>
      <c r="G1313" s="23" t="n"/>
      <c r="H1313" s="25" t="n"/>
      <c r="I1313" s="15" t="n"/>
      <c r="J1313" s="26">
        <f>IF($A1313="","",LEN($C1313)-LEN(SUBSTITUTE($C1313,",",""))+1)</f>
        <v/>
      </c>
      <c r="K1313" s="26">
        <f>IF($A1313="","",SUMPRODUCT(--ISNUMBER(SEARCH('Category Dictionary'!$D$5:$D$135&amp;"",$C1313)),--('Category Dictionary'!$D$5:$D$135&lt;&gt;"")))</f>
        <v/>
      </c>
      <c r="L1313" s="27">
        <f>IF($A1313="","",TRIM(IF(ISERROR(FIND(",",$C1313)),$C1313,LEFT($C1313,FIND(",",$C1313)-1))))</f>
        <v/>
      </c>
      <c r="M1313" s="28">
        <f>IF($H1313="","",DATE(YEAR($H1313),MONTH($H1313),1))</f>
        <v/>
      </c>
      <c r="N1313" s="26">
        <f>IF($H1313="","",TODAY()-$H1313)</f>
        <v/>
      </c>
      <c r="O1313" s="15" t="n"/>
      <c r="P1313" s="26">
        <f>IF($A1313="","",COUNTIFS('Audit Versions'!$A$6:$A$605,$A1313,'Audit Versions'!$L$6:$L$605,"Active"))</f>
        <v/>
      </c>
      <c r="Q1313" s="15" t="n"/>
      <c r="R1313" s="26">
        <f>IF(OR($A1313="",$P1313=0),"",MOD(N($Q1313),$P1313)+1)</f>
        <v/>
      </c>
      <c r="S1313" s="15" t="n"/>
      <c r="T1313" s="25" t="n"/>
      <c r="U1313" s="26">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Builder'!$B$12="",N($S1313)&lt;='Assignment Builder'!$B$12)))</f>
        <v/>
      </c>
      <c r="V1313" s="23" t="n"/>
    </row>
    <row r="1314">
      <c r="A1314" s="23" t="n"/>
      <c r="B1314" s="23" t="n"/>
      <c r="C1314" s="24" t="n"/>
      <c r="D1314" s="15" t="n"/>
      <c r="E1314" s="23" t="n"/>
      <c r="F1314" s="15" t="n"/>
      <c r="G1314" s="23" t="n"/>
      <c r="H1314" s="25" t="n"/>
      <c r="I1314" s="15" t="n"/>
      <c r="J1314" s="26">
        <f>IF($A1314="","",LEN($C1314)-LEN(SUBSTITUTE($C1314,",",""))+1)</f>
        <v/>
      </c>
      <c r="K1314" s="26">
        <f>IF($A1314="","",SUMPRODUCT(--ISNUMBER(SEARCH('Category Dictionary'!$D$5:$D$135&amp;"",$C1314)),--('Category Dictionary'!$D$5:$D$135&lt;&gt;"")))</f>
        <v/>
      </c>
      <c r="L1314" s="27">
        <f>IF($A1314="","",TRIM(IF(ISERROR(FIND(",",$C1314)),$C1314,LEFT($C1314,FIND(",",$C1314)-1))))</f>
        <v/>
      </c>
      <c r="M1314" s="28">
        <f>IF($H1314="","",DATE(YEAR($H1314),MONTH($H1314),1))</f>
        <v/>
      </c>
      <c r="N1314" s="26">
        <f>IF($H1314="","",TODAY()-$H1314)</f>
        <v/>
      </c>
      <c r="O1314" s="15" t="n"/>
      <c r="P1314" s="26">
        <f>IF($A1314="","",COUNTIFS('Audit Versions'!$A$6:$A$605,$A1314,'Audit Versions'!$L$6:$L$605,"Active"))</f>
        <v/>
      </c>
      <c r="Q1314" s="15" t="n"/>
      <c r="R1314" s="26">
        <f>IF(OR($A1314="",$P1314=0),"",MOD(N($Q1314),$P1314)+1)</f>
        <v/>
      </c>
      <c r="S1314" s="15" t="n"/>
      <c r="T1314" s="25" t="n"/>
      <c r="U1314" s="26">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Builder'!$B$12="",N($S1314)&lt;='Assignment Builder'!$B$12)))</f>
        <v/>
      </c>
      <c r="V1314" s="23" t="n"/>
    </row>
    <row r="1315">
      <c r="A1315" s="23" t="n"/>
      <c r="B1315" s="23" t="n"/>
      <c r="C1315" s="24" t="n"/>
      <c r="D1315" s="15" t="n"/>
      <c r="E1315" s="23" t="n"/>
      <c r="F1315" s="15" t="n"/>
      <c r="G1315" s="23" t="n"/>
      <c r="H1315" s="25" t="n"/>
      <c r="I1315" s="15" t="n"/>
      <c r="J1315" s="26">
        <f>IF($A1315="","",LEN($C1315)-LEN(SUBSTITUTE($C1315,",",""))+1)</f>
        <v/>
      </c>
      <c r="K1315" s="26">
        <f>IF($A1315="","",SUMPRODUCT(--ISNUMBER(SEARCH('Category Dictionary'!$D$5:$D$135&amp;"",$C1315)),--('Category Dictionary'!$D$5:$D$135&lt;&gt;"")))</f>
        <v/>
      </c>
      <c r="L1315" s="27">
        <f>IF($A1315="","",TRIM(IF(ISERROR(FIND(",",$C1315)),$C1315,LEFT($C1315,FIND(",",$C1315)-1))))</f>
        <v/>
      </c>
      <c r="M1315" s="28">
        <f>IF($H1315="","",DATE(YEAR($H1315),MONTH($H1315),1))</f>
        <v/>
      </c>
      <c r="N1315" s="26">
        <f>IF($H1315="","",TODAY()-$H1315)</f>
        <v/>
      </c>
      <c r="O1315" s="15" t="n"/>
      <c r="P1315" s="26">
        <f>IF($A1315="","",COUNTIFS('Audit Versions'!$A$6:$A$605,$A1315,'Audit Versions'!$L$6:$L$605,"Active"))</f>
        <v/>
      </c>
      <c r="Q1315" s="15" t="n"/>
      <c r="R1315" s="26">
        <f>IF(OR($A1315="",$P1315=0),"",MOD(N($Q1315),$P1315)+1)</f>
        <v/>
      </c>
      <c r="S1315" s="15" t="n"/>
      <c r="T1315" s="25" t="n"/>
      <c r="U1315" s="26">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Builder'!$B$12="",N($S1315)&lt;='Assignment Builder'!$B$12)))</f>
        <v/>
      </c>
      <c r="V1315" s="23" t="n"/>
    </row>
    <row r="1316">
      <c r="A1316" s="23" t="n"/>
      <c r="B1316" s="23" t="n"/>
      <c r="C1316" s="24" t="n"/>
      <c r="D1316" s="15" t="n"/>
      <c r="E1316" s="23" t="n"/>
      <c r="F1316" s="15" t="n"/>
      <c r="G1316" s="23" t="n"/>
      <c r="H1316" s="25" t="n"/>
      <c r="I1316" s="15" t="n"/>
      <c r="J1316" s="26">
        <f>IF($A1316="","",LEN($C1316)-LEN(SUBSTITUTE($C1316,",",""))+1)</f>
        <v/>
      </c>
      <c r="K1316" s="26">
        <f>IF($A1316="","",SUMPRODUCT(--ISNUMBER(SEARCH('Category Dictionary'!$D$5:$D$135&amp;"",$C1316)),--('Category Dictionary'!$D$5:$D$135&lt;&gt;"")))</f>
        <v/>
      </c>
      <c r="L1316" s="27">
        <f>IF($A1316="","",TRIM(IF(ISERROR(FIND(",",$C1316)),$C1316,LEFT($C1316,FIND(",",$C1316)-1))))</f>
        <v/>
      </c>
      <c r="M1316" s="28">
        <f>IF($H1316="","",DATE(YEAR($H1316),MONTH($H1316),1))</f>
        <v/>
      </c>
      <c r="N1316" s="26">
        <f>IF($H1316="","",TODAY()-$H1316)</f>
        <v/>
      </c>
      <c r="O1316" s="15" t="n"/>
      <c r="P1316" s="26">
        <f>IF($A1316="","",COUNTIFS('Audit Versions'!$A$6:$A$605,$A1316,'Audit Versions'!$L$6:$L$605,"Active"))</f>
        <v/>
      </c>
      <c r="Q1316" s="15" t="n"/>
      <c r="R1316" s="26">
        <f>IF(OR($A1316="",$P1316=0),"",MOD(N($Q1316),$P1316)+1)</f>
        <v/>
      </c>
      <c r="S1316" s="15" t="n"/>
      <c r="T1316" s="25" t="n"/>
      <c r="U1316" s="26">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Builder'!$B$12="",N($S1316)&lt;='Assignment Builder'!$B$12)))</f>
        <v/>
      </c>
      <c r="V1316" s="23" t="n"/>
    </row>
    <row r="1317">
      <c r="A1317" s="23" t="n"/>
      <c r="B1317" s="23" t="n"/>
      <c r="C1317" s="24" t="n"/>
      <c r="D1317" s="15" t="n"/>
      <c r="E1317" s="23" t="n"/>
      <c r="F1317" s="15" t="n"/>
      <c r="G1317" s="23" t="n"/>
      <c r="H1317" s="25" t="n"/>
      <c r="I1317" s="15" t="n"/>
      <c r="J1317" s="26">
        <f>IF($A1317="","",LEN($C1317)-LEN(SUBSTITUTE($C1317,",",""))+1)</f>
        <v/>
      </c>
      <c r="K1317" s="26">
        <f>IF($A1317="","",SUMPRODUCT(--ISNUMBER(SEARCH('Category Dictionary'!$D$5:$D$135&amp;"",$C1317)),--('Category Dictionary'!$D$5:$D$135&lt;&gt;"")))</f>
        <v/>
      </c>
      <c r="L1317" s="27">
        <f>IF($A1317="","",TRIM(IF(ISERROR(FIND(",",$C1317)),$C1317,LEFT($C1317,FIND(",",$C1317)-1))))</f>
        <v/>
      </c>
      <c r="M1317" s="28">
        <f>IF($H1317="","",DATE(YEAR($H1317),MONTH($H1317),1))</f>
        <v/>
      </c>
      <c r="N1317" s="26">
        <f>IF($H1317="","",TODAY()-$H1317)</f>
        <v/>
      </c>
      <c r="O1317" s="15" t="n"/>
      <c r="P1317" s="26">
        <f>IF($A1317="","",COUNTIFS('Audit Versions'!$A$6:$A$605,$A1317,'Audit Versions'!$L$6:$L$605,"Active"))</f>
        <v/>
      </c>
      <c r="Q1317" s="15" t="n"/>
      <c r="R1317" s="26">
        <f>IF(OR($A1317="",$P1317=0),"",MOD(N($Q1317),$P1317)+1)</f>
        <v/>
      </c>
      <c r="S1317" s="15" t="n"/>
      <c r="T1317" s="25" t="n"/>
      <c r="U1317" s="26">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Builder'!$B$12="",N($S1317)&lt;='Assignment Builder'!$B$12)))</f>
        <v/>
      </c>
      <c r="V1317" s="23" t="n"/>
    </row>
    <row r="1318">
      <c r="A1318" s="23" t="n"/>
      <c r="B1318" s="23" t="n"/>
      <c r="C1318" s="24" t="n"/>
      <c r="D1318" s="15" t="n"/>
      <c r="E1318" s="23" t="n"/>
      <c r="F1318" s="15" t="n"/>
      <c r="G1318" s="23" t="n"/>
      <c r="H1318" s="25" t="n"/>
      <c r="I1318" s="15" t="n"/>
      <c r="J1318" s="26">
        <f>IF($A1318="","",LEN($C1318)-LEN(SUBSTITUTE($C1318,",",""))+1)</f>
        <v/>
      </c>
      <c r="K1318" s="26">
        <f>IF($A1318="","",SUMPRODUCT(--ISNUMBER(SEARCH('Category Dictionary'!$D$5:$D$135&amp;"",$C1318)),--('Category Dictionary'!$D$5:$D$135&lt;&gt;"")))</f>
        <v/>
      </c>
      <c r="L1318" s="27">
        <f>IF($A1318="","",TRIM(IF(ISERROR(FIND(",",$C1318)),$C1318,LEFT($C1318,FIND(",",$C1318)-1))))</f>
        <v/>
      </c>
      <c r="M1318" s="28">
        <f>IF($H1318="","",DATE(YEAR($H1318),MONTH($H1318),1))</f>
        <v/>
      </c>
      <c r="N1318" s="26">
        <f>IF($H1318="","",TODAY()-$H1318)</f>
        <v/>
      </c>
      <c r="O1318" s="15" t="n"/>
      <c r="P1318" s="26">
        <f>IF($A1318="","",COUNTIFS('Audit Versions'!$A$6:$A$605,$A1318,'Audit Versions'!$L$6:$L$605,"Active"))</f>
        <v/>
      </c>
      <c r="Q1318" s="15" t="n"/>
      <c r="R1318" s="26">
        <f>IF(OR($A1318="",$P1318=0),"",MOD(N($Q1318),$P1318)+1)</f>
        <v/>
      </c>
      <c r="S1318" s="15" t="n"/>
      <c r="T1318" s="25" t="n"/>
      <c r="U1318" s="26">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Builder'!$B$12="",N($S1318)&lt;='Assignment Builder'!$B$12)))</f>
        <v/>
      </c>
      <c r="V1318" s="23" t="n"/>
    </row>
    <row r="1319">
      <c r="A1319" s="23" t="n"/>
      <c r="B1319" s="23" t="n"/>
      <c r="C1319" s="24" t="n"/>
      <c r="D1319" s="15" t="n"/>
      <c r="E1319" s="23" t="n"/>
      <c r="F1319" s="15" t="n"/>
      <c r="G1319" s="23" t="n"/>
      <c r="H1319" s="25" t="n"/>
      <c r="I1319" s="15" t="n"/>
      <c r="J1319" s="26">
        <f>IF($A1319="","",LEN($C1319)-LEN(SUBSTITUTE($C1319,",",""))+1)</f>
        <v/>
      </c>
      <c r="K1319" s="26">
        <f>IF($A1319="","",SUMPRODUCT(--ISNUMBER(SEARCH('Category Dictionary'!$D$5:$D$135&amp;"",$C1319)),--('Category Dictionary'!$D$5:$D$135&lt;&gt;"")))</f>
        <v/>
      </c>
      <c r="L1319" s="27">
        <f>IF($A1319="","",TRIM(IF(ISERROR(FIND(",",$C1319)),$C1319,LEFT($C1319,FIND(",",$C1319)-1))))</f>
        <v/>
      </c>
      <c r="M1319" s="28">
        <f>IF($H1319="","",DATE(YEAR($H1319),MONTH($H1319),1))</f>
        <v/>
      </c>
      <c r="N1319" s="26">
        <f>IF($H1319="","",TODAY()-$H1319)</f>
        <v/>
      </c>
      <c r="O1319" s="15" t="n"/>
      <c r="P1319" s="26">
        <f>IF($A1319="","",COUNTIFS('Audit Versions'!$A$6:$A$605,$A1319,'Audit Versions'!$L$6:$L$605,"Active"))</f>
        <v/>
      </c>
      <c r="Q1319" s="15" t="n"/>
      <c r="R1319" s="26">
        <f>IF(OR($A1319="",$P1319=0),"",MOD(N($Q1319),$P1319)+1)</f>
        <v/>
      </c>
      <c r="S1319" s="15" t="n"/>
      <c r="T1319" s="25" t="n"/>
      <c r="U1319" s="26">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Builder'!$B$12="",N($S1319)&lt;='Assignment Builder'!$B$12)))</f>
        <v/>
      </c>
      <c r="V1319" s="23" t="n"/>
    </row>
    <row r="1320">
      <c r="A1320" s="23" t="n"/>
      <c r="B1320" s="23" t="n"/>
      <c r="C1320" s="24" t="n"/>
      <c r="D1320" s="15" t="n"/>
      <c r="E1320" s="23" t="n"/>
      <c r="F1320" s="15" t="n"/>
      <c r="G1320" s="23" t="n"/>
      <c r="H1320" s="25" t="n"/>
      <c r="I1320" s="15" t="n"/>
      <c r="J1320" s="26">
        <f>IF($A1320="","",LEN($C1320)-LEN(SUBSTITUTE($C1320,",",""))+1)</f>
        <v/>
      </c>
      <c r="K1320" s="26">
        <f>IF($A1320="","",SUMPRODUCT(--ISNUMBER(SEARCH('Category Dictionary'!$D$5:$D$135&amp;"",$C1320)),--('Category Dictionary'!$D$5:$D$135&lt;&gt;"")))</f>
        <v/>
      </c>
      <c r="L1320" s="27">
        <f>IF($A1320="","",TRIM(IF(ISERROR(FIND(",",$C1320)),$C1320,LEFT($C1320,FIND(",",$C1320)-1))))</f>
        <v/>
      </c>
      <c r="M1320" s="28">
        <f>IF($H1320="","",DATE(YEAR($H1320),MONTH($H1320),1))</f>
        <v/>
      </c>
      <c r="N1320" s="26">
        <f>IF($H1320="","",TODAY()-$H1320)</f>
        <v/>
      </c>
      <c r="O1320" s="15" t="n"/>
      <c r="P1320" s="26">
        <f>IF($A1320="","",COUNTIFS('Audit Versions'!$A$6:$A$605,$A1320,'Audit Versions'!$L$6:$L$605,"Active"))</f>
        <v/>
      </c>
      <c r="Q1320" s="15" t="n"/>
      <c r="R1320" s="26">
        <f>IF(OR($A1320="",$P1320=0),"",MOD(N($Q1320),$P1320)+1)</f>
        <v/>
      </c>
      <c r="S1320" s="15" t="n"/>
      <c r="T1320" s="25" t="n"/>
      <c r="U1320" s="26">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Builder'!$B$12="",N($S1320)&lt;='Assignment Builder'!$B$12)))</f>
        <v/>
      </c>
      <c r="V1320" s="23" t="n"/>
    </row>
    <row r="1321">
      <c r="A1321" s="23" t="n"/>
      <c r="B1321" s="23" t="n"/>
      <c r="C1321" s="24" t="n"/>
      <c r="D1321" s="15" t="n"/>
      <c r="E1321" s="23" t="n"/>
      <c r="F1321" s="15" t="n"/>
      <c r="G1321" s="23" t="n"/>
      <c r="H1321" s="25" t="n"/>
      <c r="I1321" s="15" t="n"/>
      <c r="J1321" s="26">
        <f>IF($A1321="","",LEN($C1321)-LEN(SUBSTITUTE($C1321,",",""))+1)</f>
        <v/>
      </c>
      <c r="K1321" s="26">
        <f>IF($A1321="","",SUMPRODUCT(--ISNUMBER(SEARCH('Category Dictionary'!$D$5:$D$135&amp;"",$C1321)),--('Category Dictionary'!$D$5:$D$135&lt;&gt;"")))</f>
        <v/>
      </c>
      <c r="L1321" s="27">
        <f>IF($A1321="","",TRIM(IF(ISERROR(FIND(",",$C1321)),$C1321,LEFT($C1321,FIND(",",$C1321)-1))))</f>
        <v/>
      </c>
      <c r="M1321" s="28">
        <f>IF($H1321="","",DATE(YEAR($H1321),MONTH($H1321),1))</f>
        <v/>
      </c>
      <c r="N1321" s="26">
        <f>IF($H1321="","",TODAY()-$H1321)</f>
        <v/>
      </c>
      <c r="O1321" s="15" t="n"/>
      <c r="P1321" s="26">
        <f>IF($A1321="","",COUNTIFS('Audit Versions'!$A$6:$A$605,$A1321,'Audit Versions'!$L$6:$L$605,"Active"))</f>
        <v/>
      </c>
      <c r="Q1321" s="15" t="n"/>
      <c r="R1321" s="26">
        <f>IF(OR($A1321="",$P1321=0),"",MOD(N($Q1321),$P1321)+1)</f>
        <v/>
      </c>
      <c r="S1321" s="15" t="n"/>
      <c r="T1321" s="25" t="n"/>
      <c r="U1321" s="26">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Builder'!$B$12="",N($S1321)&lt;='Assignment Builder'!$B$12)))</f>
        <v/>
      </c>
      <c r="V1321" s="23" t="n"/>
    </row>
    <row r="1322">
      <c r="A1322" s="23" t="n"/>
      <c r="B1322" s="23" t="n"/>
      <c r="C1322" s="24" t="n"/>
      <c r="D1322" s="15" t="n"/>
      <c r="E1322" s="23" t="n"/>
      <c r="F1322" s="15" t="n"/>
      <c r="G1322" s="23" t="n"/>
      <c r="H1322" s="25" t="n"/>
      <c r="I1322" s="15" t="n"/>
      <c r="J1322" s="26">
        <f>IF($A1322="","",LEN($C1322)-LEN(SUBSTITUTE($C1322,",",""))+1)</f>
        <v/>
      </c>
      <c r="K1322" s="26">
        <f>IF($A1322="","",SUMPRODUCT(--ISNUMBER(SEARCH('Category Dictionary'!$D$5:$D$135&amp;"",$C1322)),--('Category Dictionary'!$D$5:$D$135&lt;&gt;"")))</f>
        <v/>
      </c>
      <c r="L1322" s="27">
        <f>IF($A1322="","",TRIM(IF(ISERROR(FIND(",",$C1322)),$C1322,LEFT($C1322,FIND(",",$C1322)-1))))</f>
        <v/>
      </c>
      <c r="M1322" s="28">
        <f>IF($H1322="","",DATE(YEAR($H1322),MONTH($H1322),1))</f>
        <v/>
      </c>
      <c r="N1322" s="26">
        <f>IF($H1322="","",TODAY()-$H1322)</f>
        <v/>
      </c>
      <c r="O1322" s="15" t="n"/>
      <c r="P1322" s="26">
        <f>IF($A1322="","",COUNTIFS('Audit Versions'!$A$6:$A$605,$A1322,'Audit Versions'!$L$6:$L$605,"Active"))</f>
        <v/>
      </c>
      <c r="Q1322" s="15" t="n"/>
      <c r="R1322" s="26">
        <f>IF(OR($A1322="",$P1322=0),"",MOD(N($Q1322),$P1322)+1)</f>
        <v/>
      </c>
      <c r="S1322" s="15" t="n"/>
      <c r="T1322" s="25" t="n"/>
      <c r="U1322" s="26">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Builder'!$B$12="",N($S1322)&lt;='Assignment Builder'!$B$12)))</f>
        <v/>
      </c>
      <c r="V1322" s="23" t="n"/>
    </row>
    <row r="1323">
      <c r="A1323" s="23" t="n"/>
      <c r="B1323" s="23" t="n"/>
      <c r="C1323" s="24" t="n"/>
      <c r="D1323" s="15" t="n"/>
      <c r="E1323" s="23" t="n"/>
      <c r="F1323" s="15" t="n"/>
      <c r="G1323" s="23" t="n"/>
      <c r="H1323" s="25" t="n"/>
      <c r="I1323" s="15" t="n"/>
      <c r="J1323" s="26">
        <f>IF($A1323="","",LEN($C1323)-LEN(SUBSTITUTE($C1323,",",""))+1)</f>
        <v/>
      </c>
      <c r="K1323" s="26">
        <f>IF($A1323="","",SUMPRODUCT(--ISNUMBER(SEARCH('Category Dictionary'!$D$5:$D$135&amp;"",$C1323)),--('Category Dictionary'!$D$5:$D$135&lt;&gt;"")))</f>
        <v/>
      </c>
      <c r="L1323" s="27">
        <f>IF($A1323="","",TRIM(IF(ISERROR(FIND(",",$C1323)),$C1323,LEFT($C1323,FIND(",",$C1323)-1))))</f>
        <v/>
      </c>
      <c r="M1323" s="28">
        <f>IF($H1323="","",DATE(YEAR($H1323),MONTH($H1323),1))</f>
        <v/>
      </c>
      <c r="N1323" s="26">
        <f>IF($H1323="","",TODAY()-$H1323)</f>
        <v/>
      </c>
      <c r="O1323" s="15" t="n"/>
      <c r="P1323" s="26">
        <f>IF($A1323="","",COUNTIFS('Audit Versions'!$A$6:$A$605,$A1323,'Audit Versions'!$L$6:$L$605,"Active"))</f>
        <v/>
      </c>
      <c r="Q1323" s="15" t="n"/>
      <c r="R1323" s="26">
        <f>IF(OR($A1323="",$P1323=0),"",MOD(N($Q1323),$P1323)+1)</f>
        <v/>
      </c>
      <c r="S1323" s="15" t="n"/>
      <c r="T1323" s="25" t="n"/>
      <c r="U1323" s="26">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Builder'!$B$12="",N($S1323)&lt;='Assignment Builder'!$B$12)))</f>
        <v/>
      </c>
      <c r="V1323" s="23" t="n"/>
    </row>
    <row r="1324">
      <c r="A1324" s="23" t="n"/>
      <c r="B1324" s="23" t="n"/>
      <c r="C1324" s="24" t="n"/>
      <c r="D1324" s="15" t="n"/>
      <c r="E1324" s="23" t="n"/>
      <c r="F1324" s="15" t="n"/>
      <c r="G1324" s="23" t="n"/>
      <c r="H1324" s="25" t="n"/>
      <c r="I1324" s="15" t="n"/>
      <c r="J1324" s="26">
        <f>IF($A1324="","",LEN($C1324)-LEN(SUBSTITUTE($C1324,",",""))+1)</f>
        <v/>
      </c>
      <c r="K1324" s="26">
        <f>IF($A1324="","",SUMPRODUCT(--ISNUMBER(SEARCH('Category Dictionary'!$D$5:$D$135&amp;"",$C1324)),--('Category Dictionary'!$D$5:$D$135&lt;&gt;"")))</f>
        <v/>
      </c>
      <c r="L1324" s="27">
        <f>IF($A1324="","",TRIM(IF(ISERROR(FIND(",",$C1324)),$C1324,LEFT($C1324,FIND(",",$C1324)-1))))</f>
        <v/>
      </c>
      <c r="M1324" s="28">
        <f>IF($H1324="","",DATE(YEAR($H1324),MONTH($H1324),1))</f>
        <v/>
      </c>
      <c r="N1324" s="26">
        <f>IF($H1324="","",TODAY()-$H1324)</f>
        <v/>
      </c>
      <c r="O1324" s="15" t="n"/>
      <c r="P1324" s="26">
        <f>IF($A1324="","",COUNTIFS('Audit Versions'!$A$6:$A$605,$A1324,'Audit Versions'!$L$6:$L$605,"Active"))</f>
        <v/>
      </c>
      <c r="Q1324" s="15" t="n"/>
      <c r="R1324" s="26">
        <f>IF(OR($A1324="",$P1324=0),"",MOD(N($Q1324),$P1324)+1)</f>
        <v/>
      </c>
      <c r="S1324" s="15" t="n"/>
      <c r="T1324" s="25" t="n"/>
      <c r="U1324" s="26">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Builder'!$B$12="",N($S1324)&lt;='Assignment Builder'!$B$12)))</f>
        <v/>
      </c>
      <c r="V1324" s="23" t="n"/>
    </row>
    <row r="1325">
      <c r="A1325" s="23" t="n"/>
      <c r="B1325" s="23" t="n"/>
      <c r="C1325" s="24" t="n"/>
      <c r="D1325" s="15" t="n"/>
      <c r="E1325" s="23" t="n"/>
      <c r="F1325" s="15" t="n"/>
      <c r="G1325" s="23" t="n"/>
      <c r="H1325" s="25" t="n"/>
      <c r="I1325" s="15" t="n"/>
      <c r="J1325" s="26">
        <f>IF($A1325="","",LEN($C1325)-LEN(SUBSTITUTE($C1325,",",""))+1)</f>
        <v/>
      </c>
      <c r="K1325" s="26">
        <f>IF($A1325="","",SUMPRODUCT(--ISNUMBER(SEARCH('Category Dictionary'!$D$5:$D$135&amp;"",$C1325)),--('Category Dictionary'!$D$5:$D$135&lt;&gt;"")))</f>
        <v/>
      </c>
      <c r="L1325" s="27">
        <f>IF($A1325="","",TRIM(IF(ISERROR(FIND(",",$C1325)),$C1325,LEFT($C1325,FIND(",",$C1325)-1))))</f>
        <v/>
      </c>
      <c r="M1325" s="28">
        <f>IF($H1325="","",DATE(YEAR($H1325),MONTH($H1325),1))</f>
        <v/>
      </c>
      <c r="N1325" s="26">
        <f>IF($H1325="","",TODAY()-$H1325)</f>
        <v/>
      </c>
      <c r="O1325" s="15" t="n"/>
      <c r="P1325" s="26">
        <f>IF($A1325="","",COUNTIFS('Audit Versions'!$A$6:$A$605,$A1325,'Audit Versions'!$L$6:$L$605,"Active"))</f>
        <v/>
      </c>
      <c r="Q1325" s="15" t="n"/>
      <c r="R1325" s="26">
        <f>IF(OR($A1325="",$P1325=0),"",MOD(N($Q1325),$P1325)+1)</f>
        <v/>
      </c>
      <c r="S1325" s="15" t="n"/>
      <c r="T1325" s="25" t="n"/>
      <c r="U1325" s="26">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Builder'!$B$12="",N($S1325)&lt;='Assignment Builder'!$B$12)))</f>
        <v/>
      </c>
      <c r="V1325" s="23" t="n"/>
    </row>
    <row r="1326">
      <c r="A1326" s="23" t="n"/>
      <c r="B1326" s="23" t="n"/>
      <c r="C1326" s="24" t="n"/>
      <c r="D1326" s="15" t="n"/>
      <c r="E1326" s="23" t="n"/>
      <c r="F1326" s="15" t="n"/>
      <c r="G1326" s="23" t="n"/>
      <c r="H1326" s="25" t="n"/>
      <c r="I1326" s="15" t="n"/>
      <c r="J1326" s="26">
        <f>IF($A1326="","",LEN($C1326)-LEN(SUBSTITUTE($C1326,",",""))+1)</f>
        <v/>
      </c>
      <c r="K1326" s="26">
        <f>IF($A1326="","",SUMPRODUCT(--ISNUMBER(SEARCH('Category Dictionary'!$D$5:$D$135&amp;"",$C1326)),--('Category Dictionary'!$D$5:$D$135&lt;&gt;"")))</f>
        <v/>
      </c>
      <c r="L1326" s="27">
        <f>IF($A1326="","",TRIM(IF(ISERROR(FIND(",",$C1326)),$C1326,LEFT($C1326,FIND(",",$C1326)-1))))</f>
        <v/>
      </c>
      <c r="M1326" s="28">
        <f>IF($H1326="","",DATE(YEAR($H1326),MONTH($H1326),1))</f>
        <v/>
      </c>
      <c r="N1326" s="26">
        <f>IF($H1326="","",TODAY()-$H1326)</f>
        <v/>
      </c>
      <c r="O1326" s="15" t="n"/>
      <c r="P1326" s="26">
        <f>IF($A1326="","",COUNTIFS('Audit Versions'!$A$6:$A$605,$A1326,'Audit Versions'!$L$6:$L$605,"Active"))</f>
        <v/>
      </c>
      <c r="Q1326" s="15" t="n"/>
      <c r="R1326" s="26">
        <f>IF(OR($A1326="",$P1326=0),"",MOD(N($Q1326),$P1326)+1)</f>
        <v/>
      </c>
      <c r="S1326" s="15" t="n"/>
      <c r="T1326" s="25" t="n"/>
      <c r="U1326" s="26">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Builder'!$B$12="",N($S1326)&lt;='Assignment Builder'!$B$12)))</f>
        <v/>
      </c>
      <c r="V1326" s="23" t="n"/>
    </row>
    <row r="1327">
      <c r="A1327" s="23" t="n"/>
      <c r="B1327" s="23" t="n"/>
      <c r="C1327" s="24" t="n"/>
      <c r="D1327" s="15" t="n"/>
      <c r="E1327" s="23" t="n"/>
      <c r="F1327" s="15" t="n"/>
      <c r="G1327" s="23" t="n"/>
      <c r="H1327" s="25" t="n"/>
      <c r="I1327" s="15" t="n"/>
      <c r="J1327" s="26">
        <f>IF($A1327="","",LEN($C1327)-LEN(SUBSTITUTE($C1327,",",""))+1)</f>
        <v/>
      </c>
      <c r="K1327" s="26">
        <f>IF($A1327="","",SUMPRODUCT(--ISNUMBER(SEARCH('Category Dictionary'!$D$5:$D$135&amp;"",$C1327)),--('Category Dictionary'!$D$5:$D$135&lt;&gt;"")))</f>
        <v/>
      </c>
      <c r="L1327" s="27">
        <f>IF($A1327="","",TRIM(IF(ISERROR(FIND(",",$C1327)),$C1327,LEFT($C1327,FIND(",",$C1327)-1))))</f>
        <v/>
      </c>
      <c r="M1327" s="28">
        <f>IF($H1327="","",DATE(YEAR($H1327),MONTH($H1327),1))</f>
        <v/>
      </c>
      <c r="N1327" s="26">
        <f>IF($H1327="","",TODAY()-$H1327)</f>
        <v/>
      </c>
      <c r="O1327" s="15" t="n"/>
      <c r="P1327" s="26">
        <f>IF($A1327="","",COUNTIFS('Audit Versions'!$A$6:$A$605,$A1327,'Audit Versions'!$L$6:$L$605,"Active"))</f>
        <v/>
      </c>
      <c r="Q1327" s="15" t="n"/>
      <c r="R1327" s="26">
        <f>IF(OR($A1327="",$P1327=0),"",MOD(N($Q1327),$P1327)+1)</f>
        <v/>
      </c>
      <c r="S1327" s="15" t="n"/>
      <c r="T1327" s="25" t="n"/>
      <c r="U1327" s="26">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Builder'!$B$12="",N($S1327)&lt;='Assignment Builder'!$B$12)))</f>
        <v/>
      </c>
      <c r="V1327" s="23" t="n"/>
    </row>
    <row r="1328">
      <c r="A1328" s="23" t="n"/>
      <c r="B1328" s="23" t="n"/>
      <c r="C1328" s="24" t="n"/>
      <c r="D1328" s="15" t="n"/>
      <c r="E1328" s="23" t="n"/>
      <c r="F1328" s="15" t="n"/>
      <c r="G1328" s="23" t="n"/>
      <c r="H1328" s="25" t="n"/>
      <c r="I1328" s="15" t="n"/>
      <c r="J1328" s="26">
        <f>IF($A1328="","",LEN($C1328)-LEN(SUBSTITUTE($C1328,",",""))+1)</f>
        <v/>
      </c>
      <c r="K1328" s="26">
        <f>IF($A1328="","",SUMPRODUCT(--ISNUMBER(SEARCH('Category Dictionary'!$D$5:$D$135&amp;"",$C1328)),--('Category Dictionary'!$D$5:$D$135&lt;&gt;"")))</f>
        <v/>
      </c>
      <c r="L1328" s="27">
        <f>IF($A1328="","",TRIM(IF(ISERROR(FIND(",",$C1328)),$C1328,LEFT($C1328,FIND(",",$C1328)-1))))</f>
        <v/>
      </c>
      <c r="M1328" s="28">
        <f>IF($H1328="","",DATE(YEAR($H1328),MONTH($H1328),1))</f>
        <v/>
      </c>
      <c r="N1328" s="26">
        <f>IF($H1328="","",TODAY()-$H1328)</f>
        <v/>
      </c>
      <c r="O1328" s="15" t="n"/>
      <c r="P1328" s="26">
        <f>IF($A1328="","",COUNTIFS('Audit Versions'!$A$6:$A$605,$A1328,'Audit Versions'!$L$6:$L$605,"Active"))</f>
        <v/>
      </c>
      <c r="Q1328" s="15" t="n"/>
      <c r="R1328" s="26">
        <f>IF(OR($A1328="",$P1328=0),"",MOD(N($Q1328),$P1328)+1)</f>
        <v/>
      </c>
      <c r="S1328" s="15" t="n"/>
      <c r="T1328" s="25" t="n"/>
      <c r="U1328" s="26">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Builder'!$B$12="",N($S1328)&lt;='Assignment Builder'!$B$12)))</f>
        <v/>
      </c>
      <c r="V1328" s="23" t="n"/>
    </row>
    <row r="1329">
      <c r="A1329" s="23" t="n"/>
      <c r="B1329" s="23" t="n"/>
      <c r="C1329" s="24" t="n"/>
      <c r="D1329" s="15" t="n"/>
      <c r="E1329" s="23" t="n"/>
      <c r="F1329" s="15" t="n"/>
      <c r="G1329" s="23" t="n"/>
      <c r="H1329" s="25" t="n"/>
      <c r="I1329" s="15" t="n"/>
      <c r="J1329" s="26">
        <f>IF($A1329="","",LEN($C1329)-LEN(SUBSTITUTE($C1329,",",""))+1)</f>
        <v/>
      </c>
      <c r="K1329" s="26">
        <f>IF($A1329="","",SUMPRODUCT(--ISNUMBER(SEARCH('Category Dictionary'!$D$5:$D$135&amp;"",$C1329)),--('Category Dictionary'!$D$5:$D$135&lt;&gt;"")))</f>
        <v/>
      </c>
      <c r="L1329" s="27">
        <f>IF($A1329="","",TRIM(IF(ISERROR(FIND(",",$C1329)),$C1329,LEFT($C1329,FIND(",",$C1329)-1))))</f>
        <v/>
      </c>
      <c r="M1329" s="28">
        <f>IF($H1329="","",DATE(YEAR($H1329),MONTH($H1329),1))</f>
        <v/>
      </c>
      <c r="N1329" s="26">
        <f>IF($H1329="","",TODAY()-$H1329)</f>
        <v/>
      </c>
      <c r="O1329" s="15" t="n"/>
      <c r="P1329" s="26">
        <f>IF($A1329="","",COUNTIFS('Audit Versions'!$A$6:$A$605,$A1329,'Audit Versions'!$L$6:$L$605,"Active"))</f>
        <v/>
      </c>
      <c r="Q1329" s="15" t="n"/>
      <c r="R1329" s="26">
        <f>IF(OR($A1329="",$P1329=0),"",MOD(N($Q1329),$P1329)+1)</f>
        <v/>
      </c>
      <c r="S1329" s="15" t="n"/>
      <c r="T1329" s="25" t="n"/>
      <c r="U1329" s="26">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Builder'!$B$12="",N($S1329)&lt;='Assignment Builder'!$B$12)))</f>
        <v/>
      </c>
      <c r="V1329" s="23" t="n"/>
    </row>
    <row r="1330">
      <c r="A1330" s="23" t="n"/>
      <c r="B1330" s="23" t="n"/>
      <c r="C1330" s="24" t="n"/>
      <c r="D1330" s="15" t="n"/>
      <c r="E1330" s="23" t="n"/>
      <c r="F1330" s="15" t="n"/>
      <c r="G1330" s="23" t="n"/>
      <c r="H1330" s="25" t="n"/>
      <c r="I1330" s="15" t="n"/>
      <c r="J1330" s="26">
        <f>IF($A1330="","",LEN($C1330)-LEN(SUBSTITUTE($C1330,",",""))+1)</f>
        <v/>
      </c>
      <c r="K1330" s="26">
        <f>IF($A1330="","",SUMPRODUCT(--ISNUMBER(SEARCH('Category Dictionary'!$D$5:$D$135&amp;"",$C1330)),--('Category Dictionary'!$D$5:$D$135&lt;&gt;"")))</f>
        <v/>
      </c>
      <c r="L1330" s="27">
        <f>IF($A1330="","",TRIM(IF(ISERROR(FIND(",",$C1330)),$C1330,LEFT($C1330,FIND(",",$C1330)-1))))</f>
        <v/>
      </c>
      <c r="M1330" s="28">
        <f>IF($H1330="","",DATE(YEAR($H1330),MONTH($H1330),1))</f>
        <v/>
      </c>
      <c r="N1330" s="26">
        <f>IF($H1330="","",TODAY()-$H1330)</f>
        <v/>
      </c>
      <c r="O1330" s="15" t="n"/>
      <c r="P1330" s="26">
        <f>IF($A1330="","",COUNTIFS('Audit Versions'!$A$6:$A$605,$A1330,'Audit Versions'!$L$6:$L$605,"Active"))</f>
        <v/>
      </c>
      <c r="Q1330" s="15" t="n"/>
      <c r="R1330" s="26">
        <f>IF(OR($A1330="",$P1330=0),"",MOD(N($Q1330),$P1330)+1)</f>
        <v/>
      </c>
      <c r="S1330" s="15" t="n"/>
      <c r="T1330" s="25" t="n"/>
      <c r="U1330" s="26">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Builder'!$B$12="",N($S1330)&lt;='Assignment Builder'!$B$12)))</f>
        <v/>
      </c>
      <c r="V1330" s="23" t="n"/>
    </row>
    <row r="1331">
      <c r="A1331" s="23" t="n"/>
      <c r="B1331" s="23" t="n"/>
      <c r="C1331" s="24" t="n"/>
      <c r="D1331" s="15" t="n"/>
      <c r="E1331" s="23" t="n"/>
      <c r="F1331" s="15" t="n"/>
      <c r="G1331" s="23" t="n"/>
      <c r="H1331" s="25" t="n"/>
      <c r="I1331" s="15" t="n"/>
      <c r="J1331" s="26">
        <f>IF($A1331="","",LEN($C1331)-LEN(SUBSTITUTE($C1331,",",""))+1)</f>
        <v/>
      </c>
      <c r="K1331" s="26">
        <f>IF($A1331="","",SUMPRODUCT(--ISNUMBER(SEARCH('Category Dictionary'!$D$5:$D$135&amp;"",$C1331)),--('Category Dictionary'!$D$5:$D$135&lt;&gt;"")))</f>
        <v/>
      </c>
      <c r="L1331" s="27">
        <f>IF($A1331="","",TRIM(IF(ISERROR(FIND(",",$C1331)),$C1331,LEFT($C1331,FIND(",",$C1331)-1))))</f>
        <v/>
      </c>
      <c r="M1331" s="28">
        <f>IF($H1331="","",DATE(YEAR($H1331),MONTH($H1331),1))</f>
        <v/>
      </c>
      <c r="N1331" s="26">
        <f>IF($H1331="","",TODAY()-$H1331)</f>
        <v/>
      </c>
      <c r="O1331" s="15" t="n"/>
      <c r="P1331" s="26">
        <f>IF($A1331="","",COUNTIFS('Audit Versions'!$A$6:$A$605,$A1331,'Audit Versions'!$L$6:$L$605,"Active"))</f>
        <v/>
      </c>
      <c r="Q1331" s="15" t="n"/>
      <c r="R1331" s="26">
        <f>IF(OR($A1331="",$P1331=0),"",MOD(N($Q1331),$P1331)+1)</f>
        <v/>
      </c>
      <c r="S1331" s="15" t="n"/>
      <c r="T1331" s="25" t="n"/>
      <c r="U1331" s="26">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Builder'!$B$12="",N($S1331)&lt;='Assignment Builder'!$B$12)))</f>
        <v/>
      </c>
      <c r="V1331" s="23" t="n"/>
    </row>
    <row r="1332">
      <c r="A1332" s="23" t="n"/>
      <c r="B1332" s="23" t="n"/>
      <c r="C1332" s="24" t="n"/>
      <c r="D1332" s="15" t="n"/>
      <c r="E1332" s="23" t="n"/>
      <c r="F1332" s="15" t="n"/>
      <c r="G1332" s="23" t="n"/>
      <c r="H1332" s="25" t="n"/>
      <c r="I1332" s="15" t="n"/>
      <c r="J1332" s="26">
        <f>IF($A1332="","",LEN($C1332)-LEN(SUBSTITUTE($C1332,",",""))+1)</f>
        <v/>
      </c>
      <c r="K1332" s="26">
        <f>IF($A1332="","",SUMPRODUCT(--ISNUMBER(SEARCH('Category Dictionary'!$D$5:$D$135&amp;"",$C1332)),--('Category Dictionary'!$D$5:$D$135&lt;&gt;"")))</f>
        <v/>
      </c>
      <c r="L1332" s="27">
        <f>IF($A1332="","",TRIM(IF(ISERROR(FIND(",",$C1332)),$C1332,LEFT($C1332,FIND(",",$C1332)-1))))</f>
        <v/>
      </c>
      <c r="M1332" s="28">
        <f>IF($H1332="","",DATE(YEAR($H1332),MONTH($H1332),1))</f>
        <v/>
      </c>
      <c r="N1332" s="26">
        <f>IF($H1332="","",TODAY()-$H1332)</f>
        <v/>
      </c>
      <c r="O1332" s="15" t="n"/>
      <c r="P1332" s="26">
        <f>IF($A1332="","",COUNTIFS('Audit Versions'!$A$6:$A$605,$A1332,'Audit Versions'!$L$6:$L$605,"Active"))</f>
        <v/>
      </c>
      <c r="Q1332" s="15" t="n"/>
      <c r="R1332" s="26">
        <f>IF(OR($A1332="",$P1332=0),"",MOD(N($Q1332),$P1332)+1)</f>
        <v/>
      </c>
      <c r="S1332" s="15" t="n"/>
      <c r="T1332" s="25" t="n"/>
      <c r="U1332" s="26">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Builder'!$B$12="",N($S1332)&lt;='Assignment Builder'!$B$12)))</f>
        <v/>
      </c>
      <c r="V1332" s="23" t="n"/>
    </row>
    <row r="1333">
      <c r="A1333" s="23" t="n"/>
      <c r="B1333" s="23" t="n"/>
      <c r="C1333" s="24" t="n"/>
      <c r="D1333" s="15" t="n"/>
      <c r="E1333" s="23" t="n"/>
      <c r="F1333" s="15" t="n"/>
      <c r="G1333" s="23" t="n"/>
      <c r="H1333" s="25" t="n"/>
      <c r="I1333" s="15" t="n"/>
      <c r="J1333" s="26">
        <f>IF($A1333="","",LEN($C1333)-LEN(SUBSTITUTE($C1333,",",""))+1)</f>
        <v/>
      </c>
      <c r="K1333" s="26">
        <f>IF($A1333="","",SUMPRODUCT(--ISNUMBER(SEARCH('Category Dictionary'!$D$5:$D$135&amp;"",$C1333)),--('Category Dictionary'!$D$5:$D$135&lt;&gt;"")))</f>
        <v/>
      </c>
      <c r="L1333" s="27">
        <f>IF($A1333="","",TRIM(IF(ISERROR(FIND(",",$C1333)),$C1333,LEFT($C1333,FIND(",",$C1333)-1))))</f>
        <v/>
      </c>
      <c r="M1333" s="28">
        <f>IF($H1333="","",DATE(YEAR($H1333),MONTH($H1333),1))</f>
        <v/>
      </c>
      <c r="N1333" s="26">
        <f>IF($H1333="","",TODAY()-$H1333)</f>
        <v/>
      </c>
      <c r="O1333" s="15" t="n"/>
      <c r="P1333" s="26">
        <f>IF($A1333="","",COUNTIFS('Audit Versions'!$A$6:$A$605,$A1333,'Audit Versions'!$L$6:$L$605,"Active"))</f>
        <v/>
      </c>
      <c r="Q1333" s="15" t="n"/>
      <c r="R1333" s="26">
        <f>IF(OR($A1333="",$P1333=0),"",MOD(N($Q1333),$P1333)+1)</f>
        <v/>
      </c>
      <c r="S1333" s="15" t="n"/>
      <c r="T1333" s="25" t="n"/>
      <c r="U1333" s="26">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Builder'!$B$12="",N($S1333)&lt;='Assignment Builder'!$B$12)))</f>
        <v/>
      </c>
      <c r="V1333" s="23" t="n"/>
    </row>
    <row r="1334">
      <c r="A1334" s="23" t="n"/>
      <c r="B1334" s="23" t="n"/>
      <c r="C1334" s="24" t="n"/>
      <c r="D1334" s="15" t="n"/>
      <c r="E1334" s="23" t="n"/>
      <c r="F1334" s="15" t="n"/>
      <c r="G1334" s="23" t="n"/>
      <c r="H1334" s="25" t="n"/>
      <c r="I1334" s="15" t="n"/>
      <c r="J1334" s="26">
        <f>IF($A1334="","",LEN($C1334)-LEN(SUBSTITUTE($C1334,",",""))+1)</f>
        <v/>
      </c>
      <c r="K1334" s="26">
        <f>IF($A1334="","",SUMPRODUCT(--ISNUMBER(SEARCH('Category Dictionary'!$D$5:$D$135&amp;"",$C1334)),--('Category Dictionary'!$D$5:$D$135&lt;&gt;"")))</f>
        <v/>
      </c>
      <c r="L1334" s="27">
        <f>IF($A1334="","",TRIM(IF(ISERROR(FIND(",",$C1334)),$C1334,LEFT($C1334,FIND(",",$C1334)-1))))</f>
        <v/>
      </c>
      <c r="M1334" s="28">
        <f>IF($H1334="","",DATE(YEAR($H1334),MONTH($H1334),1))</f>
        <v/>
      </c>
      <c r="N1334" s="26">
        <f>IF($H1334="","",TODAY()-$H1334)</f>
        <v/>
      </c>
      <c r="O1334" s="15" t="n"/>
      <c r="P1334" s="26">
        <f>IF($A1334="","",COUNTIFS('Audit Versions'!$A$6:$A$605,$A1334,'Audit Versions'!$L$6:$L$605,"Active"))</f>
        <v/>
      </c>
      <c r="Q1334" s="15" t="n"/>
      <c r="R1334" s="26">
        <f>IF(OR($A1334="",$P1334=0),"",MOD(N($Q1334),$P1334)+1)</f>
        <v/>
      </c>
      <c r="S1334" s="15" t="n"/>
      <c r="T1334" s="25" t="n"/>
      <c r="U1334" s="26">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Builder'!$B$12="",N($S1334)&lt;='Assignment Builder'!$B$12)))</f>
        <v/>
      </c>
      <c r="V1334" s="23" t="n"/>
    </row>
    <row r="1335">
      <c r="A1335" s="23" t="n"/>
      <c r="B1335" s="23" t="n"/>
      <c r="C1335" s="24" t="n"/>
      <c r="D1335" s="15" t="n"/>
      <c r="E1335" s="23" t="n"/>
      <c r="F1335" s="15" t="n"/>
      <c r="G1335" s="23" t="n"/>
      <c r="H1335" s="25" t="n"/>
      <c r="I1335" s="15" t="n"/>
      <c r="J1335" s="26">
        <f>IF($A1335="","",LEN($C1335)-LEN(SUBSTITUTE($C1335,",",""))+1)</f>
        <v/>
      </c>
      <c r="K1335" s="26">
        <f>IF($A1335="","",SUMPRODUCT(--ISNUMBER(SEARCH('Category Dictionary'!$D$5:$D$135&amp;"",$C1335)),--('Category Dictionary'!$D$5:$D$135&lt;&gt;"")))</f>
        <v/>
      </c>
      <c r="L1335" s="27">
        <f>IF($A1335="","",TRIM(IF(ISERROR(FIND(",",$C1335)),$C1335,LEFT($C1335,FIND(",",$C1335)-1))))</f>
        <v/>
      </c>
      <c r="M1335" s="28">
        <f>IF($H1335="","",DATE(YEAR($H1335),MONTH($H1335),1))</f>
        <v/>
      </c>
      <c r="N1335" s="26">
        <f>IF($H1335="","",TODAY()-$H1335)</f>
        <v/>
      </c>
      <c r="O1335" s="15" t="n"/>
      <c r="P1335" s="26">
        <f>IF($A1335="","",COUNTIFS('Audit Versions'!$A$6:$A$605,$A1335,'Audit Versions'!$L$6:$L$605,"Active"))</f>
        <v/>
      </c>
      <c r="Q1335" s="15" t="n"/>
      <c r="R1335" s="26">
        <f>IF(OR($A1335="",$P1335=0),"",MOD(N($Q1335),$P1335)+1)</f>
        <v/>
      </c>
      <c r="S1335" s="15" t="n"/>
      <c r="T1335" s="25" t="n"/>
      <c r="U1335" s="26">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Builder'!$B$12="",N($S1335)&lt;='Assignment Builder'!$B$12)))</f>
        <v/>
      </c>
      <c r="V1335" s="23" t="n"/>
    </row>
    <row r="1336">
      <c r="A1336" s="23" t="n"/>
      <c r="B1336" s="23" t="n"/>
      <c r="C1336" s="24" t="n"/>
      <c r="D1336" s="15" t="n"/>
      <c r="E1336" s="23" t="n"/>
      <c r="F1336" s="15" t="n"/>
      <c r="G1336" s="23" t="n"/>
      <c r="H1336" s="25" t="n"/>
      <c r="I1336" s="15" t="n"/>
      <c r="J1336" s="26">
        <f>IF($A1336="","",LEN($C1336)-LEN(SUBSTITUTE($C1336,",",""))+1)</f>
        <v/>
      </c>
      <c r="K1336" s="26">
        <f>IF($A1336="","",SUMPRODUCT(--ISNUMBER(SEARCH('Category Dictionary'!$D$5:$D$135&amp;"",$C1336)),--('Category Dictionary'!$D$5:$D$135&lt;&gt;"")))</f>
        <v/>
      </c>
      <c r="L1336" s="27">
        <f>IF($A1336="","",TRIM(IF(ISERROR(FIND(",",$C1336)),$C1336,LEFT($C1336,FIND(",",$C1336)-1))))</f>
        <v/>
      </c>
      <c r="M1336" s="28">
        <f>IF($H1336="","",DATE(YEAR($H1336),MONTH($H1336),1))</f>
        <v/>
      </c>
      <c r="N1336" s="26">
        <f>IF($H1336="","",TODAY()-$H1336)</f>
        <v/>
      </c>
      <c r="O1336" s="15" t="n"/>
      <c r="P1336" s="26">
        <f>IF($A1336="","",COUNTIFS('Audit Versions'!$A$6:$A$605,$A1336,'Audit Versions'!$L$6:$L$605,"Active"))</f>
        <v/>
      </c>
      <c r="Q1336" s="15" t="n"/>
      <c r="R1336" s="26">
        <f>IF(OR($A1336="",$P1336=0),"",MOD(N($Q1336),$P1336)+1)</f>
        <v/>
      </c>
      <c r="S1336" s="15" t="n"/>
      <c r="T1336" s="25" t="n"/>
      <c r="U1336" s="26">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Builder'!$B$12="",N($S1336)&lt;='Assignment Builder'!$B$12)))</f>
        <v/>
      </c>
      <c r="V1336" s="23" t="n"/>
    </row>
    <row r="1337">
      <c r="A1337" s="23" t="n"/>
      <c r="B1337" s="23" t="n"/>
      <c r="C1337" s="24" t="n"/>
      <c r="D1337" s="15" t="n"/>
      <c r="E1337" s="23" t="n"/>
      <c r="F1337" s="15" t="n"/>
      <c r="G1337" s="23" t="n"/>
      <c r="H1337" s="25" t="n"/>
      <c r="I1337" s="15" t="n"/>
      <c r="J1337" s="26">
        <f>IF($A1337="","",LEN($C1337)-LEN(SUBSTITUTE($C1337,",",""))+1)</f>
        <v/>
      </c>
      <c r="K1337" s="26">
        <f>IF($A1337="","",SUMPRODUCT(--ISNUMBER(SEARCH('Category Dictionary'!$D$5:$D$135&amp;"",$C1337)),--('Category Dictionary'!$D$5:$D$135&lt;&gt;"")))</f>
        <v/>
      </c>
      <c r="L1337" s="27">
        <f>IF($A1337="","",TRIM(IF(ISERROR(FIND(",",$C1337)),$C1337,LEFT($C1337,FIND(",",$C1337)-1))))</f>
        <v/>
      </c>
      <c r="M1337" s="28">
        <f>IF($H1337="","",DATE(YEAR($H1337),MONTH($H1337),1))</f>
        <v/>
      </c>
      <c r="N1337" s="26">
        <f>IF($H1337="","",TODAY()-$H1337)</f>
        <v/>
      </c>
      <c r="O1337" s="15" t="n"/>
      <c r="P1337" s="26">
        <f>IF($A1337="","",COUNTIFS('Audit Versions'!$A$6:$A$605,$A1337,'Audit Versions'!$L$6:$L$605,"Active"))</f>
        <v/>
      </c>
      <c r="Q1337" s="15" t="n"/>
      <c r="R1337" s="26">
        <f>IF(OR($A1337="",$P1337=0),"",MOD(N($Q1337),$P1337)+1)</f>
        <v/>
      </c>
      <c r="S1337" s="15" t="n"/>
      <c r="T1337" s="25" t="n"/>
      <c r="U1337" s="26">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Builder'!$B$12="",N($S1337)&lt;='Assignment Builder'!$B$12)))</f>
        <v/>
      </c>
      <c r="V1337" s="23" t="n"/>
    </row>
    <row r="1338">
      <c r="A1338" s="23" t="n"/>
      <c r="B1338" s="23" t="n"/>
      <c r="C1338" s="24" t="n"/>
      <c r="D1338" s="15" t="n"/>
      <c r="E1338" s="23" t="n"/>
      <c r="F1338" s="15" t="n"/>
      <c r="G1338" s="23" t="n"/>
      <c r="H1338" s="25" t="n"/>
      <c r="I1338" s="15" t="n"/>
      <c r="J1338" s="26">
        <f>IF($A1338="","",LEN($C1338)-LEN(SUBSTITUTE($C1338,",",""))+1)</f>
        <v/>
      </c>
      <c r="K1338" s="26">
        <f>IF($A1338="","",SUMPRODUCT(--ISNUMBER(SEARCH('Category Dictionary'!$D$5:$D$135&amp;"",$C1338)),--('Category Dictionary'!$D$5:$D$135&lt;&gt;"")))</f>
        <v/>
      </c>
      <c r="L1338" s="27">
        <f>IF($A1338="","",TRIM(IF(ISERROR(FIND(",",$C1338)),$C1338,LEFT($C1338,FIND(",",$C1338)-1))))</f>
        <v/>
      </c>
      <c r="M1338" s="28">
        <f>IF($H1338="","",DATE(YEAR($H1338),MONTH($H1338),1))</f>
        <v/>
      </c>
      <c r="N1338" s="26">
        <f>IF($H1338="","",TODAY()-$H1338)</f>
        <v/>
      </c>
      <c r="O1338" s="15" t="n"/>
      <c r="P1338" s="26">
        <f>IF($A1338="","",COUNTIFS('Audit Versions'!$A$6:$A$605,$A1338,'Audit Versions'!$L$6:$L$605,"Active"))</f>
        <v/>
      </c>
      <c r="Q1338" s="15" t="n"/>
      <c r="R1338" s="26">
        <f>IF(OR($A1338="",$P1338=0),"",MOD(N($Q1338),$P1338)+1)</f>
        <v/>
      </c>
      <c r="S1338" s="15" t="n"/>
      <c r="T1338" s="25" t="n"/>
      <c r="U1338" s="26">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Builder'!$B$12="",N($S1338)&lt;='Assignment Builder'!$B$12)))</f>
        <v/>
      </c>
      <c r="V1338" s="23" t="n"/>
    </row>
    <row r="1339">
      <c r="A1339" s="23" t="n"/>
      <c r="B1339" s="23" t="n"/>
      <c r="C1339" s="24" t="n"/>
      <c r="D1339" s="15" t="n"/>
      <c r="E1339" s="23" t="n"/>
      <c r="F1339" s="15" t="n"/>
      <c r="G1339" s="23" t="n"/>
      <c r="H1339" s="25" t="n"/>
      <c r="I1339" s="15" t="n"/>
      <c r="J1339" s="26">
        <f>IF($A1339="","",LEN($C1339)-LEN(SUBSTITUTE($C1339,",",""))+1)</f>
        <v/>
      </c>
      <c r="K1339" s="26">
        <f>IF($A1339="","",SUMPRODUCT(--ISNUMBER(SEARCH('Category Dictionary'!$D$5:$D$135&amp;"",$C1339)),--('Category Dictionary'!$D$5:$D$135&lt;&gt;"")))</f>
        <v/>
      </c>
      <c r="L1339" s="27">
        <f>IF($A1339="","",TRIM(IF(ISERROR(FIND(",",$C1339)),$C1339,LEFT($C1339,FIND(",",$C1339)-1))))</f>
        <v/>
      </c>
      <c r="M1339" s="28">
        <f>IF($H1339="","",DATE(YEAR($H1339),MONTH($H1339),1))</f>
        <v/>
      </c>
      <c r="N1339" s="26">
        <f>IF($H1339="","",TODAY()-$H1339)</f>
        <v/>
      </c>
      <c r="O1339" s="15" t="n"/>
      <c r="P1339" s="26">
        <f>IF($A1339="","",COUNTIFS('Audit Versions'!$A$6:$A$605,$A1339,'Audit Versions'!$L$6:$L$605,"Active"))</f>
        <v/>
      </c>
      <c r="Q1339" s="15" t="n"/>
      <c r="R1339" s="26">
        <f>IF(OR($A1339="",$P1339=0),"",MOD(N($Q1339),$P1339)+1)</f>
        <v/>
      </c>
      <c r="S1339" s="15" t="n"/>
      <c r="T1339" s="25" t="n"/>
      <c r="U1339" s="26">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Builder'!$B$12="",N($S1339)&lt;='Assignment Builder'!$B$12)))</f>
        <v/>
      </c>
      <c r="V1339" s="23" t="n"/>
    </row>
    <row r="1340">
      <c r="A1340" s="23" t="n"/>
      <c r="B1340" s="23" t="n"/>
      <c r="C1340" s="24" t="n"/>
      <c r="D1340" s="15" t="n"/>
      <c r="E1340" s="23" t="n"/>
      <c r="F1340" s="15" t="n"/>
      <c r="G1340" s="23" t="n"/>
      <c r="H1340" s="25" t="n"/>
      <c r="I1340" s="15" t="n"/>
      <c r="J1340" s="26">
        <f>IF($A1340="","",LEN($C1340)-LEN(SUBSTITUTE($C1340,",",""))+1)</f>
        <v/>
      </c>
      <c r="K1340" s="26">
        <f>IF($A1340="","",SUMPRODUCT(--ISNUMBER(SEARCH('Category Dictionary'!$D$5:$D$135&amp;"",$C1340)),--('Category Dictionary'!$D$5:$D$135&lt;&gt;"")))</f>
        <v/>
      </c>
      <c r="L1340" s="27">
        <f>IF($A1340="","",TRIM(IF(ISERROR(FIND(",",$C1340)),$C1340,LEFT($C1340,FIND(",",$C1340)-1))))</f>
        <v/>
      </c>
      <c r="M1340" s="28">
        <f>IF($H1340="","",DATE(YEAR($H1340),MONTH($H1340),1))</f>
        <v/>
      </c>
      <c r="N1340" s="26">
        <f>IF($H1340="","",TODAY()-$H1340)</f>
        <v/>
      </c>
      <c r="O1340" s="15" t="n"/>
      <c r="P1340" s="26">
        <f>IF($A1340="","",COUNTIFS('Audit Versions'!$A$6:$A$605,$A1340,'Audit Versions'!$L$6:$L$605,"Active"))</f>
        <v/>
      </c>
      <c r="Q1340" s="15" t="n"/>
      <c r="R1340" s="26">
        <f>IF(OR($A1340="",$P1340=0),"",MOD(N($Q1340),$P1340)+1)</f>
        <v/>
      </c>
      <c r="S1340" s="15" t="n"/>
      <c r="T1340" s="25" t="n"/>
      <c r="U1340" s="26">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Builder'!$B$12="",N($S1340)&lt;='Assignment Builder'!$B$12)))</f>
        <v/>
      </c>
      <c r="V1340" s="23" t="n"/>
    </row>
    <row r="1341">
      <c r="A1341" s="23" t="n"/>
      <c r="B1341" s="23" t="n"/>
      <c r="C1341" s="24" t="n"/>
      <c r="D1341" s="15" t="n"/>
      <c r="E1341" s="23" t="n"/>
      <c r="F1341" s="15" t="n"/>
      <c r="G1341" s="23" t="n"/>
      <c r="H1341" s="25" t="n"/>
      <c r="I1341" s="15" t="n"/>
      <c r="J1341" s="26">
        <f>IF($A1341="","",LEN($C1341)-LEN(SUBSTITUTE($C1341,",",""))+1)</f>
        <v/>
      </c>
      <c r="K1341" s="26">
        <f>IF($A1341="","",SUMPRODUCT(--ISNUMBER(SEARCH('Category Dictionary'!$D$5:$D$135&amp;"",$C1341)),--('Category Dictionary'!$D$5:$D$135&lt;&gt;"")))</f>
        <v/>
      </c>
      <c r="L1341" s="27">
        <f>IF($A1341="","",TRIM(IF(ISERROR(FIND(",",$C1341)),$C1341,LEFT($C1341,FIND(",",$C1341)-1))))</f>
        <v/>
      </c>
      <c r="M1341" s="28">
        <f>IF($H1341="","",DATE(YEAR($H1341),MONTH($H1341),1))</f>
        <v/>
      </c>
      <c r="N1341" s="26">
        <f>IF($H1341="","",TODAY()-$H1341)</f>
        <v/>
      </c>
      <c r="O1341" s="15" t="n"/>
      <c r="P1341" s="26">
        <f>IF($A1341="","",COUNTIFS('Audit Versions'!$A$6:$A$605,$A1341,'Audit Versions'!$L$6:$L$605,"Active"))</f>
        <v/>
      </c>
      <c r="Q1341" s="15" t="n"/>
      <c r="R1341" s="26">
        <f>IF(OR($A1341="",$P1341=0),"",MOD(N($Q1341),$P1341)+1)</f>
        <v/>
      </c>
      <c r="S1341" s="15" t="n"/>
      <c r="T1341" s="25" t="n"/>
      <c r="U1341" s="26">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Builder'!$B$12="",N($S1341)&lt;='Assignment Builder'!$B$12)))</f>
        <v/>
      </c>
      <c r="V1341" s="23" t="n"/>
    </row>
    <row r="1342">
      <c r="A1342" s="23" t="n"/>
      <c r="B1342" s="23" t="n"/>
      <c r="C1342" s="24" t="n"/>
      <c r="D1342" s="15" t="n"/>
      <c r="E1342" s="23" t="n"/>
      <c r="F1342" s="15" t="n"/>
      <c r="G1342" s="23" t="n"/>
      <c r="H1342" s="25" t="n"/>
      <c r="I1342" s="15" t="n"/>
      <c r="J1342" s="26">
        <f>IF($A1342="","",LEN($C1342)-LEN(SUBSTITUTE($C1342,",",""))+1)</f>
        <v/>
      </c>
      <c r="K1342" s="26">
        <f>IF($A1342="","",SUMPRODUCT(--ISNUMBER(SEARCH('Category Dictionary'!$D$5:$D$135&amp;"",$C1342)),--('Category Dictionary'!$D$5:$D$135&lt;&gt;"")))</f>
        <v/>
      </c>
      <c r="L1342" s="27">
        <f>IF($A1342="","",TRIM(IF(ISERROR(FIND(",",$C1342)),$C1342,LEFT($C1342,FIND(",",$C1342)-1))))</f>
        <v/>
      </c>
      <c r="M1342" s="28">
        <f>IF($H1342="","",DATE(YEAR($H1342),MONTH($H1342),1))</f>
        <v/>
      </c>
      <c r="N1342" s="26">
        <f>IF($H1342="","",TODAY()-$H1342)</f>
        <v/>
      </c>
      <c r="O1342" s="15" t="n"/>
      <c r="P1342" s="26">
        <f>IF($A1342="","",COUNTIFS('Audit Versions'!$A$6:$A$605,$A1342,'Audit Versions'!$L$6:$L$605,"Active"))</f>
        <v/>
      </c>
      <c r="Q1342" s="15" t="n"/>
      <c r="R1342" s="26">
        <f>IF(OR($A1342="",$P1342=0),"",MOD(N($Q1342),$P1342)+1)</f>
        <v/>
      </c>
      <c r="S1342" s="15" t="n"/>
      <c r="T1342" s="25" t="n"/>
      <c r="U1342" s="26">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Builder'!$B$12="",N($S1342)&lt;='Assignment Builder'!$B$12)))</f>
        <v/>
      </c>
      <c r="V1342" s="23" t="n"/>
    </row>
    <row r="1343">
      <c r="A1343" s="23" t="n"/>
      <c r="B1343" s="23" t="n"/>
      <c r="C1343" s="24" t="n"/>
      <c r="D1343" s="15" t="n"/>
      <c r="E1343" s="23" t="n"/>
      <c r="F1343" s="15" t="n"/>
      <c r="G1343" s="23" t="n"/>
      <c r="H1343" s="25" t="n"/>
      <c r="I1343" s="15" t="n"/>
      <c r="J1343" s="26">
        <f>IF($A1343="","",LEN($C1343)-LEN(SUBSTITUTE($C1343,",",""))+1)</f>
        <v/>
      </c>
      <c r="K1343" s="26">
        <f>IF($A1343="","",SUMPRODUCT(--ISNUMBER(SEARCH('Category Dictionary'!$D$5:$D$135&amp;"",$C1343)),--('Category Dictionary'!$D$5:$D$135&lt;&gt;"")))</f>
        <v/>
      </c>
      <c r="L1343" s="27">
        <f>IF($A1343="","",TRIM(IF(ISERROR(FIND(",",$C1343)),$C1343,LEFT($C1343,FIND(",",$C1343)-1))))</f>
        <v/>
      </c>
      <c r="M1343" s="28">
        <f>IF($H1343="","",DATE(YEAR($H1343),MONTH($H1343),1))</f>
        <v/>
      </c>
      <c r="N1343" s="26">
        <f>IF($H1343="","",TODAY()-$H1343)</f>
        <v/>
      </c>
      <c r="O1343" s="15" t="n"/>
      <c r="P1343" s="26">
        <f>IF($A1343="","",COUNTIFS('Audit Versions'!$A$6:$A$605,$A1343,'Audit Versions'!$L$6:$L$605,"Active"))</f>
        <v/>
      </c>
      <c r="Q1343" s="15" t="n"/>
      <c r="R1343" s="26">
        <f>IF(OR($A1343="",$P1343=0),"",MOD(N($Q1343),$P1343)+1)</f>
        <v/>
      </c>
      <c r="S1343" s="15" t="n"/>
      <c r="T1343" s="25" t="n"/>
      <c r="U1343" s="26">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Builder'!$B$12="",N($S1343)&lt;='Assignment Builder'!$B$12)))</f>
        <v/>
      </c>
      <c r="V1343" s="23" t="n"/>
    </row>
    <row r="1344">
      <c r="A1344" s="23" t="n"/>
      <c r="B1344" s="23" t="n"/>
      <c r="C1344" s="24" t="n"/>
      <c r="D1344" s="15" t="n"/>
      <c r="E1344" s="23" t="n"/>
      <c r="F1344" s="15" t="n"/>
      <c r="G1344" s="23" t="n"/>
      <c r="H1344" s="25" t="n"/>
      <c r="I1344" s="15" t="n"/>
      <c r="J1344" s="26">
        <f>IF($A1344="","",LEN($C1344)-LEN(SUBSTITUTE($C1344,",",""))+1)</f>
        <v/>
      </c>
      <c r="K1344" s="26">
        <f>IF($A1344="","",SUMPRODUCT(--ISNUMBER(SEARCH('Category Dictionary'!$D$5:$D$135&amp;"",$C1344)),--('Category Dictionary'!$D$5:$D$135&lt;&gt;"")))</f>
        <v/>
      </c>
      <c r="L1344" s="27">
        <f>IF($A1344="","",TRIM(IF(ISERROR(FIND(",",$C1344)),$C1344,LEFT($C1344,FIND(",",$C1344)-1))))</f>
        <v/>
      </c>
      <c r="M1344" s="28">
        <f>IF($H1344="","",DATE(YEAR($H1344),MONTH($H1344),1))</f>
        <v/>
      </c>
      <c r="N1344" s="26">
        <f>IF($H1344="","",TODAY()-$H1344)</f>
        <v/>
      </c>
      <c r="O1344" s="15" t="n"/>
      <c r="P1344" s="26">
        <f>IF($A1344="","",COUNTIFS('Audit Versions'!$A$6:$A$605,$A1344,'Audit Versions'!$L$6:$L$605,"Active"))</f>
        <v/>
      </c>
      <c r="Q1344" s="15" t="n"/>
      <c r="R1344" s="26">
        <f>IF(OR($A1344="",$P1344=0),"",MOD(N($Q1344),$P1344)+1)</f>
        <v/>
      </c>
      <c r="S1344" s="15" t="n"/>
      <c r="T1344" s="25" t="n"/>
      <c r="U1344" s="26">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Builder'!$B$12="",N($S1344)&lt;='Assignment Builder'!$B$12)))</f>
        <v/>
      </c>
      <c r="V1344" s="23" t="n"/>
    </row>
    <row r="1345">
      <c r="A1345" s="23" t="n"/>
      <c r="B1345" s="23" t="n"/>
      <c r="C1345" s="24" t="n"/>
      <c r="D1345" s="15" t="n"/>
      <c r="E1345" s="23" t="n"/>
      <c r="F1345" s="15" t="n"/>
      <c r="G1345" s="23" t="n"/>
      <c r="H1345" s="25" t="n"/>
      <c r="I1345" s="15" t="n"/>
      <c r="J1345" s="26">
        <f>IF($A1345="","",LEN($C1345)-LEN(SUBSTITUTE($C1345,",",""))+1)</f>
        <v/>
      </c>
      <c r="K1345" s="26">
        <f>IF($A1345="","",SUMPRODUCT(--ISNUMBER(SEARCH('Category Dictionary'!$D$5:$D$135&amp;"",$C1345)),--('Category Dictionary'!$D$5:$D$135&lt;&gt;"")))</f>
        <v/>
      </c>
      <c r="L1345" s="27">
        <f>IF($A1345="","",TRIM(IF(ISERROR(FIND(",",$C1345)),$C1345,LEFT($C1345,FIND(",",$C1345)-1))))</f>
        <v/>
      </c>
      <c r="M1345" s="28">
        <f>IF($H1345="","",DATE(YEAR($H1345),MONTH($H1345),1))</f>
        <v/>
      </c>
      <c r="N1345" s="26">
        <f>IF($H1345="","",TODAY()-$H1345)</f>
        <v/>
      </c>
      <c r="O1345" s="15" t="n"/>
      <c r="P1345" s="26">
        <f>IF($A1345="","",COUNTIFS('Audit Versions'!$A$6:$A$605,$A1345,'Audit Versions'!$L$6:$L$605,"Active"))</f>
        <v/>
      </c>
      <c r="Q1345" s="15" t="n"/>
      <c r="R1345" s="26">
        <f>IF(OR($A1345="",$P1345=0),"",MOD(N($Q1345),$P1345)+1)</f>
        <v/>
      </c>
      <c r="S1345" s="15" t="n"/>
      <c r="T1345" s="25" t="n"/>
      <c r="U1345" s="26">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Builder'!$B$12="",N($S1345)&lt;='Assignment Builder'!$B$12)))</f>
        <v/>
      </c>
      <c r="V1345" s="23" t="n"/>
    </row>
    <row r="1346">
      <c r="A1346" s="23" t="n"/>
      <c r="B1346" s="23" t="n"/>
      <c r="C1346" s="24" t="n"/>
      <c r="D1346" s="15" t="n"/>
      <c r="E1346" s="23" t="n"/>
      <c r="F1346" s="15" t="n"/>
      <c r="G1346" s="23" t="n"/>
      <c r="H1346" s="25" t="n"/>
      <c r="I1346" s="15" t="n"/>
      <c r="J1346" s="26">
        <f>IF($A1346="","",LEN($C1346)-LEN(SUBSTITUTE($C1346,",",""))+1)</f>
        <v/>
      </c>
      <c r="K1346" s="26">
        <f>IF($A1346="","",SUMPRODUCT(--ISNUMBER(SEARCH('Category Dictionary'!$D$5:$D$135&amp;"",$C1346)),--('Category Dictionary'!$D$5:$D$135&lt;&gt;"")))</f>
        <v/>
      </c>
      <c r="L1346" s="27">
        <f>IF($A1346="","",TRIM(IF(ISERROR(FIND(",",$C1346)),$C1346,LEFT($C1346,FIND(",",$C1346)-1))))</f>
        <v/>
      </c>
      <c r="M1346" s="28">
        <f>IF($H1346="","",DATE(YEAR($H1346),MONTH($H1346),1))</f>
        <v/>
      </c>
      <c r="N1346" s="26">
        <f>IF($H1346="","",TODAY()-$H1346)</f>
        <v/>
      </c>
      <c r="O1346" s="15" t="n"/>
      <c r="P1346" s="26">
        <f>IF($A1346="","",COUNTIFS('Audit Versions'!$A$6:$A$605,$A1346,'Audit Versions'!$L$6:$L$605,"Active"))</f>
        <v/>
      </c>
      <c r="Q1346" s="15" t="n"/>
      <c r="R1346" s="26">
        <f>IF(OR($A1346="",$P1346=0),"",MOD(N($Q1346),$P1346)+1)</f>
        <v/>
      </c>
      <c r="S1346" s="15" t="n"/>
      <c r="T1346" s="25" t="n"/>
      <c r="U1346" s="26">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Builder'!$B$12="",N($S1346)&lt;='Assignment Builder'!$B$12)))</f>
        <v/>
      </c>
      <c r="V1346" s="23" t="n"/>
    </row>
    <row r="1347">
      <c r="A1347" s="23" t="n"/>
      <c r="B1347" s="23" t="n"/>
      <c r="C1347" s="24" t="n"/>
      <c r="D1347" s="15" t="n"/>
      <c r="E1347" s="23" t="n"/>
      <c r="F1347" s="15" t="n"/>
      <c r="G1347" s="23" t="n"/>
      <c r="H1347" s="25" t="n"/>
      <c r="I1347" s="15" t="n"/>
      <c r="J1347" s="26">
        <f>IF($A1347="","",LEN($C1347)-LEN(SUBSTITUTE($C1347,",",""))+1)</f>
        <v/>
      </c>
      <c r="K1347" s="26">
        <f>IF($A1347="","",SUMPRODUCT(--ISNUMBER(SEARCH('Category Dictionary'!$D$5:$D$135&amp;"",$C1347)),--('Category Dictionary'!$D$5:$D$135&lt;&gt;"")))</f>
        <v/>
      </c>
      <c r="L1347" s="27">
        <f>IF($A1347="","",TRIM(IF(ISERROR(FIND(",",$C1347)),$C1347,LEFT($C1347,FIND(",",$C1347)-1))))</f>
        <v/>
      </c>
      <c r="M1347" s="28">
        <f>IF($H1347="","",DATE(YEAR($H1347),MONTH($H1347),1))</f>
        <v/>
      </c>
      <c r="N1347" s="26">
        <f>IF($H1347="","",TODAY()-$H1347)</f>
        <v/>
      </c>
      <c r="O1347" s="15" t="n"/>
      <c r="P1347" s="26">
        <f>IF($A1347="","",COUNTIFS('Audit Versions'!$A$6:$A$605,$A1347,'Audit Versions'!$L$6:$L$605,"Active"))</f>
        <v/>
      </c>
      <c r="Q1347" s="15" t="n"/>
      <c r="R1347" s="26">
        <f>IF(OR($A1347="",$P1347=0),"",MOD(N($Q1347),$P1347)+1)</f>
        <v/>
      </c>
      <c r="S1347" s="15" t="n"/>
      <c r="T1347" s="25" t="n"/>
      <c r="U1347" s="26">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Builder'!$B$12="",N($S1347)&lt;='Assignment Builder'!$B$12)))</f>
        <v/>
      </c>
      <c r="V1347" s="23" t="n"/>
    </row>
    <row r="1348">
      <c r="A1348" s="23" t="n"/>
      <c r="B1348" s="23" t="n"/>
      <c r="C1348" s="24" t="n"/>
      <c r="D1348" s="15" t="n"/>
      <c r="E1348" s="23" t="n"/>
      <c r="F1348" s="15" t="n"/>
      <c r="G1348" s="23" t="n"/>
      <c r="H1348" s="25" t="n"/>
      <c r="I1348" s="15" t="n"/>
      <c r="J1348" s="26">
        <f>IF($A1348="","",LEN($C1348)-LEN(SUBSTITUTE($C1348,",",""))+1)</f>
        <v/>
      </c>
      <c r="K1348" s="26">
        <f>IF($A1348="","",SUMPRODUCT(--ISNUMBER(SEARCH('Category Dictionary'!$D$5:$D$135&amp;"",$C1348)),--('Category Dictionary'!$D$5:$D$135&lt;&gt;"")))</f>
        <v/>
      </c>
      <c r="L1348" s="27">
        <f>IF($A1348="","",TRIM(IF(ISERROR(FIND(",",$C1348)),$C1348,LEFT($C1348,FIND(",",$C1348)-1))))</f>
        <v/>
      </c>
      <c r="M1348" s="28">
        <f>IF($H1348="","",DATE(YEAR($H1348),MONTH($H1348),1))</f>
        <v/>
      </c>
      <c r="N1348" s="26">
        <f>IF($H1348="","",TODAY()-$H1348)</f>
        <v/>
      </c>
      <c r="O1348" s="15" t="n"/>
      <c r="P1348" s="26">
        <f>IF($A1348="","",COUNTIFS('Audit Versions'!$A$6:$A$605,$A1348,'Audit Versions'!$L$6:$L$605,"Active"))</f>
        <v/>
      </c>
      <c r="Q1348" s="15" t="n"/>
      <c r="R1348" s="26">
        <f>IF(OR($A1348="",$P1348=0),"",MOD(N($Q1348),$P1348)+1)</f>
        <v/>
      </c>
      <c r="S1348" s="15" t="n"/>
      <c r="T1348" s="25" t="n"/>
      <c r="U1348" s="26">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Builder'!$B$12="",N($S1348)&lt;='Assignment Builder'!$B$12)))</f>
        <v/>
      </c>
      <c r="V1348" s="23" t="n"/>
    </row>
    <row r="1349">
      <c r="A1349" s="23" t="n"/>
      <c r="B1349" s="23" t="n"/>
      <c r="C1349" s="24" t="n"/>
      <c r="D1349" s="15" t="n"/>
      <c r="E1349" s="23" t="n"/>
      <c r="F1349" s="15" t="n"/>
      <c r="G1349" s="23" t="n"/>
      <c r="H1349" s="25" t="n"/>
      <c r="I1349" s="15" t="n"/>
      <c r="J1349" s="26">
        <f>IF($A1349="","",LEN($C1349)-LEN(SUBSTITUTE($C1349,",",""))+1)</f>
        <v/>
      </c>
      <c r="K1349" s="26">
        <f>IF($A1349="","",SUMPRODUCT(--ISNUMBER(SEARCH('Category Dictionary'!$D$5:$D$135&amp;"",$C1349)),--('Category Dictionary'!$D$5:$D$135&lt;&gt;"")))</f>
        <v/>
      </c>
      <c r="L1349" s="27">
        <f>IF($A1349="","",TRIM(IF(ISERROR(FIND(",",$C1349)),$C1349,LEFT($C1349,FIND(",",$C1349)-1))))</f>
        <v/>
      </c>
      <c r="M1349" s="28">
        <f>IF($H1349="","",DATE(YEAR($H1349),MONTH($H1349),1))</f>
        <v/>
      </c>
      <c r="N1349" s="26">
        <f>IF($H1349="","",TODAY()-$H1349)</f>
        <v/>
      </c>
      <c r="O1349" s="15" t="n"/>
      <c r="P1349" s="26">
        <f>IF($A1349="","",COUNTIFS('Audit Versions'!$A$6:$A$605,$A1349,'Audit Versions'!$L$6:$L$605,"Active"))</f>
        <v/>
      </c>
      <c r="Q1349" s="15" t="n"/>
      <c r="R1349" s="26">
        <f>IF(OR($A1349="",$P1349=0),"",MOD(N($Q1349),$P1349)+1)</f>
        <v/>
      </c>
      <c r="S1349" s="15" t="n"/>
      <c r="T1349" s="25" t="n"/>
      <c r="U1349" s="26">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Builder'!$B$12="",N($S1349)&lt;='Assignment Builder'!$B$12)))</f>
        <v/>
      </c>
      <c r="V1349" s="23" t="n"/>
    </row>
    <row r="1350">
      <c r="A1350" s="23" t="n"/>
      <c r="B1350" s="23" t="n"/>
      <c r="C1350" s="24" t="n"/>
      <c r="D1350" s="15" t="n"/>
      <c r="E1350" s="23" t="n"/>
      <c r="F1350" s="15" t="n"/>
      <c r="G1350" s="23" t="n"/>
      <c r="H1350" s="25" t="n"/>
      <c r="I1350" s="15" t="n"/>
      <c r="J1350" s="26">
        <f>IF($A1350="","",LEN($C1350)-LEN(SUBSTITUTE($C1350,",",""))+1)</f>
        <v/>
      </c>
      <c r="K1350" s="26">
        <f>IF($A1350="","",SUMPRODUCT(--ISNUMBER(SEARCH('Category Dictionary'!$D$5:$D$135&amp;"",$C1350)),--('Category Dictionary'!$D$5:$D$135&lt;&gt;"")))</f>
        <v/>
      </c>
      <c r="L1350" s="27">
        <f>IF($A1350="","",TRIM(IF(ISERROR(FIND(",",$C1350)),$C1350,LEFT($C1350,FIND(",",$C1350)-1))))</f>
        <v/>
      </c>
      <c r="M1350" s="28">
        <f>IF($H1350="","",DATE(YEAR($H1350),MONTH($H1350),1))</f>
        <v/>
      </c>
      <c r="N1350" s="26">
        <f>IF($H1350="","",TODAY()-$H1350)</f>
        <v/>
      </c>
      <c r="O1350" s="15" t="n"/>
      <c r="P1350" s="26">
        <f>IF($A1350="","",COUNTIFS('Audit Versions'!$A$6:$A$605,$A1350,'Audit Versions'!$L$6:$L$605,"Active"))</f>
        <v/>
      </c>
      <c r="Q1350" s="15" t="n"/>
      <c r="R1350" s="26">
        <f>IF(OR($A1350="",$P1350=0),"",MOD(N($Q1350),$P1350)+1)</f>
        <v/>
      </c>
      <c r="S1350" s="15" t="n"/>
      <c r="T1350" s="25" t="n"/>
      <c r="U1350" s="26">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Builder'!$B$12="",N($S1350)&lt;='Assignment Builder'!$B$12)))</f>
        <v/>
      </c>
      <c r="V1350" s="23" t="n"/>
    </row>
    <row r="1351">
      <c r="A1351" s="23" t="n"/>
      <c r="B1351" s="23" t="n"/>
      <c r="C1351" s="24" t="n"/>
      <c r="D1351" s="15" t="n"/>
      <c r="E1351" s="23" t="n"/>
      <c r="F1351" s="15" t="n"/>
      <c r="G1351" s="23" t="n"/>
      <c r="H1351" s="25" t="n"/>
      <c r="I1351" s="15" t="n"/>
      <c r="J1351" s="26">
        <f>IF($A1351="","",LEN($C1351)-LEN(SUBSTITUTE($C1351,",",""))+1)</f>
        <v/>
      </c>
      <c r="K1351" s="26">
        <f>IF($A1351="","",SUMPRODUCT(--ISNUMBER(SEARCH('Category Dictionary'!$D$5:$D$135&amp;"",$C1351)),--('Category Dictionary'!$D$5:$D$135&lt;&gt;"")))</f>
        <v/>
      </c>
      <c r="L1351" s="27">
        <f>IF($A1351="","",TRIM(IF(ISERROR(FIND(",",$C1351)),$C1351,LEFT($C1351,FIND(",",$C1351)-1))))</f>
        <v/>
      </c>
      <c r="M1351" s="28">
        <f>IF($H1351="","",DATE(YEAR($H1351),MONTH($H1351),1))</f>
        <v/>
      </c>
      <c r="N1351" s="26">
        <f>IF($H1351="","",TODAY()-$H1351)</f>
        <v/>
      </c>
      <c r="O1351" s="15" t="n"/>
      <c r="P1351" s="26">
        <f>IF($A1351="","",COUNTIFS('Audit Versions'!$A$6:$A$605,$A1351,'Audit Versions'!$L$6:$L$605,"Active"))</f>
        <v/>
      </c>
      <c r="Q1351" s="15" t="n"/>
      <c r="R1351" s="26">
        <f>IF(OR($A1351="",$P1351=0),"",MOD(N($Q1351),$P1351)+1)</f>
        <v/>
      </c>
      <c r="S1351" s="15" t="n"/>
      <c r="T1351" s="25" t="n"/>
      <c r="U1351" s="26">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Builder'!$B$12="",N($S1351)&lt;='Assignment Builder'!$B$12)))</f>
        <v/>
      </c>
      <c r="V1351" s="23" t="n"/>
    </row>
    <row r="1352">
      <c r="A1352" s="23" t="n"/>
      <c r="B1352" s="23" t="n"/>
      <c r="C1352" s="24" t="n"/>
      <c r="D1352" s="15" t="n"/>
      <c r="E1352" s="23" t="n"/>
      <c r="F1352" s="15" t="n"/>
      <c r="G1352" s="23" t="n"/>
      <c r="H1352" s="25" t="n"/>
      <c r="I1352" s="15" t="n"/>
      <c r="J1352" s="26">
        <f>IF($A1352="","",LEN($C1352)-LEN(SUBSTITUTE($C1352,",",""))+1)</f>
        <v/>
      </c>
      <c r="K1352" s="26">
        <f>IF($A1352="","",SUMPRODUCT(--ISNUMBER(SEARCH('Category Dictionary'!$D$5:$D$135&amp;"",$C1352)),--('Category Dictionary'!$D$5:$D$135&lt;&gt;"")))</f>
        <v/>
      </c>
      <c r="L1352" s="27">
        <f>IF($A1352="","",TRIM(IF(ISERROR(FIND(",",$C1352)),$C1352,LEFT($C1352,FIND(",",$C1352)-1))))</f>
        <v/>
      </c>
      <c r="M1352" s="28">
        <f>IF($H1352="","",DATE(YEAR($H1352),MONTH($H1352),1))</f>
        <v/>
      </c>
      <c r="N1352" s="26">
        <f>IF($H1352="","",TODAY()-$H1352)</f>
        <v/>
      </c>
      <c r="O1352" s="15" t="n"/>
      <c r="P1352" s="26">
        <f>IF($A1352="","",COUNTIFS('Audit Versions'!$A$6:$A$605,$A1352,'Audit Versions'!$L$6:$L$605,"Active"))</f>
        <v/>
      </c>
      <c r="Q1352" s="15" t="n"/>
      <c r="R1352" s="26">
        <f>IF(OR($A1352="",$P1352=0),"",MOD(N($Q1352),$P1352)+1)</f>
        <v/>
      </c>
      <c r="S1352" s="15" t="n"/>
      <c r="T1352" s="25" t="n"/>
      <c r="U1352" s="26">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Builder'!$B$12="",N($S1352)&lt;='Assignment Builder'!$B$12)))</f>
        <v/>
      </c>
      <c r="V1352" s="23" t="n"/>
    </row>
    <row r="1353">
      <c r="A1353" s="23" t="n"/>
      <c r="B1353" s="23" t="n"/>
      <c r="C1353" s="24" t="n"/>
      <c r="D1353" s="15" t="n"/>
      <c r="E1353" s="23" t="n"/>
      <c r="F1353" s="15" t="n"/>
      <c r="G1353" s="23" t="n"/>
      <c r="H1353" s="25" t="n"/>
      <c r="I1353" s="15" t="n"/>
      <c r="J1353" s="26">
        <f>IF($A1353="","",LEN($C1353)-LEN(SUBSTITUTE($C1353,",",""))+1)</f>
        <v/>
      </c>
      <c r="K1353" s="26">
        <f>IF($A1353="","",SUMPRODUCT(--ISNUMBER(SEARCH('Category Dictionary'!$D$5:$D$135&amp;"",$C1353)),--('Category Dictionary'!$D$5:$D$135&lt;&gt;"")))</f>
        <v/>
      </c>
      <c r="L1353" s="27">
        <f>IF($A1353="","",TRIM(IF(ISERROR(FIND(",",$C1353)),$C1353,LEFT($C1353,FIND(",",$C1353)-1))))</f>
        <v/>
      </c>
      <c r="M1353" s="28">
        <f>IF($H1353="","",DATE(YEAR($H1353),MONTH($H1353),1))</f>
        <v/>
      </c>
      <c r="N1353" s="26">
        <f>IF($H1353="","",TODAY()-$H1353)</f>
        <v/>
      </c>
      <c r="O1353" s="15" t="n"/>
      <c r="P1353" s="26">
        <f>IF($A1353="","",COUNTIFS('Audit Versions'!$A$6:$A$605,$A1353,'Audit Versions'!$L$6:$L$605,"Active"))</f>
        <v/>
      </c>
      <c r="Q1353" s="15" t="n"/>
      <c r="R1353" s="26">
        <f>IF(OR($A1353="",$P1353=0),"",MOD(N($Q1353),$P1353)+1)</f>
        <v/>
      </c>
      <c r="S1353" s="15" t="n"/>
      <c r="T1353" s="25" t="n"/>
      <c r="U1353" s="26">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Builder'!$B$12="",N($S1353)&lt;='Assignment Builder'!$B$12)))</f>
        <v/>
      </c>
      <c r="V1353" s="23" t="n"/>
    </row>
    <row r="1354">
      <c r="A1354" s="23" t="n"/>
      <c r="B1354" s="23" t="n"/>
      <c r="C1354" s="24" t="n"/>
      <c r="D1354" s="15" t="n"/>
      <c r="E1354" s="23" t="n"/>
      <c r="F1354" s="15" t="n"/>
      <c r="G1354" s="23" t="n"/>
      <c r="H1354" s="25" t="n"/>
      <c r="I1354" s="15" t="n"/>
      <c r="J1354" s="26">
        <f>IF($A1354="","",LEN($C1354)-LEN(SUBSTITUTE($C1354,",",""))+1)</f>
        <v/>
      </c>
      <c r="K1354" s="26">
        <f>IF($A1354="","",SUMPRODUCT(--ISNUMBER(SEARCH('Category Dictionary'!$D$5:$D$135&amp;"",$C1354)),--('Category Dictionary'!$D$5:$D$135&lt;&gt;"")))</f>
        <v/>
      </c>
      <c r="L1354" s="27">
        <f>IF($A1354="","",TRIM(IF(ISERROR(FIND(",",$C1354)),$C1354,LEFT($C1354,FIND(",",$C1354)-1))))</f>
        <v/>
      </c>
      <c r="M1354" s="28">
        <f>IF($H1354="","",DATE(YEAR($H1354),MONTH($H1354),1))</f>
        <v/>
      </c>
      <c r="N1354" s="26">
        <f>IF($H1354="","",TODAY()-$H1354)</f>
        <v/>
      </c>
      <c r="O1354" s="15" t="n"/>
      <c r="P1354" s="26">
        <f>IF($A1354="","",COUNTIFS('Audit Versions'!$A$6:$A$605,$A1354,'Audit Versions'!$L$6:$L$605,"Active"))</f>
        <v/>
      </c>
      <c r="Q1354" s="15" t="n"/>
      <c r="R1354" s="26">
        <f>IF(OR($A1354="",$P1354=0),"",MOD(N($Q1354),$P1354)+1)</f>
        <v/>
      </c>
      <c r="S1354" s="15" t="n"/>
      <c r="T1354" s="25" t="n"/>
      <c r="U1354" s="26">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Builder'!$B$12="",N($S1354)&lt;='Assignment Builder'!$B$12)))</f>
        <v/>
      </c>
      <c r="V1354" s="23" t="n"/>
    </row>
    <row r="1355">
      <c r="A1355" s="23" t="n"/>
      <c r="B1355" s="23" t="n"/>
      <c r="C1355" s="24" t="n"/>
      <c r="D1355" s="15" t="n"/>
      <c r="E1355" s="23" t="n"/>
      <c r="F1355" s="15" t="n"/>
      <c r="G1355" s="23" t="n"/>
      <c r="H1355" s="25" t="n"/>
      <c r="I1355" s="15" t="n"/>
      <c r="J1355" s="26">
        <f>IF($A1355="","",LEN($C1355)-LEN(SUBSTITUTE($C1355,",",""))+1)</f>
        <v/>
      </c>
      <c r="K1355" s="26">
        <f>IF($A1355="","",SUMPRODUCT(--ISNUMBER(SEARCH('Category Dictionary'!$D$5:$D$135&amp;"",$C1355)),--('Category Dictionary'!$D$5:$D$135&lt;&gt;"")))</f>
        <v/>
      </c>
      <c r="L1355" s="27">
        <f>IF($A1355="","",TRIM(IF(ISERROR(FIND(",",$C1355)),$C1355,LEFT($C1355,FIND(",",$C1355)-1))))</f>
        <v/>
      </c>
      <c r="M1355" s="28">
        <f>IF($H1355="","",DATE(YEAR($H1355),MONTH($H1355),1))</f>
        <v/>
      </c>
      <c r="N1355" s="26">
        <f>IF($H1355="","",TODAY()-$H1355)</f>
        <v/>
      </c>
      <c r="O1355" s="15" t="n"/>
      <c r="P1355" s="26">
        <f>IF($A1355="","",COUNTIFS('Audit Versions'!$A$6:$A$605,$A1355,'Audit Versions'!$L$6:$L$605,"Active"))</f>
        <v/>
      </c>
      <c r="Q1355" s="15" t="n"/>
      <c r="R1355" s="26">
        <f>IF(OR($A1355="",$P1355=0),"",MOD(N($Q1355),$P1355)+1)</f>
        <v/>
      </c>
      <c r="S1355" s="15" t="n"/>
      <c r="T1355" s="25" t="n"/>
      <c r="U1355" s="26">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Builder'!$B$12="",N($S1355)&lt;='Assignment Builder'!$B$12)))</f>
        <v/>
      </c>
      <c r="V1355" s="23" t="n"/>
    </row>
    <row r="1356">
      <c r="A1356" s="23" t="n"/>
      <c r="B1356" s="23" t="n"/>
      <c r="C1356" s="24" t="n"/>
      <c r="D1356" s="15" t="n"/>
      <c r="E1356" s="23" t="n"/>
      <c r="F1356" s="15" t="n"/>
      <c r="G1356" s="23" t="n"/>
      <c r="H1356" s="25" t="n"/>
      <c r="I1356" s="15" t="n"/>
      <c r="J1356" s="26">
        <f>IF($A1356="","",LEN($C1356)-LEN(SUBSTITUTE($C1356,",",""))+1)</f>
        <v/>
      </c>
      <c r="K1356" s="26">
        <f>IF($A1356="","",SUMPRODUCT(--ISNUMBER(SEARCH('Category Dictionary'!$D$5:$D$135&amp;"",$C1356)),--('Category Dictionary'!$D$5:$D$135&lt;&gt;"")))</f>
        <v/>
      </c>
      <c r="L1356" s="27">
        <f>IF($A1356="","",TRIM(IF(ISERROR(FIND(",",$C1356)),$C1356,LEFT($C1356,FIND(",",$C1356)-1))))</f>
        <v/>
      </c>
      <c r="M1356" s="28">
        <f>IF($H1356="","",DATE(YEAR($H1356),MONTH($H1356),1))</f>
        <v/>
      </c>
      <c r="N1356" s="26">
        <f>IF($H1356="","",TODAY()-$H1356)</f>
        <v/>
      </c>
      <c r="O1356" s="15" t="n"/>
      <c r="P1356" s="26">
        <f>IF($A1356="","",COUNTIFS('Audit Versions'!$A$6:$A$605,$A1356,'Audit Versions'!$L$6:$L$605,"Active"))</f>
        <v/>
      </c>
      <c r="Q1356" s="15" t="n"/>
      <c r="R1356" s="26">
        <f>IF(OR($A1356="",$P1356=0),"",MOD(N($Q1356),$P1356)+1)</f>
        <v/>
      </c>
      <c r="S1356" s="15" t="n"/>
      <c r="T1356" s="25" t="n"/>
      <c r="U1356" s="26">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Builder'!$B$12="",N($S1356)&lt;='Assignment Builder'!$B$12)))</f>
        <v/>
      </c>
      <c r="V1356" s="23" t="n"/>
    </row>
    <row r="1357">
      <c r="A1357" s="23" t="n"/>
      <c r="B1357" s="23" t="n"/>
      <c r="C1357" s="24" t="n"/>
      <c r="D1357" s="15" t="n"/>
      <c r="E1357" s="23" t="n"/>
      <c r="F1357" s="15" t="n"/>
      <c r="G1357" s="23" t="n"/>
      <c r="H1357" s="25" t="n"/>
      <c r="I1357" s="15" t="n"/>
      <c r="J1357" s="26">
        <f>IF($A1357="","",LEN($C1357)-LEN(SUBSTITUTE($C1357,",",""))+1)</f>
        <v/>
      </c>
      <c r="K1357" s="26">
        <f>IF($A1357="","",SUMPRODUCT(--ISNUMBER(SEARCH('Category Dictionary'!$D$5:$D$135&amp;"",$C1357)),--('Category Dictionary'!$D$5:$D$135&lt;&gt;"")))</f>
        <v/>
      </c>
      <c r="L1357" s="27">
        <f>IF($A1357="","",TRIM(IF(ISERROR(FIND(",",$C1357)),$C1357,LEFT($C1357,FIND(",",$C1357)-1))))</f>
        <v/>
      </c>
      <c r="M1357" s="28">
        <f>IF($H1357="","",DATE(YEAR($H1357),MONTH($H1357),1))</f>
        <v/>
      </c>
      <c r="N1357" s="26">
        <f>IF($H1357="","",TODAY()-$H1357)</f>
        <v/>
      </c>
      <c r="O1357" s="15" t="n"/>
      <c r="P1357" s="26">
        <f>IF($A1357="","",COUNTIFS('Audit Versions'!$A$6:$A$605,$A1357,'Audit Versions'!$L$6:$L$605,"Active"))</f>
        <v/>
      </c>
      <c r="Q1357" s="15" t="n"/>
      <c r="R1357" s="26">
        <f>IF(OR($A1357="",$P1357=0),"",MOD(N($Q1357),$P1357)+1)</f>
        <v/>
      </c>
      <c r="S1357" s="15" t="n"/>
      <c r="T1357" s="25" t="n"/>
      <c r="U1357" s="26">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Builder'!$B$12="",N($S1357)&lt;='Assignment Builder'!$B$12)))</f>
        <v/>
      </c>
      <c r="V1357" s="23" t="n"/>
    </row>
    <row r="1358">
      <c r="A1358" s="23" t="n"/>
      <c r="B1358" s="23" t="n"/>
      <c r="C1358" s="24" t="n"/>
      <c r="D1358" s="15" t="n"/>
      <c r="E1358" s="23" t="n"/>
      <c r="F1358" s="15" t="n"/>
      <c r="G1358" s="23" t="n"/>
      <c r="H1358" s="25" t="n"/>
      <c r="I1358" s="15" t="n"/>
      <c r="J1358" s="26">
        <f>IF($A1358="","",LEN($C1358)-LEN(SUBSTITUTE($C1358,",",""))+1)</f>
        <v/>
      </c>
      <c r="K1358" s="26">
        <f>IF($A1358="","",SUMPRODUCT(--ISNUMBER(SEARCH('Category Dictionary'!$D$5:$D$135&amp;"",$C1358)),--('Category Dictionary'!$D$5:$D$135&lt;&gt;"")))</f>
        <v/>
      </c>
      <c r="L1358" s="27">
        <f>IF($A1358="","",TRIM(IF(ISERROR(FIND(",",$C1358)),$C1358,LEFT($C1358,FIND(",",$C1358)-1))))</f>
        <v/>
      </c>
      <c r="M1358" s="28">
        <f>IF($H1358="","",DATE(YEAR($H1358),MONTH($H1358),1))</f>
        <v/>
      </c>
      <c r="N1358" s="26">
        <f>IF($H1358="","",TODAY()-$H1358)</f>
        <v/>
      </c>
      <c r="O1358" s="15" t="n"/>
      <c r="P1358" s="26">
        <f>IF($A1358="","",COUNTIFS('Audit Versions'!$A$6:$A$605,$A1358,'Audit Versions'!$L$6:$L$605,"Active"))</f>
        <v/>
      </c>
      <c r="Q1358" s="15" t="n"/>
      <c r="R1358" s="26">
        <f>IF(OR($A1358="",$P1358=0),"",MOD(N($Q1358),$P1358)+1)</f>
        <v/>
      </c>
      <c r="S1358" s="15" t="n"/>
      <c r="T1358" s="25" t="n"/>
      <c r="U1358" s="26">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Builder'!$B$12="",N($S1358)&lt;='Assignment Builder'!$B$12)))</f>
        <v/>
      </c>
      <c r="V1358" s="23" t="n"/>
    </row>
    <row r="1359">
      <c r="A1359" s="23" t="n"/>
      <c r="B1359" s="23" t="n"/>
      <c r="C1359" s="24" t="n"/>
      <c r="D1359" s="15" t="n"/>
      <c r="E1359" s="23" t="n"/>
      <c r="F1359" s="15" t="n"/>
      <c r="G1359" s="23" t="n"/>
      <c r="H1359" s="25" t="n"/>
      <c r="I1359" s="15" t="n"/>
      <c r="J1359" s="26">
        <f>IF($A1359="","",LEN($C1359)-LEN(SUBSTITUTE($C1359,",",""))+1)</f>
        <v/>
      </c>
      <c r="K1359" s="26">
        <f>IF($A1359="","",SUMPRODUCT(--ISNUMBER(SEARCH('Category Dictionary'!$D$5:$D$135&amp;"",$C1359)),--('Category Dictionary'!$D$5:$D$135&lt;&gt;"")))</f>
        <v/>
      </c>
      <c r="L1359" s="27">
        <f>IF($A1359="","",TRIM(IF(ISERROR(FIND(",",$C1359)),$C1359,LEFT($C1359,FIND(",",$C1359)-1))))</f>
        <v/>
      </c>
      <c r="M1359" s="28">
        <f>IF($H1359="","",DATE(YEAR($H1359),MONTH($H1359),1))</f>
        <v/>
      </c>
      <c r="N1359" s="26">
        <f>IF($H1359="","",TODAY()-$H1359)</f>
        <v/>
      </c>
      <c r="O1359" s="15" t="n"/>
      <c r="P1359" s="26">
        <f>IF($A1359="","",COUNTIFS('Audit Versions'!$A$6:$A$605,$A1359,'Audit Versions'!$L$6:$L$605,"Active"))</f>
        <v/>
      </c>
      <c r="Q1359" s="15" t="n"/>
      <c r="R1359" s="26">
        <f>IF(OR($A1359="",$P1359=0),"",MOD(N($Q1359),$P1359)+1)</f>
        <v/>
      </c>
      <c r="S1359" s="15" t="n"/>
      <c r="T1359" s="25" t="n"/>
      <c r="U1359" s="26">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Builder'!$B$12="",N($S1359)&lt;='Assignment Builder'!$B$12)))</f>
        <v/>
      </c>
      <c r="V1359" s="23" t="n"/>
    </row>
    <row r="1360">
      <c r="A1360" s="23" t="n"/>
      <c r="B1360" s="23" t="n"/>
      <c r="C1360" s="24" t="n"/>
      <c r="D1360" s="15" t="n"/>
      <c r="E1360" s="23" t="n"/>
      <c r="F1360" s="15" t="n"/>
      <c r="G1360" s="23" t="n"/>
      <c r="H1360" s="25" t="n"/>
      <c r="I1360" s="15" t="n"/>
      <c r="J1360" s="26">
        <f>IF($A1360="","",LEN($C1360)-LEN(SUBSTITUTE($C1360,",",""))+1)</f>
        <v/>
      </c>
      <c r="K1360" s="26">
        <f>IF($A1360="","",SUMPRODUCT(--ISNUMBER(SEARCH('Category Dictionary'!$D$5:$D$135&amp;"",$C1360)),--('Category Dictionary'!$D$5:$D$135&lt;&gt;"")))</f>
        <v/>
      </c>
      <c r="L1360" s="27">
        <f>IF($A1360="","",TRIM(IF(ISERROR(FIND(",",$C1360)),$C1360,LEFT($C1360,FIND(",",$C1360)-1))))</f>
        <v/>
      </c>
      <c r="M1360" s="28">
        <f>IF($H1360="","",DATE(YEAR($H1360),MONTH($H1360),1))</f>
        <v/>
      </c>
      <c r="N1360" s="26">
        <f>IF($H1360="","",TODAY()-$H1360)</f>
        <v/>
      </c>
      <c r="O1360" s="15" t="n"/>
      <c r="P1360" s="26">
        <f>IF($A1360="","",COUNTIFS('Audit Versions'!$A$6:$A$605,$A1360,'Audit Versions'!$L$6:$L$605,"Active"))</f>
        <v/>
      </c>
      <c r="Q1360" s="15" t="n"/>
      <c r="R1360" s="26">
        <f>IF(OR($A1360="",$P1360=0),"",MOD(N($Q1360),$P1360)+1)</f>
        <v/>
      </c>
      <c r="S1360" s="15" t="n"/>
      <c r="T1360" s="25" t="n"/>
      <c r="U1360" s="26">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Builder'!$B$12="",N($S1360)&lt;='Assignment Builder'!$B$12)))</f>
        <v/>
      </c>
      <c r="V1360" s="23" t="n"/>
    </row>
    <row r="1361">
      <c r="A1361" s="23" t="n"/>
      <c r="B1361" s="23" t="n"/>
      <c r="C1361" s="24" t="n"/>
      <c r="D1361" s="15" t="n"/>
      <c r="E1361" s="23" t="n"/>
      <c r="F1361" s="15" t="n"/>
      <c r="G1361" s="23" t="n"/>
      <c r="H1361" s="25" t="n"/>
      <c r="I1361" s="15" t="n"/>
      <c r="J1361" s="26">
        <f>IF($A1361="","",LEN($C1361)-LEN(SUBSTITUTE($C1361,",",""))+1)</f>
        <v/>
      </c>
      <c r="K1361" s="26">
        <f>IF($A1361="","",SUMPRODUCT(--ISNUMBER(SEARCH('Category Dictionary'!$D$5:$D$135&amp;"",$C1361)),--('Category Dictionary'!$D$5:$D$135&lt;&gt;"")))</f>
        <v/>
      </c>
      <c r="L1361" s="27">
        <f>IF($A1361="","",TRIM(IF(ISERROR(FIND(",",$C1361)),$C1361,LEFT($C1361,FIND(",",$C1361)-1))))</f>
        <v/>
      </c>
      <c r="M1361" s="28">
        <f>IF($H1361="","",DATE(YEAR($H1361),MONTH($H1361),1))</f>
        <v/>
      </c>
      <c r="N1361" s="26">
        <f>IF($H1361="","",TODAY()-$H1361)</f>
        <v/>
      </c>
      <c r="O1361" s="15" t="n"/>
      <c r="P1361" s="26">
        <f>IF($A1361="","",COUNTIFS('Audit Versions'!$A$6:$A$605,$A1361,'Audit Versions'!$L$6:$L$605,"Active"))</f>
        <v/>
      </c>
      <c r="Q1361" s="15" t="n"/>
      <c r="R1361" s="26">
        <f>IF(OR($A1361="",$P1361=0),"",MOD(N($Q1361),$P1361)+1)</f>
        <v/>
      </c>
      <c r="S1361" s="15" t="n"/>
      <c r="T1361" s="25" t="n"/>
      <c r="U1361" s="26">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Builder'!$B$12="",N($S1361)&lt;='Assignment Builder'!$B$12)))</f>
        <v/>
      </c>
      <c r="V1361" s="23" t="n"/>
    </row>
    <row r="1362">
      <c r="A1362" s="23" t="n"/>
      <c r="B1362" s="23" t="n"/>
      <c r="C1362" s="24" t="n"/>
      <c r="D1362" s="15" t="n"/>
      <c r="E1362" s="23" t="n"/>
      <c r="F1362" s="15" t="n"/>
      <c r="G1362" s="23" t="n"/>
      <c r="H1362" s="25" t="n"/>
      <c r="I1362" s="15" t="n"/>
      <c r="J1362" s="26">
        <f>IF($A1362="","",LEN($C1362)-LEN(SUBSTITUTE($C1362,",",""))+1)</f>
        <v/>
      </c>
      <c r="K1362" s="26">
        <f>IF($A1362="","",SUMPRODUCT(--ISNUMBER(SEARCH('Category Dictionary'!$D$5:$D$135&amp;"",$C1362)),--('Category Dictionary'!$D$5:$D$135&lt;&gt;"")))</f>
        <v/>
      </c>
      <c r="L1362" s="27">
        <f>IF($A1362="","",TRIM(IF(ISERROR(FIND(",",$C1362)),$C1362,LEFT($C1362,FIND(",",$C1362)-1))))</f>
        <v/>
      </c>
      <c r="M1362" s="28">
        <f>IF($H1362="","",DATE(YEAR($H1362),MONTH($H1362),1))</f>
        <v/>
      </c>
      <c r="N1362" s="26">
        <f>IF($H1362="","",TODAY()-$H1362)</f>
        <v/>
      </c>
      <c r="O1362" s="15" t="n"/>
      <c r="P1362" s="26">
        <f>IF($A1362="","",COUNTIFS('Audit Versions'!$A$6:$A$605,$A1362,'Audit Versions'!$L$6:$L$605,"Active"))</f>
        <v/>
      </c>
      <c r="Q1362" s="15" t="n"/>
      <c r="R1362" s="26">
        <f>IF(OR($A1362="",$P1362=0),"",MOD(N($Q1362),$P1362)+1)</f>
        <v/>
      </c>
      <c r="S1362" s="15" t="n"/>
      <c r="T1362" s="25" t="n"/>
      <c r="U1362" s="26">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Builder'!$B$12="",N($S1362)&lt;='Assignment Builder'!$B$12)))</f>
        <v/>
      </c>
      <c r="V1362" s="23" t="n"/>
    </row>
    <row r="1363">
      <c r="A1363" s="23" t="n"/>
      <c r="B1363" s="23" t="n"/>
      <c r="C1363" s="24" t="n"/>
      <c r="D1363" s="15" t="n"/>
      <c r="E1363" s="23" t="n"/>
      <c r="F1363" s="15" t="n"/>
      <c r="G1363" s="23" t="n"/>
      <c r="H1363" s="25" t="n"/>
      <c r="I1363" s="15" t="n"/>
      <c r="J1363" s="26">
        <f>IF($A1363="","",LEN($C1363)-LEN(SUBSTITUTE($C1363,",",""))+1)</f>
        <v/>
      </c>
      <c r="K1363" s="26">
        <f>IF($A1363="","",SUMPRODUCT(--ISNUMBER(SEARCH('Category Dictionary'!$D$5:$D$135&amp;"",$C1363)),--('Category Dictionary'!$D$5:$D$135&lt;&gt;"")))</f>
        <v/>
      </c>
      <c r="L1363" s="27">
        <f>IF($A1363="","",TRIM(IF(ISERROR(FIND(",",$C1363)),$C1363,LEFT($C1363,FIND(",",$C1363)-1))))</f>
        <v/>
      </c>
      <c r="M1363" s="28">
        <f>IF($H1363="","",DATE(YEAR($H1363),MONTH($H1363),1))</f>
        <v/>
      </c>
      <c r="N1363" s="26">
        <f>IF($H1363="","",TODAY()-$H1363)</f>
        <v/>
      </c>
      <c r="O1363" s="15" t="n"/>
      <c r="P1363" s="26">
        <f>IF($A1363="","",COUNTIFS('Audit Versions'!$A$6:$A$605,$A1363,'Audit Versions'!$L$6:$L$605,"Active"))</f>
        <v/>
      </c>
      <c r="Q1363" s="15" t="n"/>
      <c r="R1363" s="26">
        <f>IF(OR($A1363="",$P1363=0),"",MOD(N($Q1363),$P1363)+1)</f>
        <v/>
      </c>
      <c r="S1363" s="15" t="n"/>
      <c r="T1363" s="25" t="n"/>
      <c r="U1363" s="26">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Builder'!$B$12="",N($S1363)&lt;='Assignment Builder'!$B$12)))</f>
        <v/>
      </c>
      <c r="V1363" s="23" t="n"/>
    </row>
    <row r="1364">
      <c r="A1364" s="23" t="n"/>
      <c r="B1364" s="23" t="n"/>
      <c r="C1364" s="24" t="n"/>
      <c r="D1364" s="15" t="n"/>
      <c r="E1364" s="23" t="n"/>
      <c r="F1364" s="15" t="n"/>
      <c r="G1364" s="23" t="n"/>
      <c r="H1364" s="25" t="n"/>
      <c r="I1364" s="15" t="n"/>
      <c r="J1364" s="26">
        <f>IF($A1364="","",LEN($C1364)-LEN(SUBSTITUTE($C1364,",",""))+1)</f>
        <v/>
      </c>
      <c r="K1364" s="26">
        <f>IF($A1364="","",SUMPRODUCT(--ISNUMBER(SEARCH('Category Dictionary'!$D$5:$D$135&amp;"",$C1364)),--('Category Dictionary'!$D$5:$D$135&lt;&gt;"")))</f>
        <v/>
      </c>
      <c r="L1364" s="27">
        <f>IF($A1364="","",TRIM(IF(ISERROR(FIND(",",$C1364)),$C1364,LEFT($C1364,FIND(",",$C1364)-1))))</f>
        <v/>
      </c>
      <c r="M1364" s="28">
        <f>IF($H1364="","",DATE(YEAR($H1364),MONTH($H1364),1))</f>
        <v/>
      </c>
      <c r="N1364" s="26">
        <f>IF($H1364="","",TODAY()-$H1364)</f>
        <v/>
      </c>
      <c r="O1364" s="15" t="n"/>
      <c r="P1364" s="26">
        <f>IF($A1364="","",COUNTIFS('Audit Versions'!$A$6:$A$605,$A1364,'Audit Versions'!$L$6:$L$605,"Active"))</f>
        <v/>
      </c>
      <c r="Q1364" s="15" t="n"/>
      <c r="R1364" s="26">
        <f>IF(OR($A1364="",$P1364=0),"",MOD(N($Q1364),$P1364)+1)</f>
        <v/>
      </c>
      <c r="S1364" s="15" t="n"/>
      <c r="T1364" s="25" t="n"/>
      <c r="U1364" s="26">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Builder'!$B$12="",N($S1364)&lt;='Assignment Builder'!$B$12)))</f>
        <v/>
      </c>
      <c r="V1364" s="23" t="n"/>
    </row>
    <row r="1365">
      <c r="A1365" s="23" t="n"/>
      <c r="B1365" s="23" t="n"/>
      <c r="C1365" s="24" t="n"/>
      <c r="D1365" s="15" t="n"/>
      <c r="E1365" s="23" t="n"/>
      <c r="F1365" s="15" t="n"/>
      <c r="G1365" s="23" t="n"/>
      <c r="H1365" s="25" t="n"/>
      <c r="I1365" s="15" t="n"/>
      <c r="J1365" s="26">
        <f>IF($A1365="","",LEN($C1365)-LEN(SUBSTITUTE($C1365,",",""))+1)</f>
        <v/>
      </c>
      <c r="K1365" s="26">
        <f>IF($A1365="","",SUMPRODUCT(--ISNUMBER(SEARCH('Category Dictionary'!$D$5:$D$135&amp;"",$C1365)),--('Category Dictionary'!$D$5:$D$135&lt;&gt;"")))</f>
        <v/>
      </c>
      <c r="L1365" s="27">
        <f>IF($A1365="","",TRIM(IF(ISERROR(FIND(",",$C1365)),$C1365,LEFT($C1365,FIND(",",$C1365)-1))))</f>
        <v/>
      </c>
      <c r="M1365" s="28">
        <f>IF($H1365="","",DATE(YEAR($H1365),MONTH($H1365),1))</f>
        <v/>
      </c>
      <c r="N1365" s="26">
        <f>IF($H1365="","",TODAY()-$H1365)</f>
        <v/>
      </c>
      <c r="O1365" s="15" t="n"/>
      <c r="P1365" s="26">
        <f>IF($A1365="","",COUNTIFS('Audit Versions'!$A$6:$A$605,$A1365,'Audit Versions'!$L$6:$L$605,"Active"))</f>
        <v/>
      </c>
      <c r="Q1365" s="15" t="n"/>
      <c r="R1365" s="26">
        <f>IF(OR($A1365="",$P1365=0),"",MOD(N($Q1365),$P1365)+1)</f>
        <v/>
      </c>
      <c r="S1365" s="15" t="n"/>
      <c r="T1365" s="25" t="n"/>
      <c r="U1365" s="26">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Builder'!$B$12="",N($S1365)&lt;='Assignment Builder'!$B$12)))</f>
        <v/>
      </c>
      <c r="V1365" s="23" t="n"/>
    </row>
    <row r="1366">
      <c r="A1366" s="23" t="n"/>
      <c r="B1366" s="23" t="n"/>
      <c r="C1366" s="24" t="n"/>
      <c r="D1366" s="15" t="n"/>
      <c r="E1366" s="23" t="n"/>
      <c r="F1366" s="15" t="n"/>
      <c r="G1366" s="23" t="n"/>
      <c r="H1366" s="25" t="n"/>
      <c r="I1366" s="15" t="n"/>
      <c r="J1366" s="26">
        <f>IF($A1366="","",LEN($C1366)-LEN(SUBSTITUTE($C1366,",",""))+1)</f>
        <v/>
      </c>
      <c r="K1366" s="26">
        <f>IF($A1366="","",SUMPRODUCT(--ISNUMBER(SEARCH('Category Dictionary'!$D$5:$D$135&amp;"",$C1366)),--('Category Dictionary'!$D$5:$D$135&lt;&gt;"")))</f>
        <v/>
      </c>
      <c r="L1366" s="27">
        <f>IF($A1366="","",TRIM(IF(ISERROR(FIND(",",$C1366)),$C1366,LEFT($C1366,FIND(",",$C1366)-1))))</f>
        <v/>
      </c>
      <c r="M1366" s="28">
        <f>IF($H1366="","",DATE(YEAR($H1366),MONTH($H1366),1))</f>
        <v/>
      </c>
      <c r="N1366" s="26">
        <f>IF($H1366="","",TODAY()-$H1366)</f>
        <v/>
      </c>
      <c r="O1366" s="15" t="n"/>
      <c r="P1366" s="26">
        <f>IF($A1366="","",COUNTIFS('Audit Versions'!$A$6:$A$605,$A1366,'Audit Versions'!$L$6:$L$605,"Active"))</f>
        <v/>
      </c>
      <c r="Q1366" s="15" t="n"/>
      <c r="R1366" s="26">
        <f>IF(OR($A1366="",$P1366=0),"",MOD(N($Q1366),$P1366)+1)</f>
        <v/>
      </c>
      <c r="S1366" s="15" t="n"/>
      <c r="T1366" s="25" t="n"/>
      <c r="U1366" s="26">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Builder'!$B$12="",N($S1366)&lt;='Assignment Builder'!$B$12)))</f>
        <v/>
      </c>
      <c r="V1366" s="23" t="n"/>
    </row>
    <row r="1367">
      <c r="A1367" s="23" t="n"/>
      <c r="B1367" s="23" t="n"/>
      <c r="C1367" s="24" t="n"/>
      <c r="D1367" s="15" t="n"/>
      <c r="E1367" s="23" t="n"/>
      <c r="F1367" s="15" t="n"/>
      <c r="G1367" s="23" t="n"/>
      <c r="H1367" s="25" t="n"/>
      <c r="I1367" s="15" t="n"/>
      <c r="J1367" s="26">
        <f>IF($A1367="","",LEN($C1367)-LEN(SUBSTITUTE($C1367,",",""))+1)</f>
        <v/>
      </c>
      <c r="K1367" s="26">
        <f>IF($A1367="","",SUMPRODUCT(--ISNUMBER(SEARCH('Category Dictionary'!$D$5:$D$135&amp;"",$C1367)),--('Category Dictionary'!$D$5:$D$135&lt;&gt;"")))</f>
        <v/>
      </c>
      <c r="L1367" s="27">
        <f>IF($A1367="","",TRIM(IF(ISERROR(FIND(",",$C1367)),$C1367,LEFT($C1367,FIND(",",$C1367)-1))))</f>
        <v/>
      </c>
      <c r="M1367" s="28">
        <f>IF($H1367="","",DATE(YEAR($H1367),MONTH($H1367),1))</f>
        <v/>
      </c>
      <c r="N1367" s="26">
        <f>IF($H1367="","",TODAY()-$H1367)</f>
        <v/>
      </c>
      <c r="O1367" s="15" t="n"/>
      <c r="P1367" s="26">
        <f>IF($A1367="","",COUNTIFS('Audit Versions'!$A$6:$A$605,$A1367,'Audit Versions'!$L$6:$L$605,"Active"))</f>
        <v/>
      </c>
      <c r="Q1367" s="15" t="n"/>
      <c r="R1367" s="26">
        <f>IF(OR($A1367="",$P1367=0),"",MOD(N($Q1367),$P1367)+1)</f>
        <v/>
      </c>
      <c r="S1367" s="15" t="n"/>
      <c r="T1367" s="25" t="n"/>
      <c r="U1367" s="26">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Builder'!$B$12="",N($S1367)&lt;='Assignment Builder'!$B$12)))</f>
        <v/>
      </c>
      <c r="V1367" s="23" t="n"/>
    </row>
    <row r="1368">
      <c r="A1368" s="23" t="n"/>
      <c r="B1368" s="23" t="n"/>
      <c r="C1368" s="24" t="n"/>
      <c r="D1368" s="15" t="n"/>
      <c r="E1368" s="23" t="n"/>
      <c r="F1368" s="15" t="n"/>
      <c r="G1368" s="23" t="n"/>
      <c r="H1368" s="25" t="n"/>
      <c r="I1368" s="15" t="n"/>
      <c r="J1368" s="26">
        <f>IF($A1368="","",LEN($C1368)-LEN(SUBSTITUTE($C1368,",",""))+1)</f>
        <v/>
      </c>
      <c r="K1368" s="26">
        <f>IF($A1368="","",SUMPRODUCT(--ISNUMBER(SEARCH('Category Dictionary'!$D$5:$D$135&amp;"",$C1368)),--('Category Dictionary'!$D$5:$D$135&lt;&gt;"")))</f>
        <v/>
      </c>
      <c r="L1368" s="27">
        <f>IF($A1368="","",TRIM(IF(ISERROR(FIND(",",$C1368)),$C1368,LEFT($C1368,FIND(",",$C1368)-1))))</f>
        <v/>
      </c>
      <c r="M1368" s="28">
        <f>IF($H1368="","",DATE(YEAR($H1368),MONTH($H1368),1))</f>
        <v/>
      </c>
      <c r="N1368" s="26">
        <f>IF($H1368="","",TODAY()-$H1368)</f>
        <v/>
      </c>
      <c r="O1368" s="15" t="n"/>
      <c r="P1368" s="26">
        <f>IF($A1368="","",COUNTIFS('Audit Versions'!$A$6:$A$605,$A1368,'Audit Versions'!$L$6:$L$605,"Active"))</f>
        <v/>
      </c>
      <c r="Q1368" s="15" t="n"/>
      <c r="R1368" s="26">
        <f>IF(OR($A1368="",$P1368=0),"",MOD(N($Q1368),$P1368)+1)</f>
        <v/>
      </c>
      <c r="S1368" s="15" t="n"/>
      <c r="T1368" s="25" t="n"/>
      <c r="U1368" s="26">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Builder'!$B$12="",N($S1368)&lt;='Assignment Builder'!$B$12)))</f>
        <v/>
      </c>
      <c r="V1368" s="23" t="n"/>
    </row>
    <row r="1369">
      <c r="A1369" s="23" t="n"/>
      <c r="B1369" s="23" t="n"/>
      <c r="C1369" s="24" t="n"/>
      <c r="D1369" s="15" t="n"/>
      <c r="E1369" s="23" t="n"/>
      <c r="F1369" s="15" t="n"/>
      <c r="G1369" s="23" t="n"/>
      <c r="H1369" s="25" t="n"/>
      <c r="I1369" s="15" t="n"/>
      <c r="J1369" s="26">
        <f>IF($A1369="","",LEN($C1369)-LEN(SUBSTITUTE($C1369,",",""))+1)</f>
        <v/>
      </c>
      <c r="K1369" s="26">
        <f>IF($A1369="","",SUMPRODUCT(--ISNUMBER(SEARCH('Category Dictionary'!$D$5:$D$135&amp;"",$C1369)),--('Category Dictionary'!$D$5:$D$135&lt;&gt;"")))</f>
        <v/>
      </c>
      <c r="L1369" s="27">
        <f>IF($A1369="","",TRIM(IF(ISERROR(FIND(",",$C1369)),$C1369,LEFT($C1369,FIND(",",$C1369)-1))))</f>
        <v/>
      </c>
      <c r="M1369" s="28">
        <f>IF($H1369="","",DATE(YEAR($H1369),MONTH($H1369),1))</f>
        <v/>
      </c>
      <c r="N1369" s="26">
        <f>IF($H1369="","",TODAY()-$H1369)</f>
        <v/>
      </c>
      <c r="O1369" s="15" t="n"/>
      <c r="P1369" s="26">
        <f>IF($A1369="","",COUNTIFS('Audit Versions'!$A$6:$A$605,$A1369,'Audit Versions'!$L$6:$L$605,"Active"))</f>
        <v/>
      </c>
      <c r="Q1369" s="15" t="n"/>
      <c r="R1369" s="26">
        <f>IF(OR($A1369="",$P1369=0),"",MOD(N($Q1369),$P1369)+1)</f>
        <v/>
      </c>
      <c r="S1369" s="15" t="n"/>
      <c r="T1369" s="25" t="n"/>
      <c r="U1369" s="26">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Builder'!$B$12="",N($S1369)&lt;='Assignment Builder'!$B$12)))</f>
        <v/>
      </c>
      <c r="V1369" s="23" t="n"/>
    </row>
    <row r="1370">
      <c r="A1370" s="23" t="n"/>
      <c r="B1370" s="23" t="n"/>
      <c r="C1370" s="24" t="n"/>
      <c r="D1370" s="15" t="n"/>
      <c r="E1370" s="23" t="n"/>
      <c r="F1370" s="15" t="n"/>
      <c r="G1370" s="23" t="n"/>
      <c r="H1370" s="25" t="n"/>
      <c r="I1370" s="15" t="n"/>
      <c r="J1370" s="26">
        <f>IF($A1370="","",LEN($C1370)-LEN(SUBSTITUTE($C1370,",",""))+1)</f>
        <v/>
      </c>
      <c r="K1370" s="26">
        <f>IF($A1370="","",SUMPRODUCT(--ISNUMBER(SEARCH('Category Dictionary'!$D$5:$D$135&amp;"",$C1370)),--('Category Dictionary'!$D$5:$D$135&lt;&gt;"")))</f>
        <v/>
      </c>
      <c r="L1370" s="27">
        <f>IF($A1370="","",TRIM(IF(ISERROR(FIND(",",$C1370)),$C1370,LEFT($C1370,FIND(",",$C1370)-1))))</f>
        <v/>
      </c>
      <c r="M1370" s="28">
        <f>IF($H1370="","",DATE(YEAR($H1370),MONTH($H1370),1))</f>
        <v/>
      </c>
      <c r="N1370" s="26">
        <f>IF($H1370="","",TODAY()-$H1370)</f>
        <v/>
      </c>
      <c r="O1370" s="15" t="n"/>
      <c r="P1370" s="26">
        <f>IF($A1370="","",COUNTIFS('Audit Versions'!$A$6:$A$605,$A1370,'Audit Versions'!$L$6:$L$605,"Active"))</f>
        <v/>
      </c>
      <c r="Q1370" s="15" t="n"/>
      <c r="R1370" s="26">
        <f>IF(OR($A1370="",$P1370=0),"",MOD(N($Q1370),$P1370)+1)</f>
        <v/>
      </c>
      <c r="S1370" s="15" t="n"/>
      <c r="T1370" s="25" t="n"/>
      <c r="U1370" s="26">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Builder'!$B$12="",N($S1370)&lt;='Assignment Builder'!$B$12)))</f>
        <v/>
      </c>
      <c r="V1370" s="23" t="n"/>
    </row>
    <row r="1371">
      <c r="A1371" s="23" t="n"/>
      <c r="B1371" s="23" t="n"/>
      <c r="C1371" s="24" t="n"/>
      <c r="D1371" s="15" t="n"/>
      <c r="E1371" s="23" t="n"/>
      <c r="F1371" s="15" t="n"/>
      <c r="G1371" s="23" t="n"/>
      <c r="H1371" s="25" t="n"/>
      <c r="I1371" s="15" t="n"/>
      <c r="J1371" s="26">
        <f>IF($A1371="","",LEN($C1371)-LEN(SUBSTITUTE($C1371,",",""))+1)</f>
        <v/>
      </c>
      <c r="K1371" s="26">
        <f>IF($A1371="","",SUMPRODUCT(--ISNUMBER(SEARCH('Category Dictionary'!$D$5:$D$135&amp;"",$C1371)),--('Category Dictionary'!$D$5:$D$135&lt;&gt;"")))</f>
        <v/>
      </c>
      <c r="L1371" s="27">
        <f>IF($A1371="","",TRIM(IF(ISERROR(FIND(",",$C1371)),$C1371,LEFT($C1371,FIND(",",$C1371)-1))))</f>
        <v/>
      </c>
      <c r="M1371" s="28">
        <f>IF($H1371="","",DATE(YEAR($H1371),MONTH($H1371),1))</f>
        <v/>
      </c>
      <c r="N1371" s="26">
        <f>IF($H1371="","",TODAY()-$H1371)</f>
        <v/>
      </c>
      <c r="O1371" s="15" t="n"/>
      <c r="P1371" s="26">
        <f>IF($A1371="","",COUNTIFS('Audit Versions'!$A$6:$A$605,$A1371,'Audit Versions'!$L$6:$L$605,"Active"))</f>
        <v/>
      </c>
      <c r="Q1371" s="15" t="n"/>
      <c r="R1371" s="26">
        <f>IF(OR($A1371="",$P1371=0),"",MOD(N($Q1371),$P1371)+1)</f>
        <v/>
      </c>
      <c r="S1371" s="15" t="n"/>
      <c r="T1371" s="25" t="n"/>
      <c r="U1371" s="26">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Builder'!$B$12="",N($S1371)&lt;='Assignment Builder'!$B$12)))</f>
        <v/>
      </c>
      <c r="V1371" s="23" t="n"/>
    </row>
    <row r="1372">
      <c r="A1372" s="23" t="n"/>
      <c r="B1372" s="23" t="n"/>
      <c r="C1372" s="24" t="n"/>
      <c r="D1372" s="15" t="n"/>
      <c r="E1372" s="23" t="n"/>
      <c r="F1372" s="15" t="n"/>
      <c r="G1372" s="23" t="n"/>
      <c r="H1372" s="25" t="n"/>
      <c r="I1372" s="15" t="n"/>
      <c r="J1372" s="26">
        <f>IF($A1372="","",LEN($C1372)-LEN(SUBSTITUTE($C1372,",",""))+1)</f>
        <v/>
      </c>
      <c r="K1372" s="26">
        <f>IF($A1372="","",SUMPRODUCT(--ISNUMBER(SEARCH('Category Dictionary'!$D$5:$D$135&amp;"",$C1372)),--('Category Dictionary'!$D$5:$D$135&lt;&gt;"")))</f>
        <v/>
      </c>
      <c r="L1372" s="27">
        <f>IF($A1372="","",TRIM(IF(ISERROR(FIND(",",$C1372)),$C1372,LEFT($C1372,FIND(",",$C1372)-1))))</f>
        <v/>
      </c>
      <c r="M1372" s="28">
        <f>IF($H1372="","",DATE(YEAR($H1372),MONTH($H1372),1))</f>
        <v/>
      </c>
      <c r="N1372" s="26">
        <f>IF($H1372="","",TODAY()-$H1372)</f>
        <v/>
      </c>
      <c r="O1372" s="15" t="n"/>
      <c r="P1372" s="26">
        <f>IF($A1372="","",COUNTIFS('Audit Versions'!$A$6:$A$605,$A1372,'Audit Versions'!$L$6:$L$605,"Active"))</f>
        <v/>
      </c>
      <c r="Q1372" s="15" t="n"/>
      <c r="R1372" s="26">
        <f>IF(OR($A1372="",$P1372=0),"",MOD(N($Q1372),$P1372)+1)</f>
        <v/>
      </c>
      <c r="S1372" s="15" t="n"/>
      <c r="T1372" s="25" t="n"/>
      <c r="U1372" s="26">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Builder'!$B$12="",N($S1372)&lt;='Assignment Builder'!$B$12)))</f>
        <v/>
      </c>
      <c r="V1372" s="23" t="n"/>
    </row>
    <row r="1373">
      <c r="A1373" s="23" t="n"/>
      <c r="B1373" s="23" t="n"/>
      <c r="C1373" s="24" t="n"/>
      <c r="D1373" s="15" t="n"/>
      <c r="E1373" s="23" t="n"/>
      <c r="F1373" s="15" t="n"/>
      <c r="G1373" s="23" t="n"/>
      <c r="H1373" s="25" t="n"/>
      <c r="I1373" s="15" t="n"/>
      <c r="J1373" s="26">
        <f>IF($A1373="","",LEN($C1373)-LEN(SUBSTITUTE($C1373,",",""))+1)</f>
        <v/>
      </c>
      <c r="K1373" s="26">
        <f>IF($A1373="","",SUMPRODUCT(--ISNUMBER(SEARCH('Category Dictionary'!$D$5:$D$135&amp;"",$C1373)),--('Category Dictionary'!$D$5:$D$135&lt;&gt;"")))</f>
        <v/>
      </c>
      <c r="L1373" s="27">
        <f>IF($A1373="","",TRIM(IF(ISERROR(FIND(",",$C1373)),$C1373,LEFT($C1373,FIND(",",$C1373)-1))))</f>
        <v/>
      </c>
      <c r="M1373" s="28">
        <f>IF($H1373="","",DATE(YEAR($H1373),MONTH($H1373),1))</f>
        <v/>
      </c>
      <c r="N1373" s="26">
        <f>IF($H1373="","",TODAY()-$H1373)</f>
        <v/>
      </c>
      <c r="O1373" s="15" t="n"/>
      <c r="P1373" s="26">
        <f>IF($A1373="","",COUNTIFS('Audit Versions'!$A$6:$A$605,$A1373,'Audit Versions'!$L$6:$L$605,"Active"))</f>
        <v/>
      </c>
      <c r="Q1373" s="15" t="n"/>
      <c r="R1373" s="26">
        <f>IF(OR($A1373="",$P1373=0),"",MOD(N($Q1373),$P1373)+1)</f>
        <v/>
      </c>
      <c r="S1373" s="15" t="n"/>
      <c r="T1373" s="25" t="n"/>
      <c r="U1373" s="26">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Builder'!$B$12="",N($S1373)&lt;='Assignment Builder'!$B$12)))</f>
        <v/>
      </c>
      <c r="V1373" s="23" t="n"/>
    </row>
    <row r="1374">
      <c r="A1374" s="23" t="n"/>
      <c r="B1374" s="23" t="n"/>
      <c r="C1374" s="24" t="n"/>
      <c r="D1374" s="15" t="n"/>
      <c r="E1374" s="23" t="n"/>
      <c r="F1374" s="15" t="n"/>
      <c r="G1374" s="23" t="n"/>
      <c r="H1374" s="25" t="n"/>
      <c r="I1374" s="15" t="n"/>
      <c r="J1374" s="26">
        <f>IF($A1374="","",LEN($C1374)-LEN(SUBSTITUTE($C1374,",",""))+1)</f>
        <v/>
      </c>
      <c r="K1374" s="26">
        <f>IF($A1374="","",SUMPRODUCT(--ISNUMBER(SEARCH('Category Dictionary'!$D$5:$D$135&amp;"",$C1374)),--('Category Dictionary'!$D$5:$D$135&lt;&gt;"")))</f>
        <v/>
      </c>
      <c r="L1374" s="27">
        <f>IF($A1374="","",TRIM(IF(ISERROR(FIND(",",$C1374)),$C1374,LEFT($C1374,FIND(",",$C1374)-1))))</f>
        <v/>
      </c>
      <c r="M1374" s="28">
        <f>IF($H1374="","",DATE(YEAR($H1374),MONTH($H1374),1))</f>
        <v/>
      </c>
      <c r="N1374" s="26">
        <f>IF($H1374="","",TODAY()-$H1374)</f>
        <v/>
      </c>
      <c r="O1374" s="15" t="n"/>
      <c r="P1374" s="26">
        <f>IF($A1374="","",COUNTIFS('Audit Versions'!$A$6:$A$605,$A1374,'Audit Versions'!$L$6:$L$605,"Active"))</f>
        <v/>
      </c>
      <c r="Q1374" s="15" t="n"/>
      <c r="R1374" s="26">
        <f>IF(OR($A1374="",$P1374=0),"",MOD(N($Q1374),$P1374)+1)</f>
        <v/>
      </c>
      <c r="S1374" s="15" t="n"/>
      <c r="T1374" s="25" t="n"/>
      <c r="U1374" s="26">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Builder'!$B$12="",N($S1374)&lt;='Assignment Builder'!$B$12)))</f>
        <v/>
      </c>
      <c r="V1374" s="23" t="n"/>
    </row>
    <row r="1375">
      <c r="A1375" s="23" t="n"/>
      <c r="B1375" s="23" t="n"/>
      <c r="C1375" s="24" t="n"/>
      <c r="D1375" s="15" t="n"/>
      <c r="E1375" s="23" t="n"/>
      <c r="F1375" s="15" t="n"/>
      <c r="G1375" s="23" t="n"/>
      <c r="H1375" s="25" t="n"/>
      <c r="I1375" s="15" t="n"/>
      <c r="J1375" s="26">
        <f>IF($A1375="","",LEN($C1375)-LEN(SUBSTITUTE($C1375,",",""))+1)</f>
        <v/>
      </c>
      <c r="K1375" s="26">
        <f>IF($A1375="","",SUMPRODUCT(--ISNUMBER(SEARCH('Category Dictionary'!$D$5:$D$135&amp;"",$C1375)),--('Category Dictionary'!$D$5:$D$135&lt;&gt;"")))</f>
        <v/>
      </c>
      <c r="L1375" s="27">
        <f>IF($A1375="","",TRIM(IF(ISERROR(FIND(",",$C1375)),$C1375,LEFT($C1375,FIND(",",$C1375)-1))))</f>
        <v/>
      </c>
      <c r="M1375" s="28">
        <f>IF($H1375="","",DATE(YEAR($H1375),MONTH($H1375),1))</f>
        <v/>
      </c>
      <c r="N1375" s="26">
        <f>IF($H1375="","",TODAY()-$H1375)</f>
        <v/>
      </c>
      <c r="O1375" s="15" t="n"/>
      <c r="P1375" s="26">
        <f>IF($A1375="","",COUNTIFS('Audit Versions'!$A$6:$A$605,$A1375,'Audit Versions'!$L$6:$L$605,"Active"))</f>
        <v/>
      </c>
      <c r="Q1375" s="15" t="n"/>
      <c r="R1375" s="26">
        <f>IF(OR($A1375="",$P1375=0),"",MOD(N($Q1375),$P1375)+1)</f>
        <v/>
      </c>
      <c r="S1375" s="15" t="n"/>
      <c r="T1375" s="25" t="n"/>
      <c r="U1375" s="26">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Builder'!$B$12="",N($S1375)&lt;='Assignment Builder'!$B$12)))</f>
        <v/>
      </c>
      <c r="V1375" s="23" t="n"/>
    </row>
    <row r="1376">
      <c r="A1376" s="23" t="n"/>
      <c r="B1376" s="23" t="n"/>
      <c r="C1376" s="24" t="n"/>
      <c r="D1376" s="15" t="n"/>
      <c r="E1376" s="23" t="n"/>
      <c r="F1376" s="15" t="n"/>
      <c r="G1376" s="23" t="n"/>
      <c r="H1376" s="25" t="n"/>
      <c r="I1376" s="15" t="n"/>
      <c r="J1376" s="26">
        <f>IF($A1376="","",LEN($C1376)-LEN(SUBSTITUTE($C1376,",",""))+1)</f>
        <v/>
      </c>
      <c r="K1376" s="26">
        <f>IF($A1376="","",SUMPRODUCT(--ISNUMBER(SEARCH('Category Dictionary'!$D$5:$D$135&amp;"",$C1376)),--('Category Dictionary'!$D$5:$D$135&lt;&gt;"")))</f>
        <v/>
      </c>
      <c r="L1376" s="27">
        <f>IF($A1376="","",TRIM(IF(ISERROR(FIND(",",$C1376)),$C1376,LEFT($C1376,FIND(",",$C1376)-1))))</f>
        <v/>
      </c>
      <c r="M1376" s="28">
        <f>IF($H1376="","",DATE(YEAR($H1376),MONTH($H1376),1))</f>
        <v/>
      </c>
      <c r="N1376" s="26">
        <f>IF($H1376="","",TODAY()-$H1376)</f>
        <v/>
      </c>
      <c r="O1376" s="15" t="n"/>
      <c r="P1376" s="26">
        <f>IF($A1376="","",COUNTIFS('Audit Versions'!$A$6:$A$605,$A1376,'Audit Versions'!$L$6:$L$605,"Active"))</f>
        <v/>
      </c>
      <c r="Q1376" s="15" t="n"/>
      <c r="R1376" s="26">
        <f>IF(OR($A1376="",$P1376=0),"",MOD(N($Q1376),$P1376)+1)</f>
        <v/>
      </c>
      <c r="S1376" s="15" t="n"/>
      <c r="T1376" s="25" t="n"/>
      <c r="U1376" s="26">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Builder'!$B$12="",N($S1376)&lt;='Assignment Builder'!$B$12)))</f>
        <v/>
      </c>
      <c r="V1376" s="23" t="n"/>
    </row>
    <row r="1377">
      <c r="A1377" s="23" t="n"/>
      <c r="B1377" s="23" t="n"/>
      <c r="C1377" s="24" t="n"/>
      <c r="D1377" s="15" t="n"/>
      <c r="E1377" s="23" t="n"/>
      <c r="F1377" s="15" t="n"/>
      <c r="G1377" s="23" t="n"/>
      <c r="H1377" s="25" t="n"/>
      <c r="I1377" s="15" t="n"/>
      <c r="J1377" s="26">
        <f>IF($A1377="","",LEN($C1377)-LEN(SUBSTITUTE($C1377,",",""))+1)</f>
        <v/>
      </c>
      <c r="K1377" s="26">
        <f>IF($A1377="","",SUMPRODUCT(--ISNUMBER(SEARCH('Category Dictionary'!$D$5:$D$135&amp;"",$C1377)),--('Category Dictionary'!$D$5:$D$135&lt;&gt;"")))</f>
        <v/>
      </c>
      <c r="L1377" s="27">
        <f>IF($A1377="","",TRIM(IF(ISERROR(FIND(",",$C1377)),$C1377,LEFT($C1377,FIND(",",$C1377)-1))))</f>
        <v/>
      </c>
      <c r="M1377" s="28">
        <f>IF($H1377="","",DATE(YEAR($H1377),MONTH($H1377),1))</f>
        <v/>
      </c>
      <c r="N1377" s="26">
        <f>IF($H1377="","",TODAY()-$H1377)</f>
        <v/>
      </c>
      <c r="O1377" s="15" t="n"/>
      <c r="P1377" s="26">
        <f>IF($A1377="","",COUNTIFS('Audit Versions'!$A$6:$A$605,$A1377,'Audit Versions'!$L$6:$L$605,"Active"))</f>
        <v/>
      </c>
      <c r="Q1377" s="15" t="n"/>
      <c r="R1377" s="26">
        <f>IF(OR($A1377="",$P1377=0),"",MOD(N($Q1377),$P1377)+1)</f>
        <v/>
      </c>
      <c r="S1377" s="15" t="n"/>
      <c r="T1377" s="25" t="n"/>
      <c r="U1377" s="26">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Builder'!$B$12="",N($S1377)&lt;='Assignment Builder'!$B$12)))</f>
        <v/>
      </c>
      <c r="V1377" s="23" t="n"/>
    </row>
    <row r="1378">
      <c r="A1378" s="23" t="n"/>
      <c r="B1378" s="23" t="n"/>
      <c r="C1378" s="24" t="n"/>
      <c r="D1378" s="15" t="n"/>
      <c r="E1378" s="23" t="n"/>
      <c r="F1378" s="15" t="n"/>
      <c r="G1378" s="23" t="n"/>
      <c r="H1378" s="25" t="n"/>
      <c r="I1378" s="15" t="n"/>
      <c r="J1378" s="26">
        <f>IF($A1378="","",LEN($C1378)-LEN(SUBSTITUTE($C1378,",",""))+1)</f>
        <v/>
      </c>
      <c r="K1378" s="26">
        <f>IF($A1378="","",SUMPRODUCT(--ISNUMBER(SEARCH('Category Dictionary'!$D$5:$D$135&amp;"",$C1378)),--('Category Dictionary'!$D$5:$D$135&lt;&gt;"")))</f>
        <v/>
      </c>
      <c r="L1378" s="27">
        <f>IF($A1378="","",TRIM(IF(ISERROR(FIND(",",$C1378)),$C1378,LEFT($C1378,FIND(",",$C1378)-1))))</f>
        <v/>
      </c>
      <c r="M1378" s="28">
        <f>IF($H1378="","",DATE(YEAR($H1378),MONTH($H1378),1))</f>
        <v/>
      </c>
      <c r="N1378" s="26">
        <f>IF($H1378="","",TODAY()-$H1378)</f>
        <v/>
      </c>
      <c r="O1378" s="15" t="n"/>
      <c r="P1378" s="26">
        <f>IF($A1378="","",COUNTIFS('Audit Versions'!$A$6:$A$605,$A1378,'Audit Versions'!$L$6:$L$605,"Active"))</f>
        <v/>
      </c>
      <c r="Q1378" s="15" t="n"/>
      <c r="R1378" s="26">
        <f>IF(OR($A1378="",$P1378=0),"",MOD(N($Q1378),$P1378)+1)</f>
        <v/>
      </c>
      <c r="S1378" s="15" t="n"/>
      <c r="T1378" s="25" t="n"/>
      <c r="U1378" s="26">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Builder'!$B$12="",N($S1378)&lt;='Assignment Builder'!$B$12)))</f>
        <v/>
      </c>
      <c r="V1378" s="23" t="n"/>
    </row>
    <row r="1379">
      <c r="A1379" s="23" t="n"/>
      <c r="B1379" s="23" t="n"/>
      <c r="C1379" s="24" t="n"/>
      <c r="D1379" s="15" t="n"/>
      <c r="E1379" s="23" t="n"/>
      <c r="F1379" s="15" t="n"/>
      <c r="G1379" s="23" t="n"/>
      <c r="H1379" s="25" t="n"/>
      <c r="I1379" s="15" t="n"/>
      <c r="J1379" s="26">
        <f>IF($A1379="","",LEN($C1379)-LEN(SUBSTITUTE($C1379,",",""))+1)</f>
        <v/>
      </c>
      <c r="K1379" s="26">
        <f>IF($A1379="","",SUMPRODUCT(--ISNUMBER(SEARCH('Category Dictionary'!$D$5:$D$135&amp;"",$C1379)),--('Category Dictionary'!$D$5:$D$135&lt;&gt;"")))</f>
        <v/>
      </c>
      <c r="L1379" s="27">
        <f>IF($A1379="","",TRIM(IF(ISERROR(FIND(",",$C1379)),$C1379,LEFT($C1379,FIND(",",$C1379)-1))))</f>
        <v/>
      </c>
      <c r="M1379" s="28">
        <f>IF($H1379="","",DATE(YEAR($H1379),MONTH($H1379),1))</f>
        <v/>
      </c>
      <c r="N1379" s="26">
        <f>IF($H1379="","",TODAY()-$H1379)</f>
        <v/>
      </c>
      <c r="O1379" s="15" t="n"/>
      <c r="P1379" s="26">
        <f>IF($A1379="","",COUNTIFS('Audit Versions'!$A$6:$A$605,$A1379,'Audit Versions'!$L$6:$L$605,"Active"))</f>
        <v/>
      </c>
      <c r="Q1379" s="15" t="n"/>
      <c r="R1379" s="26">
        <f>IF(OR($A1379="",$P1379=0),"",MOD(N($Q1379),$P1379)+1)</f>
        <v/>
      </c>
      <c r="S1379" s="15" t="n"/>
      <c r="T1379" s="25" t="n"/>
      <c r="U1379" s="26">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Builder'!$B$12="",N($S1379)&lt;='Assignment Builder'!$B$12)))</f>
        <v/>
      </c>
      <c r="V1379" s="23" t="n"/>
    </row>
    <row r="1380">
      <c r="A1380" s="23" t="n"/>
      <c r="B1380" s="23" t="n"/>
      <c r="C1380" s="24" t="n"/>
      <c r="D1380" s="15" t="n"/>
      <c r="E1380" s="23" t="n"/>
      <c r="F1380" s="15" t="n"/>
      <c r="G1380" s="23" t="n"/>
      <c r="H1380" s="25" t="n"/>
      <c r="I1380" s="15" t="n"/>
      <c r="J1380" s="26">
        <f>IF($A1380="","",LEN($C1380)-LEN(SUBSTITUTE($C1380,",",""))+1)</f>
        <v/>
      </c>
      <c r="K1380" s="26">
        <f>IF($A1380="","",SUMPRODUCT(--ISNUMBER(SEARCH('Category Dictionary'!$D$5:$D$135&amp;"",$C1380)),--('Category Dictionary'!$D$5:$D$135&lt;&gt;"")))</f>
        <v/>
      </c>
      <c r="L1380" s="27">
        <f>IF($A1380="","",TRIM(IF(ISERROR(FIND(",",$C1380)),$C1380,LEFT($C1380,FIND(",",$C1380)-1))))</f>
        <v/>
      </c>
      <c r="M1380" s="28">
        <f>IF($H1380="","",DATE(YEAR($H1380),MONTH($H1380),1))</f>
        <v/>
      </c>
      <c r="N1380" s="26">
        <f>IF($H1380="","",TODAY()-$H1380)</f>
        <v/>
      </c>
      <c r="O1380" s="15" t="n"/>
      <c r="P1380" s="26">
        <f>IF($A1380="","",COUNTIFS('Audit Versions'!$A$6:$A$605,$A1380,'Audit Versions'!$L$6:$L$605,"Active"))</f>
        <v/>
      </c>
      <c r="Q1380" s="15" t="n"/>
      <c r="R1380" s="26">
        <f>IF(OR($A1380="",$P1380=0),"",MOD(N($Q1380),$P1380)+1)</f>
        <v/>
      </c>
      <c r="S1380" s="15" t="n"/>
      <c r="T1380" s="25" t="n"/>
      <c r="U1380" s="26">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Builder'!$B$12="",N($S1380)&lt;='Assignment Builder'!$B$12)))</f>
        <v/>
      </c>
      <c r="V1380" s="23" t="n"/>
    </row>
    <row r="1381">
      <c r="A1381" s="23" t="n"/>
      <c r="B1381" s="23" t="n"/>
      <c r="C1381" s="24" t="n"/>
      <c r="D1381" s="15" t="n"/>
      <c r="E1381" s="23" t="n"/>
      <c r="F1381" s="15" t="n"/>
      <c r="G1381" s="23" t="n"/>
      <c r="H1381" s="25" t="n"/>
      <c r="I1381" s="15" t="n"/>
      <c r="J1381" s="26">
        <f>IF($A1381="","",LEN($C1381)-LEN(SUBSTITUTE($C1381,",",""))+1)</f>
        <v/>
      </c>
      <c r="K1381" s="26">
        <f>IF($A1381="","",SUMPRODUCT(--ISNUMBER(SEARCH('Category Dictionary'!$D$5:$D$135&amp;"",$C1381)),--('Category Dictionary'!$D$5:$D$135&lt;&gt;"")))</f>
        <v/>
      </c>
      <c r="L1381" s="27">
        <f>IF($A1381="","",TRIM(IF(ISERROR(FIND(",",$C1381)),$C1381,LEFT($C1381,FIND(",",$C1381)-1))))</f>
        <v/>
      </c>
      <c r="M1381" s="28">
        <f>IF($H1381="","",DATE(YEAR($H1381),MONTH($H1381),1))</f>
        <v/>
      </c>
      <c r="N1381" s="26">
        <f>IF($H1381="","",TODAY()-$H1381)</f>
        <v/>
      </c>
      <c r="O1381" s="15" t="n"/>
      <c r="P1381" s="26">
        <f>IF($A1381="","",COUNTIFS('Audit Versions'!$A$6:$A$605,$A1381,'Audit Versions'!$L$6:$L$605,"Active"))</f>
        <v/>
      </c>
      <c r="Q1381" s="15" t="n"/>
      <c r="R1381" s="26">
        <f>IF(OR($A1381="",$P1381=0),"",MOD(N($Q1381),$P1381)+1)</f>
        <v/>
      </c>
      <c r="S1381" s="15" t="n"/>
      <c r="T1381" s="25" t="n"/>
      <c r="U1381" s="26">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Builder'!$B$12="",N($S1381)&lt;='Assignment Builder'!$B$12)))</f>
        <v/>
      </c>
      <c r="V1381" s="23" t="n"/>
    </row>
    <row r="1382">
      <c r="A1382" s="23" t="n"/>
      <c r="B1382" s="23" t="n"/>
      <c r="C1382" s="24" t="n"/>
      <c r="D1382" s="15" t="n"/>
      <c r="E1382" s="23" t="n"/>
      <c r="F1382" s="15" t="n"/>
      <c r="G1382" s="23" t="n"/>
      <c r="H1382" s="25" t="n"/>
      <c r="I1382" s="15" t="n"/>
      <c r="J1382" s="26">
        <f>IF($A1382="","",LEN($C1382)-LEN(SUBSTITUTE($C1382,",",""))+1)</f>
        <v/>
      </c>
      <c r="K1382" s="26">
        <f>IF($A1382="","",SUMPRODUCT(--ISNUMBER(SEARCH('Category Dictionary'!$D$5:$D$135&amp;"",$C1382)),--('Category Dictionary'!$D$5:$D$135&lt;&gt;"")))</f>
        <v/>
      </c>
      <c r="L1382" s="27">
        <f>IF($A1382="","",TRIM(IF(ISERROR(FIND(",",$C1382)),$C1382,LEFT($C1382,FIND(",",$C1382)-1))))</f>
        <v/>
      </c>
      <c r="M1382" s="28">
        <f>IF($H1382="","",DATE(YEAR($H1382),MONTH($H1382),1))</f>
        <v/>
      </c>
      <c r="N1382" s="26">
        <f>IF($H1382="","",TODAY()-$H1382)</f>
        <v/>
      </c>
      <c r="O1382" s="15" t="n"/>
      <c r="P1382" s="26">
        <f>IF($A1382="","",COUNTIFS('Audit Versions'!$A$6:$A$605,$A1382,'Audit Versions'!$L$6:$L$605,"Active"))</f>
        <v/>
      </c>
      <c r="Q1382" s="15" t="n"/>
      <c r="R1382" s="26">
        <f>IF(OR($A1382="",$P1382=0),"",MOD(N($Q1382),$P1382)+1)</f>
        <v/>
      </c>
      <c r="S1382" s="15" t="n"/>
      <c r="T1382" s="25" t="n"/>
      <c r="U1382" s="26">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Builder'!$B$12="",N($S1382)&lt;='Assignment Builder'!$B$12)))</f>
        <v/>
      </c>
      <c r="V1382" s="23" t="n"/>
    </row>
    <row r="1383">
      <c r="A1383" s="23" t="n"/>
      <c r="B1383" s="23" t="n"/>
      <c r="C1383" s="24" t="n"/>
      <c r="D1383" s="15" t="n"/>
      <c r="E1383" s="23" t="n"/>
      <c r="F1383" s="15" t="n"/>
      <c r="G1383" s="23" t="n"/>
      <c r="H1383" s="25" t="n"/>
      <c r="I1383" s="15" t="n"/>
      <c r="J1383" s="26">
        <f>IF($A1383="","",LEN($C1383)-LEN(SUBSTITUTE($C1383,",",""))+1)</f>
        <v/>
      </c>
      <c r="K1383" s="26">
        <f>IF($A1383="","",SUMPRODUCT(--ISNUMBER(SEARCH('Category Dictionary'!$D$5:$D$135&amp;"",$C1383)),--('Category Dictionary'!$D$5:$D$135&lt;&gt;"")))</f>
        <v/>
      </c>
      <c r="L1383" s="27">
        <f>IF($A1383="","",TRIM(IF(ISERROR(FIND(",",$C1383)),$C1383,LEFT($C1383,FIND(",",$C1383)-1))))</f>
        <v/>
      </c>
      <c r="M1383" s="28">
        <f>IF($H1383="","",DATE(YEAR($H1383),MONTH($H1383),1))</f>
        <v/>
      </c>
      <c r="N1383" s="26">
        <f>IF($H1383="","",TODAY()-$H1383)</f>
        <v/>
      </c>
      <c r="O1383" s="15" t="n"/>
      <c r="P1383" s="26">
        <f>IF($A1383="","",COUNTIFS('Audit Versions'!$A$6:$A$605,$A1383,'Audit Versions'!$L$6:$L$605,"Active"))</f>
        <v/>
      </c>
      <c r="Q1383" s="15" t="n"/>
      <c r="R1383" s="26">
        <f>IF(OR($A1383="",$P1383=0),"",MOD(N($Q1383),$P1383)+1)</f>
        <v/>
      </c>
      <c r="S1383" s="15" t="n"/>
      <c r="T1383" s="25" t="n"/>
      <c r="U1383" s="26">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Builder'!$B$12="",N($S1383)&lt;='Assignment Builder'!$B$12)))</f>
        <v/>
      </c>
      <c r="V1383" s="23" t="n"/>
    </row>
    <row r="1384">
      <c r="A1384" s="23" t="n"/>
      <c r="B1384" s="23" t="n"/>
      <c r="C1384" s="24" t="n"/>
      <c r="D1384" s="15" t="n"/>
      <c r="E1384" s="23" t="n"/>
      <c r="F1384" s="15" t="n"/>
      <c r="G1384" s="23" t="n"/>
      <c r="H1384" s="25" t="n"/>
      <c r="I1384" s="15" t="n"/>
      <c r="J1384" s="26">
        <f>IF($A1384="","",LEN($C1384)-LEN(SUBSTITUTE($C1384,",",""))+1)</f>
        <v/>
      </c>
      <c r="K1384" s="26">
        <f>IF($A1384="","",SUMPRODUCT(--ISNUMBER(SEARCH('Category Dictionary'!$D$5:$D$135&amp;"",$C1384)),--('Category Dictionary'!$D$5:$D$135&lt;&gt;"")))</f>
        <v/>
      </c>
      <c r="L1384" s="27">
        <f>IF($A1384="","",TRIM(IF(ISERROR(FIND(",",$C1384)),$C1384,LEFT($C1384,FIND(",",$C1384)-1))))</f>
        <v/>
      </c>
      <c r="M1384" s="28">
        <f>IF($H1384="","",DATE(YEAR($H1384),MONTH($H1384),1))</f>
        <v/>
      </c>
      <c r="N1384" s="26">
        <f>IF($H1384="","",TODAY()-$H1384)</f>
        <v/>
      </c>
      <c r="O1384" s="15" t="n"/>
      <c r="P1384" s="26">
        <f>IF($A1384="","",COUNTIFS('Audit Versions'!$A$6:$A$605,$A1384,'Audit Versions'!$L$6:$L$605,"Active"))</f>
        <v/>
      </c>
      <c r="Q1384" s="15" t="n"/>
      <c r="R1384" s="26">
        <f>IF(OR($A1384="",$P1384=0),"",MOD(N($Q1384),$P1384)+1)</f>
        <v/>
      </c>
      <c r="S1384" s="15" t="n"/>
      <c r="T1384" s="25" t="n"/>
      <c r="U1384" s="26">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Builder'!$B$12="",N($S1384)&lt;='Assignment Builder'!$B$12)))</f>
        <v/>
      </c>
      <c r="V1384" s="23" t="n"/>
    </row>
    <row r="1385">
      <c r="A1385" s="23" t="n"/>
      <c r="B1385" s="23" t="n"/>
      <c r="C1385" s="24" t="n"/>
      <c r="D1385" s="15" t="n"/>
      <c r="E1385" s="23" t="n"/>
      <c r="F1385" s="15" t="n"/>
      <c r="G1385" s="23" t="n"/>
      <c r="H1385" s="25" t="n"/>
      <c r="I1385" s="15" t="n"/>
      <c r="J1385" s="26">
        <f>IF($A1385="","",LEN($C1385)-LEN(SUBSTITUTE($C1385,",",""))+1)</f>
        <v/>
      </c>
      <c r="K1385" s="26">
        <f>IF($A1385="","",SUMPRODUCT(--ISNUMBER(SEARCH('Category Dictionary'!$D$5:$D$135&amp;"",$C1385)),--('Category Dictionary'!$D$5:$D$135&lt;&gt;"")))</f>
        <v/>
      </c>
      <c r="L1385" s="27">
        <f>IF($A1385="","",TRIM(IF(ISERROR(FIND(",",$C1385)),$C1385,LEFT($C1385,FIND(",",$C1385)-1))))</f>
        <v/>
      </c>
      <c r="M1385" s="28">
        <f>IF($H1385="","",DATE(YEAR($H1385),MONTH($H1385),1))</f>
        <v/>
      </c>
      <c r="N1385" s="26">
        <f>IF($H1385="","",TODAY()-$H1385)</f>
        <v/>
      </c>
      <c r="O1385" s="15" t="n"/>
      <c r="P1385" s="26">
        <f>IF($A1385="","",COUNTIFS('Audit Versions'!$A$6:$A$605,$A1385,'Audit Versions'!$L$6:$L$605,"Active"))</f>
        <v/>
      </c>
      <c r="Q1385" s="15" t="n"/>
      <c r="R1385" s="26">
        <f>IF(OR($A1385="",$P1385=0),"",MOD(N($Q1385),$P1385)+1)</f>
        <v/>
      </c>
      <c r="S1385" s="15" t="n"/>
      <c r="T1385" s="25" t="n"/>
      <c r="U1385" s="26">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Builder'!$B$12="",N($S1385)&lt;='Assignment Builder'!$B$12)))</f>
        <v/>
      </c>
      <c r="V1385" s="23" t="n"/>
    </row>
    <row r="1386">
      <c r="A1386" s="23" t="n"/>
      <c r="B1386" s="23" t="n"/>
      <c r="C1386" s="24" t="n"/>
      <c r="D1386" s="15" t="n"/>
      <c r="E1386" s="23" t="n"/>
      <c r="F1386" s="15" t="n"/>
      <c r="G1386" s="23" t="n"/>
      <c r="H1386" s="25" t="n"/>
      <c r="I1386" s="15" t="n"/>
      <c r="J1386" s="26">
        <f>IF($A1386="","",LEN($C1386)-LEN(SUBSTITUTE($C1386,",",""))+1)</f>
        <v/>
      </c>
      <c r="K1386" s="26">
        <f>IF($A1386="","",SUMPRODUCT(--ISNUMBER(SEARCH('Category Dictionary'!$D$5:$D$135&amp;"",$C1386)),--('Category Dictionary'!$D$5:$D$135&lt;&gt;"")))</f>
        <v/>
      </c>
      <c r="L1386" s="27">
        <f>IF($A1386="","",TRIM(IF(ISERROR(FIND(",",$C1386)),$C1386,LEFT($C1386,FIND(",",$C1386)-1))))</f>
        <v/>
      </c>
      <c r="M1386" s="28">
        <f>IF($H1386="","",DATE(YEAR($H1386),MONTH($H1386),1))</f>
        <v/>
      </c>
      <c r="N1386" s="26">
        <f>IF($H1386="","",TODAY()-$H1386)</f>
        <v/>
      </c>
      <c r="O1386" s="15" t="n"/>
      <c r="P1386" s="26">
        <f>IF($A1386="","",COUNTIFS('Audit Versions'!$A$6:$A$605,$A1386,'Audit Versions'!$L$6:$L$605,"Active"))</f>
        <v/>
      </c>
      <c r="Q1386" s="15" t="n"/>
      <c r="R1386" s="26">
        <f>IF(OR($A1386="",$P1386=0),"",MOD(N($Q1386),$P1386)+1)</f>
        <v/>
      </c>
      <c r="S1386" s="15" t="n"/>
      <c r="T1386" s="25" t="n"/>
      <c r="U1386" s="26">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Builder'!$B$12="",N($S1386)&lt;='Assignment Builder'!$B$12)))</f>
        <v/>
      </c>
      <c r="V1386" s="23" t="n"/>
    </row>
    <row r="1387">
      <c r="A1387" s="23" t="n"/>
      <c r="B1387" s="23" t="n"/>
      <c r="C1387" s="24" t="n"/>
      <c r="D1387" s="15" t="n"/>
      <c r="E1387" s="23" t="n"/>
      <c r="F1387" s="15" t="n"/>
      <c r="G1387" s="23" t="n"/>
      <c r="H1387" s="25" t="n"/>
      <c r="I1387" s="15" t="n"/>
      <c r="J1387" s="26">
        <f>IF($A1387="","",LEN($C1387)-LEN(SUBSTITUTE($C1387,",",""))+1)</f>
        <v/>
      </c>
      <c r="K1387" s="26">
        <f>IF($A1387="","",SUMPRODUCT(--ISNUMBER(SEARCH('Category Dictionary'!$D$5:$D$135&amp;"",$C1387)),--('Category Dictionary'!$D$5:$D$135&lt;&gt;"")))</f>
        <v/>
      </c>
      <c r="L1387" s="27">
        <f>IF($A1387="","",TRIM(IF(ISERROR(FIND(",",$C1387)),$C1387,LEFT($C1387,FIND(",",$C1387)-1))))</f>
        <v/>
      </c>
      <c r="M1387" s="28">
        <f>IF($H1387="","",DATE(YEAR($H1387),MONTH($H1387),1))</f>
        <v/>
      </c>
      <c r="N1387" s="26">
        <f>IF($H1387="","",TODAY()-$H1387)</f>
        <v/>
      </c>
      <c r="O1387" s="15" t="n"/>
      <c r="P1387" s="26">
        <f>IF($A1387="","",COUNTIFS('Audit Versions'!$A$6:$A$605,$A1387,'Audit Versions'!$L$6:$L$605,"Active"))</f>
        <v/>
      </c>
      <c r="Q1387" s="15" t="n"/>
      <c r="R1387" s="26">
        <f>IF(OR($A1387="",$P1387=0),"",MOD(N($Q1387),$P1387)+1)</f>
        <v/>
      </c>
      <c r="S1387" s="15" t="n"/>
      <c r="T1387" s="25" t="n"/>
      <c r="U1387" s="26">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Builder'!$B$12="",N($S1387)&lt;='Assignment Builder'!$B$12)))</f>
        <v/>
      </c>
      <c r="V1387" s="23" t="n"/>
    </row>
    <row r="1388">
      <c r="A1388" s="23" t="n"/>
      <c r="B1388" s="23" t="n"/>
      <c r="C1388" s="24" t="n"/>
      <c r="D1388" s="15" t="n"/>
      <c r="E1388" s="23" t="n"/>
      <c r="F1388" s="15" t="n"/>
      <c r="G1388" s="23" t="n"/>
      <c r="H1388" s="25" t="n"/>
      <c r="I1388" s="15" t="n"/>
      <c r="J1388" s="26">
        <f>IF($A1388="","",LEN($C1388)-LEN(SUBSTITUTE($C1388,",",""))+1)</f>
        <v/>
      </c>
      <c r="K1388" s="26">
        <f>IF($A1388="","",SUMPRODUCT(--ISNUMBER(SEARCH('Category Dictionary'!$D$5:$D$135&amp;"",$C1388)),--('Category Dictionary'!$D$5:$D$135&lt;&gt;"")))</f>
        <v/>
      </c>
      <c r="L1388" s="27">
        <f>IF($A1388="","",TRIM(IF(ISERROR(FIND(",",$C1388)),$C1388,LEFT($C1388,FIND(",",$C1388)-1))))</f>
        <v/>
      </c>
      <c r="M1388" s="28">
        <f>IF($H1388="","",DATE(YEAR($H1388),MONTH($H1388),1))</f>
        <v/>
      </c>
      <c r="N1388" s="26">
        <f>IF($H1388="","",TODAY()-$H1388)</f>
        <v/>
      </c>
      <c r="O1388" s="15" t="n"/>
      <c r="P1388" s="26">
        <f>IF($A1388="","",COUNTIFS('Audit Versions'!$A$6:$A$605,$A1388,'Audit Versions'!$L$6:$L$605,"Active"))</f>
        <v/>
      </c>
      <c r="Q1388" s="15" t="n"/>
      <c r="R1388" s="26">
        <f>IF(OR($A1388="",$P1388=0),"",MOD(N($Q1388),$P1388)+1)</f>
        <v/>
      </c>
      <c r="S1388" s="15" t="n"/>
      <c r="T1388" s="25" t="n"/>
      <c r="U1388" s="26">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Builder'!$B$12="",N($S1388)&lt;='Assignment Builder'!$B$12)))</f>
        <v/>
      </c>
      <c r="V1388" s="23" t="n"/>
    </row>
    <row r="1389">
      <c r="A1389" s="23" t="n"/>
      <c r="B1389" s="23" t="n"/>
      <c r="C1389" s="24" t="n"/>
      <c r="D1389" s="15" t="n"/>
      <c r="E1389" s="23" t="n"/>
      <c r="F1389" s="15" t="n"/>
      <c r="G1389" s="23" t="n"/>
      <c r="H1389" s="25" t="n"/>
      <c r="I1389" s="15" t="n"/>
      <c r="J1389" s="26">
        <f>IF($A1389="","",LEN($C1389)-LEN(SUBSTITUTE($C1389,",",""))+1)</f>
        <v/>
      </c>
      <c r="K1389" s="26">
        <f>IF($A1389="","",SUMPRODUCT(--ISNUMBER(SEARCH('Category Dictionary'!$D$5:$D$135&amp;"",$C1389)),--('Category Dictionary'!$D$5:$D$135&lt;&gt;"")))</f>
        <v/>
      </c>
      <c r="L1389" s="27">
        <f>IF($A1389="","",TRIM(IF(ISERROR(FIND(",",$C1389)),$C1389,LEFT($C1389,FIND(",",$C1389)-1))))</f>
        <v/>
      </c>
      <c r="M1389" s="28">
        <f>IF($H1389="","",DATE(YEAR($H1389),MONTH($H1389),1))</f>
        <v/>
      </c>
      <c r="N1389" s="26">
        <f>IF($H1389="","",TODAY()-$H1389)</f>
        <v/>
      </c>
      <c r="O1389" s="15" t="n"/>
      <c r="P1389" s="26">
        <f>IF($A1389="","",COUNTIFS('Audit Versions'!$A$6:$A$605,$A1389,'Audit Versions'!$L$6:$L$605,"Active"))</f>
        <v/>
      </c>
      <c r="Q1389" s="15" t="n"/>
      <c r="R1389" s="26">
        <f>IF(OR($A1389="",$P1389=0),"",MOD(N($Q1389),$P1389)+1)</f>
        <v/>
      </c>
      <c r="S1389" s="15" t="n"/>
      <c r="T1389" s="25" t="n"/>
      <c r="U1389" s="26">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Builder'!$B$12="",N($S1389)&lt;='Assignment Builder'!$B$12)))</f>
        <v/>
      </c>
      <c r="V1389" s="23" t="n"/>
    </row>
    <row r="1390">
      <c r="A1390" s="23" t="n"/>
      <c r="B1390" s="23" t="n"/>
      <c r="C1390" s="24" t="n"/>
      <c r="D1390" s="15" t="n"/>
      <c r="E1390" s="23" t="n"/>
      <c r="F1390" s="15" t="n"/>
      <c r="G1390" s="23" t="n"/>
      <c r="H1390" s="25" t="n"/>
      <c r="I1390" s="15" t="n"/>
      <c r="J1390" s="26">
        <f>IF($A1390="","",LEN($C1390)-LEN(SUBSTITUTE($C1390,",",""))+1)</f>
        <v/>
      </c>
      <c r="K1390" s="26">
        <f>IF($A1390="","",SUMPRODUCT(--ISNUMBER(SEARCH('Category Dictionary'!$D$5:$D$135&amp;"",$C1390)),--('Category Dictionary'!$D$5:$D$135&lt;&gt;"")))</f>
        <v/>
      </c>
      <c r="L1390" s="27">
        <f>IF($A1390="","",TRIM(IF(ISERROR(FIND(",",$C1390)),$C1390,LEFT($C1390,FIND(",",$C1390)-1))))</f>
        <v/>
      </c>
      <c r="M1390" s="28">
        <f>IF($H1390="","",DATE(YEAR($H1390),MONTH($H1390),1))</f>
        <v/>
      </c>
      <c r="N1390" s="26">
        <f>IF($H1390="","",TODAY()-$H1390)</f>
        <v/>
      </c>
      <c r="O1390" s="15" t="n"/>
      <c r="P1390" s="26">
        <f>IF($A1390="","",COUNTIFS('Audit Versions'!$A$6:$A$605,$A1390,'Audit Versions'!$L$6:$L$605,"Active"))</f>
        <v/>
      </c>
      <c r="Q1390" s="15" t="n"/>
      <c r="R1390" s="26">
        <f>IF(OR($A1390="",$P1390=0),"",MOD(N($Q1390),$P1390)+1)</f>
        <v/>
      </c>
      <c r="S1390" s="15" t="n"/>
      <c r="T1390" s="25" t="n"/>
      <c r="U1390" s="26">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Builder'!$B$12="",N($S1390)&lt;='Assignment Builder'!$B$12)))</f>
        <v/>
      </c>
      <c r="V1390" s="23" t="n"/>
    </row>
    <row r="1391">
      <c r="A1391" s="23" t="n"/>
      <c r="B1391" s="23" t="n"/>
      <c r="C1391" s="24" t="n"/>
      <c r="D1391" s="15" t="n"/>
      <c r="E1391" s="23" t="n"/>
      <c r="F1391" s="15" t="n"/>
      <c r="G1391" s="23" t="n"/>
      <c r="H1391" s="25" t="n"/>
      <c r="I1391" s="15" t="n"/>
      <c r="J1391" s="26">
        <f>IF($A1391="","",LEN($C1391)-LEN(SUBSTITUTE($C1391,",",""))+1)</f>
        <v/>
      </c>
      <c r="K1391" s="26">
        <f>IF($A1391="","",SUMPRODUCT(--ISNUMBER(SEARCH('Category Dictionary'!$D$5:$D$135&amp;"",$C1391)),--('Category Dictionary'!$D$5:$D$135&lt;&gt;"")))</f>
        <v/>
      </c>
      <c r="L1391" s="27">
        <f>IF($A1391="","",TRIM(IF(ISERROR(FIND(",",$C1391)),$C1391,LEFT($C1391,FIND(",",$C1391)-1))))</f>
        <v/>
      </c>
      <c r="M1391" s="28">
        <f>IF($H1391="","",DATE(YEAR($H1391),MONTH($H1391),1))</f>
        <v/>
      </c>
      <c r="N1391" s="26">
        <f>IF($H1391="","",TODAY()-$H1391)</f>
        <v/>
      </c>
      <c r="O1391" s="15" t="n"/>
      <c r="P1391" s="26">
        <f>IF($A1391="","",COUNTIFS('Audit Versions'!$A$6:$A$605,$A1391,'Audit Versions'!$L$6:$L$605,"Active"))</f>
        <v/>
      </c>
      <c r="Q1391" s="15" t="n"/>
      <c r="R1391" s="26">
        <f>IF(OR($A1391="",$P1391=0),"",MOD(N($Q1391),$P1391)+1)</f>
        <v/>
      </c>
      <c r="S1391" s="15" t="n"/>
      <c r="T1391" s="25" t="n"/>
      <c r="U1391" s="26">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Builder'!$B$12="",N($S1391)&lt;='Assignment Builder'!$B$12)))</f>
        <v/>
      </c>
      <c r="V1391" s="23" t="n"/>
    </row>
    <row r="1392">
      <c r="A1392" s="23" t="n"/>
      <c r="B1392" s="23" t="n"/>
      <c r="C1392" s="24" t="n"/>
      <c r="D1392" s="15" t="n"/>
      <c r="E1392" s="23" t="n"/>
      <c r="F1392" s="15" t="n"/>
      <c r="G1392" s="23" t="n"/>
      <c r="H1392" s="25" t="n"/>
      <c r="I1392" s="15" t="n"/>
      <c r="J1392" s="26">
        <f>IF($A1392="","",LEN($C1392)-LEN(SUBSTITUTE($C1392,",",""))+1)</f>
        <v/>
      </c>
      <c r="K1392" s="26">
        <f>IF($A1392="","",SUMPRODUCT(--ISNUMBER(SEARCH('Category Dictionary'!$D$5:$D$135&amp;"",$C1392)),--('Category Dictionary'!$D$5:$D$135&lt;&gt;"")))</f>
        <v/>
      </c>
      <c r="L1392" s="27">
        <f>IF($A1392="","",TRIM(IF(ISERROR(FIND(",",$C1392)),$C1392,LEFT($C1392,FIND(",",$C1392)-1))))</f>
        <v/>
      </c>
      <c r="M1392" s="28">
        <f>IF($H1392="","",DATE(YEAR($H1392),MONTH($H1392),1))</f>
        <v/>
      </c>
      <c r="N1392" s="26">
        <f>IF($H1392="","",TODAY()-$H1392)</f>
        <v/>
      </c>
      <c r="O1392" s="15" t="n"/>
      <c r="P1392" s="26">
        <f>IF($A1392="","",COUNTIFS('Audit Versions'!$A$6:$A$605,$A1392,'Audit Versions'!$L$6:$L$605,"Active"))</f>
        <v/>
      </c>
      <c r="Q1392" s="15" t="n"/>
      <c r="R1392" s="26">
        <f>IF(OR($A1392="",$P1392=0),"",MOD(N($Q1392),$P1392)+1)</f>
        <v/>
      </c>
      <c r="S1392" s="15" t="n"/>
      <c r="T1392" s="25" t="n"/>
      <c r="U1392" s="26">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Builder'!$B$12="",N($S1392)&lt;='Assignment Builder'!$B$12)))</f>
        <v/>
      </c>
      <c r="V1392" s="23" t="n"/>
    </row>
    <row r="1393">
      <c r="A1393" s="23" t="n"/>
      <c r="B1393" s="23" t="n"/>
      <c r="C1393" s="24" t="n"/>
      <c r="D1393" s="15" t="n"/>
      <c r="E1393" s="23" t="n"/>
      <c r="F1393" s="15" t="n"/>
      <c r="G1393" s="23" t="n"/>
      <c r="H1393" s="25" t="n"/>
      <c r="I1393" s="15" t="n"/>
      <c r="J1393" s="26">
        <f>IF($A1393="","",LEN($C1393)-LEN(SUBSTITUTE($C1393,",",""))+1)</f>
        <v/>
      </c>
      <c r="K1393" s="26">
        <f>IF($A1393="","",SUMPRODUCT(--ISNUMBER(SEARCH('Category Dictionary'!$D$5:$D$135&amp;"",$C1393)),--('Category Dictionary'!$D$5:$D$135&lt;&gt;"")))</f>
        <v/>
      </c>
      <c r="L1393" s="27">
        <f>IF($A1393="","",TRIM(IF(ISERROR(FIND(",",$C1393)),$C1393,LEFT($C1393,FIND(",",$C1393)-1))))</f>
        <v/>
      </c>
      <c r="M1393" s="28">
        <f>IF($H1393="","",DATE(YEAR($H1393),MONTH($H1393),1))</f>
        <v/>
      </c>
      <c r="N1393" s="26">
        <f>IF($H1393="","",TODAY()-$H1393)</f>
        <v/>
      </c>
      <c r="O1393" s="15" t="n"/>
      <c r="P1393" s="26">
        <f>IF($A1393="","",COUNTIFS('Audit Versions'!$A$6:$A$605,$A1393,'Audit Versions'!$L$6:$L$605,"Active"))</f>
        <v/>
      </c>
      <c r="Q1393" s="15" t="n"/>
      <c r="R1393" s="26">
        <f>IF(OR($A1393="",$P1393=0),"",MOD(N($Q1393),$P1393)+1)</f>
        <v/>
      </c>
      <c r="S1393" s="15" t="n"/>
      <c r="T1393" s="25" t="n"/>
      <c r="U1393" s="26">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Builder'!$B$12="",N($S1393)&lt;='Assignment Builder'!$B$12)))</f>
        <v/>
      </c>
      <c r="V1393" s="23" t="n"/>
    </row>
    <row r="1394">
      <c r="A1394" s="23" t="n"/>
      <c r="B1394" s="23" t="n"/>
      <c r="C1394" s="24" t="n"/>
      <c r="D1394" s="15" t="n"/>
      <c r="E1394" s="23" t="n"/>
      <c r="F1394" s="15" t="n"/>
      <c r="G1394" s="23" t="n"/>
      <c r="H1394" s="25" t="n"/>
      <c r="I1394" s="15" t="n"/>
      <c r="J1394" s="26">
        <f>IF($A1394="","",LEN($C1394)-LEN(SUBSTITUTE($C1394,",",""))+1)</f>
        <v/>
      </c>
      <c r="K1394" s="26">
        <f>IF($A1394="","",SUMPRODUCT(--ISNUMBER(SEARCH('Category Dictionary'!$D$5:$D$135&amp;"",$C1394)),--('Category Dictionary'!$D$5:$D$135&lt;&gt;"")))</f>
        <v/>
      </c>
      <c r="L1394" s="27">
        <f>IF($A1394="","",TRIM(IF(ISERROR(FIND(",",$C1394)),$C1394,LEFT($C1394,FIND(",",$C1394)-1))))</f>
        <v/>
      </c>
      <c r="M1394" s="28">
        <f>IF($H1394="","",DATE(YEAR($H1394),MONTH($H1394),1))</f>
        <v/>
      </c>
      <c r="N1394" s="26">
        <f>IF($H1394="","",TODAY()-$H1394)</f>
        <v/>
      </c>
      <c r="O1394" s="15" t="n"/>
      <c r="P1394" s="26">
        <f>IF($A1394="","",COUNTIFS('Audit Versions'!$A$6:$A$605,$A1394,'Audit Versions'!$L$6:$L$605,"Active"))</f>
        <v/>
      </c>
      <c r="Q1394" s="15" t="n"/>
      <c r="R1394" s="26">
        <f>IF(OR($A1394="",$P1394=0),"",MOD(N($Q1394),$P1394)+1)</f>
        <v/>
      </c>
      <c r="S1394" s="15" t="n"/>
      <c r="T1394" s="25" t="n"/>
      <c r="U1394" s="26">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Builder'!$B$12="",N($S1394)&lt;='Assignment Builder'!$B$12)))</f>
        <v/>
      </c>
      <c r="V1394" s="23" t="n"/>
    </row>
    <row r="1395">
      <c r="A1395" s="23" t="n"/>
      <c r="B1395" s="23" t="n"/>
      <c r="C1395" s="24" t="n"/>
      <c r="D1395" s="15" t="n"/>
      <c r="E1395" s="23" t="n"/>
      <c r="F1395" s="15" t="n"/>
      <c r="G1395" s="23" t="n"/>
      <c r="H1395" s="25" t="n"/>
      <c r="I1395" s="15" t="n"/>
      <c r="J1395" s="26">
        <f>IF($A1395="","",LEN($C1395)-LEN(SUBSTITUTE($C1395,",",""))+1)</f>
        <v/>
      </c>
      <c r="K1395" s="26">
        <f>IF($A1395="","",SUMPRODUCT(--ISNUMBER(SEARCH('Category Dictionary'!$D$5:$D$135&amp;"",$C1395)),--('Category Dictionary'!$D$5:$D$135&lt;&gt;"")))</f>
        <v/>
      </c>
      <c r="L1395" s="27">
        <f>IF($A1395="","",TRIM(IF(ISERROR(FIND(",",$C1395)),$C1395,LEFT($C1395,FIND(",",$C1395)-1))))</f>
        <v/>
      </c>
      <c r="M1395" s="28">
        <f>IF($H1395="","",DATE(YEAR($H1395),MONTH($H1395),1))</f>
        <v/>
      </c>
      <c r="N1395" s="26">
        <f>IF($H1395="","",TODAY()-$H1395)</f>
        <v/>
      </c>
      <c r="O1395" s="15" t="n"/>
      <c r="P1395" s="26">
        <f>IF($A1395="","",COUNTIFS('Audit Versions'!$A$6:$A$605,$A1395,'Audit Versions'!$L$6:$L$605,"Active"))</f>
        <v/>
      </c>
      <c r="Q1395" s="15" t="n"/>
      <c r="R1395" s="26">
        <f>IF(OR($A1395="",$P1395=0),"",MOD(N($Q1395),$P1395)+1)</f>
        <v/>
      </c>
      <c r="S1395" s="15" t="n"/>
      <c r="T1395" s="25" t="n"/>
      <c r="U1395" s="26">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Builder'!$B$12="",N($S1395)&lt;='Assignment Builder'!$B$12)))</f>
        <v/>
      </c>
      <c r="V1395" s="23" t="n"/>
    </row>
    <row r="1396">
      <c r="A1396" s="23" t="n"/>
      <c r="B1396" s="23" t="n"/>
      <c r="C1396" s="24" t="n"/>
      <c r="D1396" s="15" t="n"/>
      <c r="E1396" s="23" t="n"/>
      <c r="F1396" s="15" t="n"/>
      <c r="G1396" s="23" t="n"/>
      <c r="H1396" s="25" t="n"/>
      <c r="I1396" s="15" t="n"/>
      <c r="J1396" s="26">
        <f>IF($A1396="","",LEN($C1396)-LEN(SUBSTITUTE($C1396,",",""))+1)</f>
        <v/>
      </c>
      <c r="K1396" s="26">
        <f>IF($A1396="","",SUMPRODUCT(--ISNUMBER(SEARCH('Category Dictionary'!$D$5:$D$135&amp;"",$C1396)),--('Category Dictionary'!$D$5:$D$135&lt;&gt;"")))</f>
        <v/>
      </c>
      <c r="L1396" s="27">
        <f>IF($A1396="","",TRIM(IF(ISERROR(FIND(",",$C1396)),$C1396,LEFT($C1396,FIND(",",$C1396)-1))))</f>
        <v/>
      </c>
      <c r="M1396" s="28">
        <f>IF($H1396="","",DATE(YEAR($H1396),MONTH($H1396),1))</f>
        <v/>
      </c>
      <c r="N1396" s="26">
        <f>IF($H1396="","",TODAY()-$H1396)</f>
        <v/>
      </c>
      <c r="O1396" s="15" t="n"/>
      <c r="P1396" s="26">
        <f>IF($A1396="","",COUNTIFS('Audit Versions'!$A$6:$A$605,$A1396,'Audit Versions'!$L$6:$L$605,"Active"))</f>
        <v/>
      </c>
      <c r="Q1396" s="15" t="n"/>
      <c r="R1396" s="26">
        <f>IF(OR($A1396="",$P1396=0),"",MOD(N($Q1396),$P1396)+1)</f>
        <v/>
      </c>
      <c r="S1396" s="15" t="n"/>
      <c r="T1396" s="25" t="n"/>
      <c r="U1396" s="26">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Builder'!$B$12="",N($S1396)&lt;='Assignment Builder'!$B$12)))</f>
        <v/>
      </c>
      <c r="V1396" s="23" t="n"/>
    </row>
    <row r="1397">
      <c r="A1397" s="23" t="n"/>
      <c r="B1397" s="23" t="n"/>
      <c r="C1397" s="24" t="n"/>
      <c r="D1397" s="15" t="n"/>
      <c r="E1397" s="23" t="n"/>
      <c r="F1397" s="15" t="n"/>
      <c r="G1397" s="23" t="n"/>
      <c r="H1397" s="25" t="n"/>
      <c r="I1397" s="15" t="n"/>
      <c r="J1397" s="26">
        <f>IF($A1397="","",LEN($C1397)-LEN(SUBSTITUTE($C1397,",",""))+1)</f>
        <v/>
      </c>
      <c r="K1397" s="26">
        <f>IF($A1397="","",SUMPRODUCT(--ISNUMBER(SEARCH('Category Dictionary'!$D$5:$D$135&amp;"",$C1397)),--('Category Dictionary'!$D$5:$D$135&lt;&gt;"")))</f>
        <v/>
      </c>
      <c r="L1397" s="27">
        <f>IF($A1397="","",TRIM(IF(ISERROR(FIND(",",$C1397)),$C1397,LEFT($C1397,FIND(",",$C1397)-1))))</f>
        <v/>
      </c>
      <c r="M1397" s="28">
        <f>IF($H1397="","",DATE(YEAR($H1397),MONTH($H1397),1))</f>
        <v/>
      </c>
      <c r="N1397" s="26">
        <f>IF($H1397="","",TODAY()-$H1397)</f>
        <v/>
      </c>
      <c r="O1397" s="15" t="n"/>
      <c r="P1397" s="26">
        <f>IF($A1397="","",COUNTIFS('Audit Versions'!$A$6:$A$605,$A1397,'Audit Versions'!$L$6:$L$605,"Active"))</f>
        <v/>
      </c>
      <c r="Q1397" s="15" t="n"/>
      <c r="R1397" s="26">
        <f>IF(OR($A1397="",$P1397=0),"",MOD(N($Q1397),$P1397)+1)</f>
        <v/>
      </c>
      <c r="S1397" s="15" t="n"/>
      <c r="T1397" s="25" t="n"/>
      <c r="U1397" s="26">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Builder'!$B$12="",N($S1397)&lt;='Assignment Builder'!$B$12)))</f>
        <v/>
      </c>
      <c r="V1397" s="23" t="n"/>
    </row>
    <row r="1398">
      <c r="A1398" s="23" t="n"/>
      <c r="B1398" s="23" t="n"/>
      <c r="C1398" s="24" t="n"/>
      <c r="D1398" s="15" t="n"/>
      <c r="E1398" s="23" t="n"/>
      <c r="F1398" s="15" t="n"/>
      <c r="G1398" s="23" t="n"/>
      <c r="H1398" s="25" t="n"/>
      <c r="I1398" s="15" t="n"/>
      <c r="J1398" s="26">
        <f>IF($A1398="","",LEN($C1398)-LEN(SUBSTITUTE($C1398,",",""))+1)</f>
        <v/>
      </c>
      <c r="K1398" s="26">
        <f>IF($A1398="","",SUMPRODUCT(--ISNUMBER(SEARCH('Category Dictionary'!$D$5:$D$135&amp;"",$C1398)),--('Category Dictionary'!$D$5:$D$135&lt;&gt;"")))</f>
        <v/>
      </c>
      <c r="L1398" s="27">
        <f>IF($A1398="","",TRIM(IF(ISERROR(FIND(",",$C1398)),$C1398,LEFT($C1398,FIND(",",$C1398)-1))))</f>
        <v/>
      </c>
      <c r="M1398" s="28">
        <f>IF($H1398="","",DATE(YEAR($H1398),MONTH($H1398),1))</f>
        <v/>
      </c>
      <c r="N1398" s="26">
        <f>IF($H1398="","",TODAY()-$H1398)</f>
        <v/>
      </c>
      <c r="O1398" s="15" t="n"/>
      <c r="P1398" s="26">
        <f>IF($A1398="","",COUNTIFS('Audit Versions'!$A$6:$A$605,$A1398,'Audit Versions'!$L$6:$L$605,"Active"))</f>
        <v/>
      </c>
      <c r="Q1398" s="15" t="n"/>
      <c r="R1398" s="26">
        <f>IF(OR($A1398="",$P1398=0),"",MOD(N($Q1398),$P1398)+1)</f>
        <v/>
      </c>
      <c r="S1398" s="15" t="n"/>
      <c r="T1398" s="25" t="n"/>
      <c r="U1398" s="26">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Builder'!$B$12="",N($S1398)&lt;='Assignment Builder'!$B$12)))</f>
        <v/>
      </c>
      <c r="V1398" s="23" t="n"/>
    </row>
    <row r="1399">
      <c r="A1399" s="23" t="n"/>
      <c r="B1399" s="23" t="n"/>
      <c r="C1399" s="24" t="n"/>
      <c r="D1399" s="15" t="n"/>
      <c r="E1399" s="23" t="n"/>
      <c r="F1399" s="15" t="n"/>
      <c r="G1399" s="23" t="n"/>
      <c r="H1399" s="25" t="n"/>
      <c r="I1399" s="15" t="n"/>
      <c r="J1399" s="26">
        <f>IF($A1399="","",LEN($C1399)-LEN(SUBSTITUTE($C1399,",",""))+1)</f>
        <v/>
      </c>
      <c r="K1399" s="26">
        <f>IF($A1399="","",SUMPRODUCT(--ISNUMBER(SEARCH('Category Dictionary'!$D$5:$D$135&amp;"",$C1399)),--('Category Dictionary'!$D$5:$D$135&lt;&gt;"")))</f>
        <v/>
      </c>
      <c r="L1399" s="27">
        <f>IF($A1399="","",TRIM(IF(ISERROR(FIND(",",$C1399)),$C1399,LEFT($C1399,FIND(",",$C1399)-1))))</f>
        <v/>
      </c>
      <c r="M1399" s="28">
        <f>IF($H1399="","",DATE(YEAR($H1399),MONTH($H1399),1))</f>
        <v/>
      </c>
      <c r="N1399" s="26">
        <f>IF($H1399="","",TODAY()-$H1399)</f>
        <v/>
      </c>
      <c r="O1399" s="15" t="n"/>
      <c r="P1399" s="26">
        <f>IF($A1399="","",COUNTIFS('Audit Versions'!$A$6:$A$605,$A1399,'Audit Versions'!$L$6:$L$605,"Active"))</f>
        <v/>
      </c>
      <c r="Q1399" s="15" t="n"/>
      <c r="R1399" s="26">
        <f>IF(OR($A1399="",$P1399=0),"",MOD(N($Q1399),$P1399)+1)</f>
        <v/>
      </c>
      <c r="S1399" s="15" t="n"/>
      <c r="T1399" s="25" t="n"/>
      <c r="U1399" s="26">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Builder'!$B$12="",N($S1399)&lt;='Assignment Builder'!$B$12)))</f>
        <v/>
      </c>
      <c r="V1399" s="23" t="n"/>
    </row>
    <row r="1400">
      <c r="A1400" s="23" t="n"/>
      <c r="B1400" s="23" t="n"/>
      <c r="C1400" s="24" t="n"/>
      <c r="D1400" s="15" t="n"/>
      <c r="E1400" s="23" t="n"/>
      <c r="F1400" s="15" t="n"/>
      <c r="G1400" s="23" t="n"/>
      <c r="H1400" s="25" t="n"/>
      <c r="I1400" s="15" t="n"/>
      <c r="J1400" s="26">
        <f>IF($A1400="","",LEN($C1400)-LEN(SUBSTITUTE($C1400,",",""))+1)</f>
        <v/>
      </c>
      <c r="K1400" s="26">
        <f>IF($A1400="","",SUMPRODUCT(--ISNUMBER(SEARCH('Category Dictionary'!$D$5:$D$135&amp;"",$C1400)),--('Category Dictionary'!$D$5:$D$135&lt;&gt;"")))</f>
        <v/>
      </c>
      <c r="L1400" s="27">
        <f>IF($A1400="","",TRIM(IF(ISERROR(FIND(",",$C1400)),$C1400,LEFT($C1400,FIND(",",$C1400)-1))))</f>
        <v/>
      </c>
      <c r="M1400" s="28">
        <f>IF($H1400="","",DATE(YEAR($H1400),MONTH($H1400),1))</f>
        <v/>
      </c>
      <c r="N1400" s="26">
        <f>IF($H1400="","",TODAY()-$H1400)</f>
        <v/>
      </c>
      <c r="O1400" s="15" t="n"/>
      <c r="P1400" s="26">
        <f>IF($A1400="","",COUNTIFS('Audit Versions'!$A$6:$A$605,$A1400,'Audit Versions'!$L$6:$L$605,"Active"))</f>
        <v/>
      </c>
      <c r="Q1400" s="15" t="n"/>
      <c r="R1400" s="26">
        <f>IF(OR($A1400="",$P1400=0),"",MOD(N($Q1400),$P1400)+1)</f>
        <v/>
      </c>
      <c r="S1400" s="15" t="n"/>
      <c r="T1400" s="25" t="n"/>
      <c r="U1400" s="26">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Builder'!$B$12="",N($S1400)&lt;='Assignment Builder'!$B$12)))</f>
        <v/>
      </c>
      <c r="V1400" s="23" t="n"/>
    </row>
    <row r="1401">
      <c r="A1401" s="23" t="n"/>
      <c r="B1401" s="23" t="n"/>
      <c r="C1401" s="24" t="n"/>
      <c r="D1401" s="15" t="n"/>
      <c r="E1401" s="23" t="n"/>
      <c r="F1401" s="15" t="n"/>
      <c r="G1401" s="23" t="n"/>
      <c r="H1401" s="25" t="n"/>
      <c r="I1401" s="15" t="n"/>
      <c r="J1401" s="26">
        <f>IF($A1401="","",LEN($C1401)-LEN(SUBSTITUTE($C1401,",",""))+1)</f>
        <v/>
      </c>
      <c r="K1401" s="26">
        <f>IF($A1401="","",SUMPRODUCT(--ISNUMBER(SEARCH('Category Dictionary'!$D$5:$D$135&amp;"",$C1401)),--('Category Dictionary'!$D$5:$D$135&lt;&gt;"")))</f>
        <v/>
      </c>
      <c r="L1401" s="27">
        <f>IF($A1401="","",TRIM(IF(ISERROR(FIND(",",$C1401)),$C1401,LEFT($C1401,FIND(",",$C1401)-1))))</f>
        <v/>
      </c>
      <c r="M1401" s="28">
        <f>IF($H1401="","",DATE(YEAR($H1401),MONTH($H1401),1))</f>
        <v/>
      </c>
      <c r="N1401" s="26">
        <f>IF($H1401="","",TODAY()-$H1401)</f>
        <v/>
      </c>
      <c r="O1401" s="15" t="n"/>
      <c r="P1401" s="26">
        <f>IF($A1401="","",COUNTIFS('Audit Versions'!$A$6:$A$605,$A1401,'Audit Versions'!$L$6:$L$605,"Active"))</f>
        <v/>
      </c>
      <c r="Q1401" s="15" t="n"/>
      <c r="R1401" s="26">
        <f>IF(OR($A1401="",$P1401=0),"",MOD(N($Q1401),$P1401)+1)</f>
        <v/>
      </c>
      <c r="S1401" s="15" t="n"/>
      <c r="T1401" s="25" t="n"/>
      <c r="U1401" s="26">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Builder'!$B$12="",N($S1401)&lt;='Assignment Builder'!$B$12)))</f>
        <v/>
      </c>
      <c r="V1401" s="23" t="n"/>
    </row>
    <row r="1402">
      <c r="A1402" s="23" t="n"/>
      <c r="B1402" s="23" t="n"/>
      <c r="C1402" s="24" t="n"/>
      <c r="D1402" s="15" t="n"/>
      <c r="E1402" s="23" t="n"/>
      <c r="F1402" s="15" t="n"/>
      <c r="G1402" s="23" t="n"/>
      <c r="H1402" s="25" t="n"/>
      <c r="I1402" s="15" t="n"/>
      <c r="J1402" s="26">
        <f>IF($A1402="","",LEN($C1402)-LEN(SUBSTITUTE($C1402,",",""))+1)</f>
        <v/>
      </c>
      <c r="K1402" s="26">
        <f>IF($A1402="","",SUMPRODUCT(--ISNUMBER(SEARCH('Category Dictionary'!$D$5:$D$135&amp;"",$C1402)),--('Category Dictionary'!$D$5:$D$135&lt;&gt;"")))</f>
        <v/>
      </c>
      <c r="L1402" s="27">
        <f>IF($A1402="","",TRIM(IF(ISERROR(FIND(",",$C1402)),$C1402,LEFT($C1402,FIND(",",$C1402)-1))))</f>
        <v/>
      </c>
      <c r="M1402" s="28">
        <f>IF($H1402="","",DATE(YEAR($H1402),MONTH($H1402),1))</f>
        <v/>
      </c>
      <c r="N1402" s="26">
        <f>IF($H1402="","",TODAY()-$H1402)</f>
        <v/>
      </c>
      <c r="O1402" s="15" t="n"/>
      <c r="P1402" s="26">
        <f>IF($A1402="","",COUNTIFS('Audit Versions'!$A$6:$A$605,$A1402,'Audit Versions'!$L$6:$L$605,"Active"))</f>
        <v/>
      </c>
      <c r="Q1402" s="15" t="n"/>
      <c r="R1402" s="26">
        <f>IF(OR($A1402="",$P1402=0),"",MOD(N($Q1402),$P1402)+1)</f>
        <v/>
      </c>
      <c r="S1402" s="15" t="n"/>
      <c r="T1402" s="25" t="n"/>
      <c r="U1402" s="26">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Builder'!$B$12="",N($S1402)&lt;='Assignment Builder'!$B$12)))</f>
        <v/>
      </c>
      <c r="V1402" s="23" t="n"/>
    </row>
    <row r="1403">
      <c r="A1403" s="23" t="n"/>
      <c r="B1403" s="23" t="n"/>
      <c r="C1403" s="24" t="n"/>
      <c r="D1403" s="15" t="n"/>
      <c r="E1403" s="23" t="n"/>
      <c r="F1403" s="15" t="n"/>
      <c r="G1403" s="23" t="n"/>
      <c r="H1403" s="25" t="n"/>
      <c r="I1403" s="15" t="n"/>
      <c r="J1403" s="26">
        <f>IF($A1403="","",LEN($C1403)-LEN(SUBSTITUTE($C1403,",",""))+1)</f>
        <v/>
      </c>
      <c r="K1403" s="26">
        <f>IF($A1403="","",SUMPRODUCT(--ISNUMBER(SEARCH('Category Dictionary'!$D$5:$D$135&amp;"",$C1403)),--('Category Dictionary'!$D$5:$D$135&lt;&gt;"")))</f>
        <v/>
      </c>
      <c r="L1403" s="27">
        <f>IF($A1403="","",TRIM(IF(ISERROR(FIND(",",$C1403)),$C1403,LEFT($C1403,FIND(",",$C1403)-1))))</f>
        <v/>
      </c>
      <c r="M1403" s="28">
        <f>IF($H1403="","",DATE(YEAR($H1403),MONTH($H1403),1))</f>
        <v/>
      </c>
      <c r="N1403" s="26">
        <f>IF($H1403="","",TODAY()-$H1403)</f>
        <v/>
      </c>
      <c r="O1403" s="15" t="n"/>
      <c r="P1403" s="26">
        <f>IF($A1403="","",COUNTIFS('Audit Versions'!$A$6:$A$605,$A1403,'Audit Versions'!$L$6:$L$605,"Active"))</f>
        <v/>
      </c>
      <c r="Q1403" s="15" t="n"/>
      <c r="R1403" s="26">
        <f>IF(OR($A1403="",$P1403=0),"",MOD(N($Q1403),$P1403)+1)</f>
        <v/>
      </c>
      <c r="S1403" s="15" t="n"/>
      <c r="T1403" s="25" t="n"/>
      <c r="U1403" s="26">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Builder'!$B$12="",N($S1403)&lt;='Assignment Builder'!$B$12)))</f>
        <v/>
      </c>
      <c r="V1403" s="23" t="n"/>
    </row>
    <row r="1404">
      <c r="A1404" s="23" t="n"/>
      <c r="B1404" s="23" t="n"/>
      <c r="C1404" s="24" t="n"/>
      <c r="D1404" s="15" t="n"/>
      <c r="E1404" s="23" t="n"/>
      <c r="F1404" s="15" t="n"/>
      <c r="G1404" s="23" t="n"/>
      <c r="H1404" s="25" t="n"/>
      <c r="I1404" s="15" t="n"/>
      <c r="J1404" s="26">
        <f>IF($A1404="","",LEN($C1404)-LEN(SUBSTITUTE($C1404,",",""))+1)</f>
        <v/>
      </c>
      <c r="K1404" s="26">
        <f>IF($A1404="","",SUMPRODUCT(--ISNUMBER(SEARCH('Category Dictionary'!$D$5:$D$135&amp;"",$C1404)),--('Category Dictionary'!$D$5:$D$135&lt;&gt;"")))</f>
        <v/>
      </c>
      <c r="L1404" s="27">
        <f>IF($A1404="","",TRIM(IF(ISERROR(FIND(",",$C1404)),$C1404,LEFT($C1404,FIND(",",$C1404)-1))))</f>
        <v/>
      </c>
      <c r="M1404" s="28">
        <f>IF($H1404="","",DATE(YEAR($H1404),MONTH($H1404),1))</f>
        <v/>
      </c>
      <c r="N1404" s="26">
        <f>IF($H1404="","",TODAY()-$H1404)</f>
        <v/>
      </c>
      <c r="O1404" s="15" t="n"/>
      <c r="P1404" s="26">
        <f>IF($A1404="","",COUNTIFS('Audit Versions'!$A$6:$A$605,$A1404,'Audit Versions'!$L$6:$L$605,"Active"))</f>
        <v/>
      </c>
      <c r="Q1404" s="15" t="n"/>
      <c r="R1404" s="26">
        <f>IF(OR($A1404="",$P1404=0),"",MOD(N($Q1404),$P1404)+1)</f>
        <v/>
      </c>
      <c r="S1404" s="15" t="n"/>
      <c r="T1404" s="25" t="n"/>
      <c r="U1404" s="26">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Builder'!$B$12="",N($S1404)&lt;='Assignment Builder'!$B$12)))</f>
        <v/>
      </c>
      <c r="V1404" s="23" t="n"/>
    </row>
    <row r="1405">
      <c r="A1405" s="23" t="n"/>
      <c r="B1405" s="23" t="n"/>
      <c r="C1405" s="24" t="n"/>
      <c r="D1405" s="15" t="n"/>
      <c r="E1405" s="23" t="n"/>
      <c r="F1405" s="15" t="n"/>
      <c r="G1405" s="23" t="n"/>
      <c r="H1405" s="25" t="n"/>
      <c r="I1405" s="15" t="n"/>
      <c r="J1405" s="26">
        <f>IF($A1405="","",LEN($C1405)-LEN(SUBSTITUTE($C1405,",",""))+1)</f>
        <v/>
      </c>
      <c r="K1405" s="26">
        <f>IF($A1405="","",SUMPRODUCT(--ISNUMBER(SEARCH('Category Dictionary'!$D$5:$D$135&amp;"",$C1405)),--('Category Dictionary'!$D$5:$D$135&lt;&gt;"")))</f>
        <v/>
      </c>
      <c r="L1405" s="27">
        <f>IF($A1405="","",TRIM(IF(ISERROR(FIND(",",$C1405)),$C1405,LEFT($C1405,FIND(",",$C1405)-1))))</f>
        <v/>
      </c>
      <c r="M1405" s="28">
        <f>IF($H1405="","",DATE(YEAR($H1405),MONTH($H1405),1))</f>
        <v/>
      </c>
      <c r="N1405" s="26">
        <f>IF($H1405="","",TODAY()-$H1405)</f>
        <v/>
      </c>
      <c r="O1405" s="15" t="n"/>
      <c r="P1405" s="26">
        <f>IF($A1405="","",COUNTIFS('Audit Versions'!$A$6:$A$605,$A1405,'Audit Versions'!$L$6:$L$605,"Active"))</f>
        <v/>
      </c>
      <c r="Q1405" s="15" t="n"/>
      <c r="R1405" s="26">
        <f>IF(OR($A1405="",$P1405=0),"",MOD(N($Q1405),$P1405)+1)</f>
        <v/>
      </c>
      <c r="S1405" s="15" t="n"/>
      <c r="T1405" s="25" t="n"/>
      <c r="U1405" s="26">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Builder'!$B$12="",N($S1405)&lt;='Assignment Builder'!$B$12)))</f>
        <v/>
      </c>
      <c r="V1405" s="23" t="n"/>
    </row>
    <row r="1406">
      <c r="A1406" s="23" t="n"/>
      <c r="B1406" s="23" t="n"/>
      <c r="C1406" s="24" t="n"/>
      <c r="D1406" s="15" t="n"/>
      <c r="E1406" s="23" t="n"/>
      <c r="F1406" s="15" t="n"/>
      <c r="G1406" s="23" t="n"/>
      <c r="H1406" s="25" t="n"/>
      <c r="I1406" s="15" t="n"/>
      <c r="J1406" s="26">
        <f>IF($A1406="","",LEN($C1406)-LEN(SUBSTITUTE($C1406,",",""))+1)</f>
        <v/>
      </c>
      <c r="K1406" s="26">
        <f>IF($A1406="","",SUMPRODUCT(--ISNUMBER(SEARCH('Category Dictionary'!$D$5:$D$135&amp;"",$C1406)),--('Category Dictionary'!$D$5:$D$135&lt;&gt;"")))</f>
        <v/>
      </c>
      <c r="L1406" s="27">
        <f>IF($A1406="","",TRIM(IF(ISERROR(FIND(",",$C1406)),$C1406,LEFT($C1406,FIND(",",$C1406)-1))))</f>
        <v/>
      </c>
      <c r="M1406" s="28">
        <f>IF($H1406="","",DATE(YEAR($H1406),MONTH($H1406),1))</f>
        <v/>
      </c>
      <c r="N1406" s="26">
        <f>IF($H1406="","",TODAY()-$H1406)</f>
        <v/>
      </c>
      <c r="O1406" s="15" t="n"/>
      <c r="P1406" s="26">
        <f>IF($A1406="","",COUNTIFS('Audit Versions'!$A$6:$A$605,$A1406,'Audit Versions'!$L$6:$L$605,"Active"))</f>
        <v/>
      </c>
      <c r="Q1406" s="15" t="n"/>
      <c r="R1406" s="26">
        <f>IF(OR($A1406="",$P1406=0),"",MOD(N($Q1406),$P1406)+1)</f>
        <v/>
      </c>
      <c r="S1406" s="15" t="n"/>
      <c r="T1406" s="25" t="n"/>
      <c r="U1406" s="26">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Builder'!$B$12="",N($S1406)&lt;='Assignment Builder'!$B$12)))</f>
        <v/>
      </c>
      <c r="V1406" s="23" t="n"/>
    </row>
    <row r="1407">
      <c r="A1407" s="23" t="n"/>
      <c r="B1407" s="23" t="n"/>
      <c r="C1407" s="24" t="n"/>
      <c r="D1407" s="15" t="n"/>
      <c r="E1407" s="23" t="n"/>
      <c r="F1407" s="15" t="n"/>
      <c r="G1407" s="23" t="n"/>
      <c r="H1407" s="25" t="n"/>
      <c r="I1407" s="15" t="n"/>
      <c r="J1407" s="26">
        <f>IF($A1407="","",LEN($C1407)-LEN(SUBSTITUTE($C1407,",",""))+1)</f>
        <v/>
      </c>
      <c r="K1407" s="26">
        <f>IF($A1407="","",SUMPRODUCT(--ISNUMBER(SEARCH('Category Dictionary'!$D$5:$D$135&amp;"",$C1407)),--('Category Dictionary'!$D$5:$D$135&lt;&gt;"")))</f>
        <v/>
      </c>
      <c r="L1407" s="27">
        <f>IF($A1407="","",TRIM(IF(ISERROR(FIND(",",$C1407)),$C1407,LEFT($C1407,FIND(",",$C1407)-1))))</f>
        <v/>
      </c>
      <c r="M1407" s="28">
        <f>IF($H1407="","",DATE(YEAR($H1407),MONTH($H1407),1))</f>
        <v/>
      </c>
      <c r="N1407" s="26">
        <f>IF($H1407="","",TODAY()-$H1407)</f>
        <v/>
      </c>
      <c r="O1407" s="15" t="n"/>
      <c r="P1407" s="26">
        <f>IF($A1407="","",COUNTIFS('Audit Versions'!$A$6:$A$605,$A1407,'Audit Versions'!$L$6:$L$605,"Active"))</f>
        <v/>
      </c>
      <c r="Q1407" s="15" t="n"/>
      <c r="R1407" s="26">
        <f>IF(OR($A1407="",$P1407=0),"",MOD(N($Q1407),$P1407)+1)</f>
        <v/>
      </c>
      <c r="S1407" s="15" t="n"/>
      <c r="T1407" s="25" t="n"/>
      <c r="U1407" s="26">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Builder'!$B$12="",N($S1407)&lt;='Assignment Builder'!$B$12)))</f>
        <v/>
      </c>
      <c r="V1407" s="23" t="n"/>
    </row>
    <row r="1408">
      <c r="A1408" s="23" t="n"/>
      <c r="B1408" s="23" t="n"/>
      <c r="C1408" s="24" t="n"/>
      <c r="D1408" s="15" t="n"/>
      <c r="E1408" s="23" t="n"/>
      <c r="F1408" s="15" t="n"/>
      <c r="G1408" s="23" t="n"/>
      <c r="H1408" s="25" t="n"/>
      <c r="I1408" s="15" t="n"/>
      <c r="J1408" s="26">
        <f>IF($A1408="","",LEN($C1408)-LEN(SUBSTITUTE($C1408,",",""))+1)</f>
        <v/>
      </c>
      <c r="K1408" s="26">
        <f>IF($A1408="","",SUMPRODUCT(--ISNUMBER(SEARCH('Category Dictionary'!$D$5:$D$135&amp;"",$C1408)),--('Category Dictionary'!$D$5:$D$135&lt;&gt;"")))</f>
        <v/>
      </c>
      <c r="L1408" s="27">
        <f>IF($A1408="","",TRIM(IF(ISERROR(FIND(",",$C1408)),$C1408,LEFT($C1408,FIND(",",$C1408)-1))))</f>
        <v/>
      </c>
      <c r="M1408" s="28">
        <f>IF($H1408="","",DATE(YEAR($H1408),MONTH($H1408),1))</f>
        <v/>
      </c>
      <c r="N1408" s="26">
        <f>IF($H1408="","",TODAY()-$H1408)</f>
        <v/>
      </c>
      <c r="O1408" s="15" t="n"/>
      <c r="P1408" s="26">
        <f>IF($A1408="","",COUNTIFS('Audit Versions'!$A$6:$A$605,$A1408,'Audit Versions'!$L$6:$L$605,"Active"))</f>
        <v/>
      </c>
      <c r="Q1408" s="15" t="n"/>
      <c r="R1408" s="26">
        <f>IF(OR($A1408="",$P1408=0),"",MOD(N($Q1408),$P1408)+1)</f>
        <v/>
      </c>
      <c r="S1408" s="15" t="n"/>
      <c r="T1408" s="25" t="n"/>
      <c r="U1408" s="26">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Builder'!$B$12="",N($S1408)&lt;='Assignment Builder'!$B$12)))</f>
        <v/>
      </c>
      <c r="V1408" s="23" t="n"/>
    </row>
    <row r="1409">
      <c r="A1409" s="23" t="n"/>
      <c r="B1409" s="23" t="n"/>
      <c r="C1409" s="24" t="n"/>
      <c r="D1409" s="15" t="n"/>
      <c r="E1409" s="23" t="n"/>
      <c r="F1409" s="15" t="n"/>
      <c r="G1409" s="23" t="n"/>
      <c r="H1409" s="25" t="n"/>
      <c r="I1409" s="15" t="n"/>
      <c r="J1409" s="26">
        <f>IF($A1409="","",LEN($C1409)-LEN(SUBSTITUTE($C1409,",",""))+1)</f>
        <v/>
      </c>
      <c r="K1409" s="26">
        <f>IF($A1409="","",SUMPRODUCT(--ISNUMBER(SEARCH('Category Dictionary'!$D$5:$D$135&amp;"",$C1409)),--('Category Dictionary'!$D$5:$D$135&lt;&gt;"")))</f>
        <v/>
      </c>
      <c r="L1409" s="27">
        <f>IF($A1409="","",TRIM(IF(ISERROR(FIND(",",$C1409)),$C1409,LEFT($C1409,FIND(",",$C1409)-1))))</f>
        <v/>
      </c>
      <c r="M1409" s="28">
        <f>IF($H1409="","",DATE(YEAR($H1409),MONTH($H1409),1))</f>
        <v/>
      </c>
      <c r="N1409" s="26">
        <f>IF($H1409="","",TODAY()-$H1409)</f>
        <v/>
      </c>
      <c r="O1409" s="15" t="n"/>
      <c r="P1409" s="26">
        <f>IF($A1409="","",COUNTIFS('Audit Versions'!$A$6:$A$605,$A1409,'Audit Versions'!$L$6:$L$605,"Active"))</f>
        <v/>
      </c>
      <c r="Q1409" s="15" t="n"/>
      <c r="R1409" s="26">
        <f>IF(OR($A1409="",$P1409=0),"",MOD(N($Q1409),$P1409)+1)</f>
        <v/>
      </c>
      <c r="S1409" s="15" t="n"/>
      <c r="T1409" s="25" t="n"/>
      <c r="U1409" s="26">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Builder'!$B$12="",N($S1409)&lt;='Assignment Builder'!$B$12)))</f>
        <v/>
      </c>
      <c r="V1409" s="23" t="n"/>
    </row>
    <row r="1410">
      <c r="A1410" s="23" t="n"/>
      <c r="B1410" s="23" t="n"/>
      <c r="C1410" s="24" t="n"/>
      <c r="D1410" s="15" t="n"/>
      <c r="E1410" s="23" t="n"/>
      <c r="F1410" s="15" t="n"/>
      <c r="G1410" s="23" t="n"/>
      <c r="H1410" s="25" t="n"/>
      <c r="I1410" s="15" t="n"/>
      <c r="J1410" s="26">
        <f>IF($A1410="","",LEN($C1410)-LEN(SUBSTITUTE($C1410,",",""))+1)</f>
        <v/>
      </c>
      <c r="K1410" s="26">
        <f>IF($A1410="","",SUMPRODUCT(--ISNUMBER(SEARCH('Category Dictionary'!$D$5:$D$135&amp;"",$C1410)),--('Category Dictionary'!$D$5:$D$135&lt;&gt;"")))</f>
        <v/>
      </c>
      <c r="L1410" s="27">
        <f>IF($A1410="","",TRIM(IF(ISERROR(FIND(",",$C1410)),$C1410,LEFT($C1410,FIND(",",$C1410)-1))))</f>
        <v/>
      </c>
      <c r="M1410" s="28">
        <f>IF($H1410="","",DATE(YEAR($H1410),MONTH($H1410),1))</f>
        <v/>
      </c>
      <c r="N1410" s="26">
        <f>IF($H1410="","",TODAY()-$H1410)</f>
        <v/>
      </c>
      <c r="O1410" s="15" t="n"/>
      <c r="P1410" s="26">
        <f>IF($A1410="","",COUNTIFS('Audit Versions'!$A$6:$A$605,$A1410,'Audit Versions'!$L$6:$L$605,"Active"))</f>
        <v/>
      </c>
      <c r="Q1410" s="15" t="n"/>
      <c r="R1410" s="26">
        <f>IF(OR($A1410="",$P1410=0),"",MOD(N($Q1410),$P1410)+1)</f>
        <v/>
      </c>
      <c r="S1410" s="15" t="n"/>
      <c r="T1410" s="25" t="n"/>
      <c r="U1410" s="26">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Builder'!$B$12="",N($S1410)&lt;='Assignment Builder'!$B$12)))</f>
        <v/>
      </c>
      <c r="V1410" s="23" t="n"/>
    </row>
    <row r="1411">
      <c r="A1411" s="23" t="n"/>
      <c r="B1411" s="23" t="n"/>
      <c r="C1411" s="24" t="n"/>
      <c r="D1411" s="15" t="n"/>
      <c r="E1411" s="23" t="n"/>
      <c r="F1411" s="15" t="n"/>
      <c r="G1411" s="23" t="n"/>
      <c r="H1411" s="25" t="n"/>
      <c r="I1411" s="15" t="n"/>
      <c r="J1411" s="26">
        <f>IF($A1411="","",LEN($C1411)-LEN(SUBSTITUTE($C1411,",",""))+1)</f>
        <v/>
      </c>
      <c r="K1411" s="26">
        <f>IF($A1411="","",SUMPRODUCT(--ISNUMBER(SEARCH('Category Dictionary'!$D$5:$D$135&amp;"",$C1411)),--('Category Dictionary'!$D$5:$D$135&lt;&gt;"")))</f>
        <v/>
      </c>
      <c r="L1411" s="27">
        <f>IF($A1411="","",TRIM(IF(ISERROR(FIND(",",$C1411)),$C1411,LEFT($C1411,FIND(",",$C1411)-1))))</f>
        <v/>
      </c>
      <c r="M1411" s="28">
        <f>IF($H1411="","",DATE(YEAR($H1411),MONTH($H1411),1))</f>
        <v/>
      </c>
      <c r="N1411" s="26">
        <f>IF($H1411="","",TODAY()-$H1411)</f>
        <v/>
      </c>
      <c r="O1411" s="15" t="n"/>
      <c r="P1411" s="26">
        <f>IF($A1411="","",COUNTIFS('Audit Versions'!$A$6:$A$605,$A1411,'Audit Versions'!$L$6:$L$605,"Active"))</f>
        <v/>
      </c>
      <c r="Q1411" s="15" t="n"/>
      <c r="R1411" s="26">
        <f>IF(OR($A1411="",$P1411=0),"",MOD(N($Q1411),$P1411)+1)</f>
        <v/>
      </c>
      <c r="S1411" s="15" t="n"/>
      <c r="T1411" s="25" t="n"/>
      <c r="U1411" s="26">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Builder'!$B$12="",N($S1411)&lt;='Assignment Builder'!$B$12)))</f>
        <v/>
      </c>
      <c r="V1411" s="23" t="n"/>
    </row>
    <row r="1412">
      <c r="A1412" s="23" t="n"/>
      <c r="B1412" s="23" t="n"/>
      <c r="C1412" s="24" t="n"/>
      <c r="D1412" s="15" t="n"/>
      <c r="E1412" s="23" t="n"/>
      <c r="F1412" s="15" t="n"/>
      <c r="G1412" s="23" t="n"/>
      <c r="H1412" s="25" t="n"/>
      <c r="I1412" s="15" t="n"/>
      <c r="J1412" s="26">
        <f>IF($A1412="","",LEN($C1412)-LEN(SUBSTITUTE($C1412,",",""))+1)</f>
        <v/>
      </c>
      <c r="K1412" s="26">
        <f>IF($A1412="","",SUMPRODUCT(--ISNUMBER(SEARCH('Category Dictionary'!$D$5:$D$135&amp;"",$C1412)),--('Category Dictionary'!$D$5:$D$135&lt;&gt;"")))</f>
        <v/>
      </c>
      <c r="L1412" s="27">
        <f>IF($A1412="","",TRIM(IF(ISERROR(FIND(",",$C1412)),$C1412,LEFT($C1412,FIND(",",$C1412)-1))))</f>
        <v/>
      </c>
      <c r="M1412" s="28">
        <f>IF($H1412="","",DATE(YEAR($H1412),MONTH($H1412),1))</f>
        <v/>
      </c>
      <c r="N1412" s="26">
        <f>IF($H1412="","",TODAY()-$H1412)</f>
        <v/>
      </c>
      <c r="O1412" s="15" t="n"/>
      <c r="P1412" s="26">
        <f>IF($A1412="","",COUNTIFS('Audit Versions'!$A$6:$A$605,$A1412,'Audit Versions'!$L$6:$L$605,"Active"))</f>
        <v/>
      </c>
      <c r="Q1412" s="15" t="n"/>
      <c r="R1412" s="26">
        <f>IF(OR($A1412="",$P1412=0),"",MOD(N($Q1412),$P1412)+1)</f>
        <v/>
      </c>
      <c r="S1412" s="15" t="n"/>
      <c r="T1412" s="25" t="n"/>
      <c r="U1412" s="26">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Builder'!$B$12="",N($S1412)&lt;='Assignment Builder'!$B$12)))</f>
        <v/>
      </c>
      <c r="V1412" s="23" t="n"/>
    </row>
    <row r="1413">
      <c r="A1413" s="23" t="n"/>
      <c r="B1413" s="23" t="n"/>
      <c r="C1413" s="24" t="n"/>
      <c r="D1413" s="15" t="n"/>
      <c r="E1413" s="23" t="n"/>
      <c r="F1413" s="15" t="n"/>
      <c r="G1413" s="23" t="n"/>
      <c r="H1413" s="25" t="n"/>
      <c r="I1413" s="15" t="n"/>
      <c r="J1413" s="26">
        <f>IF($A1413="","",LEN($C1413)-LEN(SUBSTITUTE($C1413,",",""))+1)</f>
        <v/>
      </c>
      <c r="K1413" s="26">
        <f>IF($A1413="","",SUMPRODUCT(--ISNUMBER(SEARCH('Category Dictionary'!$D$5:$D$135&amp;"",$C1413)),--('Category Dictionary'!$D$5:$D$135&lt;&gt;"")))</f>
        <v/>
      </c>
      <c r="L1413" s="27">
        <f>IF($A1413="","",TRIM(IF(ISERROR(FIND(",",$C1413)),$C1413,LEFT($C1413,FIND(",",$C1413)-1))))</f>
        <v/>
      </c>
      <c r="M1413" s="28">
        <f>IF($H1413="","",DATE(YEAR($H1413),MONTH($H1413),1))</f>
        <v/>
      </c>
      <c r="N1413" s="26">
        <f>IF($H1413="","",TODAY()-$H1413)</f>
        <v/>
      </c>
      <c r="O1413" s="15" t="n"/>
      <c r="P1413" s="26">
        <f>IF($A1413="","",COUNTIFS('Audit Versions'!$A$6:$A$605,$A1413,'Audit Versions'!$L$6:$L$605,"Active"))</f>
        <v/>
      </c>
      <c r="Q1413" s="15" t="n"/>
      <c r="R1413" s="26">
        <f>IF(OR($A1413="",$P1413=0),"",MOD(N($Q1413),$P1413)+1)</f>
        <v/>
      </c>
      <c r="S1413" s="15" t="n"/>
      <c r="T1413" s="25" t="n"/>
      <c r="U1413" s="26">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Builder'!$B$12="",N($S1413)&lt;='Assignment Builder'!$B$12)))</f>
        <v/>
      </c>
      <c r="V1413" s="23" t="n"/>
    </row>
    <row r="1414">
      <c r="A1414" s="23" t="n"/>
      <c r="B1414" s="23" t="n"/>
      <c r="C1414" s="24" t="n"/>
      <c r="D1414" s="15" t="n"/>
      <c r="E1414" s="23" t="n"/>
      <c r="F1414" s="15" t="n"/>
      <c r="G1414" s="23" t="n"/>
      <c r="H1414" s="25" t="n"/>
      <c r="I1414" s="15" t="n"/>
      <c r="J1414" s="26">
        <f>IF($A1414="","",LEN($C1414)-LEN(SUBSTITUTE($C1414,",",""))+1)</f>
        <v/>
      </c>
      <c r="K1414" s="26">
        <f>IF($A1414="","",SUMPRODUCT(--ISNUMBER(SEARCH('Category Dictionary'!$D$5:$D$135&amp;"",$C1414)),--('Category Dictionary'!$D$5:$D$135&lt;&gt;"")))</f>
        <v/>
      </c>
      <c r="L1414" s="27">
        <f>IF($A1414="","",TRIM(IF(ISERROR(FIND(",",$C1414)),$C1414,LEFT($C1414,FIND(",",$C1414)-1))))</f>
        <v/>
      </c>
      <c r="M1414" s="28">
        <f>IF($H1414="","",DATE(YEAR($H1414),MONTH($H1414),1))</f>
        <v/>
      </c>
      <c r="N1414" s="26">
        <f>IF($H1414="","",TODAY()-$H1414)</f>
        <v/>
      </c>
      <c r="O1414" s="15" t="n"/>
      <c r="P1414" s="26">
        <f>IF($A1414="","",COUNTIFS('Audit Versions'!$A$6:$A$605,$A1414,'Audit Versions'!$L$6:$L$605,"Active"))</f>
        <v/>
      </c>
      <c r="Q1414" s="15" t="n"/>
      <c r="R1414" s="26">
        <f>IF(OR($A1414="",$P1414=0),"",MOD(N($Q1414),$P1414)+1)</f>
        <v/>
      </c>
      <c r="S1414" s="15" t="n"/>
      <c r="T1414" s="25" t="n"/>
      <c r="U1414" s="26">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Builder'!$B$12="",N($S1414)&lt;='Assignment Builder'!$B$12)))</f>
        <v/>
      </c>
      <c r="V1414" s="23" t="n"/>
    </row>
    <row r="1415">
      <c r="A1415" s="23" t="n"/>
      <c r="B1415" s="23" t="n"/>
      <c r="C1415" s="24" t="n"/>
      <c r="D1415" s="15" t="n"/>
      <c r="E1415" s="23" t="n"/>
      <c r="F1415" s="15" t="n"/>
      <c r="G1415" s="23" t="n"/>
      <c r="H1415" s="25" t="n"/>
      <c r="I1415" s="15" t="n"/>
      <c r="J1415" s="26">
        <f>IF($A1415="","",LEN($C1415)-LEN(SUBSTITUTE($C1415,",",""))+1)</f>
        <v/>
      </c>
      <c r="K1415" s="26">
        <f>IF($A1415="","",SUMPRODUCT(--ISNUMBER(SEARCH('Category Dictionary'!$D$5:$D$135&amp;"",$C1415)),--('Category Dictionary'!$D$5:$D$135&lt;&gt;"")))</f>
        <v/>
      </c>
      <c r="L1415" s="27">
        <f>IF($A1415="","",TRIM(IF(ISERROR(FIND(",",$C1415)),$C1415,LEFT($C1415,FIND(",",$C1415)-1))))</f>
        <v/>
      </c>
      <c r="M1415" s="28">
        <f>IF($H1415="","",DATE(YEAR($H1415),MONTH($H1415),1))</f>
        <v/>
      </c>
      <c r="N1415" s="26">
        <f>IF($H1415="","",TODAY()-$H1415)</f>
        <v/>
      </c>
      <c r="O1415" s="15" t="n"/>
      <c r="P1415" s="26">
        <f>IF($A1415="","",COUNTIFS('Audit Versions'!$A$6:$A$605,$A1415,'Audit Versions'!$L$6:$L$605,"Active"))</f>
        <v/>
      </c>
      <c r="Q1415" s="15" t="n"/>
      <c r="R1415" s="26">
        <f>IF(OR($A1415="",$P1415=0),"",MOD(N($Q1415),$P1415)+1)</f>
        <v/>
      </c>
      <c r="S1415" s="15" t="n"/>
      <c r="T1415" s="25" t="n"/>
      <c r="U1415" s="26">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Builder'!$B$12="",N($S1415)&lt;='Assignment Builder'!$B$12)))</f>
        <v/>
      </c>
      <c r="V1415" s="23" t="n"/>
    </row>
    <row r="1416">
      <c r="A1416" s="23" t="n"/>
      <c r="B1416" s="23" t="n"/>
      <c r="C1416" s="24" t="n"/>
      <c r="D1416" s="15" t="n"/>
      <c r="E1416" s="23" t="n"/>
      <c r="F1416" s="15" t="n"/>
      <c r="G1416" s="23" t="n"/>
      <c r="H1416" s="25" t="n"/>
      <c r="I1416" s="15" t="n"/>
      <c r="J1416" s="26">
        <f>IF($A1416="","",LEN($C1416)-LEN(SUBSTITUTE($C1416,",",""))+1)</f>
        <v/>
      </c>
      <c r="K1416" s="26">
        <f>IF($A1416="","",SUMPRODUCT(--ISNUMBER(SEARCH('Category Dictionary'!$D$5:$D$135&amp;"",$C1416)),--('Category Dictionary'!$D$5:$D$135&lt;&gt;"")))</f>
        <v/>
      </c>
      <c r="L1416" s="27">
        <f>IF($A1416="","",TRIM(IF(ISERROR(FIND(",",$C1416)),$C1416,LEFT($C1416,FIND(",",$C1416)-1))))</f>
        <v/>
      </c>
      <c r="M1416" s="28">
        <f>IF($H1416="","",DATE(YEAR($H1416),MONTH($H1416),1))</f>
        <v/>
      </c>
      <c r="N1416" s="26">
        <f>IF($H1416="","",TODAY()-$H1416)</f>
        <v/>
      </c>
      <c r="O1416" s="15" t="n"/>
      <c r="P1416" s="26">
        <f>IF($A1416="","",COUNTIFS('Audit Versions'!$A$6:$A$605,$A1416,'Audit Versions'!$L$6:$L$605,"Active"))</f>
        <v/>
      </c>
      <c r="Q1416" s="15" t="n"/>
      <c r="R1416" s="26">
        <f>IF(OR($A1416="",$P1416=0),"",MOD(N($Q1416),$P1416)+1)</f>
        <v/>
      </c>
      <c r="S1416" s="15" t="n"/>
      <c r="T1416" s="25" t="n"/>
      <c r="U1416" s="26">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Builder'!$B$12="",N($S1416)&lt;='Assignment Builder'!$B$12)))</f>
        <v/>
      </c>
      <c r="V1416" s="23" t="n"/>
    </row>
    <row r="1417">
      <c r="A1417" s="23" t="n"/>
      <c r="B1417" s="23" t="n"/>
      <c r="C1417" s="24" t="n"/>
      <c r="D1417" s="15" t="n"/>
      <c r="E1417" s="23" t="n"/>
      <c r="F1417" s="15" t="n"/>
      <c r="G1417" s="23" t="n"/>
      <c r="H1417" s="25" t="n"/>
      <c r="I1417" s="15" t="n"/>
      <c r="J1417" s="26">
        <f>IF($A1417="","",LEN($C1417)-LEN(SUBSTITUTE($C1417,",",""))+1)</f>
        <v/>
      </c>
      <c r="K1417" s="26">
        <f>IF($A1417="","",SUMPRODUCT(--ISNUMBER(SEARCH('Category Dictionary'!$D$5:$D$135&amp;"",$C1417)),--('Category Dictionary'!$D$5:$D$135&lt;&gt;"")))</f>
        <v/>
      </c>
      <c r="L1417" s="27">
        <f>IF($A1417="","",TRIM(IF(ISERROR(FIND(",",$C1417)),$C1417,LEFT($C1417,FIND(",",$C1417)-1))))</f>
        <v/>
      </c>
      <c r="M1417" s="28">
        <f>IF($H1417="","",DATE(YEAR($H1417),MONTH($H1417),1))</f>
        <v/>
      </c>
      <c r="N1417" s="26">
        <f>IF($H1417="","",TODAY()-$H1417)</f>
        <v/>
      </c>
      <c r="O1417" s="15" t="n"/>
      <c r="P1417" s="26">
        <f>IF($A1417="","",COUNTIFS('Audit Versions'!$A$6:$A$605,$A1417,'Audit Versions'!$L$6:$L$605,"Active"))</f>
        <v/>
      </c>
      <c r="Q1417" s="15" t="n"/>
      <c r="R1417" s="26">
        <f>IF(OR($A1417="",$P1417=0),"",MOD(N($Q1417),$P1417)+1)</f>
        <v/>
      </c>
      <c r="S1417" s="15" t="n"/>
      <c r="T1417" s="25" t="n"/>
      <c r="U1417" s="26">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Builder'!$B$12="",N($S1417)&lt;='Assignment Builder'!$B$12)))</f>
        <v/>
      </c>
      <c r="V1417" s="23" t="n"/>
    </row>
    <row r="1418">
      <c r="A1418" s="23" t="n"/>
      <c r="B1418" s="23" t="n"/>
      <c r="C1418" s="24" t="n"/>
      <c r="D1418" s="15" t="n"/>
      <c r="E1418" s="23" t="n"/>
      <c r="F1418" s="15" t="n"/>
      <c r="G1418" s="23" t="n"/>
      <c r="H1418" s="25" t="n"/>
      <c r="I1418" s="15" t="n"/>
      <c r="J1418" s="26">
        <f>IF($A1418="","",LEN($C1418)-LEN(SUBSTITUTE($C1418,",",""))+1)</f>
        <v/>
      </c>
      <c r="K1418" s="26">
        <f>IF($A1418="","",SUMPRODUCT(--ISNUMBER(SEARCH('Category Dictionary'!$D$5:$D$135&amp;"",$C1418)),--('Category Dictionary'!$D$5:$D$135&lt;&gt;"")))</f>
        <v/>
      </c>
      <c r="L1418" s="27">
        <f>IF($A1418="","",TRIM(IF(ISERROR(FIND(",",$C1418)),$C1418,LEFT($C1418,FIND(",",$C1418)-1))))</f>
        <v/>
      </c>
      <c r="M1418" s="28">
        <f>IF($H1418="","",DATE(YEAR($H1418),MONTH($H1418),1))</f>
        <v/>
      </c>
      <c r="N1418" s="26">
        <f>IF($H1418="","",TODAY()-$H1418)</f>
        <v/>
      </c>
      <c r="O1418" s="15" t="n"/>
      <c r="P1418" s="26">
        <f>IF($A1418="","",COUNTIFS('Audit Versions'!$A$6:$A$605,$A1418,'Audit Versions'!$L$6:$L$605,"Active"))</f>
        <v/>
      </c>
      <c r="Q1418" s="15" t="n"/>
      <c r="R1418" s="26">
        <f>IF(OR($A1418="",$P1418=0),"",MOD(N($Q1418),$P1418)+1)</f>
        <v/>
      </c>
      <c r="S1418" s="15" t="n"/>
      <c r="T1418" s="25" t="n"/>
      <c r="U1418" s="26">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Builder'!$B$12="",N($S1418)&lt;='Assignment Builder'!$B$12)))</f>
        <v/>
      </c>
      <c r="V1418" s="23" t="n"/>
    </row>
    <row r="1419">
      <c r="A1419" s="23" t="n"/>
      <c r="B1419" s="23" t="n"/>
      <c r="C1419" s="24" t="n"/>
      <c r="D1419" s="15" t="n"/>
      <c r="E1419" s="23" t="n"/>
      <c r="F1419" s="15" t="n"/>
      <c r="G1419" s="23" t="n"/>
      <c r="H1419" s="25" t="n"/>
      <c r="I1419" s="15" t="n"/>
      <c r="J1419" s="26">
        <f>IF($A1419="","",LEN($C1419)-LEN(SUBSTITUTE($C1419,",",""))+1)</f>
        <v/>
      </c>
      <c r="K1419" s="26">
        <f>IF($A1419="","",SUMPRODUCT(--ISNUMBER(SEARCH('Category Dictionary'!$D$5:$D$135&amp;"",$C1419)),--('Category Dictionary'!$D$5:$D$135&lt;&gt;"")))</f>
        <v/>
      </c>
      <c r="L1419" s="27">
        <f>IF($A1419="","",TRIM(IF(ISERROR(FIND(",",$C1419)),$C1419,LEFT($C1419,FIND(",",$C1419)-1))))</f>
        <v/>
      </c>
      <c r="M1419" s="28">
        <f>IF($H1419="","",DATE(YEAR($H1419),MONTH($H1419),1))</f>
        <v/>
      </c>
      <c r="N1419" s="26">
        <f>IF($H1419="","",TODAY()-$H1419)</f>
        <v/>
      </c>
      <c r="O1419" s="15" t="n"/>
      <c r="P1419" s="26">
        <f>IF($A1419="","",COUNTIFS('Audit Versions'!$A$6:$A$605,$A1419,'Audit Versions'!$L$6:$L$605,"Active"))</f>
        <v/>
      </c>
      <c r="Q1419" s="15" t="n"/>
      <c r="R1419" s="26">
        <f>IF(OR($A1419="",$P1419=0),"",MOD(N($Q1419),$P1419)+1)</f>
        <v/>
      </c>
      <c r="S1419" s="15" t="n"/>
      <c r="T1419" s="25" t="n"/>
      <c r="U1419" s="26">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Builder'!$B$12="",N($S1419)&lt;='Assignment Builder'!$B$12)))</f>
        <v/>
      </c>
      <c r="V1419" s="23" t="n"/>
    </row>
    <row r="1420">
      <c r="A1420" s="23" t="n"/>
      <c r="B1420" s="23" t="n"/>
      <c r="C1420" s="24" t="n"/>
      <c r="D1420" s="15" t="n"/>
      <c r="E1420" s="23" t="n"/>
      <c r="F1420" s="15" t="n"/>
      <c r="G1420" s="23" t="n"/>
      <c r="H1420" s="25" t="n"/>
      <c r="I1420" s="15" t="n"/>
      <c r="J1420" s="26">
        <f>IF($A1420="","",LEN($C1420)-LEN(SUBSTITUTE($C1420,",",""))+1)</f>
        <v/>
      </c>
      <c r="K1420" s="26">
        <f>IF($A1420="","",SUMPRODUCT(--ISNUMBER(SEARCH('Category Dictionary'!$D$5:$D$135&amp;"",$C1420)),--('Category Dictionary'!$D$5:$D$135&lt;&gt;"")))</f>
        <v/>
      </c>
      <c r="L1420" s="27">
        <f>IF($A1420="","",TRIM(IF(ISERROR(FIND(",",$C1420)),$C1420,LEFT($C1420,FIND(",",$C1420)-1))))</f>
        <v/>
      </c>
      <c r="M1420" s="28">
        <f>IF($H1420="","",DATE(YEAR($H1420),MONTH($H1420),1))</f>
        <v/>
      </c>
      <c r="N1420" s="26">
        <f>IF($H1420="","",TODAY()-$H1420)</f>
        <v/>
      </c>
      <c r="O1420" s="15" t="n"/>
      <c r="P1420" s="26">
        <f>IF($A1420="","",COUNTIFS('Audit Versions'!$A$6:$A$605,$A1420,'Audit Versions'!$L$6:$L$605,"Active"))</f>
        <v/>
      </c>
      <c r="Q1420" s="15" t="n"/>
      <c r="R1420" s="26">
        <f>IF(OR($A1420="",$P1420=0),"",MOD(N($Q1420),$P1420)+1)</f>
        <v/>
      </c>
      <c r="S1420" s="15" t="n"/>
      <c r="T1420" s="25" t="n"/>
      <c r="U1420" s="26">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Builder'!$B$12="",N($S1420)&lt;='Assignment Builder'!$B$12)))</f>
        <v/>
      </c>
      <c r="V1420" s="23" t="n"/>
    </row>
    <row r="1421">
      <c r="A1421" s="23" t="n"/>
      <c r="B1421" s="23" t="n"/>
      <c r="C1421" s="24" t="n"/>
      <c r="D1421" s="15" t="n"/>
      <c r="E1421" s="23" t="n"/>
      <c r="F1421" s="15" t="n"/>
      <c r="G1421" s="23" t="n"/>
      <c r="H1421" s="25" t="n"/>
      <c r="I1421" s="15" t="n"/>
      <c r="J1421" s="26">
        <f>IF($A1421="","",LEN($C1421)-LEN(SUBSTITUTE($C1421,",",""))+1)</f>
        <v/>
      </c>
      <c r="K1421" s="26">
        <f>IF($A1421="","",SUMPRODUCT(--ISNUMBER(SEARCH('Category Dictionary'!$D$5:$D$135&amp;"",$C1421)),--('Category Dictionary'!$D$5:$D$135&lt;&gt;"")))</f>
        <v/>
      </c>
      <c r="L1421" s="27">
        <f>IF($A1421="","",TRIM(IF(ISERROR(FIND(",",$C1421)),$C1421,LEFT($C1421,FIND(",",$C1421)-1))))</f>
        <v/>
      </c>
      <c r="M1421" s="28">
        <f>IF($H1421="","",DATE(YEAR($H1421),MONTH($H1421),1))</f>
        <v/>
      </c>
      <c r="N1421" s="26">
        <f>IF($H1421="","",TODAY()-$H1421)</f>
        <v/>
      </c>
      <c r="O1421" s="15" t="n"/>
      <c r="P1421" s="26">
        <f>IF($A1421="","",COUNTIFS('Audit Versions'!$A$6:$A$605,$A1421,'Audit Versions'!$L$6:$L$605,"Active"))</f>
        <v/>
      </c>
      <c r="Q1421" s="15" t="n"/>
      <c r="R1421" s="26">
        <f>IF(OR($A1421="",$P1421=0),"",MOD(N($Q1421),$P1421)+1)</f>
        <v/>
      </c>
      <c r="S1421" s="15" t="n"/>
      <c r="T1421" s="25" t="n"/>
      <c r="U1421" s="26">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Builder'!$B$12="",N($S1421)&lt;='Assignment Builder'!$B$12)))</f>
        <v/>
      </c>
      <c r="V1421" s="23" t="n"/>
    </row>
    <row r="1422">
      <c r="A1422" s="23" t="n"/>
      <c r="B1422" s="23" t="n"/>
      <c r="C1422" s="24" t="n"/>
      <c r="D1422" s="15" t="n"/>
      <c r="E1422" s="23" t="n"/>
      <c r="F1422" s="15" t="n"/>
      <c r="G1422" s="23" t="n"/>
      <c r="H1422" s="25" t="n"/>
      <c r="I1422" s="15" t="n"/>
      <c r="J1422" s="26">
        <f>IF($A1422="","",LEN($C1422)-LEN(SUBSTITUTE($C1422,",",""))+1)</f>
        <v/>
      </c>
      <c r="K1422" s="26">
        <f>IF($A1422="","",SUMPRODUCT(--ISNUMBER(SEARCH('Category Dictionary'!$D$5:$D$135&amp;"",$C1422)),--('Category Dictionary'!$D$5:$D$135&lt;&gt;"")))</f>
        <v/>
      </c>
      <c r="L1422" s="27">
        <f>IF($A1422="","",TRIM(IF(ISERROR(FIND(",",$C1422)),$C1422,LEFT($C1422,FIND(",",$C1422)-1))))</f>
        <v/>
      </c>
      <c r="M1422" s="28">
        <f>IF($H1422="","",DATE(YEAR($H1422),MONTH($H1422),1))</f>
        <v/>
      </c>
      <c r="N1422" s="26">
        <f>IF($H1422="","",TODAY()-$H1422)</f>
        <v/>
      </c>
      <c r="O1422" s="15" t="n"/>
      <c r="P1422" s="26">
        <f>IF($A1422="","",COUNTIFS('Audit Versions'!$A$6:$A$605,$A1422,'Audit Versions'!$L$6:$L$605,"Active"))</f>
        <v/>
      </c>
      <c r="Q1422" s="15" t="n"/>
      <c r="R1422" s="26">
        <f>IF(OR($A1422="",$P1422=0),"",MOD(N($Q1422),$P1422)+1)</f>
        <v/>
      </c>
      <c r="S1422" s="15" t="n"/>
      <c r="T1422" s="25" t="n"/>
      <c r="U1422" s="26">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Builder'!$B$12="",N($S1422)&lt;='Assignment Builder'!$B$12)))</f>
        <v/>
      </c>
      <c r="V1422" s="23" t="n"/>
    </row>
    <row r="1423">
      <c r="A1423" s="23" t="n"/>
      <c r="B1423" s="23" t="n"/>
      <c r="C1423" s="24" t="n"/>
      <c r="D1423" s="15" t="n"/>
      <c r="E1423" s="23" t="n"/>
      <c r="F1423" s="15" t="n"/>
      <c r="G1423" s="23" t="n"/>
      <c r="H1423" s="25" t="n"/>
      <c r="I1423" s="15" t="n"/>
      <c r="J1423" s="26">
        <f>IF($A1423="","",LEN($C1423)-LEN(SUBSTITUTE($C1423,",",""))+1)</f>
        <v/>
      </c>
      <c r="K1423" s="26">
        <f>IF($A1423="","",SUMPRODUCT(--ISNUMBER(SEARCH('Category Dictionary'!$D$5:$D$135&amp;"",$C1423)),--('Category Dictionary'!$D$5:$D$135&lt;&gt;"")))</f>
        <v/>
      </c>
      <c r="L1423" s="27">
        <f>IF($A1423="","",TRIM(IF(ISERROR(FIND(",",$C1423)),$C1423,LEFT($C1423,FIND(",",$C1423)-1))))</f>
        <v/>
      </c>
      <c r="M1423" s="28">
        <f>IF($H1423="","",DATE(YEAR($H1423),MONTH($H1423),1))</f>
        <v/>
      </c>
      <c r="N1423" s="26">
        <f>IF($H1423="","",TODAY()-$H1423)</f>
        <v/>
      </c>
      <c r="O1423" s="15" t="n"/>
      <c r="P1423" s="26">
        <f>IF($A1423="","",COUNTIFS('Audit Versions'!$A$6:$A$605,$A1423,'Audit Versions'!$L$6:$L$605,"Active"))</f>
        <v/>
      </c>
      <c r="Q1423" s="15" t="n"/>
      <c r="R1423" s="26">
        <f>IF(OR($A1423="",$P1423=0),"",MOD(N($Q1423),$P1423)+1)</f>
        <v/>
      </c>
      <c r="S1423" s="15" t="n"/>
      <c r="T1423" s="25" t="n"/>
      <c r="U1423" s="26">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Builder'!$B$12="",N($S1423)&lt;='Assignment Builder'!$B$12)))</f>
        <v/>
      </c>
      <c r="V1423" s="23" t="n"/>
    </row>
    <row r="1424">
      <c r="A1424" s="23" t="n"/>
      <c r="B1424" s="23" t="n"/>
      <c r="C1424" s="24" t="n"/>
      <c r="D1424" s="15" t="n"/>
      <c r="E1424" s="23" t="n"/>
      <c r="F1424" s="15" t="n"/>
      <c r="G1424" s="23" t="n"/>
      <c r="H1424" s="25" t="n"/>
      <c r="I1424" s="15" t="n"/>
      <c r="J1424" s="26">
        <f>IF($A1424="","",LEN($C1424)-LEN(SUBSTITUTE($C1424,",",""))+1)</f>
        <v/>
      </c>
      <c r="K1424" s="26">
        <f>IF($A1424="","",SUMPRODUCT(--ISNUMBER(SEARCH('Category Dictionary'!$D$5:$D$135&amp;"",$C1424)),--('Category Dictionary'!$D$5:$D$135&lt;&gt;"")))</f>
        <v/>
      </c>
      <c r="L1424" s="27">
        <f>IF($A1424="","",TRIM(IF(ISERROR(FIND(",",$C1424)),$C1424,LEFT($C1424,FIND(",",$C1424)-1))))</f>
        <v/>
      </c>
      <c r="M1424" s="28">
        <f>IF($H1424="","",DATE(YEAR($H1424),MONTH($H1424),1))</f>
        <v/>
      </c>
      <c r="N1424" s="26">
        <f>IF($H1424="","",TODAY()-$H1424)</f>
        <v/>
      </c>
      <c r="O1424" s="15" t="n"/>
      <c r="P1424" s="26">
        <f>IF($A1424="","",COUNTIFS('Audit Versions'!$A$6:$A$605,$A1424,'Audit Versions'!$L$6:$L$605,"Active"))</f>
        <v/>
      </c>
      <c r="Q1424" s="15" t="n"/>
      <c r="R1424" s="26">
        <f>IF(OR($A1424="",$P1424=0),"",MOD(N($Q1424),$P1424)+1)</f>
        <v/>
      </c>
      <c r="S1424" s="15" t="n"/>
      <c r="T1424" s="25" t="n"/>
      <c r="U1424" s="26">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Builder'!$B$12="",N($S1424)&lt;='Assignment Builder'!$B$12)))</f>
        <v/>
      </c>
      <c r="V1424" s="23" t="n"/>
    </row>
    <row r="1425">
      <c r="A1425" s="23" t="n"/>
      <c r="B1425" s="23" t="n"/>
      <c r="C1425" s="24" t="n"/>
      <c r="D1425" s="15" t="n"/>
      <c r="E1425" s="23" t="n"/>
      <c r="F1425" s="15" t="n"/>
      <c r="G1425" s="23" t="n"/>
      <c r="H1425" s="25" t="n"/>
      <c r="I1425" s="15" t="n"/>
      <c r="J1425" s="26">
        <f>IF($A1425="","",LEN($C1425)-LEN(SUBSTITUTE($C1425,",",""))+1)</f>
        <v/>
      </c>
      <c r="K1425" s="26">
        <f>IF($A1425="","",SUMPRODUCT(--ISNUMBER(SEARCH('Category Dictionary'!$D$5:$D$135&amp;"",$C1425)),--('Category Dictionary'!$D$5:$D$135&lt;&gt;"")))</f>
        <v/>
      </c>
      <c r="L1425" s="27">
        <f>IF($A1425="","",TRIM(IF(ISERROR(FIND(",",$C1425)),$C1425,LEFT($C1425,FIND(",",$C1425)-1))))</f>
        <v/>
      </c>
      <c r="M1425" s="28">
        <f>IF($H1425="","",DATE(YEAR($H1425),MONTH($H1425),1))</f>
        <v/>
      </c>
      <c r="N1425" s="26">
        <f>IF($H1425="","",TODAY()-$H1425)</f>
        <v/>
      </c>
      <c r="O1425" s="15" t="n"/>
      <c r="P1425" s="26">
        <f>IF($A1425="","",COUNTIFS('Audit Versions'!$A$6:$A$605,$A1425,'Audit Versions'!$L$6:$L$605,"Active"))</f>
        <v/>
      </c>
      <c r="Q1425" s="15" t="n"/>
      <c r="R1425" s="26">
        <f>IF(OR($A1425="",$P1425=0),"",MOD(N($Q1425),$P1425)+1)</f>
        <v/>
      </c>
      <c r="S1425" s="15" t="n"/>
      <c r="T1425" s="25" t="n"/>
      <c r="U1425" s="26">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Builder'!$B$12="",N($S1425)&lt;='Assignment Builder'!$B$12)))</f>
        <v/>
      </c>
      <c r="V1425" s="23" t="n"/>
    </row>
    <row r="1426">
      <c r="A1426" s="23" t="n"/>
      <c r="B1426" s="23" t="n"/>
      <c r="C1426" s="24" t="n"/>
      <c r="D1426" s="15" t="n"/>
      <c r="E1426" s="23" t="n"/>
      <c r="F1426" s="15" t="n"/>
      <c r="G1426" s="23" t="n"/>
      <c r="H1426" s="25" t="n"/>
      <c r="I1426" s="15" t="n"/>
      <c r="J1426" s="26">
        <f>IF($A1426="","",LEN($C1426)-LEN(SUBSTITUTE($C1426,",",""))+1)</f>
        <v/>
      </c>
      <c r="K1426" s="26">
        <f>IF($A1426="","",SUMPRODUCT(--ISNUMBER(SEARCH('Category Dictionary'!$D$5:$D$135&amp;"",$C1426)),--('Category Dictionary'!$D$5:$D$135&lt;&gt;"")))</f>
        <v/>
      </c>
      <c r="L1426" s="27">
        <f>IF($A1426="","",TRIM(IF(ISERROR(FIND(",",$C1426)),$C1426,LEFT($C1426,FIND(",",$C1426)-1))))</f>
        <v/>
      </c>
      <c r="M1426" s="28">
        <f>IF($H1426="","",DATE(YEAR($H1426),MONTH($H1426),1))</f>
        <v/>
      </c>
      <c r="N1426" s="26">
        <f>IF($H1426="","",TODAY()-$H1426)</f>
        <v/>
      </c>
      <c r="O1426" s="15" t="n"/>
      <c r="P1426" s="26">
        <f>IF($A1426="","",COUNTIFS('Audit Versions'!$A$6:$A$605,$A1426,'Audit Versions'!$L$6:$L$605,"Active"))</f>
        <v/>
      </c>
      <c r="Q1426" s="15" t="n"/>
      <c r="R1426" s="26">
        <f>IF(OR($A1426="",$P1426=0),"",MOD(N($Q1426),$P1426)+1)</f>
        <v/>
      </c>
      <c r="S1426" s="15" t="n"/>
      <c r="T1426" s="25" t="n"/>
      <c r="U1426" s="26">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Builder'!$B$12="",N($S1426)&lt;='Assignment Builder'!$B$12)))</f>
        <v/>
      </c>
      <c r="V1426" s="23" t="n"/>
    </row>
    <row r="1427">
      <c r="A1427" s="23" t="n"/>
      <c r="B1427" s="23" t="n"/>
      <c r="C1427" s="24" t="n"/>
      <c r="D1427" s="15" t="n"/>
      <c r="E1427" s="23" t="n"/>
      <c r="F1427" s="15" t="n"/>
      <c r="G1427" s="23" t="n"/>
      <c r="H1427" s="25" t="n"/>
      <c r="I1427" s="15" t="n"/>
      <c r="J1427" s="26">
        <f>IF($A1427="","",LEN($C1427)-LEN(SUBSTITUTE($C1427,",",""))+1)</f>
        <v/>
      </c>
      <c r="K1427" s="26">
        <f>IF($A1427="","",SUMPRODUCT(--ISNUMBER(SEARCH('Category Dictionary'!$D$5:$D$135&amp;"",$C1427)),--('Category Dictionary'!$D$5:$D$135&lt;&gt;"")))</f>
        <v/>
      </c>
      <c r="L1427" s="27">
        <f>IF($A1427="","",TRIM(IF(ISERROR(FIND(",",$C1427)),$C1427,LEFT($C1427,FIND(",",$C1427)-1))))</f>
        <v/>
      </c>
      <c r="M1427" s="28">
        <f>IF($H1427="","",DATE(YEAR($H1427),MONTH($H1427),1))</f>
        <v/>
      </c>
      <c r="N1427" s="26">
        <f>IF($H1427="","",TODAY()-$H1427)</f>
        <v/>
      </c>
      <c r="O1427" s="15" t="n"/>
      <c r="P1427" s="26">
        <f>IF($A1427="","",COUNTIFS('Audit Versions'!$A$6:$A$605,$A1427,'Audit Versions'!$L$6:$L$605,"Active"))</f>
        <v/>
      </c>
      <c r="Q1427" s="15" t="n"/>
      <c r="R1427" s="26">
        <f>IF(OR($A1427="",$P1427=0),"",MOD(N($Q1427),$P1427)+1)</f>
        <v/>
      </c>
      <c r="S1427" s="15" t="n"/>
      <c r="T1427" s="25" t="n"/>
      <c r="U1427" s="26">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Builder'!$B$12="",N($S1427)&lt;='Assignment Builder'!$B$12)))</f>
        <v/>
      </c>
      <c r="V1427" s="23" t="n"/>
    </row>
    <row r="1428">
      <c r="A1428" s="23" t="n"/>
      <c r="B1428" s="23" t="n"/>
      <c r="C1428" s="24" t="n"/>
      <c r="D1428" s="15" t="n"/>
      <c r="E1428" s="23" t="n"/>
      <c r="F1428" s="15" t="n"/>
      <c r="G1428" s="23" t="n"/>
      <c r="H1428" s="25" t="n"/>
      <c r="I1428" s="15" t="n"/>
      <c r="J1428" s="26">
        <f>IF($A1428="","",LEN($C1428)-LEN(SUBSTITUTE($C1428,",",""))+1)</f>
        <v/>
      </c>
      <c r="K1428" s="26">
        <f>IF($A1428="","",SUMPRODUCT(--ISNUMBER(SEARCH('Category Dictionary'!$D$5:$D$135&amp;"",$C1428)),--('Category Dictionary'!$D$5:$D$135&lt;&gt;"")))</f>
        <v/>
      </c>
      <c r="L1428" s="27">
        <f>IF($A1428="","",TRIM(IF(ISERROR(FIND(",",$C1428)),$C1428,LEFT($C1428,FIND(",",$C1428)-1))))</f>
        <v/>
      </c>
      <c r="M1428" s="28">
        <f>IF($H1428="","",DATE(YEAR($H1428),MONTH($H1428),1))</f>
        <v/>
      </c>
      <c r="N1428" s="26">
        <f>IF($H1428="","",TODAY()-$H1428)</f>
        <v/>
      </c>
      <c r="O1428" s="15" t="n"/>
      <c r="P1428" s="26">
        <f>IF($A1428="","",COUNTIFS('Audit Versions'!$A$6:$A$605,$A1428,'Audit Versions'!$L$6:$L$605,"Active"))</f>
        <v/>
      </c>
      <c r="Q1428" s="15" t="n"/>
      <c r="R1428" s="26">
        <f>IF(OR($A1428="",$P1428=0),"",MOD(N($Q1428),$P1428)+1)</f>
        <v/>
      </c>
      <c r="S1428" s="15" t="n"/>
      <c r="T1428" s="25" t="n"/>
      <c r="U1428" s="26">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Builder'!$B$12="",N($S1428)&lt;='Assignment Builder'!$B$12)))</f>
        <v/>
      </c>
      <c r="V1428" s="23" t="n"/>
    </row>
    <row r="1429">
      <c r="A1429" s="23" t="n"/>
      <c r="B1429" s="23" t="n"/>
      <c r="C1429" s="24" t="n"/>
      <c r="D1429" s="15" t="n"/>
      <c r="E1429" s="23" t="n"/>
      <c r="F1429" s="15" t="n"/>
      <c r="G1429" s="23" t="n"/>
      <c r="H1429" s="25" t="n"/>
      <c r="I1429" s="15" t="n"/>
      <c r="J1429" s="26">
        <f>IF($A1429="","",LEN($C1429)-LEN(SUBSTITUTE($C1429,",",""))+1)</f>
        <v/>
      </c>
      <c r="K1429" s="26">
        <f>IF($A1429="","",SUMPRODUCT(--ISNUMBER(SEARCH('Category Dictionary'!$D$5:$D$135&amp;"",$C1429)),--('Category Dictionary'!$D$5:$D$135&lt;&gt;"")))</f>
        <v/>
      </c>
      <c r="L1429" s="27">
        <f>IF($A1429="","",TRIM(IF(ISERROR(FIND(",",$C1429)),$C1429,LEFT($C1429,FIND(",",$C1429)-1))))</f>
        <v/>
      </c>
      <c r="M1429" s="28">
        <f>IF($H1429="","",DATE(YEAR($H1429),MONTH($H1429),1))</f>
        <v/>
      </c>
      <c r="N1429" s="26">
        <f>IF($H1429="","",TODAY()-$H1429)</f>
        <v/>
      </c>
      <c r="O1429" s="15" t="n"/>
      <c r="P1429" s="26">
        <f>IF($A1429="","",COUNTIFS('Audit Versions'!$A$6:$A$605,$A1429,'Audit Versions'!$L$6:$L$605,"Active"))</f>
        <v/>
      </c>
      <c r="Q1429" s="15" t="n"/>
      <c r="R1429" s="26">
        <f>IF(OR($A1429="",$P1429=0),"",MOD(N($Q1429),$P1429)+1)</f>
        <v/>
      </c>
      <c r="S1429" s="15" t="n"/>
      <c r="T1429" s="25" t="n"/>
      <c r="U1429" s="26">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Builder'!$B$12="",N($S1429)&lt;='Assignment Builder'!$B$12)))</f>
        <v/>
      </c>
      <c r="V1429" s="23" t="n"/>
    </row>
    <row r="1430">
      <c r="A1430" s="23" t="n"/>
      <c r="B1430" s="23" t="n"/>
      <c r="C1430" s="24" t="n"/>
      <c r="D1430" s="15" t="n"/>
      <c r="E1430" s="23" t="n"/>
      <c r="F1430" s="15" t="n"/>
      <c r="G1430" s="23" t="n"/>
      <c r="H1430" s="25" t="n"/>
      <c r="I1430" s="15" t="n"/>
      <c r="J1430" s="26">
        <f>IF($A1430="","",LEN($C1430)-LEN(SUBSTITUTE($C1430,",",""))+1)</f>
        <v/>
      </c>
      <c r="K1430" s="26">
        <f>IF($A1430="","",SUMPRODUCT(--ISNUMBER(SEARCH('Category Dictionary'!$D$5:$D$135&amp;"",$C1430)),--('Category Dictionary'!$D$5:$D$135&lt;&gt;"")))</f>
        <v/>
      </c>
      <c r="L1430" s="27">
        <f>IF($A1430="","",TRIM(IF(ISERROR(FIND(",",$C1430)),$C1430,LEFT($C1430,FIND(",",$C1430)-1))))</f>
        <v/>
      </c>
      <c r="M1430" s="28">
        <f>IF($H1430="","",DATE(YEAR($H1430),MONTH($H1430),1))</f>
        <v/>
      </c>
      <c r="N1430" s="26">
        <f>IF($H1430="","",TODAY()-$H1430)</f>
        <v/>
      </c>
      <c r="O1430" s="15" t="n"/>
      <c r="P1430" s="26">
        <f>IF($A1430="","",COUNTIFS('Audit Versions'!$A$6:$A$605,$A1430,'Audit Versions'!$L$6:$L$605,"Active"))</f>
        <v/>
      </c>
      <c r="Q1430" s="15" t="n"/>
      <c r="R1430" s="26">
        <f>IF(OR($A1430="",$P1430=0),"",MOD(N($Q1430),$P1430)+1)</f>
        <v/>
      </c>
      <c r="S1430" s="15" t="n"/>
      <c r="T1430" s="25" t="n"/>
      <c r="U1430" s="26">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Builder'!$B$12="",N($S1430)&lt;='Assignment Builder'!$B$12)))</f>
        <v/>
      </c>
      <c r="V1430" s="23" t="n"/>
    </row>
    <row r="1431">
      <c r="A1431" s="23" t="n"/>
      <c r="B1431" s="23" t="n"/>
      <c r="C1431" s="24" t="n"/>
      <c r="D1431" s="15" t="n"/>
      <c r="E1431" s="23" t="n"/>
      <c r="F1431" s="15" t="n"/>
      <c r="G1431" s="23" t="n"/>
      <c r="H1431" s="25" t="n"/>
      <c r="I1431" s="15" t="n"/>
      <c r="J1431" s="26">
        <f>IF($A1431="","",LEN($C1431)-LEN(SUBSTITUTE($C1431,",",""))+1)</f>
        <v/>
      </c>
      <c r="K1431" s="26">
        <f>IF($A1431="","",SUMPRODUCT(--ISNUMBER(SEARCH('Category Dictionary'!$D$5:$D$135&amp;"",$C1431)),--('Category Dictionary'!$D$5:$D$135&lt;&gt;"")))</f>
        <v/>
      </c>
      <c r="L1431" s="27">
        <f>IF($A1431="","",TRIM(IF(ISERROR(FIND(",",$C1431)),$C1431,LEFT($C1431,FIND(",",$C1431)-1))))</f>
        <v/>
      </c>
      <c r="M1431" s="28">
        <f>IF($H1431="","",DATE(YEAR($H1431),MONTH($H1431),1))</f>
        <v/>
      </c>
      <c r="N1431" s="26">
        <f>IF($H1431="","",TODAY()-$H1431)</f>
        <v/>
      </c>
      <c r="O1431" s="15" t="n"/>
      <c r="P1431" s="26">
        <f>IF($A1431="","",COUNTIFS('Audit Versions'!$A$6:$A$605,$A1431,'Audit Versions'!$L$6:$L$605,"Active"))</f>
        <v/>
      </c>
      <c r="Q1431" s="15" t="n"/>
      <c r="R1431" s="26">
        <f>IF(OR($A1431="",$P1431=0),"",MOD(N($Q1431),$P1431)+1)</f>
        <v/>
      </c>
      <c r="S1431" s="15" t="n"/>
      <c r="T1431" s="25" t="n"/>
      <c r="U1431" s="26">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Builder'!$B$12="",N($S1431)&lt;='Assignment Builder'!$B$12)))</f>
        <v/>
      </c>
      <c r="V1431" s="23" t="n"/>
    </row>
    <row r="1432">
      <c r="A1432" s="23" t="n"/>
      <c r="B1432" s="23" t="n"/>
      <c r="C1432" s="24" t="n"/>
      <c r="D1432" s="15" t="n"/>
      <c r="E1432" s="23" t="n"/>
      <c r="F1432" s="15" t="n"/>
      <c r="G1432" s="23" t="n"/>
      <c r="H1432" s="25" t="n"/>
      <c r="I1432" s="15" t="n"/>
      <c r="J1432" s="26">
        <f>IF($A1432="","",LEN($C1432)-LEN(SUBSTITUTE($C1432,",",""))+1)</f>
        <v/>
      </c>
      <c r="K1432" s="26">
        <f>IF($A1432="","",SUMPRODUCT(--ISNUMBER(SEARCH('Category Dictionary'!$D$5:$D$135&amp;"",$C1432)),--('Category Dictionary'!$D$5:$D$135&lt;&gt;"")))</f>
        <v/>
      </c>
      <c r="L1432" s="27">
        <f>IF($A1432="","",TRIM(IF(ISERROR(FIND(",",$C1432)),$C1432,LEFT($C1432,FIND(",",$C1432)-1))))</f>
        <v/>
      </c>
      <c r="M1432" s="28">
        <f>IF($H1432="","",DATE(YEAR($H1432),MONTH($H1432),1))</f>
        <v/>
      </c>
      <c r="N1432" s="26">
        <f>IF($H1432="","",TODAY()-$H1432)</f>
        <v/>
      </c>
      <c r="O1432" s="15" t="n"/>
      <c r="P1432" s="26">
        <f>IF($A1432="","",COUNTIFS('Audit Versions'!$A$6:$A$605,$A1432,'Audit Versions'!$L$6:$L$605,"Active"))</f>
        <v/>
      </c>
      <c r="Q1432" s="15" t="n"/>
      <c r="R1432" s="26">
        <f>IF(OR($A1432="",$P1432=0),"",MOD(N($Q1432),$P1432)+1)</f>
        <v/>
      </c>
      <c r="S1432" s="15" t="n"/>
      <c r="T1432" s="25" t="n"/>
      <c r="U1432" s="26">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Builder'!$B$12="",N($S1432)&lt;='Assignment Builder'!$B$12)))</f>
        <v/>
      </c>
      <c r="V1432" s="23" t="n"/>
    </row>
    <row r="1433">
      <c r="A1433" s="23" t="n"/>
      <c r="B1433" s="23" t="n"/>
      <c r="C1433" s="24" t="n"/>
      <c r="D1433" s="15" t="n"/>
      <c r="E1433" s="23" t="n"/>
      <c r="F1433" s="15" t="n"/>
      <c r="G1433" s="23" t="n"/>
      <c r="H1433" s="25" t="n"/>
      <c r="I1433" s="15" t="n"/>
      <c r="J1433" s="26">
        <f>IF($A1433="","",LEN($C1433)-LEN(SUBSTITUTE($C1433,",",""))+1)</f>
        <v/>
      </c>
      <c r="K1433" s="26">
        <f>IF($A1433="","",SUMPRODUCT(--ISNUMBER(SEARCH('Category Dictionary'!$D$5:$D$135&amp;"",$C1433)),--('Category Dictionary'!$D$5:$D$135&lt;&gt;"")))</f>
        <v/>
      </c>
      <c r="L1433" s="27">
        <f>IF($A1433="","",TRIM(IF(ISERROR(FIND(",",$C1433)),$C1433,LEFT($C1433,FIND(",",$C1433)-1))))</f>
        <v/>
      </c>
      <c r="M1433" s="28">
        <f>IF($H1433="","",DATE(YEAR($H1433),MONTH($H1433),1))</f>
        <v/>
      </c>
      <c r="N1433" s="26">
        <f>IF($H1433="","",TODAY()-$H1433)</f>
        <v/>
      </c>
      <c r="O1433" s="15" t="n"/>
      <c r="P1433" s="26">
        <f>IF($A1433="","",COUNTIFS('Audit Versions'!$A$6:$A$605,$A1433,'Audit Versions'!$L$6:$L$605,"Active"))</f>
        <v/>
      </c>
      <c r="Q1433" s="15" t="n"/>
      <c r="R1433" s="26">
        <f>IF(OR($A1433="",$P1433=0),"",MOD(N($Q1433),$P1433)+1)</f>
        <v/>
      </c>
      <c r="S1433" s="15" t="n"/>
      <c r="T1433" s="25" t="n"/>
      <c r="U1433" s="26">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Builder'!$B$12="",N($S1433)&lt;='Assignment Builder'!$B$12)))</f>
        <v/>
      </c>
      <c r="V1433" s="23" t="n"/>
    </row>
    <row r="1434">
      <c r="A1434" s="23" t="n"/>
      <c r="B1434" s="23" t="n"/>
      <c r="C1434" s="24" t="n"/>
      <c r="D1434" s="15" t="n"/>
      <c r="E1434" s="23" t="n"/>
      <c r="F1434" s="15" t="n"/>
      <c r="G1434" s="23" t="n"/>
      <c r="H1434" s="25" t="n"/>
      <c r="I1434" s="15" t="n"/>
      <c r="J1434" s="26">
        <f>IF($A1434="","",LEN($C1434)-LEN(SUBSTITUTE($C1434,",",""))+1)</f>
        <v/>
      </c>
      <c r="K1434" s="26">
        <f>IF($A1434="","",SUMPRODUCT(--ISNUMBER(SEARCH('Category Dictionary'!$D$5:$D$135&amp;"",$C1434)),--('Category Dictionary'!$D$5:$D$135&lt;&gt;"")))</f>
        <v/>
      </c>
      <c r="L1434" s="27">
        <f>IF($A1434="","",TRIM(IF(ISERROR(FIND(",",$C1434)),$C1434,LEFT($C1434,FIND(",",$C1434)-1))))</f>
        <v/>
      </c>
      <c r="M1434" s="28">
        <f>IF($H1434="","",DATE(YEAR($H1434),MONTH($H1434),1))</f>
        <v/>
      </c>
      <c r="N1434" s="26">
        <f>IF($H1434="","",TODAY()-$H1434)</f>
        <v/>
      </c>
      <c r="O1434" s="15" t="n"/>
      <c r="P1434" s="26">
        <f>IF($A1434="","",COUNTIFS('Audit Versions'!$A$6:$A$605,$A1434,'Audit Versions'!$L$6:$L$605,"Active"))</f>
        <v/>
      </c>
      <c r="Q1434" s="15" t="n"/>
      <c r="R1434" s="26">
        <f>IF(OR($A1434="",$P1434=0),"",MOD(N($Q1434),$P1434)+1)</f>
        <v/>
      </c>
      <c r="S1434" s="15" t="n"/>
      <c r="T1434" s="25" t="n"/>
      <c r="U1434" s="26">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Builder'!$B$12="",N($S1434)&lt;='Assignment Builder'!$B$12)))</f>
        <v/>
      </c>
      <c r="V1434" s="23" t="n"/>
    </row>
    <row r="1435">
      <c r="A1435" s="23" t="n"/>
      <c r="B1435" s="23" t="n"/>
      <c r="C1435" s="24" t="n"/>
      <c r="D1435" s="15" t="n"/>
      <c r="E1435" s="23" t="n"/>
      <c r="F1435" s="15" t="n"/>
      <c r="G1435" s="23" t="n"/>
      <c r="H1435" s="25" t="n"/>
      <c r="I1435" s="15" t="n"/>
      <c r="J1435" s="26">
        <f>IF($A1435="","",LEN($C1435)-LEN(SUBSTITUTE($C1435,",",""))+1)</f>
        <v/>
      </c>
      <c r="K1435" s="26">
        <f>IF($A1435="","",SUMPRODUCT(--ISNUMBER(SEARCH('Category Dictionary'!$D$5:$D$135&amp;"",$C1435)),--('Category Dictionary'!$D$5:$D$135&lt;&gt;"")))</f>
        <v/>
      </c>
      <c r="L1435" s="27">
        <f>IF($A1435="","",TRIM(IF(ISERROR(FIND(",",$C1435)),$C1435,LEFT($C1435,FIND(",",$C1435)-1))))</f>
        <v/>
      </c>
      <c r="M1435" s="28">
        <f>IF($H1435="","",DATE(YEAR($H1435),MONTH($H1435),1))</f>
        <v/>
      </c>
      <c r="N1435" s="26">
        <f>IF($H1435="","",TODAY()-$H1435)</f>
        <v/>
      </c>
      <c r="O1435" s="15" t="n"/>
      <c r="P1435" s="26">
        <f>IF($A1435="","",COUNTIFS('Audit Versions'!$A$6:$A$605,$A1435,'Audit Versions'!$L$6:$L$605,"Active"))</f>
        <v/>
      </c>
      <c r="Q1435" s="15" t="n"/>
      <c r="R1435" s="26">
        <f>IF(OR($A1435="",$P1435=0),"",MOD(N($Q1435),$P1435)+1)</f>
        <v/>
      </c>
      <c r="S1435" s="15" t="n"/>
      <c r="T1435" s="25" t="n"/>
      <c r="U1435" s="26">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Builder'!$B$12="",N($S1435)&lt;='Assignment Builder'!$B$12)))</f>
        <v/>
      </c>
      <c r="V1435" s="23" t="n"/>
    </row>
    <row r="1436">
      <c r="A1436" s="23" t="n"/>
      <c r="B1436" s="23" t="n"/>
      <c r="C1436" s="24" t="n"/>
      <c r="D1436" s="15" t="n"/>
      <c r="E1436" s="23" t="n"/>
      <c r="F1436" s="15" t="n"/>
      <c r="G1436" s="23" t="n"/>
      <c r="H1436" s="25" t="n"/>
      <c r="I1436" s="15" t="n"/>
      <c r="J1436" s="26">
        <f>IF($A1436="","",LEN($C1436)-LEN(SUBSTITUTE($C1436,",",""))+1)</f>
        <v/>
      </c>
      <c r="K1436" s="26">
        <f>IF($A1436="","",SUMPRODUCT(--ISNUMBER(SEARCH('Category Dictionary'!$D$5:$D$135&amp;"",$C1436)),--('Category Dictionary'!$D$5:$D$135&lt;&gt;"")))</f>
        <v/>
      </c>
      <c r="L1436" s="27">
        <f>IF($A1436="","",TRIM(IF(ISERROR(FIND(",",$C1436)),$C1436,LEFT($C1436,FIND(",",$C1436)-1))))</f>
        <v/>
      </c>
      <c r="M1436" s="28">
        <f>IF($H1436="","",DATE(YEAR($H1436),MONTH($H1436),1))</f>
        <v/>
      </c>
      <c r="N1436" s="26">
        <f>IF($H1436="","",TODAY()-$H1436)</f>
        <v/>
      </c>
      <c r="O1436" s="15" t="n"/>
      <c r="P1436" s="26">
        <f>IF($A1436="","",COUNTIFS('Audit Versions'!$A$6:$A$605,$A1436,'Audit Versions'!$L$6:$L$605,"Active"))</f>
        <v/>
      </c>
      <c r="Q1436" s="15" t="n"/>
      <c r="R1436" s="26">
        <f>IF(OR($A1436="",$P1436=0),"",MOD(N($Q1436),$P1436)+1)</f>
        <v/>
      </c>
      <c r="S1436" s="15" t="n"/>
      <c r="T1436" s="25" t="n"/>
      <c r="U1436" s="26">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Builder'!$B$12="",N($S1436)&lt;='Assignment Builder'!$B$12)))</f>
        <v/>
      </c>
      <c r="V1436" s="23" t="n"/>
    </row>
    <row r="1437">
      <c r="A1437" s="23" t="n"/>
      <c r="B1437" s="23" t="n"/>
      <c r="C1437" s="24" t="n"/>
      <c r="D1437" s="15" t="n"/>
      <c r="E1437" s="23" t="n"/>
      <c r="F1437" s="15" t="n"/>
      <c r="G1437" s="23" t="n"/>
      <c r="H1437" s="25" t="n"/>
      <c r="I1437" s="15" t="n"/>
      <c r="J1437" s="26">
        <f>IF($A1437="","",LEN($C1437)-LEN(SUBSTITUTE($C1437,",",""))+1)</f>
        <v/>
      </c>
      <c r="K1437" s="26">
        <f>IF($A1437="","",SUMPRODUCT(--ISNUMBER(SEARCH('Category Dictionary'!$D$5:$D$135&amp;"",$C1437)),--('Category Dictionary'!$D$5:$D$135&lt;&gt;"")))</f>
        <v/>
      </c>
      <c r="L1437" s="27">
        <f>IF($A1437="","",TRIM(IF(ISERROR(FIND(",",$C1437)),$C1437,LEFT($C1437,FIND(",",$C1437)-1))))</f>
        <v/>
      </c>
      <c r="M1437" s="28">
        <f>IF($H1437="","",DATE(YEAR($H1437),MONTH($H1437),1))</f>
        <v/>
      </c>
      <c r="N1437" s="26">
        <f>IF($H1437="","",TODAY()-$H1437)</f>
        <v/>
      </c>
      <c r="O1437" s="15" t="n"/>
      <c r="P1437" s="26">
        <f>IF($A1437="","",COUNTIFS('Audit Versions'!$A$6:$A$605,$A1437,'Audit Versions'!$L$6:$L$605,"Active"))</f>
        <v/>
      </c>
      <c r="Q1437" s="15" t="n"/>
      <c r="R1437" s="26">
        <f>IF(OR($A1437="",$P1437=0),"",MOD(N($Q1437),$P1437)+1)</f>
        <v/>
      </c>
      <c r="S1437" s="15" t="n"/>
      <c r="T1437" s="25" t="n"/>
      <c r="U1437" s="26">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Builder'!$B$12="",N($S1437)&lt;='Assignment Builder'!$B$12)))</f>
        <v/>
      </c>
      <c r="V1437" s="23" t="n"/>
    </row>
    <row r="1438">
      <c r="A1438" s="23" t="n"/>
      <c r="B1438" s="23" t="n"/>
      <c r="C1438" s="24" t="n"/>
      <c r="D1438" s="15" t="n"/>
      <c r="E1438" s="23" t="n"/>
      <c r="F1438" s="15" t="n"/>
      <c r="G1438" s="23" t="n"/>
      <c r="H1438" s="25" t="n"/>
      <c r="I1438" s="15" t="n"/>
      <c r="J1438" s="26">
        <f>IF($A1438="","",LEN($C1438)-LEN(SUBSTITUTE($C1438,",",""))+1)</f>
        <v/>
      </c>
      <c r="K1438" s="26">
        <f>IF($A1438="","",SUMPRODUCT(--ISNUMBER(SEARCH('Category Dictionary'!$D$5:$D$135&amp;"",$C1438)),--('Category Dictionary'!$D$5:$D$135&lt;&gt;"")))</f>
        <v/>
      </c>
      <c r="L1438" s="27">
        <f>IF($A1438="","",TRIM(IF(ISERROR(FIND(",",$C1438)),$C1438,LEFT($C1438,FIND(",",$C1438)-1))))</f>
        <v/>
      </c>
      <c r="M1438" s="28">
        <f>IF($H1438="","",DATE(YEAR($H1438),MONTH($H1438),1))</f>
        <v/>
      </c>
      <c r="N1438" s="26">
        <f>IF($H1438="","",TODAY()-$H1438)</f>
        <v/>
      </c>
      <c r="O1438" s="15" t="n"/>
      <c r="P1438" s="26">
        <f>IF($A1438="","",COUNTIFS('Audit Versions'!$A$6:$A$605,$A1438,'Audit Versions'!$L$6:$L$605,"Active"))</f>
        <v/>
      </c>
      <c r="Q1438" s="15" t="n"/>
      <c r="R1438" s="26">
        <f>IF(OR($A1438="",$P1438=0),"",MOD(N($Q1438),$P1438)+1)</f>
        <v/>
      </c>
      <c r="S1438" s="15" t="n"/>
      <c r="T1438" s="25" t="n"/>
      <c r="U1438" s="26">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Builder'!$B$12="",N($S1438)&lt;='Assignment Builder'!$B$12)))</f>
        <v/>
      </c>
      <c r="V1438" s="23" t="n"/>
    </row>
    <row r="1439">
      <c r="A1439" s="23" t="n"/>
      <c r="B1439" s="23" t="n"/>
      <c r="C1439" s="24" t="n"/>
      <c r="D1439" s="15" t="n"/>
      <c r="E1439" s="23" t="n"/>
      <c r="F1439" s="15" t="n"/>
      <c r="G1439" s="23" t="n"/>
      <c r="H1439" s="25" t="n"/>
      <c r="I1439" s="15" t="n"/>
      <c r="J1439" s="26">
        <f>IF($A1439="","",LEN($C1439)-LEN(SUBSTITUTE($C1439,",",""))+1)</f>
        <v/>
      </c>
      <c r="K1439" s="26">
        <f>IF($A1439="","",SUMPRODUCT(--ISNUMBER(SEARCH('Category Dictionary'!$D$5:$D$135&amp;"",$C1439)),--('Category Dictionary'!$D$5:$D$135&lt;&gt;"")))</f>
        <v/>
      </c>
      <c r="L1439" s="27">
        <f>IF($A1439="","",TRIM(IF(ISERROR(FIND(",",$C1439)),$C1439,LEFT($C1439,FIND(",",$C1439)-1))))</f>
        <v/>
      </c>
      <c r="M1439" s="28">
        <f>IF($H1439="","",DATE(YEAR($H1439),MONTH($H1439),1))</f>
        <v/>
      </c>
      <c r="N1439" s="26">
        <f>IF($H1439="","",TODAY()-$H1439)</f>
        <v/>
      </c>
      <c r="O1439" s="15" t="n"/>
      <c r="P1439" s="26">
        <f>IF($A1439="","",COUNTIFS('Audit Versions'!$A$6:$A$605,$A1439,'Audit Versions'!$L$6:$L$605,"Active"))</f>
        <v/>
      </c>
      <c r="Q1439" s="15" t="n"/>
      <c r="R1439" s="26">
        <f>IF(OR($A1439="",$P1439=0),"",MOD(N($Q1439),$P1439)+1)</f>
        <v/>
      </c>
      <c r="S1439" s="15" t="n"/>
      <c r="T1439" s="25" t="n"/>
      <c r="U1439" s="26">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Builder'!$B$12="",N($S1439)&lt;='Assignment Builder'!$B$12)))</f>
        <v/>
      </c>
      <c r="V1439" s="23" t="n"/>
    </row>
    <row r="1440">
      <c r="A1440" s="23" t="n"/>
      <c r="B1440" s="23" t="n"/>
      <c r="C1440" s="24" t="n"/>
      <c r="D1440" s="15" t="n"/>
      <c r="E1440" s="23" t="n"/>
      <c r="F1440" s="15" t="n"/>
      <c r="G1440" s="23" t="n"/>
      <c r="H1440" s="25" t="n"/>
      <c r="I1440" s="15" t="n"/>
      <c r="J1440" s="26">
        <f>IF($A1440="","",LEN($C1440)-LEN(SUBSTITUTE($C1440,",",""))+1)</f>
        <v/>
      </c>
      <c r="K1440" s="26">
        <f>IF($A1440="","",SUMPRODUCT(--ISNUMBER(SEARCH('Category Dictionary'!$D$5:$D$135&amp;"",$C1440)),--('Category Dictionary'!$D$5:$D$135&lt;&gt;"")))</f>
        <v/>
      </c>
      <c r="L1440" s="27">
        <f>IF($A1440="","",TRIM(IF(ISERROR(FIND(",",$C1440)),$C1440,LEFT($C1440,FIND(",",$C1440)-1))))</f>
        <v/>
      </c>
      <c r="M1440" s="28">
        <f>IF($H1440="","",DATE(YEAR($H1440),MONTH($H1440),1))</f>
        <v/>
      </c>
      <c r="N1440" s="26">
        <f>IF($H1440="","",TODAY()-$H1440)</f>
        <v/>
      </c>
      <c r="O1440" s="15" t="n"/>
      <c r="P1440" s="26">
        <f>IF($A1440="","",COUNTIFS('Audit Versions'!$A$6:$A$605,$A1440,'Audit Versions'!$L$6:$L$605,"Active"))</f>
        <v/>
      </c>
      <c r="Q1440" s="15" t="n"/>
      <c r="R1440" s="26">
        <f>IF(OR($A1440="",$P1440=0),"",MOD(N($Q1440),$P1440)+1)</f>
        <v/>
      </c>
      <c r="S1440" s="15" t="n"/>
      <c r="T1440" s="25" t="n"/>
      <c r="U1440" s="26">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Builder'!$B$12="",N($S1440)&lt;='Assignment Builder'!$B$12)))</f>
        <v/>
      </c>
      <c r="V1440" s="23" t="n"/>
    </row>
    <row r="1441">
      <c r="A1441" s="23" t="n"/>
      <c r="B1441" s="23" t="n"/>
      <c r="C1441" s="24" t="n"/>
      <c r="D1441" s="15" t="n"/>
      <c r="E1441" s="23" t="n"/>
      <c r="F1441" s="15" t="n"/>
      <c r="G1441" s="23" t="n"/>
      <c r="H1441" s="25" t="n"/>
      <c r="I1441" s="15" t="n"/>
      <c r="J1441" s="26">
        <f>IF($A1441="","",LEN($C1441)-LEN(SUBSTITUTE($C1441,",",""))+1)</f>
        <v/>
      </c>
      <c r="K1441" s="26">
        <f>IF($A1441="","",SUMPRODUCT(--ISNUMBER(SEARCH('Category Dictionary'!$D$5:$D$135&amp;"",$C1441)),--('Category Dictionary'!$D$5:$D$135&lt;&gt;"")))</f>
        <v/>
      </c>
      <c r="L1441" s="27">
        <f>IF($A1441="","",TRIM(IF(ISERROR(FIND(",",$C1441)),$C1441,LEFT($C1441,FIND(",",$C1441)-1))))</f>
        <v/>
      </c>
      <c r="M1441" s="28">
        <f>IF($H1441="","",DATE(YEAR($H1441),MONTH($H1441),1))</f>
        <v/>
      </c>
      <c r="N1441" s="26">
        <f>IF($H1441="","",TODAY()-$H1441)</f>
        <v/>
      </c>
      <c r="O1441" s="15" t="n"/>
      <c r="P1441" s="26">
        <f>IF($A1441="","",COUNTIFS('Audit Versions'!$A$6:$A$605,$A1441,'Audit Versions'!$L$6:$L$605,"Active"))</f>
        <v/>
      </c>
      <c r="Q1441" s="15" t="n"/>
      <c r="R1441" s="26">
        <f>IF(OR($A1441="",$P1441=0),"",MOD(N($Q1441),$P1441)+1)</f>
        <v/>
      </c>
      <c r="S1441" s="15" t="n"/>
      <c r="T1441" s="25" t="n"/>
      <c r="U1441" s="26">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Builder'!$B$12="",N($S1441)&lt;='Assignment Builder'!$B$12)))</f>
        <v/>
      </c>
      <c r="V1441" s="23" t="n"/>
    </row>
    <row r="1442">
      <c r="A1442" s="23" t="n"/>
      <c r="B1442" s="23" t="n"/>
      <c r="C1442" s="24" t="n"/>
      <c r="D1442" s="15" t="n"/>
      <c r="E1442" s="23" t="n"/>
      <c r="F1442" s="15" t="n"/>
      <c r="G1442" s="23" t="n"/>
      <c r="H1442" s="25" t="n"/>
      <c r="I1442" s="15" t="n"/>
      <c r="J1442" s="26">
        <f>IF($A1442="","",LEN($C1442)-LEN(SUBSTITUTE($C1442,",",""))+1)</f>
        <v/>
      </c>
      <c r="K1442" s="26">
        <f>IF($A1442="","",SUMPRODUCT(--ISNUMBER(SEARCH('Category Dictionary'!$D$5:$D$135&amp;"",$C1442)),--('Category Dictionary'!$D$5:$D$135&lt;&gt;"")))</f>
        <v/>
      </c>
      <c r="L1442" s="27">
        <f>IF($A1442="","",TRIM(IF(ISERROR(FIND(",",$C1442)),$C1442,LEFT($C1442,FIND(",",$C1442)-1))))</f>
        <v/>
      </c>
      <c r="M1442" s="28">
        <f>IF($H1442="","",DATE(YEAR($H1442),MONTH($H1442),1))</f>
        <v/>
      </c>
      <c r="N1442" s="26">
        <f>IF($H1442="","",TODAY()-$H1442)</f>
        <v/>
      </c>
      <c r="O1442" s="15" t="n"/>
      <c r="P1442" s="26">
        <f>IF($A1442="","",COUNTIFS('Audit Versions'!$A$6:$A$605,$A1442,'Audit Versions'!$L$6:$L$605,"Active"))</f>
        <v/>
      </c>
      <c r="Q1442" s="15" t="n"/>
      <c r="R1442" s="26">
        <f>IF(OR($A1442="",$P1442=0),"",MOD(N($Q1442),$P1442)+1)</f>
        <v/>
      </c>
      <c r="S1442" s="15" t="n"/>
      <c r="T1442" s="25" t="n"/>
      <c r="U1442" s="26">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Builder'!$B$12="",N($S1442)&lt;='Assignment Builder'!$B$12)))</f>
        <v/>
      </c>
      <c r="V1442" s="23" t="n"/>
    </row>
    <row r="1443">
      <c r="A1443" s="23" t="n"/>
      <c r="B1443" s="23" t="n"/>
      <c r="C1443" s="24" t="n"/>
      <c r="D1443" s="15" t="n"/>
      <c r="E1443" s="23" t="n"/>
      <c r="F1443" s="15" t="n"/>
      <c r="G1443" s="23" t="n"/>
      <c r="H1443" s="25" t="n"/>
      <c r="I1443" s="15" t="n"/>
      <c r="J1443" s="26">
        <f>IF($A1443="","",LEN($C1443)-LEN(SUBSTITUTE($C1443,",",""))+1)</f>
        <v/>
      </c>
      <c r="K1443" s="26">
        <f>IF($A1443="","",SUMPRODUCT(--ISNUMBER(SEARCH('Category Dictionary'!$D$5:$D$135&amp;"",$C1443)),--('Category Dictionary'!$D$5:$D$135&lt;&gt;"")))</f>
        <v/>
      </c>
      <c r="L1443" s="27">
        <f>IF($A1443="","",TRIM(IF(ISERROR(FIND(",",$C1443)),$C1443,LEFT($C1443,FIND(",",$C1443)-1))))</f>
        <v/>
      </c>
      <c r="M1443" s="28">
        <f>IF($H1443="","",DATE(YEAR($H1443),MONTH($H1443),1))</f>
        <v/>
      </c>
      <c r="N1443" s="26">
        <f>IF($H1443="","",TODAY()-$H1443)</f>
        <v/>
      </c>
      <c r="O1443" s="15" t="n"/>
      <c r="P1443" s="26">
        <f>IF($A1443="","",COUNTIFS('Audit Versions'!$A$6:$A$605,$A1443,'Audit Versions'!$L$6:$L$605,"Active"))</f>
        <v/>
      </c>
      <c r="Q1443" s="15" t="n"/>
      <c r="R1443" s="26">
        <f>IF(OR($A1443="",$P1443=0),"",MOD(N($Q1443),$P1443)+1)</f>
        <v/>
      </c>
      <c r="S1443" s="15" t="n"/>
      <c r="T1443" s="25" t="n"/>
      <c r="U1443" s="26">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Builder'!$B$12="",N($S1443)&lt;='Assignment Builder'!$B$12)))</f>
        <v/>
      </c>
      <c r="V1443" s="23" t="n"/>
    </row>
    <row r="1444">
      <c r="A1444" s="23" t="n"/>
      <c r="B1444" s="23" t="n"/>
      <c r="C1444" s="24" t="n"/>
      <c r="D1444" s="15" t="n"/>
      <c r="E1444" s="23" t="n"/>
      <c r="F1444" s="15" t="n"/>
      <c r="G1444" s="23" t="n"/>
      <c r="H1444" s="25" t="n"/>
      <c r="I1444" s="15" t="n"/>
      <c r="J1444" s="26">
        <f>IF($A1444="","",LEN($C1444)-LEN(SUBSTITUTE($C1444,",",""))+1)</f>
        <v/>
      </c>
      <c r="K1444" s="26">
        <f>IF($A1444="","",SUMPRODUCT(--ISNUMBER(SEARCH('Category Dictionary'!$D$5:$D$135&amp;"",$C1444)),--('Category Dictionary'!$D$5:$D$135&lt;&gt;"")))</f>
        <v/>
      </c>
      <c r="L1444" s="27">
        <f>IF($A1444="","",TRIM(IF(ISERROR(FIND(",",$C1444)),$C1444,LEFT($C1444,FIND(",",$C1444)-1))))</f>
        <v/>
      </c>
      <c r="M1444" s="28">
        <f>IF($H1444="","",DATE(YEAR($H1444),MONTH($H1444),1))</f>
        <v/>
      </c>
      <c r="N1444" s="26">
        <f>IF($H1444="","",TODAY()-$H1444)</f>
        <v/>
      </c>
      <c r="O1444" s="15" t="n"/>
      <c r="P1444" s="26">
        <f>IF($A1444="","",COUNTIFS('Audit Versions'!$A$6:$A$605,$A1444,'Audit Versions'!$L$6:$L$605,"Active"))</f>
        <v/>
      </c>
      <c r="Q1444" s="15" t="n"/>
      <c r="R1444" s="26">
        <f>IF(OR($A1444="",$P1444=0),"",MOD(N($Q1444),$P1444)+1)</f>
        <v/>
      </c>
      <c r="S1444" s="15" t="n"/>
      <c r="T1444" s="25" t="n"/>
      <c r="U1444" s="26">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Builder'!$B$12="",N($S1444)&lt;='Assignment Builder'!$B$12)))</f>
        <v/>
      </c>
      <c r="V1444" s="23" t="n"/>
    </row>
    <row r="1445">
      <c r="A1445" s="23" t="n"/>
      <c r="B1445" s="23" t="n"/>
      <c r="C1445" s="24" t="n"/>
      <c r="D1445" s="15" t="n"/>
      <c r="E1445" s="23" t="n"/>
      <c r="F1445" s="15" t="n"/>
      <c r="G1445" s="23" t="n"/>
      <c r="H1445" s="25" t="n"/>
      <c r="I1445" s="15" t="n"/>
      <c r="J1445" s="26">
        <f>IF($A1445="","",LEN($C1445)-LEN(SUBSTITUTE($C1445,",",""))+1)</f>
        <v/>
      </c>
      <c r="K1445" s="26">
        <f>IF($A1445="","",SUMPRODUCT(--ISNUMBER(SEARCH('Category Dictionary'!$D$5:$D$135&amp;"",$C1445)),--('Category Dictionary'!$D$5:$D$135&lt;&gt;"")))</f>
        <v/>
      </c>
      <c r="L1445" s="27">
        <f>IF($A1445="","",TRIM(IF(ISERROR(FIND(",",$C1445)),$C1445,LEFT($C1445,FIND(",",$C1445)-1))))</f>
        <v/>
      </c>
      <c r="M1445" s="28">
        <f>IF($H1445="","",DATE(YEAR($H1445),MONTH($H1445),1))</f>
        <v/>
      </c>
      <c r="N1445" s="26">
        <f>IF($H1445="","",TODAY()-$H1445)</f>
        <v/>
      </c>
      <c r="O1445" s="15" t="n"/>
      <c r="P1445" s="26">
        <f>IF($A1445="","",COUNTIFS('Audit Versions'!$A$6:$A$605,$A1445,'Audit Versions'!$L$6:$L$605,"Active"))</f>
        <v/>
      </c>
      <c r="Q1445" s="15" t="n"/>
      <c r="R1445" s="26">
        <f>IF(OR($A1445="",$P1445=0),"",MOD(N($Q1445),$P1445)+1)</f>
        <v/>
      </c>
      <c r="S1445" s="15" t="n"/>
      <c r="T1445" s="25" t="n"/>
      <c r="U1445" s="26">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Builder'!$B$12="",N($S1445)&lt;='Assignment Builder'!$B$12)))</f>
        <v/>
      </c>
      <c r="V1445" s="23" t="n"/>
    </row>
    <row r="1446">
      <c r="A1446" s="23" t="n"/>
      <c r="B1446" s="23" t="n"/>
      <c r="C1446" s="24" t="n"/>
      <c r="D1446" s="15" t="n"/>
      <c r="E1446" s="23" t="n"/>
      <c r="F1446" s="15" t="n"/>
      <c r="G1446" s="23" t="n"/>
      <c r="H1446" s="25" t="n"/>
      <c r="I1446" s="15" t="n"/>
      <c r="J1446" s="26">
        <f>IF($A1446="","",LEN($C1446)-LEN(SUBSTITUTE($C1446,",",""))+1)</f>
        <v/>
      </c>
      <c r="K1446" s="26">
        <f>IF($A1446="","",SUMPRODUCT(--ISNUMBER(SEARCH('Category Dictionary'!$D$5:$D$135&amp;"",$C1446)),--('Category Dictionary'!$D$5:$D$135&lt;&gt;"")))</f>
        <v/>
      </c>
      <c r="L1446" s="27">
        <f>IF($A1446="","",TRIM(IF(ISERROR(FIND(",",$C1446)),$C1446,LEFT($C1446,FIND(",",$C1446)-1))))</f>
        <v/>
      </c>
      <c r="M1446" s="28">
        <f>IF($H1446="","",DATE(YEAR($H1446),MONTH($H1446),1))</f>
        <v/>
      </c>
      <c r="N1446" s="26">
        <f>IF($H1446="","",TODAY()-$H1446)</f>
        <v/>
      </c>
      <c r="O1446" s="15" t="n"/>
      <c r="P1446" s="26">
        <f>IF($A1446="","",COUNTIFS('Audit Versions'!$A$6:$A$605,$A1446,'Audit Versions'!$L$6:$L$605,"Active"))</f>
        <v/>
      </c>
      <c r="Q1446" s="15" t="n"/>
      <c r="R1446" s="26">
        <f>IF(OR($A1446="",$P1446=0),"",MOD(N($Q1446),$P1446)+1)</f>
        <v/>
      </c>
      <c r="S1446" s="15" t="n"/>
      <c r="T1446" s="25" t="n"/>
      <c r="U1446" s="26">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Builder'!$B$12="",N($S1446)&lt;='Assignment Builder'!$B$12)))</f>
        <v/>
      </c>
      <c r="V1446" s="23" t="n"/>
    </row>
    <row r="1447">
      <c r="A1447" s="23" t="n"/>
      <c r="B1447" s="23" t="n"/>
      <c r="C1447" s="24" t="n"/>
      <c r="D1447" s="15" t="n"/>
      <c r="E1447" s="23" t="n"/>
      <c r="F1447" s="15" t="n"/>
      <c r="G1447" s="23" t="n"/>
      <c r="H1447" s="25" t="n"/>
      <c r="I1447" s="15" t="n"/>
      <c r="J1447" s="26">
        <f>IF($A1447="","",LEN($C1447)-LEN(SUBSTITUTE($C1447,",",""))+1)</f>
        <v/>
      </c>
      <c r="K1447" s="26">
        <f>IF($A1447="","",SUMPRODUCT(--ISNUMBER(SEARCH('Category Dictionary'!$D$5:$D$135&amp;"",$C1447)),--('Category Dictionary'!$D$5:$D$135&lt;&gt;"")))</f>
        <v/>
      </c>
      <c r="L1447" s="27">
        <f>IF($A1447="","",TRIM(IF(ISERROR(FIND(",",$C1447)),$C1447,LEFT($C1447,FIND(",",$C1447)-1))))</f>
        <v/>
      </c>
      <c r="M1447" s="28">
        <f>IF($H1447="","",DATE(YEAR($H1447),MONTH($H1447),1))</f>
        <v/>
      </c>
      <c r="N1447" s="26">
        <f>IF($H1447="","",TODAY()-$H1447)</f>
        <v/>
      </c>
      <c r="O1447" s="15" t="n"/>
      <c r="P1447" s="26">
        <f>IF($A1447="","",COUNTIFS('Audit Versions'!$A$6:$A$605,$A1447,'Audit Versions'!$L$6:$L$605,"Active"))</f>
        <v/>
      </c>
      <c r="Q1447" s="15" t="n"/>
      <c r="R1447" s="26">
        <f>IF(OR($A1447="",$P1447=0),"",MOD(N($Q1447),$P1447)+1)</f>
        <v/>
      </c>
      <c r="S1447" s="15" t="n"/>
      <c r="T1447" s="25" t="n"/>
      <c r="U1447" s="26">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Builder'!$B$12="",N($S1447)&lt;='Assignment Builder'!$B$12)))</f>
        <v/>
      </c>
      <c r="V1447" s="23" t="n"/>
    </row>
    <row r="1448">
      <c r="A1448" s="23" t="n"/>
      <c r="B1448" s="23" t="n"/>
      <c r="C1448" s="24" t="n"/>
      <c r="D1448" s="15" t="n"/>
      <c r="E1448" s="23" t="n"/>
      <c r="F1448" s="15" t="n"/>
      <c r="G1448" s="23" t="n"/>
      <c r="H1448" s="25" t="n"/>
      <c r="I1448" s="15" t="n"/>
      <c r="J1448" s="26">
        <f>IF($A1448="","",LEN($C1448)-LEN(SUBSTITUTE($C1448,",",""))+1)</f>
        <v/>
      </c>
      <c r="K1448" s="26">
        <f>IF($A1448="","",SUMPRODUCT(--ISNUMBER(SEARCH('Category Dictionary'!$D$5:$D$135&amp;"",$C1448)),--('Category Dictionary'!$D$5:$D$135&lt;&gt;"")))</f>
        <v/>
      </c>
      <c r="L1448" s="27">
        <f>IF($A1448="","",TRIM(IF(ISERROR(FIND(",",$C1448)),$C1448,LEFT($C1448,FIND(",",$C1448)-1))))</f>
        <v/>
      </c>
      <c r="M1448" s="28">
        <f>IF($H1448="","",DATE(YEAR($H1448),MONTH($H1448),1))</f>
        <v/>
      </c>
      <c r="N1448" s="26">
        <f>IF($H1448="","",TODAY()-$H1448)</f>
        <v/>
      </c>
      <c r="O1448" s="15" t="n"/>
      <c r="P1448" s="26">
        <f>IF($A1448="","",COUNTIFS('Audit Versions'!$A$6:$A$605,$A1448,'Audit Versions'!$L$6:$L$605,"Active"))</f>
        <v/>
      </c>
      <c r="Q1448" s="15" t="n"/>
      <c r="R1448" s="26">
        <f>IF(OR($A1448="",$P1448=0),"",MOD(N($Q1448),$P1448)+1)</f>
        <v/>
      </c>
      <c r="S1448" s="15" t="n"/>
      <c r="T1448" s="25" t="n"/>
      <c r="U1448" s="26">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Builder'!$B$12="",N($S1448)&lt;='Assignment Builder'!$B$12)))</f>
        <v/>
      </c>
      <c r="V1448" s="23" t="n"/>
    </row>
    <row r="1449">
      <c r="A1449" s="23" t="n"/>
      <c r="B1449" s="23" t="n"/>
      <c r="C1449" s="24" t="n"/>
      <c r="D1449" s="15" t="n"/>
      <c r="E1449" s="23" t="n"/>
      <c r="F1449" s="15" t="n"/>
      <c r="G1449" s="23" t="n"/>
      <c r="H1449" s="25" t="n"/>
      <c r="I1449" s="15" t="n"/>
      <c r="J1449" s="26">
        <f>IF($A1449="","",LEN($C1449)-LEN(SUBSTITUTE($C1449,",",""))+1)</f>
        <v/>
      </c>
      <c r="K1449" s="26">
        <f>IF($A1449="","",SUMPRODUCT(--ISNUMBER(SEARCH('Category Dictionary'!$D$5:$D$135&amp;"",$C1449)),--('Category Dictionary'!$D$5:$D$135&lt;&gt;"")))</f>
        <v/>
      </c>
      <c r="L1449" s="27">
        <f>IF($A1449="","",TRIM(IF(ISERROR(FIND(",",$C1449)),$C1449,LEFT($C1449,FIND(",",$C1449)-1))))</f>
        <v/>
      </c>
      <c r="M1449" s="28">
        <f>IF($H1449="","",DATE(YEAR($H1449),MONTH($H1449),1))</f>
        <v/>
      </c>
      <c r="N1449" s="26">
        <f>IF($H1449="","",TODAY()-$H1449)</f>
        <v/>
      </c>
      <c r="O1449" s="15" t="n"/>
      <c r="P1449" s="26">
        <f>IF($A1449="","",COUNTIFS('Audit Versions'!$A$6:$A$605,$A1449,'Audit Versions'!$L$6:$L$605,"Active"))</f>
        <v/>
      </c>
      <c r="Q1449" s="15" t="n"/>
      <c r="R1449" s="26">
        <f>IF(OR($A1449="",$P1449=0),"",MOD(N($Q1449),$P1449)+1)</f>
        <v/>
      </c>
      <c r="S1449" s="15" t="n"/>
      <c r="T1449" s="25" t="n"/>
      <c r="U1449" s="26">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Builder'!$B$12="",N($S1449)&lt;='Assignment Builder'!$B$12)))</f>
        <v/>
      </c>
      <c r="V1449" s="23" t="n"/>
    </row>
    <row r="1450">
      <c r="A1450" s="23" t="n"/>
      <c r="B1450" s="23" t="n"/>
      <c r="C1450" s="24" t="n"/>
      <c r="D1450" s="15" t="n"/>
      <c r="E1450" s="23" t="n"/>
      <c r="F1450" s="15" t="n"/>
      <c r="G1450" s="23" t="n"/>
      <c r="H1450" s="25" t="n"/>
      <c r="I1450" s="15" t="n"/>
      <c r="J1450" s="26">
        <f>IF($A1450="","",LEN($C1450)-LEN(SUBSTITUTE($C1450,",",""))+1)</f>
        <v/>
      </c>
      <c r="K1450" s="26">
        <f>IF($A1450="","",SUMPRODUCT(--ISNUMBER(SEARCH('Category Dictionary'!$D$5:$D$135&amp;"",$C1450)),--('Category Dictionary'!$D$5:$D$135&lt;&gt;"")))</f>
        <v/>
      </c>
      <c r="L1450" s="27">
        <f>IF($A1450="","",TRIM(IF(ISERROR(FIND(",",$C1450)),$C1450,LEFT($C1450,FIND(",",$C1450)-1))))</f>
        <v/>
      </c>
      <c r="M1450" s="28">
        <f>IF($H1450="","",DATE(YEAR($H1450),MONTH($H1450),1))</f>
        <v/>
      </c>
      <c r="N1450" s="26">
        <f>IF($H1450="","",TODAY()-$H1450)</f>
        <v/>
      </c>
      <c r="O1450" s="15" t="n"/>
      <c r="P1450" s="26">
        <f>IF($A1450="","",COUNTIFS('Audit Versions'!$A$6:$A$605,$A1450,'Audit Versions'!$L$6:$L$605,"Active"))</f>
        <v/>
      </c>
      <c r="Q1450" s="15" t="n"/>
      <c r="R1450" s="26">
        <f>IF(OR($A1450="",$P1450=0),"",MOD(N($Q1450),$P1450)+1)</f>
        <v/>
      </c>
      <c r="S1450" s="15" t="n"/>
      <c r="T1450" s="25" t="n"/>
      <c r="U1450" s="26">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Builder'!$B$12="",N($S1450)&lt;='Assignment Builder'!$B$12)))</f>
        <v/>
      </c>
      <c r="V1450" s="23" t="n"/>
    </row>
    <row r="1451">
      <c r="A1451" s="23" t="n"/>
      <c r="B1451" s="23" t="n"/>
      <c r="C1451" s="24" t="n"/>
      <c r="D1451" s="15" t="n"/>
      <c r="E1451" s="23" t="n"/>
      <c r="F1451" s="15" t="n"/>
      <c r="G1451" s="23" t="n"/>
      <c r="H1451" s="25" t="n"/>
      <c r="I1451" s="15" t="n"/>
      <c r="J1451" s="26">
        <f>IF($A1451="","",LEN($C1451)-LEN(SUBSTITUTE($C1451,",",""))+1)</f>
        <v/>
      </c>
      <c r="K1451" s="26">
        <f>IF($A1451="","",SUMPRODUCT(--ISNUMBER(SEARCH('Category Dictionary'!$D$5:$D$135&amp;"",$C1451)),--('Category Dictionary'!$D$5:$D$135&lt;&gt;"")))</f>
        <v/>
      </c>
      <c r="L1451" s="27">
        <f>IF($A1451="","",TRIM(IF(ISERROR(FIND(",",$C1451)),$C1451,LEFT($C1451,FIND(",",$C1451)-1))))</f>
        <v/>
      </c>
      <c r="M1451" s="28">
        <f>IF($H1451="","",DATE(YEAR($H1451),MONTH($H1451),1))</f>
        <v/>
      </c>
      <c r="N1451" s="26">
        <f>IF($H1451="","",TODAY()-$H1451)</f>
        <v/>
      </c>
      <c r="O1451" s="15" t="n"/>
      <c r="P1451" s="26">
        <f>IF($A1451="","",COUNTIFS('Audit Versions'!$A$6:$A$605,$A1451,'Audit Versions'!$L$6:$L$605,"Active"))</f>
        <v/>
      </c>
      <c r="Q1451" s="15" t="n"/>
      <c r="R1451" s="26">
        <f>IF(OR($A1451="",$P1451=0),"",MOD(N($Q1451),$P1451)+1)</f>
        <v/>
      </c>
      <c r="S1451" s="15" t="n"/>
      <c r="T1451" s="25" t="n"/>
      <c r="U1451" s="26">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Builder'!$B$12="",N($S1451)&lt;='Assignment Builder'!$B$12)))</f>
        <v/>
      </c>
      <c r="V1451" s="23" t="n"/>
    </row>
    <row r="1452">
      <c r="A1452" s="23" t="n"/>
      <c r="B1452" s="23" t="n"/>
      <c r="C1452" s="24" t="n"/>
      <c r="D1452" s="15" t="n"/>
      <c r="E1452" s="23" t="n"/>
      <c r="F1452" s="15" t="n"/>
      <c r="G1452" s="23" t="n"/>
      <c r="H1452" s="25" t="n"/>
      <c r="I1452" s="15" t="n"/>
      <c r="J1452" s="26">
        <f>IF($A1452="","",LEN($C1452)-LEN(SUBSTITUTE($C1452,",",""))+1)</f>
        <v/>
      </c>
      <c r="K1452" s="26">
        <f>IF($A1452="","",SUMPRODUCT(--ISNUMBER(SEARCH('Category Dictionary'!$D$5:$D$135&amp;"",$C1452)),--('Category Dictionary'!$D$5:$D$135&lt;&gt;"")))</f>
        <v/>
      </c>
      <c r="L1452" s="27">
        <f>IF($A1452="","",TRIM(IF(ISERROR(FIND(",",$C1452)),$C1452,LEFT($C1452,FIND(",",$C1452)-1))))</f>
        <v/>
      </c>
      <c r="M1452" s="28">
        <f>IF($H1452="","",DATE(YEAR($H1452),MONTH($H1452),1))</f>
        <v/>
      </c>
      <c r="N1452" s="26">
        <f>IF($H1452="","",TODAY()-$H1452)</f>
        <v/>
      </c>
      <c r="O1452" s="15" t="n"/>
      <c r="P1452" s="26">
        <f>IF($A1452="","",COUNTIFS('Audit Versions'!$A$6:$A$605,$A1452,'Audit Versions'!$L$6:$L$605,"Active"))</f>
        <v/>
      </c>
      <c r="Q1452" s="15" t="n"/>
      <c r="R1452" s="26">
        <f>IF(OR($A1452="",$P1452=0),"",MOD(N($Q1452),$P1452)+1)</f>
        <v/>
      </c>
      <c r="S1452" s="15" t="n"/>
      <c r="T1452" s="25" t="n"/>
      <c r="U1452" s="26">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Builder'!$B$12="",N($S1452)&lt;='Assignment Builder'!$B$12)))</f>
        <v/>
      </c>
      <c r="V1452" s="23" t="n"/>
    </row>
    <row r="1453">
      <c r="A1453" s="23" t="n"/>
      <c r="B1453" s="23" t="n"/>
      <c r="C1453" s="24" t="n"/>
      <c r="D1453" s="15" t="n"/>
      <c r="E1453" s="23" t="n"/>
      <c r="F1453" s="15" t="n"/>
      <c r="G1453" s="23" t="n"/>
      <c r="H1453" s="25" t="n"/>
      <c r="I1453" s="15" t="n"/>
      <c r="J1453" s="26">
        <f>IF($A1453="","",LEN($C1453)-LEN(SUBSTITUTE($C1453,",",""))+1)</f>
        <v/>
      </c>
      <c r="K1453" s="26">
        <f>IF($A1453="","",SUMPRODUCT(--ISNUMBER(SEARCH('Category Dictionary'!$D$5:$D$135&amp;"",$C1453)),--('Category Dictionary'!$D$5:$D$135&lt;&gt;"")))</f>
        <v/>
      </c>
      <c r="L1453" s="27">
        <f>IF($A1453="","",TRIM(IF(ISERROR(FIND(",",$C1453)),$C1453,LEFT($C1453,FIND(",",$C1453)-1))))</f>
        <v/>
      </c>
      <c r="M1453" s="28">
        <f>IF($H1453="","",DATE(YEAR($H1453),MONTH($H1453),1))</f>
        <v/>
      </c>
      <c r="N1453" s="26">
        <f>IF($H1453="","",TODAY()-$H1453)</f>
        <v/>
      </c>
      <c r="O1453" s="15" t="n"/>
      <c r="P1453" s="26">
        <f>IF($A1453="","",COUNTIFS('Audit Versions'!$A$6:$A$605,$A1453,'Audit Versions'!$L$6:$L$605,"Active"))</f>
        <v/>
      </c>
      <c r="Q1453" s="15" t="n"/>
      <c r="R1453" s="26">
        <f>IF(OR($A1453="",$P1453=0),"",MOD(N($Q1453),$P1453)+1)</f>
        <v/>
      </c>
      <c r="S1453" s="15" t="n"/>
      <c r="T1453" s="25" t="n"/>
      <c r="U1453" s="26">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Builder'!$B$12="",N($S1453)&lt;='Assignment Builder'!$B$12)))</f>
        <v/>
      </c>
      <c r="V1453" s="23" t="n"/>
    </row>
    <row r="1454">
      <c r="A1454" s="23" t="n"/>
      <c r="B1454" s="23" t="n"/>
      <c r="C1454" s="24" t="n"/>
      <c r="D1454" s="15" t="n"/>
      <c r="E1454" s="23" t="n"/>
      <c r="F1454" s="15" t="n"/>
      <c r="G1454" s="23" t="n"/>
      <c r="H1454" s="25" t="n"/>
      <c r="I1454" s="15" t="n"/>
      <c r="J1454" s="26">
        <f>IF($A1454="","",LEN($C1454)-LEN(SUBSTITUTE($C1454,",",""))+1)</f>
        <v/>
      </c>
      <c r="K1454" s="26">
        <f>IF($A1454="","",SUMPRODUCT(--ISNUMBER(SEARCH('Category Dictionary'!$D$5:$D$135&amp;"",$C1454)),--('Category Dictionary'!$D$5:$D$135&lt;&gt;"")))</f>
        <v/>
      </c>
      <c r="L1454" s="27">
        <f>IF($A1454="","",TRIM(IF(ISERROR(FIND(",",$C1454)),$C1454,LEFT($C1454,FIND(",",$C1454)-1))))</f>
        <v/>
      </c>
      <c r="M1454" s="28">
        <f>IF($H1454="","",DATE(YEAR($H1454),MONTH($H1454),1))</f>
        <v/>
      </c>
      <c r="N1454" s="26">
        <f>IF($H1454="","",TODAY()-$H1454)</f>
        <v/>
      </c>
      <c r="O1454" s="15" t="n"/>
      <c r="P1454" s="26">
        <f>IF($A1454="","",COUNTIFS('Audit Versions'!$A$6:$A$605,$A1454,'Audit Versions'!$L$6:$L$605,"Active"))</f>
        <v/>
      </c>
      <c r="Q1454" s="15" t="n"/>
      <c r="R1454" s="26">
        <f>IF(OR($A1454="",$P1454=0),"",MOD(N($Q1454),$P1454)+1)</f>
        <v/>
      </c>
      <c r="S1454" s="15" t="n"/>
      <c r="T1454" s="25" t="n"/>
      <c r="U1454" s="26">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Builder'!$B$12="",N($S1454)&lt;='Assignment Builder'!$B$12)))</f>
        <v/>
      </c>
      <c r="V1454" s="23" t="n"/>
    </row>
    <row r="1455">
      <c r="A1455" s="23" t="n"/>
      <c r="B1455" s="23" t="n"/>
      <c r="C1455" s="24" t="n"/>
      <c r="D1455" s="15" t="n"/>
      <c r="E1455" s="23" t="n"/>
      <c r="F1455" s="15" t="n"/>
      <c r="G1455" s="23" t="n"/>
      <c r="H1455" s="25" t="n"/>
      <c r="I1455" s="15" t="n"/>
      <c r="J1455" s="26">
        <f>IF($A1455="","",LEN($C1455)-LEN(SUBSTITUTE($C1455,",",""))+1)</f>
        <v/>
      </c>
      <c r="K1455" s="26">
        <f>IF($A1455="","",SUMPRODUCT(--ISNUMBER(SEARCH('Category Dictionary'!$D$5:$D$135&amp;"",$C1455)),--('Category Dictionary'!$D$5:$D$135&lt;&gt;"")))</f>
        <v/>
      </c>
      <c r="L1455" s="27">
        <f>IF($A1455="","",TRIM(IF(ISERROR(FIND(",",$C1455)),$C1455,LEFT($C1455,FIND(",",$C1455)-1))))</f>
        <v/>
      </c>
      <c r="M1455" s="28">
        <f>IF($H1455="","",DATE(YEAR($H1455),MONTH($H1455),1))</f>
        <v/>
      </c>
      <c r="N1455" s="26">
        <f>IF($H1455="","",TODAY()-$H1455)</f>
        <v/>
      </c>
      <c r="O1455" s="15" t="n"/>
      <c r="P1455" s="26">
        <f>IF($A1455="","",COUNTIFS('Audit Versions'!$A$6:$A$605,$A1455,'Audit Versions'!$L$6:$L$605,"Active"))</f>
        <v/>
      </c>
      <c r="Q1455" s="15" t="n"/>
      <c r="R1455" s="26">
        <f>IF(OR($A1455="",$P1455=0),"",MOD(N($Q1455),$P1455)+1)</f>
        <v/>
      </c>
      <c r="S1455" s="15" t="n"/>
      <c r="T1455" s="25" t="n"/>
      <c r="U1455" s="26">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Builder'!$B$12="",N($S1455)&lt;='Assignment Builder'!$B$12)))</f>
        <v/>
      </c>
      <c r="V1455" s="23" t="n"/>
    </row>
    <row r="1456">
      <c r="A1456" s="23" t="n"/>
      <c r="B1456" s="23" t="n"/>
      <c r="C1456" s="24" t="n"/>
      <c r="D1456" s="15" t="n"/>
      <c r="E1456" s="23" t="n"/>
      <c r="F1456" s="15" t="n"/>
      <c r="G1456" s="23" t="n"/>
      <c r="H1456" s="25" t="n"/>
      <c r="I1456" s="15" t="n"/>
      <c r="J1456" s="26">
        <f>IF($A1456="","",LEN($C1456)-LEN(SUBSTITUTE($C1456,",",""))+1)</f>
        <v/>
      </c>
      <c r="K1456" s="26">
        <f>IF($A1456="","",SUMPRODUCT(--ISNUMBER(SEARCH('Category Dictionary'!$D$5:$D$135&amp;"",$C1456)),--('Category Dictionary'!$D$5:$D$135&lt;&gt;"")))</f>
        <v/>
      </c>
      <c r="L1456" s="27">
        <f>IF($A1456="","",TRIM(IF(ISERROR(FIND(",",$C1456)),$C1456,LEFT($C1456,FIND(",",$C1456)-1))))</f>
        <v/>
      </c>
      <c r="M1456" s="28">
        <f>IF($H1456="","",DATE(YEAR($H1456),MONTH($H1456),1))</f>
        <v/>
      </c>
      <c r="N1456" s="26">
        <f>IF($H1456="","",TODAY()-$H1456)</f>
        <v/>
      </c>
      <c r="O1456" s="15" t="n"/>
      <c r="P1456" s="26">
        <f>IF($A1456="","",COUNTIFS('Audit Versions'!$A$6:$A$605,$A1456,'Audit Versions'!$L$6:$L$605,"Active"))</f>
        <v/>
      </c>
      <c r="Q1456" s="15" t="n"/>
      <c r="R1456" s="26">
        <f>IF(OR($A1456="",$P1456=0),"",MOD(N($Q1456),$P1456)+1)</f>
        <v/>
      </c>
      <c r="S1456" s="15" t="n"/>
      <c r="T1456" s="25" t="n"/>
      <c r="U1456" s="26">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Builder'!$B$12="",N($S1456)&lt;='Assignment Builder'!$B$12)))</f>
        <v/>
      </c>
      <c r="V1456" s="23" t="n"/>
    </row>
    <row r="1457">
      <c r="A1457" s="23" t="n"/>
      <c r="B1457" s="23" t="n"/>
      <c r="C1457" s="24" t="n"/>
      <c r="D1457" s="15" t="n"/>
      <c r="E1457" s="23" t="n"/>
      <c r="F1457" s="15" t="n"/>
      <c r="G1457" s="23" t="n"/>
      <c r="H1457" s="25" t="n"/>
      <c r="I1457" s="15" t="n"/>
      <c r="J1457" s="26">
        <f>IF($A1457="","",LEN($C1457)-LEN(SUBSTITUTE($C1457,",",""))+1)</f>
        <v/>
      </c>
      <c r="K1457" s="26">
        <f>IF($A1457="","",SUMPRODUCT(--ISNUMBER(SEARCH('Category Dictionary'!$D$5:$D$135&amp;"",$C1457)),--('Category Dictionary'!$D$5:$D$135&lt;&gt;"")))</f>
        <v/>
      </c>
      <c r="L1457" s="27">
        <f>IF($A1457="","",TRIM(IF(ISERROR(FIND(",",$C1457)),$C1457,LEFT($C1457,FIND(",",$C1457)-1))))</f>
        <v/>
      </c>
      <c r="M1457" s="28">
        <f>IF($H1457="","",DATE(YEAR($H1457),MONTH($H1457),1))</f>
        <v/>
      </c>
      <c r="N1457" s="26">
        <f>IF($H1457="","",TODAY()-$H1457)</f>
        <v/>
      </c>
      <c r="O1457" s="15" t="n"/>
      <c r="P1457" s="26">
        <f>IF($A1457="","",COUNTIFS('Audit Versions'!$A$6:$A$605,$A1457,'Audit Versions'!$L$6:$L$605,"Active"))</f>
        <v/>
      </c>
      <c r="Q1457" s="15" t="n"/>
      <c r="R1457" s="26">
        <f>IF(OR($A1457="",$P1457=0),"",MOD(N($Q1457),$P1457)+1)</f>
        <v/>
      </c>
      <c r="S1457" s="15" t="n"/>
      <c r="T1457" s="25" t="n"/>
      <c r="U1457" s="26">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Builder'!$B$12="",N($S1457)&lt;='Assignment Builder'!$B$12)))</f>
        <v/>
      </c>
      <c r="V1457" s="23" t="n"/>
    </row>
    <row r="1458">
      <c r="A1458" s="23" t="n"/>
      <c r="B1458" s="23" t="n"/>
      <c r="C1458" s="24" t="n"/>
      <c r="D1458" s="15" t="n"/>
      <c r="E1458" s="23" t="n"/>
      <c r="F1458" s="15" t="n"/>
      <c r="G1458" s="23" t="n"/>
      <c r="H1458" s="25" t="n"/>
      <c r="I1458" s="15" t="n"/>
      <c r="J1458" s="26">
        <f>IF($A1458="","",LEN($C1458)-LEN(SUBSTITUTE($C1458,",",""))+1)</f>
        <v/>
      </c>
      <c r="K1458" s="26">
        <f>IF($A1458="","",SUMPRODUCT(--ISNUMBER(SEARCH('Category Dictionary'!$D$5:$D$135&amp;"",$C1458)),--('Category Dictionary'!$D$5:$D$135&lt;&gt;"")))</f>
        <v/>
      </c>
      <c r="L1458" s="27">
        <f>IF($A1458="","",TRIM(IF(ISERROR(FIND(",",$C1458)),$C1458,LEFT($C1458,FIND(",",$C1458)-1))))</f>
        <v/>
      </c>
      <c r="M1458" s="28">
        <f>IF($H1458="","",DATE(YEAR($H1458),MONTH($H1458),1))</f>
        <v/>
      </c>
      <c r="N1458" s="26">
        <f>IF($H1458="","",TODAY()-$H1458)</f>
        <v/>
      </c>
      <c r="O1458" s="15" t="n"/>
      <c r="P1458" s="26">
        <f>IF($A1458="","",COUNTIFS('Audit Versions'!$A$6:$A$605,$A1458,'Audit Versions'!$L$6:$L$605,"Active"))</f>
        <v/>
      </c>
      <c r="Q1458" s="15" t="n"/>
      <c r="R1458" s="26">
        <f>IF(OR($A1458="",$P1458=0),"",MOD(N($Q1458),$P1458)+1)</f>
        <v/>
      </c>
      <c r="S1458" s="15" t="n"/>
      <c r="T1458" s="25" t="n"/>
      <c r="U1458" s="26">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Builder'!$B$12="",N($S1458)&lt;='Assignment Builder'!$B$12)))</f>
        <v/>
      </c>
      <c r="V1458" s="23" t="n"/>
    </row>
    <row r="1459">
      <c r="A1459" s="23" t="n"/>
      <c r="B1459" s="23" t="n"/>
      <c r="C1459" s="24" t="n"/>
      <c r="D1459" s="15" t="n"/>
      <c r="E1459" s="23" t="n"/>
      <c r="F1459" s="15" t="n"/>
      <c r="G1459" s="23" t="n"/>
      <c r="H1459" s="25" t="n"/>
      <c r="I1459" s="15" t="n"/>
      <c r="J1459" s="26">
        <f>IF($A1459="","",LEN($C1459)-LEN(SUBSTITUTE($C1459,",",""))+1)</f>
        <v/>
      </c>
      <c r="K1459" s="26">
        <f>IF($A1459="","",SUMPRODUCT(--ISNUMBER(SEARCH('Category Dictionary'!$D$5:$D$135&amp;"",$C1459)),--('Category Dictionary'!$D$5:$D$135&lt;&gt;"")))</f>
        <v/>
      </c>
      <c r="L1459" s="27">
        <f>IF($A1459="","",TRIM(IF(ISERROR(FIND(",",$C1459)),$C1459,LEFT($C1459,FIND(",",$C1459)-1))))</f>
        <v/>
      </c>
      <c r="M1459" s="28">
        <f>IF($H1459="","",DATE(YEAR($H1459),MONTH($H1459),1))</f>
        <v/>
      </c>
      <c r="N1459" s="26">
        <f>IF($H1459="","",TODAY()-$H1459)</f>
        <v/>
      </c>
      <c r="O1459" s="15" t="n"/>
      <c r="P1459" s="26">
        <f>IF($A1459="","",COUNTIFS('Audit Versions'!$A$6:$A$605,$A1459,'Audit Versions'!$L$6:$L$605,"Active"))</f>
        <v/>
      </c>
      <c r="Q1459" s="15" t="n"/>
      <c r="R1459" s="26">
        <f>IF(OR($A1459="",$P1459=0),"",MOD(N($Q1459),$P1459)+1)</f>
        <v/>
      </c>
      <c r="S1459" s="15" t="n"/>
      <c r="T1459" s="25" t="n"/>
      <c r="U1459" s="26">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Builder'!$B$12="",N($S1459)&lt;='Assignment Builder'!$B$12)))</f>
        <v/>
      </c>
      <c r="V1459" s="23" t="n"/>
    </row>
    <row r="1460">
      <c r="A1460" s="23" t="n"/>
      <c r="B1460" s="23" t="n"/>
      <c r="C1460" s="24" t="n"/>
      <c r="D1460" s="15" t="n"/>
      <c r="E1460" s="23" t="n"/>
      <c r="F1460" s="15" t="n"/>
      <c r="G1460" s="23" t="n"/>
      <c r="H1460" s="25" t="n"/>
      <c r="I1460" s="15" t="n"/>
      <c r="J1460" s="26">
        <f>IF($A1460="","",LEN($C1460)-LEN(SUBSTITUTE($C1460,",",""))+1)</f>
        <v/>
      </c>
      <c r="K1460" s="26">
        <f>IF($A1460="","",SUMPRODUCT(--ISNUMBER(SEARCH('Category Dictionary'!$D$5:$D$135&amp;"",$C1460)),--('Category Dictionary'!$D$5:$D$135&lt;&gt;"")))</f>
        <v/>
      </c>
      <c r="L1460" s="27">
        <f>IF($A1460="","",TRIM(IF(ISERROR(FIND(",",$C1460)),$C1460,LEFT($C1460,FIND(",",$C1460)-1))))</f>
        <v/>
      </c>
      <c r="M1460" s="28">
        <f>IF($H1460="","",DATE(YEAR($H1460),MONTH($H1460),1))</f>
        <v/>
      </c>
      <c r="N1460" s="26">
        <f>IF($H1460="","",TODAY()-$H1460)</f>
        <v/>
      </c>
      <c r="O1460" s="15" t="n"/>
      <c r="P1460" s="26">
        <f>IF($A1460="","",COUNTIFS('Audit Versions'!$A$6:$A$605,$A1460,'Audit Versions'!$L$6:$L$605,"Active"))</f>
        <v/>
      </c>
      <c r="Q1460" s="15" t="n"/>
      <c r="R1460" s="26">
        <f>IF(OR($A1460="",$P1460=0),"",MOD(N($Q1460),$P1460)+1)</f>
        <v/>
      </c>
      <c r="S1460" s="15" t="n"/>
      <c r="T1460" s="25" t="n"/>
      <c r="U1460" s="26">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Builder'!$B$12="",N($S1460)&lt;='Assignment Builder'!$B$12)))</f>
        <v/>
      </c>
      <c r="V1460" s="23" t="n"/>
    </row>
    <row r="1461">
      <c r="A1461" s="23" t="n"/>
      <c r="B1461" s="23" t="n"/>
      <c r="C1461" s="24" t="n"/>
      <c r="D1461" s="15" t="n"/>
      <c r="E1461" s="23" t="n"/>
      <c r="F1461" s="15" t="n"/>
      <c r="G1461" s="23" t="n"/>
      <c r="H1461" s="25" t="n"/>
      <c r="I1461" s="15" t="n"/>
      <c r="J1461" s="26">
        <f>IF($A1461="","",LEN($C1461)-LEN(SUBSTITUTE($C1461,",",""))+1)</f>
        <v/>
      </c>
      <c r="K1461" s="26">
        <f>IF($A1461="","",SUMPRODUCT(--ISNUMBER(SEARCH('Category Dictionary'!$D$5:$D$135&amp;"",$C1461)),--('Category Dictionary'!$D$5:$D$135&lt;&gt;"")))</f>
        <v/>
      </c>
      <c r="L1461" s="27">
        <f>IF($A1461="","",TRIM(IF(ISERROR(FIND(",",$C1461)),$C1461,LEFT($C1461,FIND(",",$C1461)-1))))</f>
        <v/>
      </c>
      <c r="M1461" s="28">
        <f>IF($H1461="","",DATE(YEAR($H1461),MONTH($H1461),1))</f>
        <v/>
      </c>
      <c r="N1461" s="26">
        <f>IF($H1461="","",TODAY()-$H1461)</f>
        <v/>
      </c>
      <c r="O1461" s="15" t="n"/>
      <c r="P1461" s="26">
        <f>IF($A1461="","",COUNTIFS('Audit Versions'!$A$6:$A$605,$A1461,'Audit Versions'!$L$6:$L$605,"Active"))</f>
        <v/>
      </c>
      <c r="Q1461" s="15" t="n"/>
      <c r="R1461" s="26">
        <f>IF(OR($A1461="",$P1461=0),"",MOD(N($Q1461),$P1461)+1)</f>
        <v/>
      </c>
      <c r="S1461" s="15" t="n"/>
      <c r="T1461" s="25" t="n"/>
      <c r="U1461" s="26">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Builder'!$B$12="",N($S1461)&lt;='Assignment Builder'!$B$12)))</f>
        <v/>
      </c>
      <c r="V1461" s="23" t="n"/>
    </row>
    <row r="1462">
      <c r="A1462" s="23" t="n"/>
      <c r="B1462" s="23" t="n"/>
      <c r="C1462" s="24" t="n"/>
      <c r="D1462" s="15" t="n"/>
      <c r="E1462" s="23" t="n"/>
      <c r="F1462" s="15" t="n"/>
      <c r="G1462" s="23" t="n"/>
      <c r="H1462" s="25" t="n"/>
      <c r="I1462" s="15" t="n"/>
      <c r="J1462" s="26">
        <f>IF($A1462="","",LEN($C1462)-LEN(SUBSTITUTE($C1462,",",""))+1)</f>
        <v/>
      </c>
      <c r="K1462" s="26">
        <f>IF($A1462="","",SUMPRODUCT(--ISNUMBER(SEARCH('Category Dictionary'!$D$5:$D$135&amp;"",$C1462)),--('Category Dictionary'!$D$5:$D$135&lt;&gt;"")))</f>
        <v/>
      </c>
      <c r="L1462" s="27">
        <f>IF($A1462="","",TRIM(IF(ISERROR(FIND(",",$C1462)),$C1462,LEFT($C1462,FIND(",",$C1462)-1))))</f>
        <v/>
      </c>
      <c r="M1462" s="28">
        <f>IF($H1462="","",DATE(YEAR($H1462),MONTH($H1462),1))</f>
        <v/>
      </c>
      <c r="N1462" s="26">
        <f>IF($H1462="","",TODAY()-$H1462)</f>
        <v/>
      </c>
      <c r="O1462" s="15" t="n"/>
      <c r="P1462" s="26">
        <f>IF($A1462="","",COUNTIFS('Audit Versions'!$A$6:$A$605,$A1462,'Audit Versions'!$L$6:$L$605,"Active"))</f>
        <v/>
      </c>
      <c r="Q1462" s="15" t="n"/>
      <c r="R1462" s="26">
        <f>IF(OR($A1462="",$P1462=0),"",MOD(N($Q1462),$P1462)+1)</f>
        <v/>
      </c>
      <c r="S1462" s="15" t="n"/>
      <c r="T1462" s="25" t="n"/>
      <c r="U1462" s="26">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Builder'!$B$12="",N($S1462)&lt;='Assignment Builder'!$B$12)))</f>
        <v/>
      </c>
      <c r="V1462" s="23" t="n"/>
    </row>
    <row r="1463">
      <c r="A1463" s="23" t="n"/>
      <c r="B1463" s="23" t="n"/>
      <c r="C1463" s="24" t="n"/>
      <c r="D1463" s="15" t="n"/>
      <c r="E1463" s="23" t="n"/>
      <c r="F1463" s="15" t="n"/>
      <c r="G1463" s="23" t="n"/>
      <c r="H1463" s="25" t="n"/>
      <c r="I1463" s="15" t="n"/>
      <c r="J1463" s="26">
        <f>IF($A1463="","",LEN($C1463)-LEN(SUBSTITUTE($C1463,",",""))+1)</f>
        <v/>
      </c>
      <c r="K1463" s="26">
        <f>IF($A1463="","",SUMPRODUCT(--ISNUMBER(SEARCH('Category Dictionary'!$D$5:$D$135&amp;"",$C1463)),--('Category Dictionary'!$D$5:$D$135&lt;&gt;"")))</f>
        <v/>
      </c>
      <c r="L1463" s="27">
        <f>IF($A1463="","",TRIM(IF(ISERROR(FIND(",",$C1463)),$C1463,LEFT($C1463,FIND(",",$C1463)-1))))</f>
        <v/>
      </c>
      <c r="M1463" s="28">
        <f>IF($H1463="","",DATE(YEAR($H1463),MONTH($H1463),1))</f>
        <v/>
      </c>
      <c r="N1463" s="26">
        <f>IF($H1463="","",TODAY()-$H1463)</f>
        <v/>
      </c>
      <c r="O1463" s="15" t="n"/>
      <c r="P1463" s="26">
        <f>IF($A1463="","",COUNTIFS('Audit Versions'!$A$6:$A$605,$A1463,'Audit Versions'!$L$6:$L$605,"Active"))</f>
        <v/>
      </c>
      <c r="Q1463" s="15" t="n"/>
      <c r="R1463" s="26">
        <f>IF(OR($A1463="",$P1463=0),"",MOD(N($Q1463),$P1463)+1)</f>
        <v/>
      </c>
      <c r="S1463" s="15" t="n"/>
      <c r="T1463" s="25" t="n"/>
      <c r="U1463" s="26">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Builder'!$B$12="",N($S1463)&lt;='Assignment Builder'!$B$12)))</f>
        <v/>
      </c>
      <c r="V1463" s="23" t="n"/>
    </row>
    <row r="1464">
      <c r="A1464" s="23" t="n"/>
      <c r="B1464" s="23" t="n"/>
      <c r="C1464" s="24" t="n"/>
      <c r="D1464" s="15" t="n"/>
      <c r="E1464" s="23" t="n"/>
      <c r="F1464" s="15" t="n"/>
      <c r="G1464" s="23" t="n"/>
      <c r="H1464" s="25" t="n"/>
      <c r="I1464" s="15" t="n"/>
      <c r="J1464" s="26">
        <f>IF($A1464="","",LEN($C1464)-LEN(SUBSTITUTE($C1464,",",""))+1)</f>
        <v/>
      </c>
      <c r="K1464" s="26">
        <f>IF($A1464="","",SUMPRODUCT(--ISNUMBER(SEARCH('Category Dictionary'!$D$5:$D$135&amp;"",$C1464)),--('Category Dictionary'!$D$5:$D$135&lt;&gt;"")))</f>
        <v/>
      </c>
      <c r="L1464" s="27">
        <f>IF($A1464="","",TRIM(IF(ISERROR(FIND(",",$C1464)),$C1464,LEFT($C1464,FIND(",",$C1464)-1))))</f>
        <v/>
      </c>
      <c r="M1464" s="28">
        <f>IF($H1464="","",DATE(YEAR($H1464),MONTH($H1464),1))</f>
        <v/>
      </c>
      <c r="N1464" s="26">
        <f>IF($H1464="","",TODAY()-$H1464)</f>
        <v/>
      </c>
      <c r="O1464" s="15" t="n"/>
      <c r="P1464" s="26">
        <f>IF($A1464="","",COUNTIFS('Audit Versions'!$A$6:$A$605,$A1464,'Audit Versions'!$L$6:$L$605,"Active"))</f>
        <v/>
      </c>
      <c r="Q1464" s="15" t="n"/>
      <c r="R1464" s="26">
        <f>IF(OR($A1464="",$P1464=0),"",MOD(N($Q1464),$P1464)+1)</f>
        <v/>
      </c>
      <c r="S1464" s="15" t="n"/>
      <c r="T1464" s="25" t="n"/>
      <c r="U1464" s="26">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Builder'!$B$12="",N($S1464)&lt;='Assignment Builder'!$B$12)))</f>
        <v/>
      </c>
      <c r="V1464" s="23" t="n"/>
    </row>
    <row r="1465">
      <c r="A1465" s="23" t="n"/>
      <c r="B1465" s="23" t="n"/>
      <c r="C1465" s="24" t="n"/>
      <c r="D1465" s="15" t="n"/>
      <c r="E1465" s="23" t="n"/>
      <c r="F1465" s="15" t="n"/>
      <c r="G1465" s="23" t="n"/>
      <c r="H1465" s="25" t="n"/>
      <c r="I1465" s="15" t="n"/>
      <c r="J1465" s="26">
        <f>IF($A1465="","",LEN($C1465)-LEN(SUBSTITUTE($C1465,",",""))+1)</f>
        <v/>
      </c>
      <c r="K1465" s="26">
        <f>IF($A1465="","",SUMPRODUCT(--ISNUMBER(SEARCH('Category Dictionary'!$D$5:$D$135&amp;"",$C1465)),--('Category Dictionary'!$D$5:$D$135&lt;&gt;"")))</f>
        <v/>
      </c>
      <c r="L1465" s="27">
        <f>IF($A1465="","",TRIM(IF(ISERROR(FIND(",",$C1465)),$C1465,LEFT($C1465,FIND(",",$C1465)-1))))</f>
        <v/>
      </c>
      <c r="M1465" s="28">
        <f>IF($H1465="","",DATE(YEAR($H1465),MONTH($H1465),1))</f>
        <v/>
      </c>
      <c r="N1465" s="26">
        <f>IF($H1465="","",TODAY()-$H1465)</f>
        <v/>
      </c>
      <c r="O1465" s="15" t="n"/>
      <c r="P1465" s="26">
        <f>IF($A1465="","",COUNTIFS('Audit Versions'!$A$6:$A$605,$A1465,'Audit Versions'!$L$6:$L$605,"Active"))</f>
        <v/>
      </c>
      <c r="Q1465" s="15" t="n"/>
      <c r="R1465" s="26">
        <f>IF(OR($A1465="",$P1465=0),"",MOD(N($Q1465),$P1465)+1)</f>
        <v/>
      </c>
      <c r="S1465" s="15" t="n"/>
      <c r="T1465" s="25" t="n"/>
      <c r="U1465" s="26">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Builder'!$B$12="",N($S1465)&lt;='Assignment Builder'!$B$12)))</f>
        <v/>
      </c>
      <c r="V1465" s="23" t="n"/>
    </row>
    <row r="1466">
      <c r="A1466" s="23" t="n"/>
      <c r="B1466" s="23" t="n"/>
      <c r="C1466" s="24" t="n"/>
      <c r="D1466" s="15" t="n"/>
      <c r="E1466" s="23" t="n"/>
      <c r="F1466" s="15" t="n"/>
      <c r="G1466" s="23" t="n"/>
      <c r="H1466" s="25" t="n"/>
      <c r="I1466" s="15" t="n"/>
      <c r="J1466" s="26">
        <f>IF($A1466="","",LEN($C1466)-LEN(SUBSTITUTE($C1466,",",""))+1)</f>
        <v/>
      </c>
      <c r="K1466" s="26">
        <f>IF($A1466="","",SUMPRODUCT(--ISNUMBER(SEARCH('Category Dictionary'!$D$5:$D$135&amp;"",$C1466)),--('Category Dictionary'!$D$5:$D$135&lt;&gt;"")))</f>
        <v/>
      </c>
      <c r="L1466" s="27">
        <f>IF($A1466="","",TRIM(IF(ISERROR(FIND(",",$C1466)),$C1466,LEFT($C1466,FIND(",",$C1466)-1))))</f>
        <v/>
      </c>
      <c r="M1466" s="28">
        <f>IF($H1466="","",DATE(YEAR($H1466),MONTH($H1466),1))</f>
        <v/>
      </c>
      <c r="N1466" s="26">
        <f>IF($H1466="","",TODAY()-$H1466)</f>
        <v/>
      </c>
      <c r="O1466" s="15" t="n"/>
      <c r="P1466" s="26">
        <f>IF($A1466="","",COUNTIFS('Audit Versions'!$A$6:$A$605,$A1466,'Audit Versions'!$L$6:$L$605,"Active"))</f>
        <v/>
      </c>
      <c r="Q1466" s="15" t="n"/>
      <c r="R1466" s="26">
        <f>IF(OR($A1466="",$P1466=0),"",MOD(N($Q1466),$P1466)+1)</f>
        <v/>
      </c>
      <c r="S1466" s="15" t="n"/>
      <c r="T1466" s="25" t="n"/>
      <c r="U1466" s="26">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Builder'!$B$12="",N($S1466)&lt;='Assignment Builder'!$B$12)))</f>
        <v/>
      </c>
      <c r="V1466" s="23" t="n"/>
    </row>
    <row r="1467">
      <c r="A1467" s="23" t="n"/>
      <c r="B1467" s="23" t="n"/>
      <c r="C1467" s="24" t="n"/>
      <c r="D1467" s="15" t="n"/>
      <c r="E1467" s="23" t="n"/>
      <c r="F1467" s="15" t="n"/>
      <c r="G1467" s="23" t="n"/>
      <c r="H1467" s="25" t="n"/>
      <c r="I1467" s="15" t="n"/>
      <c r="J1467" s="26">
        <f>IF($A1467="","",LEN($C1467)-LEN(SUBSTITUTE($C1467,",",""))+1)</f>
        <v/>
      </c>
      <c r="K1467" s="26">
        <f>IF($A1467="","",SUMPRODUCT(--ISNUMBER(SEARCH('Category Dictionary'!$D$5:$D$135&amp;"",$C1467)),--('Category Dictionary'!$D$5:$D$135&lt;&gt;"")))</f>
        <v/>
      </c>
      <c r="L1467" s="27">
        <f>IF($A1467="","",TRIM(IF(ISERROR(FIND(",",$C1467)),$C1467,LEFT($C1467,FIND(",",$C1467)-1))))</f>
        <v/>
      </c>
      <c r="M1467" s="28">
        <f>IF($H1467="","",DATE(YEAR($H1467),MONTH($H1467),1))</f>
        <v/>
      </c>
      <c r="N1467" s="26">
        <f>IF($H1467="","",TODAY()-$H1467)</f>
        <v/>
      </c>
      <c r="O1467" s="15" t="n"/>
      <c r="P1467" s="26">
        <f>IF($A1467="","",COUNTIFS('Audit Versions'!$A$6:$A$605,$A1467,'Audit Versions'!$L$6:$L$605,"Active"))</f>
        <v/>
      </c>
      <c r="Q1467" s="15" t="n"/>
      <c r="R1467" s="26">
        <f>IF(OR($A1467="",$P1467=0),"",MOD(N($Q1467),$P1467)+1)</f>
        <v/>
      </c>
      <c r="S1467" s="15" t="n"/>
      <c r="T1467" s="25" t="n"/>
      <c r="U1467" s="26">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Builder'!$B$12="",N($S1467)&lt;='Assignment Builder'!$B$12)))</f>
        <v/>
      </c>
      <c r="V1467" s="23" t="n"/>
    </row>
    <row r="1468">
      <c r="A1468" s="23" t="n"/>
      <c r="B1468" s="23" t="n"/>
      <c r="C1468" s="24" t="n"/>
      <c r="D1468" s="15" t="n"/>
      <c r="E1468" s="23" t="n"/>
      <c r="F1468" s="15" t="n"/>
      <c r="G1468" s="23" t="n"/>
      <c r="H1468" s="25" t="n"/>
      <c r="I1468" s="15" t="n"/>
      <c r="J1468" s="26">
        <f>IF($A1468="","",LEN($C1468)-LEN(SUBSTITUTE($C1468,",",""))+1)</f>
        <v/>
      </c>
      <c r="K1468" s="26">
        <f>IF($A1468="","",SUMPRODUCT(--ISNUMBER(SEARCH('Category Dictionary'!$D$5:$D$135&amp;"",$C1468)),--('Category Dictionary'!$D$5:$D$135&lt;&gt;"")))</f>
        <v/>
      </c>
      <c r="L1468" s="27">
        <f>IF($A1468="","",TRIM(IF(ISERROR(FIND(",",$C1468)),$C1468,LEFT($C1468,FIND(",",$C1468)-1))))</f>
        <v/>
      </c>
      <c r="M1468" s="28">
        <f>IF($H1468="","",DATE(YEAR($H1468),MONTH($H1468),1))</f>
        <v/>
      </c>
      <c r="N1468" s="26">
        <f>IF($H1468="","",TODAY()-$H1468)</f>
        <v/>
      </c>
      <c r="O1468" s="15" t="n"/>
      <c r="P1468" s="26">
        <f>IF($A1468="","",COUNTIFS('Audit Versions'!$A$6:$A$605,$A1468,'Audit Versions'!$L$6:$L$605,"Active"))</f>
        <v/>
      </c>
      <c r="Q1468" s="15" t="n"/>
      <c r="R1468" s="26">
        <f>IF(OR($A1468="",$P1468=0),"",MOD(N($Q1468),$P1468)+1)</f>
        <v/>
      </c>
      <c r="S1468" s="15" t="n"/>
      <c r="T1468" s="25" t="n"/>
      <c r="U1468" s="26">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Builder'!$B$12="",N($S1468)&lt;='Assignment Builder'!$B$12)))</f>
        <v/>
      </c>
      <c r="V1468" s="23" t="n"/>
    </row>
    <row r="1469">
      <c r="A1469" s="23" t="n"/>
      <c r="B1469" s="23" t="n"/>
      <c r="C1469" s="24" t="n"/>
      <c r="D1469" s="15" t="n"/>
      <c r="E1469" s="23" t="n"/>
      <c r="F1469" s="15" t="n"/>
      <c r="G1469" s="23" t="n"/>
      <c r="H1469" s="25" t="n"/>
      <c r="I1469" s="15" t="n"/>
      <c r="J1469" s="26">
        <f>IF($A1469="","",LEN($C1469)-LEN(SUBSTITUTE($C1469,",",""))+1)</f>
        <v/>
      </c>
      <c r="K1469" s="26">
        <f>IF($A1469="","",SUMPRODUCT(--ISNUMBER(SEARCH('Category Dictionary'!$D$5:$D$135&amp;"",$C1469)),--('Category Dictionary'!$D$5:$D$135&lt;&gt;"")))</f>
        <v/>
      </c>
      <c r="L1469" s="27">
        <f>IF($A1469="","",TRIM(IF(ISERROR(FIND(",",$C1469)),$C1469,LEFT($C1469,FIND(",",$C1469)-1))))</f>
        <v/>
      </c>
      <c r="M1469" s="28">
        <f>IF($H1469="","",DATE(YEAR($H1469),MONTH($H1469),1))</f>
        <v/>
      </c>
      <c r="N1469" s="26">
        <f>IF($H1469="","",TODAY()-$H1469)</f>
        <v/>
      </c>
      <c r="O1469" s="15" t="n"/>
      <c r="P1469" s="26">
        <f>IF($A1469="","",COUNTIFS('Audit Versions'!$A$6:$A$605,$A1469,'Audit Versions'!$L$6:$L$605,"Active"))</f>
        <v/>
      </c>
      <c r="Q1469" s="15" t="n"/>
      <c r="R1469" s="26">
        <f>IF(OR($A1469="",$P1469=0),"",MOD(N($Q1469),$P1469)+1)</f>
        <v/>
      </c>
      <c r="S1469" s="15" t="n"/>
      <c r="T1469" s="25" t="n"/>
      <c r="U1469" s="26">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Builder'!$B$12="",N($S1469)&lt;='Assignment Builder'!$B$12)))</f>
        <v/>
      </c>
      <c r="V1469" s="23" t="n"/>
    </row>
    <row r="1470">
      <c r="A1470" s="23" t="n"/>
      <c r="B1470" s="23" t="n"/>
      <c r="C1470" s="24" t="n"/>
      <c r="D1470" s="15" t="n"/>
      <c r="E1470" s="23" t="n"/>
      <c r="F1470" s="15" t="n"/>
      <c r="G1470" s="23" t="n"/>
      <c r="H1470" s="25" t="n"/>
      <c r="I1470" s="15" t="n"/>
      <c r="J1470" s="26">
        <f>IF($A1470="","",LEN($C1470)-LEN(SUBSTITUTE($C1470,",",""))+1)</f>
        <v/>
      </c>
      <c r="K1470" s="26">
        <f>IF($A1470="","",SUMPRODUCT(--ISNUMBER(SEARCH('Category Dictionary'!$D$5:$D$135&amp;"",$C1470)),--('Category Dictionary'!$D$5:$D$135&lt;&gt;"")))</f>
        <v/>
      </c>
      <c r="L1470" s="27">
        <f>IF($A1470="","",TRIM(IF(ISERROR(FIND(",",$C1470)),$C1470,LEFT($C1470,FIND(",",$C1470)-1))))</f>
        <v/>
      </c>
      <c r="M1470" s="28">
        <f>IF($H1470="","",DATE(YEAR($H1470),MONTH($H1470),1))</f>
        <v/>
      </c>
      <c r="N1470" s="26">
        <f>IF($H1470="","",TODAY()-$H1470)</f>
        <v/>
      </c>
      <c r="O1470" s="15" t="n"/>
      <c r="P1470" s="26">
        <f>IF($A1470="","",COUNTIFS('Audit Versions'!$A$6:$A$605,$A1470,'Audit Versions'!$L$6:$L$605,"Active"))</f>
        <v/>
      </c>
      <c r="Q1470" s="15" t="n"/>
      <c r="R1470" s="26">
        <f>IF(OR($A1470="",$P1470=0),"",MOD(N($Q1470),$P1470)+1)</f>
        <v/>
      </c>
      <c r="S1470" s="15" t="n"/>
      <c r="T1470" s="25" t="n"/>
      <c r="U1470" s="26">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Builder'!$B$12="",N($S1470)&lt;='Assignment Builder'!$B$12)))</f>
        <v/>
      </c>
      <c r="V1470" s="23" t="n"/>
    </row>
    <row r="1471">
      <c r="A1471" s="23" t="n"/>
      <c r="B1471" s="23" t="n"/>
      <c r="C1471" s="24" t="n"/>
      <c r="D1471" s="15" t="n"/>
      <c r="E1471" s="23" t="n"/>
      <c r="F1471" s="15" t="n"/>
      <c r="G1471" s="23" t="n"/>
      <c r="H1471" s="25" t="n"/>
      <c r="I1471" s="15" t="n"/>
      <c r="J1471" s="26">
        <f>IF($A1471="","",LEN($C1471)-LEN(SUBSTITUTE($C1471,",",""))+1)</f>
        <v/>
      </c>
      <c r="K1471" s="26">
        <f>IF($A1471="","",SUMPRODUCT(--ISNUMBER(SEARCH('Category Dictionary'!$D$5:$D$135&amp;"",$C1471)),--('Category Dictionary'!$D$5:$D$135&lt;&gt;"")))</f>
        <v/>
      </c>
      <c r="L1471" s="27">
        <f>IF($A1471="","",TRIM(IF(ISERROR(FIND(",",$C1471)),$C1471,LEFT($C1471,FIND(",",$C1471)-1))))</f>
        <v/>
      </c>
      <c r="M1471" s="28">
        <f>IF($H1471="","",DATE(YEAR($H1471),MONTH($H1471),1))</f>
        <v/>
      </c>
      <c r="N1471" s="26">
        <f>IF($H1471="","",TODAY()-$H1471)</f>
        <v/>
      </c>
      <c r="O1471" s="15" t="n"/>
      <c r="P1471" s="26">
        <f>IF($A1471="","",COUNTIFS('Audit Versions'!$A$6:$A$605,$A1471,'Audit Versions'!$L$6:$L$605,"Active"))</f>
        <v/>
      </c>
      <c r="Q1471" s="15" t="n"/>
      <c r="R1471" s="26">
        <f>IF(OR($A1471="",$P1471=0),"",MOD(N($Q1471),$P1471)+1)</f>
        <v/>
      </c>
      <c r="S1471" s="15" t="n"/>
      <c r="T1471" s="25" t="n"/>
      <c r="U1471" s="26">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Builder'!$B$12="",N($S1471)&lt;='Assignment Builder'!$B$12)))</f>
        <v/>
      </c>
      <c r="V1471" s="23" t="n"/>
    </row>
    <row r="1472">
      <c r="A1472" s="23" t="n"/>
      <c r="B1472" s="23" t="n"/>
      <c r="C1472" s="24" t="n"/>
      <c r="D1472" s="15" t="n"/>
      <c r="E1472" s="23" t="n"/>
      <c r="F1472" s="15" t="n"/>
      <c r="G1472" s="23" t="n"/>
      <c r="H1472" s="25" t="n"/>
      <c r="I1472" s="15" t="n"/>
      <c r="J1472" s="26">
        <f>IF($A1472="","",LEN($C1472)-LEN(SUBSTITUTE($C1472,",",""))+1)</f>
        <v/>
      </c>
      <c r="K1472" s="26">
        <f>IF($A1472="","",SUMPRODUCT(--ISNUMBER(SEARCH('Category Dictionary'!$D$5:$D$135&amp;"",$C1472)),--('Category Dictionary'!$D$5:$D$135&lt;&gt;"")))</f>
        <v/>
      </c>
      <c r="L1472" s="27">
        <f>IF($A1472="","",TRIM(IF(ISERROR(FIND(",",$C1472)),$C1472,LEFT($C1472,FIND(",",$C1472)-1))))</f>
        <v/>
      </c>
      <c r="M1472" s="28">
        <f>IF($H1472="","",DATE(YEAR($H1472),MONTH($H1472),1))</f>
        <v/>
      </c>
      <c r="N1472" s="26">
        <f>IF($H1472="","",TODAY()-$H1472)</f>
        <v/>
      </c>
      <c r="O1472" s="15" t="n"/>
      <c r="P1472" s="26">
        <f>IF($A1472="","",COUNTIFS('Audit Versions'!$A$6:$A$605,$A1472,'Audit Versions'!$L$6:$L$605,"Active"))</f>
        <v/>
      </c>
      <c r="Q1472" s="15" t="n"/>
      <c r="R1472" s="26">
        <f>IF(OR($A1472="",$P1472=0),"",MOD(N($Q1472),$P1472)+1)</f>
        <v/>
      </c>
      <c r="S1472" s="15" t="n"/>
      <c r="T1472" s="25" t="n"/>
      <c r="U1472" s="26">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Builder'!$B$12="",N($S1472)&lt;='Assignment Builder'!$B$12)))</f>
        <v/>
      </c>
      <c r="V1472" s="23" t="n"/>
    </row>
    <row r="1473">
      <c r="A1473" s="23" t="n"/>
      <c r="B1473" s="23" t="n"/>
      <c r="C1473" s="24" t="n"/>
      <c r="D1473" s="15" t="n"/>
      <c r="E1473" s="23" t="n"/>
      <c r="F1473" s="15" t="n"/>
      <c r="G1473" s="23" t="n"/>
      <c r="H1473" s="25" t="n"/>
      <c r="I1473" s="15" t="n"/>
      <c r="J1473" s="26">
        <f>IF($A1473="","",LEN($C1473)-LEN(SUBSTITUTE($C1473,",",""))+1)</f>
        <v/>
      </c>
      <c r="K1473" s="26">
        <f>IF($A1473="","",SUMPRODUCT(--ISNUMBER(SEARCH('Category Dictionary'!$D$5:$D$135&amp;"",$C1473)),--('Category Dictionary'!$D$5:$D$135&lt;&gt;"")))</f>
        <v/>
      </c>
      <c r="L1473" s="27">
        <f>IF($A1473="","",TRIM(IF(ISERROR(FIND(",",$C1473)),$C1473,LEFT($C1473,FIND(",",$C1473)-1))))</f>
        <v/>
      </c>
      <c r="M1473" s="28">
        <f>IF($H1473="","",DATE(YEAR($H1473),MONTH($H1473),1))</f>
        <v/>
      </c>
      <c r="N1473" s="26">
        <f>IF($H1473="","",TODAY()-$H1473)</f>
        <v/>
      </c>
      <c r="O1473" s="15" t="n"/>
      <c r="P1473" s="26">
        <f>IF($A1473="","",COUNTIFS('Audit Versions'!$A$6:$A$605,$A1473,'Audit Versions'!$L$6:$L$605,"Active"))</f>
        <v/>
      </c>
      <c r="Q1473" s="15" t="n"/>
      <c r="R1473" s="26">
        <f>IF(OR($A1473="",$P1473=0),"",MOD(N($Q1473),$P1473)+1)</f>
        <v/>
      </c>
      <c r="S1473" s="15" t="n"/>
      <c r="T1473" s="25" t="n"/>
      <c r="U1473" s="26">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Builder'!$B$12="",N($S1473)&lt;='Assignment Builder'!$B$12)))</f>
        <v/>
      </c>
      <c r="V1473" s="23" t="n"/>
    </row>
    <row r="1474">
      <c r="A1474" s="23" t="n"/>
      <c r="B1474" s="23" t="n"/>
      <c r="C1474" s="24" t="n"/>
      <c r="D1474" s="15" t="n"/>
      <c r="E1474" s="23" t="n"/>
      <c r="F1474" s="15" t="n"/>
      <c r="G1474" s="23" t="n"/>
      <c r="H1474" s="25" t="n"/>
      <c r="I1474" s="15" t="n"/>
      <c r="J1474" s="26">
        <f>IF($A1474="","",LEN($C1474)-LEN(SUBSTITUTE($C1474,",",""))+1)</f>
        <v/>
      </c>
      <c r="K1474" s="26">
        <f>IF($A1474="","",SUMPRODUCT(--ISNUMBER(SEARCH('Category Dictionary'!$D$5:$D$135&amp;"",$C1474)),--('Category Dictionary'!$D$5:$D$135&lt;&gt;"")))</f>
        <v/>
      </c>
      <c r="L1474" s="27">
        <f>IF($A1474="","",TRIM(IF(ISERROR(FIND(",",$C1474)),$C1474,LEFT($C1474,FIND(",",$C1474)-1))))</f>
        <v/>
      </c>
      <c r="M1474" s="28">
        <f>IF($H1474="","",DATE(YEAR($H1474),MONTH($H1474),1))</f>
        <v/>
      </c>
      <c r="N1474" s="26">
        <f>IF($H1474="","",TODAY()-$H1474)</f>
        <v/>
      </c>
      <c r="O1474" s="15" t="n"/>
      <c r="P1474" s="26">
        <f>IF($A1474="","",COUNTIFS('Audit Versions'!$A$6:$A$605,$A1474,'Audit Versions'!$L$6:$L$605,"Active"))</f>
        <v/>
      </c>
      <c r="Q1474" s="15" t="n"/>
      <c r="R1474" s="26">
        <f>IF(OR($A1474="",$P1474=0),"",MOD(N($Q1474),$P1474)+1)</f>
        <v/>
      </c>
      <c r="S1474" s="15" t="n"/>
      <c r="T1474" s="25" t="n"/>
      <c r="U1474" s="26">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Builder'!$B$12="",N($S1474)&lt;='Assignment Builder'!$B$12)))</f>
        <v/>
      </c>
      <c r="V1474" s="23" t="n"/>
    </row>
    <row r="1475">
      <c r="A1475" s="23" t="n"/>
      <c r="B1475" s="23" t="n"/>
      <c r="C1475" s="24" t="n"/>
      <c r="D1475" s="15" t="n"/>
      <c r="E1475" s="23" t="n"/>
      <c r="F1475" s="15" t="n"/>
      <c r="G1475" s="23" t="n"/>
      <c r="H1475" s="25" t="n"/>
      <c r="I1475" s="15" t="n"/>
      <c r="J1475" s="26">
        <f>IF($A1475="","",LEN($C1475)-LEN(SUBSTITUTE($C1475,",",""))+1)</f>
        <v/>
      </c>
      <c r="K1475" s="26">
        <f>IF($A1475="","",SUMPRODUCT(--ISNUMBER(SEARCH('Category Dictionary'!$D$5:$D$135&amp;"",$C1475)),--('Category Dictionary'!$D$5:$D$135&lt;&gt;"")))</f>
        <v/>
      </c>
      <c r="L1475" s="27">
        <f>IF($A1475="","",TRIM(IF(ISERROR(FIND(",",$C1475)),$C1475,LEFT($C1475,FIND(",",$C1475)-1))))</f>
        <v/>
      </c>
      <c r="M1475" s="28">
        <f>IF($H1475="","",DATE(YEAR($H1475),MONTH($H1475),1))</f>
        <v/>
      </c>
      <c r="N1475" s="26">
        <f>IF($H1475="","",TODAY()-$H1475)</f>
        <v/>
      </c>
      <c r="O1475" s="15" t="n"/>
      <c r="P1475" s="26">
        <f>IF($A1475="","",COUNTIFS('Audit Versions'!$A$6:$A$605,$A1475,'Audit Versions'!$L$6:$L$605,"Active"))</f>
        <v/>
      </c>
      <c r="Q1475" s="15" t="n"/>
      <c r="R1475" s="26">
        <f>IF(OR($A1475="",$P1475=0),"",MOD(N($Q1475),$P1475)+1)</f>
        <v/>
      </c>
      <c r="S1475" s="15" t="n"/>
      <c r="T1475" s="25" t="n"/>
      <c r="U1475" s="26">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Builder'!$B$12="",N($S1475)&lt;='Assignment Builder'!$B$12)))</f>
        <v/>
      </c>
      <c r="V1475" s="23" t="n"/>
    </row>
    <row r="1476">
      <c r="A1476" s="23" t="n"/>
      <c r="B1476" s="23" t="n"/>
      <c r="C1476" s="24" t="n"/>
      <c r="D1476" s="15" t="n"/>
      <c r="E1476" s="23" t="n"/>
      <c r="F1476" s="15" t="n"/>
      <c r="G1476" s="23" t="n"/>
      <c r="H1476" s="25" t="n"/>
      <c r="I1476" s="15" t="n"/>
      <c r="J1476" s="26">
        <f>IF($A1476="","",LEN($C1476)-LEN(SUBSTITUTE($C1476,",",""))+1)</f>
        <v/>
      </c>
      <c r="K1476" s="26">
        <f>IF($A1476="","",SUMPRODUCT(--ISNUMBER(SEARCH('Category Dictionary'!$D$5:$D$135&amp;"",$C1476)),--('Category Dictionary'!$D$5:$D$135&lt;&gt;"")))</f>
        <v/>
      </c>
      <c r="L1476" s="27">
        <f>IF($A1476="","",TRIM(IF(ISERROR(FIND(",",$C1476)),$C1476,LEFT($C1476,FIND(",",$C1476)-1))))</f>
        <v/>
      </c>
      <c r="M1476" s="28">
        <f>IF($H1476="","",DATE(YEAR($H1476),MONTH($H1476),1))</f>
        <v/>
      </c>
      <c r="N1476" s="26">
        <f>IF($H1476="","",TODAY()-$H1476)</f>
        <v/>
      </c>
      <c r="O1476" s="15" t="n"/>
      <c r="P1476" s="26">
        <f>IF($A1476="","",COUNTIFS('Audit Versions'!$A$6:$A$605,$A1476,'Audit Versions'!$L$6:$L$605,"Active"))</f>
        <v/>
      </c>
      <c r="Q1476" s="15" t="n"/>
      <c r="R1476" s="26">
        <f>IF(OR($A1476="",$P1476=0),"",MOD(N($Q1476),$P1476)+1)</f>
        <v/>
      </c>
      <c r="S1476" s="15" t="n"/>
      <c r="T1476" s="25" t="n"/>
      <c r="U1476" s="26">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Builder'!$B$12="",N($S1476)&lt;='Assignment Builder'!$B$12)))</f>
        <v/>
      </c>
      <c r="V1476" s="23" t="n"/>
    </row>
    <row r="1477">
      <c r="A1477" s="23" t="n"/>
      <c r="B1477" s="23" t="n"/>
      <c r="C1477" s="24" t="n"/>
      <c r="D1477" s="15" t="n"/>
      <c r="E1477" s="23" t="n"/>
      <c r="F1477" s="15" t="n"/>
      <c r="G1477" s="23" t="n"/>
      <c r="H1477" s="25" t="n"/>
      <c r="I1477" s="15" t="n"/>
      <c r="J1477" s="26">
        <f>IF($A1477="","",LEN($C1477)-LEN(SUBSTITUTE($C1477,",",""))+1)</f>
        <v/>
      </c>
      <c r="K1477" s="26">
        <f>IF($A1477="","",SUMPRODUCT(--ISNUMBER(SEARCH('Category Dictionary'!$D$5:$D$135&amp;"",$C1477)),--('Category Dictionary'!$D$5:$D$135&lt;&gt;"")))</f>
        <v/>
      </c>
      <c r="L1477" s="27">
        <f>IF($A1477="","",TRIM(IF(ISERROR(FIND(",",$C1477)),$C1477,LEFT($C1477,FIND(",",$C1477)-1))))</f>
        <v/>
      </c>
      <c r="M1477" s="28">
        <f>IF($H1477="","",DATE(YEAR($H1477),MONTH($H1477),1))</f>
        <v/>
      </c>
      <c r="N1477" s="26">
        <f>IF($H1477="","",TODAY()-$H1477)</f>
        <v/>
      </c>
      <c r="O1477" s="15" t="n"/>
      <c r="P1477" s="26">
        <f>IF($A1477="","",COUNTIFS('Audit Versions'!$A$6:$A$605,$A1477,'Audit Versions'!$L$6:$L$605,"Active"))</f>
        <v/>
      </c>
      <c r="Q1477" s="15" t="n"/>
      <c r="R1477" s="26">
        <f>IF(OR($A1477="",$P1477=0),"",MOD(N($Q1477),$P1477)+1)</f>
        <v/>
      </c>
      <c r="S1477" s="15" t="n"/>
      <c r="T1477" s="25" t="n"/>
      <c r="U1477" s="26">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Builder'!$B$12="",N($S1477)&lt;='Assignment Builder'!$B$12)))</f>
        <v/>
      </c>
      <c r="V1477" s="23" t="n"/>
    </row>
    <row r="1478">
      <c r="A1478" s="23" t="n"/>
      <c r="B1478" s="23" t="n"/>
      <c r="C1478" s="24" t="n"/>
      <c r="D1478" s="15" t="n"/>
      <c r="E1478" s="23" t="n"/>
      <c r="F1478" s="15" t="n"/>
      <c r="G1478" s="23" t="n"/>
      <c r="H1478" s="25" t="n"/>
      <c r="I1478" s="15" t="n"/>
      <c r="J1478" s="26">
        <f>IF($A1478="","",LEN($C1478)-LEN(SUBSTITUTE($C1478,",",""))+1)</f>
        <v/>
      </c>
      <c r="K1478" s="26">
        <f>IF($A1478="","",SUMPRODUCT(--ISNUMBER(SEARCH('Category Dictionary'!$D$5:$D$135&amp;"",$C1478)),--('Category Dictionary'!$D$5:$D$135&lt;&gt;"")))</f>
        <v/>
      </c>
      <c r="L1478" s="27">
        <f>IF($A1478="","",TRIM(IF(ISERROR(FIND(",",$C1478)),$C1478,LEFT($C1478,FIND(",",$C1478)-1))))</f>
        <v/>
      </c>
      <c r="M1478" s="28">
        <f>IF($H1478="","",DATE(YEAR($H1478),MONTH($H1478),1))</f>
        <v/>
      </c>
      <c r="N1478" s="26">
        <f>IF($H1478="","",TODAY()-$H1478)</f>
        <v/>
      </c>
      <c r="O1478" s="15" t="n"/>
      <c r="P1478" s="26">
        <f>IF($A1478="","",COUNTIFS('Audit Versions'!$A$6:$A$605,$A1478,'Audit Versions'!$L$6:$L$605,"Active"))</f>
        <v/>
      </c>
      <c r="Q1478" s="15" t="n"/>
      <c r="R1478" s="26">
        <f>IF(OR($A1478="",$P1478=0),"",MOD(N($Q1478),$P1478)+1)</f>
        <v/>
      </c>
      <c r="S1478" s="15" t="n"/>
      <c r="T1478" s="25" t="n"/>
      <c r="U1478" s="26">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Builder'!$B$12="",N($S1478)&lt;='Assignment Builder'!$B$12)))</f>
        <v/>
      </c>
      <c r="V1478" s="23" t="n"/>
    </row>
    <row r="1479">
      <c r="A1479" s="23" t="n"/>
      <c r="B1479" s="23" t="n"/>
      <c r="C1479" s="24" t="n"/>
      <c r="D1479" s="15" t="n"/>
      <c r="E1479" s="23" t="n"/>
      <c r="F1479" s="15" t="n"/>
      <c r="G1479" s="23" t="n"/>
      <c r="H1479" s="25" t="n"/>
      <c r="I1479" s="15" t="n"/>
      <c r="J1479" s="26">
        <f>IF($A1479="","",LEN($C1479)-LEN(SUBSTITUTE($C1479,",",""))+1)</f>
        <v/>
      </c>
      <c r="K1479" s="26">
        <f>IF($A1479="","",SUMPRODUCT(--ISNUMBER(SEARCH('Category Dictionary'!$D$5:$D$135&amp;"",$C1479)),--('Category Dictionary'!$D$5:$D$135&lt;&gt;"")))</f>
        <v/>
      </c>
      <c r="L1479" s="27">
        <f>IF($A1479="","",TRIM(IF(ISERROR(FIND(",",$C1479)),$C1479,LEFT($C1479,FIND(",",$C1479)-1))))</f>
        <v/>
      </c>
      <c r="M1479" s="28">
        <f>IF($H1479="","",DATE(YEAR($H1479),MONTH($H1479),1))</f>
        <v/>
      </c>
      <c r="N1479" s="26">
        <f>IF($H1479="","",TODAY()-$H1479)</f>
        <v/>
      </c>
      <c r="O1479" s="15" t="n"/>
      <c r="P1479" s="26">
        <f>IF($A1479="","",COUNTIFS('Audit Versions'!$A$6:$A$605,$A1479,'Audit Versions'!$L$6:$L$605,"Active"))</f>
        <v/>
      </c>
      <c r="Q1479" s="15" t="n"/>
      <c r="R1479" s="26">
        <f>IF(OR($A1479="",$P1479=0),"",MOD(N($Q1479),$P1479)+1)</f>
        <v/>
      </c>
      <c r="S1479" s="15" t="n"/>
      <c r="T1479" s="25" t="n"/>
      <c r="U1479" s="26">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Builder'!$B$12="",N($S1479)&lt;='Assignment Builder'!$B$12)))</f>
        <v/>
      </c>
      <c r="V1479" s="23" t="n"/>
    </row>
    <row r="1480">
      <c r="A1480" s="23" t="n"/>
      <c r="B1480" s="23" t="n"/>
      <c r="C1480" s="24" t="n"/>
      <c r="D1480" s="15" t="n"/>
      <c r="E1480" s="23" t="n"/>
      <c r="F1480" s="15" t="n"/>
      <c r="G1480" s="23" t="n"/>
      <c r="H1480" s="25" t="n"/>
      <c r="I1480" s="15" t="n"/>
      <c r="J1480" s="26">
        <f>IF($A1480="","",LEN($C1480)-LEN(SUBSTITUTE($C1480,",",""))+1)</f>
        <v/>
      </c>
      <c r="K1480" s="26">
        <f>IF($A1480="","",SUMPRODUCT(--ISNUMBER(SEARCH('Category Dictionary'!$D$5:$D$135&amp;"",$C1480)),--('Category Dictionary'!$D$5:$D$135&lt;&gt;"")))</f>
        <v/>
      </c>
      <c r="L1480" s="27">
        <f>IF($A1480="","",TRIM(IF(ISERROR(FIND(",",$C1480)),$C1480,LEFT($C1480,FIND(",",$C1480)-1))))</f>
        <v/>
      </c>
      <c r="M1480" s="28">
        <f>IF($H1480="","",DATE(YEAR($H1480),MONTH($H1480),1))</f>
        <v/>
      </c>
      <c r="N1480" s="26">
        <f>IF($H1480="","",TODAY()-$H1480)</f>
        <v/>
      </c>
      <c r="O1480" s="15" t="n"/>
      <c r="P1480" s="26">
        <f>IF($A1480="","",COUNTIFS('Audit Versions'!$A$6:$A$605,$A1480,'Audit Versions'!$L$6:$L$605,"Active"))</f>
        <v/>
      </c>
      <c r="Q1480" s="15" t="n"/>
      <c r="R1480" s="26">
        <f>IF(OR($A1480="",$P1480=0),"",MOD(N($Q1480),$P1480)+1)</f>
        <v/>
      </c>
      <c r="S1480" s="15" t="n"/>
      <c r="T1480" s="25" t="n"/>
      <c r="U1480" s="26">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Builder'!$B$12="",N($S1480)&lt;='Assignment Builder'!$B$12)))</f>
        <v/>
      </c>
      <c r="V1480" s="23" t="n"/>
    </row>
    <row r="1481">
      <c r="A1481" s="23" t="n"/>
      <c r="B1481" s="23" t="n"/>
      <c r="C1481" s="24" t="n"/>
      <c r="D1481" s="15" t="n"/>
      <c r="E1481" s="23" t="n"/>
      <c r="F1481" s="15" t="n"/>
      <c r="G1481" s="23" t="n"/>
      <c r="H1481" s="25" t="n"/>
      <c r="I1481" s="15" t="n"/>
      <c r="J1481" s="26">
        <f>IF($A1481="","",LEN($C1481)-LEN(SUBSTITUTE($C1481,",",""))+1)</f>
        <v/>
      </c>
      <c r="K1481" s="26">
        <f>IF($A1481="","",SUMPRODUCT(--ISNUMBER(SEARCH('Category Dictionary'!$D$5:$D$135&amp;"",$C1481)),--('Category Dictionary'!$D$5:$D$135&lt;&gt;"")))</f>
        <v/>
      </c>
      <c r="L1481" s="27">
        <f>IF($A1481="","",TRIM(IF(ISERROR(FIND(",",$C1481)),$C1481,LEFT($C1481,FIND(",",$C1481)-1))))</f>
        <v/>
      </c>
      <c r="M1481" s="28">
        <f>IF($H1481="","",DATE(YEAR($H1481),MONTH($H1481),1))</f>
        <v/>
      </c>
      <c r="N1481" s="26">
        <f>IF($H1481="","",TODAY()-$H1481)</f>
        <v/>
      </c>
      <c r="O1481" s="15" t="n"/>
      <c r="P1481" s="26">
        <f>IF($A1481="","",COUNTIFS('Audit Versions'!$A$6:$A$605,$A1481,'Audit Versions'!$L$6:$L$605,"Active"))</f>
        <v/>
      </c>
      <c r="Q1481" s="15" t="n"/>
      <c r="R1481" s="26">
        <f>IF(OR($A1481="",$P1481=0),"",MOD(N($Q1481),$P1481)+1)</f>
        <v/>
      </c>
      <c r="S1481" s="15" t="n"/>
      <c r="T1481" s="25" t="n"/>
      <c r="U1481" s="26">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Builder'!$B$12="",N($S1481)&lt;='Assignment Builder'!$B$12)))</f>
        <v/>
      </c>
      <c r="V1481" s="23" t="n"/>
    </row>
    <row r="1482">
      <c r="A1482" s="23" t="n"/>
      <c r="B1482" s="23" t="n"/>
      <c r="C1482" s="24" t="n"/>
      <c r="D1482" s="15" t="n"/>
      <c r="E1482" s="23" t="n"/>
      <c r="F1482" s="15" t="n"/>
      <c r="G1482" s="23" t="n"/>
      <c r="H1482" s="25" t="n"/>
      <c r="I1482" s="15" t="n"/>
      <c r="J1482" s="26">
        <f>IF($A1482="","",LEN($C1482)-LEN(SUBSTITUTE($C1482,",",""))+1)</f>
        <v/>
      </c>
      <c r="K1482" s="26">
        <f>IF($A1482="","",SUMPRODUCT(--ISNUMBER(SEARCH('Category Dictionary'!$D$5:$D$135&amp;"",$C1482)),--('Category Dictionary'!$D$5:$D$135&lt;&gt;"")))</f>
        <v/>
      </c>
      <c r="L1482" s="27">
        <f>IF($A1482="","",TRIM(IF(ISERROR(FIND(",",$C1482)),$C1482,LEFT($C1482,FIND(",",$C1482)-1))))</f>
        <v/>
      </c>
      <c r="M1482" s="28">
        <f>IF($H1482="","",DATE(YEAR($H1482),MONTH($H1482),1))</f>
        <v/>
      </c>
      <c r="N1482" s="26">
        <f>IF($H1482="","",TODAY()-$H1482)</f>
        <v/>
      </c>
      <c r="O1482" s="15" t="n"/>
      <c r="P1482" s="26">
        <f>IF($A1482="","",COUNTIFS('Audit Versions'!$A$6:$A$605,$A1482,'Audit Versions'!$L$6:$L$605,"Active"))</f>
        <v/>
      </c>
      <c r="Q1482" s="15" t="n"/>
      <c r="R1482" s="26">
        <f>IF(OR($A1482="",$P1482=0),"",MOD(N($Q1482),$P1482)+1)</f>
        <v/>
      </c>
      <c r="S1482" s="15" t="n"/>
      <c r="T1482" s="25" t="n"/>
      <c r="U1482" s="26">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Builder'!$B$12="",N($S1482)&lt;='Assignment Builder'!$B$12)))</f>
        <v/>
      </c>
      <c r="V1482" s="23" t="n"/>
    </row>
    <row r="1483">
      <c r="A1483" s="23" t="n"/>
      <c r="B1483" s="23" t="n"/>
      <c r="C1483" s="24" t="n"/>
      <c r="D1483" s="15" t="n"/>
      <c r="E1483" s="23" t="n"/>
      <c r="F1483" s="15" t="n"/>
      <c r="G1483" s="23" t="n"/>
      <c r="H1483" s="25" t="n"/>
      <c r="I1483" s="15" t="n"/>
      <c r="J1483" s="26">
        <f>IF($A1483="","",LEN($C1483)-LEN(SUBSTITUTE($C1483,",",""))+1)</f>
        <v/>
      </c>
      <c r="K1483" s="26">
        <f>IF($A1483="","",SUMPRODUCT(--ISNUMBER(SEARCH('Category Dictionary'!$D$5:$D$135&amp;"",$C1483)),--('Category Dictionary'!$D$5:$D$135&lt;&gt;"")))</f>
        <v/>
      </c>
      <c r="L1483" s="27">
        <f>IF($A1483="","",TRIM(IF(ISERROR(FIND(",",$C1483)),$C1483,LEFT($C1483,FIND(",",$C1483)-1))))</f>
        <v/>
      </c>
      <c r="M1483" s="28">
        <f>IF($H1483="","",DATE(YEAR($H1483),MONTH($H1483),1))</f>
        <v/>
      </c>
      <c r="N1483" s="26">
        <f>IF($H1483="","",TODAY()-$H1483)</f>
        <v/>
      </c>
      <c r="O1483" s="15" t="n"/>
      <c r="P1483" s="26">
        <f>IF($A1483="","",COUNTIFS('Audit Versions'!$A$6:$A$605,$A1483,'Audit Versions'!$L$6:$L$605,"Active"))</f>
        <v/>
      </c>
      <c r="Q1483" s="15" t="n"/>
      <c r="R1483" s="26">
        <f>IF(OR($A1483="",$P1483=0),"",MOD(N($Q1483),$P1483)+1)</f>
        <v/>
      </c>
      <c r="S1483" s="15" t="n"/>
      <c r="T1483" s="25" t="n"/>
      <c r="U1483" s="26">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Builder'!$B$12="",N($S1483)&lt;='Assignment Builder'!$B$12)))</f>
        <v/>
      </c>
      <c r="V1483" s="23" t="n"/>
    </row>
    <row r="1484">
      <c r="A1484" s="23" t="n"/>
      <c r="B1484" s="23" t="n"/>
      <c r="C1484" s="24" t="n"/>
      <c r="D1484" s="15" t="n"/>
      <c r="E1484" s="23" t="n"/>
      <c r="F1484" s="15" t="n"/>
      <c r="G1484" s="23" t="n"/>
      <c r="H1484" s="25" t="n"/>
      <c r="I1484" s="15" t="n"/>
      <c r="J1484" s="26">
        <f>IF($A1484="","",LEN($C1484)-LEN(SUBSTITUTE($C1484,",",""))+1)</f>
        <v/>
      </c>
      <c r="K1484" s="26">
        <f>IF($A1484="","",SUMPRODUCT(--ISNUMBER(SEARCH('Category Dictionary'!$D$5:$D$135&amp;"",$C1484)),--('Category Dictionary'!$D$5:$D$135&lt;&gt;"")))</f>
        <v/>
      </c>
      <c r="L1484" s="27">
        <f>IF($A1484="","",TRIM(IF(ISERROR(FIND(",",$C1484)),$C1484,LEFT($C1484,FIND(",",$C1484)-1))))</f>
        <v/>
      </c>
      <c r="M1484" s="28">
        <f>IF($H1484="","",DATE(YEAR($H1484),MONTH($H1484),1))</f>
        <v/>
      </c>
      <c r="N1484" s="26">
        <f>IF($H1484="","",TODAY()-$H1484)</f>
        <v/>
      </c>
      <c r="O1484" s="15" t="n"/>
      <c r="P1484" s="26">
        <f>IF($A1484="","",COUNTIFS('Audit Versions'!$A$6:$A$605,$A1484,'Audit Versions'!$L$6:$L$605,"Active"))</f>
        <v/>
      </c>
      <c r="Q1484" s="15" t="n"/>
      <c r="R1484" s="26">
        <f>IF(OR($A1484="",$P1484=0),"",MOD(N($Q1484),$P1484)+1)</f>
        <v/>
      </c>
      <c r="S1484" s="15" t="n"/>
      <c r="T1484" s="25" t="n"/>
      <c r="U1484" s="26">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Builder'!$B$12="",N($S1484)&lt;='Assignment Builder'!$B$12)))</f>
        <v/>
      </c>
      <c r="V1484" s="23" t="n"/>
    </row>
    <row r="1485">
      <c r="A1485" s="23" t="n"/>
      <c r="B1485" s="23" t="n"/>
      <c r="C1485" s="24" t="n"/>
      <c r="D1485" s="15" t="n"/>
      <c r="E1485" s="23" t="n"/>
      <c r="F1485" s="15" t="n"/>
      <c r="G1485" s="23" t="n"/>
      <c r="H1485" s="25" t="n"/>
      <c r="I1485" s="15" t="n"/>
      <c r="J1485" s="26">
        <f>IF($A1485="","",LEN($C1485)-LEN(SUBSTITUTE($C1485,",",""))+1)</f>
        <v/>
      </c>
      <c r="K1485" s="26">
        <f>IF($A1485="","",SUMPRODUCT(--ISNUMBER(SEARCH('Category Dictionary'!$D$5:$D$135&amp;"",$C1485)),--('Category Dictionary'!$D$5:$D$135&lt;&gt;"")))</f>
        <v/>
      </c>
      <c r="L1485" s="27">
        <f>IF($A1485="","",TRIM(IF(ISERROR(FIND(",",$C1485)),$C1485,LEFT($C1485,FIND(",",$C1485)-1))))</f>
        <v/>
      </c>
      <c r="M1485" s="28">
        <f>IF($H1485="","",DATE(YEAR($H1485),MONTH($H1485),1))</f>
        <v/>
      </c>
      <c r="N1485" s="26">
        <f>IF($H1485="","",TODAY()-$H1485)</f>
        <v/>
      </c>
      <c r="O1485" s="15" t="n"/>
      <c r="P1485" s="26">
        <f>IF($A1485="","",COUNTIFS('Audit Versions'!$A$6:$A$605,$A1485,'Audit Versions'!$L$6:$L$605,"Active"))</f>
        <v/>
      </c>
      <c r="Q1485" s="15" t="n"/>
      <c r="R1485" s="26">
        <f>IF(OR($A1485="",$P1485=0),"",MOD(N($Q1485),$P1485)+1)</f>
        <v/>
      </c>
      <c r="S1485" s="15" t="n"/>
      <c r="T1485" s="25" t="n"/>
      <c r="U1485" s="26">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Builder'!$B$12="",N($S1485)&lt;='Assignment Builder'!$B$12)))</f>
        <v/>
      </c>
      <c r="V1485" s="23" t="n"/>
    </row>
    <row r="1486">
      <c r="A1486" s="23" t="n"/>
      <c r="B1486" s="23" t="n"/>
      <c r="C1486" s="24" t="n"/>
      <c r="D1486" s="15" t="n"/>
      <c r="E1486" s="23" t="n"/>
      <c r="F1486" s="15" t="n"/>
      <c r="G1486" s="23" t="n"/>
      <c r="H1486" s="25" t="n"/>
      <c r="I1486" s="15" t="n"/>
      <c r="J1486" s="26">
        <f>IF($A1486="","",LEN($C1486)-LEN(SUBSTITUTE($C1486,",",""))+1)</f>
        <v/>
      </c>
      <c r="K1486" s="26">
        <f>IF($A1486="","",SUMPRODUCT(--ISNUMBER(SEARCH('Category Dictionary'!$D$5:$D$135&amp;"",$C1486)),--('Category Dictionary'!$D$5:$D$135&lt;&gt;"")))</f>
        <v/>
      </c>
      <c r="L1486" s="27">
        <f>IF($A1486="","",TRIM(IF(ISERROR(FIND(",",$C1486)),$C1486,LEFT($C1486,FIND(",",$C1486)-1))))</f>
        <v/>
      </c>
      <c r="M1486" s="28">
        <f>IF($H1486="","",DATE(YEAR($H1486),MONTH($H1486),1))</f>
        <v/>
      </c>
      <c r="N1486" s="26">
        <f>IF($H1486="","",TODAY()-$H1486)</f>
        <v/>
      </c>
      <c r="O1486" s="15" t="n"/>
      <c r="P1486" s="26">
        <f>IF($A1486="","",COUNTIFS('Audit Versions'!$A$6:$A$605,$A1486,'Audit Versions'!$L$6:$L$605,"Active"))</f>
        <v/>
      </c>
      <c r="Q1486" s="15" t="n"/>
      <c r="R1486" s="26">
        <f>IF(OR($A1486="",$P1486=0),"",MOD(N($Q1486),$P1486)+1)</f>
        <v/>
      </c>
      <c r="S1486" s="15" t="n"/>
      <c r="T1486" s="25" t="n"/>
      <c r="U1486" s="26">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Builder'!$B$12="",N($S1486)&lt;='Assignment Builder'!$B$12)))</f>
        <v/>
      </c>
      <c r="V1486" s="23" t="n"/>
    </row>
    <row r="1487">
      <c r="A1487" s="23" t="n"/>
      <c r="B1487" s="23" t="n"/>
      <c r="C1487" s="24" t="n"/>
      <c r="D1487" s="15" t="n"/>
      <c r="E1487" s="23" t="n"/>
      <c r="F1487" s="15" t="n"/>
      <c r="G1487" s="23" t="n"/>
      <c r="H1487" s="25" t="n"/>
      <c r="I1487" s="15" t="n"/>
      <c r="J1487" s="26">
        <f>IF($A1487="","",LEN($C1487)-LEN(SUBSTITUTE($C1487,",",""))+1)</f>
        <v/>
      </c>
      <c r="K1487" s="26">
        <f>IF($A1487="","",SUMPRODUCT(--ISNUMBER(SEARCH('Category Dictionary'!$D$5:$D$135&amp;"",$C1487)),--('Category Dictionary'!$D$5:$D$135&lt;&gt;"")))</f>
        <v/>
      </c>
      <c r="L1487" s="27">
        <f>IF($A1487="","",TRIM(IF(ISERROR(FIND(",",$C1487)),$C1487,LEFT($C1487,FIND(",",$C1487)-1))))</f>
        <v/>
      </c>
      <c r="M1487" s="28">
        <f>IF($H1487="","",DATE(YEAR($H1487),MONTH($H1487),1))</f>
        <v/>
      </c>
      <c r="N1487" s="26">
        <f>IF($H1487="","",TODAY()-$H1487)</f>
        <v/>
      </c>
      <c r="O1487" s="15" t="n"/>
      <c r="P1487" s="26">
        <f>IF($A1487="","",COUNTIFS('Audit Versions'!$A$6:$A$605,$A1487,'Audit Versions'!$L$6:$L$605,"Active"))</f>
        <v/>
      </c>
      <c r="Q1487" s="15" t="n"/>
      <c r="R1487" s="26">
        <f>IF(OR($A1487="",$P1487=0),"",MOD(N($Q1487),$P1487)+1)</f>
        <v/>
      </c>
      <c r="S1487" s="15" t="n"/>
      <c r="T1487" s="25" t="n"/>
      <c r="U1487" s="26">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Builder'!$B$12="",N($S1487)&lt;='Assignment Builder'!$B$12)))</f>
        <v/>
      </c>
      <c r="V1487" s="23" t="n"/>
    </row>
    <row r="1488">
      <c r="A1488" s="23" t="n"/>
      <c r="B1488" s="23" t="n"/>
      <c r="C1488" s="24" t="n"/>
      <c r="D1488" s="15" t="n"/>
      <c r="E1488" s="23" t="n"/>
      <c r="F1488" s="15" t="n"/>
      <c r="G1488" s="23" t="n"/>
      <c r="H1488" s="25" t="n"/>
      <c r="I1488" s="15" t="n"/>
      <c r="J1488" s="26">
        <f>IF($A1488="","",LEN($C1488)-LEN(SUBSTITUTE($C1488,",",""))+1)</f>
        <v/>
      </c>
      <c r="K1488" s="26">
        <f>IF($A1488="","",SUMPRODUCT(--ISNUMBER(SEARCH('Category Dictionary'!$D$5:$D$135&amp;"",$C1488)),--('Category Dictionary'!$D$5:$D$135&lt;&gt;"")))</f>
        <v/>
      </c>
      <c r="L1488" s="27">
        <f>IF($A1488="","",TRIM(IF(ISERROR(FIND(",",$C1488)),$C1488,LEFT($C1488,FIND(",",$C1488)-1))))</f>
        <v/>
      </c>
      <c r="M1488" s="28">
        <f>IF($H1488="","",DATE(YEAR($H1488),MONTH($H1488),1))</f>
        <v/>
      </c>
      <c r="N1488" s="26">
        <f>IF($H1488="","",TODAY()-$H1488)</f>
        <v/>
      </c>
      <c r="O1488" s="15" t="n"/>
      <c r="P1488" s="26">
        <f>IF($A1488="","",COUNTIFS('Audit Versions'!$A$6:$A$605,$A1488,'Audit Versions'!$L$6:$L$605,"Active"))</f>
        <v/>
      </c>
      <c r="Q1488" s="15" t="n"/>
      <c r="R1488" s="26">
        <f>IF(OR($A1488="",$P1488=0),"",MOD(N($Q1488),$P1488)+1)</f>
        <v/>
      </c>
      <c r="S1488" s="15" t="n"/>
      <c r="T1488" s="25" t="n"/>
      <c r="U1488" s="26">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Builder'!$B$12="",N($S1488)&lt;='Assignment Builder'!$B$12)))</f>
        <v/>
      </c>
      <c r="V1488" s="23" t="n"/>
    </row>
    <row r="1489">
      <c r="A1489" s="23" t="n"/>
      <c r="B1489" s="23" t="n"/>
      <c r="C1489" s="24" t="n"/>
      <c r="D1489" s="15" t="n"/>
      <c r="E1489" s="23" t="n"/>
      <c r="F1489" s="15" t="n"/>
      <c r="G1489" s="23" t="n"/>
      <c r="H1489" s="25" t="n"/>
      <c r="I1489" s="15" t="n"/>
      <c r="J1489" s="26">
        <f>IF($A1489="","",LEN($C1489)-LEN(SUBSTITUTE($C1489,",",""))+1)</f>
        <v/>
      </c>
      <c r="K1489" s="26">
        <f>IF($A1489="","",SUMPRODUCT(--ISNUMBER(SEARCH('Category Dictionary'!$D$5:$D$135&amp;"",$C1489)),--('Category Dictionary'!$D$5:$D$135&lt;&gt;"")))</f>
        <v/>
      </c>
      <c r="L1489" s="27">
        <f>IF($A1489="","",TRIM(IF(ISERROR(FIND(",",$C1489)),$C1489,LEFT($C1489,FIND(",",$C1489)-1))))</f>
        <v/>
      </c>
      <c r="M1489" s="28">
        <f>IF($H1489="","",DATE(YEAR($H1489),MONTH($H1489),1))</f>
        <v/>
      </c>
      <c r="N1489" s="26">
        <f>IF($H1489="","",TODAY()-$H1489)</f>
        <v/>
      </c>
      <c r="O1489" s="15" t="n"/>
      <c r="P1489" s="26">
        <f>IF($A1489="","",COUNTIFS('Audit Versions'!$A$6:$A$605,$A1489,'Audit Versions'!$L$6:$L$605,"Active"))</f>
        <v/>
      </c>
      <c r="Q1489" s="15" t="n"/>
      <c r="R1489" s="26">
        <f>IF(OR($A1489="",$P1489=0),"",MOD(N($Q1489),$P1489)+1)</f>
        <v/>
      </c>
      <c r="S1489" s="15" t="n"/>
      <c r="T1489" s="25" t="n"/>
      <c r="U1489" s="26">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Builder'!$B$12="",N($S1489)&lt;='Assignment Builder'!$B$12)))</f>
        <v/>
      </c>
      <c r="V1489" s="23" t="n"/>
    </row>
    <row r="1490">
      <c r="A1490" s="23" t="n"/>
      <c r="B1490" s="23" t="n"/>
      <c r="C1490" s="24" t="n"/>
      <c r="D1490" s="15" t="n"/>
      <c r="E1490" s="23" t="n"/>
      <c r="F1490" s="15" t="n"/>
      <c r="G1490" s="23" t="n"/>
      <c r="H1490" s="25" t="n"/>
      <c r="I1490" s="15" t="n"/>
      <c r="J1490" s="26">
        <f>IF($A1490="","",LEN($C1490)-LEN(SUBSTITUTE($C1490,",",""))+1)</f>
        <v/>
      </c>
      <c r="K1490" s="26">
        <f>IF($A1490="","",SUMPRODUCT(--ISNUMBER(SEARCH('Category Dictionary'!$D$5:$D$135&amp;"",$C1490)),--('Category Dictionary'!$D$5:$D$135&lt;&gt;"")))</f>
        <v/>
      </c>
      <c r="L1490" s="27">
        <f>IF($A1490="","",TRIM(IF(ISERROR(FIND(",",$C1490)),$C1490,LEFT($C1490,FIND(",",$C1490)-1))))</f>
        <v/>
      </c>
      <c r="M1490" s="28">
        <f>IF($H1490="","",DATE(YEAR($H1490),MONTH($H1490),1))</f>
        <v/>
      </c>
      <c r="N1490" s="26">
        <f>IF($H1490="","",TODAY()-$H1490)</f>
        <v/>
      </c>
      <c r="O1490" s="15" t="n"/>
      <c r="P1490" s="26">
        <f>IF($A1490="","",COUNTIFS('Audit Versions'!$A$6:$A$605,$A1490,'Audit Versions'!$L$6:$L$605,"Active"))</f>
        <v/>
      </c>
      <c r="Q1490" s="15" t="n"/>
      <c r="R1490" s="26">
        <f>IF(OR($A1490="",$P1490=0),"",MOD(N($Q1490),$P1490)+1)</f>
        <v/>
      </c>
      <c r="S1490" s="15" t="n"/>
      <c r="T1490" s="25" t="n"/>
      <c r="U1490" s="26">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Builder'!$B$12="",N($S1490)&lt;='Assignment Builder'!$B$12)))</f>
        <v/>
      </c>
      <c r="V1490" s="23" t="n"/>
    </row>
    <row r="1491">
      <c r="A1491" s="23" t="n"/>
      <c r="B1491" s="23" t="n"/>
      <c r="C1491" s="24" t="n"/>
      <c r="D1491" s="15" t="n"/>
      <c r="E1491" s="23" t="n"/>
      <c r="F1491" s="15" t="n"/>
      <c r="G1491" s="23" t="n"/>
      <c r="H1491" s="25" t="n"/>
      <c r="I1491" s="15" t="n"/>
      <c r="J1491" s="26">
        <f>IF($A1491="","",LEN($C1491)-LEN(SUBSTITUTE($C1491,",",""))+1)</f>
        <v/>
      </c>
      <c r="K1491" s="26">
        <f>IF($A1491="","",SUMPRODUCT(--ISNUMBER(SEARCH('Category Dictionary'!$D$5:$D$135&amp;"",$C1491)),--('Category Dictionary'!$D$5:$D$135&lt;&gt;"")))</f>
        <v/>
      </c>
      <c r="L1491" s="27">
        <f>IF($A1491="","",TRIM(IF(ISERROR(FIND(",",$C1491)),$C1491,LEFT($C1491,FIND(",",$C1491)-1))))</f>
        <v/>
      </c>
      <c r="M1491" s="28">
        <f>IF($H1491="","",DATE(YEAR($H1491),MONTH($H1491),1))</f>
        <v/>
      </c>
      <c r="N1491" s="26">
        <f>IF($H1491="","",TODAY()-$H1491)</f>
        <v/>
      </c>
      <c r="O1491" s="15" t="n"/>
      <c r="P1491" s="26">
        <f>IF($A1491="","",COUNTIFS('Audit Versions'!$A$6:$A$605,$A1491,'Audit Versions'!$L$6:$L$605,"Active"))</f>
        <v/>
      </c>
      <c r="Q1491" s="15" t="n"/>
      <c r="R1491" s="26">
        <f>IF(OR($A1491="",$P1491=0),"",MOD(N($Q1491),$P1491)+1)</f>
        <v/>
      </c>
      <c r="S1491" s="15" t="n"/>
      <c r="T1491" s="25" t="n"/>
      <c r="U1491" s="26">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Builder'!$B$12="",N($S1491)&lt;='Assignment Builder'!$B$12)))</f>
        <v/>
      </c>
      <c r="V1491" s="23" t="n"/>
    </row>
    <row r="1492">
      <c r="A1492" s="23" t="n"/>
      <c r="B1492" s="23" t="n"/>
      <c r="C1492" s="24" t="n"/>
      <c r="D1492" s="15" t="n"/>
      <c r="E1492" s="23" t="n"/>
      <c r="F1492" s="15" t="n"/>
      <c r="G1492" s="23" t="n"/>
      <c r="H1492" s="25" t="n"/>
      <c r="I1492" s="15" t="n"/>
      <c r="J1492" s="26">
        <f>IF($A1492="","",LEN($C1492)-LEN(SUBSTITUTE($C1492,",",""))+1)</f>
        <v/>
      </c>
      <c r="K1492" s="26">
        <f>IF($A1492="","",SUMPRODUCT(--ISNUMBER(SEARCH('Category Dictionary'!$D$5:$D$135&amp;"",$C1492)),--('Category Dictionary'!$D$5:$D$135&lt;&gt;"")))</f>
        <v/>
      </c>
      <c r="L1492" s="27">
        <f>IF($A1492="","",TRIM(IF(ISERROR(FIND(",",$C1492)),$C1492,LEFT($C1492,FIND(",",$C1492)-1))))</f>
        <v/>
      </c>
      <c r="M1492" s="28">
        <f>IF($H1492="","",DATE(YEAR($H1492),MONTH($H1492),1))</f>
        <v/>
      </c>
      <c r="N1492" s="26">
        <f>IF($H1492="","",TODAY()-$H1492)</f>
        <v/>
      </c>
      <c r="O1492" s="15" t="n"/>
      <c r="P1492" s="26">
        <f>IF($A1492="","",COUNTIFS('Audit Versions'!$A$6:$A$605,$A1492,'Audit Versions'!$L$6:$L$605,"Active"))</f>
        <v/>
      </c>
      <c r="Q1492" s="15" t="n"/>
      <c r="R1492" s="26">
        <f>IF(OR($A1492="",$P1492=0),"",MOD(N($Q1492),$P1492)+1)</f>
        <v/>
      </c>
      <c r="S1492" s="15" t="n"/>
      <c r="T1492" s="25" t="n"/>
      <c r="U1492" s="26">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Builder'!$B$12="",N($S1492)&lt;='Assignment Builder'!$B$12)))</f>
        <v/>
      </c>
      <c r="V1492" s="23" t="n"/>
    </row>
    <row r="1493">
      <c r="A1493" s="23" t="n"/>
      <c r="B1493" s="23" t="n"/>
      <c r="C1493" s="24" t="n"/>
      <c r="D1493" s="15" t="n"/>
      <c r="E1493" s="23" t="n"/>
      <c r="F1493" s="15" t="n"/>
      <c r="G1493" s="23" t="n"/>
      <c r="H1493" s="25" t="n"/>
      <c r="I1493" s="15" t="n"/>
      <c r="J1493" s="26">
        <f>IF($A1493="","",LEN($C1493)-LEN(SUBSTITUTE($C1493,",",""))+1)</f>
        <v/>
      </c>
      <c r="K1493" s="26">
        <f>IF($A1493="","",SUMPRODUCT(--ISNUMBER(SEARCH('Category Dictionary'!$D$5:$D$135&amp;"",$C1493)),--('Category Dictionary'!$D$5:$D$135&lt;&gt;"")))</f>
        <v/>
      </c>
      <c r="L1493" s="27">
        <f>IF($A1493="","",TRIM(IF(ISERROR(FIND(",",$C1493)),$C1493,LEFT($C1493,FIND(",",$C1493)-1))))</f>
        <v/>
      </c>
      <c r="M1493" s="28">
        <f>IF($H1493="","",DATE(YEAR($H1493),MONTH($H1493),1))</f>
        <v/>
      </c>
      <c r="N1493" s="26">
        <f>IF($H1493="","",TODAY()-$H1493)</f>
        <v/>
      </c>
      <c r="O1493" s="15" t="n"/>
      <c r="P1493" s="26">
        <f>IF($A1493="","",COUNTIFS('Audit Versions'!$A$6:$A$605,$A1493,'Audit Versions'!$L$6:$L$605,"Active"))</f>
        <v/>
      </c>
      <c r="Q1493" s="15" t="n"/>
      <c r="R1493" s="26">
        <f>IF(OR($A1493="",$P1493=0),"",MOD(N($Q1493),$P1493)+1)</f>
        <v/>
      </c>
      <c r="S1493" s="15" t="n"/>
      <c r="T1493" s="25" t="n"/>
      <c r="U1493" s="26">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Builder'!$B$12="",N($S1493)&lt;='Assignment Builder'!$B$12)))</f>
        <v/>
      </c>
      <c r="V1493" s="23" t="n"/>
    </row>
    <row r="1494">
      <c r="A1494" s="23" t="n"/>
      <c r="B1494" s="23" t="n"/>
      <c r="C1494" s="24" t="n"/>
      <c r="D1494" s="15" t="n"/>
      <c r="E1494" s="23" t="n"/>
      <c r="F1494" s="15" t="n"/>
      <c r="G1494" s="23" t="n"/>
      <c r="H1494" s="25" t="n"/>
      <c r="I1494" s="15" t="n"/>
      <c r="J1494" s="26">
        <f>IF($A1494="","",LEN($C1494)-LEN(SUBSTITUTE($C1494,",",""))+1)</f>
        <v/>
      </c>
      <c r="K1494" s="26">
        <f>IF($A1494="","",SUMPRODUCT(--ISNUMBER(SEARCH('Category Dictionary'!$D$5:$D$135&amp;"",$C1494)),--('Category Dictionary'!$D$5:$D$135&lt;&gt;"")))</f>
        <v/>
      </c>
      <c r="L1494" s="27">
        <f>IF($A1494="","",TRIM(IF(ISERROR(FIND(",",$C1494)),$C1494,LEFT($C1494,FIND(",",$C1494)-1))))</f>
        <v/>
      </c>
      <c r="M1494" s="28">
        <f>IF($H1494="","",DATE(YEAR($H1494),MONTH($H1494),1))</f>
        <v/>
      </c>
      <c r="N1494" s="26">
        <f>IF($H1494="","",TODAY()-$H1494)</f>
        <v/>
      </c>
      <c r="O1494" s="15" t="n"/>
      <c r="P1494" s="26">
        <f>IF($A1494="","",COUNTIFS('Audit Versions'!$A$6:$A$605,$A1494,'Audit Versions'!$L$6:$L$605,"Active"))</f>
        <v/>
      </c>
      <c r="Q1494" s="15" t="n"/>
      <c r="R1494" s="26">
        <f>IF(OR($A1494="",$P1494=0),"",MOD(N($Q1494),$P1494)+1)</f>
        <v/>
      </c>
      <c r="S1494" s="15" t="n"/>
      <c r="T1494" s="25" t="n"/>
      <c r="U1494" s="26">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Builder'!$B$12="",N($S1494)&lt;='Assignment Builder'!$B$12)))</f>
        <v/>
      </c>
      <c r="V1494" s="23" t="n"/>
    </row>
    <row r="1495">
      <c r="A1495" s="23" t="n"/>
      <c r="B1495" s="23" t="n"/>
      <c r="C1495" s="24" t="n"/>
      <c r="D1495" s="15" t="n"/>
      <c r="E1495" s="23" t="n"/>
      <c r="F1495" s="15" t="n"/>
      <c r="G1495" s="23" t="n"/>
      <c r="H1495" s="25" t="n"/>
      <c r="I1495" s="15" t="n"/>
      <c r="J1495" s="26">
        <f>IF($A1495="","",LEN($C1495)-LEN(SUBSTITUTE($C1495,",",""))+1)</f>
        <v/>
      </c>
      <c r="K1495" s="26">
        <f>IF($A1495="","",SUMPRODUCT(--ISNUMBER(SEARCH('Category Dictionary'!$D$5:$D$135&amp;"",$C1495)),--('Category Dictionary'!$D$5:$D$135&lt;&gt;"")))</f>
        <v/>
      </c>
      <c r="L1495" s="27">
        <f>IF($A1495="","",TRIM(IF(ISERROR(FIND(",",$C1495)),$C1495,LEFT($C1495,FIND(",",$C1495)-1))))</f>
        <v/>
      </c>
      <c r="M1495" s="28">
        <f>IF($H1495="","",DATE(YEAR($H1495),MONTH($H1495),1))</f>
        <v/>
      </c>
      <c r="N1495" s="26">
        <f>IF($H1495="","",TODAY()-$H1495)</f>
        <v/>
      </c>
      <c r="O1495" s="15" t="n"/>
      <c r="P1495" s="26">
        <f>IF($A1495="","",COUNTIFS('Audit Versions'!$A$6:$A$605,$A1495,'Audit Versions'!$L$6:$L$605,"Active"))</f>
        <v/>
      </c>
      <c r="Q1495" s="15" t="n"/>
      <c r="R1495" s="26">
        <f>IF(OR($A1495="",$P1495=0),"",MOD(N($Q1495),$P1495)+1)</f>
        <v/>
      </c>
      <c r="S1495" s="15" t="n"/>
      <c r="T1495" s="25" t="n"/>
      <c r="U1495" s="26">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Builder'!$B$12="",N($S1495)&lt;='Assignment Builder'!$B$12)))</f>
        <v/>
      </c>
      <c r="V1495" s="23" t="n"/>
    </row>
    <row r="1496">
      <c r="A1496" s="23" t="n"/>
      <c r="B1496" s="23" t="n"/>
      <c r="C1496" s="24" t="n"/>
      <c r="D1496" s="15" t="n"/>
      <c r="E1496" s="23" t="n"/>
      <c r="F1496" s="15" t="n"/>
      <c r="G1496" s="23" t="n"/>
      <c r="H1496" s="25" t="n"/>
      <c r="I1496" s="15" t="n"/>
      <c r="J1496" s="26">
        <f>IF($A1496="","",LEN($C1496)-LEN(SUBSTITUTE($C1496,",",""))+1)</f>
        <v/>
      </c>
      <c r="K1496" s="26">
        <f>IF($A1496="","",SUMPRODUCT(--ISNUMBER(SEARCH('Category Dictionary'!$D$5:$D$135&amp;"",$C1496)),--('Category Dictionary'!$D$5:$D$135&lt;&gt;"")))</f>
        <v/>
      </c>
      <c r="L1496" s="27">
        <f>IF($A1496="","",TRIM(IF(ISERROR(FIND(",",$C1496)),$C1496,LEFT($C1496,FIND(",",$C1496)-1))))</f>
        <v/>
      </c>
      <c r="M1496" s="28">
        <f>IF($H1496="","",DATE(YEAR($H1496),MONTH($H1496),1))</f>
        <v/>
      </c>
      <c r="N1496" s="26">
        <f>IF($H1496="","",TODAY()-$H1496)</f>
        <v/>
      </c>
      <c r="O1496" s="15" t="n"/>
      <c r="P1496" s="26">
        <f>IF($A1496="","",COUNTIFS('Audit Versions'!$A$6:$A$605,$A1496,'Audit Versions'!$L$6:$L$605,"Active"))</f>
        <v/>
      </c>
      <c r="Q1496" s="15" t="n"/>
      <c r="R1496" s="26">
        <f>IF(OR($A1496="",$P1496=0),"",MOD(N($Q1496),$P1496)+1)</f>
        <v/>
      </c>
      <c r="S1496" s="15" t="n"/>
      <c r="T1496" s="25" t="n"/>
      <c r="U1496" s="26">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Builder'!$B$12="",N($S1496)&lt;='Assignment Builder'!$B$12)))</f>
        <v/>
      </c>
      <c r="V1496" s="23" t="n"/>
    </row>
    <row r="1497">
      <c r="A1497" s="23" t="n"/>
      <c r="B1497" s="23" t="n"/>
      <c r="C1497" s="24" t="n"/>
      <c r="D1497" s="15" t="n"/>
      <c r="E1497" s="23" t="n"/>
      <c r="F1497" s="15" t="n"/>
      <c r="G1497" s="23" t="n"/>
      <c r="H1497" s="25" t="n"/>
      <c r="I1497" s="15" t="n"/>
      <c r="J1497" s="26">
        <f>IF($A1497="","",LEN($C1497)-LEN(SUBSTITUTE($C1497,",",""))+1)</f>
        <v/>
      </c>
      <c r="K1497" s="26">
        <f>IF($A1497="","",SUMPRODUCT(--ISNUMBER(SEARCH('Category Dictionary'!$D$5:$D$135&amp;"",$C1497)),--('Category Dictionary'!$D$5:$D$135&lt;&gt;"")))</f>
        <v/>
      </c>
      <c r="L1497" s="27">
        <f>IF($A1497="","",TRIM(IF(ISERROR(FIND(",",$C1497)),$C1497,LEFT($C1497,FIND(",",$C1497)-1))))</f>
        <v/>
      </c>
      <c r="M1497" s="28">
        <f>IF($H1497="","",DATE(YEAR($H1497),MONTH($H1497),1))</f>
        <v/>
      </c>
      <c r="N1497" s="26">
        <f>IF($H1497="","",TODAY()-$H1497)</f>
        <v/>
      </c>
      <c r="O1497" s="15" t="n"/>
      <c r="P1497" s="26">
        <f>IF($A1497="","",COUNTIFS('Audit Versions'!$A$6:$A$605,$A1497,'Audit Versions'!$L$6:$L$605,"Active"))</f>
        <v/>
      </c>
      <c r="Q1497" s="15" t="n"/>
      <c r="R1497" s="26">
        <f>IF(OR($A1497="",$P1497=0),"",MOD(N($Q1497),$P1497)+1)</f>
        <v/>
      </c>
      <c r="S1497" s="15" t="n"/>
      <c r="T1497" s="25" t="n"/>
      <c r="U1497" s="26">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Builder'!$B$12="",N($S1497)&lt;='Assignment Builder'!$B$12)))</f>
        <v/>
      </c>
      <c r="V1497" s="23" t="n"/>
    </row>
    <row r="1498">
      <c r="A1498" s="23" t="n"/>
      <c r="B1498" s="23" t="n"/>
      <c r="C1498" s="24" t="n"/>
      <c r="D1498" s="15" t="n"/>
      <c r="E1498" s="23" t="n"/>
      <c r="F1498" s="15" t="n"/>
      <c r="G1498" s="23" t="n"/>
      <c r="H1498" s="25" t="n"/>
      <c r="I1498" s="15" t="n"/>
      <c r="J1498" s="26">
        <f>IF($A1498="","",LEN($C1498)-LEN(SUBSTITUTE($C1498,",",""))+1)</f>
        <v/>
      </c>
      <c r="K1498" s="26">
        <f>IF($A1498="","",SUMPRODUCT(--ISNUMBER(SEARCH('Category Dictionary'!$D$5:$D$135&amp;"",$C1498)),--('Category Dictionary'!$D$5:$D$135&lt;&gt;"")))</f>
        <v/>
      </c>
      <c r="L1498" s="27">
        <f>IF($A1498="","",TRIM(IF(ISERROR(FIND(",",$C1498)),$C1498,LEFT($C1498,FIND(",",$C1498)-1))))</f>
        <v/>
      </c>
      <c r="M1498" s="28">
        <f>IF($H1498="","",DATE(YEAR($H1498),MONTH($H1498),1))</f>
        <v/>
      </c>
      <c r="N1498" s="26">
        <f>IF($H1498="","",TODAY()-$H1498)</f>
        <v/>
      </c>
      <c r="O1498" s="15" t="n"/>
      <c r="P1498" s="26">
        <f>IF($A1498="","",COUNTIFS('Audit Versions'!$A$6:$A$605,$A1498,'Audit Versions'!$L$6:$L$605,"Active"))</f>
        <v/>
      </c>
      <c r="Q1498" s="15" t="n"/>
      <c r="R1498" s="26">
        <f>IF(OR($A1498="",$P1498=0),"",MOD(N($Q1498),$P1498)+1)</f>
        <v/>
      </c>
      <c r="S1498" s="15" t="n"/>
      <c r="T1498" s="25" t="n"/>
      <c r="U1498" s="26">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Builder'!$B$12="",N($S1498)&lt;='Assignment Builder'!$B$12)))</f>
        <v/>
      </c>
      <c r="V1498" s="23" t="n"/>
    </row>
    <row r="1499">
      <c r="A1499" s="23" t="n"/>
      <c r="B1499" s="23" t="n"/>
      <c r="C1499" s="24" t="n"/>
      <c r="D1499" s="15" t="n"/>
      <c r="E1499" s="23" t="n"/>
      <c r="F1499" s="15" t="n"/>
      <c r="G1499" s="23" t="n"/>
      <c r="H1499" s="25" t="n"/>
      <c r="I1499" s="15" t="n"/>
      <c r="J1499" s="26">
        <f>IF($A1499="","",LEN($C1499)-LEN(SUBSTITUTE($C1499,",",""))+1)</f>
        <v/>
      </c>
      <c r="K1499" s="26">
        <f>IF($A1499="","",SUMPRODUCT(--ISNUMBER(SEARCH('Category Dictionary'!$D$5:$D$135&amp;"",$C1499)),--('Category Dictionary'!$D$5:$D$135&lt;&gt;"")))</f>
        <v/>
      </c>
      <c r="L1499" s="27">
        <f>IF($A1499="","",TRIM(IF(ISERROR(FIND(",",$C1499)),$C1499,LEFT($C1499,FIND(",",$C1499)-1))))</f>
        <v/>
      </c>
      <c r="M1499" s="28">
        <f>IF($H1499="","",DATE(YEAR($H1499),MONTH($H1499),1))</f>
        <v/>
      </c>
      <c r="N1499" s="26">
        <f>IF($H1499="","",TODAY()-$H1499)</f>
        <v/>
      </c>
      <c r="O1499" s="15" t="n"/>
      <c r="P1499" s="26">
        <f>IF($A1499="","",COUNTIFS('Audit Versions'!$A$6:$A$605,$A1499,'Audit Versions'!$L$6:$L$605,"Active"))</f>
        <v/>
      </c>
      <c r="Q1499" s="15" t="n"/>
      <c r="R1499" s="26">
        <f>IF(OR($A1499="",$P1499=0),"",MOD(N($Q1499),$P1499)+1)</f>
        <v/>
      </c>
      <c r="S1499" s="15" t="n"/>
      <c r="T1499" s="25" t="n"/>
      <c r="U1499" s="26">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Builder'!$B$12="",N($S1499)&lt;='Assignment Builder'!$B$12)))</f>
        <v/>
      </c>
      <c r="V1499" s="23" t="n"/>
    </row>
    <row r="1500">
      <c r="A1500" s="23" t="n"/>
      <c r="B1500" s="23" t="n"/>
      <c r="C1500" s="24" t="n"/>
      <c r="D1500" s="15" t="n"/>
      <c r="E1500" s="23" t="n"/>
      <c r="F1500" s="15" t="n"/>
      <c r="G1500" s="23" t="n"/>
      <c r="H1500" s="25" t="n"/>
      <c r="I1500" s="15" t="n"/>
      <c r="J1500" s="26">
        <f>IF($A1500="","",LEN($C1500)-LEN(SUBSTITUTE($C1500,",",""))+1)</f>
        <v/>
      </c>
      <c r="K1500" s="26">
        <f>IF($A1500="","",SUMPRODUCT(--ISNUMBER(SEARCH('Category Dictionary'!$D$5:$D$135&amp;"",$C1500)),--('Category Dictionary'!$D$5:$D$135&lt;&gt;"")))</f>
        <v/>
      </c>
      <c r="L1500" s="27">
        <f>IF($A1500="","",TRIM(IF(ISERROR(FIND(",",$C1500)),$C1500,LEFT($C1500,FIND(",",$C1500)-1))))</f>
        <v/>
      </c>
      <c r="M1500" s="28">
        <f>IF($H1500="","",DATE(YEAR($H1500),MONTH($H1500),1))</f>
        <v/>
      </c>
      <c r="N1500" s="26">
        <f>IF($H1500="","",TODAY()-$H1500)</f>
        <v/>
      </c>
      <c r="O1500" s="15" t="n"/>
      <c r="P1500" s="26">
        <f>IF($A1500="","",COUNTIFS('Audit Versions'!$A$6:$A$605,$A1500,'Audit Versions'!$L$6:$L$605,"Active"))</f>
        <v/>
      </c>
      <c r="Q1500" s="15" t="n"/>
      <c r="R1500" s="26">
        <f>IF(OR($A1500="",$P1500=0),"",MOD(N($Q1500),$P1500)+1)</f>
        <v/>
      </c>
      <c r="S1500" s="15" t="n"/>
      <c r="T1500" s="25" t="n"/>
      <c r="U1500" s="26">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Builder'!$B$12="",N($S1500)&lt;='Assignment Builder'!$B$12)))</f>
        <v/>
      </c>
      <c r="V1500" s="23" t="n"/>
    </row>
    <row r="1501">
      <c r="A1501" s="23" t="n"/>
      <c r="B1501" s="23" t="n"/>
      <c r="C1501" s="24" t="n"/>
      <c r="D1501" s="15" t="n"/>
      <c r="E1501" s="23" t="n"/>
      <c r="F1501" s="15" t="n"/>
      <c r="G1501" s="23" t="n"/>
      <c r="H1501" s="25" t="n"/>
      <c r="I1501" s="15" t="n"/>
      <c r="J1501" s="26">
        <f>IF($A1501="","",LEN($C1501)-LEN(SUBSTITUTE($C1501,",",""))+1)</f>
        <v/>
      </c>
      <c r="K1501" s="26">
        <f>IF($A1501="","",SUMPRODUCT(--ISNUMBER(SEARCH('Category Dictionary'!$D$5:$D$135&amp;"",$C1501)),--('Category Dictionary'!$D$5:$D$135&lt;&gt;"")))</f>
        <v/>
      </c>
      <c r="L1501" s="27">
        <f>IF($A1501="","",TRIM(IF(ISERROR(FIND(",",$C1501)),$C1501,LEFT($C1501,FIND(",",$C1501)-1))))</f>
        <v/>
      </c>
      <c r="M1501" s="28">
        <f>IF($H1501="","",DATE(YEAR($H1501),MONTH($H1501),1))</f>
        <v/>
      </c>
      <c r="N1501" s="26">
        <f>IF($H1501="","",TODAY()-$H1501)</f>
        <v/>
      </c>
      <c r="O1501" s="15" t="n"/>
      <c r="P1501" s="26">
        <f>IF($A1501="","",COUNTIFS('Audit Versions'!$A$6:$A$605,$A1501,'Audit Versions'!$L$6:$L$605,"Active"))</f>
        <v/>
      </c>
      <c r="Q1501" s="15" t="n"/>
      <c r="R1501" s="26">
        <f>IF(OR($A1501="",$P1501=0),"",MOD(N($Q1501),$P1501)+1)</f>
        <v/>
      </c>
      <c r="S1501" s="15" t="n"/>
      <c r="T1501" s="25" t="n"/>
      <c r="U1501" s="26">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Builder'!$B$12="",N($S1501)&lt;='Assignment Builder'!$B$12)))</f>
        <v/>
      </c>
      <c r="V1501" s="23" t="n"/>
    </row>
    <row r="1502">
      <c r="A1502" s="23" t="n"/>
      <c r="B1502" s="23" t="n"/>
      <c r="C1502" s="24" t="n"/>
      <c r="D1502" s="15" t="n"/>
      <c r="E1502" s="23" t="n"/>
      <c r="F1502" s="15" t="n"/>
      <c r="G1502" s="23" t="n"/>
      <c r="H1502" s="25" t="n"/>
      <c r="I1502" s="15" t="n"/>
      <c r="J1502" s="26">
        <f>IF($A1502="","",LEN($C1502)-LEN(SUBSTITUTE($C1502,",",""))+1)</f>
        <v/>
      </c>
      <c r="K1502" s="26">
        <f>IF($A1502="","",SUMPRODUCT(--ISNUMBER(SEARCH('Category Dictionary'!$D$5:$D$135&amp;"",$C1502)),--('Category Dictionary'!$D$5:$D$135&lt;&gt;"")))</f>
        <v/>
      </c>
      <c r="L1502" s="27">
        <f>IF($A1502="","",TRIM(IF(ISERROR(FIND(",",$C1502)),$C1502,LEFT($C1502,FIND(",",$C1502)-1))))</f>
        <v/>
      </c>
      <c r="M1502" s="28">
        <f>IF($H1502="","",DATE(YEAR($H1502),MONTH($H1502),1))</f>
        <v/>
      </c>
      <c r="N1502" s="26">
        <f>IF($H1502="","",TODAY()-$H1502)</f>
        <v/>
      </c>
      <c r="O1502" s="15" t="n"/>
      <c r="P1502" s="26">
        <f>IF($A1502="","",COUNTIFS('Audit Versions'!$A$6:$A$605,$A1502,'Audit Versions'!$L$6:$L$605,"Active"))</f>
        <v/>
      </c>
      <c r="Q1502" s="15" t="n"/>
      <c r="R1502" s="26">
        <f>IF(OR($A1502="",$P1502=0),"",MOD(N($Q1502),$P1502)+1)</f>
        <v/>
      </c>
      <c r="S1502" s="15" t="n"/>
      <c r="T1502" s="25" t="n"/>
      <c r="U1502" s="26">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Builder'!$B$12="",N($S1502)&lt;='Assignment Builder'!$B$12)))</f>
        <v/>
      </c>
      <c r="V1502" s="23" t="n"/>
    </row>
    <row r="1503">
      <c r="A1503" s="23" t="n"/>
      <c r="B1503" s="23" t="n"/>
      <c r="C1503" s="24" t="n"/>
      <c r="D1503" s="15" t="n"/>
      <c r="E1503" s="23" t="n"/>
      <c r="F1503" s="15" t="n"/>
      <c r="G1503" s="23" t="n"/>
      <c r="H1503" s="25" t="n"/>
      <c r="I1503" s="15" t="n"/>
      <c r="J1503" s="26">
        <f>IF($A1503="","",LEN($C1503)-LEN(SUBSTITUTE($C1503,",",""))+1)</f>
        <v/>
      </c>
      <c r="K1503" s="26">
        <f>IF($A1503="","",SUMPRODUCT(--ISNUMBER(SEARCH('Category Dictionary'!$D$5:$D$135&amp;"",$C1503)),--('Category Dictionary'!$D$5:$D$135&lt;&gt;"")))</f>
        <v/>
      </c>
      <c r="L1503" s="27">
        <f>IF($A1503="","",TRIM(IF(ISERROR(FIND(",",$C1503)),$C1503,LEFT($C1503,FIND(",",$C1503)-1))))</f>
        <v/>
      </c>
      <c r="M1503" s="28">
        <f>IF($H1503="","",DATE(YEAR($H1503),MONTH($H1503),1))</f>
        <v/>
      </c>
      <c r="N1503" s="26">
        <f>IF($H1503="","",TODAY()-$H1503)</f>
        <v/>
      </c>
      <c r="O1503" s="15" t="n"/>
      <c r="P1503" s="26">
        <f>IF($A1503="","",COUNTIFS('Audit Versions'!$A$6:$A$605,$A1503,'Audit Versions'!$L$6:$L$605,"Active"))</f>
        <v/>
      </c>
      <c r="Q1503" s="15" t="n"/>
      <c r="R1503" s="26">
        <f>IF(OR($A1503="",$P1503=0),"",MOD(N($Q1503),$P1503)+1)</f>
        <v/>
      </c>
      <c r="S1503" s="15" t="n"/>
      <c r="T1503" s="25" t="n"/>
      <c r="U1503" s="26">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Builder'!$B$12="",N($S1503)&lt;='Assignment Builder'!$B$12)))</f>
        <v/>
      </c>
      <c r="V1503" s="23" t="n"/>
    </row>
    <row r="1504">
      <c r="A1504" s="23" t="n"/>
      <c r="B1504" s="23" t="n"/>
      <c r="C1504" s="24" t="n"/>
      <c r="D1504" s="15" t="n"/>
      <c r="E1504" s="23" t="n"/>
      <c r="F1504" s="15" t="n"/>
      <c r="G1504" s="23" t="n"/>
      <c r="H1504" s="25" t="n"/>
      <c r="I1504" s="15" t="n"/>
      <c r="J1504" s="26">
        <f>IF($A1504="","",LEN($C1504)-LEN(SUBSTITUTE($C1504,",",""))+1)</f>
        <v/>
      </c>
      <c r="K1504" s="26">
        <f>IF($A1504="","",SUMPRODUCT(--ISNUMBER(SEARCH('Category Dictionary'!$D$5:$D$135&amp;"",$C1504)),--('Category Dictionary'!$D$5:$D$135&lt;&gt;"")))</f>
        <v/>
      </c>
      <c r="L1504" s="27">
        <f>IF($A1504="","",TRIM(IF(ISERROR(FIND(",",$C1504)),$C1504,LEFT($C1504,FIND(",",$C1504)-1))))</f>
        <v/>
      </c>
      <c r="M1504" s="28">
        <f>IF($H1504="","",DATE(YEAR($H1504),MONTH($H1504),1))</f>
        <v/>
      </c>
      <c r="N1504" s="26">
        <f>IF($H1504="","",TODAY()-$H1504)</f>
        <v/>
      </c>
      <c r="O1504" s="15" t="n"/>
      <c r="P1504" s="26">
        <f>IF($A1504="","",COUNTIFS('Audit Versions'!$A$6:$A$605,$A1504,'Audit Versions'!$L$6:$L$605,"Active"))</f>
        <v/>
      </c>
      <c r="Q1504" s="15" t="n"/>
      <c r="R1504" s="26">
        <f>IF(OR($A1504="",$P1504=0),"",MOD(N($Q1504),$P1504)+1)</f>
        <v/>
      </c>
      <c r="S1504" s="15" t="n"/>
      <c r="T1504" s="25" t="n"/>
      <c r="U1504" s="26">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Builder'!$B$12="",N($S1504)&lt;='Assignment Builder'!$B$12)))</f>
        <v/>
      </c>
      <c r="V1504" s="23" t="n"/>
    </row>
    <row r="1505">
      <c r="A1505" s="23" t="n"/>
      <c r="B1505" s="23" t="n"/>
      <c r="C1505" s="24" t="n"/>
      <c r="D1505" s="15" t="n"/>
      <c r="E1505" s="23" t="n"/>
      <c r="F1505" s="15" t="n"/>
      <c r="G1505" s="23" t="n"/>
      <c r="H1505" s="25" t="n"/>
      <c r="I1505" s="15" t="n"/>
      <c r="J1505" s="26">
        <f>IF($A1505="","",LEN($C1505)-LEN(SUBSTITUTE($C1505,",",""))+1)</f>
        <v/>
      </c>
      <c r="K1505" s="26">
        <f>IF($A1505="","",SUMPRODUCT(--ISNUMBER(SEARCH('Category Dictionary'!$D$5:$D$135&amp;"",$C1505)),--('Category Dictionary'!$D$5:$D$135&lt;&gt;"")))</f>
        <v/>
      </c>
      <c r="L1505" s="27">
        <f>IF($A1505="","",TRIM(IF(ISERROR(FIND(",",$C1505)),$C1505,LEFT($C1505,FIND(",",$C1505)-1))))</f>
        <v/>
      </c>
      <c r="M1505" s="28">
        <f>IF($H1505="","",DATE(YEAR($H1505),MONTH($H1505),1))</f>
        <v/>
      </c>
      <c r="N1505" s="26">
        <f>IF($H1505="","",TODAY()-$H1505)</f>
        <v/>
      </c>
      <c r="O1505" s="15" t="n"/>
      <c r="P1505" s="26">
        <f>IF($A1505="","",COUNTIFS('Audit Versions'!$A$6:$A$605,$A1505,'Audit Versions'!$L$6:$L$605,"Active"))</f>
        <v/>
      </c>
      <c r="Q1505" s="15" t="n"/>
      <c r="R1505" s="26">
        <f>IF(OR($A1505="",$P1505=0),"",MOD(N($Q1505),$P1505)+1)</f>
        <v/>
      </c>
      <c r="S1505" s="15" t="n"/>
      <c r="T1505" s="25" t="n"/>
      <c r="U1505" s="26">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Builder'!$B$12="",N($S1505)&lt;='Assignment Builder'!$B$12)))</f>
        <v/>
      </c>
      <c r="V1505" s="23" t="n"/>
    </row>
    <row r="1506">
      <c r="A1506" s="23" t="n"/>
      <c r="B1506" s="23" t="n"/>
      <c r="C1506" s="24" t="n"/>
      <c r="D1506" s="15" t="n"/>
      <c r="E1506" s="23" t="n"/>
      <c r="F1506" s="15" t="n"/>
      <c r="G1506" s="23" t="n"/>
      <c r="H1506" s="25" t="n"/>
      <c r="I1506" s="15" t="n"/>
      <c r="J1506" s="26">
        <f>IF($A1506="","",LEN($C1506)-LEN(SUBSTITUTE($C1506,",",""))+1)</f>
        <v/>
      </c>
      <c r="K1506" s="26">
        <f>IF($A1506="","",SUMPRODUCT(--ISNUMBER(SEARCH('Category Dictionary'!$D$5:$D$135&amp;"",$C1506)),--('Category Dictionary'!$D$5:$D$135&lt;&gt;"")))</f>
        <v/>
      </c>
      <c r="L1506" s="27">
        <f>IF($A1506="","",TRIM(IF(ISERROR(FIND(",",$C1506)),$C1506,LEFT($C1506,FIND(",",$C1506)-1))))</f>
        <v/>
      </c>
      <c r="M1506" s="28">
        <f>IF($H1506="","",DATE(YEAR($H1506),MONTH($H1506),1))</f>
        <v/>
      </c>
      <c r="N1506" s="26">
        <f>IF($H1506="","",TODAY()-$H1506)</f>
        <v/>
      </c>
      <c r="O1506" s="15" t="n"/>
      <c r="P1506" s="26">
        <f>IF($A1506="","",COUNTIFS('Audit Versions'!$A$6:$A$605,$A1506,'Audit Versions'!$L$6:$L$605,"Active"))</f>
        <v/>
      </c>
      <c r="Q1506" s="15" t="n"/>
      <c r="R1506" s="26">
        <f>IF(OR($A1506="",$P1506=0),"",MOD(N($Q1506),$P1506)+1)</f>
        <v/>
      </c>
      <c r="S1506" s="15" t="n"/>
      <c r="T1506" s="25" t="n"/>
      <c r="U1506" s="26">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Builder'!$B$12="",N($S1506)&lt;='Assignment Builder'!$B$12)))</f>
        <v/>
      </c>
      <c r="V1506" s="23" t="n"/>
    </row>
    <row r="1507">
      <c r="A1507" s="23" t="n"/>
      <c r="B1507" s="23" t="n"/>
      <c r="C1507" s="24" t="n"/>
      <c r="D1507" s="15" t="n"/>
      <c r="E1507" s="23" t="n"/>
      <c r="F1507" s="15" t="n"/>
      <c r="G1507" s="23" t="n"/>
      <c r="H1507" s="25" t="n"/>
      <c r="I1507" s="15" t="n"/>
      <c r="J1507" s="26">
        <f>IF($A1507="","",LEN($C1507)-LEN(SUBSTITUTE($C1507,",",""))+1)</f>
        <v/>
      </c>
      <c r="K1507" s="26">
        <f>IF($A1507="","",SUMPRODUCT(--ISNUMBER(SEARCH('Category Dictionary'!$D$5:$D$135&amp;"",$C1507)),--('Category Dictionary'!$D$5:$D$135&lt;&gt;"")))</f>
        <v/>
      </c>
      <c r="L1507" s="27">
        <f>IF($A1507="","",TRIM(IF(ISERROR(FIND(",",$C1507)),$C1507,LEFT($C1507,FIND(",",$C1507)-1))))</f>
        <v/>
      </c>
      <c r="M1507" s="28">
        <f>IF($H1507="","",DATE(YEAR($H1507),MONTH($H1507),1))</f>
        <v/>
      </c>
      <c r="N1507" s="26">
        <f>IF($H1507="","",TODAY()-$H1507)</f>
        <v/>
      </c>
      <c r="O1507" s="15" t="n"/>
      <c r="P1507" s="26">
        <f>IF($A1507="","",COUNTIFS('Audit Versions'!$A$6:$A$605,$A1507,'Audit Versions'!$L$6:$L$605,"Active"))</f>
        <v/>
      </c>
      <c r="Q1507" s="15" t="n"/>
      <c r="R1507" s="26">
        <f>IF(OR($A1507="",$P1507=0),"",MOD(N($Q1507),$P1507)+1)</f>
        <v/>
      </c>
      <c r="S1507" s="15" t="n"/>
      <c r="T1507" s="25" t="n"/>
      <c r="U1507" s="26">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Builder'!$B$12="",N($S1507)&lt;='Assignment Builder'!$B$12)))</f>
        <v/>
      </c>
      <c r="V1507" s="23" t="n"/>
    </row>
    <row r="1508">
      <c r="A1508" s="23" t="n"/>
      <c r="B1508" s="23" t="n"/>
      <c r="C1508" s="24" t="n"/>
      <c r="D1508" s="15" t="n"/>
      <c r="E1508" s="23" t="n"/>
      <c r="F1508" s="15" t="n"/>
      <c r="G1508" s="23" t="n"/>
      <c r="H1508" s="25" t="n"/>
      <c r="I1508" s="15" t="n"/>
      <c r="J1508" s="26">
        <f>IF($A1508="","",LEN($C1508)-LEN(SUBSTITUTE($C1508,",",""))+1)</f>
        <v/>
      </c>
      <c r="K1508" s="26">
        <f>IF($A1508="","",SUMPRODUCT(--ISNUMBER(SEARCH('Category Dictionary'!$D$5:$D$135&amp;"",$C1508)),--('Category Dictionary'!$D$5:$D$135&lt;&gt;"")))</f>
        <v/>
      </c>
      <c r="L1508" s="27">
        <f>IF($A1508="","",TRIM(IF(ISERROR(FIND(",",$C1508)),$C1508,LEFT($C1508,FIND(",",$C1508)-1))))</f>
        <v/>
      </c>
      <c r="M1508" s="28">
        <f>IF($H1508="","",DATE(YEAR($H1508),MONTH($H1508),1))</f>
        <v/>
      </c>
      <c r="N1508" s="26">
        <f>IF($H1508="","",TODAY()-$H1508)</f>
        <v/>
      </c>
      <c r="O1508" s="15" t="n"/>
      <c r="P1508" s="26">
        <f>IF($A1508="","",COUNTIFS('Audit Versions'!$A$6:$A$605,$A1508,'Audit Versions'!$L$6:$L$605,"Active"))</f>
        <v/>
      </c>
      <c r="Q1508" s="15" t="n"/>
      <c r="R1508" s="26">
        <f>IF(OR($A1508="",$P1508=0),"",MOD(N($Q1508),$P1508)+1)</f>
        <v/>
      </c>
      <c r="S1508" s="15" t="n"/>
      <c r="T1508" s="25" t="n"/>
      <c r="U1508" s="26">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Builder'!$B$12="",N($S1508)&lt;='Assignment Builder'!$B$12)))</f>
        <v/>
      </c>
      <c r="V1508" s="23" t="n"/>
    </row>
    <row r="1509">
      <c r="A1509" s="23" t="n"/>
      <c r="B1509" s="23" t="n"/>
      <c r="C1509" s="24" t="n"/>
      <c r="D1509" s="15" t="n"/>
      <c r="E1509" s="23" t="n"/>
      <c r="F1509" s="15" t="n"/>
      <c r="G1509" s="23" t="n"/>
      <c r="H1509" s="25" t="n"/>
      <c r="I1509" s="15" t="n"/>
      <c r="J1509" s="26">
        <f>IF($A1509="","",LEN($C1509)-LEN(SUBSTITUTE($C1509,",",""))+1)</f>
        <v/>
      </c>
      <c r="K1509" s="26">
        <f>IF($A1509="","",SUMPRODUCT(--ISNUMBER(SEARCH('Category Dictionary'!$D$5:$D$135&amp;"",$C1509)),--('Category Dictionary'!$D$5:$D$135&lt;&gt;"")))</f>
        <v/>
      </c>
      <c r="L1509" s="27">
        <f>IF($A1509="","",TRIM(IF(ISERROR(FIND(",",$C1509)),$C1509,LEFT($C1509,FIND(",",$C1509)-1))))</f>
        <v/>
      </c>
      <c r="M1509" s="28">
        <f>IF($H1509="","",DATE(YEAR($H1509),MONTH($H1509),1))</f>
        <v/>
      </c>
      <c r="N1509" s="26">
        <f>IF($H1509="","",TODAY()-$H1509)</f>
        <v/>
      </c>
      <c r="O1509" s="15" t="n"/>
      <c r="P1509" s="26">
        <f>IF($A1509="","",COUNTIFS('Audit Versions'!$A$6:$A$605,$A1509,'Audit Versions'!$L$6:$L$605,"Active"))</f>
        <v/>
      </c>
      <c r="Q1509" s="15" t="n"/>
      <c r="R1509" s="26">
        <f>IF(OR($A1509="",$P1509=0),"",MOD(N($Q1509),$P1509)+1)</f>
        <v/>
      </c>
      <c r="S1509" s="15" t="n"/>
      <c r="T1509" s="25" t="n"/>
      <c r="U1509" s="26">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Builder'!$B$12="",N($S1509)&lt;='Assignment Builder'!$B$12)))</f>
        <v/>
      </c>
      <c r="V1509" s="23" t="n"/>
    </row>
    <row r="1510">
      <c r="A1510" s="23" t="n"/>
      <c r="B1510" s="23" t="n"/>
      <c r="C1510" s="24" t="n"/>
      <c r="D1510" s="15" t="n"/>
      <c r="E1510" s="23" t="n"/>
      <c r="F1510" s="15" t="n"/>
      <c r="G1510" s="23" t="n"/>
      <c r="H1510" s="25" t="n"/>
      <c r="I1510" s="15" t="n"/>
      <c r="J1510" s="26">
        <f>IF($A1510="","",LEN($C1510)-LEN(SUBSTITUTE($C1510,",",""))+1)</f>
        <v/>
      </c>
      <c r="K1510" s="26">
        <f>IF($A1510="","",SUMPRODUCT(--ISNUMBER(SEARCH('Category Dictionary'!$D$5:$D$135&amp;"",$C1510)),--('Category Dictionary'!$D$5:$D$135&lt;&gt;"")))</f>
        <v/>
      </c>
      <c r="L1510" s="27">
        <f>IF($A1510="","",TRIM(IF(ISERROR(FIND(",",$C1510)),$C1510,LEFT($C1510,FIND(",",$C1510)-1))))</f>
        <v/>
      </c>
      <c r="M1510" s="28">
        <f>IF($H1510="","",DATE(YEAR($H1510),MONTH($H1510),1))</f>
        <v/>
      </c>
      <c r="N1510" s="26">
        <f>IF($H1510="","",TODAY()-$H1510)</f>
        <v/>
      </c>
      <c r="O1510" s="15" t="n"/>
      <c r="P1510" s="26">
        <f>IF($A1510="","",COUNTIFS('Audit Versions'!$A$6:$A$605,$A1510,'Audit Versions'!$L$6:$L$605,"Active"))</f>
        <v/>
      </c>
      <c r="Q1510" s="15" t="n"/>
      <c r="R1510" s="26">
        <f>IF(OR($A1510="",$P1510=0),"",MOD(N($Q1510),$P1510)+1)</f>
        <v/>
      </c>
      <c r="S1510" s="15" t="n"/>
      <c r="T1510" s="25" t="n"/>
      <c r="U1510" s="26">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Builder'!$B$12="",N($S1510)&lt;='Assignment Builder'!$B$12)))</f>
        <v/>
      </c>
      <c r="V1510" s="23" t="n"/>
    </row>
    <row r="1511">
      <c r="A1511" s="23" t="n"/>
      <c r="B1511" s="23" t="n"/>
      <c r="C1511" s="24" t="n"/>
      <c r="D1511" s="15" t="n"/>
      <c r="E1511" s="23" t="n"/>
      <c r="F1511" s="15" t="n"/>
      <c r="G1511" s="23" t="n"/>
      <c r="H1511" s="25" t="n"/>
      <c r="I1511" s="15" t="n"/>
      <c r="J1511" s="26">
        <f>IF($A1511="","",LEN($C1511)-LEN(SUBSTITUTE($C1511,",",""))+1)</f>
        <v/>
      </c>
      <c r="K1511" s="26">
        <f>IF($A1511="","",SUMPRODUCT(--ISNUMBER(SEARCH('Category Dictionary'!$D$5:$D$135&amp;"",$C1511)),--('Category Dictionary'!$D$5:$D$135&lt;&gt;"")))</f>
        <v/>
      </c>
      <c r="L1511" s="27">
        <f>IF($A1511="","",TRIM(IF(ISERROR(FIND(",",$C1511)),$C1511,LEFT($C1511,FIND(",",$C1511)-1))))</f>
        <v/>
      </c>
      <c r="M1511" s="28">
        <f>IF($H1511="","",DATE(YEAR($H1511),MONTH($H1511),1))</f>
        <v/>
      </c>
      <c r="N1511" s="26">
        <f>IF($H1511="","",TODAY()-$H1511)</f>
        <v/>
      </c>
      <c r="O1511" s="15" t="n"/>
      <c r="P1511" s="26">
        <f>IF($A1511="","",COUNTIFS('Audit Versions'!$A$6:$A$605,$A1511,'Audit Versions'!$L$6:$L$605,"Active"))</f>
        <v/>
      </c>
      <c r="Q1511" s="15" t="n"/>
      <c r="R1511" s="26">
        <f>IF(OR($A1511="",$P1511=0),"",MOD(N($Q1511),$P1511)+1)</f>
        <v/>
      </c>
      <c r="S1511" s="15" t="n"/>
      <c r="T1511" s="25" t="n"/>
      <c r="U1511" s="26">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Builder'!$B$12="",N($S1511)&lt;='Assignment Builder'!$B$12)))</f>
        <v/>
      </c>
      <c r="V1511" s="23" t="n"/>
    </row>
    <row r="1512">
      <c r="A1512" s="23" t="n"/>
      <c r="B1512" s="23" t="n"/>
      <c r="C1512" s="24" t="n"/>
      <c r="D1512" s="15" t="n"/>
      <c r="E1512" s="23" t="n"/>
      <c r="F1512" s="15" t="n"/>
      <c r="G1512" s="23" t="n"/>
      <c r="H1512" s="25" t="n"/>
      <c r="I1512" s="15" t="n"/>
      <c r="J1512" s="26">
        <f>IF($A1512="","",LEN($C1512)-LEN(SUBSTITUTE($C1512,",",""))+1)</f>
        <v/>
      </c>
      <c r="K1512" s="26">
        <f>IF($A1512="","",SUMPRODUCT(--ISNUMBER(SEARCH('Category Dictionary'!$D$5:$D$135&amp;"",$C1512)),--('Category Dictionary'!$D$5:$D$135&lt;&gt;"")))</f>
        <v/>
      </c>
      <c r="L1512" s="27">
        <f>IF($A1512="","",TRIM(IF(ISERROR(FIND(",",$C1512)),$C1512,LEFT($C1512,FIND(",",$C1512)-1))))</f>
        <v/>
      </c>
      <c r="M1512" s="28">
        <f>IF($H1512="","",DATE(YEAR($H1512),MONTH($H1512),1))</f>
        <v/>
      </c>
      <c r="N1512" s="26">
        <f>IF($H1512="","",TODAY()-$H1512)</f>
        <v/>
      </c>
      <c r="O1512" s="15" t="n"/>
      <c r="P1512" s="26">
        <f>IF($A1512="","",COUNTIFS('Audit Versions'!$A$6:$A$605,$A1512,'Audit Versions'!$L$6:$L$605,"Active"))</f>
        <v/>
      </c>
      <c r="Q1512" s="15" t="n"/>
      <c r="R1512" s="26">
        <f>IF(OR($A1512="",$P1512=0),"",MOD(N($Q1512),$P1512)+1)</f>
        <v/>
      </c>
      <c r="S1512" s="15" t="n"/>
      <c r="T1512" s="25" t="n"/>
      <c r="U1512" s="26">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Builder'!$B$12="",N($S1512)&lt;='Assignment Builder'!$B$12)))</f>
        <v/>
      </c>
      <c r="V1512" s="23" t="n"/>
    </row>
    <row r="1513">
      <c r="A1513" s="23" t="n"/>
      <c r="B1513" s="23" t="n"/>
      <c r="C1513" s="24" t="n"/>
      <c r="D1513" s="15" t="n"/>
      <c r="E1513" s="23" t="n"/>
      <c r="F1513" s="15" t="n"/>
      <c r="G1513" s="23" t="n"/>
      <c r="H1513" s="25" t="n"/>
      <c r="I1513" s="15" t="n"/>
      <c r="J1513" s="26">
        <f>IF($A1513="","",LEN($C1513)-LEN(SUBSTITUTE($C1513,",",""))+1)</f>
        <v/>
      </c>
      <c r="K1513" s="26">
        <f>IF($A1513="","",SUMPRODUCT(--ISNUMBER(SEARCH('Category Dictionary'!$D$5:$D$135&amp;"",$C1513)),--('Category Dictionary'!$D$5:$D$135&lt;&gt;"")))</f>
        <v/>
      </c>
      <c r="L1513" s="27">
        <f>IF($A1513="","",TRIM(IF(ISERROR(FIND(",",$C1513)),$C1513,LEFT($C1513,FIND(",",$C1513)-1))))</f>
        <v/>
      </c>
      <c r="M1513" s="28">
        <f>IF($H1513="","",DATE(YEAR($H1513),MONTH($H1513),1))</f>
        <v/>
      </c>
      <c r="N1513" s="26">
        <f>IF($H1513="","",TODAY()-$H1513)</f>
        <v/>
      </c>
      <c r="O1513" s="15" t="n"/>
      <c r="P1513" s="26">
        <f>IF($A1513="","",COUNTIFS('Audit Versions'!$A$6:$A$605,$A1513,'Audit Versions'!$L$6:$L$605,"Active"))</f>
        <v/>
      </c>
      <c r="Q1513" s="15" t="n"/>
      <c r="R1513" s="26">
        <f>IF(OR($A1513="",$P1513=0),"",MOD(N($Q1513),$P1513)+1)</f>
        <v/>
      </c>
      <c r="S1513" s="15" t="n"/>
      <c r="T1513" s="25" t="n"/>
      <c r="U1513" s="26">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Builder'!$B$12="",N($S1513)&lt;='Assignment Builder'!$B$12)))</f>
        <v/>
      </c>
      <c r="V1513" s="23" t="n"/>
    </row>
    <row r="1514">
      <c r="A1514" s="23" t="n"/>
      <c r="B1514" s="23" t="n"/>
      <c r="C1514" s="24" t="n"/>
      <c r="D1514" s="15" t="n"/>
      <c r="E1514" s="23" t="n"/>
      <c r="F1514" s="15" t="n"/>
      <c r="G1514" s="23" t="n"/>
      <c r="H1514" s="25" t="n"/>
      <c r="I1514" s="15" t="n"/>
      <c r="J1514" s="26">
        <f>IF($A1514="","",LEN($C1514)-LEN(SUBSTITUTE($C1514,",",""))+1)</f>
        <v/>
      </c>
      <c r="K1514" s="26">
        <f>IF($A1514="","",SUMPRODUCT(--ISNUMBER(SEARCH('Category Dictionary'!$D$5:$D$135&amp;"",$C1514)),--('Category Dictionary'!$D$5:$D$135&lt;&gt;"")))</f>
        <v/>
      </c>
      <c r="L1514" s="27">
        <f>IF($A1514="","",TRIM(IF(ISERROR(FIND(",",$C1514)),$C1514,LEFT($C1514,FIND(",",$C1514)-1))))</f>
        <v/>
      </c>
      <c r="M1514" s="28">
        <f>IF($H1514="","",DATE(YEAR($H1514),MONTH($H1514),1))</f>
        <v/>
      </c>
      <c r="N1514" s="26">
        <f>IF($H1514="","",TODAY()-$H1514)</f>
        <v/>
      </c>
      <c r="O1514" s="15" t="n"/>
      <c r="P1514" s="26">
        <f>IF($A1514="","",COUNTIFS('Audit Versions'!$A$6:$A$605,$A1514,'Audit Versions'!$L$6:$L$605,"Active"))</f>
        <v/>
      </c>
      <c r="Q1514" s="15" t="n"/>
      <c r="R1514" s="26">
        <f>IF(OR($A1514="",$P1514=0),"",MOD(N($Q1514),$P1514)+1)</f>
        <v/>
      </c>
      <c r="S1514" s="15" t="n"/>
      <c r="T1514" s="25" t="n"/>
      <c r="U1514" s="26">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Builder'!$B$12="",N($S1514)&lt;='Assignment Builder'!$B$12)))</f>
        <v/>
      </c>
      <c r="V1514" s="23" t="n"/>
    </row>
    <row r="1515">
      <c r="A1515" s="23" t="n"/>
      <c r="B1515" s="23" t="n"/>
      <c r="C1515" s="24" t="n"/>
      <c r="D1515" s="15" t="n"/>
      <c r="E1515" s="23" t="n"/>
      <c r="F1515" s="15" t="n"/>
      <c r="G1515" s="23" t="n"/>
      <c r="H1515" s="25" t="n"/>
      <c r="I1515" s="15" t="n"/>
      <c r="J1515" s="26">
        <f>IF($A1515="","",LEN($C1515)-LEN(SUBSTITUTE($C1515,",",""))+1)</f>
        <v/>
      </c>
      <c r="K1515" s="26">
        <f>IF($A1515="","",SUMPRODUCT(--ISNUMBER(SEARCH('Category Dictionary'!$D$5:$D$135&amp;"",$C1515)),--('Category Dictionary'!$D$5:$D$135&lt;&gt;"")))</f>
        <v/>
      </c>
      <c r="L1515" s="27">
        <f>IF($A1515="","",TRIM(IF(ISERROR(FIND(",",$C1515)),$C1515,LEFT($C1515,FIND(",",$C1515)-1))))</f>
        <v/>
      </c>
      <c r="M1515" s="28">
        <f>IF($H1515="","",DATE(YEAR($H1515),MONTH($H1515),1))</f>
        <v/>
      </c>
      <c r="N1515" s="26">
        <f>IF($H1515="","",TODAY()-$H1515)</f>
        <v/>
      </c>
      <c r="O1515" s="15" t="n"/>
      <c r="P1515" s="26">
        <f>IF($A1515="","",COUNTIFS('Audit Versions'!$A$6:$A$605,$A1515,'Audit Versions'!$L$6:$L$605,"Active"))</f>
        <v/>
      </c>
      <c r="Q1515" s="15" t="n"/>
      <c r="R1515" s="26">
        <f>IF(OR($A1515="",$P1515=0),"",MOD(N($Q1515),$P1515)+1)</f>
        <v/>
      </c>
      <c r="S1515" s="15" t="n"/>
      <c r="T1515" s="25" t="n"/>
      <c r="U1515" s="26">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Builder'!$B$12="",N($S1515)&lt;='Assignment Builder'!$B$12)))</f>
        <v/>
      </c>
      <c r="V1515" s="23" t="n"/>
    </row>
    <row r="1516">
      <c r="A1516" s="23" t="n"/>
      <c r="B1516" s="23" t="n"/>
      <c r="C1516" s="24" t="n"/>
      <c r="D1516" s="15" t="n"/>
      <c r="E1516" s="23" t="n"/>
      <c r="F1516" s="15" t="n"/>
      <c r="G1516" s="23" t="n"/>
      <c r="H1516" s="25" t="n"/>
      <c r="I1516" s="15" t="n"/>
      <c r="J1516" s="26">
        <f>IF($A1516="","",LEN($C1516)-LEN(SUBSTITUTE($C1516,",",""))+1)</f>
        <v/>
      </c>
      <c r="K1516" s="26">
        <f>IF($A1516="","",SUMPRODUCT(--ISNUMBER(SEARCH('Category Dictionary'!$D$5:$D$135&amp;"",$C1516)),--('Category Dictionary'!$D$5:$D$135&lt;&gt;"")))</f>
        <v/>
      </c>
      <c r="L1516" s="27">
        <f>IF($A1516="","",TRIM(IF(ISERROR(FIND(",",$C1516)),$C1516,LEFT($C1516,FIND(",",$C1516)-1))))</f>
        <v/>
      </c>
      <c r="M1516" s="28">
        <f>IF($H1516="","",DATE(YEAR($H1516),MONTH($H1516),1))</f>
        <v/>
      </c>
      <c r="N1516" s="26">
        <f>IF($H1516="","",TODAY()-$H1516)</f>
        <v/>
      </c>
      <c r="O1516" s="15" t="n"/>
      <c r="P1516" s="26">
        <f>IF($A1516="","",COUNTIFS('Audit Versions'!$A$6:$A$605,$A1516,'Audit Versions'!$L$6:$L$605,"Active"))</f>
        <v/>
      </c>
      <c r="Q1516" s="15" t="n"/>
      <c r="R1516" s="26">
        <f>IF(OR($A1516="",$P1516=0),"",MOD(N($Q1516),$P1516)+1)</f>
        <v/>
      </c>
      <c r="S1516" s="15" t="n"/>
      <c r="T1516" s="25" t="n"/>
      <c r="U1516" s="26">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Builder'!$B$12="",N($S1516)&lt;='Assignment Builder'!$B$12)))</f>
        <v/>
      </c>
      <c r="V1516" s="23" t="n"/>
    </row>
    <row r="1517">
      <c r="A1517" s="23" t="n"/>
      <c r="B1517" s="23" t="n"/>
      <c r="C1517" s="24" t="n"/>
      <c r="D1517" s="15" t="n"/>
      <c r="E1517" s="23" t="n"/>
      <c r="F1517" s="15" t="n"/>
      <c r="G1517" s="23" t="n"/>
      <c r="H1517" s="25" t="n"/>
      <c r="I1517" s="15" t="n"/>
      <c r="J1517" s="26">
        <f>IF($A1517="","",LEN($C1517)-LEN(SUBSTITUTE($C1517,",",""))+1)</f>
        <v/>
      </c>
      <c r="K1517" s="26">
        <f>IF($A1517="","",SUMPRODUCT(--ISNUMBER(SEARCH('Category Dictionary'!$D$5:$D$135&amp;"",$C1517)),--('Category Dictionary'!$D$5:$D$135&lt;&gt;"")))</f>
        <v/>
      </c>
      <c r="L1517" s="27">
        <f>IF($A1517="","",TRIM(IF(ISERROR(FIND(",",$C1517)),$C1517,LEFT($C1517,FIND(",",$C1517)-1))))</f>
        <v/>
      </c>
      <c r="M1517" s="28">
        <f>IF($H1517="","",DATE(YEAR($H1517),MONTH($H1517),1))</f>
        <v/>
      </c>
      <c r="N1517" s="26">
        <f>IF($H1517="","",TODAY()-$H1517)</f>
        <v/>
      </c>
      <c r="O1517" s="15" t="n"/>
      <c r="P1517" s="26">
        <f>IF($A1517="","",COUNTIFS('Audit Versions'!$A$6:$A$605,$A1517,'Audit Versions'!$L$6:$L$605,"Active"))</f>
        <v/>
      </c>
      <c r="Q1517" s="15" t="n"/>
      <c r="R1517" s="26">
        <f>IF(OR($A1517="",$P1517=0),"",MOD(N($Q1517),$P1517)+1)</f>
        <v/>
      </c>
      <c r="S1517" s="15" t="n"/>
      <c r="T1517" s="25" t="n"/>
      <c r="U1517" s="26">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Builder'!$B$12="",N($S1517)&lt;='Assignment Builder'!$B$12)))</f>
        <v/>
      </c>
      <c r="V1517" s="23" t="n"/>
    </row>
    <row r="1518">
      <c r="A1518" s="23" t="n"/>
      <c r="B1518" s="23" t="n"/>
      <c r="C1518" s="24" t="n"/>
      <c r="D1518" s="15" t="n"/>
      <c r="E1518" s="23" t="n"/>
      <c r="F1518" s="15" t="n"/>
      <c r="G1518" s="23" t="n"/>
      <c r="H1518" s="25" t="n"/>
      <c r="I1518" s="15" t="n"/>
      <c r="J1518" s="26">
        <f>IF($A1518="","",LEN($C1518)-LEN(SUBSTITUTE($C1518,",",""))+1)</f>
        <v/>
      </c>
      <c r="K1518" s="26">
        <f>IF($A1518="","",SUMPRODUCT(--ISNUMBER(SEARCH('Category Dictionary'!$D$5:$D$135&amp;"",$C1518)),--('Category Dictionary'!$D$5:$D$135&lt;&gt;"")))</f>
        <v/>
      </c>
      <c r="L1518" s="27">
        <f>IF($A1518="","",TRIM(IF(ISERROR(FIND(",",$C1518)),$C1518,LEFT($C1518,FIND(",",$C1518)-1))))</f>
        <v/>
      </c>
      <c r="M1518" s="28">
        <f>IF($H1518="","",DATE(YEAR($H1518),MONTH($H1518),1))</f>
        <v/>
      </c>
      <c r="N1518" s="26">
        <f>IF($H1518="","",TODAY()-$H1518)</f>
        <v/>
      </c>
      <c r="O1518" s="15" t="n"/>
      <c r="P1518" s="26">
        <f>IF($A1518="","",COUNTIFS('Audit Versions'!$A$6:$A$605,$A1518,'Audit Versions'!$L$6:$L$605,"Active"))</f>
        <v/>
      </c>
      <c r="Q1518" s="15" t="n"/>
      <c r="R1518" s="26">
        <f>IF(OR($A1518="",$P1518=0),"",MOD(N($Q1518),$P1518)+1)</f>
        <v/>
      </c>
      <c r="S1518" s="15" t="n"/>
      <c r="T1518" s="25" t="n"/>
      <c r="U1518" s="26">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Builder'!$B$12="",N($S1518)&lt;='Assignment Builder'!$B$12)))</f>
        <v/>
      </c>
      <c r="V1518" s="23" t="n"/>
    </row>
    <row r="1519">
      <c r="A1519" s="23" t="n"/>
      <c r="B1519" s="23" t="n"/>
      <c r="C1519" s="24" t="n"/>
      <c r="D1519" s="15" t="n"/>
      <c r="E1519" s="23" t="n"/>
      <c r="F1519" s="15" t="n"/>
      <c r="G1519" s="23" t="n"/>
      <c r="H1519" s="25" t="n"/>
      <c r="I1519" s="15" t="n"/>
      <c r="J1519" s="26">
        <f>IF($A1519="","",LEN($C1519)-LEN(SUBSTITUTE($C1519,",",""))+1)</f>
        <v/>
      </c>
      <c r="K1519" s="26">
        <f>IF($A1519="","",SUMPRODUCT(--ISNUMBER(SEARCH('Category Dictionary'!$D$5:$D$135&amp;"",$C1519)),--('Category Dictionary'!$D$5:$D$135&lt;&gt;"")))</f>
        <v/>
      </c>
      <c r="L1519" s="27">
        <f>IF($A1519="","",TRIM(IF(ISERROR(FIND(",",$C1519)),$C1519,LEFT($C1519,FIND(",",$C1519)-1))))</f>
        <v/>
      </c>
      <c r="M1519" s="28">
        <f>IF($H1519="","",DATE(YEAR($H1519),MONTH($H1519),1))</f>
        <v/>
      </c>
      <c r="N1519" s="26">
        <f>IF($H1519="","",TODAY()-$H1519)</f>
        <v/>
      </c>
      <c r="O1519" s="15" t="n"/>
      <c r="P1519" s="26">
        <f>IF($A1519="","",COUNTIFS('Audit Versions'!$A$6:$A$605,$A1519,'Audit Versions'!$L$6:$L$605,"Active"))</f>
        <v/>
      </c>
      <c r="Q1519" s="15" t="n"/>
      <c r="R1519" s="26">
        <f>IF(OR($A1519="",$P1519=0),"",MOD(N($Q1519),$P1519)+1)</f>
        <v/>
      </c>
      <c r="S1519" s="15" t="n"/>
      <c r="T1519" s="25" t="n"/>
      <c r="U1519" s="26">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Builder'!$B$12="",N($S1519)&lt;='Assignment Builder'!$B$12)))</f>
        <v/>
      </c>
      <c r="V1519" s="23" t="n"/>
    </row>
    <row r="1520">
      <c r="A1520" s="23" t="n"/>
      <c r="B1520" s="23" t="n"/>
      <c r="C1520" s="24" t="n"/>
      <c r="D1520" s="15" t="n"/>
      <c r="E1520" s="23" t="n"/>
      <c r="F1520" s="15" t="n"/>
      <c r="G1520" s="23" t="n"/>
      <c r="H1520" s="25" t="n"/>
      <c r="I1520" s="15" t="n"/>
      <c r="J1520" s="26">
        <f>IF($A1520="","",LEN($C1520)-LEN(SUBSTITUTE($C1520,",",""))+1)</f>
        <v/>
      </c>
      <c r="K1520" s="26">
        <f>IF($A1520="","",SUMPRODUCT(--ISNUMBER(SEARCH('Category Dictionary'!$D$5:$D$135&amp;"",$C1520)),--('Category Dictionary'!$D$5:$D$135&lt;&gt;"")))</f>
        <v/>
      </c>
      <c r="L1520" s="27">
        <f>IF($A1520="","",TRIM(IF(ISERROR(FIND(",",$C1520)),$C1520,LEFT($C1520,FIND(",",$C1520)-1))))</f>
        <v/>
      </c>
      <c r="M1520" s="28">
        <f>IF($H1520="","",DATE(YEAR($H1520),MONTH($H1520),1))</f>
        <v/>
      </c>
      <c r="N1520" s="26">
        <f>IF($H1520="","",TODAY()-$H1520)</f>
        <v/>
      </c>
      <c r="O1520" s="15" t="n"/>
      <c r="P1520" s="26">
        <f>IF($A1520="","",COUNTIFS('Audit Versions'!$A$6:$A$605,$A1520,'Audit Versions'!$L$6:$L$605,"Active"))</f>
        <v/>
      </c>
      <c r="Q1520" s="15" t="n"/>
      <c r="R1520" s="26">
        <f>IF(OR($A1520="",$P1520=0),"",MOD(N($Q1520),$P1520)+1)</f>
        <v/>
      </c>
      <c r="S1520" s="15" t="n"/>
      <c r="T1520" s="25" t="n"/>
      <c r="U1520" s="26">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Builder'!$B$12="",N($S1520)&lt;='Assignment Builder'!$B$12)))</f>
        <v/>
      </c>
      <c r="V1520" s="23" t="n"/>
    </row>
    <row r="1521">
      <c r="A1521" s="23" t="n"/>
      <c r="B1521" s="23" t="n"/>
      <c r="C1521" s="24" t="n"/>
      <c r="D1521" s="15" t="n"/>
      <c r="E1521" s="23" t="n"/>
      <c r="F1521" s="15" t="n"/>
      <c r="G1521" s="23" t="n"/>
      <c r="H1521" s="25" t="n"/>
      <c r="I1521" s="15" t="n"/>
      <c r="J1521" s="26">
        <f>IF($A1521="","",LEN($C1521)-LEN(SUBSTITUTE($C1521,",",""))+1)</f>
        <v/>
      </c>
      <c r="K1521" s="26">
        <f>IF($A1521="","",SUMPRODUCT(--ISNUMBER(SEARCH('Category Dictionary'!$D$5:$D$135&amp;"",$C1521)),--('Category Dictionary'!$D$5:$D$135&lt;&gt;"")))</f>
        <v/>
      </c>
      <c r="L1521" s="27">
        <f>IF($A1521="","",TRIM(IF(ISERROR(FIND(",",$C1521)),$C1521,LEFT($C1521,FIND(",",$C1521)-1))))</f>
        <v/>
      </c>
      <c r="M1521" s="28">
        <f>IF($H1521="","",DATE(YEAR($H1521),MONTH($H1521),1))</f>
        <v/>
      </c>
      <c r="N1521" s="26">
        <f>IF($H1521="","",TODAY()-$H1521)</f>
        <v/>
      </c>
      <c r="O1521" s="15" t="n"/>
      <c r="P1521" s="26">
        <f>IF($A1521="","",COUNTIFS('Audit Versions'!$A$6:$A$605,$A1521,'Audit Versions'!$L$6:$L$605,"Active"))</f>
        <v/>
      </c>
      <c r="Q1521" s="15" t="n"/>
      <c r="R1521" s="26">
        <f>IF(OR($A1521="",$P1521=0),"",MOD(N($Q1521),$P1521)+1)</f>
        <v/>
      </c>
      <c r="S1521" s="15" t="n"/>
      <c r="T1521" s="25" t="n"/>
      <c r="U1521" s="26">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Builder'!$B$12="",N($S1521)&lt;='Assignment Builder'!$B$12)))</f>
        <v/>
      </c>
      <c r="V1521" s="23" t="n"/>
    </row>
    <row r="1522">
      <c r="A1522" s="23" t="n"/>
      <c r="B1522" s="23" t="n"/>
      <c r="C1522" s="24" t="n"/>
      <c r="D1522" s="15" t="n"/>
      <c r="E1522" s="23" t="n"/>
      <c r="F1522" s="15" t="n"/>
      <c r="G1522" s="23" t="n"/>
      <c r="H1522" s="25" t="n"/>
      <c r="I1522" s="15" t="n"/>
      <c r="J1522" s="26">
        <f>IF($A1522="","",LEN($C1522)-LEN(SUBSTITUTE($C1522,",",""))+1)</f>
        <v/>
      </c>
      <c r="K1522" s="26">
        <f>IF($A1522="","",SUMPRODUCT(--ISNUMBER(SEARCH('Category Dictionary'!$D$5:$D$135&amp;"",$C1522)),--('Category Dictionary'!$D$5:$D$135&lt;&gt;"")))</f>
        <v/>
      </c>
      <c r="L1522" s="27">
        <f>IF($A1522="","",TRIM(IF(ISERROR(FIND(",",$C1522)),$C1522,LEFT($C1522,FIND(",",$C1522)-1))))</f>
        <v/>
      </c>
      <c r="M1522" s="28">
        <f>IF($H1522="","",DATE(YEAR($H1522),MONTH($H1522),1))</f>
        <v/>
      </c>
      <c r="N1522" s="26">
        <f>IF($H1522="","",TODAY()-$H1522)</f>
        <v/>
      </c>
      <c r="O1522" s="15" t="n"/>
      <c r="P1522" s="26">
        <f>IF($A1522="","",COUNTIFS('Audit Versions'!$A$6:$A$605,$A1522,'Audit Versions'!$L$6:$L$605,"Active"))</f>
        <v/>
      </c>
      <c r="Q1522" s="15" t="n"/>
      <c r="R1522" s="26">
        <f>IF(OR($A1522="",$P1522=0),"",MOD(N($Q1522),$P1522)+1)</f>
        <v/>
      </c>
      <c r="S1522" s="15" t="n"/>
      <c r="T1522" s="25" t="n"/>
      <c r="U1522" s="26">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Builder'!$B$12="",N($S1522)&lt;='Assignment Builder'!$B$12)))</f>
        <v/>
      </c>
      <c r="V1522" s="23" t="n"/>
    </row>
    <row r="1523">
      <c r="A1523" s="23" t="n"/>
      <c r="B1523" s="23" t="n"/>
      <c r="C1523" s="24" t="n"/>
      <c r="D1523" s="15" t="n"/>
      <c r="E1523" s="23" t="n"/>
      <c r="F1523" s="15" t="n"/>
      <c r="G1523" s="23" t="n"/>
      <c r="H1523" s="25" t="n"/>
      <c r="I1523" s="15" t="n"/>
      <c r="J1523" s="26">
        <f>IF($A1523="","",LEN($C1523)-LEN(SUBSTITUTE($C1523,",",""))+1)</f>
        <v/>
      </c>
      <c r="K1523" s="26">
        <f>IF($A1523="","",SUMPRODUCT(--ISNUMBER(SEARCH('Category Dictionary'!$D$5:$D$135&amp;"",$C1523)),--('Category Dictionary'!$D$5:$D$135&lt;&gt;"")))</f>
        <v/>
      </c>
      <c r="L1523" s="27">
        <f>IF($A1523="","",TRIM(IF(ISERROR(FIND(",",$C1523)),$C1523,LEFT($C1523,FIND(",",$C1523)-1))))</f>
        <v/>
      </c>
      <c r="M1523" s="28">
        <f>IF($H1523="","",DATE(YEAR($H1523),MONTH($H1523),1))</f>
        <v/>
      </c>
      <c r="N1523" s="26">
        <f>IF($H1523="","",TODAY()-$H1523)</f>
        <v/>
      </c>
      <c r="O1523" s="15" t="n"/>
      <c r="P1523" s="26">
        <f>IF($A1523="","",COUNTIFS('Audit Versions'!$A$6:$A$605,$A1523,'Audit Versions'!$L$6:$L$605,"Active"))</f>
        <v/>
      </c>
      <c r="Q1523" s="15" t="n"/>
      <c r="R1523" s="26">
        <f>IF(OR($A1523="",$P1523=0),"",MOD(N($Q1523),$P1523)+1)</f>
        <v/>
      </c>
      <c r="S1523" s="15" t="n"/>
      <c r="T1523" s="25" t="n"/>
      <c r="U1523" s="26">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Builder'!$B$12="",N($S1523)&lt;='Assignment Builder'!$B$12)))</f>
        <v/>
      </c>
      <c r="V1523" s="23" t="n"/>
    </row>
    <row r="1524">
      <c r="A1524" s="23" t="n"/>
      <c r="B1524" s="23" t="n"/>
      <c r="C1524" s="24" t="n"/>
      <c r="D1524" s="15" t="n"/>
      <c r="E1524" s="23" t="n"/>
      <c r="F1524" s="15" t="n"/>
      <c r="G1524" s="23" t="n"/>
      <c r="H1524" s="25" t="n"/>
      <c r="I1524" s="15" t="n"/>
      <c r="J1524" s="26">
        <f>IF($A1524="","",LEN($C1524)-LEN(SUBSTITUTE($C1524,",",""))+1)</f>
        <v/>
      </c>
      <c r="K1524" s="26">
        <f>IF($A1524="","",SUMPRODUCT(--ISNUMBER(SEARCH('Category Dictionary'!$D$5:$D$135&amp;"",$C1524)),--('Category Dictionary'!$D$5:$D$135&lt;&gt;"")))</f>
        <v/>
      </c>
      <c r="L1524" s="27">
        <f>IF($A1524="","",TRIM(IF(ISERROR(FIND(",",$C1524)),$C1524,LEFT($C1524,FIND(",",$C1524)-1))))</f>
        <v/>
      </c>
      <c r="M1524" s="28">
        <f>IF($H1524="","",DATE(YEAR($H1524),MONTH($H1524),1))</f>
        <v/>
      </c>
      <c r="N1524" s="26">
        <f>IF($H1524="","",TODAY()-$H1524)</f>
        <v/>
      </c>
      <c r="O1524" s="15" t="n"/>
      <c r="P1524" s="26">
        <f>IF($A1524="","",COUNTIFS('Audit Versions'!$A$6:$A$605,$A1524,'Audit Versions'!$L$6:$L$605,"Active"))</f>
        <v/>
      </c>
      <c r="Q1524" s="15" t="n"/>
      <c r="R1524" s="26">
        <f>IF(OR($A1524="",$P1524=0),"",MOD(N($Q1524),$P1524)+1)</f>
        <v/>
      </c>
      <c r="S1524" s="15" t="n"/>
      <c r="T1524" s="25" t="n"/>
      <c r="U1524" s="26">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Builder'!$B$12="",N($S1524)&lt;='Assignment Builder'!$B$12)))</f>
        <v/>
      </c>
      <c r="V1524" s="23" t="n"/>
    </row>
    <row r="1525">
      <c r="A1525" s="23" t="n"/>
      <c r="B1525" s="23" t="n"/>
      <c r="C1525" s="24" t="n"/>
      <c r="D1525" s="15" t="n"/>
      <c r="E1525" s="23" t="n"/>
      <c r="F1525" s="15" t="n"/>
      <c r="G1525" s="23" t="n"/>
      <c r="H1525" s="25" t="n"/>
      <c r="I1525" s="15" t="n"/>
      <c r="J1525" s="26">
        <f>IF($A1525="","",LEN($C1525)-LEN(SUBSTITUTE($C1525,",",""))+1)</f>
        <v/>
      </c>
      <c r="K1525" s="26">
        <f>IF($A1525="","",SUMPRODUCT(--ISNUMBER(SEARCH('Category Dictionary'!$D$5:$D$135&amp;"",$C1525)),--('Category Dictionary'!$D$5:$D$135&lt;&gt;"")))</f>
        <v/>
      </c>
      <c r="L1525" s="27">
        <f>IF($A1525="","",TRIM(IF(ISERROR(FIND(",",$C1525)),$C1525,LEFT($C1525,FIND(",",$C1525)-1))))</f>
        <v/>
      </c>
      <c r="M1525" s="28">
        <f>IF($H1525="","",DATE(YEAR($H1525),MONTH($H1525),1))</f>
        <v/>
      </c>
      <c r="N1525" s="26">
        <f>IF($H1525="","",TODAY()-$H1525)</f>
        <v/>
      </c>
      <c r="O1525" s="15" t="n"/>
      <c r="P1525" s="26">
        <f>IF($A1525="","",COUNTIFS('Audit Versions'!$A$6:$A$605,$A1525,'Audit Versions'!$L$6:$L$605,"Active"))</f>
        <v/>
      </c>
      <c r="Q1525" s="15" t="n"/>
      <c r="R1525" s="26">
        <f>IF(OR($A1525="",$P1525=0),"",MOD(N($Q1525),$P1525)+1)</f>
        <v/>
      </c>
      <c r="S1525" s="15" t="n"/>
      <c r="T1525" s="25" t="n"/>
      <c r="U1525" s="26">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Builder'!$B$12="",N($S1525)&lt;='Assignment Builder'!$B$12)))</f>
        <v/>
      </c>
      <c r="V1525" s="23" t="n"/>
    </row>
    <row r="1526">
      <c r="A1526" s="23" t="n"/>
      <c r="B1526" s="23" t="n"/>
      <c r="C1526" s="24" t="n"/>
      <c r="D1526" s="15" t="n"/>
      <c r="E1526" s="23" t="n"/>
      <c r="F1526" s="15" t="n"/>
      <c r="G1526" s="23" t="n"/>
      <c r="H1526" s="25" t="n"/>
      <c r="I1526" s="15" t="n"/>
      <c r="J1526" s="26">
        <f>IF($A1526="","",LEN($C1526)-LEN(SUBSTITUTE($C1526,",",""))+1)</f>
        <v/>
      </c>
      <c r="K1526" s="26">
        <f>IF($A1526="","",SUMPRODUCT(--ISNUMBER(SEARCH('Category Dictionary'!$D$5:$D$135&amp;"",$C1526)),--('Category Dictionary'!$D$5:$D$135&lt;&gt;"")))</f>
        <v/>
      </c>
      <c r="L1526" s="27">
        <f>IF($A1526="","",TRIM(IF(ISERROR(FIND(",",$C1526)),$C1526,LEFT($C1526,FIND(",",$C1526)-1))))</f>
        <v/>
      </c>
      <c r="M1526" s="28">
        <f>IF($H1526="","",DATE(YEAR($H1526),MONTH($H1526),1))</f>
        <v/>
      </c>
      <c r="N1526" s="26">
        <f>IF($H1526="","",TODAY()-$H1526)</f>
        <v/>
      </c>
      <c r="O1526" s="15" t="n"/>
      <c r="P1526" s="26">
        <f>IF($A1526="","",COUNTIFS('Audit Versions'!$A$6:$A$605,$A1526,'Audit Versions'!$L$6:$L$605,"Active"))</f>
        <v/>
      </c>
      <c r="Q1526" s="15" t="n"/>
      <c r="R1526" s="26">
        <f>IF(OR($A1526="",$P1526=0),"",MOD(N($Q1526),$P1526)+1)</f>
        <v/>
      </c>
      <c r="S1526" s="15" t="n"/>
      <c r="T1526" s="25" t="n"/>
      <c r="U1526" s="26">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Builder'!$B$12="",N($S1526)&lt;='Assignment Builder'!$B$12)))</f>
        <v/>
      </c>
      <c r="V1526" s="23" t="n"/>
    </row>
    <row r="1527">
      <c r="A1527" s="23" t="n"/>
      <c r="B1527" s="23" t="n"/>
      <c r="C1527" s="24" t="n"/>
      <c r="D1527" s="15" t="n"/>
      <c r="E1527" s="23" t="n"/>
      <c r="F1527" s="15" t="n"/>
      <c r="G1527" s="23" t="n"/>
      <c r="H1527" s="25" t="n"/>
      <c r="I1527" s="15" t="n"/>
      <c r="J1527" s="26">
        <f>IF($A1527="","",LEN($C1527)-LEN(SUBSTITUTE($C1527,",",""))+1)</f>
        <v/>
      </c>
      <c r="K1527" s="26">
        <f>IF($A1527="","",SUMPRODUCT(--ISNUMBER(SEARCH('Category Dictionary'!$D$5:$D$135&amp;"",$C1527)),--('Category Dictionary'!$D$5:$D$135&lt;&gt;"")))</f>
        <v/>
      </c>
      <c r="L1527" s="27">
        <f>IF($A1527="","",TRIM(IF(ISERROR(FIND(",",$C1527)),$C1527,LEFT($C1527,FIND(",",$C1527)-1))))</f>
        <v/>
      </c>
      <c r="M1527" s="28">
        <f>IF($H1527="","",DATE(YEAR($H1527),MONTH($H1527),1))</f>
        <v/>
      </c>
      <c r="N1527" s="26">
        <f>IF($H1527="","",TODAY()-$H1527)</f>
        <v/>
      </c>
      <c r="O1527" s="15" t="n"/>
      <c r="P1527" s="26">
        <f>IF($A1527="","",COUNTIFS('Audit Versions'!$A$6:$A$605,$A1527,'Audit Versions'!$L$6:$L$605,"Active"))</f>
        <v/>
      </c>
      <c r="Q1527" s="15" t="n"/>
      <c r="R1527" s="26">
        <f>IF(OR($A1527="",$P1527=0),"",MOD(N($Q1527),$P1527)+1)</f>
        <v/>
      </c>
      <c r="S1527" s="15" t="n"/>
      <c r="T1527" s="25" t="n"/>
      <c r="U1527" s="26">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Builder'!$B$12="",N($S1527)&lt;='Assignment Builder'!$B$12)))</f>
        <v/>
      </c>
      <c r="V1527" s="23" t="n"/>
    </row>
    <row r="1528">
      <c r="A1528" s="23" t="n"/>
      <c r="B1528" s="23" t="n"/>
      <c r="C1528" s="24" t="n"/>
      <c r="D1528" s="15" t="n"/>
      <c r="E1528" s="23" t="n"/>
      <c r="F1528" s="15" t="n"/>
      <c r="G1528" s="23" t="n"/>
      <c r="H1528" s="25" t="n"/>
      <c r="I1528" s="15" t="n"/>
      <c r="J1528" s="26">
        <f>IF($A1528="","",LEN($C1528)-LEN(SUBSTITUTE($C1528,",",""))+1)</f>
        <v/>
      </c>
      <c r="K1528" s="26">
        <f>IF($A1528="","",SUMPRODUCT(--ISNUMBER(SEARCH('Category Dictionary'!$D$5:$D$135&amp;"",$C1528)),--('Category Dictionary'!$D$5:$D$135&lt;&gt;"")))</f>
        <v/>
      </c>
      <c r="L1528" s="27">
        <f>IF($A1528="","",TRIM(IF(ISERROR(FIND(",",$C1528)),$C1528,LEFT($C1528,FIND(",",$C1528)-1))))</f>
        <v/>
      </c>
      <c r="M1528" s="28">
        <f>IF($H1528="","",DATE(YEAR($H1528),MONTH($H1528),1))</f>
        <v/>
      </c>
      <c r="N1528" s="26">
        <f>IF($H1528="","",TODAY()-$H1528)</f>
        <v/>
      </c>
      <c r="O1528" s="15" t="n"/>
      <c r="P1528" s="26">
        <f>IF($A1528="","",COUNTIFS('Audit Versions'!$A$6:$A$605,$A1528,'Audit Versions'!$L$6:$L$605,"Active"))</f>
        <v/>
      </c>
      <c r="Q1528" s="15" t="n"/>
      <c r="R1528" s="26">
        <f>IF(OR($A1528="",$P1528=0),"",MOD(N($Q1528),$P1528)+1)</f>
        <v/>
      </c>
      <c r="S1528" s="15" t="n"/>
      <c r="T1528" s="25" t="n"/>
      <c r="U1528" s="26">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Builder'!$B$12="",N($S1528)&lt;='Assignment Builder'!$B$12)))</f>
        <v/>
      </c>
      <c r="V1528" s="23" t="n"/>
    </row>
    <row r="1529">
      <c r="A1529" s="23" t="n"/>
      <c r="B1529" s="23" t="n"/>
      <c r="C1529" s="24" t="n"/>
      <c r="D1529" s="15" t="n"/>
      <c r="E1529" s="23" t="n"/>
      <c r="F1529" s="15" t="n"/>
      <c r="G1529" s="23" t="n"/>
      <c r="H1529" s="25" t="n"/>
      <c r="I1529" s="15" t="n"/>
      <c r="J1529" s="26">
        <f>IF($A1529="","",LEN($C1529)-LEN(SUBSTITUTE($C1529,",",""))+1)</f>
        <v/>
      </c>
      <c r="K1529" s="26">
        <f>IF($A1529="","",SUMPRODUCT(--ISNUMBER(SEARCH('Category Dictionary'!$D$5:$D$135&amp;"",$C1529)),--('Category Dictionary'!$D$5:$D$135&lt;&gt;"")))</f>
        <v/>
      </c>
      <c r="L1529" s="27">
        <f>IF($A1529="","",TRIM(IF(ISERROR(FIND(",",$C1529)),$C1529,LEFT($C1529,FIND(",",$C1529)-1))))</f>
        <v/>
      </c>
      <c r="M1529" s="28">
        <f>IF($H1529="","",DATE(YEAR($H1529),MONTH($H1529),1))</f>
        <v/>
      </c>
      <c r="N1529" s="26">
        <f>IF($H1529="","",TODAY()-$H1529)</f>
        <v/>
      </c>
      <c r="O1529" s="15" t="n"/>
      <c r="P1529" s="26">
        <f>IF($A1529="","",COUNTIFS('Audit Versions'!$A$6:$A$605,$A1529,'Audit Versions'!$L$6:$L$605,"Active"))</f>
        <v/>
      </c>
      <c r="Q1529" s="15" t="n"/>
      <c r="R1529" s="26">
        <f>IF(OR($A1529="",$P1529=0),"",MOD(N($Q1529),$P1529)+1)</f>
        <v/>
      </c>
      <c r="S1529" s="15" t="n"/>
      <c r="T1529" s="25" t="n"/>
      <c r="U1529" s="26">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Builder'!$B$12="",N($S1529)&lt;='Assignment Builder'!$B$12)))</f>
        <v/>
      </c>
      <c r="V1529" s="23" t="n"/>
    </row>
    <row r="1530">
      <c r="A1530" s="23" t="n"/>
      <c r="B1530" s="23" t="n"/>
      <c r="C1530" s="24" t="n"/>
      <c r="D1530" s="15" t="n"/>
      <c r="E1530" s="23" t="n"/>
      <c r="F1530" s="15" t="n"/>
      <c r="G1530" s="23" t="n"/>
      <c r="H1530" s="25" t="n"/>
      <c r="I1530" s="15" t="n"/>
      <c r="J1530" s="26">
        <f>IF($A1530="","",LEN($C1530)-LEN(SUBSTITUTE($C1530,",",""))+1)</f>
        <v/>
      </c>
      <c r="K1530" s="26">
        <f>IF($A1530="","",SUMPRODUCT(--ISNUMBER(SEARCH('Category Dictionary'!$D$5:$D$135&amp;"",$C1530)),--('Category Dictionary'!$D$5:$D$135&lt;&gt;"")))</f>
        <v/>
      </c>
      <c r="L1530" s="27">
        <f>IF($A1530="","",TRIM(IF(ISERROR(FIND(",",$C1530)),$C1530,LEFT($C1530,FIND(",",$C1530)-1))))</f>
        <v/>
      </c>
      <c r="M1530" s="28">
        <f>IF($H1530="","",DATE(YEAR($H1530),MONTH($H1530),1))</f>
        <v/>
      </c>
      <c r="N1530" s="26">
        <f>IF($H1530="","",TODAY()-$H1530)</f>
        <v/>
      </c>
      <c r="O1530" s="15" t="n"/>
      <c r="P1530" s="26">
        <f>IF($A1530="","",COUNTIFS('Audit Versions'!$A$6:$A$605,$A1530,'Audit Versions'!$L$6:$L$605,"Active"))</f>
        <v/>
      </c>
      <c r="Q1530" s="15" t="n"/>
      <c r="R1530" s="26">
        <f>IF(OR($A1530="",$P1530=0),"",MOD(N($Q1530),$P1530)+1)</f>
        <v/>
      </c>
      <c r="S1530" s="15" t="n"/>
      <c r="T1530" s="25" t="n"/>
      <c r="U1530" s="26">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Builder'!$B$12="",N($S1530)&lt;='Assignment Builder'!$B$12)))</f>
        <v/>
      </c>
      <c r="V1530" s="23" t="n"/>
    </row>
    <row r="1531">
      <c r="A1531" s="23" t="n"/>
      <c r="B1531" s="23" t="n"/>
      <c r="C1531" s="24" t="n"/>
      <c r="D1531" s="15" t="n"/>
      <c r="E1531" s="23" t="n"/>
      <c r="F1531" s="15" t="n"/>
      <c r="G1531" s="23" t="n"/>
      <c r="H1531" s="25" t="n"/>
      <c r="I1531" s="15" t="n"/>
      <c r="J1531" s="26">
        <f>IF($A1531="","",LEN($C1531)-LEN(SUBSTITUTE($C1531,",",""))+1)</f>
        <v/>
      </c>
      <c r="K1531" s="26">
        <f>IF($A1531="","",SUMPRODUCT(--ISNUMBER(SEARCH('Category Dictionary'!$D$5:$D$135&amp;"",$C1531)),--('Category Dictionary'!$D$5:$D$135&lt;&gt;"")))</f>
        <v/>
      </c>
      <c r="L1531" s="27">
        <f>IF($A1531="","",TRIM(IF(ISERROR(FIND(",",$C1531)),$C1531,LEFT($C1531,FIND(",",$C1531)-1))))</f>
        <v/>
      </c>
      <c r="M1531" s="28">
        <f>IF($H1531="","",DATE(YEAR($H1531),MONTH($H1531),1))</f>
        <v/>
      </c>
      <c r="N1531" s="26">
        <f>IF($H1531="","",TODAY()-$H1531)</f>
        <v/>
      </c>
      <c r="O1531" s="15" t="n"/>
      <c r="P1531" s="26">
        <f>IF($A1531="","",COUNTIFS('Audit Versions'!$A$6:$A$605,$A1531,'Audit Versions'!$L$6:$L$605,"Active"))</f>
        <v/>
      </c>
      <c r="Q1531" s="15" t="n"/>
      <c r="R1531" s="26">
        <f>IF(OR($A1531="",$P1531=0),"",MOD(N($Q1531),$P1531)+1)</f>
        <v/>
      </c>
      <c r="S1531" s="15" t="n"/>
      <c r="T1531" s="25" t="n"/>
      <c r="U1531" s="26">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Builder'!$B$12="",N($S1531)&lt;='Assignment Builder'!$B$12)))</f>
        <v/>
      </c>
      <c r="V1531" s="23" t="n"/>
    </row>
    <row r="1532">
      <c r="A1532" s="23" t="n"/>
      <c r="B1532" s="23" t="n"/>
      <c r="C1532" s="24" t="n"/>
      <c r="D1532" s="15" t="n"/>
      <c r="E1532" s="23" t="n"/>
      <c r="F1532" s="15" t="n"/>
      <c r="G1532" s="23" t="n"/>
      <c r="H1532" s="25" t="n"/>
      <c r="I1532" s="15" t="n"/>
      <c r="J1532" s="26">
        <f>IF($A1532="","",LEN($C1532)-LEN(SUBSTITUTE($C1532,",",""))+1)</f>
        <v/>
      </c>
      <c r="K1532" s="26">
        <f>IF($A1532="","",SUMPRODUCT(--ISNUMBER(SEARCH('Category Dictionary'!$D$5:$D$135&amp;"",$C1532)),--('Category Dictionary'!$D$5:$D$135&lt;&gt;"")))</f>
        <v/>
      </c>
      <c r="L1532" s="27">
        <f>IF($A1532="","",TRIM(IF(ISERROR(FIND(",",$C1532)),$C1532,LEFT($C1532,FIND(",",$C1532)-1))))</f>
        <v/>
      </c>
      <c r="M1532" s="28">
        <f>IF($H1532="","",DATE(YEAR($H1532),MONTH($H1532),1))</f>
        <v/>
      </c>
      <c r="N1532" s="26">
        <f>IF($H1532="","",TODAY()-$H1532)</f>
        <v/>
      </c>
      <c r="O1532" s="15" t="n"/>
      <c r="P1532" s="26">
        <f>IF($A1532="","",COUNTIFS('Audit Versions'!$A$6:$A$605,$A1532,'Audit Versions'!$L$6:$L$605,"Active"))</f>
        <v/>
      </c>
      <c r="Q1532" s="15" t="n"/>
      <c r="R1532" s="26">
        <f>IF(OR($A1532="",$P1532=0),"",MOD(N($Q1532),$P1532)+1)</f>
        <v/>
      </c>
      <c r="S1532" s="15" t="n"/>
      <c r="T1532" s="25" t="n"/>
      <c r="U1532" s="26">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Builder'!$B$12="",N($S1532)&lt;='Assignment Builder'!$B$12)))</f>
        <v/>
      </c>
      <c r="V1532" s="23" t="n"/>
    </row>
    <row r="1533">
      <c r="A1533" s="23" t="n"/>
      <c r="B1533" s="23" t="n"/>
      <c r="C1533" s="24" t="n"/>
      <c r="D1533" s="15" t="n"/>
      <c r="E1533" s="23" t="n"/>
      <c r="F1533" s="15" t="n"/>
      <c r="G1533" s="23" t="n"/>
      <c r="H1533" s="25" t="n"/>
      <c r="I1533" s="15" t="n"/>
      <c r="J1533" s="26">
        <f>IF($A1533="","",LEN($C1533)-LEN(SUBSTITUTE($C1533,",",""))+1)</f>
        <v/>
      </c>
      <c r="K1533" s="26">
        <f>IF($A1533="","",SUMPRODUCT(--ISNUMBER(SEARCH('Category Dictionary'!$D$5:$D$135&amp;"",$C1533)),--('Category Dictionary'!$D$5:$D$135&lt;&gt;"")))</f>
        <v/>
      </c>
      <c r="L1533" s="27">
        <f>IF($A1533="","",TRIM(IF(ISERROR(FIND(",",$C1533)),$C1533,LEFT($C1533,FIND(",",$C1533)-1))))</f>
        <v/>
      </c>
      <c r="M1533" s="28">
        <f>IF($H1533="","",DATE(YEAR($H1533),MONTH($H1533),1))</f>
        <v/>
      </c>
      <c r="N1533" s="26">
        <f>IF($H1533="","",TODAY()-$H1533)</f>
        <v/>
      </c>
      <c r="O1533" s="15" t="n"/>
      <c r="P1533" s="26">
        <f>IF($A1533="","",COUNTIFS('Audit Versions'!$A$6:$A$605,$A1533,'Audit Versions'!$L$6:$L$605,"Active"))</f>
        <v/>
      </c>
      <c r="Q1533" s="15" t="n"/>
      <c r="R1533" s="26">
        <f>IF(OR($A1533="",$P1533=0),"",MOD(N($Q1533),$P1533)+1)</f>
        <v/>
      </c>
      <c r="S1533" s="15" t="n"/>
      <c r="T1533" s="25" t="n"/>
      <c r="U1533" s="26">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Builder'!$B$12="",N($S1533)&lt;='Assignment Builder'!$B$12)))</f>
        <v/>
      </c>
      <c r="V1533" s="23" t="n"/>
    </row>
    <row r="1534">
      <c r="A1534" s="23" t="n"/>
      <c r="B1534" s="23" t="n"/>
      <c r="C1534" s="24" t="n"/>
      <c r="D1534" s="15" t="n"/>
      <c r="E1534" s="23" t="n"/>
      <c r="F1534" s="15" t="n"/>
      <c r="G1534" s="23" t="n"/>
      <c r="H1534" s="25" t="n"/>
      <c r="I1534" s="15" t="n"/>
      <c r="J1534" s="26">
        <f>IF($A1534="","",LEN($C1534)-LEN(SUBSTITUTE($C1534,",",""))+1)</f>
        <v/>
      </c>
      <c r="K1534" s="26">
        <f>IF($A1534="","",SUMPRODUCT(--ISNUMBER(SEARCH('Category Dictionary'!$D$5:$D$135&amp;"",$C1534)),--('Category Dictionary'!$D$5:$D$135&lt;&gt;"")))</f>
        <v/>
      </c>
      <c r="L1534" s="27">
        <f>IF($A1534="","",TRIM(IF(ISERROR(FIND(",",$C1534)),$C1534,LEFT($C1534,FIND(",",$C1534)-1))))</f>
        <v/>
      </c>
      <c r="M1534" s="28">
        <f>IF($H1534="","",DATE(YEAR($H1534),MONTH($H1534),1))</f>
        <v/>
      </c>
      <c r="N1534" s="26">
        <f>IF($H1534="","",TODAY()-$H1534)</f>
        <v/>
      </c>
      <c r="O1534" s="15" t="n"/>
      <c r="P1534" s="26">
        <f>IF($A1534="","",COUNTIFS('Audit Versions'!$A$6:$A$605,$A1534,'Audit Versions'!$L$6:$L$605,"Active"))</f>
        <v/>
      </c>
      <c r="Q1534" s="15" t="n"/>
      <c r="R1534" s="26">
        <f>IF(OR($A1534="",$P1534=0),"",MOD(N($Q1534),$P1534)+1)</f>
        <v/>
      </c>
      <c r="S1534" s="15" t="n"/>
      <c r="T1534" s="25" t="n"/>
      <c r="U1534" s="26">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Builder'!$B$12="",N($S1534)&lt;='Assignment Builder'!$B$12)))</f>
        <v/>
      </c>
      <c r="V1534" s="23" t="n"/>
    </row>
    <row r="1535">
      <c r="A1535" s="23" t="n"/>
      <c r="B1535" s="23" t="n"/>
      <c r="C1535" s="24" t="n"/>
      <c r="D1535" s="15" t="n"/>
      <c r="E1535" s="23" t="n"/>
      <c r="F1535" s="15" t="n"/>
      <c r="G1535" s="23" t="n"/>
      <c r="H1535" s="25" t="n"/>
      <c r="I1535" s="15" t="n"/>
      <c r="J1535" s="26">
        <f>IF($A1535="","",LEN($C1535)-LEN(SUBSTITUTE($C1535,",",""))+1)</f>
        <v/>
      </c>
      <c r="K1535" s="26">
        <f>IF($A1535="","",SUMPRODUCT(--ISNUMBER(SEARCH('Category Dictionary'!$D$5:$D$135&amp;"",$C1535)),--('Category Dictionary'!$D$5:$D$135&lt;&gt;"")))</f>
        <v/>
      </c>
      <c r="L1535" s="27">
        <f>IF($A1535="","",TRIM(IF(ISERROR(FIND(",",$C1535)),$C1535,LEFT($C1535,FIND(",",$C1535)-1))))</f>
        <v/>
      </c>
      <c r="M1535" s="28">
        <f>IF($H1535="","",DATE(YEAR($H1535),MONTH($H1535),1))</f>
        <v/>
      </c>
      <c r="N1535" s="26">
        <f>IF($H1535="","",TODAY()-$H1535)</f>
        <v/>
      </c>
      <c r="O1535" s="15" t="n"/>
      <c r="P1535" s="26">
        <f>IF($A1535="","",COUNTIFS('Audit Versions'!$A$6:$A$605,$A1535,'Audit Versions'!$L$6:$L$605,"Active"))</f>
        <v/>
      </c>
      <c r="Q1535" s="15" t="n"/>
      <c r="R1535" s="26">
        <f>IF(OR($A1535="",$P1535=0),"",MOD(N($Q1535),$P1535)+1)</f>
        <v/>
      </c>
      <c r="S1535" s="15" t="n"/>
      <c r="T1535" s="25" t="n"/>
      <c r="U1535" s="26">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Builder'!$B$12="",N($S1535)&lt;='Assignment Builder'!$B$12)))</f>
        <v/>
      </c>
      <c r="V1535" s="23" t="n"/>
    </row>
    <row r="1536">
      <c r="A1536" s="23" t="n"/>
      <c r="B1536" s="23" t="n"/>
      <c r="C1536" s="24" t="n"/>
      <c r="D1536" s="15" t="n"/>
      <c r="E1536" s="23" t="n"/>
      <c r="F1536" s="15" t="n"/>
      <c r="G1536" s="23" t="n"/>
      <c r="H1536" s="25" t="n"/>
      <c r="I1536" s="15" t="n"/>
      <c r="J1536" s="26">
        <f>IF($A1536="","",LEN($C1536)-LEN(SUBSTITUTE($C1536,",",""))+1)</f>
        <v/>
      </c>
      <c r="K1536" s="26">
        <f>IF($A1536="","",SUMPRODUCT(--ISNUMBER(SEARCH('Category Dictionary'!$D$5:$D$135&amp;"",$C1536)),--('Category Dictionary'!$D$5:$D$135&lt;&gt;"")))</f>
        <v/>
      </c>
      <c r="L1536" s="27">
        <f>IF($A1536="","",TRIM(IF(ISERROR(FIND(",",$C1536)),$C1536,LEFT($C1536,FIND(",",$C1536)-1))))</f>
        <v/>
      </c>
      <c r="M1536" s="28">
        <f>IF($H1536="","",DATE(YEAR($H1536),MONTH($H1536),1))</f>
        <v/>
      </c>
      <c r="N1536" s="26">
        <f>IF($H1536="","",TODAY()-$H1536)</f>
        <v/>
      </c>
      <c r="O1536" s="15" t="n"/>
      <c r="P1536" s="26">
        <f>IF($A1536="","",COUNTIFS('Audit Versions'!$A$6:$A$605,$A1536,'Audit Versions'!$L$6:$L$605,"Active"))</f>
        <v/>
      </c>
      <c r="Q1536" s="15" t="n"/>
      <c r="R1536" s="26">
        <f>IF(OR($A1536="",$P1536=0),"",MOD(N($Q1536),$P1536)+1)</f>
        <v/>
      </c>
      <c r="S1536" s="15" t="n"/>
      <c r="T1536" s="25" t="n"/>
      <c r="U1536" s="26">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Builder'!$B$12="",N($S1536)&lt;='Assignment Builder'!$B$12)))</f>
        <v/>
      </c>
      <c r="V1536" s="23" t="n"/>
    </row>
    <row r="1537">
      <c r="A1537" s="23" t="n"/>
      <c r="B1537" s="23" t="n"/>
      <c r="C1537" s="24" t="n"/>
      <c r="D1537" s="15" t="n"/>
      <c r="E1537" s="23" t="n"/>
      <c r="F1537" s="15" t="n"/>
      <c r="G1537" s="23" t="n"/>
      <c r="H1537" s="25" t="n"/>
      <c r="I1537" s="15" t="n"/>
      <c r="J1537" s="26">
        <f>IF($A1537="","",LEN($C1537)-LEN(SUBSTITUTE($C1537,",",""))+1)</f>
        <v/>
      </c>
      <c r="K1537" s="26">
        <f>IF($A1537="","",SUMPRODUCT(--ISNUMBER(SEARCH('Category Dictionary'!$D$5:$D$135&amp;"",$C1537)),--('Category Dictionary'!$D$5:$D$135&lt;&gt;"")))</f>
        <v/>
      </c>
      <c r="L1537" s="27">
        <f>IF($A1537="","",TRIM(IF(ISERROR(FIND(",",$C1537)),$C1537,LEFT($C1537,FIND(",",$C1537)-1))))</f>
        <v/>
      </c>
      <c r="M1537" s="28">
        <f>IF($H1537="","",DATE(YEAR($H1537),MONTH($H1537),1))</f>
        <v/>
      </c>
      <c r="N1537" s="26">
        <f>IF($H1537="","",TODAY()-$H1537)</f>
        <v/>
      </c>
      <c r="O1537" s="15" t="n"/>
      <c r="P1537" s="26">
        <f>IF($A1537="","",COUNTIFS('Audit Versions'!$A$6:$A$605,$A1537,'Audit Versions'!$L$6:$L$605,"Active"))</f>
        <v/>
      </c>
      <c r="Q1537" s="15" t="n"/>
      <c r="R1537" s="26">
        <f>IF(OR($A1537="",$P1537=0),"",MOD(N($Q1537),$P1537)+1)</f>
        <v/>
      </c>
      <c r="S1537" s="15" t="n"/>
      <c r="T1537" s="25" t="n"/>
      <c r="U1537" s="26">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Builder'!$B$12="",N($S1537)&lt;='Assignment Builder'!$B$12)))</f>
        <v/>
      </c>
      <c r="V1537" s="23" t="n"/>
    </row>
    <row r="1538">
      <c r="A1538" s="23" t="n"/>
      <c r="B1538" s="23" t="n"/>
      <c r="C1538" s="24" t="n"/>
      <c r="D1538" s="15" t="n"/>
      <c r="E1538" s="23" t="n"/>
      <c r="F1538" s="15" t="n"/>
      <c r="G1538" s="23" t="n"/>
      <c r="H1538" s="25" t="n"/>
      <c r="I1538" s="15" t="n"/>
      <c r="J1538" s="26">
        <f>IF($A1538="","",LEN($C1538)-LEN(SUBSTITUTE($C1538,",",""))+1)</f>
        <v/>
      </c>
      <c r="K1538" s="26">
        <f>IF($A1538="","",SUMPRODUCT(--ISNUMBER(SEARCH('Category Dictionary'!$D$5:$D$135&amp;"",$C1538)),--('Category Dictionary'!$D$5:$D$135&lt;&gt;"")))</f>
        <v/>
      </c>
      <c r="L1538" s="27">
        <f>IF($A1538="","",TRIM(IF(ISERROR(FIND(",",$C1538)),$C1538,LEFT($C1538,FIND(",",$C1538)-1))))</f>
        <v/>
      </c>
      <c r="M1538" s="28">
        <f>IF($H1538="","",DATE(YEAR($H1538),MONTH($H1538),1))</f>
        <v/>
      </c>
      <c r="N1538" s="26">
        <f>IF($H1538="","",TODAY()-$H1538)</f>
        <v/>
      </c>
      <c r="O1538" s="15" t="n"/>
      <c r="P1538" s="26">
        <f>IF($A1538="","",COUNTIFS('Audit Versions'!$A$6:$A$605,$A1538,'Audit Versions'!$L$6:$L$605,"Active"))</f>
        <v/>
      </c>
      <c r="Q1538" s="15" t="n"/>
      <c r="R1538" s="26">
        <f>IF(OR($A1538="",$P1538=0),"",MOD(N($Q1538),$P1538)+1)</f>
        <v/>
      </c>
      <c r="S1538" s="15" t="n"/>
      <c r="T1538" s="25" t="n"/>
      <c r="U1538" s="26">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Builder'!$B$12="",N($S1538)&lt;='Assignment Builder'!$B$12)))</f>
        <v/>
      </c>
      <c r="V1538" s="23" t="n"/>
    </row>
    <row r="1539">
      <c r="A1539" s="23" t="n"/>
      <c r="B1539" s="23" t="n"/>
      <c r="C1539" s="24" t="n"/>
      <c r="D1539" s="15" t="n"/>
      <c r="E1539" s="23" t="n"/>
      <c r="F1539" s="15" t="n"/>
      <c r="G1539" s="23" t="n"/>
      <c r="H1539" s="25" t="n"/>
      <c r="I1539" s="15" t="n"/>
      <c r="J1539" s="26">
        <f>IF($A1539="","",LEN($C1539)-LEN(SUBSTITUTE($C1539,",",""))+1)</f>
        <v/>
      </c>
      <c r="K1539" s="26">
        <f>IF($A1539="","",SUMPRODUCT(--ISNUMBER(SEARCH('Category Dictionary'!$D$5:$D$135&amp;"",$C1539)),--('Category Dictionary'!$D$5:$D$135&lt;&gt;"")))</f>
        <v/>
      </c>
      <c r="L1539" s="27">
        <f>IF($A1539="","",TRIM(IF(ISERROR(FIND(",",$C1539)),$C1539,LEFT($C1539,FIND(",",$C1539)-1))))</f>
        <v/>
      </c>
      <c r="M1539" s="28">
        <f>IF($H1539="","",DATE(YEAR($H1539),MONTH($H1539),1))</f>
        <v/>
      </c>
      <c r="N1539" s="26">
        <f>IF($H1539="","",TODAY()-$H1539)</f>
        <v/>
      </c>
      <c r="O1539" s="15" t="n"/>
      <c r="P1539" s="26">
        <f>IF($A1539="","",COUNTIFS('Audit Versions'!$A$6:$A$605,$A1539,'Audit Versions'!$L$6:$L$605,"Active"))</f>
        <v/>
      </c>
      <c r="Q1539" s="15" t="n"/>
      <c r="R1539" s="26">
        <f>IF(OR($A1539="",$P1539=0),"",MOD(N($Q1539),$P1539)+1)</f>
        <v/>
      </c>
      <c r="S1539" s="15" t="n"/>
      <c r="T1539" s="25" t="n"/>
      <c r="U1539" s="26">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Builder'!$B$12="",N($S1539)&lt;='Assignment Builder'!$B$12)))</f>
        <v/>
      </c>
      <c r="V1539" s="23" t="n"/>
    </row>
    <row r="1540">
      <c r="A1540" s="23" t="n"/>
      <c r="B1540" s="23" t="n"/>
      <c r="C1540" s="24" t="n"/>
      <c r="D1540" s="15" t="n"/>
      <c r="E1540" s="23" t="n"/>
      <c r="F1540" s="15" t="n"/>
      <c r="G1540" s="23" t="n"/>
      <c r="H1540" s="25" t="n"/>
      <c r="I1540" s="15" t="n"/>
      <c r="J1540" s="26">
        <f>IF($A1540="","",LEN($C1540)-LEN(SUBSTITUTE($C1540,",",""))+1)</f>
        <v/>
      </c>
      <c r="K1540" s="26">
        <f>IF($A1540="","",SUMPRODUCT(--ISNUMBER(SEARCH('Category Dictionary'!$D$5:$D$135&amp;"",$C1540)),--('Category Dictionary'!$D$5:$D$135&lt;&gt;"")))</f>
        <v/>
      </c>
      <c r="L1540" s="27">
        <f>IF($A1540="","",TRIM(IF(ISERROR(FIND(",",$C1540)),$C1540,LEFT($C1540,FIND(",",$C1540)-1))))</f>
        <v/>
      </c>
      <c r="M1540" s="28">
        <f>IF($H1540="","",DATE(YEAR($H1540),MONTH($H1540),1))</f>
        <v/>
      </c>
      <c r="N1540" s="26">
        <f>IF($H1540="","",TODAY()-$H1540)</f>
        <v/>
      </c>
      <c r="O1540" s="15" t="n"/>
      <c r="P1540" s="26">
        <f>IF($A1540="","",COUNTIFS('Audit Versions'!$A$6:$A$605,$A1540,'Audit Versions'!$L$6:$L$605,"Active"))</f>
        <v/>
      </c>
      <c r="Q1540" s="15" t="n"/>
      <c r="R1540" s="26">
        <f>IF(OR($A1540="",$P1540=0),"",MOD(N($Q1540),$P1540)+1)</f>
        <v/>
      </c>
      <c r="S1540" s="15" t="n"/>
      <c r="T1540" s="25" t="n"/>
      <c r="U1540" s="26">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Builder'!$B$12="",N($S1540)&lt;='Assignment Builder'!$B$12)))</f>
        <v/>
      </c>
      <c r="V1540" s="23" t="n"/>
    </row>
    <row r="1541">
      <c r="A1541" s="23" t="n"/>
      <c r="B1541" s="23" t="n"/>
      <c r="C1541" s="24" t="n"/>
      <c r="D1541" s="15" t="n"/>
      <c r="E1541" s="23" t="n"/>
      <c r="F1541" s="15" t="n"/>
      <c r="G1541" s="23" t="n"/>
      <c r="H1541" s="25" t="n"/>
      <c r="I1541" s="15" t="n"/>
      <c r="J1541" s="26">
        <f>IF($A1541="","",LEN($C1541)-LEN(SUBSTITUTE($C1541,",",""))+1)</f>
        <v/>
      </c>
      <c r="K1541" s="26">
        <f>IF($A1541="","",SUMPRODUCT(--ISNUMBER(SEARCH('Category Dictionary'!$D$5:$D$135&amp;"",$C1541)),--('Category Dictionary'!$D$5:$D$135&lt;&gt;"")))</f>
        <v/>
      </c>
      <c r="L1541" s="27">
        <f>IF($A1541="","",TRIM(IF(ISERROR(FIND(",",$C1541)),$C1541,LEFT($C1541,FIND(",",$C1541)-1))))</f>
        <v/>
      </c>
      <c r="M1541" s="28">
        <f>IF($H1541="","",DATE(YEAR($H1541),MONTH($H1541),1))</f>
        <v/>
      </c>
      <c r="N1541" s="26">
        <f>IF($H1541="","",TODAY()-$H1541)</f>
        <v/>
      </c>
      <c r="O1541" s="15" t="n"/>
      <c r="P1541" s="26">
        <f>IF($A1541="","",COUNTIFS('Audit Versions'!$A$6:$A$605,$A1541,'Audit Versions'!$L$6:$L$605,"Active"))</f>
        <v/>
      </c>
      <c r="Q1541" s="15" t="n"/>
      <c r="R1541" s="26">
        <f>IF(OR($A1541="",$P1541=0),"",MOD(N($Q1541),$P1541)+1)</f>
        <v/>
      </c>
      <c r="S1541" s="15" t="n"/>
      <c r="T1541" s="25" t="n"/>
      <c r="U1541" s="26">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Builder'!$B$12="",N($S1541)&lt;='Assignment Builder'!$B$12)))</f>
        <v/>
      </c>
      <c r="V1541" s="23" t="n"/>
    </row>
    <row r="1542">
      <c r="A1542" s="23" t="n"/>
      <c r="B1542" s="23" t="n"/>
      <c r="C1542" s="24" t="n"/>
      <c r="D1542" s="15" t="n"/>
      <c r="E1542" s="23" t="n"/>
      <c r="F1542" s="15" t="n"/>
      <c r="G1542" s="23" t="n"/>
      <c r="H1542" s="25" t="n"/>
      <c r="I1542" s="15" t="n"/>
      <c r="J1542" s="26">
        <f>IF($A1542="","",LEN($C1542)-LEN(SUBSTITUTE($C1542,",",""))+1)</f>
        <v/>
      </c>
      <c r="K1542" s="26">
        <f>IF($A1542="","",SUMPRODUCT(--ISNUMBER(SEARCH('Category Dictionary'!$D$5:$D$135&amp;"",$C1542)),--('Category Dictionary'!$D$5:$D$135&lt;&gt;"")))</f>
        <v/>
      </c>
      <c r="L1542" s="27">
        <f>IF($A1542="","",TRIM(IF(ISERROR(FIND(",",$C1542)),$C1542,LEFT($C1542,FIND(",",$C1542)-1))))</f>
        <v/>
      </c>
      <c r="M1542" s="28">
        <f>IF($H1542="","",DATE(YEAR($H1542),MONTH($H1542),1))</f>
        <v/>
      </c>
      <c r="N1542" s="26">
        <f>IF($H1542="","",TODAY()-$H1542)</f>
        <v/>
      </c>
      <c r="O1542" s="15" t="n"/>
      <c r="P1542" s="26">
        <f>IF($A1542="","",COUNTIFS('Audit Versions'!$A$6:$A$605,$A1542,'Audit Versions'!$L$6:$L$605,"Active"))</f>
        <v/>
      </c>
      <c r="Q1542" s="15" t="n"/>
      <c r="R1542" s="26">
        <f>IF(OR($A1542="",$P1542=0),"",MOD(N($Q1542),$P1542)+1)</f>
        <v/>
      </c>
      <c r="S1542" s="15" t="n"/>
      <c r="T1542" s="25" t="n"/>
      <c r="U1542" s="26">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Builder'!$B$12="",N($S1542)&lt;='Assignment Builder'!$B$12)))</f>
        <v/>
      </c>
      <c r="V1542" s="23" t="n"/>
    </row>
    <row r="1543">
      <c r="A1543" s="23" t="n"/>
      <c r="B1543" s="23" t="n"/>
      <c r="C1543" s="24" t="n"/>
      <c r="D1543" s="15" t="n"/>
      <c r="E1543" s="23" t="n"/>
      <c r="F1543" s="15" t="n"/>
      <c r="G1543" s="23" t="n"/>
      <c r="H1543" s="25" t="n"/>
      <c r="I1543" s="15" t="n"/>
      <c r="J1543" s="26">
        <f>IF($A1543="","",LEN($C1543)-LEN(SUBSTITUTE($C1543,",",""))+1)</f>
        <v/>
      </c>
      <c r="K1543" s="26">
        <f>IF($A1543="","",SUMPRODUCT(--ISNUMBER(SEARCH('Category Dictionary'!$D$5:$D$135&amp;"",$C1543)),--('Category Dictionary'!$D$5:$D$135&lt;&gt;"")))</f>
        <v/>
      </c>
      <c r="L1543" s="27">
        <f>IF($A1543="","",TRIM(IF(ISERROR(FIND(",",$C1543)),$C1543,LEFT($C1543,FIND(",",$C1543)-1))))</f>
        <v/>
      </c>
      <c r="M1543" s="28">
        <f>IF($H1543="","",DATE(YEAR($H1543),MONTH($H1543),1))</f>
        <v/>
      </c>
      <c r="N1543" s="26">
        <f>IF($H1543="","",TODAY()-$H1543)</f>
        <v/>
      </c>
      <c r="O1543" s="15" t="n"/>
      <c r="P1543" s="26">
        <f>IF($A1543="","",COUNTIFS('Audit Versions'!$A$6:$A$605,$A1543,'Audit Versions'!$L$6:$L$605,"Active"))</f>
        <v/>
      </c>
      <c r="Q1543" s="15" t="n"/>
      <c r="R1543" s="26">
        <f>IF(OR($A1543="",$P1543=0),"",MOD(N($Q1543),$P1543)+1)</f>
        <v/>
      </c>
      <c r="S1543" s="15" t="n"/>
      <c r="T1543" s="25" t="n"/>
      <c r="U1543" s="26">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Builder'!$B$12="",N($S1543)&lt;='Assignment Builder'!$B$12)))</f>
        <v/>
      </c>
      <c r="V1543" s="23" t="n"/>
    </row>
    <row r="1544">
      <c r="A1544" s="23" t="n"/>
      <c r="B1544" s="23" t="n"/>
      <c r="C1544" s="24" t="n"/>
      <c r="D1544" s="15" t="n"/>
      <c r="E1544" s="23" t="n"/>
      <c r="F1544" s="15" t="n"/>
      <c r="G1544" s="23" t="n"/>
      <c r="H1544" s="25" t="n"/>
      <c r="I1544" s="15" t="n"/>
      <c r="J1544" s="26">
        <f>IF($A1544="","",LEN($C1544)-LEN(SUBSTITUTE($C1544,",",""))+1)</f>
        <v/>
      </c>
      <c r="K1544" s="26">
        <f>IF($A1544="","",SUMPRODUCT(--ISNUMBER(SEARCH('Category Dictionary'!$D$5:$D$135&amp;"",$C1544)),--('Category Dictionary'!$D$5:$D$135&lt;&gt;"")))</f>
        <v/>
      </c>
      <c r="L1544" s="27">
        <f>IF($A1544="","",TRIM(IF(ISERROR(FIND(",",$C1544)),$C1544,LEFT($C1544,FIND(",",$C1544)-1))))</f>
        <v/>
      </c>
      <c r="M1544" s="28">
        <f>IF($H1544="","",DATE(YEAR($H1544),MONTH($H1544),1))</f>
        <v/>
      </c>
      <c r="N1544" s="26">
        <f>IF($H1544="","",TODAY()-$H1544)</f>
        <v/>
      </c>
      <c r="O1544" s="15" t="n"/>
      <c r="P1544" s="26">
        <f>IF($A1544="","",COUNTIFS('Audit Versions'!$A$6:$A$605,$A1544,'Audit Versions'!$L$6:$L$605,"Active"))</f>
        <v/>
      </c>
      <c r="Q1544" s="15" t="n"/>
      <c r="R1544" s="26">
        <f>IF(OR($A1544="",$P1544=0),"",MOD(N($Q1544),$P1544)+1)</f>
        <v/>
      </c>
      <c r="S1544" s="15" t="n"/>
      <c r="T1544" s="25" t="n"/>
      <c r="U1544" s="26">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Builder'!$B$12="",N($S1544)&lt;='Assignment Builder'!$B$12)))</f>
        <v/>
      </c>
      <c r="V1544" s="23" t="n"/>
    </row>
    <row r="1545">
      <c r="A1545" s="23" t="n"/>
      <c r="B1545" s="23" t="n"/>
      <c r="C1545" s="24" t="n"/>
      <c r="D1545" s="15" t="n"/>
      <c r="E1545" s="23" t="n"/>
      <c r="F1545" s="15" t="n"/>
      <c r="G1545" s="23" t="n"/>
      <c r="H1545" s="25" t="n"/>
      <c r="I1545" s="15" t="n"/>
      <c r="J1545" s="26">
        <f>IF($A1545="","",LEN($C1545)-LEN(SUBSTITUTE($C1545,",",""))+1)</f>
        <v/>
      </c>
      <c r="K1545" s="26">
        <f>IF($A1545="","",SUMPRODUCT(--ISNUMBER(SEARCH('Category Dictionary'!$D$5:$D$135&amp;"",$C1545)),--('Category Dictionary'!$D$5:$D$135&lt;&gt;"")))</f>
        <v/>
      </c>
      <c r="L1545" s="27">
        <f>IF($A1545="","",TRIM(IF(ISERROR(FIND(",",$C1545)),$C1545,LEFT($C1545,FIND(",",$C1545)-1))))</f>
        <v/>
      </c>
      <c r="M1545" s="28">
        <f>IF($H1545="","",DATE(YEAR($H1545),MONTH($H1545),1))</f>
        <v/>
      </c>
      <c r="N1545" s="26">
        <f>IF($H1545="","",TODAY()-$H1545)</f>
        <v/>
      </c>
      <c r="O1545" s="15" t="n"/>
      <c r="P1545" s="26">
        <f>IF($A1545="","",COUNTIFS('Audit Versions'!$A$6:$A$605,$A1545,'Audit Versions'!$L$6:$L$605,"Active"))</f>
        <v/>
      </c>
      <c r="Q1545" s="15" t="n"/>
      <c r="R1545" s="26">
        <f>IF(OR($A1545="",$P1545=0),"",MOD(N($Q1545),$P1545)+1)</f>
        <v/>
      </c>
      <c r="S1545" s="15" t="n"/>
      <c r="T1545" s="25" t="n"/>
      <c r="U1545" s="26">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Builder'!$B$12="",N($S1545)&lt;='Assignment Builder'!$B$12)))</f>
        <v/>
      </c>
      <c r="V1545" s="23" t="n"/>
    </row>
    <row r="1546">
      <c r="A1546" s="23" t="n"/>
      <c r="B1546" s="23" t="n"/>
      <c r="C1546" s="24" t="n"/>
      <c r="D1546" s="15" t="n"/>
      <c r="E1546" s="23" t="n"/>
      <c r="F1546" s="15" t="n"/>
      <c r="G1546" s="23" t="n"/>
      <c r="H1546" s="25" t="n"/>
      <c r="I1546" s="15" t="n"/>
      <c r="J1546" s="26">
        <f>IF($A1546="","",LEN($C1546)-LEN(SUBSTITUTE($C1546,",",""))+1)</f>
        <v/>
      </c>
      <c r="K1546" s="26">
        <f>IF($A1546="","",SUMPRODUCT(--ISNUMBER(SEARCH('Category Dictionary'!$D$5:$D$135&amp;"",$C1546)),--('Category Dictionary'!$D$5:$D$135&lt;&gt;"")))</f>
        <v/>
      </c>
      <c r="L1546" s="27">
        <f>IF($A1546="","",TRIM(IF(ISERROR(FIND(",",$C1546)),$C1546,LEFT($C1546,FIND(",",$C1546)-1))))</f>
        <v/>
      </c>
      <c r="M1546" s="28">
        <f>IF($H1546="","",DATE(YEAR($H1546),MONTH($H1546),1))</f>
        <v/>
      </c>
      <c r="N1546" s="26">
        <f>IF($H1546="","",TODAY()-$H1546)</f>
        <v/>
      </c>
      <c r="O1546" s="15" t="n"/>
      <c r="P1546" s="26">
        <f>IF($A1546="","",COUNTIFS('Audit Versions'!$A$6:$A$605,$A1546,'Audit Versions'!$L$6:$L$605,"Active"))</f>
        <v/>
      </c>
      <c r="Q1546" s="15" t="n"/>
      <c r="R1546" s="26">
        <f>IF(OR($A1546="",$P1546=0),"",MOD(N($Q1546),$P1546)+1)</f>
        <v/>
      </c>
      <c r="S1546" s="15" t="n"/>
      <c r="T1546" s="25" t="n"/>
      <c r="U1546" s="26">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Builder'!$B$12="",N($S1546)&lt;='Assignment Builder'!$B$12)))</f>
        <v/>
      </c>
      <c r="V1546" s="23" t="n"/>
    </row>
    <row r="1547">
      <c r="A1547" s="23" t="n"/>
      <c r="B1547" s="23" t="n"/>
      <c r="C1547" s="24" t="n"/>
      <c r="D1547" s="15" t="n"/>
      <c r="E1547" s="23" t="n"/>
      <c r="F1547" s="15" t="n"/>
      <c r="G1547" s="23" t="n"/>
      <c r="H1547" s="25" t="n"/>
      <c r="I1547" s="15" t="n"/>
      <c r="J1547" s="26">
        <f>IF($A1547="","",LEN($C1547)-LEN(SUBSTITUTE($C1547,",",""))+1)</f>
        <v/>
      </c>
      <c r="K1547" s="26">
        <f>IF($A1547="","",SUMPRODUCT(--ISNUMBER(SEARCH('Category Dictionary'!$D$5:$D$135&amp;"",$C1547)),--('Category Dictionary'!$D$5:$D$135&lt;&gt;"")))</f>
        <v/>
      </c>
      <c r="L1547" s="27">
        <f>IF($A1547="","",TRIM(IF(ISERROR(FIND(",",$C1547)),$C1547,LEFT($C1547,FIND(",",$C1547)-1))))</f>
        <v/>
      </c>
      <c r="M1547" s="28">
        <f>IF($H1547="","",DATE(YEAR($H1547),MONTH($H1547),1))</f>
        <v/>
      </c>
      <c r="N1547" s="26">
        <f>IF($H1547="","",TODAY()-$H1547)</f>
        <v/>
      </c>
      <c r="O1547" s="15" t="n"/>
      <c r="P1547" s="26">
        <f>IF($A1547="","",COUNTIFS('Audit Versions'!$A$6:$A$605,$A1547,'Audit Versions'!$L$6:$L$605,"Active"))</f>
        <v/>
      </c>
      <c r="Q1547" s="15" t="n"/>
      <c r="R1547" s="26">
        <f>IF(OR($A1547="",$P1547=0),"",MOD(N($Q1547),$P1547)+1)</f>
        <v/>
      </c>
      <c r="S1547" s="15" t="n"/>
      <c r="T1547" s="25" t="n"/>
      <c r="U1547" s="26">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Builder'!$B$12="",N($S1547)&lt;='Assignment Builder'!$B$12)))</f>
        <v/>
      </c>
      <c r="V1547" s="23" t="n"/>
    </row>
    <row r="1548">
      <c r="A1548" s="23" t="n"/>
      <c r="B1548" s="23" t="n"/>
      <c r="C1548" s="24" t="n"/>
      <c r="D1548" s="15" t="n"/>
      <c r="E1548" s="23" t="n"/>
      <c r="F1548" s="15" t="n"/>
      <c r="G1548" s="23" t="n"/>
      <c r="H1548" s="25" t="n"/>
      <c r="I1548" s="15" t="n"/>
      <c r="J1548" s="26">
        <f>IF($A1548="","",LEN($C1548)-LEN(SUBSTITUTE($C1548,",",""))+1)</f>
        <v/>
      </c>
      <c r="K1548" s="26">
        <f>IF($A1548="","",SUMPRODUCT(--ISNUMBER(SEARCH('Category Dictionary'!$D$5:$D$135&amp;"",$C1548)),--('Category Dictionary'!$D$5:$D$135&lt;&gt;"")))</f>
        <v/>
      </c>
      <c r="L1548" s="27">
        <f>IF($A1548="","",TRIM(IF(ISERROR(FIND(",",$C1548)),$C1548,LEFT($C1548,FIND(",",$C1548)-1))))</f>
        <v/>
      </c>
      <c r="M1548" s="28">
        <f>IF($H1548="","",DATE(YEAR($H1548),MONTH($H1548),1))</f>
        <v/>
      </c>
      <c r="N1548" s="26">
        <f>IF($H1548="","",TODAY()-$H1548)</f>
        <v/>
      </c>
      <c r="O1548" s="15" t="n"/>
      <c r="P1548" s="26">
        <f>IF($A1548="","",COUNTIFS('Audit Versions'!$A$6:$A$605,$A1548,'Audit Versions'!$L$6:$L$605,"Active"))</f>
        <v/>
      </c>
      <c r="Q1548" s="15" t="n"/>
      <c r="R1548" s="26">
        <f>IF(OR($A1548="",$P1548=0),"",MOD(N($Q1548),$P1548)+1)</f>
        <v/>
      </c>
      <c r="S1548" s="15" t="n"/>
      <c r="T1548" s="25" t="n"/>
      <c r="U1548" s="26">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Builder'!$B$12="",N($S1548)&lt;='Assignment Builder'!$B$12)))</f>
        <v/>
      </c>
      <c r="V1548" s="23" t="n"/>
    </row>
    <row r="1549">
      <c r="A1549" s="23" t="n"/>
      <c r="B1549" s="23" t="n"/>
      <c r="C1549" s="24" t="n"/>
      <c r="D1549" s="15" t="n"/>
      <c r="E1549" s="23" t="n"/>
      <c r="F1549" s="15" t="n"/>
      <c r="G1549" s="23" t="n"/>
      <c r="H1549" s="25" t="n"/>
      <c r="I1549" s="15" t="n"/>
      <c r="J1549" s="26">
        <f>IF($A1549="","",LEN($C1549)-LEN(SUBSTITUTE($C1549,",",""))+1)</f>
        <v/>
      </c>
      <c r="K1549" s="26">
        <f>IF($A1549="","",SUMPRODUCT(--ISNUMBER(SEARCH('Category Dictionary'!$D$5:$D$135&amp;"",$C1549)),--('Category Dictionary'!$D$5:$D$135&lt;&gt;"")))</f>
        <v/>
      </c>
      <c r="L1549" s="27">
        <f>IF($A1549="","",TRIM(IF(ISERROR(FIND(",",$C1549)),$C1549,LEFT($C1549,FIND(",",$C1549)-1))))</f>
        <v/>
      </c>
      <c r="M1549" s="28">
        <f>IF($H1549="","",DATE(YEAR($H1549),MONTH($H1549),1))</f>
        <v/>
      </c>
      <c r="N1549" s="26">
        <f>IF($H1549="","",TODAY()-$H1549)</f>
        <v/>
      </c>
      <c r="O1549" s="15" t="n"/>
      <c r="P1549" s="26">
        <f>IF($A1549="","",COUNTIFS('Audit Versions'!$A$6:$A$605,$A1549,'Audit Versions'!$L$6:$L$605,"Active"))</f>
        <v/>
      </c>
      <c r="Q1549" s="15" t="n"/>
      <c r="R1549" s="26">
        <f>IF(OR($A1549="",$P1549=0),"",MOD(N($Q1549),$P1549)+1)</f>
        <v/>
      </c>
      <c r="S1549" s="15" t="n"/>
      <c r="T1549" s="25" t="n"/>
      <c r="U1549" s="26">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Builder'!$B$12="",N($S1549)&lt;='Assignment Builder'!$B$12)))</f>
        <v/>
      </c>
      <c r="V1549" s="23" t="n"/>
    </row>
    <row r="1550">
      <c r="A1550" s="23" t="n"/>
      <c r="B1550" s="23" t="n"/>
      <c r="C1550" s="24" t="n"/>
      <c r="D1550" s="15" t="n"/>
      <c r="E1550" s="23" t="n"/>
      <c r="F1550" s="15" t="n"/>
      <c r="G1550" s="23" t="n"/>
      <c r="H1550" s="25" t="n"/>
      <c r="I1550" s="15" t="n"/>
      <c r="J1550" s="26">
        <f>IF($A1550="","",LEN($C1550)-LEN(SUBSTITUTE($C1550,",",""))+1)</f>
        <v/>
      </c>
      <c r="K1550" s="26">
        <f>IF($A1550="","",SUMPRODUCT(--ISNUMBER(SEARCH('Category Dictionary'!$D$5:$D$135&amp;"",$C1550)),--('Category Dictionary'!$D$5:$D$135&lt;&gt;"")))</f>
        <v/>
      </c>
      <c r="L1550" s="27">
        <f>IF($A1550="","",TRIM(IF(ISERROR(FIND(",",$C1550)),$C1550,LEFT($C1550,FIND(",",$C1550)-1))))</f>
        <v/>
      </c>
      <c r="M1550" s="28">
        <f>IF($H1550="","",DATE(YEAR($H1550),MONTH($H1550),1))</f>
        <v/>
      </c>
      <c r="N1550" s="26">
        <f>IF($H1550="","",TODAY()-$H1550)</f>
        <v/>
      </c>
      <c r="O1550" s="15" t="n"/>
      <c r="P1550" s="26">
        <f>IF($A1550="","",COUNTIFS('Audit Versions'!$A$6:$A$605,$A1550,'Audit Versions'!$L$6:$L$605,"Active"))</f>
        <v/>
      </c>
      <c r="Q1550" s="15" t="n"/>
      <c r="R1550" s="26">
        <f>IF(OR($A1550="",$P1550=0),"",MOD(N($Q1550),$P1550)+1)</f>
        <v/>
      </c>
      <c r="S1550" s="15" t="n"/>
      <c r="T1550" s="25" t="n"/>
      <c r="U1550" s="26">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Builder'!$B$12="",N($S1550)&lt;='Assignment Builder'!$B$12)))</f>
        <v/>
      </c>
      <c r="V1550" s="23" t="n"/>
    </row>
    <row r="1551">
      <c r="A1551" s="23" t="n"/>
      <c r="B1551" s="23" t="n"/>
      <c r="C1551" s="24" t="n"/>
      <c r="D1551" s="15" t="n"/>
      <c r="E1551" s="23" t="n"/>
      <c r="F1551" s="15" t="n"/>
      <c r="G1551" s="23" t="n"/>
      <c r="H1551" s="25" t="n"/>
      <c r="I1551" s="15" t="n"/>
      <c r="J1551" s="26">
        <f>IF($A1551="","",LEN($C1551)-LEN(SUBSTITUTE($C1551,",",""))+1)</f>
        <v/>
      </c>
      <c r="K1551" s="26">
        <f>IF($A1551="","",SUMPRODUCT(--ISNUMBER(SEARCH('Category Dictionary'!$D$5:$D$135&amp;"",$C1551)),--('Category Dictionary'!$D$5:$D$135&lt;&gt;"")))</f>
        <v/>
      </c>
      <c r="L1551" s="27">
        <f>IF($A1551="","",TRIM(IF(ISERROR(FIND(",",$C1551)),$C1551,LEFT($C1551,FIND(",",$C1551)-1))))</f>
        <v/>
      </c>
      <c r="M1551" s="28">
        <f>IF($H1551="","",DATE(YEAR($H1551),MONTH($H1551),1))</f>
        <v/>
      </c>
      <c r="N1551" s="26">
        <f>IF($H1551="","",TODAY()-$H1551)</f>
        <v/>
      </c>
      <c r="O1551" s="15" t="n"/>
      <c r="P1551" s="26">
        <f>IF($A1551="","",COUNTIFS('Audit Versions'!$A$6:$A$605,$A1551,'Audit Versions'!$L$6:$L$605,"Active"))</f>
        <v/>
      </c>
      <c r="Q1551" s="15" t="n"/>
      <c r="R1551" s="26">
        <f>IF(OR($A1551="",$P1551=0),"",MOD(N($Q1551),$P1551)+1)</f>
        <v/>
      </c>
      <c r="S1551" s="15" t="n"/>
      <c r="T1551" s="25" t="n"/>
      <c r="U1551" s="26">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Builder'!$B$12="",N($S1551)&lt;='Assignment Builder'!$B$12)))</f>
        <v/>
      </c>
      <c r="V1551" s="23" t="n"/>
    </row>
    <row r="1552">
      <c r="A1552" s="23" t="n"/>
      <c r="B1552" s="23" t="n"/>
      <c r="C1552" s="24" t="n"/>
      <c r="D1552" s="15" t="n"/>
      <c r="E1552" s="23" t="n"/>
      <c r="F1552" s="15" t="n"/>
      <c r="G1552" s="23" t="n"/>
      <c r="H1552" s="25" t="n"/>
      <c r="I1552" s="15" t="n"/>
      <c r="J1552" s="26">
        <f>IF($A1552="","",LEN($C1552)-LEN(SUBSTITUTE($C1552,",",""))+1)</f>
        <v/>
      </c>
      <c r="K1552" s="26">
        <f>IF($A1552="","",SUMPRODUCT(--ISNUMBER(SEARCH('Category Dictionary'!$D$5:$D$135&amp;"",$C1552)),--('Category Dictionary'!$D$5:$D$135&lt;&gt;"")))</f>
        <v/>
      </c>
      <c r="L1552" s="27">
        <f>IF($A1552="","",TRIM(IF(ISERROR(FIND(",",$C1552)),$C1552,LEFT($C1552,FIND(",",$C1552)-1))))</f>
        <v/>
      </c>
      <c r="M1552" s="28">
        <f>IF($H1552="","",DATE(YEAR($H1552),MONTH($H1552),1))</f>
        <v/>
      </c>
      <c r="N1552" s="26">
        <f>IF($H1552="","",TODAY()-$H1552)</f>
        <v/>
      </c>
      <c r="O1552" s="15" t="n"/>
      <c r="P1552" s="26">
        <f>IF($A1552="","",COUNTIFS('Audit Versions'!$A$6:$A$605,$A1552,'Audit Versions'!$L$6:$L$605,"Active"))</f>
        <v/>
      </c>
      <c r="Q1552" s="15" t="n"/>
      <c r="R1552" s="26">
        <f>IF(OR($A1552="",$P1552=0),"",MOD(N($Q1552),$P1552)+1)</f>
        <v/>
      </c>
      <c r="S1552" s="15" t="n"/>
      <c r="T1552" s="25" t="n"/>
      <c r="U1552" s="26">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Builder'!$B$12="",N($S1552)&lt;='Assignment Builder'!$B$12)))</f>
        <v/>
      </c>
      <c r="V1552" s="23" t="n"/>
    </row>
    <row r="1553">
      <c r="A1553" s="23" t="n"/>
      <c r="B1553" s="23" t="n"/>
      <c r="C1553" s="24" t="n"/>
      <c r="D1553" s="15" t="n"/>
      <c r="E1553" s="23" t="n"/>
      <c r="F1553" s="15" t="n"/>
      <c r="G1553" s="23" t="n"/>
      <c r="H1553" s="25" t="n"/>
      <c r="I1553" s="15" t="n"/>
      <c r="J1553" s="26">
        <f>IF($A1553="","",LEN($C1553)-LEN(SUBSTITUTE($C1553,",",""))+1)</f>
        <v/>
      </c>
      <c r="K1553" s="26">
        <f>IF($A1553="","",SUMPRODUCT(--ISNUMBER(SEARCH('Category Dictionary'!$D$5:$D$135&amp;"",$C1553)),--('Category Dictionary'!$D$5:$D$135&lt;&gt;"")))</f>
        <v/>
      </c>
      <c r="L1553" s="27">
        <f>IF($A1553="","",TRIM(IF(ISERROR(FIND(",",$C1553)),$C1553,LEFT($C1553,FIND(",",$C1553)-1))))</f>
        <v/>
      </c>
      <c r="M1553" s="28">
        <f>IF($H1553="","",DATE(YEAR($H1553),MONTH($H1553),1))</f>
        <v/>
      </c>
      <c r="N1553" s="26">
        <f>IF($H1553="","",TODAY()-$H1553)</f>
        <v/>
      </c>
      <c r="O1553" s="15" t="n"/>
      <c r="P1553" s="26">
        <f>IF($A1553="","",COUNTIFS('Audit Versions'!$A$6:$A$605,$A1553,'Audit Versions'!$L$6:$L$605,"Active"))</f>
        <v/>
      </c>
      <c r="Q1553" s="15" t="n"/>
      <c r="R1553" s="26">
        <f>IF(OR($A1553="",$P1553=0),"",MOD(N($Q1553),$P1553)+1)</f>
        <v/>
      </c>
      <c r="S1553" s="15" t="n"/>
      <c r="T1553" s="25" t="n"/>
      <c r="U1553" s="26">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Builder'!$B$12="",N($S1553)&lt;='Assignment Builder'!$B$12)))</f>
        <v/>
      </c>
      <c r="V1553" s="23" t="n"/>
    </row>
    <row r="1554">
      <c r="A1554" s="23" t="n"/>
      <c r="B1554" s="23" t="n"/>
      <c r="C1554" s="24" t="n"/>
      <c r="D1554" s="15" t="n"/>
      <c r="E1554" s="23" t="n"/>
      <c r="F1554" s="15" t="n"/>
      <c r="G1554" s="23" t="n"/>
      <c r="H1554" s="25" t="n"/>
      <c r="I1554" s="15" t="n"/>
      <c r="J1554" s="26">
        <f>IF($A1554="","",LEN($C1554)-LEN(SUBSTITUTE($C1554,",",""))+1)</f>
        <v/>
      </c>
      <c r="K1554" s="26">
        <f>IF($A1554="","",SUMPRODUCT(--ISNUMBER(SEARCH('Category Dictionary'!$D$5:$D$135&amp;"",$C1554)),--('Category Dictionary'!$D$5:$D$135&lt;&gt;"")))</f>
        <v/>
      </c>
      <c r="L1554" s="27">
        <f>IF($A1554="","",TRIM(IF(ISERROR(FIND(",",$C1554)),$C1554,LEFT($C1554,FIND(",",$C1554)-1))))</f>
        <v/>
      </c>
      <c r="M1554" s="28">
        <f>IF($H1554="","",DATE(YEAR($H1554),MONTH($H1554),1))</f>
        <v/>
      </c>
      <c r="N1554" s="26">
        <f>IF($H1554="","",TODAY()-$H1554)</f>
        <v/>
      </c>
      <c r="O1554" s="15" t="n"/>
      <c r="P1554" s="26">
        <f>IF($A1554="","",COUNTIFS('Audit Versions'!$A$6:$A$605,$A1554,'Audit Versions'!$L$6:$L$605,"Active"))</f>
        <v/>
      </c>
      <c r="Q1554" s="15" t="n"/>
      <c r="R1554" s="26">
        <f>IF(OR($A1554="",$P1554=0),"",MOD(N($Q1554),$P1554)+1)</f>
        <v/>
      </c>
      <c r="S1554" s="15" t="n"/>
      <c r="T1554" s="25" t="n"/>
      <c r="U1554" s="26">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Builder'!$B$12="",N($S1554)&lt;='Assignment Builder'!$B$12)))</f>
        <v/>
      </c>
      <c r="V1554" s="23" t="n"/>
    </row>
    <row r="1555">
      <c r="A1555" s="23" t="n"/>
      <c r="B1555" s="23" t="n"/>
      <c r="C1555" s="24" t="n"/>
      <c r="D1555" s="15" t="n"/>
      <c r="E1555" s="23" t="n"/>
      <c r="F1555" s="15" t="n"/>
      <c r="G1555" s="23" t="n"/>
      <c r="H1555" s="25" t="n"/>
      <c r="I1555" s="15" t="n"/>
      <c r="J1555" s="26">
        <f>IF($A1555="","",LEN($C1555)-LEN(SUBSTITUTE($C1555,",",""))+1)</f>
        <v/>
      </c>
      <c r="K1555" s="26">
        <f>IF($A1555="","",SUMPRODUCT(--ISNUMBER(SEARCH('Category Dictionary'!$D$5:$D$135&amp;"",$C1555)),--('Category Dictionary'!$D$5:$D$135&lt;&gt;"")))</f>
        <v/>
      </c>
      <c r="L1555" s="27">
        <f>IF($A1555="","",TRIM(IF(ISERROR(FIND(",",$C1555)),$C1555,LEFT($C1555,FIND(",",$C1555)-1))))</f>
        <v/>
      </c>
      <c r="M1555" s="28">
        <f>IF($H1555="","",DATE(YEAR($H1555),MONTH($H1555),1))</f>
        <v/>
      </c>
      <c r="N1555" s="26">
        <f>IF($H1555="","",TODAY()-$H1555)</f>
        <v/>
      </c>
      <c r="O1555" s="15" t="n"/>
      <c r="P1555" s="26">
        <f>IF($A1555="","",COUNTIFS('Audit Versions'!$A$6:$A$605,$A1555,'Audit Versions'!$L$6:$L$605,"Active"))</f>
        <v/>
      </c>
      <c r="Q1555" s="15" t="n"/>
      <c r="R1555" s="26">
        <f>IF(OR($A1555="",$P1555=0),"",MOD(N($Q1555),$P1555)+1)</f>
        <v/>
      </c>
      <c r="S1555" s="15" t="n"/>
      <c r="T1555" s="25" t="n"/>
      <c r="U1555" s="26">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Builder'!$B$12="",N($S1555)&lt;='Assignment Builder'!$B$12)))</f>
        <v/>
      </c>
      <c r="V1555" s="23" t="n"/>
    </row>
    <row r="1556">
      <c r="A1556" s="23" t="n"/>
      <c r="B1556" s="23" t="n"/>
      <c r="C1556" s="24" t="n"/>
      <c r="D1556" s="15" t="n"/>
      <c r="E1556" s="23" t="n"/>
      <c r="F1556" s="15" t="n"/>
      <c r="G1556" s="23" t="n"/>
      <c r="H1556" s="25" t="n"/>
      <c r="I1556" s="15" t="n"/>
      <c r="J1556" s="26">
        <f>IF($A1556="","",LEN($C1556)-LEN(SUBSTITUTE($C1556,",",""))+1)</f>
        <v/>
      </c>
      <c r="K1556" s="26">
        <f>IF($A1556="","",SUMPRODUCT(--ISNUMBER(SEARCH('Category Dictionary'!$D$5:$D$135&amp;"",$C1556)),--('Category Dictionary'!$D$5:$D$135&lt;&gt;"")))</f>
        <v/>
      </c>
      <c r="L1556" s="27">
        <f>IF($A1556="","",TRIM(IF(ISERROR(FIND(",",$C1556)),$C1556,LEFT($C1556,FIND(",",$C1556)-1))))</f>
        <v/>
      </c>
      <c r="M1556" s="28">
        <f>IF($H1556="","",DATE(YEAR($H1556),MONTH($H1556),1))</f>
        <v/>
      </c>
      <c r="N1556" s="26">
        <f>IF($H1556="","",TODAY()-$H1556)</f>
        <v/>
      </c>
      <c r="O1556" s="15" t="n"/>
      <c r="P1556" s="26">
        <f>IF($A1556="","",COUNTIFS('Audit Versions'!$A$6:$A$605,$A1556,'Audit Versions'!$L$6:$L$605,"Active"))</f>
        <v/>
      </c>
      <c r="Q1556" s="15" t="n"/>
      <c r="R1556" s="26">
        <f>IF(OR($A1556="",$P1556=0),"",MOD(N($Q1556),$P1556)+1)</f>
        <v/>
      </c>
      <c r="S1556" s="15" t="n"/>
      <c r="T1556" s="25" t="n"/>
      <c r="U1556" s="26">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Builder'!$B$12="",N($S1556)&lt;='Assignment Builder'!$B$12)))</f>
        <v/>
      </c>
      <c r="V1556" s="23" t="n"/>
    </row>
    <row r="1557">
      <c r="A1557" s="23" t="n"/>
      <c r="B1557" s="23" t="n"/>
      <c r="C1557" s="24" t="n"/>
      <c r="D1557" s="15" t="n"/>
      <c r="E1557" s="23" t="n"/>
      <c r="F1557" s="15" t="n"/>
      <c r="G1557" s="23" t="n"/>
      <c r="H1557" s="25" t="n"/>
      <c r="I1557" s="15" t="n"/>
      <c r="J1557" s="26">
        <f>IF($A1557="","",LEN($C1557)-LEN(SUBSTITUTE($C1557,",",""))+1)</f>
        <v/>
      </c>
      <c r="K1557" s="26">
        <f>IF($A1557="","",SUMPRODUCT(--ISNUMBER(SEARCH('Category Dictionary'!$D$5:$D$135&amp;"",$C1557)),--('Category Dictionary'!$D$5:$D$135&lt;&gt;"")))</f>
        <v/>
      </c>
      <c r="L1557" s="27">
        <f>IF($A1557="","",TRIM(IF(ISERROR(FIND(",",$C1557)),$C1557,LEFT($C1557,FIND(",",$C1557)-1))))</f>
        <v/>
      </c>
      <c r="M1557" s="28">
        <f>IF($H1557="","",DATE(YEAR($H1557),MONTH($H1557),1))</f>
        <v/>
      </c>
      <c r="N1557" s="26">
        <f>IF($H1557="","",TODAY()-$H1557)</f>
        <v/>
      </c>
      <c r="O1557" s="15" t="n"/>
      <c r="P1557" s="26">
        <f>IF($A1557="","",COUNTIFS('Audit Versions'!$A$6:$A$605,$A1557,'Audit Versions'!$L$6:$L$605,"Active"))</f>
        <v/>
      </c>
      <c r="Q1557" s="15" t="n"/>
      <c r="R1557" s="26">
        <f>IF(OR($A1557="",$P1557=0),"",MOD(N($Q1557),$P1557)+1)</f>
        <v/>
      </c>
      <c r="S1557" s="15" t="n"/>
      <c r="T1557" s="25" t="n"/>
      <c r="U1557" s="26">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Builder'!$B$12="",N($S1557)&lt;='Assignment Builder'!$B$12)))</f>
        <v/>
      </c>
      <c r="V1557" s="23" t="n"/>
    </row>
    <row r="1558">
      <c r="A1558" s="23" t="n"/>
      <c r="B1558" s="23" t="n"/>
      <c r="C1558" s="24" t="n"/>
      <c r="D1558" s="15" t="n"/>
      <c r="E1558" s="23" t="n"/>
      <c r="F1558" s="15" t="n"/>
      <c r="G1558" s="23" t="n"/>
      <c r="H1558" s="25" t="n"/>
      <c r="I1558" s="15" t="n"/>
      <c r="J1558" s="26">
        <f>IF($A1558="","",LEN($C1558)-LEN(SUBSTITUTE($C1558,",",""))+1)</f>
        <v/>
      </c>
      <c r="K1558" s="26">
        <f>IF($A1558="","",SUMPRODUCT(--ISNUMBER(SEARCH('Category Dictionary'!$D$5:$D$135&amp;"",$C1558)),--('Category Dictionary'!$D$5:$D$135&lt;&gt;"")))</f>
        <v/>
      </c>
      <c r="L1558" s="27">
        <f>IF($A1558="","",TRIM(IF(ISERROR(FIND(",",$C1558)),$C1558,LEFT($C1558,FIND(",",$C1558)-1))))</f>
        <v/>
      </c>
      <c r="M1558" s="28">
        <f>IF($H1558="","",DATE(YEAR($H1558),MONTH($H1558),1))</f>
        <v/>
      </c>
      <c r="N1558" s="26">
        <f>IF($H1558="","",TODAY()-$H1558)</f>
        <v/>
      </c>
      <c r="O1558" s="15" t="n"/>
      <c r="P1558" s="26">
        <f>IF($A1558="","",COUNTIFS('Audit Versions'!$A$6:$A$605,$A1558,'Audit Versions'!$L$6:$L$605,"Active"))</f>
        <v/>
      </c>
      <c r="Q1558" s="15" t="n"/>
      <c r="R1558" s="26">
        <f>IF(OR($A1558="",$P1558=0),"",MOD(N($Q1558),$P1558)+1)</f>
        <v/>
      </c>
      <c r="S1558" s="15" t="n"/>
      <c r="T1558" s="25" t="n"/>
      <c r="U1558" s="26">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Builder'!$B$12="",N($S1558)&lt;='Assignment Builder'!$B$12)))</f>
        <v/>
      </c>
      <c r="V1558" s="23" t="n"/>
    </row>
    <row r="1559">
      <c r="A1559" s="23" t="n"/>
      <c r="B1559" s="23" t="n"/>
      <c r="C1559" s="24" t="n"/>
      <c r="D1559" s="15" t="n"/>
      <c r="E1559" s="23" t="n"/>
      <c r="F1559" s="15" t="n"/>
      <c r="G1559" s="23" t="n"/>
      <c r="H1559" s="25" t="n"/>
      <c r="I1559" s="15" t="n"/>
      <c r="J1559" s="26">
        <f>IF($A1559="","",LEN($C1559)-LEN(SUBSTITUTE($C1559,",",""))+1)</f>
        <v/>
      </c>
      <c r="K1559" s="26">
        <f>IF($A1559="","",SUMPRODUCT(--ISNUMBER(SEARCH('Category Dictionary'!$D$5:$D$135&amp;"",$C1559)),--('Category Dictionary'!$D$5:$D$135&lt;&gt;"")))</f>
        <v/>
      </c>
      <c r="L1559" s="27">
        <f>IF($A1559="","",TRIM(IF(ISERROR(FIND(",",$C1559)),$C1559,LEFT($C1559,FIND(",",$C1559)-1))))</f>
        <v/>
      </c>
      <c r="M1559" s="28">
        <f>IF($H1559="","",DATE(YEAR($H1559),MONTH($H1559),1))</f>
        <v/>
      </c>
      <c r="N1559" s="26">
        <f>IF($H1559="","",TODAY()-$H1559)</f>
        <v/>
      </c>
      <c r="O1559" s="15" t="n"/>
      <c r="P1559" s="26">
        <f>IF($A1559="","",COUNTIFS('Audit Versions'!$A$6:$A$605,$A1559,'Audit Versions'!$L$6:$L$605,"Active"))</f>
        <v/>
      </c>
      <c r="Q1559" s="15" t="n"/>
      <c r="R1559" s="26">
        <f>IF(OR($A1559="",$P1559=0),"",MOD(N($Q1559),$P1559)+1)</f>
        <v/>
      </c>
      <c r="S1559" s="15" t="n"/>
      <c r="T1559" s="25" t="n"/>
      <c r="U1559" s="26">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Builder'!$B$12="",N($S1559)&lt;='Assignment Builder'!$B$12)))</f>
        <v/>
      </c>
      <c r="V1559" s="23" t="n"/>
    </row>
    <row r="1560">
      <c r="A1560" s="23" t="n"/>
      <c r="B1560" s="23" t="n"/>
      <c r="C1560" s="24" t="n"/>
      <c r="D1560" s="15" t="n"/>
      <c r="E1560" s="23" t="n"/>
      <c r="F1560" s="15" t="n"/>
      <c r="G1560" s="23" t="n"/>
      <c r="H1560" s="25" t="n"/>
      <c r="I1560" s="15" t="n"/>
      <c r="J1560" s="26">
        <f>IF($A1560="","",LEN($C1560)-LEN(SUBSTITUTE($C1560,",",""))+1)</f>
        <v/>
      </c>
      <c r="K1560" s="26">
        <f>IF($A1560="","",SUMPRODUCT(--ISNUMBER(SEARCH('Category Dictionary'!$D$5:$D$135&amp;"",$C1560)),--('Category Dictionary'!$D$5:$D$135&lt;&gt;"")))</f>
        <v/>
      </c>
      <c r="L1560" s="27">
        <f>IF($A1560="","",TRIM(IF(ISERROR(FIND(",",$C1560)),$C1560,LEFT($C1560,FIND(",",$C1560)-1))))</f>
        <v/>
      </c>
      <c r="M1560" s="28">
        <f>IF($H1560="","",DATE(YEAR($H1560),MONTH($H1560),1))</f>
        <v/>
      </c>
      <c r="N1560" s="26">
        <f>IF($H1560="","",TODAY()-$H1560)</f>
        <v/>
      </c>
      <c r="O1560" s="15" t="n"/>
      <c r="P1560" s="26">
        <f>IF($A1560="","",COUNTIFS('Audit Versions'!$A$6:$A$605,$A1560,'Audit Versions'!$L$6:$L$605,"Active"))</f>
        <v/>
      </c>
      <c r="Q1560" s="15" t="n"/>
      <c r="R1560" s="26">
        <f>IF(OR($A1560="",$P1560=0),"",MOD(N($Q1560),$P1560)+1)</f>
        <v/>
      </c>
      <c r="S1560" s="15" t="n"/>
      <c r="T1560" s="25" t="n"/>
      <c r="U1560" s="26">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Builder'!$B$12="",N($S1560)&lt;='Assignment Builder'!$B$12)))</f>
        <v/>
      </c>
      <c r="V1560" s="23" t="n"/>
    </row>
    <row r="1561">
      <c r="A1561" s="23" t="n"/>
      <c r="B1561" s="23" t="n"/>
      <c r="C1561" s="24" t="n"/>
      <c r="D1561" s="15" t="n"/>
      <c r="E1561" s="23" t="n"/>
      <c r="F1561" s="15" t="n"/>
      <c r="G1561" s="23" t="n"/>
      <c r="H1561" s="25" t="n"/>
      <c r="I1561" s="15" t="n"/>
      <c r="J1561" s="26">
        <f>IF($A1561="","",LEN($C1561)-LEN(SUBSTITUTE($C1561,",",""))+1)</f>
        <v/>
      </c>
      <c r="K1561" s="26">
        <f>IF($A1561="","",SUMPRODUCT(--ISNUMBER(SEARCH('Category Dictionary'!$D$5:$D$135&amp;"",$C1561)),--('Category Dictionary'!$D$5:$D$135&lt;&gt;"")))</f>
        <v/>
      </c>
      <c r="L1561" s="27">
        <f>IF($A1561="","",TRIM(IF(ISERROR(FIND(",",$C1561)),$C1561,LEFT($C1561,FIND(",",$C1561)-1))))</f>
        <v/>
      </c>
      <c r="M1561" s="28">
        <f>IF($H1561="","",DATE(YEAR($H1561),MONTH($H1561),1))</f>
        <v/>
      </c>
      <c r="N1561" s="26">
        <f>IF($H1561="","",TODAY()-$H1561)</f>
        <v/>
      </c>
      <c r="O1561" s="15" t="n"/>
      <c r="P1561" s="26">
        <f>IF($A1561="","",COUNTIFS('Audit Versions'!$A$6:$A$605,$A1561,'Audit Versions'!$L$6:$L$605,"Active"))</f>
        <v/>
      </c>
      <c r="Q1561" s="15" t="n"/>
      <c r="R1561" s="26">
        <f>IF(OR($A1561="",$P1561=0),"",MOD(N($Q1561),$P1561)+1)</f>
        <v/>
      </c>
      <c r="S1561" s="15" t="n"/>
      <c r="T1561" s="25" t="n"/>
      <c r="U1561" s="26">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Builder'!$B$12="",N($S1561)&lt;='Assignment Builder'!$B$12)))</f>
        <v/>
      </c>
      <c r="V1561" s="23" t="n"/>
    </row>
    <row r="1562">
      <c r="A1562" s="23" t="n"/>
      <c r="B1562" s="23" t="n"/>
      <c r="C1562" s="24" t="n"/>
      <c r="D1562" s="15" t="n"/>
      <c r="E1562" s="23" t="n"/>
      <c r="F1562" s="15" t="n"/>
      <c r="G1562" s="23" t="n"/>
      <c r="H1562" s="25" t="n"/>
      <c r="I1562" s="15" t="n"/>
      <c r="J1562" s="26">
        <f>IF($A1562="","",LEN($C1562)-LEN(SUBSTITUTE($C1562,",",""))+1)</f>
        <v/>
      </c>
      <c r="K1562" s="26">
        <f>IF($A1562="","",SUMPRODUCT(--ISNUMBER(SEARCH('Category Dictionary'!$D$5:$D$135&amp;"",$C1562)),--('Category Dictionary'!$D$5:$D$135&lt;&gt;"")))</f>
        <v/>
      </c>
      <c r="L1562" s="27">
        <f>IF($A1562="","",TRIM(IF(ISERROR(FIND(",",$C1562)),$C1562,LEFT($C1562,FIND(",",$C1562)-1))))</f>
        <v/>
      </c>
      <c r="M1562" s="28">
        <f>IF($H1562="","",DATE(YEAR($H1562),MONTH($H1562),1))</f>
        <v/>
      </c>
      <c r="N1562" s="26">
        <f>IF($H1562="","",TODAY()-$H1562)</f>
        <v/>
      </c>
      <c r="O1562" s="15" t="n"/>
      <c r="P1562" s="26">
        <f>IF($A1562="","",COUNTIFS('Audit Versions'!$A$6:$A$605,$A1562,'Audit Versions'!$L$6:$L$605,"Active"))</f>
        <v/>
      </c>
      <c r="Q1562" s="15" t="n"/>
      <c r="R1562" s="26">
        <f>IF(OR($A1562="",$P1562=0),"",MOD(N($Q1562),$P1562)+1)</f>
        <v/>
      </c>
      <c r="S1562" s="15" t="n"/>
      <c r="T1562" s="25" t="n"/>
      <c r="U1562" s="26">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Builder'!$B$12="",N($S1562)&lt;='Assignment Builder'!$B$12)))</f>
        <v/>
      </c>
      <c r="V1562" s="23" t="n"/>
    </row>
    <row r="1563">
      <c r="A1563" s="23" t="n"/>
      <c r="B1563" s="23" t="n"/>
      <c r="C1563" s="24" t="n"/>
      <c r="D1563" s="15" t="n"/>
      <c r="E1563" s="23" t="n"/>
      <c r="F1563" s="15" t="n"/>
      <c r="G1563" s="23" t="n"/>
      <c r="H1563" s="25" t="n"/>
      <c r="I1563" s="15" t="n"/>
      <c r="J1563" s="26">
        <f>IF($A1563="","",LEN($C1563)-LEN(SUBSTITUTE($C1563,",",""))+1)</f>
        <v/>
      </c>
      <c r="K1563" s="26">
        <f>IF($A1563="","",SUMPRODUCT(--ISNUMBER(SEARCH('Category Dictionary'!$D$5:$D$135&amp;"",$C1563)),--('Category Dictionary'!$D$5:$D$135&lt;&gt;"")))</f>
        <v/>
      </c>
      <c r="L1563" s="27">
        <f>IF($A1563="","",TRIM(IF(ISERROR(FIND(",",$C1563)),$C1563,LEFT($C1563,FIND(",",$C1563)-1))))</f>
        <v/>
      </c>
      <c r="M1563" s="28">
        <f>IF($H1563="","",DATE(YEAR($H1563),MONTH($H1563),1))</f>
        <v/>
      </c>
      <c r="N1563" s="26">
        <f>IF($H1563="","",TODAY()-$H1563)</f>
        <v/>
      </c>
      <c r="O1563" s="15" t="n"/>
      <c r="P1563" s="26">
        <f>IF($A1563="","",COUNTIFS('Audit Versions'!$A$6:$A$605,$A1563,'Audit Versions'!$L$6:$L$605,"Active"))</f>
        <v/>
      </c>
      <c r="Q1563" s="15" t="n"/>
      <c r="R1563" s="26">
        <f>IF(OR($A1563="",$P1563=0),"",MOD(N($Q1563),$P1563)+1)</f>
        <v/>
      </c>
      <c r="S1563" s="15" t="n"/>
      <c r="T1563" s="25" t="n"/>
      <c r="U1563" s="26">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Builder'!$B$12="",N($S1563)&lt;='Assignment Builder'!$B$12)))</f>
        <v/>
      </c>
      <c r="V1563" s="23" t="n"/>
    </row>
    <row r="1564">
      <c r="A1564" s="23" t="n"/>
      <c r="B1564" s="23" t="n"/>
      <c r="C1564" s="24" t="n"/>
      <c r="D1564" s="15" t="n"/>
      <c r="E1564" s="23" t="n"/>
      <c r="F1564" s="15" t="n"/>
      <c r="G1564" s="23" t="n"/>
      <c r="H1564" s="25" t="n"/>
      <c r="I1564" s="15" t="n"/>
      <c r="J1564" s="26">
        <f>IF($A1564="","",LEN($C1564)-LEN(SUBSTITUTE($C1564,",",""))+1)</f>
        <v/>
      </c>
      <c r="K1564" s="26">
        <f>IF($A1564="","",SUMPRODUCT(--ISNUMBER(SEARCH('Category Dictionary'!$D$5:$D$135&amp;"",$C1564)),--('Category Dictionary'!$D$5:$D$135&lt;&gt;"")))</f>
        <v/>
      </c>
      <c r="L1564" s="27">
        <f>IF($A1564="","",TRIM(IF(ISERROR(FIND(",",$C1564)),$C1564,LEFT($C1564,FIND(",",$C1564)-1))))</f>
        <v/>
      </c>
      <c r="M1564" s="28">
        <f>IF($H1564="","",DATE(YEAR($H1564),MONTH($H1564),1))</f>
        <v/>
      </c>
      <c r="N1564" s="26">
        <f>IF($H1564="","",TODAY()-$H1564)</f>
        <v/>
      </c>
      <c r="O1564" s="15" t="n"/>
      <c r="P1564" s="26">
        <f>IF($A1564="","",COUNTIFS('Audit Versions'!$A$6:$A$605,$A1564,'Audit Versions'!$L$6:$L$605,"Active"))</f>
        <v/>
      </c>
      <c r="Q1564" s="15" t="n"/>
      <c r="R1564" s="26">
        <f>IF(OR($A1564="",$P1564=0),"",MOD(N($Q1564),$P1564)+1)</f>
        <v/>
      </c>
      <c r="S1564" s="15" t="n"/>
      <c r="T1564" s="25" t="n"/>
      <c r="U1564" s="26">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Builder'!$B$12="",N($S1564)&lt;='Assignment Builder'!$B$12)))</f>
        <v/>
      </c>
      <c r="V1564" s="23" t="n"/>
    </row>
    <row r="1565">
      <c r="A1565" s="23" t="n"/>
      <c r="B1565" s="23" t="n"/>
      <c r="C1565" s="24" t="n"/>
      <c r="D1565" s="15" t="n"/>
      <c r="E1565" s="23" t="n"/>
      <c r="F1565" s="15" t="n"/>
      <c r="G1565" s="23" t="n"/>
      <c r="H1565" s="25" t="n"/>
      <c r="I1565" s="15" t="n"/>
      <c r="J1565" s="26">
        <f>IF($A1565="","",LEN($C1565)-LEN(SUBSTITUTE($C1565,",",""))+1)</f>
        <v/>
      </c>
      <c r="K1565" s="26">
        <f>IF($A1565="","",SUMPRODUCT(--ISNUMBER(SEARCH('Category Dictionary'!$D$5:$D$135&amp;"",$C1565)),--('Category Dictionary'!$D$5:$D$135&lt;&gt;"")))</f>
        <v/>
      </c>
      <c r="L1565" s="27">
        <f>IF($A1565="","",TRIM(IF(ISERROR(FIND(",",$C1565)),$C1565,LEFT($C1565,FIND(",",$C1565)-1))))</f>
        <v/>
      </c>
      <c r="M1565" s="28">
        <f>IF($H1565="","",DATE(YEAR($H1565),MONTH($H1565),1))</f>
        <v/>
      </c>
      <c r="N1565" s="26">
        <f>IF($H1565="","",TODAY()-$H1565)</f>
        <v/>
      </c>
      <c r="O1565" s="15" t="n"/>
      <c r="P1565" s="26">
        <f>IF($A1565="","",COUNTIFS('Audit Versions'!$A$6:$A$605,$A1565,'Audit Versions'!$L$6:$L$605,"Active"))</f>
        <v/>
      </c>
      <c r="Q1565" s="15" t="n"/>
      <c r="R1565" s="26">
        <f>IF(OR($A1565="",$P1565=0),"",MOD(N($Q1565),$P1565)+1)</f>
        <v/>
      </c>
      <c r="S1565" s="15" t="n"/>
      <c r="T1565" s="25" t="n"/>
      <c r="U1565" s="26">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Builder'!$B$12="",N($S1565)&lt;='Assignment Builder'!$B$12)))</f>
        <v/>
      </c>
      <c r="V1565" s="23" t="n"/>
    </row>
    <row r="1566">
      <c r="A1566" s="23" t="n"/>
      <c r="B1566" s="23" t="n"/>
      <c r="C1566" s="24" t="n"/>
      <c r="D1566" s="15" t="n"/>
      <c r="E1566" s="23" t="n"/>
      <c r="F1566" s="15" t="n"/>
      <c r="G1566" s="23" t="n"/>
      <c r="H1566" s="25" t="n"/>
      <c r="I1566" s="15" t="n"/>
      <c r="J1566" s="26">
        <f>IF($A1566="","",LEN($C1566)-LEN(SUBSTITUTE($C1566,",",""))+1)</f>
        <v/>
      </c>
      <c r="K1566" s="26">
        <f>IF($A1566="","",SUMPRODUCT(--ISNUMBER(SEARCH('Category Dictionary'!$D$5:$D$135&amp;"",$C1566)),--('Category Dictionary'!$D$5:$D$135&lt;&gt;"")))</f>
        <v/>
      </c>
      <c r="L1566" s="27">
        <f>IF($A1566="","",TRIM(IF(ISERROR(FIND(",",$C1566)),$C1566,LEFT($C1566,FIND(",",$C1566)-1))))</f>
        <v/>
      </c>
      <c r="M1566" s="28">
        <f>IF($H1566="","",DATE(YEAR($H1566),MONTH($H1566),1))</f>
        <v/>
      </c>
      <c r="N1566" s="26">
        <f>IF($H1566="","",TODAY()-$H1566)</f>
        <v/>
      </c>
      <c r="O1566" s="15" t="n"/>
      <c r="P1566" s="26">
        <f>IF($A1566="","",COUNTIFS('Audit Versions'!$A$6:$A$605,$A1566,'Audit Versions'!$L$6:$L$605,"Active"))</f>
        <v/>
      </c>
      <c r="Q1566" s="15" t="n"/>
      <c r="R1566" s="26">
        <f>IF(OR($A1566="",$P1566=0),"",MOD(N($Q1566),$P1566)+1)</f>
        <v/>
      </c>
      <c r="S1566" s="15" t="n"/>
      <c r="T1566" s="25" t="n"/>
      <c r="U1566" s="26">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Builder'!$B$12="",N($S1566)&lt;='Assignment Builder'!$B$12)))</f>
        <v/>
      </c>
      <c r="V1566" s="23" t="n"/>
    </row>
    <row r="1567">
      <c r="A1567" s="23" t="n"/>
      <c r="B1567" s="23" t="n"/>
      <c r="C1567" s="24" t="n"/>
      <c r="D1567" s="15" t="n"/>
      <c r="E1567" s="23" t="n"/>
      <c r="F1567" s="15" t="n"/>
      <c r="G1567" s="23" t="n"/>
      <c r="H1567" s="25" t="n"/>
      <c r="I1567" s="15" t="n"/>
      <c r="J1567" s="26">
        <f>IF($A1567="","",LEN($C1567)-LEN(SUBSTITUTE($C1567,",",""))+1)</f>
        <v/>
      </c>
      <c r="K1567" s="26">
        <f>IF($A1567="","",SUMPRODUCT(--ISNUMBER(SEARCH('Category Dictionary'!$D$5:$D$135&amp;"",$C1567)),--('Category Dictionary'!$D$5:$D$135&lt;&gt;"")))</f>
        <v/>
      </c>
      <c r="L1567" s="27">
        <f>IF($A1567="","",TRIM(IF(ISERROR(FIND(",",$C1567)),$C1567,LEFT($C1567,FIND(",",$C1567)-1))))</f>
        <v/>
      </c>
      <c r="M1567" s="28">
        <f>IF($H1567="","",DATE(YEAR($H1567),MONTH($H1567),1))</f>
        <v/>
      </c>
      <c r="N1567" s="26">
        <f>IF($H1567="","",TODAY()-$H1567)</f>
        <v/>
      </c>
      <c r="O1567" s="15" t="n"/>
      <c r="P1567" s="26">
        <f>IF($A1567="","",COUNTIFS('Audit Versions'!$A$6:$A$605,$A1567,'Audit Versions'!$L$6:$L$605,"Active"))</f>
        <v/>
      </c>
      <c r="Q1567" s="15" t="n"/>
      <c r="R1567" s="26">
        <f>IF(OR($A1567="",$P1567=0),"",MOD(N($Q1567),$P1567)+1)</f>
        <v/>
      </c>
      <c r="S1567" s="15" t="n"/>
      <c r="T1567" s="25" t="n"/>
      <c r="U1567" s="26">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Builder'!$B$12="",N($S1567)&lt;='Assignment Builder'!$B$12)))</f>
        <v/>
      </c>
      <c r="V1567" s="23" t="n"/>
    </row>
    <row r="1568">
      <c r="A1568" s="23" t="n"/>
      <c r="B1568" s="23" t="n"/>
      <c r="C1568" s="24" t="n"/>
      <c r="D1568" s="15" t="n"/>
      <c r="E1568" s="23" t="n"/>
      <c r="F1568" s="15" t="n"/>
      <c r="G1568" s="23" t="n"/>
      <c r="H1568" s="25" t="n"/>
      <c r="I1568" s="15" t="n"/>
      <c r="J1568" s="26">
        <f>IF($A1568="","",LEN($C1568)-LEN(SUBSTITUTE($C1568,",",""))+1)</f>
        <v/>
      </c>
      <c r="K1568" s="26">
        <f>IF($A1568="","",SUMPRODUCT(--ISNUMBER(SEARCH('Category Dictionary'!$D$5:$D$135&amp;"",$C1568)),--('Category Dictionary'!$D$5:$D$135&lt;&gt;"")))</f>
        <v/>
      </c>
      <c r="L1568" s="27">
        <f>IF($A1568="","",TRIM(IF(ISERROR(FIND(",",$C1568)),$C1568,LEFT($C1568,FIND(",",$C1568)-1))))</f>
        <v/>
      </c>
      <c r="M1568" s="28">
        <f>IF($H1568="","",DATE(YEAR($H1568),MONTH($H1568),1))</f>
        <v/>
      </c>
      <c r="N1568" s="26">
        <f>IF($H1568="","",TODAY()-$H1568)</f>
        <v/>
      </c>
      <c r="O1568" s="15" t="n"/>
      <c r="P1568" s="26">
        <f>IF($A1568="","",COUNTIFS('Audit Versions'!$A$6:$A$605,$A1568,'Audit Versions'!$L$6:$L$605,"Active"))</f>
        <v/>
      </c>
      <c r="Q1568" s="15" t="n"/>
      <c r="R1568" s="26">
        <f>IF(OR($A1568="",$P1568=0),"",MOD(N($Q1568),$P1568)+1)</f>
        <v/>
      </c>
      <c r="S1568" s="15" t="n"/>
      <c r="T1568" s="25" t="n"/>
      <c r="U1568" s="26">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Builder'!$B$12="",N($S1568)&lt;='Assignment Builder'!$B$12)))</f>
        <v/>
      </c>
      <c r="V1568" s="23" t="n"/>
    </row>
    <row r="1569">
      <c r="A1569" s="23" t="n"/>
      <c r="B1569" s="23" t="n"/>
      <c r="C1569" s="24" t="n"/>
      <c r="D1569" s="15" t="n"/>
      <c r="E1569" s="23" t="n"/>
      <c r="F1569" s="15" t="n"/>
      <c r="G1569" s="23" t="n"/>
      <c r="H1569" s="25" t="n"/>
      <c r="I1569" s="15" t="n"/>
      <c r="J1569" s="26">
        <f>IF($A1569="","",LEN($C1569)-LEN(SUBSTITUTE($C1569,",",""))+1)</f>
        <v/>
      </c>
      <c r="K1569" s="26">
        <f>IF($A1569="","",SUMPRODUCT(--ISNUMBER(SEARCH('Category Dictionary'!$D$5:$D$135&amp;"",$C1569)),--('Category Dictionary'!$D$5:$D$135&lt;&gt;"")))</f>
        <v/>
      </c>
      <c r="L1569" s="27">
        <f>IF($A1569="","",TRIM(IF(ISERROR(FIND(",",$C1569)),$C1569,LEFT($C1569,FIND(",",$C1569)-1))))</f>
        <v/>
      </c>
      <c r="M1569" s="28">
        <f>IF($H1569="","",DATE(YEAR($H1569),MONTH($H1569),1))</f>
        <v/>
      </c>
      <c r="N1569" s="26">
        <f>IF($H1569="","",TODAY()-$H1569)</f>
        <v/>
      </c>
      <c r="O1569" s="15" t="n"/>
      <c r="P1569" s="26">
        <f>IF($A1569="","",COUNTIFS('Audit Versions'!$A$6:$A$605,$A1569,'Audit Versions'!$L$6:$L$605,"Active"))</f>
        <v/>
      </c>
      <c r="Q1569" s="15" t="n"/>
      <c r="R1569" s="26">
        <f>IF(OR($A1569="",$P1569=0),"",MOD(N($Q1569),$P1569)+1)</f>
        <v/>
      </c>
      <c r="S1569" s="15" t="n"/>
      <c r="T1569" s="25" t="n"/>
      <c r="U1569" s="26">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Builder'!$B$12="",N($S1569)&lt;='Assignment Builder'!$B$12)))</f>
        <v/>
      </c>
      <c r="V1569" s="23" t="n"/>
    </row>
    <row r="1570">
      <c r="A1570" s="23" t="n"/>
      <c r="B1570" s="23" t="n"/>
      <c r="C1570" s="24" t="n"/>
      <c r="D1570" s="15" t="n"/>
      <c r="E1570" s="23" t="n"/>
      <c r="F1570" s="15" t="n"/>
      <c r="G1570" s="23" t="n"/>
      <c r="H1570" s="25" t="n"/>
      <c r="I1570" s="15" t="n"/>
      <c r="J1570" s="26">
        <f>IF($A1570="","",LEN($C1570)-LEN(SUBSTITUTE($C1570,",",""))+1)</f>
        <v/>
      </c>
      <c r="K1570" s="26">
        <f>IF($A1570="","",SUMPRODUCT(--ISNUMBER(SEARCH('Category Dictionary'!$D$5:$D$135&amp;"",$C1570)),--('Category Dictionary'!$D$5:$D$135&lt;&gt;"")))</f>
        <v/>
      </c>
      <c r="L1570" s="27">
        <f>IF($A1570="","",TRIM(IF(ISERROR(FIND(",",$C1570)),$C1570,LEFT($C1570,FIND(",",$C1570)-1))))</f>
        <v/>
      </c>
      <c r="M1570" s="28">
        <f>IF($H1570="","",DATE(YEAR($H1570),MONTH($H1570),1))</f>
        <v/>
      </c>
      <c r="N1570" s="26">
        <f>IF($H1570="","",TODAY()-$H1570)</f>
        <v/>
      </c>
      <c r="O1570" s="15" t="n"/>
      <c r="P1570" s="26">
        <f>IF($A1570="","",COUNTIFS('Audit Versions'!$A$6:$A$605,$A1570,'Audit Versions'!$L$6:$L$605,"Active"))</f>
        <v/>
      </c>
      <c r="Q1570" s="15" t="n"/>
      <c r="R1570" s="26">
        <f>IF(OR($A1570="",$P1570=0),"",MOD(N($Q1570),$P1570)+1)</f>
        <v/>
      </c>
      <c r="S1570" s="15" t="n"/>
      <c r="T1570" s="25" t="n"/>
      <c r="U1570" s="26">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Builder'!$B$12="",N($S1570)&lt;='Assignment Builder'!$B$12)))</f>
        <v/>
      </c>
      <c r="V1570" s="23" t="n"/>
    </row>
    <row r="1571">
      <c r="A1571" s="23" t="n"/>
      <c r="B1571" s="23" t="n"/>
      <c r="C1571" s="24" t="n"/>
      <c r="D1571" s="15" t="n"/>
      <c r="E1571" s="23" t="n"/>
      <c r="F1571" s="15" t="n"/>
      <c r="G1571" s="23" t="n"/>
      <c r="H1571" s="25" t="n"/>
      <c r="I1571" s="15" t="n"/>
      <c r="J1571" s="26">
        <f>IF($A1571="","",LEN($C1571)-LEN(SUBSTITUTE($C1571,",",""))+1)</f>
        <v/>
      </c>
      <c r="K1571" s="26">
        <f>IF($A1571="","",SUMPRODUCT(--ISNUMBER(SEARCH('Category Dictionary'!$D$5:$D$135&amp;"",$C1571)),--('Category Dictionary'!$D$5:$D$135&lt;&gt;"")))</f>
        <v/>
      </c>
      <c r="L1571" s="27">
        <f>IF($A1571="","",TRIM(IF(ISERROR(FIND(",",$C1571)),$C1571,LEFT($C1571,FIND(",",$C1571)-1))))</f>
        <v/>
      </c>
      <c r="M1571" s="28">
        <f>IF($H1571="","",DATE(YEAR($H1571),MONTH($H1571),1))</f>
        <v/>
      </c>
      <c r="N1571" s="26">
        <f>IF($H1571="","",TODAY()-$H1571)</f>
        <v/>
      </c>
      <c r="O1571" s="15" t="n"/>
      <c r="P1571" s="26">
        <f>IF($A1571="","",COUNTIFS('Audit Versions'!$A$6:$A$605,$A1571,'Audit Versions'!$L$6:$L$605,"Active"))</f>
        <v/>
      </c>
      <c r="Q1571" s="15" t="n"/>
      <c r="R1571" s="26">
        <f>IF(OR($A1571="",$P1571=0),"",MOD(N($Q1571),$P1571)+1)</f>
        <v/>
      </c>
      <c r="S1571" s="15" t="n"/>
      <c r="T1571" s="25" t="n"/>
      <c r="U1571" s="26">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Builder'!$B$12="",N($S1571)&lt;='Assignment Builder'!$B$12)))</f>
        <v/>
      </c>
      <c r="V1571" s="23" t="n"/>
    </row>
    <row r="1572">
      <c r="A1572" s="23" t="n"/>
      <c r="B1572" s="23" t="n"/>
      <c r="C1572" s="24" t="n"/>
      <c r="D1572" s="15" t="n"/>
      <c r="E1572" s="23" t="n"/>
      <c r="F1572" s="15" t="n"/>
      <c r="G1572" s="23" t="n"/>
      <c r="H1572" s="25" t="n"/>
      <c r="I1572" s="15" t="n"/>
      <c r="J1572" s="26">
        <f>IF($A1572="","",LEN($C1572)-LEN(SUBSTITUTE($C1572,",",""))+1)</f>
        <v/>
      </c>
      <c r="K1572" s="26">
        <f>IF($A1572="","",SUMPRODUCT(--ISNUMBER(SEARCH('Category Dictionary'!$D$5:$D$135&amp;"",$C1572)),--('Category Dictionary'!$D$5:$D$135&lt;&gt;"")))</f>
        <v/>
      </c>
      <c r="L1572" s="27">
        <f>IF($A1572="","",TRIM(IF(ISERROR(FIND(",",$C1572)),$C1572,LEFT($C1572,FIND(",",$C1572)-1))))</f>
        <v/>
      </c>
      <c r="M1572" s="28">
        <f>IF($H1572="","",DATE(YEAR($H1572),MONTH($H1572),1))</f>
        <v/>
      </c>
      <c r="N1572" s="26">
        <f>IF($H1572="","",TODAY()-$H1572)</f>
        <v/>
      </c>
      <c r="O1572" s="15" t="n"/>
      <c r="P1572" s="26">
        <f>IF($A1572="","",COUNTIFS('Audit Versions'!$A$6:$A$605,$A1572,'Audit Versions'!$L$6:$L$605,"Active"))</f>
        <v/>
      </c>
      <c r="Q1572" s="15" t="n"/>
      <c r="R1572" s="26">
        <f>IF(OR($A1572="",$P1572=0),"",MOD(N($Q1572),$P1572)+1)</f>
        <v/>
      </c>
      <c r="S1572" s="15" t="n"/>
      <c r="T1572" s="25" t="n"/>
      <c r="U1572" s="26">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Builder'!$B$12="",N($S1572)&lt;='Assignment Builder'!$B$12)))</f>
        <v/>
      </c>
      <c r="V1572" s="23" t="n"/>
    </row>
    <row r="1573">
      <c r="A1573" s="23" t="n"/>
      <c r="B1573" s="23" t="n"/>
      <c r="C1573" s="24" t="n"/>
      <c r="D1573" s="15" t="n"/>
      <c r="E1573" s="23" t="n"/>
      <c r="F1573" s="15" t="n"/>
      <c r="G1573" s="23" t="n"/>
      <c r="H1573" s="25" t="n"/>
      <c r="I1573" s="15" t="n"/>
      <c r="J1573" s="26">
        <f>IF($A1573="","",LEN($C1573)-LEN(SUBSTITUTE($C1573,",",""))+1)</f>
        <v/>
      </c>
      <c r="K1573" s="26">
        <f>IF($A1573="","",SUMPRODUCT(--ISNUMBER(SEARCH('Category Dictionary'!$D$5:$D$135&amp;"",$C1573)),--('Category Dictionary'!$D$5:$D$135&lt;&gt;"")))</f>
        <v/>
      </c>
      <c r="L1573" s="27">
        <f>IF($A1573="","",TRIM(IF(ISERROR(FIND(",",$C1573)),$C1573,LEFT($C1573,FIND(",",$C1573)-1))))</f>
        <v/>
      </c>
      <c r="M1573" s="28">
        <f>IF($H1573="","",DATE(YEAR($H1573),MONTH($H1573),1))</f>
        <v/>
      </c>
      <c r="N1573" s="26">
        <f>IF($H1573="","",TODAY()-$H1573)</f>
        <v/>
      </c>
      <c r="O1573" s="15" t="n"/>
      <c r="P1573" s="26">
        <f>IF($A1573="","",COUNTIFS('Audit Versions'!$A$6:$A$605,$A1573,'Audit Versions'!$L$6:$L$605,"Active"))</f>
        <v/>
      </c>
      <c r="Q1573" s="15" t="n"/>
      <c r="R1573" s="26">
        <f>IF(OR($A1573="",$P1573=0),"",MOD(N($Q1573),$P1573)+1)</f>
        <v/>
      </c>
      <c r="S1573" s="15" t="n"/>
      <c r="T1573" s="25" t="n"/>
      <c r="U1573" s="26">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Builder'!$B$12="",N($S1573)&lt;='Assignment Builder'!$B$12)))</f>
        <v/>
      </c>
      <c r="V1573" s="23" t="n"/>
    </row>
    <row r="1574">
      <c r="A1574" s="23" t="n"/>
      <c r="B1574" s="23" t="n"/>
      <c r="C1574" s="24" t="n"/>
      <c r="D1574" s="15" t="n"/>
      <c r="E1574" s="23" t="n"/>
      <c r="F1574" s="15" t="n"/>
      <c r="G1574" s="23" t="n"/>
      <c r="H1574" s="25" t="n"/>
      <c r="I1574" s="15" t="n"/>
      <c r="J1574" s="26">
        <f>IF($A1574="","",LEN($C1574)-LEN(SUBSTITUTE($C1574,",",""))+1)</f>
        <v/>
      </c>
      <c r="K1574" s="26">
        <f>IF($A1574="","",SUMPRODUCT(--ISNUMBER(SEARCH('Category Dictionary'!$D$5:$D$135&amp;"",$C1574)),--('Category Dictionary'!$D$5:$D$135&lt;&gt;"")))</f>
        <v/>
      </c>
      <c r="L1574" s="27">
        <f>IF($A1574="","",TRIM(IF(ISERROR(FIND(",",$C1574)),$C1574,LEFT($C1574,FIND(",",$C1574)-1))))</f>
        <v/>
      </c>
      <c r="M1574" s="28">
        <f>IF($H1574="","",DATE(YEAR($H1574),MONTH($H1574),1))</f>
        <v/>
      </c>
      <c r="N1574" s="26">
        <f>IF($H1574="","",TODAY()-$H1574)</f>
        <v/>
      </c>
      <c r="O1574" s="15" t="n"/>
      <c r="P1574" s="26">
        <f>IF($A1574="","",COUNTIFS('Audit Versions'!$A$6:$A$605,$A1574,'Audit Versions'!$L$6:$L$605,"Active"))</f>
        <v/>
      </c>
      <c r="Q1574" s="15" t="n"/>
      <c r="R1574" s="26">
        <f>IF(OR($A1574="",$P1574=0),"",MOD(N($Q1574),$P1574)+1)</f>
        <v/>
      </c>
      <c r="S1574" s="15" t="n"/>
      <c r="T1574" s="25" t="n"/>
      <c r="U1574" s="26">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Builder'!$B$12="",N($S1574)&lt;='Assignment Builder'!$B$12)))</f>
        <v/>
      </c>
      <c r="V1574" s="23" t="n"/>
    </row>
    <row r="1575">
      <c r="A1575" s="23" t="n"/>
      <c r="B1575" s="23" t="n"/>
      <c r="C1575" s="24" t="n"/>
      <c r="D1575" s="15" t="n"/>
      <c r="E1575" s="23" t="n"/>
      <c r="F1575" s="15" t="n"/>
      <c r="G1575" s="23" t="n"/>
      <c r="H1575" s="25" t="n"/>
      <c r="I1575" s="15" t="n"/>
      <c r="J1575" s="26">
        <f>IF($A1575="","",LEN($C1575)-LEN(SUBSTITUTE($C1575,",",""))+1)</f>
        <v/>
      </c>
      <c r="K1575" s="26">
        <f>IF($A1575="","",SUMPRODUCT(--ISNUMBER(SEARCH('Category Dictionary'!$D$5:$D$135&amp;"",$C1575)),--('Category Dictionary'!$D$5:$D$135&lt;&gt;"")))</f>
        <v/>
      </c>
      <c r="L1575" s="27">
        <f>IF($A1575="","",TRIM(IF(ISERROR(FIND(",",$C1575)),$C1575,LEFT($C1575,FIND(",",$C1575)-1))))</f>
        <v/>
      </c>
      <c r="M1575" s="28">
        <f>IF($H1575="","",DATE(YEAR($H1575),MONTH($H1575),1))</f>
        <v/>
      </c>
      <c r="N1575" s="26">
        <f>IF($H1575="","",TODAY()-$H1575)</f>
        <v/>
      </c>
      <c r="O1575" s="15" t="n"/>
      <c r="P1575" s="26">
        <f>IF($A1575="","",COUNTIFS('Audit Versions'!$A$6:$A$605,$A1575,'Audit Versions'!$L$6:$L$605,"Active"))</f>
        <v/>
      </c>
      <c r="Q1575" s="15" t="n"/>
      <c r="R1575" s="26">
        <f>IF(OR($A1575="",$P1575=0),"",MOD(N($Q1575),$P1575)+1)</f>
        <v/>
      </c>
      <c r="S1575" s="15" t="n"/>
      <c r="T1575" s="25" t="n"/>
      <c r="U1575" s="26">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Builder'!$B$12="",N($S1575)&lt;='Assignment Builder'!$B$12)))</f>
        <v/>
      </c>
      <c r="V1575" s="23" t="n"/>
    </row>
    <row r="1576">
      <c r="A1576" s="23" t="n"/>
      <c r="B1576" s="23" t="n"/>
      <c r="C1576" s="24" t="n"/>
      <c r="D1576" s="15" t="n"/>
      <c r="E1576" s="23" t="n"/>
      <c r="F1576" s="15" t="n"/>
      <c r="G1576" s="23" t="n"/>
      <c r="H1576" s="25" t="n"/>
      <c r="I1576" s="15" t="n"/>
      <c r="J1576" s="26">
        <f>IF($A1576="","",LEN($C1576)-LEN(SUBSTITUTE($C1576,",",""))+1)</f>
        <v/>
      </c>
      <c r="K1576" s="26">
        <f>IF($A1576="","",SUMPRODUCT(--ISNUMBER(SEARCH('Category Dictionary'!$D$5:$D$135&amp;"",$C1576)),--('Category Dictionary'!$D$5:$D$135&lt;&gt;"")))</f>
        <v/>
      </c>
      <c r="L1576" s="27">
        <f>IF($A1576="","",TRIM(IF(ISERROR(FIND(",",$C1576)),$C1576,LEFT($C1576,FIND(",",$C1576)-1))))</f>
        <v/>
      </c>
      <c r="M1576" s="28">
        <f>IF($H1576="","",DATE(YEAR($H1576),MONTH($H1576),1))</f>
        <v/>
      </c>
      <c r="N1576" s="26">
        <f>IF($H1576="","",TODAY()-$H1576)</f>
        <v/>
      </c>
      <c r="O1576" s="15" t="n"/>
      <c r="P1576" s="26">
        <f>IF($A1576="","",COUNTIFS('Audit Versions'!$A$6:$A$605,$A1576,'Audit Versions'!$L$6:$L$605,"Active"))</f>
        <v/>
      </c>
      <c r="Q1576" s="15" t="n"/>
      <c r="R1576" s="26">
        <f>IF(OR($A1576="",$P1576=0),"",MOD(N($Q1576),$P1576)+1)</f>
        <v/>
      </c>
      <c r="S1576" s="15" t="n"/>
      <c r="T1576" s="25" t="n"/>
      <c r="U1576" s="26">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Builder'!$B$12="",N($S1576)&lt;='Assignment Builder'!$B$12)))</f>
        <v/>
      </c>
      <c r="V1576" s="23" t="n"/>
    </row>
    <row r="1577">
      <c r="A1577" s="23" t="n"/>
      <c r="B1577" s="23" t="n"/>
      <c r="C1577" s="24" t="n"/>
      <c r="D1577" s="15" t="n"/>
      <c r="E1577" s="23" t="n"/>
      <c r="F1577" s="15" t="n"/>
      <c r="G1577" s="23" t="n"/>
      <c r="H1577" s="25" t="n"/>
      <c r="I1577" s="15" t="n"/>
      <c r="J1577" s="26">
        <f>IF($A1577="","",LEN($C1577)-LEN(SUBSTITUTE($C1577,",",""))+1)</f>
        <v/>
      </c>
      <c r="K1577" s="26">
        <f>IF($A1577="","",SUMPRODUCT(--ISNUMBER(SEARCH('Category Dictionary'!$D$5:$D$135&amp;"",$C1577)),--('Category Dictionary'!$D$5:$D$135&lt;&gt;"")))</f>
        <v/>
      </c>
      <c r="L1577" s="27">
        <f>IF($A1577="","",TRIM(IF(ISERROR(FIND(",",$C1577)),$C1577,LEFT($C1577,FIND(",",$C1577)-1))))</f>
        <v/>
      </c>
      <c r="M1577" s="28">
        <f>IF($H1577="","",DATE(YEAR($H1577),MONTH($H1577),1))</f>
        <v/>
      </c>
      <c r="N1577" s="26">
        <f>IF($H1577="","",TODAY()-$H1577)</f>
        <v/>
      </c>
      <c r="O1577" s="15" t="n"/>
      <c r="P1577" s="26">
        <f>IF($A1577="","",COUNTIFS('Audit Versions'!$A$6:$A$605,$A1577,'Audit Versions'!$L$6:$L$605,"Active"))</f>
        <v/>
      </c>
      <c r="Q1577" s="15" t="n"/>
      <c r="R1577" s="26">
        <f>IF(OR($A1577="",$P1577=0),"",MOD(N($Q1577),$P1577)+1)</f>
        <v/>
      </c>
      <c r="S1577" s="15" t="n"/>
      <c r="T1577" s="25" t="n"/>
      <c r="U1577" s="26">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Builder'!$B$12="",N($S1577)&lt;='Assignment Builder'!$B$12)))</f>
        <v/>
      </c>
      <c r="V1577" s="23" t="n"/>
    </row>
    <row r="1578">
      <c r="A1578" s="23" t="n"/>
      <c r="B1578" s="23" t="n"/>
      <c r="C1578" s="24" t="n"/>
      <c r="D1578" s="15" t="n"/>
      <c r="E1578" s="23" t="n"/>
      <c r="F1578" s="15" t="n"/>
      <c r="G1578" s="23" t="n"/>
      <c r="H1578" s="25" t="n"/>
      <c r="I1578" s="15" t="n"/>
      <c r="J1578" s="26">
        <f>IF($A1578="","",LEN($C1578)-LEN(SUBSTITUTE($C1578,",",""))+1)</f>
        <v/>
      </c>
      <c r="K1578" s="26">
        <f>IF($A1578="","",SUMPRODUCT(--ISNUMBER(SEARCH('Category Dictionary'!$D$5:$D$135&amp;"",$C1578)),--('Category Dictionary'!$D$5:$D$135&lt;&gt;"")))</f>
        <v/>
      </c>
      <c r="L1578" s="27">
        <f>IF($A1578="","",TRIM(IF(ISERROR(FIND(",",$C1578)),$C1578,LEFT($C1578,FIND(",",$C1578)-1))))</f>
        <v/>
      </c>
      <c r="M1578" s="28">
        <f>IF($H1578="","",DATE(YEAR($H1578),MONTH($H1578),1))</f>
        <v/>
      </c>
      <c r="N1578" s="26">
        <f>IF($H1578="","",TODAY()-$H1578)</f>
        <v/>
      </c>
      <c r="O1578" s="15" t="n"/>
      <c r="P1578" s="26">
        <f>IF($A1578="","",COUNTIFS('Audit Versions'!$A$6:$A$605,$A1578,'Audit Versions'!$L$6:$L$605,"Active"))</f>
        <v/>
      </c>
      <c r="Q1578" s="15" t="n"/>
      <c r="R1578" s="26">
        <f>IF(OR($A1578="",$P1578=0),"",MOD(N($Q1578),$P1578)+1)</f>
        <v/>
      </c>
      <c r="S1578" s="15" t="n"/>
      <c r="T1578" s="25" t="n"/>
      <c r="U1578" s="26">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Builder'!$B$12="",N($S1578)&lt;='Assignment Builder'!$B$12)))</f>
        <v/>
      </c>
      <c r="V1578" s="23" t="n"/>
    </row>
    <row r="1579">
      <c r="A1579" s="23" t="n"/>
      <c r="B1579" s="23" t="n"/>
      <c r="C1579" s="24" t="n"/>
      <c r="D1579" s="15" t="n"/>
      <c r="E1579" s="23" t="n"/>
      <c r="F1579" s="15" t="n"/>
      <c r="G1579" s="23" t="n"/>
      <c r="H1579" s="25" t="n"/>
      <c r="I1579" s="15" t="n"/>
      <c r="J1579" s="26">
        <f>IF($A1579="","",LEN($C1579)-LEN(SUBSTITUTE($C1579,",",""))+1)</f>
        <v/>
      </c>
      <c r="K1579" s="26">
        <f>IF($A1579="","",SUMPRODUCT(--ISNUMBER(SEARCH('Category Dictionary'!$D$5:$D$135&amp;"",$C1579)),--('Category Dictionary'!$D$5:$D$135&lt;&gt;"")))</f>
        <v/>
      </c>
      <c r="L1579" s="27">
        <f>IF($A1579="","",TRIM(IF(ISERROR(FIND(",",$C1579)),$C1579,LEFT($C1579,FIND(",",$C1579)-1))))</f>
        <v/>
      </c>
      <c r="M1579" s="28">
        <f>IF($H1579="","",DATE(YEAR($H1579),MONTH($H1579),1))</f>
        <v/>
      </c>
      <c r="N1579" s="26">
        <f>IF($H1579="","",TODAY()-$H1579)</f>
        <v/>
      </c>
      <c r="O1579" s="15" t="n"/>
      <c r="P1579" s="26">
        <f>IF($A1579="","",COUNTIFS('Audit Versions'!$A$6:$A$605,$A1579,'Audit Versions'!$L$6:$L$605,"Active"))</f>
        <v/>
      </c>
      <c r="Q1579" s="15" t="n"/>
      <c r="R1579" s="26">
        <f>IF(OR($A1579="",$P1579=0),"",MOD(N($Q1579),$P1579)+1)</f>
        <v/>
      </c>
      <c r="S1579" s="15" t="n"/>
      <c r="T1579" s="25" t="n"/>
      <c r="U1579" s="26">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Builder'!$B$12="",N($S1579)&lt;='Assignment Builder'!$B$12)))</f>
        <v/>
      </c>
      <c r="V1579" s="23" t="n"/>
    </row>
    <row r="1580">
      <c r="A1580" s="23" t="n"/>
      <c r="B1580" s="23" t="n"/>
      <c r="C1580" s="24" t="n"/>
      <c r="D1580" s="15" t="n"/>
      <c r="E1580" s="23" t="n"/>
      <c r="F1580" s="15" t="n"/>
      <c r="G1580" s="23" t="n"/>
      <c r="H1580" s="25" t="n"/>
      <c r="I1580" s="15" t="n"/>
      <c r="J1580" s="26">
        <f>IF($A1580="","",LEN($C1580)-LEN(SUBSTITUTE($C1580,",",""))+1)</f>
        <v/>
      </c>
      <c r="K1580" s="26">
        <f>IF($A1580="","",SUMPRODUCT(--ISNUMBER(SEARCH('Category Dictionary'!$D$5:$D$135&amp;"",$C1580)),--('Category Dictionary'!$D$5:$D$135&lt;&gt;"")))</f>
        <v/>
      </c>
      <c r="L1580" s="27">
        <f>IF($A1580="","",TRIM(IF(ISERROR(FIND(",",$C1580)),$C1580,LEFT($C1580,FIND(",",$C1580)-1))))</f>
        <v/>
      </c>
      <c r="M1580" s="28">
        <f>IF($H1580="","",DATE(YEAR($H1580),MONTH($H1580),1))</f>
        <v/>
      </c>
      <c r="N1580" s="26">
        <f>IF($H1580="","",TODAY()-$H1580)</f>
        <v/>
      </c>
      <c r="O1580" s="15" t="n"/>
      <c r="P1580" s="26">
        <f>IF($A1580="","",COUNTIFS('Audit Versions'!$A$6:$A$605,$A1580,'Audit Versions'!$L$6:$L$605,"Active"))</f>
        <v/>
      </c>
      <c r="Q1580" s="15" t="n"/>
      <c r="R1580" s="26">
        <f>IF(OR($A1580="",$P1580=0),"",MOD(N($Q1580),$P1580)+1)</f>
        <v/>
      </c>
      <c r="S1580" s="15" t="n"/>
      <c r="T1580" s="25" t="n"/>
      <c r="U1580" s="26">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Builder'!$B$12="",N($S1580)&lt;='Assignment Builder'!$B$12)))</f>
        <v/>
      </c>
      <c r="V1580" s="23" t="n"/>
    </row>
    <row r="1581">
      <c r="A1581" s="23" t="n"/>
      <c r="B1581" s="23" t="n"/>
      <c r="C1581" s="24" t="n"/>
      <c r="D1581" s="15" t="n"/>
      <c r="E1581" s="23" t="n"/>
      <c r="F1581" s="15" t="n"/>
      <c r="G1581" s="23" t="n"/>
      <c r="H1581" s="25" t="n"/>
      <c r="I1581" s="15" t="n"/>
      <c r="J1581" s="26">
        <f>IF($A1581="","",LEN($C1581)-LEN(SUBSTITUTE($C1581,",",""))+1)</f>
        <v/>
      </c>
      <c r="K1581" s="26">
        <f>IF($A1581="","",SUMPRODUCT(--ISNUMBER(SEARCH('Category Dictionary'!$D$5:$D$135&amp;"",$C1581)),--('Category Dictionary'!$D$5:$D$135&lt;&gt;"")))</f>
        <v/>
      </c>
      <c r="L1581" s="27">
        <f>IF($A1581="","",TRIM(IF(ISERROR(FIND(",",$C1581)),$C1581,LEFT($C1581,FIND(",",$C1581)-1))))</f>
        <v/>
      </c>
      <c r="M1581" s="28">
        <f>IF($H1581="","",DATE(YEAR($H1581),MONTH($H1581),1))</f>
        <v/>
      </c>
      <c r="N1581" s="26">
        <f>IF($H1581="","",TODAY()-$H1581)</f>
        <v/>
      </c>
      <c r="O1581" s="15" t="n"/>
      <c r="P1581" s="26">
        <f>IF($A1581="","",COUNTIFS('Audit Versions'!$A$6:$A$605,$A1581,'Audit Versions'!$L$6:$L$605,"Active"))</f>
        <v/>
      </c>
      <c r="Q1581" s="15" t="n"/>
      <c r="R1581" s="26">
        <f>IF(OR($A1581="",$P1581=0),"",MOD(N($Q1581),$P1581)+1)</f>
        <v/>
      </c>
      <c r="S1581" s="15" t="n"/>
      <c r="T1581" s="25" t="n"/>
      <c r="U1581" s="26">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Builder'!$B$12="",N($S1581)&lt;='Assignment Builder'!$B$12)))</f>
        <v/>
      </c>
      <c r="V1581" s="23" t="n"/>
    </row>
    <row r="1582">
      <c r="A1582" s="23" t="n"/>
      <c r="B1582" s="23" t="n"/>
      <c r="C1582" s="24" t="n"/>
      <c r="D1582" s="15" t="n"/>
      <c r="E1582" s="23" t="n"/>
      <c r="F1582" s="15" t="n"/>
      <c r="G1582" s="23" t="n"/>
      <c r="H1582" s="25" t="n"/>
      <c r="I1582" s="15" t="n"/>
      <c r="J1582" s="26">
        <f>IF($A1582="","",LEN($C1582)-LEN(SUBSTITUTE($C1582,",",""))+1)</f>
        <v/>
      </c>
      <c r="K1582" s="26">
        <f>IF($A1582="","",SUMPRODUCT(--ISNUMBER(SEARCH('Category Dictionary'!$D$5:$D$135&amp;"",$C1582)),--('Category Dictionary'!$D$5:$D$135&lt;&gt;"")))</f>
        <v/>
      </c>
      <c r="L1582" s="27">
        <f>IF($A1582="","",TRIM(IF(ISERROR(FIND(",",$C1582)),$C1582,LEFT($C1582,FIND(",",$C1582)-1))))</f>
        <v/>
      </c>
      <c r="M1582" s="28">
        <f>IF($H1582="","",DATE(YEAR($H1582),MONTH($H1582),1))</f>
        <v/>
      </c>
      <c r="N1582" s="26">
        <f>IF($H1582="","",TODAY()-$H1582)</f>
        <v/>
      </c>
      <c r="O1582" s="15" t="n"/>
      <c r="P1582" s="26">
        <f>IF($A1582="","",COUNTIFS('Audit Versions'!$A$6:$A$605,$A1582,'Audit Versions'!$L$6:$L$605,"Active"))</f>
        <v/>
      </c>
      <c r="Q1582" s="15" t="n"/>
      <c r="R1582" s="26">
        <f>IF(OR($A1582="",$P1582=0),"",MOD(N($Q1582),$P1582)+1)</f>
        <v/>
      </c>
      <c r="S1582" s="15" t="n"/>
      <c r="T1582" s="25" t="n"/>
      <c r="U1582" s="26">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Builder'!$B$12="",N($S1582)&lt;='Assignment Builder'!$B$12)))</f>
        <v/>
      </c>
      <c r="V1582" s="23" t="n"/>
    </row>
    <row r="1583">
      <c r="A1583" s="23" t="n"/>
      <c r="B1583" s="23" t="n"/>
      <c r="C1583" s="24" t="n"/>
      <c r="D1583" s="15" t="n"/>
      <c r="E1583" s="23" t="n"/>
      <c r="F1583" s="15" t="n"/>
      <c r="G1583" s="23" t="n"/>
      <c r="H1583" s="25" t="n"/>
      <c r="I1583" s="15" t="n"/>
      <c r="J1583" s="26">
        <f>IF($A1583="","",LEN($C1583)-LEN(SUBSTITUTE($C1583,",",""))+1)</f>
        <v/>
      </c>
      <c r="K1583" s="26">
        <f>IF($A1583="","",SUMPRODUCT(--ISNUMBER(SEARCH('Category Dictionary'!$D$5:$D$135&amp;"",$C1583)),--('Category Dictionary'!$D$5:$D$135&lt;&gt;"")))</f>
        <v/>
      </c>
      <c r="L1583" s="27">
        <f>IF($A1583="","",TRIM(IF(ISERROR(FIND(",",$C1583)),$C1583,LEFT($C1583,FIND(",",$C1583)-1))))</f>
        <v/>
      </c>
      <c r="M1583" s="28">
        <f>IF($H1583="","",DATE(YEAR($H1583),MONTH($H1583),1))</f>
        <v/>
      </c>
      <c r="N1583" s="26">
        <f>IF($H1583="","",TODAY()-$H1583)</f>
        <v/>
      </c>
      <c r="O1583" s="15" t="n"/>
      <c r="P1583" s="26">
        <f>IF($A1583="","",COUNTIFS('Audit Versions'!$A$6:$A$605,$A1583,'Audit Versions'!$L$6:$L$605,"Active"))</f>
        <v/>
      </c>
      <c r="Q1583" s="15" t="n"/>
      <c r="R1583" s="26">
        <f>IF(OR($A1583="",$P1583=0),"",MOD(N($Q1583),$P1583)+1)</f>
        <v/>
      </c>
      <c r="S1583" s="15" t="n"/>
      <c r="T1583" s="25" t="n"/>
      <c r="U1583" s="26">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Builder'!$B$12="",N($S1583)&lt;='Assignment Builder'!$B$12)))</f>
        <v/>
      </c>
      <c r="V1583" s="23" t="n"/>
    </row>
    <row r="1584">
      <c r="A1584" s="23" t="n"/>
      <c r="B1584" s="23" t="n"/>
      <c r="C1584" s="24" t="n"/>
      <c r="D1584" s="15" t="n"/>
      <c r="E1584" s="23" t="n"/>
      <c r="F1584" s="15" t="n"/>
      <c r="G1584" s="23" t="n"/>
      <c r="H1584" s="25" t="n"/>
      <c r="I1584" s="15" t="n"/>
      <c r="J1584" s="26">
        <f>IF($A1584="","",LEN($C1584)-LEN(SUBSTITUTE($C1584,",",""))+1)</f>
        <v/>
      </c>
      <c r="K1584" s="26">
        <f>IF($A1584="","",SUMPRODUCT(--ISNUMBER(SEARCH('Category Dictionary'!$D$5:$D$135&amp;"",$C1584)),--('Category Dictionary'!$D$5:$D$135&lt;&gt;"")))</f>
        <v/>
      </c>
      <c r="L1584" s="27">
        <f>IF($A1584="","",TRIM(IF(ISERROR(FIND(",",$C1584)),$C1584,LEFT($C1584,FIND(",",$C1584)-1))))</f>
        <v/>
      </c>
      <c r="M1584" s="28">
        <f>IF($H1584="","",DATE(YEAR($H1584),MONTH($H1584),1))</f>
        <v/>
      </c>
      <c r="N1584" s="26">
        <f>IF($H1584="","",TODAY()-$H1584)</f>
        <v/>
      </c>
      <c r="O1584" s="15" t="n"/>
      <c r="P1584" s="26">
        <f>IF($A1584="","",COUNTIFS('Audit Versions'!$A$6:$A$605,$A1584,'Audit Versions'!$L$6:$L$605,"Active"))</f>
        <v/>
      </c>
      <c r="Q1584" s="15" t="n"/>
      <c r="R1584" s="26">
        <f>IF(OR($A1584="",$P1584=0),"",MOD(N($Q1584),$P1584)+1)</f>
        <v/>
      </c>
      <c r="S1584" s="15" t="n"/>
      <c r="T1584" s="25" t="n"/>
      <c r="U1584" s="26">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Builder'!$B$12="",N($S1584)&lt;='Assignment Builder'!$B$12)))</f>
        <v/>
      </c>
      <c r="V1584" s="23" t="n"/>
    </row>
    <row r="1585">
      <c r="A1585" s="23" t="n"/>
      <c r="B1585" s="23" t="n"/>
      <c r="C1585" s="24" t="n"/>
      <c r="D1585" s="15" t="n"/>
      <c r="E1585" s="23" t="n"/>
      <c r="F1585" s="15" t="n"/>
      <c r="G1585" s="23" t="n"/>
      <c r="H1585" s="25" t="n"/>
      <c r="I1585" s="15" t="n"/>
      <c r="J1585" s="26">
        <f>IF($A1585="","",LEN($C1585)-LEN(SUBSTITUTE($C1585,",",""))+1)</f>
        <v/>
      </c>
      <c r="K1585" s="26">
        <f>IF($A1585="","",SUMPRODUCT(--ISNUMBER(SEARCH('Category Dictionary'!$D$5:$D$135&amp;"",$C1585)),--('Category Dictionary'!$D$5:$D$135&lt;&gt;"")))</f>
        <v/>
      </c>
      <c r="L1585" s="27">
        <f>IF($A1585="","",TRIM(IF(ISERROR(FIND(",",$C1585)),$C1585,LEFT($C1585,FIND(",",$C1585)-1))))</f>
        <v/>
      </c>
      <c r="M1585" s="28">
        <f>IF($H1585="","",DATE(YEAR($H1585),MONTH($H1585),1))</f>
        <v/>
      </c>
      <c r="N1585" s="26">
        <f>IF($H1585="","",TODAY()-$H1585)</f>
        <v/>
      </c>
      <c r="O1585" s="15" t="n"/>
      <c r="P1585" s="26">
        <f>IF($A1585="","",COUNTIFS('Audit Versions'!$A$6:$A$605,$A1585,'Audit Versions'!$L$6:$L$605,"Active"))</f>
        <v/>
      </c>
      <c r="Q1585" s="15" t="n"/>
      <c r="R1585" s="26">
        <f>IF(OR($A1585="",$P1585=0),"",MOD(N($Q1585),$P1585)+1)</f>
        <v/>
      </c>
      <c r="S1585" s="15" t="n"/>
      <c r="T1585" s="25" t="n"/>
      <c r="U1585" s="26">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Builder'!$B$12="",N($S1585)&lt;='Assignment Builder'!$B$12)))</f>
        <v/>
      </c>
      <c r="V1585" s="23" t="n"/>
    </row>
    <row r="1586">
      <c r="A1586" s="23" t="n"/>
      <c r="B1586" s="23" t="n"/>
      <c r="C1586" s="24" t="n"/>
      <c r="D1586" s="15" t="n"/>
      <c r="E1586" s="23" t="n"/>
      <c r="F1586" s="15" t="n"/>
      <c r="G1586" s="23" t="n"/>
      <c r="H1586" s="25" t="n"/>
      <c r="I1586" s="15" t="n"/>
      <c r="J1586" s="26">
        <f>IF($A1586="","",LEN($C1586)-LEN(SUBSTITUTE($C1586,",",""))+1)</f>
        <v/>
      </c>
      <c r="K1586" s="26">
        <f>IF($A1586="","",SUMPRODUCT(--ISNUMBER(SEARCH('Category Dictionary'!$D$5:$D$135&amp;"",$C1586)),--('Category Dictionary'!$D$5:$D$135&lt;&gt;"")))</f>
        <v/>
      </c>
      <c r="L1586" s="27">
        <f>IF($A1586="","",TRIM(IF(ISERROR(FIND(",",$C1586)),$C1586,LEFT($C1586,FIND(",",$C1586)-1))))</f>
        <v/>
      </c>
      <c r="M1586" s="28">
        <f>IF($H1586="","",DATE(YEAR($H1586),MONTH($H1586),1))</f>
        <v/>
      </c>
      <c r="N1586" s="26">
        <f>IF($H1586="","",TODAY()-$H1586)</f>
        <v/>
      </c>
      <c r="O1586" s="15" t="n"/>
      <c r="P1586" s="26">
        <f>IF($A1586="","",COUNTIFS('Audit Versions'!$A$6:$A$605,$A1586,'Audit Versions'!$L$6:$L$605,"Active"))</f>
        <v/>
      </c>
      <c r="Q1586" s="15" t="n"/>
      <c r="R1586" s="26">
        <f>IF(OR($A1586="",$P1586=0),"",MOD(N($Q1586),$P1586)+1)</f>
        <v/>
      </c>
      <c r="S1586" s="15" t="n"/>
      <c r="T1586" s="25" t="n"/>
      <c r="U1586" s="26">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Builder'!$B$12="",N($S1586)&lt;='Assignment Builder'!$B$12)))</f>
        <v/>
      </c>
      <c r="V1586" s="23" t="n"/>
    </row>
    <row r="1587">
      <c r="A1587" s="23" t="n"/>
      <c r="B1587" s="23" t="n"/>
      <c r="C1587" s="24" t="n"/>
      <c r="D1587" s="15" t="n"/>
      <c r="E1587" s="23" t="n"/>
      <c r="F1587" s="15" t="n"/>
      <c r="G1587" s="23" t="n"/>
      <c r="H1587" s="25" t="n"/>
      <c r="I1587" s="15" t="n"/>
      <c r="J1587" s="26">
        <f>IF($A1587="","",LEN($C1587)-LEN(SUBSTITUTE($C1587,",",""))+1)</f>
        <v/>
      </c>
      <c r="K1587" s="26">
        <f>IF($A1587="","",SUMPRODUCT(--ISNUMBER(SEARCH('Category Dictionary'!$D$5:$D$135&amp;"",$C1587)),--('Category Dictionary'!$D$5:$D$135&lt;&gt;"")))</f>
        <v/>
      </c>
      <c r="L1587" s="27">
        <f>IF($A1587="","",TRIM(IF(ISERROR(FIND(",",$C1587)),$C1587,LEFT($C1587,FIND(",",$C1587)-1))))</f>
        <v/>
      </c>
      <c r="M1587" s="28">
        <f>IF($H1587="","",DATE(YEAR($H1587),MONTH($H1587),1))</f>
        <v/>
      </c>
      <c r="N1587" s="26">
        <f>IF($H1587="","",TODAY()-$H1587)</f>
        <v/>
      </c>
      <c r="O1587" s="15" t="n"/>
      <c r="P1587" s="26">
        <f>IF($A1587="","",COUNTIFS('Audit Versions'!$A$6:$A$605,$A1587,'Audit Versions'!$L$6:$L$605,"Active"))</f>
        <v/>
      </c>
      <c r="Q1587" s="15" t="n"/>
      <c r="R1587" s="26">
        <f>IF(OR($A1587="",$P1587=0),"",MOD(N($Q1587),$P1587)+1)</f>
        <v/>
      </c>
      <c r="S1587" s="15" t="n"/>
      <c r="T1587" s="25" t="n"/>
      <c r="U1587" s="26">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Builder'!$B$12="",N($S1587)&lt;='Assignment Builder'!$B$12)))</f>
        <v/>
      </c>
      <c r="V1587" s="23" t="n"/>
    </row>
    <row r="1588">
      <c r="A1588" s="23" t="n"/>
      <c r="B1588" s="23" t="n"/>
      <c r="C1588" s="24" t="n"/>
      <c r="D1588" s="15" t="n"/>
      <c r="E1588" s="23" t="n"/>
      <c r="F1588" s="15" t="n"/>
      <c r="G1588" s="23" t="n"/>
      <c r="H1588" s="25" t="n"/>
      <c r="I1588" s="15" t="n"/>
      <c r="J1588" s="26">
        <f>IF($A1588="","",LEN($C1588)-LEN(SUBSTITUTE($C1588,",",""))+1)</f>
        <v/>
      </c>
      <c r="K1588" s="26">
        <f>IF($A1588="","",SUMPRODUCT(--ISNUMBER(SEARCH('Category Dictionary'!$D$5:$D$135&amp;"",$C1588)),--('Category Dictionary'!$D$5:$D$135&lt;&gt;"")))</f>
        <v/>
      </c>
      <c r="L1588" s="27">
        <f>IF($A1588="","",TRIM(IF(ISERROR(FIND(",",$C1588)),$C1588,LEFT($C1588,FIND(",",$C1588)-1))))</f>
        <v/>
      </c>
      <c r="M1588" s="28">
        <f>IF($H1588="","",DATE(YEAR($H1588),MONTH($H1588),1))</f>
        <v/>
      </c>
      <c r="N1588" s="26">
        <f>IF($H1588="","",TODAY()-$H1588)</f>
        <v/>
      </c>
      <c r="O1588" s="15" t="n"/>
      <c r="P1588" s="26">
        <f>IF($A1588="","",COUNTIFS('Audit Versions'!$A$6:$A$605,$A1588,'Audit Versions'!$L$6:$L$605,"Active"))</f>
        <v/>
      </c>
      <c r="Q1588" s="15" t="n"/>
      <c r="R1588" s="26">
        <f>IF(OR($A1588="",$P1588=0),"",MOD(N($Q1588),$P1588)+1)</f>
        <v/>
      </c>
      <c r="S1588" s="15" t="n"/>
      <c r="T1588" s="25" t="n"/>
      <c r="U1588" s="26">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Builder'!$B$12="",N($S1588)&lt;='Assignment Builder'!$B$12)))</f>
        <v/>
      </c>
      <c r="V1588" s="23" t="n"/>
    </row>
    <row r="1589">
      <c r="A1589" s="23" t="n"/>
      <c r="B1589" s="23" t="n"/>
      <c r="C1589" s="24" t="n"/>
      <c r="D1589" s="15" t="n"/>
      <c r="E1589" s="23" t="n"/>
      <c r="F1589" s="15" t="n"/>
      <c r="G1589" s="23" t="n"/>
      <c r="H1589" s="25" t="n"/>
      <c r="I1589" s="15" t="n"/>
      <c r="J1589" s="26">
        <f>IF($A1589="","",LEN($C1589)-LEN(SUBSTITUTE($C1589,",",""))+1)</f>
        <v/>
      </c>
      <c r="K1589" s="26">
        <f>IF($A1589="","",SUMPRODUCT(--ISNUMBER(SEARCH('Category Dictionary'!$D$5:$D$135&amp;"",$C1589)),--('Category Dictionary'!$D$5:$D$135&lt;&gt;"")))</f>
        <v/>
      </c>
      <c r="L1589" s="27">
        <f>IF($A1589="","",TRIM(IF(ISERROR(FIND(",",$C1589)),$C1589,LEFT($C1589,FIND(",",$C1589)-1))))</f>
        <v/>
      </c>
      <c r="M1589" s="28">
        <f>IF($H1589="","",DATE(YEAR($H1589),MONTH($H1589),1))</f>
        <v/>
      </c>
      <c r="N1589" s="26">
        <f>IF($H1589="","",TODAY()-$H1589)</f>
        <v/>
      </c>
      <c r="O1589" s="15" t="n"/>
      <c r="P1589" s="26">
        <f>IF($A1589="","",COUNTIFS('Audit Versions'!$A$6:$A$605,$A1589,'Audit Versions'!$L$6:$L$605,"Active"))</f>
        <v/>
      </c>
      <c r="Q1589" s="15" t="n"/>
      <c r="R1589" s="26">
        <f>IF(OR($A1589="",$P1589=0),"",MOD(N($Q1589),$P1589)+1)</f>
        <v/>
      </c>
      <c r="S1589" s="15" t="n"/>
      <c r="T1589" s="25" t="n"/>
      <c r="U1589" s="26">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Builder'!$B$12="",N($S1589)&lt;='Assignment Builder'!$B$12)))</f>
        <v/>
      </c>
      <c r="V1589" s="23" t="n"/>
    </row>
    <row r="1590">
      <c r="A1590" s="23" t="n"/>
      <c r="B1590" s="23" t="n"/>
      <c r="C1590" s="24" t="n"/>
      <c r="D1590" s="15" t="n"/>
      <c r="E1590" s="23" t="n"/>
      <c r="F1590" s="15" t="n"/>
      <c r="G1590" s="23" t="n"/>
      <c r="H1590" s="25" t="n"/>
      <c r="I1590" s="15" t="n"/>
      <c r="J1590" s="26">
        <f>IF($A1590="","",LEN($C1590)-LEN(SUBSTITUTE($C1590,",",""))+1)</f>
        <v/>
      </c>
      <c r="K1590" s="26">
        <f>IF($A1590="","",SUMPRODUCT(--ISNUMBER(SEARCH('Category Dictionary'!$D$5:$D$135&amp;"",$C1590)),--('Category Dictionary'!$D$5:$D$135&lt;&gt;"")))</f>
        <v/>
      </c>
      <c r="L1590" s="27">
        <f>IF($A1590="","",TRIM(IF(ISERROR(FIND(",",$C1590)),$C1590,LEFT($C1590,FIND(",",$C1590)-1))))</f>
        <v/>
      </c>
      <c r="M1590" s="28">
        <f>IF($H1590="","",DATE(YEAR($H1590),MONTH($H1590),1))</f>
        <v/>
      </c>
      <c r="N1590" s="26">
        <f>IF($H1590="","",TODAY()-$H1590)</f>
        <v/>
      </c>
      <c r="O1590" s="15" t="n"/>
      <c r="P1590" s="26">
        <f>IF($A1590="","",COUNTIFS('Audit Versions'!$A$6:$A$605,$A1590,'Audit Versions'!$L$6:$L$605,"Active"))</f>
        <v/>
      </c>
      <c r="Q1590" s="15" t="n"/>
      <c r="R1590" s="26">
        <f>IF(OR($A1590="",$P1590=0),"",MOD(N($Q1590),$P1590)+1)</f>
        <v/>
      </c>
      <c r="S1590" s="15" t="n"/>
      <c r="T1590" s="25" t="n"/>
      <c r="U1590" s="26">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Builder'!$B$12="",N($S1590)&lt;='Assignment Builder'!$B$12)))</f>
        <v/>
      </c>
      <c r="V1590" s="23" t="n"/>
    </row>
    <row r="1591">
      <c r="A1591" s="23" t="n"/>
      <c r="B1591" s="23" t="n"/>
      <c r="C1591" s="24" t="n"/>
      <c r="D1591" s="15" t="n"/>
      <c r="E1591" s="23" t="n"/>
      <c r="F1591" s="15" t="n"/>
      <c r="G1591" s="23" t="n"/>
      <c r="H1591" s="25" t="n"/>
      <c r="I1591" s="15" t="n"/>
      <c r="J1591" s="26">
        <f>IF($A1591="","",LEN($C1591)-LEN(SUBSTITUTE($C1591,",",""))+1)</f>
        <v/>
      </c>
      <c r="K1591" s="26">
        <f>IF($A1591="","",SUMPRODUCT(--ISNUMBER(SEARCH('Category Dictionary'!$D$5:$D$135&amp;"",$C1591)),--('Category Dictionary'!$D$5:$D$135&lt;&gt;"")))</f>
        <v/>
      </c>
      <c r="L1591" s="27">
        <f>IF($A1591="","",TRIM(IF(ISERROR(FIND(",",$C1591)),$C1591,LEFT($C1591,FIND(",",$C1591)-1))))</f>
        <v/>
      </c>
      <c r="M1591" s="28">
        <f>IF($H1591="","",DATE(YEAR($H1591),MONTH($H1591),1))</f>
        <v/>
      </c>
      <c r="N1591" s="26">
        <f>IF($H1591="","",TODAY()-$H1591)</f>
        <v/>
      </c>
      <c r="O1591" s="15" t="n"/>
      <c r="P1591" s="26">
        <f>IF($A1591="","",COUNTIFS('Audit Versions'!$A$6:$A$605,$A1591,'Audit Versions'!$L$6:$L$605,"Active"))</f>
        <v/>
      </c>
      <c r="Q1591" s="15" t="n"/>
      <c r="R1591" s="26">
        <f>IF(OR($A1591="",$P1591=0),"",MOD(N($Q1591),$P1591)+1)</f>
        <v/>
      </c>
      <c r="S1591" s="15" t="n"/>
      <c r="T1591" s="25" t="n"/>
      <c r="U1591" s="26">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Builder'!$B$12="",N($S1591)&lt;='Assignment Builder'!$B$12)))</f>
        <v/>
      </c>
      <c r="V1591" s="23" t="n"/>
    </row>
    <row r="1592">
      <c r="A1592" s="23" t="n"/>
      <c r="B1592" s="23" t="n"/>
      <c r="C1592" s="24" t="n"/>
      <c r="D1592" s="15" t="n"/>
      <c r="E1592" s="23" t="n"/>
      <c r="F1592" s="15" t="n"/>
      <c r="G1592" s="23" t="n"/>
      <c r="H1592" s="25" t="n"/>
      <c r="I1592" s="15" t="n"/>
      <c r="J1592" s="26">
        <f>IF($A1592="","",LEN($C1592)-LEN(SUBSTITUTE($C1592,",",""))+1)</f>
        <v/>
      </c>
      <c r="K1592" s="26">
        <f>IF($A1592="","",SUMPRODUCT(--ISNUMBER(SEARCH('Category Dictionary'!$D$5:$D$135&amp;"",$C1592)),--('Category Dictionary'!$D$5:$D$135&lt;&gt;"")))</f>
        <v/>
      </c>
      <c r="L1592" s="27">
        <f>IF($A1592="","",TRIM(IF(ISERROR(FIND(",",$C1592)),$C1592,LEFT($C1592,FIND(",",$C1592)-1))))</f>
        <v/>
      </c>
      <c r="M1592" s="28">
        <f>IF($H1592="","",DATE(YEAR($H1592),MONTH($H1592),1))</f>
        <v/>
      </c>
      <c r="N1592" s="26">
        <f>IF($H1592="","",TODAY()-$H1592)</f>
        <v/>
      </c>
      <c r="O1592" s="15" t="n"/>
      <c r="P1592" s="26">
        <f>IF($A1592="","",COUNTIFS('Audit Versions'!$A$6:$A$605,$A1592,'Audit Versions'!$L$6:$L$605,"Active"))</f>
        <v/>
      </c>
      <c r="Q1592" s="15" t="n"/>
      <c r="R1592" s="26">
        <f>IF(OR($A1592="",$P1592=0),"",MOD(N($Q1592),$P1592)+1)</f>
        <v/>
      </c>
      <c r="S1592" s="15" t="n"/>
      <c r="T1592" s="25" t="n"/>
      <c r="U1592" s="26">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Builder'!$B$12="",N($S1592)&lt;='Assignment Builder'!$B$12)))</f>
        <v/>
      </c>
      <c r="V1592" s="23" t="n"/>
    </row>
    <row r="1593">
      <c r="A1593" s="23" t="n"/>
      <c r="B1593" s="23" t="n"/>
      <c r="C1593" s="24" t="n"/>
      <c r="D1593" s="15" t="n"/>
      <c r="E1593" s="23" t="n"/>
      <c r="F1593" s="15" t="n"/>
      <c r="G1593" s="23" t="n"/>
      <c r="H1593" s="25" t="n"/>
      <c r="I1593" s="15" t="n"/>
      <c r="J1593" s="26">
        <f>IF($A1593="","",LEN($C1593)-LEN(SUBSTITUTE($C1593,",",""))+1)</f>
        <v/>
      </c>
      <c r="K1593" s="26">
        <f>IF($A1593="","",SUMPRODUCT(--ISNUMBER(SEARCH('Category Dictionary'!$D$5:$D$135&amp;"",$C1593)),--('Category Dictionary'!$D$5:$D$135&lt;&gt;"")))</f>
        <v/>
      </c>
      <c r="L1593" s="27">
        <f>IF($A1593="","",TRIM(IF(ISERROR(FIND(",",$C1593)),$C1593,LEFT($C1593,FIND(",",$C1593)-1))))</f>
        <v/>
      </c>
      <c r="M1593" s="28">
        <f>IF($H1593="","",DATE(YEAR($H1593),MONTH($H1593),1))</f>
        <v/>
      </c>
      <c r="N1593" s="26">
        <f>IF($H1593="","",TODAY()-$H1593)</f>
        <v/>
      </c>
      <c r="O1593" s="15" t="n"/>
      <c r="P1593" s="26">
        <f>IF($A1593="","",COUNTIFS('Audit Versions'!$A$6:$A$605,$A1593,'Audit Versions'!$L$6:$L$605,"Active"))</f>
        <v/>
      </c>
      <c r="Q1593" s="15" t="n"/>
      <c r="R1593" s="26">
        <f>IF(OR($A1593="",$P1593=0),"",MOD(N($Q1593),$P1593)+1)</f>
        <v/>
      </c>
      <c r="S1593" s="15" t="n"/>
      <c r="T1593" s="25" t="n"/>
      <c r="U1593" s="26">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Builder'!$B$12="",N($S1593)&lt;='Assignment Builder'!$B$12)))</f>
        <v/>
      </c>
      <c r="V1593" s="23" t="n"/>
    </row>
    <row r="1594">
      <c r="A1594" s="23" t="n"/>
      <c r="B1594" s="23" t="n"/>
      <c r="C1594" s="24" t="n"/>
      <c r="D1594" s="15" t="n"/>
      <c r="E1594" s="23" t="n"/>
      <c r="F1594" s="15" t="n"/>
      <c r="G1594" s="23" t="n"/>
      <c r="H1594" s="25" t="n"/>
      <c r="I1594" s="15" t="n"/>
      <c r="J1594" s="26">
        <f>IF($A1594="","",LEN($C1594)-LEN(SUBSTITUTE($C1594,",",""))+1)</f>
        <v/>
      </c>
      <c r="K1594" s="26">
        <f>IF($A1594="","",SUMPRODUCT(--ISNUMBER(SEARCH('Category Dictionary'!$D$5:$D$135&amp;"",$C1594)),--('Category Dictionary'!$D$5:$D$135&lt;&gt;"")))</f>
        <v/>
      </c>
      <c r="L1594" s="27">
        <f>IF($A1594="","",TRIM(IF(ISERROR(FIND(",",$C1594)),$C1594,LEFT($C1594,FIND(",",$C1594)-1))))</f>
        <v/>
      </c>
      <c r="M1594" s="28">
        <f>IF($H1594="","",DATE(YEAR($H1594),MONTH($H1594),1))</f>
        <v/>
      </c>
      <c r="N1594" s="26">
        <f>IF($H1594="","",TODAY()-$H1594)</f>
        <v/>
      </c>
      <c r="O1594" s="15" t="n"/>
      <c r="P1594" s="26">
        <f>IF($A1594="","",COUNTIFS('Audit Versions'!$A$6:$A$605,$A1594,'Audit Versions'!$L$6:$L$605,"Active"))</f>
        <v/>
      </c>
      <c r="Q1594" s="15" t="n"/>
      <c r="R1594" s="26">
        <f>IF(OR($A1594="",$P1594=0),"",MOD(N($Q1594),$P1594)+1)</f>
        <v/>
      </c>
      <c r="S1594" s="15" t="n"/>
      <c r="T1594" s="25" t="n"/>
      <c r="U1594" s="26">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Builder'!$B$12="",N($S1594)&lt;='Assignment Builder'!$B$12)))</f>
        <v/>
      </c>
      <c r="V1594" s="23" t="n"/>
    </row>
    <row r="1595">
      <c r="A1595" s="23" t="n"/>
      <c r="B1595" s="23" t="n"/>
      <c r="C1595" s="24" t="n"/>
      <c r="D1595" s="15" t="n"/>
      <c r="E1595" s="23" t="n"/>
      <c r="F1595" s="15" t="n"/>
      <c r="G1595" s="23" t="n"/>
      <c r="H1595" s="25" t="n"/>
      <c r="I1595" s="15" t="n"/>
      <c r="J1595" s="26">
        <f>IF($A1595="","",LEN($C1595)-LEN(SUBSTITUTE($C1595,",",""))+1)</f>
        <v/>
      </c>
      <c r="K1595" s="26">
        <f>IF($A1595="","",SUMPRODUCT(--ISNUMBER(SEARCH('Category Dictionary'!$D$5:$D$135&amp;"",$C1595)),--('Category Dictionary'!$D$5:$D$135&lt;&gt;"")))</f>
        <v/>
      </c>
      <c r="L1595" s="27">
        <f>IF($A1595="","",TRIM(IF(ISERROR(FIND(",",$C1595)),$C1595,LEFT($C1595,FIND(",",$C1595)-1))))</f>
        <v/>
      </c>
      <c r="M1595" s="28">
        <f>IF($H1595="","",DATE(YEAR($H1595),MONTH($H1595),1))</f>
        <v/>
      </c>
      <c r="N1595" s="26">
        <f>IF($H1595="","",TODAY()-$H1595)</f>
        <v/>
      </c>
      <c r="O1595" s="15" t="n"/>
      <c r="P1595" s="26">
        <f>IF($A1595="","",COUNTIFS('Audit Versions'!$A$6:$A$605,$A1595,'Audit Versions'!$L$6:$L$605,"Active"))</f>
        <v/>
      </c>
      <c r="Q1595" s="15" t="n"/>
      <c r="R1595" s="26">
        <f>IF(OR($A1595="",$P1595=0),"",MOD(N($Q1595),$P1595)+1)</f>
        <v/>
      </c>
      <c r="S1595" s="15" t="n"/>
      <c r="T1595" s="25" t="n"/>
      <c r="U1595" s="26">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Builder'!$B$12="",N($S1595)&lt;='Assignment Builder'!$B$12)))</f>
        <v/>
      </c>
      <c r="V1595" s="23" t="n"/>
    </row>
    <row r="1596">
      <c r="A1596" s="23" t="n"/>
      <c r="B1596" s="23" t="n"/>
      <c r="C1596" s="24" t="n"/>
      <c r="D1596" s="15" t="n"/>
      <c r="E1596" s="23" t="n"/>
      <c r="F1596" s="15" t="n"/>
      <c r="G1596" s="23" t="n"/>
      <c r="H1596" s="25" t="n"/>
      <c r="I1596" s="15" t="n"/>
      <c r="J1596" s="26">
        <f>IF($A1596="","",LEN($C1596)-LEN(SUBSTITUTE($C1596,",",""))+1)</f>
        <v/>
      </c>
      <c r="K1596" s="26">
        <f>IF($A1596="","",SUMPRODUCT(--ISNUMBER(SEARCH('Category Dictionary'!$D$5:$D$135&amp;"",$C1596)),--('Category Dictionary'!$D$5:$D$135&lt;&gt;"")))</f>
        <v/>
      </c>
      <c r="L1596" s="27">
        <f>IF($A1596="","",TRIM(IF(ISERROR(FIND(",",$C1596)),$C1596,LEFT($C1596,FIND(",",$C1596)-1))))</f>
        <v/>
      </c>
      <c r="M1596" s="28">
        <f>IF($H1596="","",DATE(YEAR($H1596),MONTH($H1596),1))</f>
        <v/>
      </c>
      <c r="N1596" s="26">
        <f>IF($H1596="","",TODAY()-$H1596)</f>
        <v/>
      </c>
      <c r="O1596" s="15" t="n"/>
      <c r="P1596" s="26">
        <f>IF($A1596="","",COUNTIFS('Audit Versions'!$A$6:$A$605,$A1596,'Audit Versions'!$L$6:$L$605,"Active"))</f>
        <v/>
      </c>
      <c r="Q1596" s="15" t="n"/>
      <c r="R1596" s="26">
        <f>IF(OR($A1596="",$P1596=0),"",MOD(N($Q1596),$P1596)+1)</f>
        <v/>
      </c>
      <c r="S1596" s="15" t="n"/>
      <c r="T1596" s="25" t="n"/>
      <c r="U1596" s="26">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Builder'!$B$12="",N($S1596)&lt;='Assignment Builder'!$B$12)))</f>
        <v/>
      </c>
      <c r="V1596" s="23" t="n"/>
    </row>
    <row r="1597">
      <c r="A1597" s="23" t="n"/>
      <c r="B1597" s="23" t="n"/>
      <c r="C1597" s="24" t="n"/>
      <c r="D1597" s="15" t="n"/>
      <c r="E1597" s="23" t="n"/>
      <c r="F1597" s="15" t="n"/>
      <c r="G1597" s="23" t="n"/>
      <c r="H1597" s="25" t="n"/>
      <c r="I1597" s="15" t="n"/>
      <c r="J1597" s="26">
        <f>IF($A1597="","",LEN($C1597)-LEN(SUBSTITUTE($C1597,",",""))+1)</f>
        <v/>
      </c>
      <c r="K1597" s="26">
        <f>IF($A1597="","",SUMPRODUCT(--ISNUMBER(SEARCH('Category Dictionary'!$D$5:$D$135&amp;"",$C1597)),--('Category Dictionary'!$D$5:$D$135&lt;&gt;"")))</f>
        <v/>
      </c>
      <c r="L1597" s="27">
        <f>IF($A1597="","",TRIM(IF(ISERROR(FIND(",",$C1597)),$C1597,LEFT($C1597,FIND(",",$C1597)-1))))</f>
        <v/>
      </c>
      <c r="M1597" s="28">
        <f>IF($H1597="","",DATE(YEAR($H1597),MONTH($H1597),1))</f>
        <v/>
      </c>
      <c r="N1597" s="26">
        <f>IF($H1597="","",TODAY()-$H1597)</f>
        <v/>
      </c>
      <c r="O1597" s="15" t="n"/>
      <c r="P1597" s="26">
        <f>IF($A1597="","",COUNTIFS('Audit Versions'!$A$6:$A$605,$A1597,'Audit Versions'!$L$6:$L$605,"Active"))</f>
        <v/>
      </c>
      <c r="Q1597" s="15" t="n"/>
      <c r="R1597" s="26">
        <f>IF(OR($A1597="",$P1597=0),"",MOD(N($Q1597),$P1597)+1)</f>
        <v/>
      </c>
      <c r="S1597" s="15" t="n"/>
      <c r="T1597" s="25" t="n"/>
      <c r="U1597" s="26">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Builder'!$B$12="",N($S1597)&lt;='Assignment Builder'!$B$12)))</f>
        <v/>
      </c>
      <c r="V1597" s="23" t="n"/>
    </row>
    <row r="1598">
      <c r="A1598" s="23" t="n"/>
      <c r="B1598" s="23" t="n"/>
      <c r="C1598" s="24" t="n"/>
      <c r="D1598" s="15" t="n"/>
      <c r="E1598" s="23" t="n"/>
      <c r="F1598" s="15" t="n"/>
      <c r="G1598" s="23" t="n"/>
      <c r="H1598" s="25" t="n"/>
      <c r="I1598" s="15" t="n"/>
      <c r="J1598" s="26">
        <f>IF($A1598="","",LEN($C1598)-LEN(SUBSTITUTE($C1598,",",""))+1)</f>
        <v/>
      </c>
      <c r="K1598" s="26">
        <f>IF($A1598="","",SUMPRODUCT(--ISNUMBER(SEARCH('Category Dictionary'!$D$5:$D$135&amp;"",$C1598)),--('Category Dictionary'!$D$5:$D$135&lt;&gt;"")))</f>
        <v/>
      </c>
      <c r="L1598" s="27">
        <f>IF($A1598="","",TRIM(IF(ISERROR(FIND(",",$C1598)),$C1598,LEFT($C1598,FIND(",",$C1598)-1))))</f>
        <v/>
      </c>
      <c r="M1598" s="28">
        <f>IF($H1598="","",DATE(YEAR($H1598),MONTH($H1598),1))</f>
        <v/>
      </c>
      <c r="N1598" s="26">
        <f>IF($H1598="","",TODAY()-$H1598)</f>
        <v/>
      </c>
      <c r="O1598" s="15" t="n"/>
      <c r="P1598" s="26">
        <f>IF($A1598="","",COUNTIFS('Audit Versions'!$A$6:$A$605,$A1598,'Audit Versions'!$L$6:$L$605,"Active"))</f>
        <v/>
      </c>
      <c r="Q1598" s="15" t="n"/>
      <c r="R1598" s="26">
        <f>IF(OR($A1598="",$P1598=0),"",MOD(N($Q1598),$P1598)+1)</f>
        <v/>
      </c>
      <c r="S1598" s="15" t="n"/>
      <c r="T1598" s="25" t="n"/>
      <c r="U1598" s="26">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Builder'!$B$12="",N($S1598)&lt;='Assignment Builder'!$B$12)))</f>
        <v/>
      </c>
      <c r="V1598" s="23" t="n"/>
    </row>
    <row r="1599">
      <c r="A1599" s="23" t="n"/>
      <c r="B1599" s="23" t="n"/>
      <c r="C1599" s="24" t="n"/>
      <c r="D1599" s="15" t="n"/>
      <c r="E1599" s="23" t="n"/>
      <c r="F1599" s="15" t="n"/>
      <c r="G1599" s="23" t="n"/>
      <c r="H1599" s="25" t="n"/>
      <c r="I1599" s="15" t="n"/>
      <c r="J1599" s="26">
        <f>IF($A1599="","",LEN($C1599)-LEN(SUBSTITUTE($C1599,",",""))+1)</f>
        <v/>
      </c>
      <c r="K1599" s="26">
        <f>IF($A1599="","",SUMPRODUCT(--ISNUMBER(SEARCH('Category Dictionary'!$D$5:$D$135&amp;"",$C1599)),--('Category Dictionary'!$D$5:$D$135&lt;&gt;"")))</f>
        <v/>
      </c>
      <c r="L1599" s="27">
        <f>IF($A1599="","",TRIM(IF(ISERROR(FIND(",",$C1599)),$C1599,LEFT($C1599,FIND(",",$C1599)-1))))</f>
        <v/>
      </c>
      <c r="M1599" s="28">
        <f>IF($H1599="","",DATE(YEAR($H1599),MONTH($H1599),1))</f>
        <v/>
      </c>
      <c r="N1599" s="26">
        <f>IF($H1599="","",TODAY()-$H1599)</f>
        <v/>
      </c>
      <c r="O1599" s="15" t="n"/>
      <c r="P1599" s="26">
        <f>IF($A1599="","",COUNTIFS('Audit Versions'!$A$6:$A$605,$A1599,'Audit Versions'!$L$6:$L$605,"Active"))</f>
        <v/>
      </c>
      <c r="Q1599" s="15" t="n"/>
      <c r="R1599" s="26">
        <f>IF(OR($A1599="",$P1599=0),"",MOD(N($Q1599),$P1599)+1)</f>
        <v/>
      </c>
      <c r="S1599" s="15" t="n"/>
      <c r="T1599" s="25" t="n"/>
      <c r="U1599" s="26">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Builder'!$B$12="",N($S1599)&lt;='Assignment Builder'!$B$12)))</f>
        <v/>
      </c>
      <c r="V1599" s="23" t="n"/>
    </row>
    <row r="1600">
      <c r="A1600" s="23" t="n"/>
      <c r="B1600" s="23" t="n"/>
      <c r="C1600" s="24" t="n"/>
      <c r="D1600" s="15" t="n"/>
      <c r="E1600" s="23" t="n"/>
      <c r="F1600" s="15" t="n"/>
      <c r="G1600" s="23" t="n"/>
      <c r="H1600" s="25" t="n"/>
      <c r="I1600" s="15" t="n"/>
      <c r="J1600" s="26">
        <f>IF($A1600="","",LEN($C1600)-LEN(SUBSTITUTE($C1600,",",""))+1)</f>
        <v/>
      </c>
      <c r="K1600" s="26">
        <f>IF($A1600="","",SUMPRODUCT(--ISNUMBER(SEARCH('Category Dictionary'!$D$5:$D$135&amp;"",$C1600)),--('Category Dictionary'!$D$5:$D$135&lt;&gt;"")))</f>
        <v/>
      </c>
      <c r="L1600" s="27">
        <f>IF($A1600="","",TRIM(IF(ISERROR(FIND(",",$C1600)),$C1600,LEFT($C1600,FIND(",",$C1600)-1))))</f>
        <v/>
      </c>
      <c r="M1600" s="28">
        <f>IF($H1600="","",DATE(YEAR($H1600),MONTH($H1600),1))</f>
        <v/>
      </c>
      <c r="N1600" s="26">
        <f>IF($H1600="","",TODAY()-$H1600)</f>
        <v/>
      </c>
      <c r="O1600" s="15" t="n"/>
      <c r="P1600" s="26">
        <f>IF($A1600="","",COUNTIFS('Audit Versions'!$A$6:$A$605,$A1600,'Audit Versions'!$L$6:$L$605,"Active"))</f>
        <v/>
      </c>
      <c r="Q1600" s="15" t="n"/>
      <c r="R1600" s="26">
        <f>IF(OR($A1600="",$P1600=0),"",MOD(N($Q1600),$P1600)+1)</f>
        <v/>
      </c>
      <c r="S1600" s="15" t="n"/>
      <c r="T1600" s="25" t="n"/>
      <c r="U1600" s="26">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Builder'!$B$12="",N($S1600)&lt;='Assignment Builder'!$B$12)))</f>
        <v/>
      </c>
      <c r="V1600" s="23" t="n"/>
    </row>
    <row r="1601">
      <c r="A1601" s="23" t="n"/>
      <c r="B1601" s="23" t="n"/>
      <c r="C1601" s="24" t="n"/>
      <c r="D1601" s="15" t="n"/>
      <c r="E1601" s="23" t="n"/>
      <c r="F1601" s="15" t="n"/>
      <c r="G1601" s="23" t="n"/>
      <c r="H1601" s="25" t="n"/>
      <c r="I1601" s="15" t="n"/>
      <c r="J1601" s="26">
        <f>IF($A1601="","",LEN($C1601)-LEN(SUBSTITUTE($C1601,",",""))+1)</f>
        <v/>
      </c>
      <c r="K1601" s="26">
        <f>IF($A1601="","",SUMPRODUCT(--ISNUMBER(SEARCH('Category Dictionary'!$D$5:$D$135&amp;"",$C1601)),--('Category Dictionary'!$D$5:$D$135&lt;&gt;"")))</f>
        <v/>
      </c>
      <c r="L1601" s="27">
        <f>IF($A1601="","",TRIM(IF(ISERROR(FIND(",",$C1601)),$C1601,LEFT($C1601,FIND(",",$C1601)-1))))</f>
        <v/>
      </c>
      <c r="M1601" s="28">
        <f>IF($H1601="","",DATE(YEAR($H1601),MONTH($H1601),1))</f>
        <v/>
      </c>
      <c r="N1601" s="26">
        <f>IF($H1601="","",TODAY()-$H1601)</f>
        <v/>
      </c>
      <c r="O1601" s="15" t="n"/>
      <c r="P1601" s="26">
        <f>IF($A1601="","",COUNTIFS('Audit Versions'!$A$6:$A$605,$A1601,'Audit Versions'!$L$6:$L$605,"Active"))</f>
        <v/>
      </c>
      <c r="Q1601" s="15" t="n"/>
      <c r="R1601" s="26">
        <f>IF(OR($A1601="",$P1601=0),"",MOD(N($Q1601),$P1601)+1)</f>
        <v/>
      </c>
      <c r="S1601" s="15" t="n"/>
      <c r="T1601" s="25" t="n"/>
      <c r="U1601" s="26">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Builder'!$B$12="",N($S1601)&lt;='Assignment Builder'!$B$12)))</f>
        <v/>
      </c>
      <c r="V1601" s="23" t="n"/>
    </row>
    <row r="1602">
      <c r="A1602" s="23" t="n"/>
      <c r="B1602" s="23" t="n"/>
      <c r="C1602" s="24" t="n"/>
      <c r="D1602" s="15" t="n"/>
      <c r="E1602" s="23" t="n"/>
      <c r="F1602" s="15" t="n"/>
      <c r="G1602" s="23" t="n"/>
      <c r="H1602" s="25" t="n"/>
      <c r="I1602" s="15" t="n"/>
      <c r="J1602" s="26">
        <f>IF($A1602="","",LEN($C1602)-LEN(SUBSTITUTE($C1602,",",""))+1)</f>
        <v/>
      </c>
      <c r="K1602" s="26">
        <f>IF($A1602="","",SUMPRODUCT(--ISNUMBER(SEARCH('Category Dictionary'!$D$5:$D$135&amp;"",$C1602)),--('Category Dictionary'!$D$5:$D$135&lt;&gt;"")))</f>
        <v/>
      </c>
      <c r="L1602" s="27">
        <f>IF($A1602="","",TRIM(IF(ISERROR(FIND(",",$C1602)),$C1602,LEFT($C1602,FIND(",",$C1602)-1))))</f>
        <v/>
      </c>
      <c r="M1602" s="28">
        <f>IF($H1602="","",DATE(YEAR($H1602),MONTH($H1602),1))</f>
        <v/>
      </c>
      <c r="N1602" s="26">
        <f>IF($H1602="","",TODAY()-$H1602)</f>
        <v/>
      </c>
      <c r="O1602" s="15" t="n"/>
      <c r="P1602" s="26">
        <f>IF($A1602="","",COUNTIFS('Audit Versions'!$A$6:$A$605,$A1602,'Audit Versions'!$L$6:$L$605,"Active"))</f>
        <v/>
      </c>
      <c r="Q1602" s="15" t="n"/>
      <c r="R1602" s="26">
        <f>IF(OR($A1602="",$P1602=0),"",MOD(N($Q1602),$P1602)+1)</f>
        <v/>
      </c>
      <c r="S1602" s="15" t="n"/>
      <c r="T1602" s="25" t="n"/>
      <c r="U1602" s="26">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Builder'!$B$12="",N($S1602)&lt;='Assignment Builder'!$B$12)))</f>
        <v/>
      </c>
      <c r="V1602" s="23" t="n"/>
    </row>
    <row r="1603">
      <c r="A1603" s="23" t="n"/>
      <c r="B1603" s="23" t="n"/>
      <c r="C1603" s="24" t="n"/>
      <c r="D1603" s="15" t="n"/>
      <c r="E1603" s="23" t="n"/>
      <c r="F1603" s="15" t="n"/>
      <c r="G1603" s="23" t="n"/>
      <c r="H1603" s="25" t="n"/>
      <c r="I1603" s="15" t="n"/>
      <c r="J1603" s="26">
        <f>IF($A1603="","",LEN($C1603)-LEN(SUBSTITUTE($C1603,",",""))+1)</f>
        <v/>
      </c>
      <c r="K1603" s="26">
        <f>IF($A1603="","",SUMPRODUCT(--ISNUMBER(SEARCH('Category Dictionary'!$D$5:$D$135&amp;"",$C1603)),--('Category Dictionary'!$D$5:$D$135&lt;&gt;"")))</f>
        <v/>
      </c>
      <c r="L1603" s="27">
        <f>IF($A1603="","",TRIM(IF(ISERROR(FIND(",",$C1603)),$C1603,LEFT($C1603,FIND(",",$C1603)-1))))</f>
        <v/>
      </c>
      <c r="M1603" s="28">
        <f>IF($H1603="","",DATE(YEAR($H1603),MONTH($H1603),1))</f>
        <v/>
      </c>
      <c r="N1603" s="26">
        <f>IF($H1603="","",TODAY()-$H1603)</f>
        <v/>
      </c>
      <c r="O1603" s="15" t="n"/>
      <c r="P1603" s="26">
        <f>IF($A1603="","",COUNTIFS('Audit Versions'!$A$6:$A$605,$A1603,'Audit Versions'!$L$6:$L$605,"Active"))</f>
        <v/>
      </c>
      <c r="Q1603" s="15" t="n"/>
      <c r="R1603" s="26">
        <f>IF(OR($A1603="",$P1603=0),"",MOD(N($Q1603),$P1603)+1)</f>
        <v/>
      </c>
      <c r="S1603" s="15" t="n"/>
      <c r="T1603" s="25" t="n"/>
      <c r="U1603" s="26">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Builder'!$B$12="",N($S1603)&lt;='Assignment Builder'!$B$12)))</f>
        <v/>
      </c>
      <c r="V1603" s="23" t="n"/>
    </row>
    <row r="1604">
      <c r="A1604" s="23" t="n"/>
      <c r="B1604" s="23" t="n"/>
      <c r="C1604" s="24" t="n"/>
      <c r="D1604" s="15" t="n"/>
      <c r="E1604" s="23" t="n"/>
      <c r="F1604" s="15" t="n"/>
      <c r="G1604" s="23" t="n"/>
      <c r="H1604" s="25" t="n"/>
      <c r="I1604" s="15" t="n"/>
      <c r="J1604" s="26">
        <f>IF($A1604="","",LEN($C1604)-LEN(SUBSTITUTE($C1604,",",""))+1)</f>
        <v/>
      </c>
      <c r="K1604" s="26">
        <f>IF($A1604="","",SUMPRODUCT(--ISNUMBER(SEARCH('Category Dictionary'!$D$5:$D$135&amp;"",$C1604)),--('Category Dictionary'!$D$5:$D$135&lt;&gt;"")))</f>
        <v/>
      </c>
      <c r="L1604" s="27">
        <f>IF($A1604="","",TRIM(IF(ISERROR(FIND(",",$C1604)),$C1604,LEFT($C1604,FIND(",",$C1604)-1))))</f>
        <v/>
      </c>
      <c r="M1604" s="28">
        <f>IF($H1604="","",DATE(YEAR($H1604),MONTH($H1604),1))</f>
        <v/>
      </c>
      <c r="N1604" s="26">
        <f>IF($H1604="","",TODAY()-$H1604)</f>
        <v/>
      </c>
      <c r="O1604" s="15" t="n"/>
      <c r="P1604" s="26">
        <f>IF($A1604="","",COUNTIFS('Audit Versions'!$A$6:$A$605,$A1604,'Audit Versions'!$L$6:$L$605,"Active"))</f>
        <v/>
      </c>
      <c r="Q1604" s="15" t="n"/>
      <c r="R1604" s="26">
        <f>IF(OR($A1604="",$P1604=0),"",MOD(N($Q1604),$P1604)+1)</f>
        <v/>
      </c>
      <c r="S1604" s="15" t="n"/>
      <c r="T1604" s="25" t="n"/>
      <c r="U1604" s="26">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Builder'!$B$12="",N($S1604)&lt;='Assignment Builder'!$B$12)))</f>
        <v/>
      </c>
      <c r="V1604" s="23" t="n"/>
    </row>
    <row r="1605">
      <c r="A1605" s="23" t="n"/>
      <c r="B1605" s="23" t="n"/>
      <c r="C1605" s="24" t="n"/>
      <c r="D1605" s="15" t="n"/>
      <c r="E1605" s="23" t="n"/>
      <c r="F1605" s="15" t="n"/>
      <c r="G1605" s="23" t="n"/>
      <c r="H1605" s="25" t="n"/>
      <c r="I1605" s="15" t="n"/>
      <c r="J1605" s="26">
        <f>IF($A1605="","",LEN($C1605)-LEN(SUBSTITUTE($C1605,",",""))+1)</f>
        <v/>
      </c>
      <c r="K1605" s="26">
        <f>IF($A1605="","",SUMPRODUCT(--ISNUMBER(SEARCH('Category Dictionary'!$D$5:$D$135&amp;"",$C1605)),--('Category Dictionary'!$D$5:$D$135&lt;&gt;"")))</f>
        <v/>
      </c>
      <c r="L1605" s="27">
        <f>IF($A1605="","",TRIM(IF(ISERROR(FIND(",",$C1605)),$C1605,LEFT($C1605,FIND(",",$C1605)-1))))</f>
        <v/>
      </c>
      <c r="M1605" s="28">
        <f>IF($H1605="","",DATE(YEAR($H1605),MONTH($H1605),1))</f>
        <v/>
      </c>
      <c r="N1605" s="26">
        <f>IF($H1605="","",TODAY()-$H1605)</f>
        <v/>
      </c>
      <c r="O1605" s="15" t="n"/>
      <c r="P1605" s="26">
        <f>IF($A1605="","",COUNTIFS('Audit Versions'!$A$6:$A$605,$A1605,'Audit Versions'!$L$6:$L$605,"Active"))</f>
        <v/>
      </c>
      <c r="Q1605" s="15" t="n"/>
      <c r="R1605" s="26">
        <f>IF(OR($A1605="",$P1605=0),"",MOD(N($Q1605),$P1605)+1)</f>
        <v/>
      </c>
      <c r="S1605" s="15" t="n"/>
      <c r="T1605" s="25" t="n"/>
      <c r="U1605" s="26">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Builder'!$B$12="",N($S1605)&lt;='Assignment Builder'!$B$12)))</f>
        <v/>
      </c>
      <c r="V1605" s="23" t="n"/>
    </row>
    <row r="1606">
      <c r="A1606" s="23" t="n"/>
      <c r="B1606" s="23" t="n"/>
      <c r="C1606" s="24" t="n"/>
      <c r="D1606" s="15" t="n"/>
      <c r="E1606" s="23" t="n"/>
      <c r="F1606" s="15" t="n"/>
      <c r="G1606" s="23" t="n"/>
      <c r="H1606" s="25" t="n"/>
      <c r="I1606" s="15" t="n"/>
      <c r="J1606" s="26">
        <f>IF($A1606="","",LEN($C1606)-LEN(SUBSTITUTE($C1606,",",""))+1)</f>
        <v/>
      </c>
      <c r="K1606" s="26">
        <f>IF($A1606="","",SUMPRODUCT(--ISNUMBER(SEARCH('Category Dictionary'!$D$5:$D$135&amp;"",$C1606)),--('Category Dictionary'!$D$5:$D$135&lt;&gt;"")))</f>
        <v/>
      </c>
      <c r="L1606" s="27">
        <f>IF($A1606="","",TRIM(IF(ISERROR(FIND(",",$C1606)),$C1606,LEFT($C1606,FIND(",",$C1606)-1))))</f>
        <v/>
      </c>
      <c r="M1606" s="28">
        <f>IF($H1606="","",DATE(YEAR($H1606),MONTH($H1606),1))</f>
        <v/>
      </c>
      <c r="N1606" s="26">
        <f>IF($H1606="","",TODAY()-$H1606)</f>
        <v/>
      </c>
      <c r="O1606" s="15" t="n"/>
      <c r="P1606" s="26">
        <f>IF($A1606="","",COUNTIFS('Audit Versions'!$A$6:$A$605,$A1606,'Audit Versions'!$L$6:$L$605,"Active"))</f>
        <v/>
      </c>
      <c r="Q1606" s="15" t="n"/>
      <c r="R1606" s="26">
        <f>IF(OR($A1606="",$P1606=0),"",MOD(N($Q1606),$P1606)+1)</f>
        <v/>
      </c>
      <c r="S1606" s="15" t="n"/>
      <c r="T1606" s="25" t="n"/>
      <c r="U1606" s="26">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Builder'!$B$12="",N($S1606)&lt;='Assignment Builder'!$B$12)))</f>
        <v/>
      </c>
      <c r="V1606" s="23" t="n"/>
    </row>
    <row r="1607">
      <c r="A1607" s="23" t="n"/>
      <c r="B1607" s="23" t="n"/>
      <c r="C1607" s="24" t="n"/>
      <c r="D1607" s="15" t="n"/>
      <c r="E1607" s="23" t="n"/>
      <c r="F1607" s="15" t="n"/>
      <c r="G1607" s="23" t="n"/>
      <c r="H1607" s="25" t="n"/>
      <c r="I1607" s="15" t="n"/>
      <c r="J1607" s="26">
        <f>IF($A1607="","",LEN($C1607)-LEN(SUBSTITUTE($C1607,",",""))+1)</f>
        <v/>
      </c>
      <c r="K1607" s="26">
        <f>IF($A1607="","",SUMPRODUCT(--ISNUMBER(SEARCH('Category Dictionary'!$D$5:$D$135&amp;"",$C1607)),--('Category Dictionary'!$D$5:$D$135&lt;&gt;"")))</f>
        <v/>
      </c>
      <c r="L1607" s="27">
        <f>IF($A1607="","",TRIM(IF(ISERROR(FIND(",",$C1607)),$C1607,LEFT($C1607,FIND(",",$C1607)-1))))</f>
        <v/>
      </c>
      <c r="M1607" s="28">
        <f>IF($H1607="","",DATE(YEAR($H1607),MONTH($H1607),1))</f>
        <v/>
      </c>
      <c r="N1607" s="26">
        <f>IF($H1607="","",TODAY()-$H1607)</f>
        <v/>
      </c>
      <c r="O1607" s="15" t="n"/>
      <c r="P1607" s="26">
        <f>IF($A1607="","",COUNTIFS('Audit Versions'!$A$6:$A$605,$A1607,'Audit Versions'!$L$6:$L$605,"Active"))</f>
        <v/>
      </c>
      <c r="Q1607" s="15" t="n"/>
      <c r="R1607" s="26">
        <f>IF(OR($A1607="",$P1607=0),"",MOD(N($Q1607),$P1607)+1)</f>
        <v/>
      </c>
      <c r="S1607" s="15" t="n"/>
      <c r="T1607" s="25" t="n"/>
      <c r="U1607" s="26">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Builder'!$B$12="",N($S1607)&lt;='Assignment Builder'!$B$12)))</f>
        <v/>
      </c>
      <c r="V1607" s="23" t="n"/>
    </row>
    <row r="1608">
      <c r="A1608" s="23" t="n"/>
      <c r="B1608" s="23" t="n"/>
      <c r="C1608" s="24" t="n"/>
      <c r="D1608" s="15" t="n"/>
      <c r="E1608" s="23" t="n"/>
      <c r="F1608" s="15" t="n"/>
      <c r="G1608" s="23" t="n"/>
      <c r="H1608" s="25" t="n"/>
      <c r="I1608" s="15" t="n"/>
      <c r="J1608" s="26">
        <f>IF($A1608="","",LEN($C1608)-LEN(SUBSTITUTE($C1608,",",""))+1)</f>
        <v/>
      </c>
      <c r="K1608" s="26">
        <f>IF($A1608="","",SUMPRODUCT(--ISNUMBER(SEARCH('Category Dictionary'!$D$5:$D$135&amp;"",$C1608)),--('Category Dictionary'!$D$5:$D$135&lt;&gt;"")))</f>
        <v/>
      </c>
      <c r="L1608" s="27">
        <f>IF($A1608="","",TRIM(IF(ISERROR(FIND(",",$C1608)),$C1608,LEFT($C1608,FIND(",",$C1608)-1))))</f>
        <v/>
      </c>
      <c r="M1608" s="28">
        <f>IF($H1608="","",DATE(YEAR($H1608),MONTH($H1608),1))</f>
        <v/>
      </c>
      <c r="N1608" s="26">
        <f>IF($H1608="","",TODAY()-$H1608)</f>
        <v/>
      </c>
      <c r="O1608" s="15" t="n"/>
      <c r="P1608" s="26">
        <f>IF($A1608="","",COUNTIFS('Audit Versions'!$A$6:$A$605,$A1608,'Audit Versions'!$L$6:$L$605,"Active"))</f>
        <v/>
      </c>
      <c r="Q1608" s="15" t="n"/>
      <c r="R1608" s="26">
        <f>IF(OR($A1608="",$P1608=0),"",MOD(N($Q1608),$P1608)+1)</f>
        <v/>
      </c>
      <c r="S1608" s="15" t="n"/>
      <c r="T1608" s="25" t="n"/>
      <c r="U1608" s="26">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Builder'!$B$12="",N($S1608)&lt;='Assignment Builder'!$B$12)))</f>
        <v/>
      </c>
      <c r="V1608" s="23" t="n"/>
    </row>
    <row r="1609">
      <c r="A1609" s="23" t="n"/>
      <c r="B1609" s="23" t="n"/>
      <c r="C1609" s="24" t="n"/>
      <c r="D1609" s="15" t="n"/>
      <c r="E1609" s="23" t="n"/>
      <c r="F1609" s="15" t="n"/>
      <c r="G1609" s="23" t="n"/>
      <c r="H1609" s="25" t="n"/>
      <c r="I1609" s="15" t="n"/>
      <c r="J1609" s="26">
        <f>IF($A1609="","",LEN($C1609)-LEN(SUBSTITUTE($C1609,",",""))+1)</f>
        <v/>
      </c>
      <c r="K1609" s="26">
        <f>IF($A1609="","",SUMPRODUCT(--ISNUMBER(SEARCH('Category Dictionary'!$D$5:$D$135&amp;"",$C1609)),--('Category Dictionary'!$D$5:$D$135&lt;&gt;"")))</f>
        <v/>
      </c>
      <c r="L1609" s="27">
        <f>IF($A1609="","",TRIM(IF(ISERROR(FIND(",",$C1609)),$C1609,LEFT($C1609,FIND(",",$C1609)-1))))</f>
        <v/>
      </c>
      <c r="M1609" s="28">
        <f>IF($H1609="","",DATE(YEAR($H1609),MONTH($H1609),1))</f>
        <v/>
      </c>
      <c r="N1609" s="26">
        <f>IF($H1609="","",TODAY()-$H1609)</f>
        <v/>
      </c>
      <c r="O1609" s="15" t="n"/>
      <c r="P1609" s="26">
        <f>IF($A1609="","",COUNTIFS('Audit Versions'!$A$6:$A$605,$A1609,'Audit Versions'!$L$6:$L$605,"Active"))</f>
        <v/>
      </c>
      <c r="Q1609" s="15" t="n"/>
      <c r="R1609" s="26">
        <f>IF(OR($A1609="",$P1609=0),"",MOD(N($Q1609),$P1609)+1)</f>
        <v/>
      </c>
      <c r="S1609" s="15" t="n"/>
      <c r="T1609" s="25" t="n"/>
      <c r="U1609" s="26">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Builder'!$B$12="",N($S1609)&lt;='Assignment Builder'!$B$12)))</f>
        <v/>
      </c>
      <c r="V1609" s="23" t="n"/>
    </row>
    <row r="1610">
      <c r="A1610" s="23" t="n"/>
      <c r="B1610" s="23" t="n"/>
      <c r="C1610" s="24" t="n"/>
      <c r="D1610" s="15" t="n"/>
      <c r="E1610" s="23" t="n"/>
      <c r="F1610" s="15" t="n"/>
      <c r="G1610" s="23" t="n"/>
      <c r="H1610" s="25" t="n"/>
      <c r="I1610" s="15" t="n"/>
      <c r="J1610" s="26">
        <f>IF($A1610="","",LEN($C1610)-LEN(SUBSTITUTE($C1610,",",""))+1)</f>
        <v/>
      </c>
      <c r="K1610" s="26">
        <f>IF($A1610="","",SUMPRODUCT(--ISNUMBER(SEARCH('Category Dictionary'!$D$5:$D$135&amp;"",$C1610)),--('Category Dictionary'!$D$5:$D$135&lt;&gt;"")))</f>
        <v/>
      </c>
      <c r="L1610" s="27">
        <f>IF($A1610="","",TRIM(IF(ISERROR(FIND(",",$C1610)),$C1610,LEFT($C1610,FIND(",",$C1610)-1))))</f>
        <v/>
      </c>
      <c r="M1610" s="28">
        <f>IF($H1610="","",DATE(YEAR($H1610),MONTH($H1610),1))</f>
        <v/>
      </c>
      <c r="N1610" s="26">
        <f>IF($H1610="","",TODAY()-$H1610)</f>
        <v/>
      </c>
      <c r="O1610" s="15" t="n"/>
      <c r="P1610" s="26">
        <f>IF($A1610="","",COUNTIFS('Audit Versions'!$A$6:$A$605,$A1610,'Audit Versions'!$L$6:$L$605,"Active"))</f>
        <v/>
      </c>
      <c r="Q1610" s="15" t="n"/>
      <c r="R1610" s="26">
        <f>IF(OR($A1610="",$P1610=0),"",MOD(N($Q1610),$P1610)+1)</f>
        <v/>
      </c>
      <c r="S1610" s="15" t="n"/>
      <c r="T1610" s="25" t="n"/>
      <c r="U1610" s="26">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Builder'!$B$12="",N($S1610)&lt;='Assignment Builder'!$B$12)))</f>
        <v/>
      </c>
      <c r="V1610" s="23" t="n"/>
    </row>
    <row r="1611">
      <c r="A1611" s="23" t="n"/>
      <c r="B1611" s="23" t="n"/>
      <c r="C1611" s="24" t="n"/>
      <c r="D1611" s="15" t="n"/>
      <c r="E1611" s="23" t="n"/>
      <c r="F1611" s="15" t="n"/>
      <c r="G1611" s="23" t="n"/>
      <c r="H1611" s="25" t="n"/>
      <c r="I1611" s="15" t="n"/>
      <c r="J1611" s="26">
        <f>IF($A1611="","",LEN($C1611)-LEN(SUBSTITUTE($C1611,",",""))+1)</f>
        <v/>
      </c>
      <c r="K1611" s="26">
        <f>IF($A1611="","",SUMPRODUCT(--ISNUMBER(SEARCH('Category Dictionary'!$D$5:$D$135&amp;"",$C1611)),--('Category Dictionary'!$D$5:$D$135&lt;&gt;"")))</f>
        <v/>
      </c>
      <c r="L1611" s="27">
        <f>IF($A1611="","",TRIM(IF(ISERROR(FIND(",",$C1611)),$C1611,LEFT($C1611,FIND(",",$C1611)-1))))</f>
        <v/>
      </c>
      <c r="M1611" s="28">
        <f>IF($H1611="","",DATE(YEAR($H1611),MONTH($H1611),1))</f>
        <v/>
      </c>
      <c r="N1611" s="26">
        <f>IF($H1611="","",TODAY()-$H1611)</f>
        <v/>
      </c>
      <c r="O1611" s="15" t="n"/>
      <c r="P1611" s="26">
        <f>IF($A1611="","",COUNTIFS('Audit Versions'!$A$6:$A$605,$A1611,'Audit Versions'!$L$6:$L$605,"Active"))</f>
        <v/>
      </c>
      <c r="Q1611" s="15" t="n"/>
      <c r="R1611" s="26">
        <f>IF(OR($A1611="",$P1611=0),"",MOD(N($Q1611),$P1611)+1)</f>
        <v/>
      </c>
      <c r="S1611" s="15" t="n"/>
      <c r="T1611" s="25" t="n"/>
      <c r="U1611" s="26">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Builder'!$B$12="",N($S1611)&lt;='Assignment Builder'!$B$12)))</f>
        <v/>
      </c>
      <c r="V1611" s="23" t="n"/>
    </row>
    <row r="1612">
      <c r="A1612" s="23" t="n"/>
      <c r="B1612" s="23" t="n"/>
      <c r="C1612" s="24" t="n"/>
      <c r="D1612" s="15" t="n"/>
      <c r="E1612" s="23" t="n"/>
      <c r="F1612" s="15" t="n"/>
      <c r="G1612" s="23" t="n"/>
      <c r="H1612" s="25" t="n"/>
      <c r="I1612" s="15" t="n"/>
      <c r="J1612" s="26">
        <f>IF($A1612="","",LEN($C1612)-LEN(SUBSTITUTE($C1612,",",""))+1)</f>
        <v/>
      </c>
      <c r="K1612" s="26">
        <f>IF($A1612="","",SUMPRODUCT(--ISNUMBER(SEARCH('Category Dictionary'!$D$5:$D$135&amp;"",$C1612)),--('Category Dictionary'!$D$5:$D$135&lt;&gt;"")))</f>
        <v/>
      </c>
      <c r="L1612" s="27">
        <f>IF($A1612="","",TRIM(IF(ISERROR(FIND(",",$C1612)),$C1612,LEFT($C1612,FIND(",",$C1612)-1))))</f>
        <v/>
      </c>
      <c r="M1612" s="28">
        <f>IF($H1612="","",DATE(YEAR($H1612),MONTH($H1612),1))</f>
        <v/>
      </c>
      <c r="N1612" s="26">
        <f>IF($H1612="","",TODAY()-$H1612)</f>
        <v/>
      </c>
      <c r="O1612" s="15" t="n"/>
      <c r="P1612" s="26">
        <f>IF($A1612="","",COUNTIFS('Audit Versions'!$A$6:$A$605,$A1612,'Audit Versions'!$L$6:$L$605,"Active"))</f>
        <v/>
      </c>
      <c r="Q1612" s="15" t="n"/>
      <c r="R1612" s="26">
        <f>IF(OR($A1612="",$P1612=0),"",MOD(N($Q1612),$P1612)+1)</f>
        <v/>
      </c>
      <c r="S1612" s="15" t="n"/>
      <c r="T1612" s="25" t="n"/>
      <c r="U1612" s="26">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Builder'!$B$12="",N($S1612)&lt;='Assignment Builder'!$B$12)))</f>
        <v/>
      </c>
      <c r="V1612" s="23" t="n"/>
    </row>
    <row r="1613">
      <c r="A1613" s="23" t="n"/>
      <c r="B1613" s="23" t="n"/>
      <c r="C1613" s="24" t="n"/>
      <c r="D1613" s="15" t="n"/>
      <c r="E1613" s="23" t="n"/>
      <c r="F1613" s="15" t="n"/>
      <c r="G1613" s="23" t="n"/>
      <c r="H1613" s="25" t="n"/>
      <c r="I1613" s="15" t="n"/>
      <c r="J1613" s="26">
        <f>IF($A1613="","",LEN($C1613)-LEN(SUBSTITUTE($C1613,",",""))+1)</f>
        <v/>
      </c>
      <c r="K1613" s="26">
        <f>IF($A1613="","",SUMPRODUCT(--ISNUMBER(SEARCH('Category Dictionary'!$D$5:$D$135&amp;"",$C1613)),--('Category Dictionary'!$D$5:$D$135&lt;&gt;"")))</f>
        <v/>
      </c>
      <c r="L1613" s="27">
        <f>IF($A1613="","",TRIM(IF(ISERROR(FIND(",",$C1613)),$C1613,LEFT($C1613,FIND(",",$C1613)-1))))</f>
        <v/>
      </c>
      <c r="M1613" s="28">
        <f>IF($H1613="","",DATE(YEAR($H1613),MONTH($H1613),1))</f>
        <v/>
      </c>
      <c r="N1613" s="26">
        <f>IF($H1613="","",TODAY()-$H1613)</f>
        <v/>
      </c>
      <c r="O1613" s="15" t="n"/>
      <c r="P1613" s="26">
        <f>IF($A1613="","",COUNTIFS('Audit Versions'!$A$6:$A$605,$A1613,'Audit Versions'!$L$6:$L$605,"Active"))</f>
        <v/>
      </c>
      <c r="Q1613" s="15" t="n"/>
      <c r="R1613" s="26">
        <f>IF(OR($A1613="",$P1613=0),"",MOD(N($Q1613),$P1613)+1)</f>
        <v/>
      </c>
      <c r="S1613" s="15" t="n"/>
      <c r="T1613" s="25" t="n"/>
      <c r="U1613" s="26">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Builder'!$B$12="",N($S1613)&lt;='Assignment Builder'!$B$12)))</f>
        <v/>
      </c>
      <c r="V1613" s="23" t="n"/>
    </row>
    <row r="1614">
      <c r="A1614" s="23" t="n"/>
      <c r="B1614" s="23" t="n"/>
      <c r="C1614" s="24" t="n"/>
      <c r="D1614" s="15" t="n"/>
      <c r="E1614" s="23" t="n"/>
      <c r="F1614" s="15" t="n"/>
      <c r="G1614" s="23" t="n"/>
      <c r="H1614" s="25" t="n"/>
      <c r="I1614" s="15" t="n"/>
      <c r="J1614" s="26">
        <f>IF($A1614="","",LEN($C1614)-LEN(SUBSTITUTE($C1614,",",""))+1)</f>
        <v/>
      </c>
      <c r="K1614" s="26">
        <f>IF($A1614="","",SUMPRODUCT(--ISNUMBER(SEARCH('Category Dictionary'!$D$5:$D$135&amp;"",$C1614)),--('Category Dictionary'!$D$5:$D$135&lt;&gt;"")))</f>
        <v/>
      </c>
      <c r="L1614" s="27">
        <f>IF($A1614="","",TRIM(IF(ISERROR(FIND(",",$C1614)),$C1614,LEFT($C1614,FIND(",",$C1614)-1))))</f>
        <v/>
      </c>
      <c r="M1614" s="28">
        <f>IF($H1614="","",DATE(YEAR($H1614),MONTH($H1614),1))</f>
        <v/>
      </c>
      <c r="N1614" s="26">
        <f>IF($H1614="","",TODAY()-$H1614)</f>
        <v/>
      </c>
      <c r="O1614" s="15" t="n"/>
      <c r="P1614" s="26">
        <f>IF($A1614="","",COUNTIFS('Audit Versions'!$A$6:$A$605,$A1614,'Audit Versions'!$L$6:$L$605,"Active"))</f>
        <v/>
      </c>
      <c r="Q1614" s="15" t="n"/>
      <c r="R1614" s="26">
        <f>IF(OR($A1614="",$P1614=0),"",MOD(N($Q1614),$P1614)+1)</f>
        <v/>
      </c>
      <c r="S1614" s="15" t="n"/>
      <c r="T1614" s="25" t="n"/>
      <c r="U1614" s="26">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Builder'!$B$12="",N($S1614)&lt;='Assignment Builder'!$B$12)))</f>
        <v/>
      </c>
      <c r="V1614" s="23" t="n"/>
    </row>
    <row r="1615">
      <c r="A1615" s="23" t="n"/>
      <c r="B1615" s="23" t="n"/>
      <c r="C1615" s="24" t="n"/>
      <c r="D1615" s="15" t="n"/>
      <c r="E1615" s="23" t="n"/>
      <c r="F1615" s="15" t="n"/>
      <c r="G1615" s="23" t="n"/>
      <c r="H1615" s="25" t="n"/>
      <c r="I1615" s="15" t="n"/>
      <c r="J1615" s="26">
        <f>IF($A1615="","",LEN($C1615)-LEN(SUBSTITUTE($C1615,",",""))+1)</f>
        <v/>
      </c>
      <c r="K1615" s="26">
        <f>IF($A1615="","",SUMPRODUCT(--ISNUMBER(SEARCH('Category Dictionary'!$D$5:$D$135&amp;"",$C1615)),--('Category Dictionary'!$D$5:$D$135&lt;&gt;"")))</f>
        <v/>
      </c>
      <c r="L1615" s="27">
        <f>IF($A1615="","",TRIM(IF(ISERROR(FIND(",",$C1615)),$C1615,LEFT($C1615,FIND(",",$C1615)-1))))</f>
        <v/>
      </c>
      <c r="M1615" s="28">
        <f>IF($H1615="","",DATE(YEAR($H1615),MONTH($H1615),1))</f>
        <v/>
      </c>
      <c r="N1615" s="26">
        <f>IF($H1615="","",TODAY()-$H1615)</f>
        <v/>
      </c>
      <c r="O1615" s="15" t="n"/>
      <c r="P1615" s="26">
        <f>IF($A1615="","",COUNTIFS('Audit Versions'!$A$6:$A$605,$A1615,'Audit Versions'!$L$6:$L$605,"Active"))</f>
        <v/>
      </c>
      <c r="Q1615" s="15" t="n"/>
      <c r="R1615" s="26">
        <f>IF(OR($A1615="",$P1615=0),"",MOD(N($Q1615),$P1615)+1)</f>
        <v/>
      </c>
      <c r="S1615" s="15" t="n"/>
      <c r="T1615" s="25" t="n"/>
      <c r="U1615" s="26">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Builder'!$B$12="",N($S1615)&lt;='Assignment Builder'!$B$12)))</f>
        <v/>
      </c>
      <c r="V1615" s="23" t="n"/>
    </row>
    <row r="1616">
      <c r="A1616" s="23" t="n"/>
      <c r="B1616" s="23" t="n"/>
      <c r="C1616" s="24" t="n"/>
      <c r="D1616" s="15" t="n"/>
      <c r="E1616" s="23" t="n"/>
      <c r="F1616" s="15" t="n"/>
      <c r="G1616" s="23" t="n"/>
      <c r="H1616" s="25" t="n"/>
      <c r="I1616" s="15" t="n"/>
      <c r="J1616" s="26">
        <f>IF($A1616="","",LEN($C1616)-LEN(SUBSTITUTE($C1616,",",""))+1)</f>
        <v/>
      </c>
      <c r="K1616" s="26">
        <f>IF($A1616="","",SUMPRODUCT(--ISNUMBER(SEARCH('Category Dictionary'!$D$5:$D$135&amp;"",$C1616)),--('Category Dictionary'!$D$5:$D$135&lt;&gt;"")))</f>
        <v/>
      </c>
      <c r="L1616" s="27">
        <f>IF($A1616="","",TRIM(IF(ISERROR(FIND(",",$C1616)),$C1616,LEFT($C1616,FIND(",",$C1616)-1))))</f>
        <v/>
      </c>
      <c r="M1616" s="28">
        <f>IF($H1616="","",DATE(YEAR($H1616),MONTH($H1616),1))</f>
        <v/>
      </c>
      <c r="N1616" s="26">
        <f>IF($H1616="","",TODAY()-$H1616)</f>
        <v/>
      </c>
      <c r="O1616" s="15" t="n"/>
      <c r="P1616" s="26">
        <f>IF($A1616="","",COUNTIFS('Audit Versions'!$A$6:$A$605,$A1616,'Audit Versions'!$L$6:$L$605,"Active"))</f>
        <v/>
      </c>
      <c r="Q1616" s="15" t="n"/>
      <c r="R1616" s="26">
        <f>IF(OR($A1616="",$P1616=0),"",MOD(N($Q1616),$P1616)+1)</f>
        <v/>
      </c>
      <c r="S1616" s="15" t="n"/>
      <c r="T1616" s="25" t="n"/>
      <c r="U1616" s="26">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Builder'!$B$12="",N($S1616)&lt;='Assignment Builder'!$B$12)))</f>
        <v/>
      </c>
      <c r="V1616" s="23" t="n"/>
    </row>
    <row r="1617">
      <c r="A1617" s="23" t="n"/>
      <c r="B1617" s="23" t="n"/>
      <c r="C1617" s="24" t="n"/>
      <c r="D1617" s="15" t="n"/>
      <c r="E1617" s="23" t="n"/>
      <c r="F1617" s="15" t="n"/>
      <c r="G1617" s="23" t="n"/>
      <c r="H1617" s="25" t="n"/>
      <c r="I1617" s="15" t="n"/>
      <c r="J1617" s="26">
        <f>IF($A1617="","",LEN($C1617)-LEN(SUBSTITUTE($C1617,",",""))+1)</f>
        <v/>
      </c>
      <c r="K1617" s="26">
        <f>IF($A1617="","",SUMPRODUCT(--ISNUMBER(SEARCH('Category Dictionary'!$D$5:$D$135&amp;"",$C1617)),--('Category Dictionary'!$D$5:$D$135&lt;&gt;"")))</f>
        <v/>
      </c>
      <c r="L1617" s="27">
        <f>IF($A1617="","",TRIM(IF(ISERROR(FIND(",",$C1617)),$C1617,LEFT($C1617,FIND(",",$C1617)-1))))</f>
        <v/>
      </c>
      <c r="M1617" s="28">
        <f>IF($H1617="","",DATE(YEAR($H1617),MONTH($H1617),1))</f>
        <v/>
      </c>
      <c r="N1617" s="26">
        <f>IF($H1617="","",TODAY()-$H1617)</f>
        <v/>
      </c>
      <c r="O1617" s="15" t="n"/>
      <c r="P1617" s="26">
        <f>IF($A1617="","",COUNTIFS('Audit Versions'!$A$6:$A$605,$A1617,'Audit Versions'!$L$6:$L$605,"Active"))</f>
        <v/>
      </c>
      <c r="Q1617" s="15" t="n"/>
      <c r="R1617" s="26">
        <f>IF(OR($A1617="",$P1617=0),"",MOD(N($Q1617),$P1617)+1)</f>
        <v/>
      </c>
      <c r="S1617" s="15" t="n"/>
      <c r="T1617" s="25" t="n"/>
      <c r="U1617" s="26">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Builder'!$B$12="",N($S1617)&lt;='Assignment Builder'!$B$12)))</f>
        <v/>
      </c>
      <c r="V1617" s="23" t="n"/>
    </row>
    <row r="1618">
      <c r="A1618" s="23" t="n"/>
      <c r="B1618" s="23" t="n"/>
      <c r="C1618" s="24" t="n"/>
      <c r="D1618" s="15" t="n"/>
      <c r="E1618" s="23" t="n"/>
      <c r="F1618" s="15" t="n"/>
      <c r="G1618" s="23" t="n"/>
      <c r="H1618" s="25" t="n"/>
      <c r="I1618" s="15" t="n"/>
      <c r="J1618" s="26">
        <f>IF($A1618="","",LEN($C1618)-LEN(SUBSTITUTE($C1618,",",""))+1)</f>
        <v/>
      </c>
      <c r="K1618" s="26">
        <f>IF($A1618="","",SUMPRODUCT(--ISNUMBER(SEARCH('Category Dictionary'!$D$5:$D$135&amp;"",$C1618)),--('Category Dictionary'!$D$5:$D$135&lt;&gt;"")))</f>
        <v/>
      </c>
      <c r="L1618" s="27">
        <f>IF($A1618="","",TRIM(IF(ISERROR(FIND(",",$C1618)),$C1618,LEFT($C1618,FIND(",",$C1618)-1))))</f>
        <v/>
      </c>
      <c r="M1618" s="28">
        <f>IF($H1618="","",DATE(YEAR($H1618),MONTH($H1618),1))</f>
        <v/>
      </c>
      <c r="N1618" s="26">
        <f>IF($H1618="","",TODAY()-$H1618)</f>
        <v/>
      </c>
      <c r="O1618" s="15" t="n"/>
      <c r="P1618" s="26">
        <f>IF($A1618="","",COUNTIFS('Audit Versions'!$A$6:$A$605,$A1618,'Audit Versions'!$L$6:$L$605,"Active"))</f>
        <v/>
      </c>
      <c r="Q1618" s="15" t="n"/>
      <c r="R1618" s="26">
        <f>IF(OR($A1618="",$P1618=0),"",MOD(N($Q1618),$P1618)+1)</f>
        <v/>
      </c>
      <c r="S1618" s="15" t="n"/>
      <c r="T1618" s="25" t="n"/>
      <c r="U1618" s="26">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Builder'!$B$12="",N($S1618)&lt;='Assignment Builder'!$B$12)))</f>
        <v/>
      </c>
      <c r="V1618" s="23" t="n"/>
    </row>
    <row r="1619">
      <c r="A1619" s="23" t="n"/>
      <c r="B1619" s="23" t="n"/>
      <c r="C1619" s="24" t="n"/>
      <c r="D1619" s="15" t="n"/>
      <c r="E1619" s="23" t="n"/>
      <c r="F1619" s="15" t="n"/>
      <c r="G1619" s="23" t="n"/>
      <c r="H1619" s="25" t="n"/>
      <c r="I1619" s="15" t="n"/>
      <c r="J1619" s="26">
        <f>IF($A1619="","",LEN($C1619)-LEN(SUBSTITUTE($C1619,",",""))+1)</f>
        <v/>
      </c>
      <c r="K1619" s="26">
        <f>IF($A1619="","",SUMPRODUCT(--ISNUMBER(SEARCH('Category Dictionary'!$D$5:$D$135&amp;"",$C1619)),--('Category Dictionary'!$D$5:$D$135&lt;&gt;"")))</f>
        <v/>
      </c>
      <c r="L1619" s="27">
        <f>IF($A1619="","",TRIM(IF(ISERROR(FIND(",",$C1619)),$C1619,LEFT($C1619,FIND(",",$C1619)-1))))</f>
        <v/>
      </c>
      <c r="M1619" s="28">
        <f>IF($H1619="","",DATE(YEAR($H1619),MONTH($H1619),1))</f>
        <v/>
      </c>
      <c r="N1619" s="26">
        <f>IF($H1619="","",TODAY()-$H1619)</f>
        <v/>
      </c>
      <c r="O1619" s="15" t="n"/>
      <c r="P1619" s="26">
        <f>IF($A1619="","",COUNTIFS('Audit Versions'!$A$6:$A$605,$A1619,'Audit Versions'!$L$6:$L$605,"Active"))</f>
        <v/>
      </c>
      <c r="Q1619" s="15" t="n"/>
      <c r="R1619" s="26">
        <f>IF(OR($A1619="",$P1619=0),"",MOD(N($Q1619),$P1619)+1)</f>
        <v/>
      </c>
      <c r="S1619" s="15" t="n"/>
      <c r="T1619" s="25" t="n"/>
      <c r="U1619" s="26">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Builder'!$B$12="",N($S1619)&lt;='Assignment Builder'!$B$12)))</f>
        <v/>
      </c>
      <c r="V1619" s="23" t="n"/>
    </row>
    <row r="1620">
      <c r="A1620" s="23" t="n"/>
      <c r="B1620" s="23" t="n"/>
      <c r="C1620" s="24" t="n"/>
      <c r="D1620" s="15" t="n"/>
      <c r="E1620" s="23" t="n"/>
      <c r="F1620" s="15" t="n"/>
      <c r="G1620" s="23" t="n"/>
      <c r="H1620" s="25" t="n"/>
      <c r="I1620" s="15" t="n"/>
      <c r="J1620" s="26">
        <f>IF($A1620="","",LEN($C1620)-LEN(SUBSTITUTE($C1620,",",""))+1)</f>
        <v/>
      </c>
      <c r="K1620" s="26">
        <f>IF($A1620="","",SUMPRODUCT(--ISNUMBER(SEARCH('Category Dictionary'!$D$5:$D$135&amp;"",$C1620)),--('Category Dictionary'!$D$5:$D$135&lt;&gt;"")))</f>
        <v/>
      </c>
      <c r="L1620" s="27">
        <f>IF($A1620="","",TRIM(IF(ISERROR(FIND(",",$C1620)),$C1620,LEFT($C1620,FIND(",",$C1620)-1))))</f>
        <v/>
      </c>
      <c r="M1620" s="28">
        <f>IF($H1620="","",DATE(YEAR($H1620),MONTH($H1620),1))</f>
        <v/>
      </c>
      <c r="N1620" s="26">
        <f>IF($H1620="","",TODAY()-$H1620)</f>
        <v/>
      </c>
      <c r="O1620" s="15" t="n"/>
      <c r="P1620" s="26">
        <f>IF($A1620="","",COUNTIFS('Audit Versions'!$A$6:$A$605,$A1620,'Audit Versions'!$L$6:$L$605,"Active"))</f>
        <v/>
      </c>
      <c r="Q1620" s="15" t="n"/>
      <c r="R1620" s="26">
        <f>IF(OR($A1620="",$P1620=0),"",MOD(N($Q1620),$P1620)+1)</f>
        <v/>
      </c>
      <c r="S1620" s="15" t="n"/>
      <c r="T1620" s="25" t="n"/>
      <c r="U1620" s="26">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Builder'!$B$12="",N($S1620)&lt;='Assignment Builder'!$B$12)))</f>
        <v/>
      </c>
      <c r="V1620" s="23" t="n"/>
    </row>
    <row r="1621">
      <c r="A1621" s="23" t="n"/>
      <c r="B1621" s="23" t="n"/>
      <c r="C1621" s="24" t="n"/>
      <c r="D1621" s="15" t="n"/>
      <c r="E1621" s="23" t="n"/>
      <c r="F1621" s="15" t="n"/>
      <c r="G1621" s="23" t="n"/>
      <c r="H1621" s="25" t="n"/>
      <c r="I1621" s="15" t="n"/>
      <c r="J1621" s="26">
        <f>IF($A1621="","",LEN($C1621)-LEN(SUBSTITUTE($C1621,",",""))+1)</f>
        <v/>
      </c>
      <c r="K1621" s="26">
        <f>IF($A1621="","",SUMPRODUCT(--ISNUMBER(SEARCH('Category Dictionary'!$D$5:$D$135&amp;"",$C1621)),--('Category Dictionary'!$D$5:$D$135&lt;&gt;"")))</f>
        <v/>
      </c>
      <c r="L1621" s="27">
        <f>IF($A1621="","",TRIM(IF(ISERROR(FIND(",",$C1621)),$C1621,LEFT($C1621,FIND(",",$C1621)-1))))</f>
        <v/>
      </c>
      <c r="M1621" s="28">
        <f>IF($H1621="","",DATE(YEAR($H1621),MONTH($H1621),1))</f>
        <v/>
      </c>
      <c r="N1621" s="26">
        <f>IF($H1621="","",TODAY()-$H1621)</f>
        <v/>
      </c>
      <c r="O1621" s="15" t="n"/>
      <c r="P1621" s="26">
        <f>IF($A1621="","",COUNTIFS('Audit Versions'!$A$6:$A$605,$A1621,'Audit Versions'!$L$6:$L$605,"Active"))</f>
        <v/>
      </c>
      <c r="Q1621" s="15" t="n"/>
      <c r="R1621" s="26">
        <f>IF(OR($A1621="",$P1621=0),"",MOD(N($Q1621),$P1621)+1)</f>
        <v/>
      </c>
      <c r="S1621" s="15" t="n"/>
      <c r="T1621" s="25" t="n"/>
      <c r="U1621" s="26">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Builder'!$B$12="",N($S1621)&lt;='Assignment Builder'!$B$12)))</f>
        <v/>
      </c>
      <c r="V1621" s="23" t="n"/>
    </row>
    <row r="1622">
      <c r="A1622" s="23" t="n"/>
      <c r="B1622" s="23" t="n"/>
      <c r="C1622" s="24" t="n"/>
      <c r="D1622" s="15" t="n"/>
      <c r="E1622" s="23" t="n"/>
      <c r="F1622" s="15" t="n"/>
      <c r="G1622" s="23" t="n"/>
      <c r="H1622" s="25" t="n"/>
      <c r="I1622" s="15" t="n"/>
      <c r="J1622" s="26">
        <f>IF($A1622="","",LEN($C1622)-LEN(SUBSTITUTE($C1622,",",""))+1)</f>
        <v/>
      </c>
      <c r="K1622" s="26">
        <f>IF($A1622="","",SUMPRODUCT(--ISNUMBER(SEARCH('Category Dictionary'!$D$5:$D$135&amp;"",$C1622)),--('Category Dictionary'!$D$5:$D$135&lt;&gt;"")))</f>
        <v/>
      </c>
      <c r="L1622" s="27">
        <f>IF($A1622="","",TRIM(IF(ISERROR(FIND(",",$C1622)),$C1622,LEFT($C1622,FIND(",",$C1622)-1))))</f>
        <v/>
      </c>
      <c r="M1622" s="28">
        <f>IF($H1622="","",DATE(YEAR($H1622),MONTH($H1622),1))</f>
        <v/>
      </c>
      <c r="N1622" s="26">
        <f>IF($H1622="","",TODAY()-$H1622)</f>
        <v/>
      </c>
      <c r="O1622" s="15" t="n"/>
      <c r="P1622" s="26">
        <f>IF($A1622="","",COUNTIFS('Audit Versions'!$A$6:$A$605,$A1622,'Audit Versions'!$L$6:$L$605,"Active"))</f>
        <v/>
      </c>
      <c r="Q1622" s="15" t="n"/>
      <c r="R1622" s="26">
        <f>IF(OR($A1622="",$P1622=0),"",MOD(N($Q1622),$P1622)+1)</f>
        <v/>
      </c>
      <c r="S1622" s="15" t="n"/>
      <c r="T1622" s="25" t="n"/>
      <c r="U1622" s="26">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Builder'!$B$12="",N($S1622)&lt;='Assignment Builder'!$B$12)))</f>
        <v/>
      </c>
      <c r="V1622" s="23" t="n"/>
    </row>
    <row r="1623">
      <c r="A1623" s="23" t="n"/>
      <c r="B1623" s="23" t="n"/>
      <c r="C1623" s="24" t="n"/>
      <c r="D1623" s="15" t="n"/>
      <c r="E1623" s="23" t="n"/>
      <c r="F1623" s="15" t="n"/>
      <c r="G1623" s="23" t="n"/>
      <c r="H1623" s="25" t="n"/>
      <c r="I1623" s="15" t="n"/>
      <c r="J1623" s="26">
        <f>IF($A1623="","",LEN($C1623)-LEN(SUBSTITUTE($C1623,",",""))+1)</f>
        <v/>
      </c>
      <c r="K1623" s="26">
        <f>IF($A1623="","",SUMPRODUCT(--ISNUMBER(SEARCH('Category Dictionary'!$D$5:$D$135&amp;"",$C1623)),--('Category Dictionary'!$D$5:$D$135&lt;&gt;"")))</f>
        <v/>
      </c>
      <c r="L1623" s="27">
        <f>IF($A1623="","",TRIM(IF(ISERROR(FIND(",",$C1623)),$C1623,LEFT($C1623,FIND(",",$C1623)-1))))</f>
        <v/>
      </c>
      <c r="M1623" s="28">
        <f>IF($H1623="","",DATE(YEAR($H1623),MONTH($H1623),1))</f>
        <v/>
      </c>
      <c r="N1623" s="26">
        <f>IF($H1623="","",TODAY()-$H1623)</f>
        <v/>
      </c>
      <c r="O1623" s="15" t="n"/>
      <c r="P1623" s="26">
        <f>IF($A1623="","",COUNTIFS('Audit Versions'!$A$6:$A$605,$A1623,'Audit Versions'!$L$6:$L$605,"Active"))</f>
        <v/>
      </c>
      <c r="Q1623" s="15" t="n"/>
      <c r="R1623" s="26">
        <f>IF(OR($A1623="",$P1623=0),"",MOD(N($Q1623),$P1623)+1)</f>
        <v/>
      </c>
      <c r="S1623" s="15" t="n"/>
      <c r="T1623" s="25" t="n"/>
      <c r="U1623" s="26">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Builder'!$B$12="",N($S1623)&lt;='Assignment Builder'!$B$12)))</f>
        <v/>
      </c>
      <c r="V1623" s="23" t="n"/>
    </row>
    <row r="1624">
      <c r="A1624" s="23" t="n"/>
      <c r="B1624" s="23" t="n"/>
      <c r="C1624" s="24" t="n"/>
      <c r="D1624" s="15" t="n"/>
      <c r="E1624" s="23" t="n"/>
      <c r="F1624" s="15" t="n"/>
      <c r="G1624" s="23" t="n"/>
      <c r="H1624" s="25" t="n"/>
      <c r="I1624" s="15" t="n"/>
      <c r="J1624" s="26">
        <f>IF($A1624="","",LEN($C1624)-LEN(SUBSTITUTE($C1624,",",""))+1)</f>
        <v/>
      </c>
      <c r="K1624" s="26">
        <f>IF($A1624="","",SUMPRODUCT(--ISNUMBER(SEARCH('Category Dictionary'!$D$5:$D$135&amp;"",$C1624)),--('Category Dictionary'!$D$5:$D$135&lt;&gt;"")))</f>
        <v/>
      </c>
      <c r="L1624" s="27">
        <f>IF($A1624="","",TRIM(IF(ISERROR(FIND(",",$C1624)),$C1624,LEFT($C1624,FIND(",",$C1624)-1))))</f>
        <v/>
      </c>
      <c r="M1624" s="28">
        <f>IF($H1624="","",DATE(YEAR($H1624),MONTH($H1624),1))</f>
        <v/>
      </c>
      <c r="N1624" s="26">
        <f>IF($H1624="","",TODAY()-$H1624)</f>
        <v/>
      </c>
      <c r="O1624" s="15" t="n"/>
      <c r="P1624" s="26">
        <f>IF($A1624="","",COUNTIFS('Audit Versions'!$A$6:$A$605,$A1624,'Audit Versions'!$L$6:$L$605,"Active"))</f>
        <v/>
      </c>
      <c r="Q1624" s="15" t="n"/>
      <c r="R1624" s="26">
        <f>IF(OR($A1624="",$P1624=0),"",MOD(N($Q1624),$P1624)+1)</f>
        <v/>
      </c>
      <c r="S1624" s="15" t="n"/>
      <c r="T1624" s="25" t="n"/>
      <c r="U1624" s="26">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Builder'!$B$12="",N($S1624)&lt;='Assignment Builder'!$B$12)))</f>
        <v/>
      </c>
      <c r="V1624" s="23" t="n"/>
    </row>
    <row r="1625">
      <c r="A1625" s="23" t="n"/>
      <c r="B1625" s="23" t="n"/>
      <c r="C1625" s="24" t="n"/>
      <c r="D1625" s="15" t="n"/>
      <c r="E1625" s="23" t="n"/>
      <c r="F1625" s="15" t="n"/>
      <c r="G1625" s="23" t="n"/>
      <c r="H1625" s="25" t="n"/>
      <c r="I1625" s="15" t="n"/>
      <c r="J1625" s="26">
        <f>IF($A1625="","",LEN($C1625)-LEN(SUBSTITUTE($C1625,",",""))+1)</f>
        <v/>
      </c>
      <c r="K1625" s="26">
        <f>IF($A1625="","",SUMPRODUCT(--ISNUMBER(SEARCH('Category Dictionary'!$D$5:$D$135&amp;"",$C1625)),--('Category Dictionary'!$D$5:$D$135&lt;&gt;"")))</f>
        <v/>
      </c>
      <c r="L1625" s="27">
        <f>IF($A1625="","",TRIM(IF(ISERROR(FIND(",",$C1625)),$C1625,LEFT($C1625,FIND(",",$C1625)-1))))</f>
        <v/>
      </c>
      <c r="M1625" s="28">
        <f>IF($H1625="","",DATE(YEAR($H1625),MONTH($H1625),1))</f>
        <v/>
      </c>
      <c r="N1625" s="26">
        <f>IF($H1625="","",TODAY()-$H1625)</f>
        <v/>
      </c>
      <c r="O1625" s="15" t="n"/>
      <c r="P1625" s="26">
        <f>IF($A1625="","",COUNTIFS('Audit Versions'!$A$6:$A$605,$A1625,'Audit Versions'!$L$6:$L$605,"Active"))</f>
        <v/>
      </c>
      <c r="Q1625" s="15" t="n"/>
      <c r="R1625" s="26">
        <f>IF(OR($A1625="",$P1625=0),"",MOD(N($Q1625),$P1625)+1)</f>
        <v/>
      </c>
      <c r="S1625" s="15" t="n"/>
      <c r="T1625" s="25" t="n"/>
      <c r="U1625" s="26">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Builder'!$B$12="",N($S1625)&lt;='Assignment Builder'!$B$12)))</f>
        <v/>
      </c>
      <c r="V1625" s="23" t="n"/>
    </row>
    <row r="1626">
      <c r="A1626" s="23" t="n"/>
      <c r="B1626" s="23" t="n"/>
      <c r="C1626" s="24" t="n"/>
      <c r="D1626" s="15" t="n"/>
      <c r="E1626" s="23" t="n"/>
      <c r="F1626" s="15" t="n"/>
      <c r="G1626" s="23" t="n"/>
      <c r="H1626" s="25" t="n"/>
      <c r="I1626" s="15" t="n"/>
      <c r="J1626" s="26">
        <f>IF($A1626="","",LEN($C1626)-LEN(SUBSTITUTE($C1626,",",""))+1)</f>
        <v/>
      </c>
      <c r="K1626" s="26">
        <f>IF($A1626="","",SUMPRODUCT(--ISNUMBER(SEARCH('Category Dictionary'!$D$5:$D$135&amp;"",$C1626)),--('Category Dictionary'!$D$5:$D$135&lt;&gt;"")))</f>
        <v/>
      </c>
      <c r="L1626" s="27">
        <f>IF($A1626="","",TRIM(IF(ISERROR(FIND(",",$C1626)),$C1626,LEFT($C1626,FIND(",",$C1626)-1))))</f>
        <v/>
      </c>
      <c r="M1626" s="28">
        <f>IF($H1626="","",DATE(YEAR($H1626),MONTH($H1626),1))</f>
        <v/>
      </c>
      <c r="N1626" s="26">
        <f>IF($H1626="","",TODAY()-$H1626)</f>
        <v/>
      </c>
      <c r="O1626" s="15" t="n"/>
      <c r="P1626" s="26">
        <f>IF($A1626="","",COUNTIFS('Audit Versions'!$A$6:$A$605,$A1626,'Audit Versions'!$L$6:$L$605,"Active"))</f>
        <v/>
      </c>
      <c r="Q1626" s="15" t="n"/>
      <c r="R1626" s="26">
        <f>IF(OR($A1626="",$P1626=0),"",MOD(N($Q1626),$P1626)+1)</f>
        <v/>
      </c>
      <c r="S1626" s="15" t="n"/>
      <c r="T1626" s="25" t="n"/>
      <c r="U1626" s="26">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Builder'!$B$12="",N($S1626)&lt;='Assignment Builder'!$B$12)))</f>
        <v/>
      </c>
      <c r="V1626" s="23" t="n"/>
    </row>
    <row r="1627">
      <c r="A1627" s="23" t="n"/>
      <c r="B1627" s="23" t="n"/>
      <c r="C1627" s="24" t="n"/>
      <c r="D1627" s="15" t="n"/>
      <c r="E1627" s="23" t="n"/>
      <c r="F1627" s="15" t="n"/>
      <c r="G1627" s="23" t="n"/>
      <c r="H1627" s="25" t="n"/>
      <c r="I1627" s="15" t="n"/>
      <c r="J1627" s="26">
        <f>IF($A1627="","",LEN($C1627)-LEN(SUBSTITUTE($C1627,",",""))+1)</f>
        <v/>
      </c>
      <c r="K1627" s="26">
        <f>IF($A1627="","",SUMPRODUCT(--ISNUMBER(SEARCH('Category Dictionary'!$D$5:$D$135&amp;"",$C1627)),--('Category Dictionary'!$D$5:$D$135&lt;&gt;"")))</f>
        <v/>
      </c>
      <c r="L1627" s="27">
        <f>IF($A1627="","",TRIM(IF(ISERROR(FIND(",",$C1627)),$C1627,LEFT($C1627,FIND(",",$C1627)-1))))</f>
        <v/>
      </c>
      <c r="M1627" s="28">
        <f>IF($H1627="","",DATE(YEAR($H1627),MONTH($H1627),1))</f>
        <v/>
      </c>
      <c r="N1627" s="26">
        <f>IF($H1627="","",TODAY()-$H1627)</f>
        <v/>
      </c>
      <c r="O1627" s="15" t="n"/>
      <c r="P1627" s="26">
        <f>IF($A1627="","",COUNTIFS('Audit Versions'!$A$6:$A$605,$A1627,'Audit Versions'!$L$6:$L$605,"Active"))</f>
        <v/>
      </c>
      <c r="Q1627" s="15" t="n"/>
      <c r="R1627" s="26">
        <f>IF(OR($A1627="",$P1627=0),"",MOD(N($Q1627),$P1627)+1)</f>
        <v/>
      </c>
      <c r="S1627" s="15" t="n"/>
      <c r="T1627" s="25" t="n"/>
      <c r="U1627" s="26">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Builder'!$B$12="",N($S1627)&lt;='Assignment Builder'!$B$12)))</f>
        <v/>
      </c>
      <c r="V1627" s="23" t="n"/>
    </row>
    <row r="1628">
      <c r="A1628" s="23" t="n"/>
      <c r="B1628" s="23" t="n"/>
      <c r="C1628" s="24" t="n"/>
      <c r="D1628" s="15" t="n"/>
      <c r="E1628" s="23" t="n"/>
      <c r="F1628" s="15" t="n"/>
      <c r="G1628" s="23" t="n"/>
      <c r="H1628" s="25" t="n"/>
      <c r="I1628" s="15" t="n"/>
      <c r="J1628" s="26">
        <f>IF($A1628="","",LEN($C1628)-LEN(SUBSTITUTE($C1628,",",""))+1)</f>
        <v/>
      </c>
      <c r="K1628" s="26">
        <f>IF($A1628="","",SUMPRODUCT(--ISNUMBER(SEARCH('Category Dictionary'!$D$5:$D$135&amp;"",$C1628)),--('Category Dictionary'!$D$5:$D$135&lt;&gt;"")))</f>
        <v/>
      </c>
      <c r="L1628" s="27">
        <f>IF($A1628="","",TRIM(IF(ISERROR(FIND(",",$C1628)),$C1628,LEFT($C1628,FIND(",",$C1628)-1))))</f>
        <v/>
      </c>
      <c r="M1628" s="28">
        <f>IF($H1628="","",DATE(YEAR($H1628),MONTH($H1628),1))</f>
        <v/>
      </c>
      <c r="N1628" s="26">
        <f>IF($H1628="","",TODAY()-$H1628)</f>
        <v/>
      </c>
      <c r="O1628" s="15" t="n"/>
      <c r="P1628" s="26">
        <f>IF($A1628="","",COUNTIFS('Audit Versions'!$A$6:$A$605,$A1628,'Audit Versions'!$L$6:$L$605,"Active"))</f>
        <v/>
      </c>
      <c r="Q1628" s="15" t="n"/>
      <c r="R1628" s="26">
        <f>IF(OR($A1628="",$P1628=0),"",MOD(N($Q1628),$P1628)+1)</f>
        <v/>
      </c>
      <c r="S1628" s="15" t="n"/>
      <c r="T1628" s="25" t="n"/>
      <c r="U1628" s="26">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Builder'!$B$12="",N($S1628)&lt;='Assignment Builder'!$B$12)))</f>
        <v/>
      </c>
      <c r="V1628" s="23" t="n"/>
    </row>
    <row r="1629">
      <c r="A1629" s="23" t="n"/>
      <c r="B1629" s="23" t="n"/>
      <c r="C1629" s="24" t="n"/>
      <c r="D1629" s="15" t="n"/>
      <c r="E1629" s="23" t="n"/>
      <c r="F1629" s="15" t="n"/>
      <c r="G1629" s="23" t="n"/>
      <c r="H1629" s="25" t="n"/>
      <c r="I1629" s="15" t="n"/>
      <c r="J1629" s="26">
        <f>IF($A1629="","",LEN($C1629)-LEN(SUBSTITUTE($C1629,",",""))+1)</f>
        <v/>
      </c>
      <c r="K1629" s="26">
        <f>IF($A1629="","",SUMPRODUCT(--ISNUMBER(SEARCH('Category Dictionary'!$D$5:$D$135&amp;"",$C1629)),--('Category Dictionary'!$D$5:$D$135&lt;&gt;"")))</f>
        <v/>
      </c>
      <c r="L1629" s="27">
        <f>IF($A1629="","",TRIM(IF(ISERROR(FIND(",",$C1629)),$C1629,LEFT($C1629,FIND(",",$C1629)-1))))</f>
        <v/>
      </c>
      <c r="M1629" s="28">
        <f>IF($H1629="","",DATE(YEAR($H1629),MONTH($H1629),1))</f>
        <v/>
      </c>
      <c r="N1629" s="26">
        <f>IF($H1629="","",TODAY()-$H1629)</f>
        <v/>
      </c>
      <c r="O1629" s="15" t="n"/>
      <c r="P1629" s="26">
        <f>IF($A1629="","",COUNTIFS('Audit Versions'!$A$6:$A$605,$A1629,'Audit Versions'!$L$6:$L$605,"Active"))</f>
        <v/>
      </c>
      <c r="Q1629" s="15" t="n"/>
      <c r="R1629" s="26">
        <f>IF(OR($A1629="",$P1629=0),"",MOD(N($Q1629),$P1629)+1)</f>
        <v/>
      </c>
      <c r="S1629" s="15" t="n"/>
      <c r="T1629" s="25" t="n"/>
      <c r="U1629" s="26">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Builder'!$B$12="",N($S1629)&lt;='Assignment Builder'!$B$12)))</f>
        <v/>
      </c>
      <c r="V1629" s="23" t="n"/>
    </row>
    <row r="1630">
      <c r="A1630" s="23" t="n"/>
      <c r="B1630" s="23" t="n"/>
      <c r="C1630" s="24" t="n"/>
      <c r="D1630" s="15" t="n"/>
      <c r="E1630" s="23" t="n"/>
      <c r="F1630" s="15" t="n"/>
      <c r="G1630" s="23" t="n"/>
      <c r="H1630" s="25" t="n"/>
      <c r="I1630" s="15" t="n"/>
      <c r="J1630" s="26">
        <f>IF($A1630="","",LEN($C1630)-LEN(SUBSTITUTE($C1630,",",""))+1)</f>
        <v/>
      </c>
      <c r="K1630" s="26">
        <f>IF($A1630="","",SUMPRODUCT(--ISNUMBER(SEARCH('Category Dictionary'!$D$5:$D$135&amp;"",$C1630)),--('Category Dictionary'!$D$5:$D$135&lt;&gt;"")))</f>
        <v/>
      </c>
      <c r="L1630" s="27">
        <f>IF($A1630="","",TRIM(IF(ISERROR(FIND(",",$C1630)),$C1630,LEFT($C1630,FIND(",",$C1630)-1))))</f>
        <v/>
      </c>
      <c r="M1630" s="28">
        <f>IF($H1630="","",DATE(YEAR($H1630),MONTH($H1630),1))</f>
        <v/>
      </c>
      <c r="N1630" s="26">
        <f>IF($H1630="","",TODAY()-$H1630)</f>
        <v/>
      </c>
      <c r="O1630" s="15" t="n"/>
      <c r="P1630" s="26">
        <f>IF($A1630="","",COUNTIFS('Audit Versions'!$A$6:$A$605,$A1630,'Audit Versions'!$L$6:$L$605,"Active"))</f>
        <v/>
      </c>
      <c r="Q1630" s="15" t="n"/>
      <c r="R1630" s="26">
        <f>IF(OR($A1630="",$P1630=0),"",MOD(N($Q1630),$P1630)+1)</f>
        <v/>
      </c>
      <c r="S1630" s="15" t="n"/>
      <c r="T1630" s="25" t="n"/>
      <c r="U1630" s="26">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Builder'!$B$12="",N($S1630)&lt;='Assignment Builder'!$B$12)))</f>
        <v/>
      </c>
      <c r="V1630" s="23" t="n"/>
    </row>
    <row r="1631">
      <c r="A1631" s="23" t="n"/>
      <c r="B1631" s="23" t="n"/>
      <c r="C1631" s="24" t="n"/>
      <c r="D1631" s="15" t="n"/>
      <c r="E1631" s="23" t="n"/>
      <c r="F1631" s="15" t="n"/>
      <c r="G1631" s="23" t="n"/>
      <c r="H1631" s="25" t="n"/>
      <c r="I1631" s="15" t="n"/>
      <c r="J1631" s="26">
        <f>IF($A1631="","",LEN($C1631)-LEN(SUBSTITUTE($C1631,",",""))+1)</f>
        <v/>
      </c>
      <c r="K1631" s="26">
        <f>IF($A1631="","",SUMPRODUCT(--ISNUMBER(SEARCH('Category Dictionary'!$D$5:$D$135&amp;"",$C1631)),--('Category Dictionary'!$D$5:$D$135&lt;&gt;"")))</f>
        <v/>
      </c>
      <c r="L1631" s="27">
        <f>IF($A1631="","",TRIM(IF(ISERROR(FIND(",",$C1631)),$C1631,LEFT($C1631,FIND(",",$C1631)-1))))</f>
        <v/>
      </c>
      <c r="M1631" s="28">
        <f>IF($H1631="","",DATE(YEAR($H1631),MONTH($H1631),1))</f>
        <v/>
      </c>
      <c r="N1631" s="26">
        <f>IF($H1631="","",TODAY()-$H1631)</f>
        <v/>
      </c>
      <c r="O1631" s="15" t="n"/>
      <c r="P1631" s="26">
        <f>IF($A1631="","",COUNTIFS('Audit Versions'!$A$6:$A$605,$A1631,'Audit Versions'!$L$6:$L$605,"Active"))</f>
        <v/>
      </c>
      <c r="Q1631" s="15" t="n"/>
      <c r="R1631" s="26">
        <f>IF(OR($A1631="",$P1631=0),"",MOD(N($Q1631),$P1631)+1)</f>
        <v/>
      </c>
      <c r="S1631" s="15" t="n"/>
      <c r="T1631" s="25" t="n"/>
      <c r="U1631" s="26">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Builder'!$B$12="",N($S1631)&lt;='Assignment Builder'!$B$12)))</f>
        <v/>
      </c>
      <c r="V1631" s="23" t="n"/>
    </row>
    <row r="1632">
      <c r="A1632" s="23" t="n"/>
      <c r="B1632" s="23" t="n"/>
      <c r="C1632" s="24" t="n"/>
      <c r="D1632" s="15" t="n"/>
      <c r="E1632" s="23" t="n"/>
      <c r="F1632" s="15" t="n"/>
      <c r="G1632" s="23" t="n"/>
      <c r="H1632" s="25" t="n"/>
      <c r="I1632" s="15" t="n"/>
      <c r="J1632" s="26">
        <f>IF($A1632="","",LEN($C1632)-LEN(SUBSTITUTE($C1632,",",""))+1)</f>
        <v/>
      </c>
      <c r="K1632" s="26">
        <f>IF($A1632="","",SUMPRODUCT(--ISNUMBER(SEARCH('Category Dictionary'!$D$5:$D$135&amp;"",$C1632)),--('Category Dictionary'!$D$5:$D$135&lt;&gt;"")))</f>
        <v/>
      </c>
      <c r="L1632" s="27">
        <f>IF($A1632="","",TRIM(IF(ISERROR(FIND(",",$C1632)),$C1632,LEFT($C1632,FIND(",",$C1632)-1))))</f>
        <v/>
      </c>
      <c r="M1632" s="28">
        <f>IF($H1632="","",DATE(YEAR($H1632),MONTH($H1632),1))</f>
        <v/>
      </c>
      <c r="N1632" s="26">
        <f>IF($H1632="","",TODAY()-$H1632)</f>
        <v/>
      </c>
      <c r="O1632" s="15" t="n"/>
      <c r="P1632" s="26">
        <f>IF($A1632="","",COUNTIFS('Audit Versions'!$A$6:$A$605,$A1632,'Audit Versions'!$L$6:$L$605,"Active"))</f>
        <v/>
      </c>
      <c r="Q1632" s="15" t="n"/>
      <c r="R1632" s="26">
        <f>IF(OR($A1632="",$P1632=0),"",MOD(N($Q1632),$P1632)+1)</f>
        <v/>
      </c>
      <c r="S1632" s="15" t="n"/>
      <c r="T1632" s="25" t="n"/>
      <c r="U1632" s="26">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Builder'!$B$12="",N($S1632)&lt;='Assignment Builder'!$B$12)))</f>
        <v/>
      </c>
      <c r="V1632" s="23" t="n"/>
    </row>
    <row r="1633">
      <c r="A1633" s="23" t="n"/>
      <c r="B1633" s="23" t="n"/>
      <c r="C1633" s="24" t="n"/>
      <c r="D1633" s="15" t="n"/>
      <c r="E1633" s="23" t="n"/>
      <c r="F1633" s="15" t="n"/>
      <c r="G1633" s="23" t="n"/>
      <c r="H1633" s="25" t="n"/>
      <c r="I1633" s="15" t="n"/>
      <c r="J1633" s="26">
        <f>IF($A1633="","",LEN($C1633)-LEN(SUBSTITUTE($C1633,",",""))+1)</f>
        <v/>
      </c>
      <c r="K1633" s="26">
        <f>IF($A1633="","",SUMPRODUCT(--ISNUMBER(SEARCH('Category Dictionary'!$D$5:$D$135&amp;"",$C1633)),--('Category Dictionary'!$D$5:$D$135&lt;&gt;"")))</f>
        <v/>
      </c>
      <c r="L1633" s="27">
        <f>IF($A1633="","",TRIM(IF(ISERROR(FIND(",",$C1633)),$C1633,LEFT($C1633,FIND(",",$C1633)-1))))</f>
        <v/>
      </c>
      <c r="M1633" s="28">
        <f>IF($H1633="","",DATE(YEAR($H1633),MONTH($H1633),1))</f>
        <v/>
      </c>
      <c r="N1633" s="26">
        <f>IF($H1633="","",TODAY()-$H1633)</f>
        <v/>
      </c>
      <c r="O1633" s="15" t="n"/>
      <c r="P1633" s="26">
        <f>IF($A1633="","",COUNTIFS('Audit Versions'!$A$6:$A$605,$A1633,'Audit Versions'!$L$6:$L$605,"Active"))</f>
        <v/>
      </c>
      <c r="Q1633" s="15" t="n"/>
      <c r="R1633" s="26">
        <f>IF(OR($A1633="",$P1633=0),"",MOD(N($Q1633),$P1633)+1)</f>
        <v/>
      </c>
      <c r="S1633" s="15" t="n"/>
      <c r="T1633" s="25" t="n"/>
      <c r="U1633" s="26">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Builder'!$B$12="",N($S1633)&lt;='Assignment Builder'!$B$12)))</f>
        <v/>
      </c>
      <c r="V1633" s="23" t="n"/>
    </row>
    <row r="1634">
      <c r="A1634" s="23" t="n"/>
      <c r="B1634" s="23" t="n"/>
      <c r="C1634" s="24" t="n"/>
      <c r="D1634" s="15" t="n"/>
      <c r="E1634" s="23" t="n"/>
      <c r="F1634" s="15" t="n"/>
      <c r="G1634" s="23" t="n"/>
      <c r="H1634" s="25" t="n"/>
      <c r="I1634" s="15" t="n"/>
      <c r="J1634" s="26">
        <f>IF($A1634="","",LEN($C1634)-LEN(SUBSTITUTE($C1634,",",""))+1)</f>
        <v/>
      </c>
      <c r="K1634" s="26">
        <f>IF($A1634="","",SUMPRODUCT(--ISNUMBER(SEARCH('Category Dictionary'!$D$5:$D$135&amp;"",$C1634)),--('Category Dictionary'!$D$5:$D$135&lt;&gt;"")))</f>
        <v/>
      </c>
      <c r="L1634" s="27">
        <f>IF($A1634="","",TRIM(IF(ISERROR(FIND(",",$C1634)),$C1634,LEFT($C1634,FIND(",",$C1634)-1))))</f>
        <v/>
      </c>
      <c r="M1634" s="28">
        <f>IF($H1634="","",DATE(YEAR($H1634),MONTH($H1634),1))</f>
        <v/>
      </c>
      <c r="N1634" s="26">
        <f>IF($H1634="","",TODAY()-$H1634)</f>
        <v/>
      </c>
      <c r="O1634" s="15" t="n"/>
      <c r="P1634" s="26">
        <f>IF($A1634="","",COUNTIFS('Audit Versions'!$A$6:$A$605,$A1634,'Audit Versions'!$L$6:$L$605,"Active"))</f>
        <v/>
      </c>
      <c r="Q1634" s="15" t="n"/>
      <c r="R1634" s="26">
        <f>IF(OR($A1634="",$P1634=0),"",MOD(N($Q1634),$P1634)+1)</f>
        <v/>
      </c>
      <c r="S1634" s="15" t="n"/>
      <c r="T1634" s="25" t="n"/>
      <c r="U1634" s="26">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Builder'!$B$12="",N($S1634)&lt;='Assignment Builder'!$B$12)))</f>
        <v/>
      </c>
      <c r="V1634" s="23" t="n"/>
    </row>
    <row r="1635">
      <c r="A1635" s="23" t="n"/>
      <c r="B1635" s="23" t="n"/>
      <c r="C1635" s="24" t="n"/>
      <c r="D1635" s="15" t="n"/>
      <c r="E1635" s="23" t="n"/>
      <c r="F1635" s="15" t="n"/>
      <c r="G1635" s="23" t="n"/>
      <c r="H1635" s="25" t="n"/>
      <c r="I1635" s="15" t="n"/>
      <c r="J1635" s="26">
        <f>IF($A1635="","",LEN($C1635)-LEN(SUBSTITUTE($C1635,",",""))+1)</f>
        <v/>
      </c>
      <c r="K1635" s="26">
        <f>IF($A1635="","",SUMPRODUCT(--ISNUMBER(SEARCH('Category Dictionary'!$D$5:$D$135&amp;"",$C1635)),--('Category Dictionary'!$D$5:$D$135&lt;&gt;"")))</f>
        <v/>
      </c>
      <c r="L1635" s="27">
        <f>IF($A1635="","",TRIM(IF(ISERROR(FIND(",",$C1635)),$C1635,LEFT($C1635,FIND(",",$C1635)-1))))</f>
        <v/>
      </c>
      <c r="M1635" s="28">
        <f>IF($H1635="","",DATE(YEAR($H1635),MONTH($H1635),1))</f>
        <v/>
      </c>
      <c r="N1635" s="26">
        <f>IF($H1635="","",TODAY()-$H1635)</f>
        <v/>
      </c>
      <c r="O1635" s="15" t="n"/>
      <c r="P1635" s="26">
        <f>IF($A1635="","",COUNTIFS('Audit Versions'!$A$6:$A$605,$A1635,'Audit Versions'!$L$6:$L$605,"Active"))</f>
        <v/>
      </c>
      <c r="Q1635" s="15" t="n"/>
      <c r="R1635" s="26">
        <f>IF(OR($A1635="",$P1635=0),"",MOD(N($Q1635),$P1635)+1)</f>
        <v/>
      </c>
      <c r="S1635" s="15" t="n"/>
      <c r="T1635" s="25" t="n"/>
      <c r="U1635" s="26">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Builder'!$B$12="",N($S1635)&lt;='Assignment Builder'!$B$12)))</f>
        <v/>
      </c>
      <c r="V1635" s="23" t="n"/>
    </row>
    <row r="1636">
      <c r="A1636" s="23" t="n"/>
      <c r="B1636" s="23" t="n"/>
      <c r="C1636" s="24" t="n"/>
      <c r="D1636" s="15" t="n"/>
      <c r="E1636" s="23" t="n"/>
      <c r="F1636" s="15" t="n"/>
      <c r="G1636" s="23" t="n"/>
      <c r="H1636" s="25" t="n"/>
      <c r="I1636" s="15" t="n"/>
      <c r="J1636" s="26">
        <f>IF($A1636="","",LEN($C1636)-LEN(SUBSTITUTE($C1636,",",""))+1)</f>
        <v/>
      </c>
      <c r="K1636" s="26">
        <f>IF($A1636="","",SUMPRODUCT(--ISNUMBER(SEARCH('Category Dictionary'!$D$5:$D$135&amp;"",$C1636)),--('Category Dictionary'!$D$5:$D$135&lt;&gt;"")))</f>
        <v/>
      </c>
      <c r="L1636" s="27">
        <f>IF($A1636="","",TRIM(IF(ISERROR(FIND(",",$C1636)),$C1636,LEFT($C1636,FIND(",",$C1636)-1))))</f>
        <v/>
      </c>
      <c r="M1636" s="28">
        <f>IF($H1636="","",DATE(YEAR($H1636),MONTH($H1636),1))</f>
        <v/>
      </c>
      <c r="N1636" s="26">
        <f>IF($H1636="","",TODAY()-$H1636)</f>
        <v/>
      </c>
      <c r="O1636" s="15" t="n"/>
      <c r="P1636" s="26">
        <f>IF($A1636="","",COUNTIFS('Audit Versions'!$A$6:$A$605,$A1636,'Audit Versions'!$L$6:$L$605,"Active"))</f>
        <v/>
      </c>
      <c r="Q1636" s="15" t="n"/>
      <c r="R1636" s="26">
        <f>IF(OR($A1636="",$P1636=0),"",MOD(N($Q1636),$P1636)+1)</f>
        <v/>
      </c>
      <c r="S1636" s="15" t="n"/>
      <c r="T1636" s="25" t="n"/>
      <c r="U1636" s="26">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Builder'!$B$12="",N($S1636)&lt;='Assignment Builder'!$B$12)))</f>
        <v/>
      </c>
      <c r="V1636" s="23" t="n"/>
    </row>
    <row r="1637">
      <c r="A1637" s="23" t="n"/>
      <c r="B1637" s="23" t="n"/>
      <c r="C1637" s="24" t="n"/>
      <c r="D1637" s="15" t="n"/>
      <c r="E1637" s="23" t="n"/>
      <c r="F1637" s="15" t="n"/>
      <c r="G1637" s="23" t="n"/>
      <c r="H1637" s="25" t="n"/>
      <c r="I1637" s="15" t="n"/>
      <c r="J1637" s="26">
        <f>IF($A1637="","",LEN($C1637)-LEN(SUBSTITUTE($C1637,",",""))+1)</f>
        <v/>
      </c>
      <c r="K1637" s="26">
        <f>IF($A1637="","",SUMPRODUCT(--ISNUMBER(SEARCH('Category Dictionary'!$D$5:$D$135&amp;"",$C1637)),--('Category Dictionary'!$D$5:$D$135&lt;&gt;"")))</f>
        <v/>
      </c>
      <c r="L1637" s="27">
        <f>IF($A1637="","",TRIM(IF(ISERROR(FIND(",",$C1637)),$C1637,LEFT($C1637,FIND(",",$C1637)-1))))</f>
        <v/>
      </c>
      <c r="M1637" s="28">
        <f>IF($H1637="","",DATE(YEAR($H1637),MONTH($H1637),1))</f>
        <v/>
      </c>
      <c r="N1637" s="26">
        <f>IF($H1637="","",TODAY()-$H1637)</f>
        <v/>
      </c>
      <c r="O1637" s="15" t="n"/>
      <c r="P1637" s="26">
        <f>IF($A1637="","",COUNTIFS('Audit Versions'!$A$6:$A$605,$A1637,'Audit Versions'!$L$6:$L$605,"Active"))</f>
        <v/>
      </c>
      <c r="Q1637" s="15" t="n"/>
      <c r="R1637" s="26">
        <f>IF(OR($A1637="",$P1637=0),"",MOD(N($Q1637),$P1637)+1)</f>
        <v/>
      </c>
      <c r="S1637" s="15" t="n"/>
      <c r="T1637" s="25" t="n"/>
      <c r="U1637" s="26">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Builder'!$B$12="",N($S1637)&lt;='Assignment Builder'!$B$12)))</f>
        <v/>
      </c>
      <c r="V1637" s="23" t="n"/>
    </row>
    <row r="1638">
      <c r="A1638" s="23" t="n"/>
      <c r="B1638" s="23" t="n"/>
      <c r="C1638" s="24" t="n"/>
      <c r="D1638" s="15" t="n"/>
      <c r="E1638" s="23" t="n"/>
      <c r="F1638" s="15" t="n"/>
      <c r="G1638" s="23" t="n"/>
      <c r="H1638" s="25" t="n"/>
      <c r="I1638" s="15" t="n"/>
      <c r="J1638" s="26">
        <f>IF($A1638="","",LEN($C1638)-LEN(SUBSTITUTE($C1638,",",""))+1)</f>
        <v/>
      </c>
      <c r="K1638" s="26">
        <f>IF($A1638="","",SUMPRODUCT(--ISNUMBER(SEARCH('Category Dictionary'!$D$5:$D$135&amp;"",$C1638)),--('Category Dictionary'!$D$5:$D$135&lt;&gt;"")))</f>
        <v/>
      </c>
      <c r="L1638" s="27">
        <f>IF($A1638="","",TRIM(IF(ISERROR(FIND(",",$C1638)),$C1638,LEFT($C1638,FIND(",",$C1638)-1))))</f>
        <v/>
      </c>
      <c r="M1638" s="28">
        <f>IF($H1638="","",DATE(YEAR($H1638),MONTH($H1638),1))</f>
        <v/>
      </c>
      <c r="N1638" s="26">
        <f>IF($H1638="","",TODAY()-$H1638)</f>
        <v/>
      </c>
      <c r="O1638" s="15" t="n"/>
      <c r="P1638" s="26">
        <f>IF($A1638="","",COUNTIFS('Audit Versions'!$A$6:$A$605,$A1638,'Audit Versions'!$L$6:$L$605,"Active"))</f>
        <v/>
      </c>
      <c r="Q1638" s="15" t="n"/>
      <c r="R1638" s="26">
        <f>IF(OR($A1638="",$P1638=0),"",MOD(N($Q1638),$P1638)+1)</f>
        <v/>
      </c>
      <c r="S1638" s="15" t="n"/>
      <c r="T1638" s="25" t="n"/>
      <c r="U1638" s="26">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Builder'!$B$12="",N($S1638)&lt;='Assignment Builder'!$B$12)))</f>
        <v/>
      </c>
      <c r="V1638" s="23" t="n"/>
    </row>
    <row r="1639">
      <c r="A1639" s="23" t="n"/>
      <c r="B1639" s="23" t="n"/>
      <c r="C1639" s="24" t="n"/>
      <c r="D1639" s="15" t="n"/>
      <c r="E1639" s="23" t="n"/>
      <c r="F1639" s="15" t="n"/>
      <c r="G1639" s="23" t="n"/>
      <c r="H1639" s="25" t="n"/>
      <c r="I1639" s="15" t="n"/>
      <c r="J1639" s="26">
        <f>IF($A1639="","",LEN($C1639)-LEN(SUBSTITUTE($C1639,",",""))+1)</f>
        <v/>
      </c>
      <c r="K1639" s="26">
        <f>IF($A1639="","",SUMPRODUCT(--ISNUMBER(SEARCH('Category Dictionary'!$D$5:$D$135&amp;"",$C1639)),--('Category Dictionary'!$D$5:$D$135&lt;&gt;"")))</f>
        <v/>
      </c>
      <c r="L1639" s="27">
        <f>IF($A1639="","",TRIM(IF(ISERROR(FIND(",",$C1639)),$C1639,LEFT($C1639,FIND(",",$C1639)-1))))</f>
        <v/>
      </c>
      <c r="M1639" s="28">
        <f>IF($H1639="","",DATE(YEAR($H1639),MONTH($H1639),1))</f>
        <v/>
      </c>
      <c r="N1639" s="26">
        <f>IF($H1639="","",TODAY()-$H1639)</f>
        <v/>
      </c>
      <c r="O1639" s="15" t="n"/>
      <c r="P1639" s="26">
        <f>IF($A1639="","",COUNTIFS('Audit Versions'!$A$6:$A$605,$A1639,'Audit Versions'!$L$6:$L$605,"Active"))</f>
        <v/>
      </c>
      <c r="Q1639" s="15" t="n"/>
      <c r="R1639" s="26">
        <f>IF(OR($A1639="",$P1639=0),"",MOD(N($Q1639),$P1639)+1)</f>
        <v/>
      </c>
      <c r="S1639" s="15" t="n"/>
      <c r="T1639" s="25" t="n"/>
      <c r="U1639" s="26">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Builder'!$B$12="",N($S1639)&lt;='Assignment Builder'!$B$12)))</f>
        <v/>
      </c>
      <c r="V1639" s="23" t="n"/>
    </row>
    <row r="1640">
      <c r="A1640" s="23" t="n"/>
      <c r="B1640" s="23" t="n"/>
      <c r="C1640" s="24" t="n"/>
      <c r="D1640" s="15" t="n"/>
      <c r="E1640" s="23" t="n"/>
      <c r="F1640" s="15" t="n"/>
      <c r="G1640" s="23" t="n"/>
      <c r="H1640" s="25" t="n"/>
      <c r="I1640" s="15" t="n"/>
      <c r="J1640" s="26">
        <f>IF($A1640="","",LEN($C1640)-LEN(SUBSTITUTE($C1640,",",""))+1)</f>
        <v/>
      </c>
      <c r="K1640" s="26">
        <f>IF($A1640="","",SUMPRODUCT(--ISNUMBER(SEARCH('Category Dictionary'!$D$5:$D$135&amp;"",$C1640)),--('Category Dictionary'!$D$5:$D$135&lt;&gt;"")))</f>
        <v/>
      </c>
      <c r="L1640" s="27">
        <f>IF($A1640="","",TRIM(IF(ISERROR(FIND(",",$C1640)),$C1640,LEFT($C1640,FIND(",",$C1640)-1))))</f>
        <v/>
      </c>
      <c r="M1640" s="28">
        <f>IF($H1640="","",DATE(YEAR($H1640),MONTH($H1640),1))</f>
        <v/>
      </c>
      <c r="N1640" s="26">
        <f>IF($H1640="","",TODAY()-$H1640)</f>
        <v/>
      </c>
      <c r="O1640" s="15" t="n"/>
      <c r="P1640" s="26">
        <f>IF($A1640="","",COUNTIFS('Audit Versions'!$A$6:$A$605,$A1640,'Audit Versions'!$L$6:$L$605,"Active"))</f>
        <v/>
      </c>
      <c r="Q1640" s="15" t="n"/>
      <c r="R1640" s="26">
        <f>IF(OR($A1640="",$P1640=0),"",MOD(N($Q1640),$P1640)+1)</f>
        <v/>
      </c>
      <c r="S1640" s="15" t="n"/>
      <c r="T1640" s="25" t="n"/>
      <c r="U1640" s="26">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Builder'!$B$12="",N($S1640)&lt;='Assignment Builder'!$B$12)))</f>
        <v/>
      </c>
      <c r="V1640" s="23" t="n"/>
    </row>
    <row r="1641">
      <c r="A1641" s="23" t="n"/>
      <c r="B1641" s="23" t="n"/>
      <c r="C1641" s="24" t="n"/>
      <c r="D1641" s="15" t="n"/>
      <c r="E1641" s="23" t="n"/>
      <c r="F1641" s="15" t="n"/>
      <c r="G1641" s="23" t="n"/>
      <c r="H1641" s="25" t="n"/>
      <c r="I1641" s="15" t="n"/>
      <c r="J1641" s="26">
        <f>IF($A1641="","",LEN($C1641)-LEN(SUBSTITUTE($C1641,",",""))+1)</f>
        <v/>
      </c>
      <c r="K1641" s="26">
        <f>IF($A1641="","",SUMPRODUCT(--ISNUMBER(SEARCH('Category Dictionary'!$D$5:$D$135&amp;"",$C1641)),--('Category Dictionary'!$D$5:$D$135&lt;&gt;"")))</f>
        <v/>
      </c>
      <c r="L1641" s="27">
        <f>IF($A1641="","",TRIM(IF(ISERROR(FIND(",",$C1641)),$C1641,LEFT($C1641,FIND(",",$C1641)-1))))</f>
        <v/>
      </c>
      <c r="M1641" s="28">
        <f>IF($H1641="","",DATE(YEAR($H1641),MONTH($H1641),1))</f>
        <v/>
      </c>
      <c r="N1641" s="26">
        <f>IF($H1641="","",TODAY()-$H1641)</f>
        <v/>
      </c>
      <c r="O1641" s="15" t="n"/>
      <c r="P1641" s="26">
        <f>IF($A1641="","",COUNTIFS('Audit Versions'!$A$6:$A$605,$A1641,'Audit Versions'!$L$6:$L$605,"Active"))</f>
        <v/>
      </c>
      <c r="Q1641" s="15" t="n"/>
      <c r="R1641" s="26">
        <f>IF(OR($A1641="",$P1641=0),"",MOD(N($Q1641),$P1641)+1)</f>
        <v/>
      </c>
      <c r="S1641" s="15" t="n"/>
      <c r="T1641" s="25" t="n"/>
      <c r="U1641" s="26">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Builder'!$B$12="",N($S1641)&lt;='Assignment Builder'!$B$12)))</f>
        <v/>
      </c>
      <c r="V1641" s="23" t="n"/>
    </row>
    <row r="1642">
      <c r="A1642" s="23" t="n"/>
      <c r="B1642" s="23" t="n"/>
      <c r="C1642" s="24" t="n"/>
      <c r="D1642" s="15" t="n"/>
      <c r="E1642" s="23" t="n"/>
      <c r="F1642" s="15" t="n"/>
      <c r="G1642" s="23" t="n"/>
      <c r="H1642" s="25" t="n"/>
      <c r="I1642" s="15" t="n"/>
      <c r="J1642" s="26">
        <f>IF($A1642="","",LEN($C1642)-LEN(SUBSTITUTE($C1642,",",""))+1)</f>
        <v/>
      </c>
      <c r="K1642" s="26">
        <f>IF($A1642="","",SUMPRODUCT(--ISNUMBER(SEARCH('Category Dictionary'!$D$5:$D$135&amp;"",$C1642)),--('Category Dictionary'!$D$5:$D$135&lt;&gt;"")))</f>
        <v/>
      </c>
      <c r="L1642" s="27">
        <f>IF($A1642="","",TRIM(IF(ISERROR(FIND(",",$C1642)),$C1642,LEFT($C1642,FIND(",",$C1642)-1))))</f>
        <v/>
      </c>
      <c r="M1642" s="28">
        <f>IF($H1642="","",DATE(YEAR($H1642),MONTH($H1642),1))</f>
        <v/>
      </c>
      <c r="N1642" s="26">
        <f>IF($H1642="","",TODAY()-$H1642)</f>
        <v/>
      </c>
      <c r="O1642" s="15" t="n"/>
      <c r="P1642" s="26">
        <f>IF($A1642="","",COUNTIFS('Audit Versions'!$A$6:$A$605,$A1642,'Audit Versions'!$L$6:$L$605,"Active"))</f>
        <v/>
      </c>
      <c r="Q1642" s="15" t="n"/>
      <c r="R1642" s="26">
        <f>IF(OR($A1642="",$P1642=0),"",MOD(N($Q1642),$P1642)+1)</f>
        <v/>
      </c>
      <c r="S1642" s="15" t="n"/>
      <c r="T1642" s="25" t="n"/>
      <c r="U1642" s="26">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Builder'!$B$12="",N($S1642)&lt;='Assignment Builder'!$B$12)))</f>
        <v/>
      </c>
      <c r="V1642" s="23" t="n"/>
    </row>
    <row r="1643">
      <c r="A1643" s="23" t="n"/>
      <c r="B1643" s="23" t="n"/>
      <c r="C1643" s="24" t="n"/>
      <c r="D1643" s="15" t="n"/>
      <c r="E1643" s="23" t="n"/>
      <c r="F1643" s="15" t="n"/>
      <c r="G1643" s="23" t="n"/>
      <c r="H1643" s="25" t="n"/>
      <c r="I1643" s="15" t="n"/>
      <c r="J1643" s="26">
        <f>IF($A1643="","",LEN($C1643)-LEN(SUBSTITUTE($C1643,",",""))+1)</f>
        <v/>
      </c>
      <c r="K1643" s="26">
        <f>IF($A1643="","",SUMPRODUCT(--ISNUMBER(SEARCH('Category Dictionary'!$D$5:$D$135&amp;"",$C1643)),--('Category Dictionary'!$D$5:$D$135&lt;&gt;"")))</f>
        <v/>
      </c>
      <c r="L1643" s="27">
        <f>IF($A1643="","",TRIM(IF(ISERROR(FIND(",",$C1643)),$C1643,LEFT($C1643,FIND(",",$C1643)-1))))</f>
        <v/>
      </c>
      <c r="M1643" s="28">
        <f>IF($H1643="","",DATE(YEAR($H1643),MONTH($H1643),1))</f>
        <v/>
      </c>
      <c r="N1643" s="26">
        <f>IF($H1643="","",TODAY()-$H1643)</f>
        <v/>
      </c>
      <c r="O1643" s="15" t="n"/>
      <c r="P1643" s="26">
        <f>IF($A1643="","",COUNTIFS('Audit Versions'!$A$6:$A$605,$A1643,'Audit Versions'!$L$6:$L$605,"Active"))</f>
        <v/>
      </c>
      <c r="Q1643" s="15" t="n"/>
      <c r="R1643" s="26">
        <f>IF(OR($A1643="",$P1643=0),"",MOD(N($Q1643),$P1643)+1)</f>
        <v/>
      </c>
      <c r="S1643" s="15" t="n"/>
      <c r="T1643" s="25" t="n"/>
      <c r="U1643" s="26">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Builder'!$B$12="",N($S1643)&lt;='Assignment Builder'!$B$12)))</f>
        <v/>
      </c>
      <c r="V1643" s="23" t="n"/>
    </row>
    <row r="1644">
      <c r="A1644" s="23" t="n"/>
      <c r="B1644" s="23" t="n"/>
      <c r="C1644" s="24" t="n"/>
      <c r="D1644" s="15" t="n"/>
      <c r="E1644" s="23" t="n"/>
      <c r="F1644" s="15" t="n"/>
      <c r="G1644" s="23" t="n"/>
      <c r="H1644" s="25" t="n"/>
      <c r="I1644" s="15" t="n"/>
      <c r="J1644" s="26">
        <f>IF($A1644="","",LEN($C1644)-LEN(SUBSTITUTE($C1644,",",""))+1)</f>
        <v/>
      </c>
      <c r="K1644" s="26">
        <f>IF($A1644="","",SUMPRODUCT(--ISNUMBER(SEARCH('Category Dictionary'!$D$5:$D$135&amp;"",$C1644)),--('Category Dictionary'!$D$5:$D$135&lt;&gt;"")))</f>
        <v/>
      </c>
      <c r="L1644" s="27">
        <f>IF($A1644="","",TRIM(IF(ISERROR(FIND(",",$C1644)),$C1644,LEFT($C1644,FIND(",",$C1644)-1))))</f>
        <v/>
      </c>
      <c r="M1644" s="28">
        <f>IF($H1644="","",DATE(YEAR($H1644),MONTH($H1644),1))</f>
        <v/>
      </c>
      <c r="N1644" s="26">
        <f>IF($H1644="","",TODAY()-$H1644)</f>
        <v/>
      </c>
      <c r="O1644" s="15" t="n"/>
      <c r="P1644" s="26">
        <f>IF($A1644="","",COUNTIFS('Audit Versions'!$A$6:$A$605,$A1644,'Audit Versions'!$L$6:$L$605,"Active"))</f>
        <v/>
      </c>
      <c r="Q1644" s="15" t="n"/>
      <c r="R1644" s="26">
        <f>IF(OR($A1644="",$P1644=0),"",MOD(N($Q1644),$P1644)+1)</f>
        <v/>
      </c>
      <c r="S1644" s="15" t="n"/>
      <c r="T1644" s="25" t="n"/>
      <c r="U1644" s="26">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Builder'!$B$12="",N($S1644)&lt;='Assignment Builder'!$B$12)))</f>
        <v/>
      </c>
      <c r="V1644" s="23" t="n"/>
    </row>
    <row r="1645">
      <c r="A1645" s="23" t="n"/>
      <c r="B1645" s="23" t="n"/>
      <c r="C1645" s="24" t="n"/>
      <c r="D1645" s="15" t="n"/>
      <c r="E1645" s="23" t="n"/>
      <c r="F1645" s="15" t="n"/>
      <c r="G1645" s="23" t="n"/>
      <c r="H1645" s="25" t="n"/>
      <c r="I1645" s="15" t="n"/>
      <c r="J1645" s="26">
        <f>IF($A1645="","",LEN($C1645)-LEN(SUBSTITUTE($C1645,",",""))+1)</f>
        <v/>
      </c>
      <c r="K1645" s="26">
        <f>IF($A1645="","",SUMPRODUCT(--ISNUMBER(SEARCH('Category Dictionary'!$D$5:$D$135&amp;"",$C1645)),--('Category Dictionary'!$D$5:$D$135&lt;&gt;"")))</f>
        <v/>
      </c>
      <c r="L1645" s="27">
        <f>IF($A1645="","",TRIM(IF(ISERROR(FIND(",",$C1645)),$C1645,LEFT($C1645,FIND(",",$C1645)-1))))</f>
        <v/>
      </c>
      <c r="M1645" s="28">
        <f>IF($H1645="","",DATE(YEAR($H1645),MONTH($H1645),1))</f>
        <v/>
      </c>
      <c r="N1645" s="26">
        <f>IF($H1645="","",TODAY()-$H1645)</f>
        <v/>
      </c>
      <c r="O1645" s="15" t="n"/>
      <c r="P1645" s="26">
        <f>IF($A1645="","",COUNTIFS('Audit Versions'!$A$6:$A$605,$A1645,'Audit Versions'!$L$6:$L$605,"Active"))</f>
        <v/>
      </c>
      <c r="Q1645" s="15" t="n"/>
      <c r="R1645" s="26">
        <f>IF(OR($A1645="",$P1645=0),"",MOD(N($Q1645),$P1645)+1)</f>
        <v/>
      </c>
      <c r="S1645" s="15" t="n"/>
      <c r="T1645" s="25" t="n"/>
      <c r="U1645" s="26">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Builder'!$B$12="",N($S1645)&lt;='Assignment Builder'!$B$12)))</f>
        <v/>
      </c>
      <c r="V1645" s="23" t="n"/>
    </row>
    <row r="1646">
      <c r="A1646" s="23" t="n"/>
      <c r="B1646" s="23" t="n"/>
      <c r="C1646" s="24" t="n"/>
      <c r="D1646" s="15" t="n"/>
      <c r="E1646" s="23" t="n"/>
      <c r="F1646" s="15" t="n"/>
      <c r="G1646" s="23" t="n"/>
      <c r="H1646" s="25" t="n"/>
      <c r="I1646" s="15" t="n"/>
      <c r="J1646" s="26">
        <f>IF($A1646="","",LEN($C1646)-LEN(SUBSTITUTE($C1646,",",""))+1)</f>
        <v/>
      </c>
      <c r="K1646" s="26">
        <f>IF($A1646="","",SUMPRODUCT(--ISNUMBER(SEARCH('Category Dictionary'!$D$5:$D$135&amp;"",$C1646)),--('Category Dictionary'!$D$5:$D$135&lt;&gt;"")))</f>
        <v/>
      </c>
      <c r="L1646" s="27">
        <f>IF($A1646="","",TRIM(IF(ISERROR(FIND(",",$C1646)),$C1646,LEFT($C1646,FIND(",",$C1646)-1))))</f>
        <v/>
      </c>
      <c r="M1646" s="28">
        <f>IF($H1646="","",DATE(YEAR($H1646),MONTH($H1646),1))</f>
        <v/>
      </c>
      <c r="N1646" s="26">
        <f>IF($H1646="","",TODAY()-$H1646)</f>
        <v/>
      </c>
      <c r="O1646" s="15" t="n"/>
      <c r="P1646" s="26">
        <f>IF($A1646="","",COUNTIFS('Audit Versions'!$A$6:$A$605,$A1646,'Audit Versions'!$L$6:$L$605,"Active"))</f>
        <v/>
      </c>
      <c r="Q1646" s="15" t="n"/>
      <c r="R1646" s="26">
        <f>IF(OR($A1646="",$P1646=0),"",MOD(N($Q1646),$P1646)+1)</f>
        <v/>
      </c>
      <c r="S1646" s="15" t="n"/>
      <c r="T1646" s="25" t="n"/>
      <c r="U1646" s="26">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Builder'!$B$12="",N($S1646)&lt;='Assignment Builder'!$B$12)))</f>
        <v/>
      </c>
      <c r="V1646" s="23" t="n"/>
    </row>
    <row r="1647">
      <c r="A1647" s="23" t="n"/>
      <c r="B1647" s="23" t="n"/>
      <c r="C1647" s="24" t="n"/>
      <c r="D1647" s="15" t="n"/>
      <c r="E1647" s="23" t="n"/>
      <c r="F1647" s="15" t="n"/>
      <c r="G1647" s="23" t="n"/>
      <c r="H1647" s="25" t="n"/>
      <c r="I1647" s="15" t="n"/>
      <c r="J1647" s="26">
        <f>IF($A1647="","",LEN($C1647)-LEN(SUBSTITUTE($C1647,",",""))+1)</f>
        <v/>
      </c>
      <c r="K1647" s="26">
        <f>IF($A1647="","",SUMPRODUCT(--ISNUMBER(SEARCH('Category Dictionary'!$D$5:$D$135&amp;"",$C1647)),--('Category Dictionary'!$D$5:$D$135&lt;&gt;"")))</f>
        <v/>
      </c>
      <c r="L1647" s="27">
        <f>IF($A1647="","",TRIM(IF(ISERROR(FIND(",",$C1647)),$C1647,LEFT($C1647,FIND(",",$C1647)-1))))</f>
        <v/>
      </c>
      <c r="M1647" s="28">
        <f>IF($H1647="","",DATE(YEAR($H1647),MONTH($H1647),1))</f>
        <v/>
      </c>
      <c r="N1647" s="26">
        <f>IF($H1647="","",TODAY()-$H1647)</f>
        <v/>
      </c>
      <c r="O1647" s="15" t="n"/>
      <c r="P1647" s="26">
        <f>IF($A1647="","",COUNTIFS('Audit Versions'!$A$6:$A$605,$A1647,'Audit Versions'!$L$6:$L$605,"Active"))</f>
        <v/>
      </c>
      <c r="Q1647" s="15" t="n"/>
      <c r="R1647" s="26">
        <f>IF(OR($A1647="",$P1647=0),"",MOD(N($Q1647),$P1647)+1)</f>
        <v/>
      </c>
      <c r="S1647" s="15" t="n"/>
      <c r="T1647" s="25" t="n"/>
      <c r="U1647" s="26">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Builder'!$B$12="",N($S1647)&lt;='Assignment Builder'!$B$12)))</f>
        <v/>
      </c>
      <c r="V1647" s="23" t="n"/>
    </row>
    <row r="1648">
      <c r="A1648" s="23" t="n"/>
      <c r="B1648" s="23" t="n"/>
      <c r="C1648" s="24" t="n"/>
      <c r="D1648" s="15" t="n"/>
      <c r="E1648" s="23" t="n"/>
      <c r="F1648" s="15" t="n"/>
      <c r="G1648" s="23" t="n"/>
      <c r="H1648" s="25" t="n"/>
      <c r="I1648" s="15" t="n"/>
      <c r="J1648" s="26">
        <f>IF($A1648="","",LEN($C1648)-LEN(SUBSTITUTE($C1648,",",""))+1)</f>
        <v/>
      </c>
      <c r="K1648" s="26">
        <f>IF($A1648="","",SUMPRODUCT(--ISNUMBER(SEARCH('Category Dictionary'!$D$5:$D$135&amp;"",$C1648)),--('Category Dictionary'!$D$5:$D$135&lt;&gt;"")))</f>
        <v/>
      </c>
      <c r="L1648" s="27">
        <f>IF($A1648="","",TRIM(IF(ISERROR(FIND(",",$C1648)),$C1648,LEFT($C1648,FIND(",",$C1648)-1))))</f>
        <v/>
      </c>
      <c r="M1648" s="28">
        <f>IF($H1648="","",DATE(YEAR($H1648),MONTH($H1648),1))</f>
        <v/>
      </c>
      <c r="N1648" s="26">
        <f>IF($H1648="","",TODAY()-$H1648)</f>
        <v/>
      </c>
      <c r="O1648" s="15" t="n"/>
      <c r="P1648" s="26">
        <f>IF($A1648="","",COUNTIFS('Audit Versions'!$A$6:$A$605,$A1648,'Audit Versions'!$L$6:$L$605,"Active"))</f>
        <v/>
      </c>
      <c r="Q1648" s="15" t="n"/>
      <c r="R1648" s="26">
        <f>IF(OR($A1648="",$P1648=0),"",MOD(N($Q1648),$P1648)+1)</f>
        <v/>
      </c>
      <c r="S1648" s="15" t="n"/>
      <c r="T1648" s="25" t="n"/>
      <c r="U1648" s="26">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Builder'!$B$12="",N($S1648)&lt;='Assignment Builder'!$B$12)))</f>
        <v/>
      </c>
      <c r="V1648" s="23" t="n"/>
    </row>
    <row r="1649">
      <c r="A1649" s="23" t="n"/>
      <c r="B1649" s="23" t="n"/>
      <c r="C1649" s="24" t="n"/>
      <c r="D1649" s="15" t="n"/>
      <c r="E1649" s="23" t="n"/>
      <c r="F1649" s="15" t="n"/>
      <c r="G1649" s="23" t="n"/>
      <c r="H1649" s="25" t="n"/>
      <c r="I1649" s="15" t="n"/>
      <c r="J1649" s="26">
        <f>IF($A1649="","",LEN($C1649)-LEN(SUBSTITUTE($C1649,",",""))+1)</f>
        <v/>
      </c>
      <c r="K1649" s="26">
        <f>IF($A1649="","",SUMPRODUCT(--ISNUMBER(SEARCH('Category Dictionary'!$D$5:$D$135&amp;"",$C1649)),--('Category Dictionary'!$D$5:$D$135&lt;&gt;"")))</f>
        <v/>
      </c>
      <c r="L1649" s="27">
        <f>IF($A1649="","",TRIM(IF(ISERROR(FIND(",",$C1649)),$C1649,LEFT($C1649,FIND(",",$C1649)-1))))</f>
        <v/>
      </c>
      <c r="M1649" s="28">
        <f>IF($H1649="","",DATE(YEAR($H1649),MONTH($H1649),1))</f>
        <v/>
      </c>
      <c r="N1649" s="26">
        <f>IF($H1649="","",TODAY()-$H1649)</f>
        <v/>
      </c>
      <c r="O1649" s="15" t="n"/>
      <c r="P1649" s="26">
        <f>IF($A1649="","",COUNTIFS('Audit Versions'!$A$6:$A$605,$A1649,'Audit Versions'!$L$6:$L$605,"Active"))</f>
        <v/>
      </c>
      <c r="Q1649" s="15" t="n"/>
      <c r="R1649" s="26">
        <f>IF(OR($A1649="",$P1649=0),"",MOD(N($Q1649),$P1649)+1)</f>
        <v/>
      </c>
      <c r="S1649" s="15" t="n"/>
      <c r="T1649" s="25" t="n"/>
      <c r="U1649" s="26">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Builder'!$B$12="",N($S1649)&lt;='Assignment Builder'!$B$12)))</f>
        <v/>
      </c>
      <c r="V1649" s="23" t="n"/>
    </row>
    <row r="1650">
      <c r="A1650" s="23" t="n"/>
      <c r="B1650" s="23" t="n"/>
      <c r="C1650" s="24" t="n"/>
      <c r="D1650" s="15" t="n"/>
      <c r="E1650" s="23" t="n"/>
      <c r="F1650" s="15" t="n"/>
      <c r="G1650" s="23" t="n"/>
      <c r="H1650" s="25" t="n"/>
      <c r="I1650" s="15" t="n"/>
      <c r="J1650" s="26">
        <f>IF($A1650="","",LEN($C1650)-LEN(SUBSTITUTE($C1650,",",""))+1)</f>
        <v/>
      </c>
      <c r="K1650" s="26">
        <f>IF($A1650="","",SUMPRODUCT(--ISNUMBER(SEARCH('Category Dictionary'!$D$5:$D$135&amp;"",$C1650)),--('Category Dictionary'!$D$5:$D$135&lt;&gt;"")))</f>
        <v/>
      </c>
      <c r="L1650" s="27">
        <f>IF($A1650="","",TRIM(IF(ISERROR(FIND(",",$C1650)),$C1650,LEFT($C1650,FIND(",",$C1650)-1))))</f>
        <v/>
      </c>
      <c r="M1650" s="28">
        <f>IF($H1650="","",DATE(YEAR($H1650),MONTH($H1650),1))</f>
        <v/>
      </c>
      <c r="N1650" s="26">
        <f>IF($H1650="","",TODAY()-$H1650)</f>
        <v/>
      </c>
      <c r="O1650" s="15" t="n"/>
      <c r="P1650" s="26">
        <f>IF($A1650="","",COUNTIFS('Audit Versions'!$A$6:$A$605,$A1650,'Audit Versions'!$L$6:$L$605,"Active"))</f>
        <v/>
      </c>
      <c r="Q1650" s="15" t="n"/>
      <c r="R1650" s="26">
        <f>IF(OR($A1650="",$P1650=0),"",MOD(N($Q1650),$P1650)+1)</f>
        <v/>
      </c>
      <c r="S1650" s="15" t="n"/>
      <c r="T1650" s="25" t="n"/>
      <c r="U1650" s="26">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Builder'!$B$12="",N($S1650)&lt;='Assignment Builder'!$B$12)))</f>
        <v/>
      </c>
      <c r="V1650" s="23" t="n"/>
    </row>
    <row r="1651">
      <c r="A1651" s="23" t="n"/>
      <c r="B1651" s="23" t="n"/>
      <c r="C1651" s="24" t="n"/>
      <c r="D1651" s="15" t="n"/>
      <c r="E1651" s="23" t="n"/>
      <c r="F1651" s="15" t="n"/>
      <c r="G1651" s="23" t="n"/>
      <c r="H1651" s="25" t="n"/>
      <c r="I1651" s="15" t="n"/>
      <c r="J1651" s="26">
        <f>IF($A1651="","",LEN($C1651)-LEN(SUBSTITUTE($C1651,",",""))+1)</f>
        <v/>
      </c>
      <c r="K1651" s="26">
        <f>IF($A1651="","",SUMPRODUCT(--ISNUMBER(SEARCH('Category Dictionary'!$D$5:$D$135&amp;"",$C1651)),--('Category Dictionary'!$D$5:$D$135&lt;&gt;"")))</f>
        <v/>
      </c>
      <c r="L1651" s="27">
        <f>IF($A1651="","",TRIM(IF(ISERROR(FIND(",",$C1651)),$C1651,LEFT($C1651,FIND(",",$C1651)-1))))</f>
        <v/>
      </c>
      <c r="M1651" s="28">
        <f>IF($H1651="","",DATE(YEAR($H1651),MONTH($H1651),1))</f>
        <v/>
      </c>
      <c r="N1651" s="26">
        <f>IF($H1651="","",TODAY()-$H1651)</f>
        <v/>
      </c>
      <c r="O1651" s="15" t="n"/>
      <c r="P1651" s="26">
        <f>IF($A1651="","",COUNTIFS('Audit Versions'!$A$6:$A$605,$A1651,'Audit Versions'!$L$6:$L$605,"Active"))</f>
        <v/>
      </c>
      <c r="Q1651" s="15" t="n"/>
      <c r="R1651" s="26">
        <f>IF(OR($A1651="",$P1651=0),"",MOD(N($Q1651),$P1651)+1)</f>
        <v/>
      </c>
      <c r="S1651" s="15" t="n"/>
      <c r="T1651" s="25" t="n"/>
      <c r="U1651" s="26">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Builder'!$B$12="",N($S1651)&lt;='Assignment Builder'!$B$12)))</f>
        <v/>
      </c>
      <c r="V1651" s="23" t="n"/>
    </row>
    <row r="1652">
      <c r="A1652" s="23" t="n"/>
      <c r="B1652" s="23" t="n"/>
      <c r="C1652" s="24" t="n"/>
      <c r="D1652" s="15" t="n"/>
      <c r="E1652" s="23" t="n"/>
      <c r="F1652" s="15" t="n"/>
      <c r="G1652" s="23" t="n"/>
      <c r="H1652" s="25" t="n"/>
      <c r="I1652" s="15" t="n"/>
      <c r="J1652" s="26">
        <f>IF($A1652="","",LEN($C1652)-LEN(SUBSTITUTE($C1652,",",""))+1)</f>
        <v/>
      </c>
      <c r="K1652" s="26">
        <f>IF($A1652="","",SUMPRODUCT(--ISNUMBER(SEARCH('Category Dictionary'!$D$5:$D$135&amp;"",$C1652)),--('Category Dictionary'!$D$5:$D$135&lt;&gt;"")))</f>
        <v/>
      </c>
      <c r="L1652" s="27">
        <f>IF($A1652="","",TRIM(IF(ISERROR(FIND(",",$C1652)),$C1652,LEFT($C1652,FIND(",",$C1652)-1))))</f>
        <v/>
      </c>
      <c r="M1652" s="28">
        <f>IF($H1652="","",DATE(YEAR($H1652),MONTH($H1652),1))</f>
        <v/>
      </c>
      <c r="N1652" s="26">
        <f>IF($H1652="","",TODAY()-$H1652)</f>
        <v/>
      </c>
      <c r="O1652" s="15" t="n"/>
      <c r="P1652" s="26">
        <f>IF($A1652="","",COUNTIFS('Audit Versions'!$A$6:$A$605,$A1652,'Audit Versions'!$L$6:$L$605,"Active"))</f>
        <v/>
      </c>
      <c r="Q1652" s="15" t="n"/>
      <c r="R1652" s="26">
        <f>IF(OR($A1652="",$P1652=0),"",MOD(N($Q1652),$P1652)+1)</f>
        <v/>
      </c>
      <c r="S1652" s="15" t="n"/>
      <c r="T1652" s="25" t="n"/>
      <c r="U1652" s="26">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Builder'!$B$12="",N($S1652)&lt;='Assignment Builder'!$B$12)))</f>
        <v/>
      </c>
      <c r="V1652" s="23" t="n"/>
    </row>
    <row r="1653">
      <c r="A1653" s="23" t="n"/>
      <c r="B1653" s="23" t="n"/>
      <c r="C1653" s="24" t="n"/>
      <c r="D1653" s="15" t="n"/>
      <c r="E1653" s="23" t="n"/>
      <c r="F1653" s="15" t="n"/>
      <c r="G1653" s="23" t="n"/>
      <c r="H1653" s="25" t="n"/>
      <c r="I1653" s="15" t="n"/>
      <c r="J1653" s="26">
        <f>IF($A1653="","",LEN($C1653)-LEN(SUBSTITUTE($C1653,",",""))+1)</f>
        <v/>
      </c>
      <c r="K1653" s="26">
        <f>IF($A1653="","",SUMPRODUCT(--ISNUMBER(SEARCH('Category Dictionary'!$D$5:$D$135&amp;"",$C1653)),--('Category Dictionary'!$D$5:$D$135&lt;&gt;"")))</f>
        <v/>
      </c>
      <c r="L1653" s="27">
        <f>IF($A1653="","",TRIM(IF(ISERROR(FIND(",",$C1653)),$C1653,LEFT($C1653,FIND(",",$C1653)-1))))</f>
        <v/>
      </c>
      <c r="M1653" s="28">
        <f>IF($H1653="","",DATE(YEAR($H1653),MONTH($H1653),1))</f>
        <v/>
      </c>
      <c r="N1653" s="26">
        <f>IF($H1653="","",TODAY()-$H1653)</f>
        <v/>
      </c>
      <c r="O1653" s="15" t="n"/>
      <c r="P1653" s="26">
        <f>IF($A1653="","",COUNTIFS('Audit Versions'!$A$6:$A$605,$A1653,'Audit Versions'!$L$6:$L$605,"Active"))</f>
        <v/>
      </c>
      <c r="Q1653" s="15" t="n"/>
      <c r="R1653" s="26">
        <f>IF(OR($A1653="",$P1653=0),"",MOD(N($Q1653),$P1653)+1)</f>
        <v/>
      </c>
      <c r="S1653" s="15" t="n"/>
      <c r="T1653" s="25" t="n"/>
      <c r="U1653" s="26">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Builder'!$B$12="",N($S1653)&lt;='Assignment Builder'!$B$12)))</f>
        <v/>
      </c>
      <c r="V1653" s="23" t="n"/>
    </row>
    <row r="1654">
      <c r="A1654" s="23" t="n"/>
      <c r="B1654" s="23" t="n"/>
      <c r="C1654" s="24" t="n"/>
      <c r="D1654" s="15" t="n"/>
      <c r="E1654" s="23" t="n"/>
      <c r="F1654" s="15" t="n"/>
      <c r="G1654" s="23" t="n"/>
      <c r="H1654" s="25" t="n"/>
      <c r="I1654" s="15" t="n"/>
      <c r="J1654" s="26">
        <f>IF($A1654="","",LEN($C1654)-LEN(SUBSTITUTE($C1654,",",""))+1)</f>
        <v/>
      </c>
      <c r="K1654" s="26">
        <f>IF($A1654="","",SUMPRODUCT(--ISNUMBER(SEARCH('Category Dictionary'!$D$5:$D$135&amp;"",$C1654)),--('Category Dictionary'!$D$5:$D$135&lt;&gt;"")))</f>
        <v/>
      </c>
      <c r="L1654" s="27">
        <f>IF($A1654="","",TRIM(IF(ISERROR(FIND(",",$C1654)),$C1654,LEFT($C1654,FIND(",",$C1654)-1))))</f>
        <v/>
      </c>
      <c r="M1654" s="28">
        <f>IF($H1654="","",DATE(YEAR($H1654),MONTH($H1654),1))</f>
        <v/>
      </c>
      <c r="N1654" s="26">
        <f>IF($H1654="","",TODAY()-$H1654)</f>
        <v/>
      </c>
      <c r="O1654" s="15" t="n"/>
      <c r="P1654" s="26">
        <f>IF($A1654="","",COUNTIFS('Audit Versions'!$A$6:$A$605,$A1654,'Audit Versions'!$L$6:$L$605,"Active"))</f>
        <v/>
      </c>
      <c r="Q1654" s="15" t="n"/>
      <c r="R1654" s="26">
        <f>IF(OR($A1654="",$P1654=0),"",MOD(N($Q1654),$P1654)+1)</f>
        <v/>
      </c>
      <c r="S1654" s="15" t="n"/>
      <c r="T1654" s="25" t="n"/>
      <c r="U1654" s="26">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Builder'!$B$12="",N($S1654)&lt;='Assignment Builder'!$B$12)))</f>
        <v/>
      </c>
      <c r="V1654" s="23" t="n"/>
    </row>
    <row r="1655">
      <c r="A1655" s="23" t="n"/>
      <c r="B1655" s="23" t="n"/>
      <c r="C1655" s="24" t="n"/>
      <c r="D1655" s="15" t="n"/>
      <c r="E1655" s="23" t="n"/>
      <c r="F1655" s="15" t="n"/>
      <c r="G1655" s="23" t="n"/>
      <c r="H1655" s="25" t="n"/>
      <c r="I1655" s="15" t="n"/>
      <c r="J1655" s="26">
        <f>IF($A1655="","",LEN($C1655)-LEN(SUBSTITUTE($C1655,",",""))+1)</f>
        <v/>
      </c>
      <c r="K1655" s="26">
        <f>IF($A1655="","",SUMPRODUCT(--ISNUMBER(SEARCH('Category Dictionary'!$D$5:$D$135&amp;"",$C1655)),--('Category Dictionary'!$D$5:$D$135&lt;&gt;"")))</f>
        <v/>
      </c>
      <c r="L1655" s="27">
        <f>IF($A1655="","",TRIM(IF(ISERROR(FIND(",",$C1655)),$C1655,LEFT($C1655,FIND(",",$C1655)-1))))</f>
        <v/>
      </c>
      <c r="M1655" s="28">
        <f>IF($H1655="","",DATE(YEAR($H1655),MONTH($H1655),1))</f>
        <v/>
      </c>
      <c r="N1655" s="26">
        <f>IF($H1655="","",TODAY()-$H1655)</f>
        <v/>
      </c>
      <c r="O1655" s="15" t="n"/>
      <c r="P1655" s="26">
        <f>IF($A1655="","",COUNTIFS('Audit Versions'!$A$6:$A$605,$A1655,'Audit Versions'!$L$6:$L$605,"Active"))</f>
        <v/>
      </c>
      <c r="Q1655" s="15" t="n"/>
      <c r="R1655" s="26">
        <f>IF(OR($A1655="",$P1655=0),"",MOD(N($Q1655),$P1655)+1)</f>
        <v/>
      </c>
      <c r="S1655" s="15" t="n"/>
      <c r="T1655" s="25" t="n"/>
      <c r="U1655" s="26">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Builder'!$B$12="",N($S1655)&lt;='Assignment Builder'!$B$12)))</f>
        <v/>
      </c>
      <c r="V1655" s="23" t="n"/>
    </row>
    <row r="1656">
      <c r="A1656" s="23" t="n"/>
      <c r="B1656" s="23" t="n"/>
      <c r="C1656" s="24" t="n"/>
      <c r="D1656" s="15" t="n"/>
      <c r="E1656" s="23" t="n"/>
      <c r="F1656" s="15" t="n"/>
      <c r="G1656" s="23" t="n"/>
      <c r="H1656" s="25" t="n"/>
      <c r="I1656" s="15" t="n"/>
      <c r="J1656" s="26">
        <f>IF($A1656="","",LEN($C1656)-LEN(SUBSTITUTE($C1656,",",""))+1)</f>
        <v/>
      </c>
      <c r="K1656" s="26">
        <f>IF($A1656="","",SUMPRODUCT(--ISNUMBER(SEARCH('Category Dictionary'!$D$5:$D$135&amp;"",$C1656)),--('Category Dictionary'!$D$5:$D$135&lt;&gt;"")))</f>
        <v/>
      </c>
      <c r="L1656" s="27">
        <f>IF($A1656="","",TRIM(IF(ISERROR(FIND(",",$C1656)),$C1656,LEFT($C1656,FIND(",",$C1656)-1))))</f>
        <v/>
      </c>
      <c r="M1656" s="28">
        <f>IF($H1656="","",DATE(YEAR($H1656),MONTH($H1656),1))</f>
        <v/>
      </c>
      <c r="N1656" s="26">
        <f>IF($H1656="","",TODAY()-$H1656)</f>
        <v/>
      </c>
      <c r="O1656" s="15" t="n"/>
      <c r="P1656" s="26">
        <f>IF($A1656="","",COUNTIFS('Audit Versions'!$A$6:$A$605,$A1656,'Audit Versions'!$L$6:$L$605,"Active"))</f>
        <v/>
      </c>
      <c r="Q1656" s="15" t="n"/>
      <c r="R1656" s="26">
        <f>IF(OR($A1656="",$P1656=0),"",MOD(N($Q1656),$P1656)+1)</f>
        <v/>
      </c>
      <c r="S1656" s="15" t="n"/>
      <c r="T1656" s="25" t="n"/>
      <c r="U1656" s="26">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Builder'!$B$12="",N($S1656)&lt;='Assignment Builder'!$B$12)))</f>
        <v/>
      </c>
      <c r="V1656" s="23" t="n"/>
    </row>
    <row r="1657">
      <c r="A1657" s="23" t="n"/>
      <c r="B1657" s="23" t="n"/>
      <c r="C1657" s="24" t="n"/>
      <c r="D1657" s="15" t="n"/>
      <c r="E1657" s="23" t="n"/>
      <c r="F1657" s="15" t="n"/>
      <c r="G1657" s="23" t="n"/>
      <c r="H1657" s="25" t="n"/>
      <c r="I1657" s="15" t="n"/>
      <c r="J1657" s="26">
        <f>IF($A1657="","",LEN($C1657)-LEN(SUBSTITUTE($C1657,",",""))+1)</f>
        <v/>
      </c>
      <c r="K1657" s="26">
        <f>IF($A1657="","",SUMPRODUCT(--ISNUMBER(SEARCH('Category Dictionary'!$D$5:$D$135&amp;"",$C1657)),--('Category Dictionary'!$D$5:$D$135&lt;&gt;"")))</f>
        <v/>
      </c>
      <c r="L1657" s="27">
        <f>IF($A1657="","",TRIM(IF(ISERROR(FIND(",",$C1657)),$C1657,LEFT($C1657,FIND(",",$C1657)-1))))</f>
        <v/>
      </c>
      <c r="M1657" s="28">
        <f>IF($H1657="","",DATE(YEAR($H1657),MONTH($H1657),1))</f>
        <v/>
      </c>
      <c r="N1657" s="26">
        <f>IF($H1657="","",TODAY()-$H1657)</f>
        <v/>
      </c>
      <c r="O1657" s="15" t="n"/>
      <c r="P1657" s="26">
        <f>IF($A1657="","",COUNTIFS('Audit Versions'!$A$6:$A$605,$A1657,'Audit Versions'!$L$6:$L$605,"Active"))</f>
        <v/>
      </c>
      <c r="Q1657" s="15" t="n"/>
      <c r="R1657" s="26">
        <f>IF(OR($A1657="",$P1657=0),"",MOD(N($Q1657),$P1657)+1)</f>
        <v/>
      </c>
      <c r="S1657" s="15" t="n"/>
      <c r="T1657" s="25" t="n"/>
      <c r="U1657" s="26">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Builder'!$B$12="",N($S1657)&lt;='Assignment Builder'!$B$12)))</f>
        <v/>
      </c>
      <c r="V1657" s="23" t="n"/>
    </row>
    <row r="1658">
      <c r="A1658" s="23" t="n"/>
      <c r="B1658" s="23" t="n"/>
      <c r="C1658" s="24" t="n"/>
      <c r="D1658" s="15" t="n"/>
      <c r="E1658" s="23" t="n"/>
      <c r="F1658" s="15" t="n"/>
      <c r="G1658" s="23" t="n"/>
      <c r="H1658" s="25" t="n"/>
      <c r="I1658" s="15" t="n"/>
      <c r="J1658" s="26">
        <f>IF($A1658="","",LEN($C1658)-LEN(SUBSTITUTE($C1658,",",""))+1)</f>
        <v/>
      </c>
      <c r="K1658" s="26">
        <f>IF($A1658="","",SUMPRODUCT(--ISNUMBER(SEARCH('Category Dictionary'!$D$5:$D$135&amp;"",$C1658)),--('Category Dictionary'!$D$5:$D$135&lt;&gt;"")))</f>
        <v/>
      </c>
      <c r="L1658" s="27">
        <f>IF($A1658="","",TRIM(IF(ISERROR(FIND(",",$C1658)),$C1658,LEFT($C1658,FIND(",",$C1658)-1))))</f>
        <v/>
      </c>
      <c r="M1658" s="28">
        <f>IF($H1658="","",DATE(YEAR($H1658),MONTH($H1658),1))</f>
        <v/>
      </c>
      <c r="N1658" s="26">
        <f>IF($H1658="","",TODAY()-$H1658)</f>
        <v/>
      </c>
      <c r="O1658" s="15" t="n"/>
      <c r="P1658" s="26">
        <f>IF($A1658="","",COUNTIFS('Audit Versions'!$A$6:$A$605,$A1658,'Audit Versions'!$L$6:$L$605,"Active"))</f>
        <v/>
      </c>
      <c r="Q1658" s="15" t="n"/>
      <c r="R1658" s="26">
        <f>IF(OR($A1658="",$P1658=0),"",MOD(N($Q1658),$P1658)+1)</f>
        <v/>
      </c>
      <c r="S1658" s="15" t="n"/>
      <c r="T1658" s="25" t="n"/>
      <c r="U1658" s="26">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Builder'!$B$12="",N($S1658)&lt;='Assignment Builder'!$B$12)))</f>
        <v/>
      </c>
      <c r="V1658" s="23" t="n"/>
    </row>
    <row r="1659">
      <c r="A1659" s="23" t="n"/>
      <c r="B1659" s="23" t="n"/>
      <c r="C1659" s="24" t="n"/>
      <c r="D1659" s="15" t="n"/>
      <c r="E1659" s="23" t="n"/>
      <c r="F1659" s="15" t="n"/>
      <c r="G1659" s="23" t="n"/>
      <c r="H1659" s="25" t="n"/>
      <c r="I1659" s="15" t="n"/>
      <c r="J1659" s="26">
        <f>IF($A1659="","",LEN($C1659)-LEN(SUBSTITUTE($C1659,",",""))+1)</f>
        <v/>
      </c>
      <c r="K1659" s="26">
        <f>IF($A1659="","",SUMPRODUCT(--ISNUMBER(SEARCH('Category Dictionary'!$D$5:$D$135&amp;"",$C1659)),--('Category Dictionary'!$D$5:$D$135&lt;&gt;"")))</f>
        <v/>
      </c>
      <c r="L1659" s="27">
        <f>IF($A1659="","",TRIM(IF(ISERROR(FIND(",",$C1659)),$C1659,LEFT($C1659,FIND(",",$C1659)-1))))</f>
        <v/>
      </c>
      <c r="M1659" s="28">
        <f>IF($H1659="","",DATE(YEAR($H1659),MONTH($H1659),1))</f>
        <v/>
      </c>
      <c r="N1659" s="26">
        <f>IF($H1659="","",TODAY()-$H1659)</f>
        <v/>
      </c>
      <c r="O1659" s="15" t="n"/>
      <c r="P1659" s="26">
        <f>IF($A1659="","",COUNTIFS('Audit Versions'!$A$6:$A$605,$A1659,'Audit Versions'!$L$6:$L$605,"Active"))</f>
        <v/>
      </c>
      <c r="Q1659" s="15" t="n"/>
      <c r="R1659" s="26">
        <f>IF(OR($A1659="",$P1659=0),"",MOD(N($Q1659),$P1659)+1)</f>
        <v/>
      </c>
      <c r="S1659" s="15" t="n"/>
      <c r="T1659" s="25" t="n"/>
      <c r="U1659" s="26">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Builder'!$B$12="",N($S1659)&lt;='Assignment Builder'!$B$12)))</f>
        <v/>
      </c>
      <c r="V1659" s="23" t="n"/>
    </row>
    <row r="1660">
      <c r="A1660" s="23" t="n"/>
      <c r="B1660" s="23" t="n"/>
      <c r="C1660" s="24" t="n"/>
      <c r="D1660" s="15" t="n"/>
      <c r="E1660" s="23" t="n"/>
      <c r="F1660" s="15" t="n"/>
      <c r="G1660" s="23" t="n"/>
      <c r="H1660" s="25" t="n"/>
      <c r="I1660" s="15" t="n"/>
      <c r="J1660" s="26">
        <f>IF($A1660="","",LEN($C1660)-LEN(SUBSTITUTE($C1660,",",""))+1)</f>
        <v/>
      </c>
      <c r="K1660" s="26">
        <f>IF($A1660="","",SUMPRODUCT(--ISNUMBER(SEARCH('Category Dictionary'!$D$5:$D$135&amp;"",$C1660)),--('Category Dictionary'!$D$5:$D$135&lt;&gt;"")))</f>
        <v/>
      </c>
      <c r="L1660" s="27">
        <f>IF($A1660="","",TRIM(IF(ISERROR(FIND(",",$C1660)),$C1660,LEFT($C1660,FIND(",",$C1660)-1))))</f>
        <v/>
      </c>
      <c r="M1660" s="28">
        <f>IF($H1660="","",DATE(YEAR($H1660),MONTH($H1660),1))</f>
        <v/>
      </c>
      <c r="N1660" s="26">
        <f>IF($H1660="","",TODAY()-$H1660)</f>
        <v/>
      </c>
      <c r="O1660" s="15" t="n"/>
      <c r="P1660" s="26">
        <f>IF($A1660="","",COUNTIFS('Audit Versions'!$A$6:$A$605,$A1660,'Audit Versions'!$L$6:$L$605,"Active"))</f>
        <v/>
      </c>
      <c r="Q1660" s="15" t="n"/>
      <c r="R1660" s="26">
        <f>IF(OR($A1660="",$P1660=0),"",MOD(N($Q1660),$P1660)+1)</f>
        <v/>
      </c>
      <c r="S1660" s="15" t="n"/>
      <c r="T1660" s="25" t="n"/>
      <c r="U1660" s="26">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Builder'!$B$12="",N($S1660)&lt;='Assignment Builder'!$B$12)))</f>
        <v/>
      </c>
      <c r="V1660" s="23" t="n"/>
    </row>
    <row r="1661">
      <c r="A1661" s="23" t="n"/>
      <c r="B1661" s="23" t="n"/>
      <c r="C1661" s="24" t="n"/>
      <c r="D1661" s="15" t="n"/>
      <c r="E1661" s="23" t="n"/>
      <c r="F1661" s="15" t="n"/>
      <c r="G1661" s="23" t="n"/>
      <c r="H1661" s="25" t="n"/>
      <c r="I1661" s="15" t="n"/>
      <c r="J1661" s="26">
        <f>IF($A1661="","",LEN($C1661)-LEN(SUBSTITUTE($C1661,",",""))+1)</f>
        <v/>
      </c>
      <c r="K1661" s="26">
        <f>IF($A1661="","",SUMPRODUCT(--ISNUMBER(SEARCH('Category Dictionary'!$D$5:$D$135&amp;"",$C1661)),--('Category Dictionary'!$D$5:$D$135&lt;&gt;"")))</f>
        <v/>
      </c>
      <c r="L1661" s="27">
        <f>IF($A1661="","",TRIM(IF(ISERROR(FIND(",",$C1661)),$C1661,LEFT($C1661,FIND(",",$C1661)-1))))</f>
        <v/>
      </c>
      <c r="M1661" s="28">
        <f>IF($H1661="","",DATE(YEAR($H1661),MONTH($H1661),1))</f>
        <v/>
      </c>
      <c r="N1661" s="26">
        <f>IF($H1661="","",TODAY()-$H1661)</f>
        <v/>
      </c>
      <c r="O1661" s="15" t="n"/>
      <c r="P1661" s="26">
        <f>IF($A1661="","",COUNTIFS('Audit Versions'!$A$6:$A$605,$A1661,'Audit Versions'!$L$6:$L$605,"Active"))</f>
        <v/>
      </c>
      <c r="Q1661" s="15" t="n"/>
      <c r="R1661" s="26">
        <f>IF(OR($A1661="",$P1661=0),"",MOD(N($Q1661),$P1661)+1)</f>
        <v/>
      </c>
      <c r="S1661" s="15" t="n"/>
      <c r="T1661" s="25" t="n"/>
      <c r="U1661" s="26">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Builder'!$B$12="",N($S1661)&lt;='Assignment Builder'!$B$12)))</f>
        <v/>
      </c>
      <c r="V1661" s="23" t="n"/>
    </row>
    <row r="1662">
      <c r="A1662" s="23" t="n"/>
      <c r="B1662" s="23" t="n"/>
      <c r="C1662" s="24" t="n"/>
      <c r="D1662" s="15" t="n"/>
      <c r="E1662" s="23" t="n"/>
      <c r="F1662" s="15" t="n"/>
      <c r="G1662" s="23" t="n"/>
      <c r="H1662" s="25" t="n"/>
      <c r="I1662" s="15" t="n"/>
      <c r="J1662" s="26">
        <f>IF($A1662="","",LEN($C1662)-LEN(SUBSTITUTE($C1662,",",""))+1)</f>
        <v/>
      </c>
      <c r="K1662" s="26">
        <f>IF($A1662="","",SUMPRODUCT(--ISNUMBER(SEARCH('Category Dictionary'!$D$5:$D$135&amp;"",$C1662)),--('Category Dictionary'!$D$5:$D$135&lt;&gt;"")))</f>
        <v/>
      </c>
      <c r="L1662" s="27">
        <f>IF($A1662="","",TRIM(IF(ISERROR(FIND(",",$C1662)),$C1662,LEFT($C1662,FIND(",",$C1662)-1))))</f>
        <v/>
      </c>
      <c r="M1662" s="28">
        <f>IF($H1662="","",DATE(YEAR($H1662),MONTH($H1662),1))</f>
        <v/>
      </c>
      <c r="N1662" s="26">
        <f>IF($H1662="","",TODAY()-$H1662)</f>
        <v/>
      </c>
      <c r="O1662" s="15" t="n"/>
      <c r="P1662" s="26">
        <f>IF($A1662="","",COUNTIFS('Audit Versions'!$A$6:$A$605,$A1662,'Audit Versions'!$L$6:$L$605,"Active"))</f>
        <v/>
      </c>
      <c r="Q1662" s="15" t="n"/>
      <c r="R1662" s="26">
        <f>IF(OR($A1662="",$P1662=0),"",MOD(N($Q1662),$P1662)+1)</f>
        <v/>
      </c>
      <c r="S1662" s="15" t="n"/>
      <c r="T1662" s="25" t="n"/>
      <c r="U1662" s="26">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Builder'!$B$12="",N($S1662)&lt;='Assignment Builder'!$B$12)))</f>
        <v/>
      </c>
      <c r="V1662" s="23" t="n"/>
    </row>
    <row r="1663">
      <c r="A1663" s="23" t="n"/>
      <c r="B1663" s="23" t="n"/>
      <c r="C1663" s="24" t="n"/>
      <c r="D1663" s="15" t="n"/>
      <c r="E1663" s="23" t="n"/>
      <c r="F1663" s="15" t="n"/>
      <c r="G1663" s="23" t="n"/>
      <c r="H1663" s="25" t="n"/>
      <c r="I1663" s="15" t="n"/>
      <c r="J1663" s="26">
        <f>IF($A1663="","",LEN($C1663)-LEN(SUBSTITUTE($C1663,",",""))+1)</f>
        <v/>
      </c>
      <c r="K1663" s="26">
        <f>IF($A1663="","",SUMPRODUCT(--ISNUMBER(SEARCH('Category Dictionary'!$D$5:$D$135&amp;"",$C1663)),--('Category Dictionary'!$D$5:$D$135&lt;&gt;"")))</f>
        <v/>
      </c>
      <c r="L1663" s="27">
        <f>IF($A1663="","",TRIM(IF(ISERROR(FIND(",",$C1663)),$C1663,LEFT($C1663,FIND(",",$C1663)-1))))</f>
        <v/>
      </c>
      <c r="M1663" s="28">
        <f>IF($H1663="","",DATE(YEAR($H1663),MONTH($H1663),1))</f>
        <v/>
      </c>
      <c r="N1663" s="26">
        <f>IF($H1663="","",TODAY()-$H1663)</f>
        <v/>
      </c>
      <c r="O1663" s="15" t="n"/>
      <c r="P1663" s="26">
        <f>IF($A1663="","",COUNTIFS('Audit Versions'!$A$6:$A$605,$A1663,'Audit Versions'!$L$6:$L$605,"Active"))</f>
        <v/>
      </c>
      <c r="Q1663" s="15" t="n"/>
      <c r="R1663" s="26">
        <f>IF(OR($A1663="",$P1663=0),"",MOD(N($Q1663),$P1663)+1)</f>
        <v/>
      </c>
      <c r="S1663" s="15" t="n"/>
      <c r="T1663" s="25" t="n"/>
      <c r="U1663" s="26">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Builder'!$B$12="",N($S1663)&lt;='Assignment Builder'!$B$12)))</f>
        <v/>
      </c>
      <c r="V1663" s="23" t="n"/>
    </row>
    <row r="1664">
      <c r="A1664" s="23" t="n"/>
      <c r="B1664" s="23" t="n"/>
      <c r="C1664" s="24" t="n"/>
      <c r="D1664" s="15" t="n"/>
      <c r="E1664" s="23" t="n"/>
      <c r="F1664" s="15" t="n"/>
      <c r="G1664" s="23" t="n"/>
      <c r="H1664" s="25" t="n"/>
      <c r="I1664" s="15" t="n"/>
      <c r="J1664" s="26">
        <f>IF($A1664="","",LEN($C1664)-LEN(SUBSTITUTE($C1664,",",""))+1)</f>
        <v/>
      </c>
      <c r="K1664" s="26">
        <f>IF($A1664="","",SUMPRODUCT(--ISNUMBER(SEARCH('Category Dictionary'!$D$5:$D$135&amp;"",$C1664)),--('Category Dictionary'!$D$5:$D$135&lt;&gt;"")))</f>
        <v/>
      </c>
      <c r="L1664" s="27">
        <f>IF($A1664="","",TRIM(IF(ISERROR(FIND(",",$C1664)),$C1664,LEFT($C1664,FIND(",",$C1664)-1))))</f>
        <v/>
      </c>
      <c r="M1664" s="28">
        <f>IF($H1664="","",DATE(YEAR($H1664),MONTH($H1664),1))</f>
        <v/>
      </c>
      <c r="N1664" s="26">
        <f>IF($H1664="","",TODAY()-$H1664)</f>
        <v/>
      </c>
      <c r="O1664" s="15" t="n"/>
      <c r="P1664" s="26">
        <f>IF($A1664="","",COUNTIFS('Audit Versions'!$A$6:$A$605,$A1664,'Audit Versions'!$L$6:$L$605,"Active"))</f>
        <v/>
      </c>
      <c r="Q1664" s="15" t="n"/>
      <c r="R1664" s="26">
        <f>IF(OR($A1664="",$P1664=0),"",MOD(N($Q1664),$P1664)+1)</f>
        <v/>
      </c>
      <c r="S1664" s="15" t="n"/>
      <c r="T1664" s="25" t="n"/>
      <c r="U1664" s="26">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Builder'!$B$12="",N($S1664)&lt;='Assignment Builder'!$B$12)))</f>
        <v/>
      </c>
      <c r="V1664" s="23" t="n"/>
    </row>
    <row r="1665">
      <c r="A1665" s="23" t="n"/>
      <c r="B1665" s="23" t="n"/>
      <c r="C1665" s="24" t="n"/>
      <c r="D1665" s="15" t="n"/>
      <c r="E1665" s="23" t="n"/>
      <c r="F1665" s="15" t="n"/>
      <c r="G1665" s="23" t="n"/>
      <c r="H1665" s="25" t="n"/>
      <c r="I1665" s="15" t="n"/>
      <c r="J1665" s="26">
        <f>IF($A1665="","",LEN($C1665)-LEN(SUBSTITUTE($C1665,",",""))+1)</f>
        <v/>
      </c>
      <c r="K1665" s="26">
        <f>IF($A1665="","",SUMPRODUCT(--ISNUMBER(SEARCH('Category Dictionary'!$D$5:$D$135&amp;"",$C1665)),--('Category Dictionary'!$D$5:$D$135&lt;&gt;"")))</f>
        <v/>
      </c>
      <c r="L1665" s="27">
        <f>IF($A1665="","",TRIM(IF(ISERROR(FIND(",",$C1665)),$C1665,LEFT($C1665,FIND(",",$C1665)-1))))</f>
        <v/>
      </c>
      <c r="M1665" s="28">
        <f>IF($H1665="","",DATE(YEAR($H1665),MONTH($H1665),1))</f>
        <v/>
      </c>
      <c r="N1665" s="26">
        <f>IF($H1665="","",TODAY()-$H1665)</f>
        <v/>
      </c>
      <c r="O1665" s="15" t="n"/>
      <c r="P1665" s="26">
        <f>IF($A1665="","",COUNTIFS('Audit Versions'!$A$6:$A$605,$A1665,'Audit Versions'!$L$6:$L$605,"Active"))</f>
        <v/>
      </c>
      <c r="Q1665" s="15" t="n"/>
      <c r="R1665" s="26">
        <f>IF(OR($A1665="",$P1665=0),"",MOD(N($Q1665),$P1665)+1)</f>
        <v/>
      </c>
      <c r="S1665" s="15" t="n"/>
      <c r="T1665" s="25" t="n"/>
      <c r="U1665" s="26">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Builder'!$B$12="",N($S1665)&lt;='Assignment Builder'!$B$12)))</f>
        <v/>
      </c>
      <c r="V1665" s="23" t="n"/>
    </row>
    <row r="1666">
      <c r="A1666" s="23" t="n"/>
      <c r="B1666" s="23" t="n"/>
      <c r="C1666" s="24" t="n"/>
      <c r="D1666" s="15" t="n"/>
      <c r="E1666" s="23" t="n"/>
      <c r="F1666" s="15" t="n"/>
      <c r="G1666" s="23" t="n"/>
      <c r="H1666" s="25" t="n"/>
      <c r="I1666" s="15" t="n"/>
      <c r="J1666" s="26">
        <f>IF($A1666="","",LEN($C1666)-LEN(SUBSTITUTE($C1666,",",""))+1)</f>
        <v/>
      </c>
      <c r="K1666" s="26">
        <f>IF($A1666="","",SUMPRODUCT(--ISNUMBER(SEARCH('Category Dictionary'!$D$5:$D$135&amp;"",$C1666)),--('Category Dictionary'!$D$5:$D$135&lt;&gt;"")))</f>
        <v/>
      </c>
      <c r="L1666" s="27">
        <f>IF($A1666="","",TRIM(IF(ISERROR(FIND(",",$C1666)),$C1666,LEFT($C1666,FIND(",",$C1666)-1))))</f>
        <v/>
      </c>
      <c r="M1666" s="28">
        <f>IF($H1666="","",DATE(YEAR($H1666),MONTH($H1666),1))</f>
        <v/>
      </c>
      <c r="N1666" s="26">
        <f>IF($H1666="","",TODAY()-$H1666)</f>
        <v/>
      </c>
      <c r="O1666" s="15" t="n"/>
      <c r="P1666" s="26">
        <f>IF($A1666="","",COUNTIFS('Audit Versions'!$A$6:$A$605,$A1666,'Audit Versions'!$L$6:$L$605,"Active"))</f>
        <v/>
      </c>
      <c r="Q1666" s="15" t="n"/>
      <c r="R1666" s="26">
        <f>IF(OR($A1666="",$P1666=0),"",MOD(N($Q1666),$P1666)+1)</f>
        <v/>
      </c>
      <c r="S1666" s="15" t="n"/>
      <c r="T1666" s="25" t="n"/>
      <c r="U1666" s="26">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Builder'!$B$12="",N($S1666)&lt;='Assignment Builder'!$B$12)))</f>
        <v/>
      </c>
      <c r="V1666" s="23" t="n"/>
    </row>
    <row r="1667">
      <c r="A1667" s="23" t="n"/>
      <c r="B1667" s="23" t="n"/>
      <c r="C1667" s="24" t="n"/>
      <c r="D1667" s="15" t="n"/>
      <c r="E1667" s="23" t="n"/>
      <c r="F1667" s="15" t="n"/>
      <c r="G1667" s="23" t="n"/>
      <c r="H1667" s="25" t="n"/>
      <c r="I1667" s="15" t="n"/>
      <c r="J1667" s="26">
        <f>IF($A1667="","",LEN($C1667)-LEN(SUBSTITUTE($C1667,",",""))+1)</f>
        <v/>
      </c>
      <c r="K1667" s="26">
        <f>IF($A1667="","",SUMPRODUCT(--ISNUMBER(SEARCH('Category Dictionary'!$D$5:$D$135&amp;"",$C1667)),--('Category Dictionary'!$D$5:$D$135&lt;&gt;"")))</f>
        <v/>
      </c>
      <c r="L1667" s="27">
        <f>IF($A1667="","",TRIM(IF(ISERROR(FIND(",",$C1667)),$C1667,LEFT($C1667,FIND(",",$C1667)-1))))</f>
        <v/>
      </c>
      <c r="M1667" s="28">
        <f>IF($H1667="","",DATE(YEAR($H1667),MONTH($H1667),1))</f>
        <v/>
      </c>
      <c r="N1667" s="26">
        <f>IF($H1667="","",TODAY()-$H1667)</f>
        <v/>
      </c>
      <c r="O1667" s="15" t="n"/>
      <c r="P1667" s="26">
        <f>IF($A1667="","",COUNTIFS('Audit Versions'!$A$6:$A$605,$A1667,'Audit Versions'!$L$6:$L$605,"Active"))</f>
        <v/>
      </c>
      <c r="Q1667" s="15" t="n"/>
      <c r="R1667" s="26">
        <f>IF(OR($A1667="",$P1667=0),"",MOD(N($Q1667),$P1667)+1)</f>
        <v/>
      </c>
      <c r="S1667" s="15" t="n"/>
      <c r="T1667" s="25" t="n"/>
      <c r="U1667" s="26">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Builder'!$B$12="",N($S1667)&lt;='Assignment Builder'!$B$12)))</f>
        <v/>
      </c>
      <c r="V1667" s="23" t="n"/>
    </row>
    <row r="1668">
      <c r="A1668" s="23" t="n"/>
      <c r="B1668" s="23" t="n"/>
      <c r="C1668" s="24" t="n"/>
      <c r="D1668" s="15" t="n"/>
      <c r="E1668" s="23" t="n"/>
      <c r="F1668" s="15" t="n"/>
      <c r="G1668" s="23" t="n"/>
      <c r="H1668" s="25" t="n"/>
      <c r="I1668" s="15" t="n"/>
      <c r="J1668" s="26">
        <f>IF($A1668="","",LEN($C1668)-LEN(SUBSTITUTE($C1668,",",""))+1)</f>
        <v/>
      </c>
      <c r="K1668" s="26">
        <f>IF($A1668="","",SUMPRODUCT(--ISNUMBER(SEARCH('Category Dictionary'!$D$5:$D$135&amp;"",$C1668)),--('Category Dictionary'!$D$5:$D$135&lt;&gt;"")))</f>
        <v/>
      </c>
      <c r="L1668" s="27">
        <f>IF($A1668="","",TRIM(IF(ISERROR(FIND(",",$C1668)),$C1668,LEFT($C1668,FIND(",",$C1668)-1))))</f>
        <v/>
      </c>
      <c r="M1668" s="28">
        <f>IF($H1668="","",DATE(YEAR($H1668),MONTH($H1668),1))</f>
        <v/>
      </c>
      <c r="N1668" s="26">
        <f>IF($H1668="","",TODAY()-$H1668)</f>
        <v/>
      </c>
      <c r="O1668" s="15" t="n"/>
      <c r="P1668" s="26">
        <f>IF($A1668="","",COUNTIFS('Audit Versions'!$A$6:$A$605,$A1668,'Audit Versions'!$L$6:$L$605,"Active"))</f>
        <v/>
      </c>
      <c r="Q1668" s="15" t="n"/>
      <c r="R1668" s="26">
        <f>IF(OR($A1668="",$P1668=0),"",MOD(N($Q1668),$P1668)+1)</f>
        <v/>
      </c>
      <c r="S1668" s="15" t="n"/>
      <c r="T1668" s="25" t="n"/>
      <c r="U1668" s="26">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Builder'!$B$12="",N($S1668)&lt;='Assignment Builder'!$B$12)))</f>
        <v/>
      </c>
      <c r="V1668" s="23" t="n"/>
    </row>
    <row r="1669">
      <c r="A1669" s="23" t="n"/>
      <c r="B1669" s="23" t="n"/>
      <c r="C1669" s="24" t="n"/>
      <c r="D1669" s="15" t="n"/>
      <c r="E1669" s="23" t="n"/>
      <c r="F1669" s="15" t="n"/>
      <c r="G1669" s="23" t="n"/>
      <c r="H1669" s="25" t="n"/>
      <c r="I1669" s="15" t="n"/>
      <c r="J1669" s="26">
        <f>IF($A1669="","",LEN($C1669)-LEN(SUBSTITUTE($C1669,",",""))+1)</f>
        <v/>
      </c>
      <c r="K1669" s="26">
        <f>IF($A1669="","",SUMPRODUCT(--ISNUMBER(SEARCH('Category Dictionary'!$D$5:$D$135&amp;"",$C1669)),--('Category Dictionary'!$D$5:$D$135&lt;&gt;"")))</f>
        <v/>
      </c>
      <c r="L1669" s="27">
        <f>IF($A1669="","",TRIM(IF(ISERROR(FIND(",",$C1669)),$C1669,LEFT($C1669,FIND(",",$C1669)-1))))</f>
        <v/>
      </c>
      <c r="M1669" s="28">
        <f>IF($H1669="","",DATE(YEAR($H1669),MONTH($H1669),1))</f>
        <v/>
      </c>
      <c r="N1669" s="26">
        <f>IF($H1669="","",TODAY()-$H1669)</f>
        <v/>
      </c>
      <c r="O1669" s="15" t="n"/>
      <c r="P1669" s="26">
        <f>IF($A1669="","",COUNTIFS('Audit Versions'!$A$6:$A$605,$A1669,'Audit Versions'!$L$6:$L$605,"Active"))</f>
        <v/>
      </c>
      <c r="Q1669" s="15" t="n"/>
      <c r="R1669" s="26">
        <f>IF(OR($A1669="",$P1669=0),"",MOD(N($Q1669),$P1669)+1)</f>
        <v/>
      </c>
      <c r="S1669" s="15" t="n"/>
      <c r="T1669" s="25" t="n"/>
      <c r="U1669" s="26">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Builder'!$B$12="",N($S1669)&lt;='Assignment Builder'!$B$12)))</f>
        <v/>
      </c>
      <c r="V1669" s="23" t="n"/>
    </row>
    <row r="1670">
      <c r="A1670" s="23" t="n"/>
      <c r="B1670" s="23" t="n"/>
      <c r="C1670" s="24" t="n"/>
      <c r="D1670" s="15" t="n"/>
      <c r="E1670" s="23" t="n"/>
      <c r="F1670" s="15" t="n"/>
      <c r="G1670" s="23" t="n"/>
      <c r="H1670" s="25" t="n"/>
      <c r="I1670" s="15" t="n"/>
      <c r="J1670" s="26">
        <f>IF($A1670="","",LEN($C1670)-LEN(SUBSTITUTE($C1670,",",""))+1)</f>
        <v/>
      </c>
      <c r="K1670" s="26">
        <f>IF($A1670="","",SUMPRODUCT(--ISNUMBER(SEARCH('Category Dictionary'!$D$5:$D$135&amp;"",$C1670)),--('Category Dictionary'!$D$5:$D$135&lt;&gt;"")))</f>
        <v/>
      </c>
      <c r="L1670" s="27">
        <f>IF($A1670="","",TRIM(IF(ISERROR(FIND(",",$C1670)),$C1670,LEFT($C1670,FIND(",",$C1670)-1))))</f>
        <v/>
      </c>
      <c r="M1670" s="28">
        <f>IF($H1670="","",DATE(YEAR($H1670),MONTH($H1670),1))</f>
        <v/>
      </c>
      <c r="N1670" s="26">
        <f>IF($H1670="","",TODAY()-$H1670)</f>
        <v/>
      </c>
      <c r="O1670" s="15" t="n"/>
      <c r="P1670" s="26">
        <f>IF($A1670="","",COUNTIFS('Audit Versions'!$A$6:$A$605,$A1670,'Audit Versions'!$L$6:$L$605,"Active"))</f>
        <v/>
      </c>
      <c r="Q1670" s="15" t="n"/>
      <c r="R1670" s="26">
        <f>IF(OR($A1670="",$P1670=0),"",MOD(N($Q1670),$P1670)+1)</f>
        <v/>
      </c>
      <c r="S1670" s="15" t="n"/>
      <c r="T1670" s="25" t="n"/>
      <c r="U1670" s="26">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Builder'!$B$12="",N($S1670)&lt;='Assignment Builder'!$B$12)))</f>
        <v/>
      </c>
      <c r="V1670" s="23" t="n"/>
    </row>
    <row r="1671">
      <c r="A1671" s="23" t="n"/>
      <c r="B1671" s="23" t="n"/>
      <c r="C1671" s="24" t="n"/>
      <c r="D1671" s="15" t="n"/>
      <c r="E1671" s="23" t="n"/>
      <c r="F1671" s="15" t="n"/>
      <c r="G1671" s="23" t="n"/>
      <c r="H1671" s="25" t="n"/>
      <c r="I1671" s="15" t="n"/>
      <c r="J1671" s="26">
        <f>IF($A1671="","",LEN($C1671)-LEN(SUBSTITUTE($C1671,",",""))+1)</f>
        <v/>
      </c>
      <c r="K1671" s="26">
        <f>IF($A1671="","",SUMPRODUCT(--ISNUMBER(SEARCH('Category Dictionary'!$D$5:$D$135&amp;"",$C1671)),--('Category Dictionary'!$D$5:$D$135&lt;&gt;"")))</f>
        <v/>
      </c>
      <c r="L1671" s="27">
        <f>IF($A1671="","",TRIM(IF(ISERROR(FIND(",",$C1671)),$C1671,LEFT($C1671,FIND(",",$C1671)-1))))</f>
        <v/>
      </c>
      <c r="M1671" s="28">
        <f>IF($H1671="","",DATE(YEAR($H1671),MONTH($H1671),1))</f>
        <v/>
      </c>
      <c r="N1671" s="26">
        <f>IF($H1671="","",TODAY()-$H1671)</f>
        <v/>
      </c>
      <c r="O1671" s="15" t="n"/>
      <c r="P1671" s="26">
        <f>IF($A1671="","",COUNTIFS('Audit Versions'!$A$6:$A$605,$A1671,'Audit Versions'!$L$6:$L$605,"Active"))</f>
        <v/>
      </c>
      <c r="Q1671" s="15" t="n"/>
      <c r="R1671" s="26">
        <f>IF(OR($A1671="",$P1671=0),"",MOD(N($Q1671),$P1671)+1)</f>
        <v/>
      </c>
      <c r="S1671" s="15" t="n"/>
      <c r="T1671" s="25" t="n"/>
      <c r="U1671" s="26">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Builder'!$B$12="",N($S1671)&lt;='Assignment Builder'!$B$12)))</f>
        <v/>
      </c>
      <c r="V1671" s="23" t="n"/>
    </row>
    <row r="1672">
      <c r="A1672" s="23" t="n"/>
      <c r="B1672" s="23" t="n"/>
      <c r="C1672" s="24" t="n"/>
      <c r="D1672" s="15" t="n"/>
      <c r="E1672" s="23" t="n"/>
      <c r="F1672" s="15" t="n"/>
      <c r="G1672" s="23" t="n"/>
      <c r="H1672" s="25" t="n"/>
      <c r="I1672" s="15" t="n"/>
      <c r="J1672" s="26">
        <f>IF($A1672="","",LEN($C1672)-LEN(SUBSTITUTE($C1672,",",""))+1)</f>
        <v/>
      </c>
      <c r="K1672" s="26">
        <f>IF($A1672="","",SUMPRODUCT(--ISNUMBER(SEARCH('Category Dictionary'!$D$5:$D$135&amp;"",$C1672)),--('Category Dictionary'!$D$5:$D$135&lt;&gt;"")))</f>
        <v/>
      </c>
      <c r="L1672" s="27">
        <f>IF($A1672="","",TRIM(IF(ISERROR(FIND(",",$C1672)),$C1672,LEFT($C1672,FIND(",",$C1672)-1))))</f>
        <v/>
      </c>
      <c r="M1672" s="28">
        <f>IF($H1672="","",DATE(YEAR($H1672),MONTH($H1672),1))</f>
        <v/>
      </c>
      <c r="N1672" s="26">
        <f>IF($H1672="","",TODAY()-$H1672)</f>
        <v/>
      </c>
      <c r="O1672" s="15" t="n"/>
      <c r="P1672" s="26">
        <f>IF($A1672="","",COUNTIFS('Audit Versions'!$A$6:$A$605,$A1672,'Audit Versions'!$L$6:$L$605,"Active"))</f>
        <v/>
      </c>
      <c r="Q1672" s="15" t="n"/>
      <c r="R1672" s="26">
        <f>IF(OR($A1672="",$P1672=0),"",MOD(N($Q1672),$P1672)+1)</f>
        <v/>
      </c>
      <c r="S1672" s="15" t="n"/>
      <c r="T1672" s="25" t="n"/>
      <c r="U1672" s="26">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Builder'!$B$12="",N($S1672)&lt;='Assignment Builder'!$B$12)))</f>
        <v/>
      </c>
      <c r="V1672" s="23" t="n"/>
    </row>
    <row r="1673">
      <c r="A1673" s="23" t="n"/>
      <c r="B1673" s="23" t="n"/>
      <c r="C1673" s="24" t="n"/>
      <c r="D1673" s="15" t="n"/>
      <c r="E1673" s="23" t="n"/>
      <c r="F1673" s="15" t="n"/>
      <c r="G1673" s="23" t="n"/>
      <c r="H1673" s="25" t="n"/>
      <c r="I1673" s="15" t="n"/>
      <c r="J1673" s="26">
        <f>IF($A1673="","",LEN($C1673)-LEN(SUBSTITUTE($C1673,",",""))+1)</f>
        <v/>
      </c>
      <c r="K1673" s="26">
        <f>IF($A1673="","",SUMPRODUCT(--ISNUMBER(SEARCH('Category Dictionary'!$D$5:$D$135&amp;"",$C1673)),--('Category Dictionary'!$D$5:$D$135&lt;&gt;"")))</f>
        <v/>
      </c>
      <c r="L1673" s="27">
        <f>IF($A1673="","",TRIM(IF(ISERROR(FIND(",",$C1673)),$C1673,LEFT($C1673,FIND(",",$C1673)-1))))</f>
        <v/>
      </c>
      <c r="M1673" s="28">
        <f>IF($H1673="","",DATE(YEAR($H1673),MONTH($H1673),1))</f>
        <v/>
      </c>
      <c r="N1673" s="26">
        <f>IF($H1673="","",TODAY()-$H1673)</f>
        <v/>
      </c>
      <c r="O1673" s="15" t="n"/>
      <c r="P1673" s="26">
        <f>IF($A1673="","",COUNTIFS('Audit Versions'!$A$6:$A$605,$A1673,'Audit Versions'!$L$6:$L$605,"Active"))</f>
        <v/>
      </c>
      <c r="Q1673" s="15" t="n"/>
      <c r="R1673" s="26">
        <f>IF(OR($A1673="",$P1673=0),"",MOD(N($Q1673),$P1673)+1)</f>
        <v/>
      </c>
      <c r="S1673" s="15" t="n"/>
      <c r="T1673" s="25" t="n"/>
      <c r="U1673" s="26">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Builder'!$B$12="",N($S1673)&lt;='Assignment Builder'!$B$12)))</f>
        <v/>
      </c>
      <c r="V1673" s="23" t="n"/>
    </row>
    <row r="1674">
      <c r="A1674" s="23" t="n"/>
      <c r="B1674" s="23" t="n"/>
      <c r="C1674" s="24" t="n"/>
      <c r="D1674" s="15" t="n"/>
      <c r="E1674" s="23" t="n"/>
      <c r="F1674" s="15" t="n"/>
      <c r="G1674" s="23" t="n"/>
      <c r="H1674" s="25" t="n"/>
      <c r="I1674" s="15" t="n"/>
      <c r="J1674" s="26">
        <f>IF($A1674="","",LEN($C1674)-LEN(SUBSTITUTE($C1674,",",""))+1)</f>
        <v/>
      </c>
      <c r="K1674" s="26">
        <f>IF($A1674="","",SUMPRODUCT(--ISNUMBER(SEARCH('Category Dictionary'!$D$5:$D$135&amp;"",$C1674)),--('Category Dictionary'!$D$5:$D$135&lt;&gt;"")))</f>
        <v/>
      </c>
      <c r="L1674" s="27">
        <f>IF($A1674="","",TRIM(IF(ISERROR(FIND(",",$C1674)),$C1674,LEFT($C1674,FIND(",",$C1674)-1))))</f>
        <v/>
      </c>
      <c r="M1674" s="28">
        <f>IF($H1674="","",DATE(YEAR($H1674),MONTH($H1674),1))</f>
        <v/>
      </c>
      <c r="N1674" s="26">
        <f>IF($H1674="","",TODAY()-$H1674)</f>
        <v/>
      </c>
      <c r="O1674" s="15" t="n"/>
      <c r="P1674" s="26">
        <f>IF($A1674="","",COUNTIFS('Audit Versions'!$A$6:$A$605,$A1674,'Audit Versions'!$L$6:$L$605,"Active"))</f>
        <v/>
      </c>
      <c r="Q1674" s="15" t="n"/>
      <c r="R1674" s="26">
        <f>IF(OR($A1674="",$P1674=0),"",MOD(N($Q1674),$P1674)+1)</f>
        <v/>
      </c>
      <c r="S1674" s="15" t="n"/>
      <c r="T1674" s="25" t="n"/>
      <c r="U1674" s="26">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Builder'!$B$12="",N($S1674)&lt;='Assignment Builder'!$B$12)))</f>
        <v/>
      </c>
      <c r="V1674" s="23" t="n"/>
    </row>
    <row r="1675">
      <c r="A1675" s="23" t="n"/>
      <c r="B1675" s="23" t="n"/>
      <c r="C1675" s="24" t="n"/>
      <c r="D1675" s="15" t="n"/>
      <c r="E1675" s="23" t="n"/>
      <c r="F1675" s="15" t="n"/>
      <c r="G1675" s="23" t="n"/>
      <c r="H1675" s="25" t="n"/>
      <c r="I1675" s="15" t="n"/>
      <c r="J1675" s="26">
        <f>IF($A1675="","",LEN($C1675)-LEN(SUBSTITUTE($C1675,",",""))+1)</f>
        <v/>
      </c>
      <c r="K1675" s="26">
        <f>IF($A1675="","",SUMPRODUCT(--ISNUMBER(SEARCH('Category Dictionary'!$D$5:$D$135&amp;"",$C1675)),--('Category Dictionary'!$D$5:$D$135&lt;&gt;"")))</f>
        <v/>
      </c>
      <c r="L1675" s="27">
        <f>IF($A1675="","",TRIM(IF(ISERROR(FIND(",",$C1675)),$C1675,LEFT($C1675,FIND(",",$C1675)-1))))</f>
        <v/>
      </c>
      <c r="M1675" s="28">
        <f>IF($H1675="","",DATE(YEAR($H1675),MONTH($H1675),1))</f>
        <v/>
      </c>
      <c r="N1675" s="26">
        <f>IF($H1675="","",TODAY()-$H1675)</f>
        <v/>
      </c>
      <c r="O1675" s="15" t="n"/>
      <c r="P1675" s="26">
        <f>IF($A1675="","",COUNTIFS('Audit Versions'!$A$6:$A$605,$A1675,'Audit Versions'!$L$6:$L$605,"Active"))</f>
        <v/>
      </c>
      <c r="Q1675" s="15" t="n"/>
      <c r="R1675" s="26">
        <f>IF(OR($A1675="",$P1675=0),"",MOD(N($Q1675),$P1675)+1)</f>
        <v/>
      </c>
      <c r="S1675" s="15" t="n"/>
      <c r="T1675" s="25" t="n"/>
      <c r="U1675" s="26">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Builder'!$B$12="",N($S1675)&lt;='Assignment Builder'!$B$12)))</f>
        <v/>
      </c>
      <c r="V1675" s="23" t="n"/>
    </row>
    <row r="1676">
      <c r="A1676" s="23" t="n"/>
      <c r="B1676" s="23" t="n"/>
      <c r="C1676" s="24" t="n"/>
      <c r="D1676" s="15" t="n"/>
      <c r="E1676" s="23" t="n"/>
      <c r="F1676" s="15" t="n"/>
      <c r="G1676" s="23" t="n"/>
      <c r="H1676" s="25" t="n"/>
      <c r="I1676" s="15" t="n"/>
      <c r="J1676" s="26">
        <f>IF($A1676="","",LEN($C1676)-LEN(SUBSTITUTE($C1676,",",""))+1)</f>
        <v/>
      </c>
      <c r="K1676" s="26">
        <f>IF($A1676="","",SUMPRODUCT(--ISNUMBER(SEARCH('Category Dictionary'!$D$5:$D$135&amp;"",$C1676)),--('Category Dictionary'!$D$5:$D$135&lt;&gt;"")))</f>
        <v/>
      </c>
      <c r="L1676" s="27">
        <f>IF($A1676="","",TRIM(IF(ISERROR(FIND(",",$C1676)),$C1676,LEFT($C1676,FIND(",",$C1676)-1))))</f>
        <v/>
      </c>
      <c r="M1676" s="28">
        <f>IF($H1676="","",DATE(YEAR($H1676),MONTH($H1676),1))</f>
        <v/>
      </c>
      <c r="N1676" s="26">
        <f>IF($H1676="","",TODAY()-$H1676)</f>
        <v/>
      </c>
      <c r="O1676" s="15" t="n"/>
      <c r="P1676" s="26">
        <f>IF($A1676="","",COUNTIFS('Audit Versions'!$A$6:$A$605,$A1676,'Audit Versions'!$L$6:$L$605,"Active"))</f>
        <v/>
      </c>
      <c r="Q1676" s="15" t="n"/>
      <c r="R1676" s="26">
        <f>IF(OR($A1676="",$P1676=0),"",MOD(N($Q1676),$P1676)+1)</f>
        <v/>
      </c>
      <c r="S1676" s="15" t="n"/>
      <c r="T1676" s="25" t="n"/>
      <c r="U1676" s="26">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Builder'!$B$12="",N($S1676)&lt;='Assignment Builder'!$B$12)))</f>
        <v/>
      </c>
      <c r="V1676" s="23" t="n"/>
    </row>
    <row r="1677">
      <c r="A1677" s="23" t="n"/>
      <c r="B1677" s="23" t="n"/>
      <c r="C1677" s="24" t="n"/>
      <c r="D1677" s="15" t="n"/>
      <c r="E1677" s="23" t="n"/>
      <c r="F1677" s="15" t="n"/>
      <c r="G1677" s="23" t="n"/>
      <c r="H1677" s="25" t="n"/>
      <c r="I1677" s="15" t="n"/>
      <c r="J1677" s="26">
        <f>IF($A1677="","",LEN($C1677)-LEN(SUBSTITUTE($C1677,",",""))+1)</f>
        <v/>
      </c>
      <c r="K1677" s="26">
        <f>IF($A1677="","",SUMPRODUCT(--ISNUMBER(SEARCH('Category Dictionary'!$D$5:$D$135&amp;"",$C1677)),--('Category Dictionary'!$D$5:$D$135&lt;&gt;"")))</f>
        <v/>
      </c>
      <c r="L1677" s="27">
        <f>IF($A1677="","",TRIM(IF(ISERROR(FIND(",",$C1677)),$C1677,LEFT($C1677,FIND(",",$C1677)-1))))</f>
        <v/>
      </c>
      <c r="M1677" s="28">
        <f>IF($H1677="","",DATE(YEAR($H1677),MONTH($H1677),1))</f>
        <v/>
      </c>
      <c r="N1677" s="26">
        <f>IF($H1677="","",TODAY()-$H1677)</f>
        <v/>
      </c>
      <c r="O1677" s="15" t="n"/>
      <c r="P1677" s="26">
        <f>IF($A1677="","",COUNTIFS('Audit Versions'!$A$6:$A$605,$A1677,'Audit Versions'!$L$6:$L$605,"Active"))</f>
        <v/>
      </c>
      <c r="Q1677" s="15" t="n"/>
      <c r="R1677" s="26">
        <f>IF(OR($A1677="",$P1677=0),"",MOD(N($Q1677),$P1677)+1)</f>
        <v/>
      </c>
      <c r="S1677" s="15" t="n"/>
      <c r="T1677" s="25" t="n"/>
      <c r="U1677" s="26">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Builder'!$B$12="",N($S1677)&lt;='Assignment Builder'!$B$12)))</f>
        <v/>
      </c>
      <c r="V1677" s="23" t="n"/>
    </row>
    <row r="1678">
      <c r="A1678" s="23" t="n"/>
      <c r="B1678" s="23" t="n"/>
      <c r="C1678" s="24" t="n"/>
      <c r="D1678" s="15" t="n"/>
      <c r="E1678" s="23" t="n"/>
      <c r="F1678" s="15" t="n"/>
      <c r="G1678" s="23" t="n"/>
      <c r="H1678" s="25" t="n"/>
      <c r="I1678" s="15" t="n"/>
      <c r="J1678" s="26">
        <f>IF($A1678="","",LEN($C1678)-LEN(SUBSTITUTE($C1678,",",""))+1)</f>
        <v/>
      </c>
      <c r="K1678" s="26">
        <f>IF($A1678="","",SUMPRODUCT(--ISNUMBER(SEARCH('Category Dictionary'!$D$5:$D$135&amp;"",$C1678)),--('Category Dictionary'!$D$5:$D$135&lt;&gt;"")))</f>
        <v/>
      </c>
      <c r="L1678" s="27">
        <f>IF($A1678="","",TRIM(IF(ISERROR(FIND(",",$C1678)),$C1678,LEFT($C1678,FIND(",",$C1678)-1))))</f>
        <v/>
      </c>
      <c r="M1678" s="28">
        <f>IF($H1678="","",DATE(YEAR($H1678),MONTH($H1678),1))</f>
        <v/>
      </c>
      <c r="N1678" s="26">
        <f>IF($H1678="","",TODAY()-$H1678)</f>
        <v/>
      </c>
      <c r="O1678" s="15" t="n"/>
      <c r="P1678" s="26">
        <f>IF($A1678="","",COUNTIFS('Audit Versions'!$A$6:$A$605,$A1678,'Audit Versions'!$L$6:$L$605,"Active"))</f>
        <v/>
      </c>
      <c r="Q1678" s="15" t="n"/>
      <c r="R1678" s="26">
        <f>IF(OR($A1678="",$P1678=0),"",MOD(N($Q1678),$P1678)+1)</f>
        <v/>
      </c>
      <c r="S1678" s="15" t="n"/>
      <c r="T1678" s="25" t="n"/>
      <c r="U1678" s="26">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Builder'!$B$12="",N($S1678)&lt;='Assignment Builder'!$B$12)))</f>
        <v/>
      </c>
      <c r="V1678" s="23" t="n"/>
    </row>
    <row r="1679">
      <c r="A1679" s="23" t="n"/>
      <c r="B1679" s="23" t="n"/>
      <c r="C1679" s="24" t="n"/>
      <c r="D1679" s="15" t="n"/>
      <c r="E1679" s="23" t="n"/>
      <c r="F1679" s="15" t="n"/>
      <c r="G1679" s="23" t="n"/>
      <c r="H1679" s="25" t="n"/>
      <c r="I1679" s="15" t="n"/>
      <c r="J1679" s="26">
        <f>IF($A1679="","",LEN($C1679)-LEN(SUBSTITUTE($C1679,",",""))+1)</f>
        <v/>
      </c>
      <c r="K1679" s="26">
        <f>IF($A1679="","",SUMPRODUCT(--ISNUMBER(SEARCH('Category Dictionary'!$D$5:$D$135&amp;"",$C1679)),--('Category Dictionary'!$D$5:$D$135&lt;&gt;"")))</f>
        <v/>
      </c>
      <c r="L1679" s="27">
        <f>IF($A1679="","",TRIM(IF(ISERROR(FIND(",",$C1679)),$C1679,LEFT($C1679,FIND(",",$C1679)-1))))</f>
        <v/>
      </c>
      <c r="M1679" s="28">
        <f>IF($H1679="","",DATE(YEAR($H1679),MONTH($H1679),1))</f>
        <v/>
      </c>
      <c r="N1679" s="26">
        <f>IF($H1679="","",TODAY()-$H1679)</f>
        <v/>
      </c>
      <c r="O1679" s="15" t="n"/>
      <c r="P1679" s="26">
        <f>IF($A1679="","",COUNTIFS('Audit Versions'!$A$6:$A$605,$A1679,'Audit Versions'!$L$6:$L$605,"Active"))</f>
        <v/>
      </c>
      <c r="Q1679" s="15" t="n"/>
      <c r="R1679" s="26">
        <f>IF(OR($A1679="",$P1679=0),"",MOD(N($Q1679),$P1679)+1)</f>
        <v/>
      </c>
      <c r="S1679" s="15" t="n"/>
      <c r="T1679" s="25" t="n"/>
      <c r="U1679" s="26">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Builder'!$B$12="",N($S1679)&lt;='Assignment Builder'!$B$12)))</f>
        <v/>
      </c>
      <c r="V1679" s="23" t="n"/>
    </row>
    <row r="1680">
      <c r="A1680" s="23" t="n"/>
      <c r="B1680" s="23" t="n"/>
      <c r="C1680" s="24" t="n"/>
      <c r="D1680" s="15" t="n"/>
      <c r="E1680" s="23" t="n"/>
      <c r="F1680" s="15" t="n"/>
      <c r="G1680" s="23" t="n"/>
      <c r="H1680" s="25" t="n"/>
      <c r="I1680" s="15" t="n"/>
      <c r="J1680" s="26">
        <f>IF($A1680="","",LEN($C1680)-LEN(SUBSTITUTE($C1680,",",""))+1)</f>
        <v/>
      </c>
      <c r="K1680" s="26">
        <f>IF($A1680="","",SUMPRODUCT(--ISNUMBER(SEARCH('Category Dictionary'!$D$5:$D$135&amp;"",$C1680)),--('Category Dictionary'!$D$5:$D$135&lt;&gt;"")))</f>
        <v/>
      </c>
      <c r="L1680" s="27">
        <f>IF($A1680="","",TRIM(IF(ISERROR(FIND(",",$C1680)),$C1680,LEFT($C1680,FIND(",",$C1680)-1))))</f>
        <v/>
      </c>
      <c r="M1680" s="28">
        <f>IF($H1680="","",DATE(YEAR($H1680),MONTH($H1680),1))</f>
        <v/>
      </c>
      <c r="N1680" s="26">
        <f>IF($H1680="","",TODAY()-$H1680)</f>
        <v/>
      </c>
      <c r="O1680" s="15" t="n"/>
      <c r="P1680" s="26">
        <f>IF($A1680="","",COUNTIFS('Audit Versions'!$A$6:$A$605,$A1680,'Audit Versions'!$L$6:$L$605,"Active"))</f>
        <v/>
      </c>
      <c r="Q1680" s="15" t="n"/>
      <c r="R1680" s="26">
        <f>IF(OR($A1680="",$P1680=0),"",MOD(N($Q1680),$P1680)+1)</f>
        <v/>
      </c>
      <c r="S1680" s="15" t="n"/>
      <c r="T1680" s="25" t="n"/>
      <c r="U1680" s="26">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Builder'!$B$12="",N($S1680)&lt;='Assignment Builder'!$B$12)))</f>
        <v/>
      </c>
      <c r="V1680" s="23" t="n"/>
    </row>
    <row r="1681">
      <c r="A1681" s="23" t="n"/>
      <c r="B1681" s="23" t="n"/>
      <c r="C1681" s="24" t="n"/>
      <c r="D1681" s="15" t="n"/>
      <c r="E1681" s="23" t="n"/>
      <c r="F1681" s="15" t="n"/>
      <c r="G1681" s="23" t="n"/>
      <c r="H1681" s="25" t="n"/>
      <c r="I1681" s="15" t="n"/>
      <c r="J1681" s="26">
        <f>IF($A1681="","",LEN($C1681)-LEN(SUBSTITUTE($C1681,",",""))+1)</f>
        <v/>
      </c>
      <c r="K1681" s="26">
        <f>IF($A1681="","",SUMPRODUCT(--ISNUMBER(SEARCH('Category Dictionary'!$D$5:$D$135&amp;"",$C1681)),--('Category Dictionary'!$D$5:$D$135&lt;&gt;"")))</f>
        <v/>
      </c>
      <c r="L1681" s="27">
        <f>IF($A1681="","",TRIM(IF(ISERROR(FIND(",",$C1681)),$C1681,LEFT($C1681,FIND(",",$C1681)-1))))</f>
        <v/>
      </c>
      <c r="M1681" s="28">
        <f>IF($H1681="","",DATE(YEAR($H1681),MONTH($H1681),1))</f>
        <v/>
      </c>
      <c r="N1681" s="26">
        <f>IF($H1681="","",TODAY()-$H1681)</f>
        <v/>
      </c>
      <c r="O1681" s="15" t="n"/>
      <c r="P1681" s="26">
        <f>IF($A1681="","",COUNTIFS('Audit Versions'!$A$6:$A$605,$A1681,'Audit Versions'!$L$6:$L$605,"Active"))</f>
        <v/>
      </c>
      <c r="Q1681" s="15" t="n"/>
      <c r="R1681" s="26">
        <f>IF(OR($A1681="",$P1681=0),"",MOD(N($Q1681),$P1681)+1)</f>
        <v/>
      </c>
      <c r="S1681" s="15" t="n"/>
      <c r="T1681" s="25" t="n"/>
      <c r="U1681" s="26">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Builder'!$B$12="",N($S1681)&lt;='Assignment Builder'!$B$12)))</f>
        <v/>
      </c>
      <c r="V1681" s="23" t="n"/>
    </row>
    <row r="1682">
      <c r="A1682" s="23" t="n"/>
      <c r="B1682" s="23" t="n"/>
      <c r="C1682" s="24" t="n"/>
      <c r="D1682" s="15" t="n"/>
      <c r="E1682" s="23" t="n"/>
      <c r="F1682" s="15" t="n"/>
      <c r="G1682" s="23" t="n"/>
      <c r="H1682" s="25" t="n"/>
      <c r="I1682" s="15" t="n"/>
      <c r="J1682" s="26">
        <f>IF($A1682="","",LEN($C1682)-LEN(SUBSTITUTE($C1682,",",""))+1)</f>
        <v/>
      </c>
      <c r="K1682" s="26">
        <f>IF($A1682="","",SUMPRODUCT(--ISNUMBER(SEARCH('Category Dictionary'!$D$5:$D$135&amp;"",$C1682)),--('Category Dictionary'!$D$5:$D$135&lt;&gt;"")))</f>
        <v/>
      </c>
      <c r="L1682" s="27">
        <f>IF($A1682="","",TRIM(IF(ISERROR(FIND(",",$C1682)),$C1682,LEFT($C1682,FIND(",",$C1682)-1))))</f>
        <v/>
      </c>
      <c r="M1682" s="28">
        <f>IF($H1682="","",DATE(YEAR($H1682),MONTH($H1682),1))</f>
        <v/>
      </c>
      <c r="N1682" s="26">
        <f>IF($H1682="","",TODAY()-$H1682)</f>
        <v/>
      </c>
      <c r="O1682" s="15" t="n"/>
      <c r="P1682" s="26">
        <f>IF($A1682="","",COUNTIFS('Audit Versions'!$A$6:$A$605,$A1682,'Audit Versions'!$L$6:$L$605,"Active"))</f>
        <v/>
      </c>
      <c r="Q1682" s="15" t="n"/>
      <c r="R1682" s="26">
        <f>IF(OR($A1682="",$P1682=0),"",MOD(N($Q1682),$P1682)+1)</f>
        <v/>
      </c>
      <c r="S1682" s="15" t="n"/>
      <c r="T1682" s="25" t="n"/>
      <c r="U1682" s="26">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Builder'!$B$12="",N($S1682)&lt;='Assignment Builder'!$B$12)))</f>
        <v/>
      </c>
      <c r="V1682" s="23" t="n"/>
    </row>
    <row r="1683">
      <c r="A1683" s="23" t="n"/>
      <c r="B1683" s="23" t="n"/>
      <c r="C1683" s="24" t="n"/>
      <c r="D1683" s="15" t="n"/>
      <c r="E1683" s="23" t="n"/>
      <c r="F1683" s="15" t="n"/>
      <c r="G1683" s="23" t="n"/>
      <c r="H1683" s="25" t="n"/>
      <c r="I1683" s="15" t="n"/>
      <c r="J1683" s="26">
        <f>IF($A1683="","",LEN($C1683)-LEN(SUBSTITUTE($C1683,",",""))+1)</f>
        <v/>
      </c>
      <c r="K1683" s="26">
        <f>IF($A1683="","",SUMPRODUCT(--ISNUMBER(SEARCH('Category Dictionary'!$D$5:$D$135&amp;"",$C1683)),--('Category Dictionary'!$D$5:$D$135&lt;&gt;"")))</f>
        <v/>
      </c>
      <c r="L1683" s="27">
        <f>IF($A1683="","",TRIM(IF(ISERROR(FIND(",",$C1683)),$C1683,LEFT($C1683,FIND(",",$C1683)-1))))</f>
        <v/>
      </c>
      <c r="M1683" s="28">
        <f>IF($H1683="","",DATE(YEAR($H1683),MONTH($H1683),1))</f>
        <v/>
      </c>
      <c r="N1683" s="26">
        <f>IF($H1683="","",TODAY()-$H1683)</f>
        <v/>
      </c>
      <c r="O1683" s="15" t="n"/>
      <c r="P1683" s="26">
        <f>IF($A1683="","",COUNTIFS('Audit Versions'!$A$6:$A$605,$A1683,'Audit Versions'!$L$6:$L$605,"Active"))</f>
        <v/>
      </c>
      <c r="Q1683" s="15" t="n"/>
      <c r="R1683" s="26">
        <f>IF(OR($A1683="",$P1683=0),"",MOD(N($Q1683),$P1683)+1)</f>
        <v/>
      </c>
      <c r="S1683" s="15" t="n"/>
      <c r="T1683" s="25" t="n"/>
      <c r="U1683" s="26">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Builder'!$B$12="",N($S1683)&lt;='Assignment Builder'!$B$12)))</f>
        <v/>
      </c>
      <c r="V1683" s="23" t="n"/>
    </row>
    <row r="1684">
      <c r="A1684" s="23" t="n"/>
      <c r="B1684" s="23" t="n"/>
      <c r="C1684" s="24" t="n"/>
      <c r="D1684" s="15" t="n"/>
      <c r="E1684" s="23" t="n"/>
      <c r="F1684" s="15" t="n"/>
      <c r="G1684" s="23" t="n"/>
      <c r="H1684" s="25" t="n"/>
      <c r="I1684" s="15" t="n"/>
      <c r="J1684" s="26">
        <f>IF($A1684="","",LEN($C1684)-LEN(SUBSTITUTE($C1684,",",""))+1)</f>
        <v/>
      </c>
      <c r="K1684" s="26">
        <f>IF($A1684="","",SUMPRODUCT(--ISNUMBER(SEARCH('Category Dictionary'!$D$5:$D$135&amp;"",$C1684)),--('Category Dictionary'!$D$5:$D$135&lt;&gt;"")))</f>
        <v/>
      </c>
      <c r="L1684" s="27">
        <f>IF($A1684="","",TRIM(IF(ISERROR(FIND(",",$C1684)),$C1684,LEFT($C1684,FIND(",",$C1684)-1))))</f>
        <v/>
      </c>
      <c r="M1684" s="28">
        <f>IF($H1684="","",DATE(YEAR($H1684),MONTH($H1684),1))</f>
        <v/>
      </c>
      <c r="N1684" s="26">
        <f>IF($H1684="","",TODAY()-$H1684)</f>
        <v/>
      </c>
      <c r="O1684" s="15" t="n"/>
      <c r="P1684" s="26">
        <f>IF($A1684="","",COUNTIFS('Audit Versions'!$A$6:$A$605,$A1684,'Audit Versions'!$L$6:$L$605,"Active"))</f>
        <v/>
      </c>
      <c r="Q1684" s="15" t="n"/>
      <c r="R1684" s="26">
        <f>IF(OR($A1684="",$P1684=0),"",MOD(N($Q1684),$P1684)+1)</f>
        <v/>
      </c>
      <c r="S1684" s="15" t="n"/>
      <c r="T1684" s="25" t="n"/>
      <c r="U1684" s="26">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Builder'!$B$12="",N($S1684)&lt;='Assignment Builder'!$B$12)))</f>
        <v/>
      </c>
      <c r="V1684" s="23" t="n"/>
    </row>
    <row r="1685">
      <c r="A1685" s="23" t="n"/>
      <c r="B1685" s="23" t="n"/>
      <c r="C1685" s="24" t="n"/>
      <c r="D1685" s="15" t="n"/>
      <c r="E1685" s="23" t="n"/>
      <c r="F1685" s="15" t="n"/>
      <c r="G1685" s="23" t="n"/>
      <c r="H1685" s="25" t="n"/>
      <c r="I1685" s="15" t="n"/>
      <c r="J1685" s="26">
        <f>IF($A1685="","",LEN($C1685)-LEN(SUBSTITUTE($C1685,",",""))+1)</f>
        <v/>
      </c>
      <c r="K1685" s="26">
        <f>IF($A1685="","",SUMPRODUCT(--ISNUMBER(SEARCH('Category Dictionary'!$D$5:$D$135&amp;"",$C1685)),--('Category Dictionary'!$D$5:$D$135&lt;&gt;"")))</f>
        <v/>
      </c>
      <c r="L1685" s="27">
        <f>IF($A1685="","",TRIM(IF(ISERROR(FIND(",",$C1685)),$C1685,LEFT($C1685,FIND(",",$C1685)-1))))</f>
        <v/>
      </c>
      <c r="M1685" s="28">
        <f>IF($H1685="","",DATE(YEAR($H1685),MONTH($H1685),1))</f>
        <v/>
      </c>
      <c r="N1685" s="26">
        <f>IF($H1685="","",TODAY()-$H1685)</f>
        <v/>
      </c>
      <c r="O1685" s="15" t="n"/>
      <c r="P1685" s="26">
        <f>IF($A1685="","",COUNTIFS('Audit Versions'!$A$6:$A$605,$A1685,'Audit Versions'!$L$6:$L$605,"Active"))</f>
        <v/>
      </c>
      <c r="Q1685" s="15" t="n"/>
      <c r="R1685" s="26">
        <f>IF(OR($A1685="",$P1685=0),"",MOD(N($Q1685),$P1685)+1)</f>
        <v/>
      </c>
      <c r="S1685" s="15" t="n"/>
      <c r="T1685" s="25" t="n"/>
      <c r="U1685" s="26">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Builder'!$B$12="",N($S1685)&lt;='Assignment Builder'!$B$12)))</f>
        <v/>
      </c>
      <c r="V1685" s="23" t="n"/>
    </row>
    <row r="1686">
      <c r="A1686" s="23" t="n"/>
      <c r="B1686" s="23" t="n"/>
      <c r="C1686" s="24" t="n"/>
      <c r="D1686" s="15" t="n"/>
      <c r="E1686" s="23" t="n"/>
      <c r="F1686" s="15" t="n"/>
      <c r="G1686" s="23" t="n"/>
      <c r="H1686" s="25" t="n"/>
      <c r="I1686" s="15" t="n"/>
      <c r="J1686" s="26">
        <f>IF($A1686="","",LEN($C1686)-LEN(SUBSTITUTE($C1686,",",""))+1)</f>
        <v/>
      </c>
      <c r="K1686" s="26">
        <f>IF($A1686="","",SUMPRODUCT(--ISNUMBER(SEARCH('Category Dictionary'!$D$5:$D$135&amp;"",$C1686)),--('Category Dictionary'!$D$5:$D$135&lt;&gt;"")))</f>
        <v/>
      </c>
      <c r="L1686" s="27">
        <f>IF($A1686="","",TRIM(IF(ISERROR(FIND(",",$C1686)),$C1686,LEFT($C1686,FIND(",",$C1686)-1))))</f>
        <v/>
      </c>
      <c r="M1686" s="28">
        <f>IF($H1686="","",DATE(YEAR($H1686),MONTH($H1686),1))</f>
        <v/>
      </c>
      <c r="N1686" s="26">
        <f>IF($H1686="","",TODAY()-$H1686)</f>
        <v/>
      </c>
      <c r="O1686" s="15" t="n"/>
      <c r="P1686" s="26">
        <f>IF($A1686="","",COUNTIFS('Audit Versions'!$A$6:$A$605,$A1686,'Audit Versions'!$L$6:$L$605,"Active"))</f>
        <v/>
      </c>
      <c r="Q1686" s="15" t="n"/>
      <c r="R1686" s="26">
        <f>IF(OR($A1686="",$P1686=0),"",MOD(N($Q1686),$P1686)+1)</f>
        <v/>
      </c>
      <c r="S1686" s="15" t="n"/>
      <c r="T1686" s="25" t="n"/>
      <c r="U1686" s="26">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Builder'!$B$12="",N($S1686)&lt;='Assignment Builder'!$B$12)))</f>
        <v/>
      </c>
      <c r="V1686" s="23" t="n"/>
    </row>
    <row r="1687">
      <c r="A1687" s="23" t="n"/>
      <c r="B1687" s="23" t="n"/>
      <c r="C1687" s="24" t="n"/>
      <c r="D1687" s="15" t="n"/>
      <c r="E1687" s="23" t="n"/>
      <c r="F1687" s="15" t="n"/>
      <c r="G1687" s="23" t="n"/>
      <c r="H1687" s="25" t="n"/>
      <c r="I1687" s="15" t="n"/>
      <c r="J1687" s="26">
        <f>IF($A1687="","",LEN($C1687)-LEN(SUBSTITUTE($C1687,",",""))+1)</f>
        <v/>
      </c>
      <c r="K1687" s="26">
        <f>IF($A1687="","",SUMPRODUCT(--ISNUMBER(SEARCH('Category Dictionary'!$D$5:$D$135&amp;"",$C1687)),--('Category Dictionary'!$D$5:$D$135&lt;&gt;"")))</f>
        <v/>
      </c>
      <c r="L1687" s="27">
        <f>IF($A1687="","",TRIM(IF(ISERROR(FIND(",",$C1687)),$C1687,LEFT($C1687,FIND(",",$C1687)-1))))</f>
        <v/>
      </c>
      <c r="M1687" s="28">
        <f>IF($H1687="","",DATE(YEAR($H1687),MONTH($H1687),1))</f>
        <v/>
      </c>
      <c r="N1687" s="26">
        <f>IF($H1687="","",TODAY()-$H1687)</f>
        <v/>
      </c>
      <c r="O1687" s="15" t="n"/>
      <c r="P1687" s="26">
        <f>IF($A1687="","",COUNTIFS('Audit Versions'!$A$6:$A$605,$A1687,'Audit Versions'!$L$6:$L$605,"Active"))</f>
        <v/>
      </c>
      <c r="Q1687" s="15" t="n"/>
      <c r="R1687" s="26">
        <f>IF(OR($A1687="",$P1687=0),"",MOD(N($Q1687),$P1687)+1)</f>
        <v/>
      </c>
      <c r="S1687" s="15" t="n"/>
      <c r="T1687" s="25" t="n"/>
      <c r="U1687" s="26">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Builder'!$B$12="",N($S1687)&lt;='Assignment Builder'!$B$12)))</f>
        <v/>
      </c>
      <c r="V1687" s="23" t="n"/>
    </row>
    <row r="1688">
      <c r="A1688" s="23" t="n"/>
      <c r="B1688" s="23" t="n"/>
      <c r="C1688" s="24" t="n"/>
      <c r="D1688" s="15" t="n"/>
      <c r="E1688" s="23" t="n"/>
      <c r="F1688" s="15" t="n"/>
      <c r="G1688" s="23" t="n"/>
      <c r="H1688" s="25" t="n"/>
      <c r="I1688" s="15" t="n"/>
      <c r="J1688" s="26">
        <f>IF($A1688="","",LEN($C1688)-LEN(SUBSTITUTE($C1688,",",""))+1)</f>
        <v/>
      </c>
      <c r="K1688" s="26">
        <f>IF($A1688="","",SUMPRODUCT(--ISNUMBER(SEARCH('Category Dictionary'!$D$5:$D$135&amp;"",$C1688)),--('Category Dictionary'!$D$5:$D$135&lt;&gt;"")))</f>
        <v/>
      </c>
      <c r="L1688" s="27">
        <f>IF($A1688="","",TRIM(IF(ISERROR(FIND(",",$C1688)),$C1688,LEFT($C1688,FIND(",",$C1688)-1))))</f>
        <v/>
      </c>
      <c r="M1688" s="28">
        <f>IF($H1688="","",DATE(YEAR($H1688),MONTH($H1688),1))</f>
        <v/>
      </c>
      <c r="N1688" s="26">
        <f>IF($H1688="","",TODAY()-$H1688)</f>
        <v/>
      </c>
      <c r="O1688" s="15" t="n"/>
      <c r="P1688" s="26">
        <f>IF($A1688="","",COUNTIFS('Audit Versions'!$A$6:$A$605,$A1688,'Audit Versions'!$L$6:$L$605,"Active"))</f>
        <v/>
      </c>
      <c r="Q1688" s="15" t="n"/>
      <c r="R1688" s="26">
        <f>IF(OR($A1688="",$P1688=0),"",MOD(N($Q1688),$P1688)+1)</f>
        <v/>
      </c>
      <c r="S1688" s="15" t="n"/>
      <c r="T1688" s="25" t="n"/>
      <c r="U1688" s="26">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Builder'!$B$12="",N($S1688)&lt;='Assignment Builder'!$B$12)))</f>
        <v/>
      </c>
      <c r="V1688" s="23" t="n"/>
    </row>
    <row r="1689">
      <c r="A1689" s="23" t="n"/>
      <c r="B1689" s="23" t="n"/>
      <c r="C1689" s="24" t="n"/>
      <c r="D1689" s="15" t="n"/>
      <c r="E1689" s="23" t="n"/>
      <c r="F1689" s="15" t="n"/>
      <c r="G1689" s="23" t="n"/>
      <c r="H1689" s="25" t="n"/>
      <c r="I1689" s="15" t="n"/>
      <c r="J1689" s="26">
        <f>IF($A1689="","",LEN($C1689)-LEN(SUBSTITUTE($C1689,",",""))+1)</f>
        <v/>
      </c>
      <c r="K1689" s="26">
        <f>IF($A1689="","",SUMPRODUCT(--ISNUMBER(SEARCH('Category Dictionary'!$D$5:$D$135&amp;"",$C1689)),--('Category Dictionary'!$D$5:$D$135&lt;&gt;"")))</f>
        <v/>
      </c>
      <c r="L1689" s="27">
        <f>IF($A1689="","",TRIM(IF(ISERROR(FIND(",",$C1689)),$C1689,LEFT($C1689,FIND(",",$C1689)-1))))</f>
        <v/>
      </c>
      <c r="M1689" s="28">
        <f>IF($H1689="","",DATE(YEAR($H1689),MONTH($H1689),1))</f>
        <v/>
      </c>
      <c r="N1689" s="26">
        <f>IF($H1689="","",TODAY()-$H1689)</f>
        <v/>
      </c>
      <c r="O1689" s="15" t="n"/>
      <c r="P1689" s="26">
        <f>IF($A1689="","",COUNTIFS('Audit Versions'!$A$6:$A$605,$A1689,'Audit Versions'!$L$6:$L$605,"Active"))</f>
        <v/>
      </c>
      <c r="Q1689" s="15" t="n"/>
      <c r="R1689" s="26">
        <f>IF(OR($A1689="",$P1689=0),"",MOD(N($Q1689),$P1689)+1)</f>
        <v/>
      </c>
      <c r="S1689" s="15" t="n"/>
      <c r="T1689" s="25" t="n"/>
      <c r="U1689" s="26">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Builder'!$B$12="",N($S1689)&lt;='Assignment Builder'!$B$12)))</f>
        <v/>
      </c>
      <c r="V1689" s="23" t="n"/>
    </row>
    <row r="1690">
      <c r="A1690" s="23" t="n"/>
      <c r="B1690" s="23" t="n"/>
      <c r="C1690" s="24" t="n"/>
      <c r="D1690" s="15" t="n"/>
      <c r="E1690" s="23" t="n"/>
      <c r="F1690" s="15" t="n"/>
      <c r="G1690" s="23" t="n"/>
      <c r="H1690" s="25" t="n"/>
      <c r="I1690" s="15" t="n"/>
      <c r="J1690" s="26">
        <f>IF($A1690="","",LEN($C1690)-LEN(SUBSTITUTE($C1690,",",""))+1)</f>
        <v/>
      </c>
      <c r="K1690" s="26">
        <f>IF($A1690="","",SUMPRODUCT(--ISNUMBER(SEARCH('Category Dictionary'!$D$5:$D$135&amp;"",$C1690)),--('Category Dictionary'!$D$5:$D$135&lt;&gt;"")))</f>
        <v/>
      </c>
      <c r="L1690" s="27">
        <f>IF($A1690="","",TRIM(IF(ISERROR(FIND(",",$C1690)),$C1690,LEFT($C1690,FIND(",",$C1690)-1))))</f>
        <v/>
      </c>
      <c r="M1690" s="28">
        <f>IF($H1690="","",DATE(YEAR($H1690),MONTH($H1690),1))</f>
        <v/>
      </c>
      <c r="N1690" s="26">
        <f>IF($H1690="","",TODAY()-$H1690)</f>
        <v/>
      </c>
      <c r="O1690" s="15" t="n"/>
      <c r="P1690" s="26">
        <f>IF($A1690="","",COUNTIFS('Audit Versions'!$A$6:$A$605,$A1690,'Audit Versions'!$L$6:$L$605,"Active"))</f>
        <v/>
      </c>
      <c r="Q1690" s="15" t="n"/>
      <c r="R1690" s="26">
        <f>IF(OR($A1690="",$P1690=0),"",MOD(N($Q1690),$P1690)+1)</f>
        <v/>
      </c>
      <c r="S1690" s="15" t="n"/>
      <c r="T1690" s="25" t="n"/>
      <c r="U1690" s="26">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Builder'!$B$12="",N($S1690)&lt;='Assignment Builder'!$B$12)))</f>
        <v/>
      </c>
      <c r="V1690" s="23" t="n"/>
    </row>
    <row r="1691">
      <c r="A1691" s="23" t="n"/>
      <c r="B1691" s="23" t="n"/>
      <c r="C1691" s="24" t="n"/>
      <c r="D1691" s="15" t="n"/>
      <c r="E1691" s="23" t="n"/>
      <c r="F1691" s="15" t="n"/>
      <c r="G1691" s="23" t="n"/>
      <c r="H1691" s="25" t="n"/>
      <c r="I1691" s="15" t="n"/>
      <c r="J1691" s="26">
        <f>IF($A1691="","",LEN($C1691)-LEN(SUBSTITUTE($C1691,",",""))+1)</f>
        <v/>
      </c>
      <c r="K1691" s="26">
        <f>IF($A1691="","",SUMPRODUCT(--ISNUMBER(SEARCH('Category Dictionary'!$D$5:$D$135&amp;"",$C1691)),--('Category Dictionary'!$D$5:$D$135&lt;&gt;"")))</f>
        <v/>
      </c>
      <c r="L1691" s="27">
        <f>IF($A1691="","",TRIM(IF(ISERROR(FIND(",",$C1691)),$C1691,LEFT($C1691,FIND(",",$C1691)-1))))</f>
        <v/>
      </c>
      <c r="M1691" s="28">
        <f>IF($H1691="","",DATE(YEAR($H1691),MONTH($H1691),1))</f>
        <v/>
      </c>
      <c r="N1691" s="26">
        <f>IF($H1691="","",TODAY()-$H1691)</f>
        <v/>
      </c>
      <c r="O1691" s="15" t="n"/>
      <c r="P1691" s="26">
        <f>IF($A1691="","",COUNTIFS('Audit Versions'!$A$6:$A$605,$A1691,'Audit Versions'!$L$6:$L$605,"Active"))</f>
        <v/>
      </c>
      <c r="Q1691" s="15" t="n"/>
      <c r="R1691" s="26">
        <f>IF(OR($A1691="",$P1691=0),"",MOD(N($Q1691),$P1691)+1)</f>
        <v/>
      </c>
      <c r="S1691" s="15" t="n"/>
      <c r="T1691" s="25" t="n"/>
      <c r="U1691" s="26">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Builder'!$B$12="",N($S1691)&lt;='Assignment Builder'!$B$12)))</f>
        <v/>
      </c>
      <c r="V1691" s="23" t="n"/>
    </row>
    <row r="1692">
      <c r="A1692" s="23" t="n"/>
      <c r="B1692" s="23" t="n"/>
      <c r="C1692" s="24" t="n"/>
      <c r="D1692" s="15" t="n"/>
      <c r="E1692" s="23" t="n"/>
      <c r="F1692" s="15" t="n"/>
      <c r="G1692" s="23" t="n"/>
      <c r="H1692" s="25" t="n"/>
      <c r="I1692" s="15" t="n"/>
      <c r="J1692" s="26">
        <f>IF($A1692="","",LEN($C1692)-LEN(SUBSTITUTE($C1692,",",""))+1)</f>
        <v/>
      </c>
      <c r="K1692" s="26">
        <f>IF($A1692="","",SUMPRODUCT(--ISNUMBER(SEARCH('Category Dictionary'!$D$5:$D$135&amp;"",$C1692)),--('Category Dictionary'!$D$5:$D$135&lt;&gt;"")))</f>
        <v/>
      </c>
      <c r="L1692" s="27">
        <f>IF($A1692="","",TRIM(IF(ISERROR(FIND(",",$C1692)),$C1692,LEFT($C1692,FIND(",",$C1692)-1))))</f>
        <v/>
      </c>
      <c r="M1692" s="28">
        <f>IF($H1692="","",DATE(YEAR($H1692),MONTH($H1692),1))</f>
        <v/>
      </c>
      <c r="N1692" s="26">
        <f>IF($H1692="","",TODAY()-$H1692)</f>
        <v/>
      </c>
      <c r="O1692" s="15" t="n"/>
      <c r="P1692" s="26">
        <f>IF($A1692="","",COUNTIFS('Audit Versions'!$A$6:$A$605,$A1692,'Audit Versions'!$L$6:$L$605,"Active"))</f>
        <v/>
      </c>
      <c r="Q1692" s="15" t="n"/>
      <c r="R1692" s="26">
        <f>IF(OR($A1692="",$P1692=0),"",MOD(N($Q1692),$P1692)+1)</f>
        <v/>
      </c>
      <c r="S1692" s="15" t="n"/>
      <c r="T1692" s="25" t="n"/>
      <c r="U1692" s="26">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Builder'!$B$12="",N($S1692)&lt;='Assignment Builder'!$B$12)))</f>
        <v/>
      </c>
      <c r="V1692" s="23" t="n"/>
    </row>
    <row r="1693">
      <c r="A1693" s="23" t="n"/>
      <c r="B1693" s="23" t="n"/>
      <c r="C1693" s="24" t="n"/>
      <c r="D1693" s="15" t="n"/>
      <c r="E1693" s="23" t="n"/>
      <c r="F1693" s="15" t="n"/>
      <c r="G1693" s="23" t="n"/>
      <c r="H1693" s="25" t="n"/>
      <c r="I1693" s="15" t="n"/>
      <c r="J1693" s="26">
        <f>IF($A1693="","",LEN($C1693)-LEN(SUBSTITUTE($C1693,",",""))+1)</f>
        <v/>
      </c>
      <c r="K1693" s="26">
        <f>IF($A1693="","",SUMPRODUCT(--ISNUMBER(SEARCH('Category Dictionary'!$D$5:$D$135&amp;"",$C1693)),--('Category Dictionary'!$D$5:$D$135&lt;&gt;"")))</f>
        <v/>
      </c>
      <c r="L1693" s="27">
        <f>IF($A1693="","",TRIM(IF(ISERROR(FIND(",",$C1693)),$C1693,LEFT($C1693,FIND(",",$C1693)-1))))</f>
        <v/>
      </c>
      <c r="M1693" s="28">
        <f>IF($H1693="","",DATE(YEAR($H1693),MONTH($H1693),1))</f>
        <v/>
      </c>
      <c r="N1693" s="26">
        <f>IF($H1693="","",TODAY()-$H1693)</f>
        <v/>
      </c>
      <c r="O1693" s="15" t="n"/>
      <c r="P1693" s="26">
        <f>IF($A1693="","",COUNTIFS('Audit Versions'!$A$6:$A$605,$A1693,'Audit Versions'!$L$6:$L$605,"Active"))</f>
        <v/>
      </c>
      <c r="Q1693" s="15" t="n"/>
      <c r="R1693" s="26">
        <f>IF(OR($A1693="",$P1693=0),"",MOD(N($Q1693),$P1693)+1)</f>
        <v/>
      </c>
      <c r="S1693" s="15" t="n"/>
      <c r="T1693" s="25" t="n"/>
      <c r="U1693" s="26">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Builder'!$B$12="",N($S1693)&lt;='Assignment Builder'!$B$12)))</f>
        <v/>
      </c>
      <c r="V1693" s="23" t="n"/>
    </row>
    <row r="1694">
      <c r="A1694" s="23" t="n"/>
      <c r="B1694" s="23" t="n"/>
      <c r="C1694" s="24" t="n"/>
      <c r="D1694" s="15" t="n"/>
      <c r="E1694" s="23" t="n"/>
      <c r="F1694" s="15" t="n"/>
      <c r="G1694" s="23" t="n"/>
      <c r="H1694" s="25" t="n"/>
      <c r="I1694" s="15" t="n"/>
      <c r="J1694" s="26">
        <f>IF($A1694="","",LEN($C1694)-LEN(SUBSTITUTE($C1694,",",""))+1)</f>
        <v/>
      </c>
      <c r="K1694" s="26">
        <f>IF($A1694="","",SUMPRODUCT(--ISNUMBER(SEARCH('Category Dictionary'!$D$5:$D$135&amp;"",$C1694)),--('Category Dictionary'!$D$5:$D$135&lt;&gt;"")))</f>
        <v/>
      </c>
      <c r="L1694" s="27">
        <f>IF($A1694="","",TRIM(IF(ISERROR(FIND(",",$C1694)),$C1694,LEFT($C1694,FIND(",",$C1694)-1))))</f>
        <v/>
      </c>
      <c r="M1694" s="28">
        <f>IF($H1694="","",DATE(YEAR($H1694),MONTH($H1694),1))</f>
        <v/>
      </c>
      <c r="N1694" s="26">
        <f>IF($H1694="","",TODAY()-$H1694)</f>
        <v/>
      </c>
      <c r="O1694" s="15" t="n"/>
      <c r="P1694" s="26">
        <f>IF($A1694="","",COUNTIFS('Audit Versions'!$A$6:$A$605,$A1694,'Audit Versions'!$L$6:$L$605,"Active"))</f>
        <v/>
      </c>
      <c r="Q1694" s="15" t="n"/>
      <c r="R1694" s="26">
        <f>IF(OR($A1694="",$P1694=0),"",MOD(N($Q1694),$P1694)+1)</f>
        <v/>
      </c>
      <c r="S1694" s="15" t="n"/>
      <c r="T1694" s="25" t="n"/>
      <c r="U1694" s="26">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Builder'!$B$12="",N($S1694)&lt;='Assignment Builder'!$B$12)))</f>
        <v/>
      </c>
      <c r="V1694" s="23" t="n"/>
    </row>
    <row r="1695">
      <c r="A1695" s="23" t="n"/>
      <c r="B1695" s="23" t="n"/>
      <c r="C1695" s="24" t="n"/>
      <c r="D1695" s="15" t="n"/>
      <c r="E1695" s="23" t="n"/>
      <c r="F1695" s="15" t="n"/>
      <c r="G1695" s="23" t="n"/>
      <c r="H1695" s="25" t="n"/>
      <c r="I1695" s="15" t="n"/>
      <c r="J1695" s="26">
        <f>IF($A1695="","",LEN($C1695)-LEN(SUBSTITUTE($C1695,",",""))+1)</f>
        <v/>
      </c>
      <c r="K1695" s="26">
        <f>IF($A1695="","",SUMPRODUCT(--ISNUMBER(SEARCH('Category Dictionary'!$D$5:$D$135&amp;"",$C1695)),--('Category Dictionary'!$D$5:$D$135&lt;&gt;"")))</f>
        <v/>
      </c>
      <c r="L1695" s="27">
        <f>IF($A1695="","",TRIM(IF(ISERROR(FIND(",",$C1695)),$C1695,LEFT($C1695,FIND(",",$C1695)-1))))</f>
        <v/>
      </c>
      <c r="M1695" s="28">
        <f>IF($H1695="","",DATE(YEAR($H1695),MONTH($H1695),1))</f>
        <v/>
      </c>
      <c r="N1695" s="26">
        <f>IF($H1695="","",TODAY()-$H1695)</f>
        <v/>
      </c>
      <c r="O1695" s="15" t="n"/>
      <c r="P1695" s="26">
        <f>IF($A1695="","",COUNTIFS('Audit Versions'!$A$6:$A$605,$A1695,'Audit Versions'!$L$6:$L$605,"Active"))</f>
        <v/>
      </c>
      <c r="Q1695" s="15" t="n"/>
      <c r="R1695" s="26">
        <f>IF(OR($A1695="",$P1695=0),"",MOD(N($Q1695),$P1695)+1)</f>
        <v/>
      </c>
      <c r="S1695" s="15" t="n"/>
      <c r="T1695" s="25" t="n"/>
      <c r="U1695" s="26">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Builder'!$B$12="",N($S1695)&lt;='Assignment Builder'!$B$12)))</f>
        <v/>
      </c>
      <c r="V1695" s="23" t="n"/>
    </row>
    <row r="1696">
      <c r="A1696" s="23" t="n"/>
      <c r="B1696" s="23" t="n"/>
      <c r="C1696" s="24" t="n"/>
      <c r="D1696" s="15" t="n"/>
      <c r="E1696" s="23" t="n"/>
      <c r="F1696" s="15" t="n"/>
      <c r="G1696" s="23" t="n"/>
      <c r="H1696" s="25" t="n"/>
      <c r="I1696" s="15" t="n"/>
      <c r="J1696" s="26">
        <f>IF($A1696="","",LEN($C1696)-LEN(SUBSTITUTE($C1696,",",""))+1)</f>
        <v/>
      </c>
      <c r="K1696" s="26">
        <f>IF($A1696="","",SUMPRODUCT(--ISNUMBER(SEARCH('Category Dictionary'!$D$5:$D$135&amp;"",$C1696)),--('Category Dictionary'!$D$5:$D$135&lt;&gt;"")))</f>
        <v/>
      </c>
      <c r="L1696" s="27">
        <f>IF($A1696="","",TRIM(IF(ISERROR(FIND(",",$C1696)),$C1696,LEFT($C1696,FIND(",",$C1696)-1))))</f>
        <v/>
      </c>
      <c r="M1696" s="28">
        <f>IF($H1696="","",DATE(YEAR($H1696),MONTH($H1696),1))</f>
        <v/>
      </c>
      <c r="N1696" s="26">
        <f>IF($H1696="","",TODAY()-$H1696)</f>
        <v/>
      </c>
      <c r="O1696" s="15" t="n"/>
      <c r="P1696" s="26">
        <f>IF($A1696="","",COUNTIFS('Audit Versions'!$A$6:$A$605,$A1696,'Audit Versions'!$L$6:$L$605,"Active"))</f>
        <v/>
      </c>
      <c r="Q1696" s="15" t="n"/>
      <c r="R1696" s="26">
        <f>IF(OR($A1696="",$P1696=0),"",MOD(N($Q1696),$P1696)+1)</f>
        <v/>
      </c>
      <c r="S1696" s="15" t="n"/>
      <c r="T1696" s="25" t="n"/>
      <c r="U1696" s="26">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Builder'!$B$12="",N($S1696)&lt;='Assignment Builder'!$B$12)))</f>
        <v/>
      </c>
      <c r="V1696" s="23" t="n"/>
    </row>
    <row r="1697">
      <c r="A1697" s="23" t="n"/>
      <c r="B1697" s="23" t="n"/>
      <c r="C1697" s="24" t="n"/>
      <c r="D1697" s="15" t="n"/>
      <c r="E1697" s="23" t="n"/>
      <c r="F1697" s="15" t="n"/>
      <c r="G1697" s="23" t="n"/>
      <c r="H1697" s="25" t="n"/>
      <c r="I1697" s="15" t="n"/>
      <c r="J1697" s="26">
        <f>IF($A1697="","",LEN($C1697)-LEN(SUBSTITUTE($C1697,",",""))+1)</f>
        <v/>
      </c>
      <c r="K1697" s="26">
        <f>IF($A1697="","",SUMPRODUCT(--ISNUMBER(SEARCH('Category Dictionary'!$D$5:$D$135&amp;"",$C1697)),--('Category Dictionary'!$D$5:$D$135&lt;&gt;"")))</f>
        <v/>
      </c>
      <c r="L1697" s="27">
        <f>IF($A1697="","",TRIM(IF(ISERROR(FIND(",",$C1697)),$C1697,LEFT($C1697,FIND(",",$C1697)-1))))</f>
        <v/>
      </c>
      <c r="M1697" s="28">
        <f>IF($H1697="","",DATE(YEAR($H1697),MONTH($H1697),1))</f>
        <v/>
      </c>
      <c r="N1697" s="26">
        <f>IF($H1697="","",TODAY()-$H1697)</f>
        <v/>
      </c>
      <c r="O1697" s="15" t="n"/>
      <c r="P1697" s="26">
        <f>IF($A1697="","",COUNTIFS('Audit Versions'!$A$6:$A$605,$A1697,'Audit Versions'!$L$6:$L$605,"Active"))</f>
        <v/>
      </c>
      <c r="Q1697" s="15" t="n"/>
      <c r="R1697" s="26">
        <f>IF(OR($A1697="",$P1697=0),"",MOD(N($Q1697),$P1697)+1)</f>
        <v/>
      </c>
      <c r="S1697" s="15" t="n"/>
      <c r="T1697" s="25" t="n"/>
      <c r="U1697" s="26">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Builder'!$B$12="",N($S1697)&lt;='Assignment Builder'!$B$12)))</f>
        <v/>
      </c>
      <c r="V1697" s="23" t="n"/>
    </row>
    <row r="1698">
      <c r="A1698" s="23" t="n"/>
      <c r="B1698" s="23" t="n"/>
      <c r="C1698" s="24" t="n"/>
      <c r="D1698" s="15" t="n"/>
      <c r="E1698" s="23" t="n"/>
      <c r="F1698" s="15" t="n"/>
      <c r="G1698" s="23" t="n"/>
      <c r="H1698" s="25" t="n"/>
      <c r="I1698" s="15" t="n"/>
      <c r="J1698" s="26">
        <f>IF($A1698="","",LEN($C1698)-LEN(SUBSTITUTE($C1698,",",""))+1)</f>
        <v/>
      </c>
      <c r="K1698" s="26">
        <f>IF($A1698="","",SUMPRODUCT(--ISNUMBER(SEARCH('Category Dictionary'!$D$5:$D$135&amp;"",$C1698)),--('Category Dictionary'!$D$5:$D$135&lt;&gt;"")))</f>
        <v/>
      </c>
      <c r="L1698" s="27">
        <f>IF($A1698="","",TRIM(IF(ISERROR(FIND(",",$C1698)),$C1698,LEFT($C1698,FIND(",",$C1698)-1))))</f>
        <v/>
      </c>
      <c r="M1698" s="28">
        <f>IF($H1698="","",DATE(YEAR($H1698),MONTH($H1698),1))</f>
        <v/>
      </c>
      <c r="N1698" s="26">
        <f>IF($H1698="","",TODAY()-$H1698)</f>
        <v/>
      </c>
      <c r="O1698" s="15" t="n"/>
      <c r="P1698" s="26">
        <f>IF($A1698="","",COUNTIFS('Audit Versions'!$A$6:$A$605,$A1698,'Audit Versions'!$L$6:$L$605,"Active"))</f>
        <v/>
      </c>
      <c r="Q1698" s="15" t="n"/>
      <c r="R1698" s="26">
        <f>IF(OR($A1698="",$P1698=0),"",MOD(N($Q1698),$P1698)+1)</f>
        <v/>
      </c>
      <c r="S1698" s="15" t="n"/>
      <c r="T1698" s="25" t="n"/>
      <c r="U1698" s="26">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Builder'!$B$12="",N($S1698)&lt;='Assignment Builder'!$B$12)))</f>
        <v/>
      </c>
      <c r="V1698" s="23" t="n"/>
    </row>
    <row r="1699">
      <c r="A1699" s="23" t="n"/>
      <c r="B1699" s="23" t="n"/>
      <c r="C1699" s="24" t="n"/>
      <c r="D1699" s="15" t="n"/>
      <c r="E1699" s="23" t="n"/>
      <c r="F1699" s="15" t="n"/>
      <c r="G1699" s="23" t="n"/>
      <c r="H1699" s="25" t="n"/>
      <c r="I1699" s="15" t="n"/>
      <c r="J1699" s="26">
        <f>IF($A1699="","",LEN($C1699)-LEN(SUBSTITUTE($C1699,",",""))+1)</f>
        <v/>
      </c>
      <c r="K1699" s="26">
        <f>IF($A1699="","",SUMPRODUCT(--ISNUMBER(SEARCH('Category Dictionary'!$D$5:$D$135&amp;"",$C1699)),--('Category Dictionary'!$D$5:$D$135&lt;&gt;"")))</f>
        <v/>
      </c>
      <c r="L1699" s="27">
        <f>IF($A1699="","",TRIM(IF(ISERROR(FIND(",",$C1699)),$C1699,LEFT($C1699,FIND(",",$C1699)-1))))</f>
        <v/>
      </c>
      <c r="M1699" s="28">
        <f>IF($H1699="","",DATE(YEAR($H1699),MONTH($H1699),1))</f>
        <v/>
      </c>
      <c r="N1699" s="26">
        <f>IF($H1699="","",TODAY()-$H1699)</f>
        <v/>
      </c>
      <c r="O1699" s="15" t="n"/>
      <c r="P1699" s="26">
        <f>IF($A1699="","",COUNTIFS('Audit Versions'!$A$6:$A$605,$A1699,'Audit Versions'!$L$6:$L$605,"Active"))</f>
        <v/>
      </c>
      <c r="Q1699" s="15" t="n"/>
      <c r="R1699" s="26">
        <f>IF(OR($A1699="",$P1699=0),"",MOD(N($Q1699),$P1699)+1)</f>
        <v/>
      </c>
      <c r="S1699" s="15" t="n"/>
      <c r="T1699" s="25" t="n"/>
      <c r="U1699" s="26">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Builder'!$B$12="",N($S1699)&lt;='Assignment Builder'!$B$12)))</f>
        <v/>
      </c>
      <c r="V1699" s="23" t="n"/>
    </row>
    <row r="1700">
      <c r="A1700" s="23" t="n"/>
      <c r="B1700" s="23" t="n"/>
      <c r="C1700" s="24" t="n"/>
      <c r="D1700" s="15" t="n"/>
      <c r="E1700" s="23" t="n"/>
      <c r="F1700" s="15" t="n"/>
      <c r="G1700" s="23" t="n"/>
      <c r="H1700" s="25" t="n"/>
      <c r="I1700" s="15" t="n"/>
      <c r="J1700" s="26">
        <f>IF($A1700="","",LEN($C1700)-LEN(SUBSTITUTE($C1700,",",""))+1)</f>
        <v/>
      </c>
      <c r="K1700" s="26">
        <f>IF($A1700="","",SUMPRODUCT(--ISNUMBER(SEARCH('Category Dictionary'!$D$5:$D$135&amp;"",$C1700)),--('Category Dictionary'!$D$5:$D$135&lt;&gt;"")))</f>
        <v/>
      </c>
      <c r="L1700" s="27">
        <f>IF($A1700="","",TRIM(IF(ISERROR(FIND(",",$C1700)),$C1700,LEFT($C1700,FIND(",",$C1700)-1))))</f>
        <v/>
      </c>
      <c r="M1700" s="28">
        <f>IF($H1700="","",DATE(YEAR($H1700),MONTH($H1700),1))</f>
        <v/>
      </c>
      <c r="N1700" s="26">
        <f>IF($H1700="","",TODAY()-$H1700)</f>
        <v/>
      </c>
      <c r="O1700" s="15" t="n"/>
      <c r="P1700" s="26">
        <f>IF($A1700="","",COUNTIFS('Audit Versions'!$A$6:$A$605,$A1700,'Audit Versions'!$L$6:$L$605,"Active"))</f>
        <v/>
      </c>
      <c r="Q1700" s="15" t="n"/>
      <c r="R1700" s="26">
        <f>IF(OR($A1700="",$P1700=0),"",MOD(N($Q1700),$P1700)+1)</f>
        <v/>
      </c>
      <c r="S1700" s="15" t="n"/>
      <c r="T1700" s="25" t="n"/>
      <c r="U1700" s="26">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Builder'!$B$12="",N($S1700)&lt;='Assignment Builder'!$B$12)))</f>
        <v/>
      </c>
      <c r="V1700" s="23" t="n"/>
    </row>
    <row r="1701">
      <c r="A1701" s="23" t="n"/>
      <c r="B1701" s="23" t="n"/>
      <c r="C1701" s="24" t="n"/>
      <c r="D1701" s="15" t="n"/>
      <c r="E1701" s="23" t="n"/>
      <c r="F1701" s="15" t="n"/>
      <c r="G1701" s="23" t="n"/>
      <c r="H1701" s="25" t="n"/>
      <c r="I1701" s="15" t="n"/>
      <c r="J1701" s="26">
        <f>IF($A1701="","",LEN($C1701)-LEN(SUBSTITUTE($C1701,",",""))+1)</f>
        <v/>
      </c>
      <c r="K1701" s="26">
        <f>IF($A1701="","",SUMPRODUCT(--ISNUMBER(SEARCH('Category Dictionary'!$D$5:$D$135&amp;"",$C1701)),--('Category Dictionary'!$D$5:$D$135&lt;&gt;"")))</f>
        <v/>
      </c>
      <c r="L1701" s="27">
        <f>IF($A1701="","",TRIM(IF(ISERROR(FIND(",",$C1701)),$C1701,LEFT($C1701,FIND(",",$C1701)-1))))</f>
        <v/>
      </c>
      <c r="M1701" s="28">
        <f>IF($H1701="","",DATE(YEAR($H1701),MONTH($H1701),1))</f>
        <v/>
      </c>
      <c r="N1701" s="26">
        <f>IF($H1701="","",TODAY()-$H1701)</f>
        <v/>
      </c>
      <c r="O1701" s="15" t="n"/>
      <c r="P1701" s="26">
        <f>IF($A1701="","",COUNTIFS('Audit Versions'!$A$6:$A$605,$A1701,'Audit Versions'!$L$6:$L$605,"Active"))</f>
        <v/>
      </c>
      <c r="Q1701" s="15" t="n"/>
      <c r="R1701" s="26">
        <f>IF(OR($A1701="",$P1701=0),"",MOD(N($Q1701),$P1701)+1)</f>
        <v/>
      </c>
      <c r="S1701" s="15" t="n"/>
      <c r="T1701" s="25" t="n"/>
      <c r="U1701" s="26">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Builder'!$B$12="",N($S1701)&lt;='Assignment Builder'!$B$12)))</f>
        <v/>
      </c>
      <c r="V1701" s="23" t="n"/>
    </row>
    <row r="1702">
      <c r="A1702" s="23" t="n"/>
      <c r="B1702" s="23" t="n"/>
      <c r="C1702" s="24" t="n"/>
      <c r="D1702" s="15" t="n"/>
      <c r="E1702" s="23" t="n"/>
      <c r="F1702" s="15" t="n"/>
      <c r="G1702" s="23" t="n"/>
      <c r="H1702" s="25" t="n"/>
      <c r="I1702" s="15" t="n"/>
      <c r="J1702" s="26">
        <f>IF($A1702="","",LEN($C1702)-LEN(SUBSTITUTE($C1702,",",""))+1)</f>
        <v/>
      </c>
      <c r="K1702" s="26">
        <f>IF($A1702="","",SUMPRODUCT(--ISNUMBER(SEARCH('Category Dictionary'!$D$5:$D$135&amp;"",$C1702)),--('Category Dictionary'!$D$5:$D$135&lt;&gt;"")))</f>
        <v/>
      </c>
      <c r="L1702" s="27">
        <f>IF($A1702="","",TRIM(IF(ISERROR(FIND(",",$C1702)),$C1702,LEFT($C1702,FIND(",",$C1702)-1))))</f>
        <v/>
      </c>
      <c r="M1702" s="28">
        <f>IF($H1702="","",DATE(YEAR($H1702),MONTH($H1702),1))</f>
        <v/>
      </c>
      <c r="N1702" s="26">
        <f>IF($H1702="","",TODAY()-$H1702)</f>
        <v/>
      </c>
      <c r="O1702" s="15" t="n"/>
      <c r="P1702" s="26">
        <f>IF($A1702="","",COUNTIFS('Audit Versions'!$A$6:$A$605,$A1702,'Audit Versions'!$L$6:$L$605,"Active"))</f>
        <v/>
      </c>
      <c r="Q1702" s="15" t="n"/>
      <c r="R1702" s="26">
        <f>IF(OR($A1702="",$P1702=0),"",MOD(N($Q1702),$P1702)+1)</f>
        <v/>
      </c>
      <c r="S1702" s="15" t="n"/>
      <c r="T1702" s="25" t="n"/>
      <c r="U1702" s="26">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Builder'!$B$12="",N($S1702)&lt;='Assignment Builder'!$B$12)))</f>
        <v/>
      </c>
      <c r="V1702" s="23" t="n"/>
    </row>
    <row r="1703">
      <c r="A1703" s="23" t="n"/>
      <c r="B1703" s="23" t="n"/>
      <c r="C1703" s="24" t="n"/>
      <c r="D1703" s="15" t="n"/>
      <c r="E1703" s="23" t="n"/>
      <c r="F1703" s="15" t="n"/>
      <c r="G1703" s="23" t="n"/>
      <c r="H1703" s="25" t="n"/>
      <c r="I1703" s="15" t="n"/>
      <c r="J1703" s="26">
        <f>IF($A1703="","",LEN($C1703)-LEN(SUBSTITUTE($C1703,",",""))+1)</f>
        <v/>
      </c>
      <c r="K1703" s="26">
        <f>IF($A1703="","",SUMPRODUCT(--ISNUMBER(SEARCH('Category Dictionary'!$D$5:$D$135&amp;"",$C1703)),--('Category Dictionary'!$D$5:$D$135&lt;&gt;"")))</f>
        <v/>
      </c>
      <c r="L1703" s="27">
        <f>IF($A1703="","",TRIM(IF(ISERROR(FIND(",",$C1703)),$C1703,LEFT($C1703,FIND(",",$C1703)-1))))</f>
        <v/>
      </c>
      <c r="M1703" s="28">
        <f>IF($H1703="","",DATE(YEAR($H1703),MONTH($H1703),1))</f>
        <v/>
      </c>
      <c r="N1703" s="26">
        <f>IF($H1703="","",TODAY()-$H1703)</f>
        <v/>
      </c>
      <c r="O1703" s="15" t="n"/>
      <c r="P1703" s="26">
        <f>IF($A1703="","",COUNTIFS('Audit Versions'!$A$6:$A$605,$A1703,'Audit Versions'!$L$6:$L$605,"Active"))</f>
        <v/>
      </c>
      <c r="Q1703" s="15" t="n"/>
      <c r="R1703" s="26">
        <f>IF(OR($A1703="",$P1703=0),"",MOD(N($Q1703),$P1703)+1)</f>
        <v/>
      </c>
      <c r="S1703" s="15" t="n"/>
      <c r="T1703" s="25" t="n"/>
      <c r="U1703" s="26">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Builder'!$B$12="",N($S1703)&lt;='Assignment Builder'!$B$12)))</f>
        <v/>
      </c>
      <c r="V1703" s="23" t="n"/>
    </row>
    <row r="1704">
      <c r="A1704" s="23" t="n"/>
      <c r="B1704" s="23" t="n"/>
      <c r="C1704" s="24" t="n"/>
      <c r="D1704" s="15" t="n"/>
      <c r="E1704" s="23" t="n"/>
      <c r="F1704" s="15" t="n"/>
      <c r="G1704" s="23" t="n"/>
      <c r="H1704" s="25" t="n"/>
      <c r="I1704" s="15" t="n"/>
      <c r="J1704" s="26">
        <f>IF($A1704="","",LEN($C1704)-LEN(SUBSTITUTE($C1704,",",""))+1)</f>
        <v/>
      </c>
      <c r="K1704" s="26">
        <f>IF($A1704="","",SUMPRODUCT(--ISNUMBER(SEARCH('Category Dictionary'!$D$5:$D$135&amp;"",$C1704)),--('Category Dictionary'!$D$5:$D$135&lt;&gt;"")))</f>
        <v/>
      </c>
      <c r="L1704" s="27">
        <f>IF($A1704="","",TRIM(IF(ISERROR(FIND(",",$C1704)),$C1704,LEFT($C1704,FIND(",",$C1704)-1))))</f>
        <v/>
      </c>
      <c r="M1704" s="28">
        <f>IF($H1704="","",DATE(YEAR($H1704),MONTH($H1704),1))</f>
        <v/>
      </c>
      <c r="N1704" s="26">
        <f>IF($H1704="","",TODAY()-$H1704)</f>
        <v/>
      </c>
      <c r="O1704" s="15" t="n"/>
      <c r="P1704" s="26">
        <f>IF($A1704="","",COUNTIFS('Audit Versions'!$A$6:$A$605,$A1704,'Audit Versions'!$L$6:$L$605,"Active"))</f>
        <v/>
      </c>
      <c r="Q1704" s="15" t="n"/>
      <c r="R1704" s="26">
        <f>IF(OR($A1704="",$P1704=0),"",MOD(N($Q1704),$P1704)+1)</f>
        <v/>
      </c>
      <c r="S1704" s="15" t="n"/>
      <c r="T1704" s="25" t="n"/>
      <c r="U1704" s="26">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Builder'!$B$12="",N($S1704)&lt;='Assignment Builder'!$B$12)))</f>
        <v/>
      </c>
      <c r="V1704" s="23" t="n"/>
    </row>
    <row r="1705">
      <c r="A1705" s="23" t="n"/>
      <c r="B1705" s="23" t="n"/>
      <c r="C1705" s="24" t="n"/>
      <c r="D1705" s="15" t="n"/>
      <c r="E1705" s="23" t="n"/>
      <c r="F1705" s="15" t="n"/>
      <c r="G1705" s="23" t="n"/>
      <c r="H1705" s="25" t="n"/>
      <c r="I1705" s="15" t="n"/>
      <c r="J1705" s="26">
        <f>IF($A1705="","",LEN($C1705)-LEN(SUBSTITUTE($C1705,",",""))+1)</f>
        <v/>
      </c>
      <c r="K1705" s="26">
        <f>IF($A1705="","",SUMPRODUCT(--ISNUMBER(SEARCH('Category Dictionary'!$D$5:$D$135&amp;"",$C1705)),--('Category Dictionary'!$D$5:$D$135&lt;&gt;"")))</f>
        <v/>
      </c>
      <c r="L1705" s="27">
        <f>IF($A1705="","",TRIM(IF(ISERROR(FIND(",",$C1705)),$C1705,LEFT($C1705,FIND(",",$C1705)-1))))</f>
        <v/>
      </c>
      <c r="M1705" s="28">
        <f>IF($H1705="","",DATE(YEAR($H1705),MONTH($H1705),1))</f>
        <v/>
      </c>
      <c r="N1705" s="26">
        <f>IF($H1705="","",TODAY()-$H1705)</f>
        <v/>
      </c>
      <c r="O1705" s="15" t="n"/>
      <c r="P1705" s="26">
        <f>IF($A1705="","",COUNTIFS('Audit Versions'!$A$6:$A$605,$A1705,'Audit Versions'!$L$6:$L$605,"Active"))</f>
        <v/>
      </c>
      <c r="Q1705" s="15" t="n"/>
      <c r="R1705" s="26">
        <f>IF(OR($A1705="",$P1705=0),"",MOD(N($Q1705),$P1705)+1)</f>
        <v/>
      </c>
      <c r="S1705" s="15" t="n"/>
      <c r="T1705" s="25" t="n"/>
      <c r="U1705" s="26">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Builder'!$B$12="",N($S1705)&lt;='Assignment Builder'!$B$12)))</f>
        <v/>
      </c>
      <c r="V1705" s="23" t="n"/>
    </row>
    <row r="1706">
      <c r="A1706" s="23" t="n"/>
      <c r="B1706" s="23" t="n"/>
      <c r="C1706" s="24" t="n"/>
      <c r="D1706" s="15" t="n"/>
      <c r="E1706" s="23" t="n"/>
      <c r="F1706" s="15" t="n"/>
      <c r="G1706" s="23" t="n"/>
      <c r="H1706" s="25" t="n"/>
      <c r="I1706" s="15" t="n"/>
      <c r="J1706" s="26">
        <f>IF($A1706="","",LEN($C1706)-LEN(SUBSTITUTE($C1706,",",""))+1)</f>
        <v/>
      </c>
      <c r="K1706" s="26">
        <f>IF($A1706="","",SUMPRODUCT(--ISNUMBER(SEARCH('Category Dictionary'!$D$5:$D$135&amp;"",$C1706)),--('Category Dictionary'!$D$5:$D$135&lt;&gt;"")))</f>
        <v/>
      </c>
      <c r="L1706" s="27">
        <f>IF($A1706="","",TRIM(IF(ISERROR(FIND(",",$C1706)),$C1706,LEFT($C1706,FIND(",",$C1706)-1))))</f>
        <v/>
      </c>
      <c r="M1706" s="28">
        <f>IF($H1706="","",DATE(YEAR($H1706),MONTH($H1706),1))</f>
        <v/>
      </c>
      <c r="N1706" s="26">
        <f>IF($H1706="","",TODAY()-$H1706)</f>
        <v/>
      </c>
      <c r="O1706" s="15" t="n"/>
      <c r="P1706" s="26">
        <f>IF($A1706="","",COUNTIFS('Audit Versions'!$A$6:$A$605,$A1706,'Audit Versions'!$L$6:$L$605,"Active"))</f>
        <v/>
      </c>
      <c r="Q1706" s="15" t="n"/>
      <c r="R1706" s="26">
        <f>IF(OR($A1706="",$P1706=0),"",MOD(N($Q1706),$P1706)+1)</f>
        <v/>
      </c>
      <c r="S1706" s="15" t="n"/>
      <c r="T1706" s="25" t="n"/>
      <c r="U1706" s="26">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Builder'!$B$12="",N($S1706)&lt;='Assignment Builder'!$B$12)))</f>
        <v/>
      </c>
      <c r="V1706" s="23" t="n"/>
    </row>
    <row r="1707">
      <c r="A1707" s="23" t="n"/>
      <c r="B1707" s="23" t="n"/>
      <c r="C1707" s="24" t="n"/>
      <c r="D1707" s="15" t="n"/>
      <c r="E1707" s="23" t="n"/>
      <c r="F1707" s="15" t="n"/>
      <c r="G1707" s="23" t="n"/>
      <c r="H1707" s="25" t="n"/>
      <c r="I1707" s="15" t="n"/>
      <c r="J1707" s="26">
        <f>IF($A1707="","",LEN($C1707)-LEN(SUBSTITUTE($C1707,",",""))+1)</f>
        <v/>
      </c>
      <c r="K1707" s="26">
        <f>IF($A1707="","",SUMPRODUCT(--ISNUMBER(SEARCH('Category Dictionary'!$D$5:$D$135&amp;"",$C1707)),--('Category Dictionary'!$D$5:$D$135&lt;&gt;"")))</f>
        <v/>
      </c>
      <c r="L1707" s="27">
        <f>IF($A1707="","",TRIM(IF(ISERROR(FIND(",",$C1707)),$C1707,LEFT($C1707,FIND(",",$C1707)-1))))</f>
        <v/>
      </c>
      <c r="M1707" s="28">
        <f>IF($H1707="","",DATE(YEAR($H1707),MONTH($H1707),1))</f>
        <v/>
      </c>
      <c r="N1707" s="26">
        <f>IF($H1707="","",TODAY()-$H1707)</f>
        <v/>
      </c>
      <c r="O1707" s="15" t="n"/>
      <c r="P1707" s="26">
        <f>IF($A1707="","",COUNTIFS('Audit Versions'!$A$6:$A$605,$A1707,'Audit Versions'!$L$6:$L$605,"Active"))</f>
        <v/>
      </c>
      <c r="Q1707" s="15" t="n"/>
      <c r="R1707" s="26">
        <f>IF(OR($A1707="",$P1707=0),"",MOD(N($Q1707),$P1707)+1)</f>
        <v/>
      </c>
      <c r="S1707" s="15" t="n"/>
      <c r="T1707" s="25" t="n"/>
      <c r="U1707" s="26">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Builder'!$B$12="",N($S1707)&lt;='Assignment Builder'!$B$12)))</f>
        <v/>
      </c>
      <c r="V1707" s="23" t="n"/>
    </row>
    <row r="1708">
      <c r="A1708" s="23" t="n"/>
      <c r="B1708" s="23" t="n"/>
      <c r="C1708" s="24" t="n"/>
      <c r="D1708" s="15" t="n"/>
      <c r="E1708" s="23" t="n"/>
      <c r="F1708" s="15" t="n"/>
      <c r="G1708" s="23" t="n"/>
      <c r="H1708" s="25" t="n"/>
      <c r="I1708" s="15" t="n"/>
      <c r="J1708" s="26">
        <f>IF($A1708="","",LEN($C1708)-LEN(SUBSTITUTE($C1708,",",""))+1)</f>
        <v/>
      </c>
      <c r="K1708" s="26">
        <f>IF($A1708="","",SUMPRODUCT(--ISNUMBER(SEARCH('Category Dictionary'!$D$5:$D$135&amp;"",$C1708)),--('Category Dictionary'!$D$5:$D$135&lt;&gt;"")))</f>
        <v/>
      </c>
      <c r="L1708" s="27">
        <f>IF($A1708="","",TRIM(IF(ISERROR(FIND(",",$C1708)),$C1708,LEFT($C1708,FIND(",",$C1708)-1))))</f>
        <v/>
      </c>
      <c r="M1708" s="28">
        <f>IF($H1708="","",DATE(YEAR($H1708),MONTH($H1708),1))</f>
        <v/>
      </c>
      <c r="N1708" s="26">
        <f>IF($H1708="","",TODAY()-$H1708)</f>
        <v/>
      </c>
      <c r="O1708" s="15" t="n"/>
      <c r="P1708" s="26">
        <f>IF($A1708="","",COUNTIFS('Audit Versions'!$A$6:$A$605,$A1708,'Audit Versions'!$L$6:$L$605,"Active"))</f>
        <v/>
      </c>
      <c r="Q1708" s="15" t="n"/>
      <c r="R1708" s="26">
        <f>IF(OR($A1708="",$P1708=0),"",MOD(N($Q1708),$P1708)+1)</f>
        <v/>
      </c>
      <c r="S1708" s="15" t="n"/>
      <c r="T1708" s="25" t="n"/>
      <c r="U1708" s="26">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Builder'!$B$12="",N($S1708)&lt;='Assignment Builder'!$B$12)))</f>
        <v/>
      </c>
      <c r="V1708" s="23" t="n"/>
    </row>
    <row r="1709">
      <c r="A1709" s="23" t="n"/>
      <c r="B1709" s="23" t="n"/>
      <c r="C1709" s="24" t="n"/>
      <c r="D1709" s="15" t="n"/>
      <c r="E1709" s="23" t="n"/>
      <c r="F1709" s="15" t="n"/>
      <c r="G1709" s="23" t="n"/>
      <c r="H1709" s="25" t="n"/>
      <c r="I1709" s="15" t="n"/>
      <c r="J1709" s="26">
        <f>IF($A1709="","",LEN($C1709)-LEN(SUBSTITUTE($C1709,",",""))+1)</f>
        <v/>
      </c>
      <c r="K1709" s="26">
        <f>IF($A1709="","",SUMPRODUCT(--ISNUMBER(SEARCH('Category Dictionary'!$D$5:$D$135&amp;"",$C1709)),--('Category Dictionary'!$D$5:$D$135&lt;&gt;"")))</f>
        <v/>
      </c>
      <c r="L1709" s="27">
        <f>IF($A1709="","",TRIM(IF(ISERROR(FIND(",",$C1709)),$C1709,LEFT($C1709,FIND(",",$C1709)-1))))</f>
        <v/>
      </c>
      <c r="M1709" s="28">
        <f>IF($H1709="","",DATE(YEAR($H1709),MONTH($H1709),1))</f>
        <v/>
      </c>
      <c r="N1709" s="26">
        <f>IF($H1709="","",TODAY()-$H1709)</f>
        <v/>
      </c>
      <c r="O1709" s="15" t="n"/>
      <c r="P1709" s="26">
        <f>IF($A1709="","",COUNTIFS('Audit Versions'!$A$6:$A$605,$A1709,'Audit Versions'!$L$6:$L$605,"Active"))</f>
        <v/>
      </c>
      <c r="Q1709" s="15" t="n"/>
      <c r="R1709" s="26">
        <f>IF(OR($A1709="",$P1709=0),"",MOD(N($Q1709),$P1709)+1)</f>
        <v/>
      </c>
      <c r="S1709" s="15" t="n"/>
      <c r="T1709" s="25" t="n"/>
      <c r="U1709" s="26">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Builder'!$B$12="",N($S1709)&lt;='Assignment Builder'!$B$12)))</f>
        <v/>
      </c>
      <c r="V1709" s="23" t="n"/>
    </row>
    <row r="1710">
      <c r="A1710" s="23" t="n"/>
      <c r="B1710" s="23" t="n"/>
      <c r="C1710" s="24" t="n"/>
      <c r="D1710" s="15" t="n"/>
      <c r="E1710" s="23" t="n"/>
      <c r="F1710" s="15" t="n"/>
      <c r="G1710" s="23" t="n"/>
      <c r="H1710" s="25" t="n"/>
      <c r="I1710" s="15" t="n"/>
      <c r="J1710" s="26">
        <f>IF($A1710="","",LEN($C1710)-LEN(SUBSTITUTE($C1710,",",""))+1)</f>
        <v/>
      </c>
      <c r="K1710" s="26">
        <f>IF($A1710="","",SUMPRODUCT(--ISNUMBER(SEARCH('Category Dictionary'!$D$5:$D$135&amp;"",$C1710)),--('Category Dictionary'!$D$5:$D$135&lt;&gt;"")))</f>
        <v/>
      </c>
      <c r="L1710" s="27">
        <f>IF($A1710="","",TRIM(IF(ISERROR(FIND(",",$C1710)),$C1710,LEFT($C1710,FIND(",",$C1710)-1))))</f>
        <v/>
      </c>
      <c r="M1710" s="28">
        <f>IF($H1710="","",DATE(YEAR($H1710),MONTH($H1710),1))</f>
        <v/>
      </c>
      <c r="N1710" s="26">
        <f>IF($H1710="","",TODAY()-$H1710)</f>
        <v/>
      </c>
      <c r="O1710" s="15" t="n"/>
      <c r="P1710" s="26">
        <f>IF($A1710="","",COUNTIFS('Audit Versions'!$A$6:$A$605,$A1710,'Audit Versions'!$L$6:$L$605,"Active"))</f>
        <v/>
      </c>
      <c r="Q1710" s="15" t="n"/>
      <c r="R1710" s="26">
        <f>IF(OR($A1710="",$P1710=0),"",MOD(N($Q1710),$P1710)+1)</f>
        <v/>
      </c>
      <c r="S1710" s="15" t="n"/>
      <c r="T1710" s="25" t="n"/>
      <c r="U1710" s="26">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Builder'!$B$12="",N($S1710)&lt;='Assignment Builder'!$B$12)))</f>
        <v/>
      </c>
      <c r="V1710" s="23" t="n"/>
    </row>
    <row r="1711">
      <c r="A1711" s="23" t="n"/>
      <c r="B1711" s="23" t="n"/>
      <c r="C1711" s="24" t="n"/>
      <c r="D1711" s="15" t="n"/>
      <c r="E1711" s="23" t="n"/>
      <c r="F1711" s="15" t="n"/>
      <c r="G1711" s="23" t="n"/>
      <c r="H1711" s="25" t="n"/>
      <c r="I1711" s="15" t="n"/>
      <c r="J1711" s="26">
        <f>IF($A1711="","",LEN($C1711)-LEN(SUBSTITUTE($C1711,",",""))+1)</f>
        <v/>
      </c>
      <c r="K1711" s="26">
        <f>IF($A1711="","",SUMPRODUCT(--ISNUMBER(SEARCH('Category Dictionary'!$D$5:$D$135&amp;"",$C1711)),--('Category Dictionary'!$D$5:$D$135&lt;&gt;"")))</f>
        <v/>
      </c>
      <c r="L1711" s="27">
        <f>IF($A1711="","",TRIM(IF(ISERROR(FIND(",",$C1711)),$C1711,LEFT($C1711,FIND(",",$C1711)-1))))</f>
        <v/>
      </c>
      <c r="M1711" s="28">
        <f>IF($H1711="","",DATE(YEAR($H1711),MONTH($H1711),1))</f>
        <v/>
      </c>
      <c r="N1711" s="26">
        <f>IF($H1711="","",TODAY()-$H1711)</f>
        <v/>
      </c>
      <c r="O1711" s="15" t="n"/>
      <c r="P1711" s="26">
        <f>IF($A1711="","",COUNTIFS('Audit Versions'!$A$6:$A$605,$A1711,'Audit Versions'!$L$6:$L$605,"Active"))</f>
        <v/>
      </c>
      <c r="Q1711" s="15" t="n"/>
      <c r="R1711" s="26">
        <f>IF(OR($A1711="",$P1711=0),"",MOD(N($Q1711),$P1711)+1)</f>
        <v/>
      </c>
      <c r="S1711" s="15" t="n"/>
      <c r="T1711" s="25" t="n"/>
      <c r="U1711" s="26">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Builder'!$B$12="",N($S1711)&lt;='Assignment Builder'!$B$12)))</f>
        <v/>
      </c>
      <c r="V1711" s="23" t="n"/>
    </row>
    <row r="1712">
      <c r="A1712" s="23" t="n"/>
      <c r="B1712" s="23" t="n"/>
      <c r="C1712" s="24" t="n"/>
      <c r="D1712" s="15" t="n"/>
      <c r="E1712" s="23" t="n"/>
      <c r="F1712" s="15" t="n"/>
      <c r="G1712" s="23" t="n"/>
      <c r="H1712" s="25" t="n"/>
      <c r="I1712" s="15" t="n"/>
      <c r="J1712" s="26">
        <f>IF($A1712="","",LEN($C1712)-LEN(SUBSTITUTE($C1712,",",""))+1)</f>
        <v/>
      </c>
      <c r="K1712" s="26">
        <f>IF($A1712="","",SUMPRODUCT(--ISNUMBER(SEARCH('Category Dictionary'!$D$5:$D$135&amp;"",$C1712)),--('Category Dictionary'!$D$5:$D$135&lt;&gt;"")))</f>
        <v/>
      </c>
      <c r="L1712" s="27">
        <f>IF($A1712="","",TRIM(IF(ISERROR(FIND(",",$C1712)),$C1712,LEFT($C1712,FIND(",",$C1712)-1))))</f>
        <v/>
      </c>
      <c r="M1712" s="28">
        <f>IF($H1712="","",DATE(YEAR($H1712),MONTH($H1712),1))</f>
        <v/>
      </c>
      <c r="N1712" s="26">
        <f>IF($H1712="","",TODAY()-$H1712)</f>
        <v/>
      </c>
      <c r="O1712" s="15" t="n"/>
      <c r="P1712" s="26">
        <f>IF($A1712="","",COUNTIFS('Audit Versions'!$A$6:$A$605,$A1712,'Audit Versions'!$L$6:$L$605,"Active"))</f>
        <v/>
      </c>
      <c r="Q1712" s="15" t="n"/>
      <c r="R1712" s="26">
        <f>IF(OR($A1712="",$P1712=0),"",MOD(N($Q1712),$P1712)+1)</f>
        <v/>
      </c>
      <c r="S1712" s="15" t="n"/>
      <c r="T1712" s="25" t="n"/>
      <c r="U1712" s="26">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Builder'!$B$12="",N($S1712)&lt;='Assignment Builder'!$B$12)))</f>
        <v/>
      </c>
      <c r="V1712" s="23" t="n"/>
    </row>
    <row r="1713">
      <c r="A1713" s="23" t="n"/>
      <c r="B1713" s="23" t="n"/>
      <c r="C1713" s="24" t="n"/>
      <c r="D1713" s="15" t="n"/>
      <c r="E1713" s="23" t="n"/>
      <c r="F1713" s="15" t="n"/>
      <c r="G1713" s="23" t="n"/>
      <c r="H1713" s="25" t="n"/>
      <c r="I1713" s="15" t="n"/>
      <c r="J1713" s="26">
        <f>IF($A1713="","",LEN($C1713)-LEN(SUBSTITUTE($C1713,",",""))+1)</f>
        <v/>
      </c>
      <c r="K1713" s="26">
        <f>IF($A1713="","",SUMPRODUCT(--ISNUMBER(SEARCH('Category Dictionary'!$D$5:$D$135&amp;"",$C1713)),--('Category Dictionary'!$D$5:$D$135&lt;&gt;"")))</f>
        <v/>
      </c>
      <c r="L1713" s="27">
        <f>IF($A1713="","",TRIM(IF(ISERROR(FIND(",",$C1713)),$C1713,LEFT($C1713,FIND(",",$C1713)-1))))</f>
        <v/>
      </c>
      <c r="M1713" s="28">
        <f>IF($H1713="","",DATE(YEAR($H1713),MONTH($H1713),1))</f>
        <v/>
      </c>
      <c r="N1713" s="26">
        <f>IF($H1713="","",TODAY()-$H1713)</f>
        <v/>
      </c>
      <c r="O1713" s="15" t="n"/>
      <c r="P1713" s="26">
        <f>IF($A1713="","",COUNTIFS('Audit Versions'!$A$6:$A$605,$A1713,'Audit Versions'!$L$6:$L$605,"Active"))</f>
        <v/>
      </c>
      <c r="Q1713" s="15" t="n"/>
      <c r="R1713" s="26">
        <f>IF(OR($A1713="",$P1713=0),"",MOD(N($Q1713),$P1713)+1)</f>
        <v/>
      </c>
      <c r="S1713" s="15" t="n"/>
      <c r="T1713" s="25" t="n"/>
      <c r="U1713" s="26">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Builder'!$B$12="",N($S1713)&lt;='Assignment Builder'!$B$12)))</f>
        <v/>
      </c>
      <c r="V1713" s="23" t="n"/>
    </row>
    <row r="1714">
      <c r="A1714" s="23" t="n"/>
      <c r="B1714" s="23" t="n"/>
      <c r="C1714" s="24" t="n"/>
      <c r="D1714" s="15" t="n"/>
      <c r="E1714" s="23" t="n"/>
      <c r="F1714" s="15" t="n"/>
      <c r="G1714" s="23" t="n"/>
      <c r="H1714" s="25" t="n"/>
      <c r="I1714" s="15" t="n"/>
      <c r="J1714" s="26">
        <f>IF($A1714="","",LEN($C1714)-LEN(SUBSTITUTE($C1714,",",""))+1)</f>
        <v/>
      </c>
      <c r="K1714" s="26">
        <f>IF($A1714="","",SUMPRODUCT(--ISNUMBER(SEARCH('Category Dictionary'!$D$5:$D$135&amp;"",$C1714)),--('Category Dictionary'!$D$5:$D$135&lt;&gt;"")))</f>
        <v/>
      </c>
      <c r="L1714" s="27">
        <f>IF($A1714="","",TRIM(IF(ISERROR(FIND(",",$C1714)),$C1714,LEFT($C1714,FIND(",",$C1714)-1))))</f>
        <v/>
      </c>
      <c r="M1714" s="28">
        <f>IF($H1714="","",DATE(YEAR($H1714),MONTH($H1714),1))</f>
        <v/>
      </c>
      <c r="N1714" s="26">
        <f>IF($H1714="","",TODAY()-$H1714)</f>
        <v/>
      </c>
      <c r="O1714" s="15" t="n"/>
      <c r="P1714" s="26">
        <f>IF($A1714="","",COUNTIFS('Audit Versions'!$A$6:$A$605,$A1714,'Audit Versions'!$L$6:$L$605,"Active"))</f>
        <v/>
      </c>
      <c r="Q1714" s="15" t="n"/>
      <c r="R1714" s="26">
        <f>IF(OR($A1714="",$P1714=0),"",MOD(N($Q1714),$P1714)+1)</f>
        <v/>
      </c>
      <c r="S1714" s="15" t="n"/>
      <c r="T1714" s="25" t="n"/>
      <c r="U1714" s="26">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Builder'!$B$12="",N($S1714)&lt;='Assignment Builder'!$B$12)))</f>
        <v/>
      </c>
      <c r="V1714" s="23" t="n"/>
    </row>
    <row r="1715">
      <c r="A1715" s="23" t="n"/>
      <c r="B1715" s="23" t="n"/>
      <c r="C1715" s="24" t="n"/>
      <c r="D1715" s="15" t="n"/>
      <c r="E1715" s="23" t="n"/>
      <c r="F1715" s="15" t="n"/>
      <c r="G1715" s="23" t="n"/>
      <c r="H1715" s="25" t="n"/>
      <c r="I1715" s="15" t="n"/>
      <c r="J1715" s="26">
        <f>IF($A1715="","",LEN($C1715)-LEN(SUBSTITUTE($C1715,",",""))+1)</f>
        <v/>
      </c>
      <c r="K1715" s="26">
        <f>IF($A1715="","",SUMPRODUCT(--ISNUMBER(SEARCH('Category Dictionary'!$D$5:$D$135&amp;"",$C1715)),--('Category Dictionary'!$D$5:$D$135&lt;&gt;"")))</f>
        <v/>
      </c>
      <c r="L1715" s="27">
        <f>IF($A1715="","",TRIM(IF(ISERROR(FIND(",",$C1715)),$C1715,LEFT($C1715,FIND(",",$C1715)-1))))</f>
        <v/>
      </c>
      <c r="M1715" s="28">
        <f>IF($H1715="","",DATE(YEAR($H1715),MONTH($H1715),1))</f>
        <v/>
      </c>
      <c r="N1715" s="26">
        <f>IF($H1715="","",TODAY()-$H1715)</f>
        <v/>
      </c>
      <c r="O1715" s="15" t="n"/>
      <c r="P1715" s="26">
        <f>IF($A1715="","",COUNTIFS('Audit Versions'!$A$6:$A$605,$A1715,'Audit Versions'!$L$6:$L$605,"Active"))</f>
        <v/>
      </c>
      <c r="Q1715" s="15" t="n"/>
      <c r="R1715" s="26">
        <f>IF(OR($A1715="",$P1715=0),"",MOD(N($Q1715),$P1715)+1)</f>
        <v/>
      </c>
      <c r="S1715" s="15" t="n"/>
      <c r="T1715" s="25" t="n"/>
      <c r="U1715" s="26">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Builder'!$B$12="",N($S1715)&lt;='Assignment Builder'!$B$12)))</f>
        <v/>
      </c>
      <c r="V1715" s="23" t="n"/>
    </row>
    <row r="1716">
      <c r="A1716" s="23" t="n"/>
      <c r="B1716" s="23" t="n"/>
      <c r="C1716" s="24" t="n"/>
      <c r="D1716" s="15" t="n"/>
      <c r="E1716" s="23" t="n"/>
      <c r="F1716" s="15" t="n"/>
      <c r="G1716" s="23" t="n"/>
      <c r="H1716" s="25" t="n"/>
      <c r="I1716" s="15" t="n"/>
      <c r="J1716" s="26">
        <f>IF($A1716="","",LEN($C1716)-LEN(SUBSTITUTE($C1716,",",""))+1)</f>
        <v/>
      </c>
      <c r="K1716" s="26">
        <f>IF($A1716="","",SUMPRODUCT(--ISNUMBER(SEARCH('Category Dictionary'!$D$5:$D$135&amp;"",$C1716)),--('Category Dictionary'!$D$5:$D$135&lt;&gt;"")))</f>
        <v/>
      </c>
      <c r="L1716" s="27">
        <f>IF($A1716="","",TRIM(IF(ISERROR(FIND(",",$C1716)),$C1716,LEFT($C1716,FIND(",",$C1716)-1))))</f>
        <v/>
      </c>
      <c r="M1716" s="28">
        <f>IF($H1716="","",DATE(YEAR($H1716),MONTH($H1716),1))</f>
        <v/>
      </c>
      <c r="N1716" s="26">
        <f>IF($H1716="","",TODAY()-$H1716)</f>
        <v/>
      </c>
      <c r="O1716" s="15" t="n"/>
      <c r="P1716" s="26">
        <f>IF($A1716="","",COUNTIFS('Audit Versions'!$A$6:$A$605,$A1716,'Audit Versions'!$L$6:$L$605,"Active"))</f>
        <v/>
      </c>
      <c r="Q1716" s="15" t="n"/>
      <c r="R1716" s="26">
        <f>IF(OR($A1716="",$P1716=0),"",MOD(N($Q1716),$P1716)+1)</f>
        <v/>
      </c>
      <c r="S1716" s="15" t="n"/>
      <c r="T1716" s="25" t="n"/>
      <c r="U1716" s="26">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Builder'!$B$12="",N($S1716)&lt;='Assignment Builder'!$B$12)))</f>
        <v/>
      </c>
      <c r="V1716" s="23" t="n"/>
    </row>
    <row r="1717">
      <c r="A1717" s="23" t="n"/>
      <c r="B1717" s="23" t="n"/>
      <c r="C1717" s="24" t="n"/>
      <c r="D1717" s="15" t="n"/>
      <c r="E1717" s="23" t="n"/>
      <c r="F1717" s="15" t="n"/>
      <c r="G1717" s="23" t="n"/>
      <c r="H1717" s="25" t="n"/>
      <c r="I1717" s="15" t="n"/>
      <c r="J1717" s="26">
        <f>IF($A1717="","",LEN($C1717)-LEN(SUBSTITUTE($C1717,",",""))+1)</f>
        <v/>
      </c>
      <c r="K1717" s="26">
        <f>IF($A1717="","",SUMPRODUCT(--ISNUMBER(SEARCH('Category Dictionary'!$D$5:$D$135&amp;"",$C1717)),--('Category Dictionary'!$D$5:$D$135&lt;&gt;"")))</f>
        <v/>
      </c>
      <c r="L1717" s="27">
        <f>IF($A1717="","",TRIM(IF(ISERROR(FIND(",",$C1717)),$C1717,LEFT($C1717,FIND(",",$C1717)-1))))</f>
        <v/>
      </c>
      <c r="M1717" s="28">
        <f>IF($H1717="","",DATE(YEAR($H1717),MONTH($H1717),1))</f>
        <v/>
      </c>
      <c r="N1717" s="26">
        <f>IF($H1717="","",TODAY()-$H1717)</f>
        <v/>
      </c>
      <c r="O1717" s="15" t="n"/>
      <c r="P1717" s="26">
        <f>IF($A1717="","",COUNTIFS('Audit Versions'!$A$6:$A$605,$A1717,'Audit Versions'!$L$6:$L$605,"Active"))</f>
        <v/>
      </c>
      <c r="Q1717" s="15" t="n"/>
      <c r="R1717" s="26">
        <f>IF(OR($A1717="",$P1717=0),"",MOD(N($Q1717),$P1717)+1)</f>
        <v/>
      </c>
      <c r="S1717" s="15" t="n"/>
      <c r="T1717" s="25" t="n"/>
      <c r="U1717" s="26">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Builder'!$B$12="",N($S1717)&lt;='Assignment Builder'!$B$12)))</f>
        <v/>
      </c>
      <c r="V1717" s="23" t="n"/>
    </row>
    <row r="1718">
      <c r="A1718" s="23" t="n"/>
      <c r="B1718" s="23" t="n"/>
      <c r="C1718" s="24" t="n"/>
      <c r="D1718" s="15" t="n"/>
      <c r="E1718" s="23" t="n"/>
      <c r="F1718" s="15" t="n"/>
      <c r="G1718" s="23" t="n"/>
      <c r="H1718" s="25" t="n"/>
      <c r="I1718" s="15" t="n"/>
      <c r="J1718" s="26">
        <f>IF($A1718="","",LEN($C1718)-LEN(SUBSTITUTE($C1718,",",""))+1)</f>
        <v/>
      </c>
      <c r="K1718" s="26">
        <f>IF($A1718="","",SUMPRODUCT(--ISNUMBER(SEARCH('Category Dictionary'!$D$5:$D$135&amp;"",$C1718)),--('Category Dictionary'!$D$5:$D$135&lt;&gt;"")))</f>
        <v/>
      </c>
      <c r="L1718" s="27">
        <f>IF($A1718="","",TRIM(IF(ISERROR(FIND(",",$C1718)),$C1718,LEFT($C1718,FIND(",",$C1718)-1))))</f>
        <v/>
      </c>
      <c r="M1718" s="28">
        <f>IF($H1718="","",DATE(YEAR($H1718),MONTH($H1718),1))</f>
        <v/>
      </c>
      <c r="N1718" s="26">
        <f>IF($H1718="","",TODAY()-$H1718)</f>
        <v/>
      </c>
      <c r="O1718" s="15" t="n"/>
      <c r="P1718" s="26">
        <f>IF($A1718="","",COUNTIFS('Audit Versions'!$A$6:$A$605,$A1718,'Audit Versions'!$L$6:$L$605,"Active"))</f>
        <v/>
      </c>
      <c r="Q1718" s="15" t="n"/>
      <c r="R1718" s="26">
        <f>IF(OR($A1718="",$P1718=0),"",MOD(N($Q1718),$P1718)+1)</f>
        <v/>
      </c>
      <c r="S1718" s="15" t="n"/>
      <c r="T1718" s="25" t="n"/>
      <c r="U1718" s="26">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Builder'!$B$12="",N($S1718)&lt;='Assignment Builder'!$B$12)))</f>
        <v/>
      </c>
      <c r="V1718" s="23" t="n"/>
    </row>
    <row r="1719">
      <c r="A1719" s="23" t="n"/>
      <c r="B1719" s="23" t="n"/>
      <c r="C1719" s="24" t="n"/>
      <c r="D1719" s="15" t="n"/>
      <c r="E1719" s="23" t="n"/>
      <c r="F1719" s="15" t="n"/>
      <c r="G1719" s="23" t="n"/>
      <c r="H1719" s="25" t="n"/>
      <c r="I1719" s="15" t="n"/>
      <c r="J1719" s="26">
        <f>IF($A1719="","",LEN($C1719)-LEN(SUBSTITUTE($C1719,",",""))+1)</f>
        <v/>
      </c>
      <c r="K1719" s="26">
        <f>IF($A1719="","",SUMPRODUCT(--ISNUMBER(SEARCH('Category Dictionary'!$D$5:$D$135&amp;"",$C1719)),--('Category Dictionary'!$D$5:$D$135&lt;&gt;"")))</f>
        <v/>
      </c>
      <c r="L1719" s="27">
        <f>IF($A1719="","",TRIM(IF(ISERROR(FIND(",",$C1719)),$C1719,LEFT($C1719,FIND(",",$C1719)-1))))</f>
        <v/>
      </c>
      <c r="M1719" s="28">
        <f>IF($H1719="","",DATE(YEAR($H1719),MONTH($H1719),1))</f>
        <v/>
      </c>
      <c r="N1719" s="26">
        <f>IF($H1719="","",TODAY()-$H1719)</f>
        <v/>
      </c>
      <c r="O1719" s="15" t="n"/>
      <c r="P1719" s="26">
        <f>IF($A1719="","",COUNTIFS('Audit Versions'!$A$6:$A$605,$A1719,'Audit Versions'!$L$6:$L$605,"Active"))</f>
        <v/>
      </c>
      <c r="Q1719" s="15" t="n"/>
      <c r="R1719" s="26">
        <f>IF(OR($A1719="",$P1719=0),"",MOD(N($Q1719),$P1719)+1)</f>
        <v/>
      </c>
      <c r="S1719" s="15" t="n"/>
      <c r="T1719" s="25" t="n"/>
      <c r="U1719" s="26">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Builder'!$B$12="",N($S1719)&lt;='Assignment Builder'!$B$12)))</f>
        <v/>
      </c>
      <c r="V1719" s="23" t="n"/>
    </row>
    <row r="1720">
      <c r="A1720" s="23" t="n"/>
      <c r="B1720" s="23" t="n"/>
      <c r="C1720" s="24" t="n"/>
      <c r="D1720" s="15" t="n"/>
      <c r="E1720" s="23" t="n"/>
      <c r="F1720" s="15" t="n"/>
      <c r="G1720" s="23" t="n"/>
      <c r="H1720" s="25" t="n"/>
      <c r="I1720" s="15" t="n"/>
      <c r="J1720" s="26">
        <f>IF($A1720="","",LEN($C1720)-LEN(SUBSTITUTE($C1720,",",""))+1)</f>
        <v/>
      </c>
      <c r="K1720" s="26">
        <f>IF($A1720="","",SUMPRODUCT(--ISNUMBER(SEARCH('Category Dictionary'!$D$5:$D$135&amp;"",$C1720)),--('Category Dictionary'!$D$5:$D$135&lt;&gt;"")))</f>
        <v/>
      </c>
      <c r="L1720" s="27">
        <f>IF($A1720="","",TRIM(IF(ISERROR(FIND(",",$C1720)),$C1720,LEFT($C1720,FIND(",",$C1720)-1))))</f>
        <v/>
      </c>
      <c r="M1720" s="28">
        <f>IF($H1720="","",DATE(YEAR($H1720),MONTH($H1720),1))</f>
        <v/>
      </c>
      <c r="N1720" s="26">
        <f>IF($H1720="","",TODAY()-$H1720)</f>
        <v/>
      </c>
      <c r="O1720" s="15" t="n"/>
      <c r="P1720" s="26">
        <f>IF($A1720="","",COUNTIFS('Audit Versions'!$A$6:$A$605,$A1720,'Audit Versions'!$L$6:$L$605,"Active"))</f>
        <v/>
      </c>
      <c r="Q1720" s="15" t="n"/>
      <c r="R1720" s="26">
        <f>IF(OR($A1720="",$P1720=0),"",MOD(N($Q1720),$P1720)+1)</f>
        <v/>
      </c>
      <c r="S1720" s="15" t="n"/>
      <c r="T1720" s="25" t="n"/>
      <c r="U1720" s="26">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Builder'!$B$12="",N($S1720)&lt;='Assignment Builder'!$B$12)))</f>
        <v/>
      </c>
      <c r="V1720" s="23" t="n"/>
    </row>
    <row r="1721">
      <c r="A1721" s="23" t="n"/>
      <c r="B1721" s="23" t="n"/>
      <c r="C1721" s="24" t="n"/>
      <c r="D1721" s="15" t="n"/>
      <c r="E1721" s="23" t="n"/>
      <c r="F1721" s="15" t="n"/>
      <c r="G1721" s="23" t="n"/>
      <c r="H1721" s="25" t="n"/>
      <c r="I1721" s="15" t="n"/>
      <c r="J1721" s="26">
        <f>IF($A1721="","",LEN($C1721)-LEN(SUBSTITUTE($C1721,",",""))+1)</f>
        <v/>
      </c>
      <c r="K1721" s="26">
        <f>IF($A1721="","",SUMPRODUCT(--ISNUMBER(SEARCH('Category Dictionary'!$D$5:$D$135&amp;"",$C1721)),--('Category Dictionary'!$D$5:$D$135&lt;&gt;"")))</f>
        <v/>
      </c>
      <c r="L1721" s="27">
        <f>IF($A1721="","",TRIM(IF(ISERROR(FIND(",",$C1721)),$C1721,LEFT($C1721,FIND(",",$C1721)-1))))</f>
        <v/>
      </c>
      <c r="M1721" s="28">
        <f>IF($H1721="","",DATE(YEAR($H1721),MONTH($H1721),1))</f>
        <v/>
      </c>
      <c r="N1721" s="26">
        <f>IF($H1721="","",TODAY()-$H1721)</f>
        <v/>
      </c>
      <c r="O1721" s="15" t="n"/>
      <c r="P1721" s="26">
        <f>IF($A1721="","",COUNTIFS('Audit Versions'!$A$6:$A$605,$A1721,'Audit Versions'!$L$6:$L$605,"Active"))</f>
        <v/>
      </c>
      <c r="Q1721" s="15" t="n"/>
      <c r="R1721" s="26">
        <f>IF(OR($A1721="",$P1721=0),"",MOD(N($Q1721),$P1721)+1)</f>
        <v/>
      </c>
      <c r="S1721" s="15" t="n"/>
      <c r="T1721" s="25" t="n"/>
      <c r="U1721" s="26">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Builder'!$B$12="",N($S1721)&lt;='Assignment Builder'!$B$12)))</f>
        <v/>
      </c>
      <c r="V1721" s="23" t="n"/>
    </row>
    <row r="1722">
      <c r="A1722" s="23" t="n"/>
      <c r="B1722" s="23" t="n"/>
      <c r="C1722" s="24" t="n"/>
      <c r="D1722" s="15" t="n"/>
      <c r="E1722" s="23" t="n"/>
      <c r="F1722" s="15" t="n"/>
      <c r="G1722" s="23" t="n"/>
      <c r="H1722" s="25" t="n"/>
      <c r="I1722" s="15" t="n"/>
      <c r="J1722" s="26">
        <f>IF($A1722="","",LEN($C1722)-LEN(SUBSTITUTE($C1722,",",""))+1)</f>
        <v/>
      </c>
      <c r="K1722" s="26">
        <f>IF($A1722="","",SUMPRODUCT(--ISNUMBER(SEARCH('Category Dictionary'!$D$5:$D$135&amp;"",$C1722)),--('Category Dictionary'!$D$5:$D$135&lt;&gt;"")))</f>
        <v/>
      </c>
      <c r="L1722" s="27">
        <f>IF($A1722="","",TRIM(IF(ISERROR(FIND(",",$C1722)),$C1722,LEFT($C1722,FIND(",",$C1722)-1))))</f>
        <v/>
      </c>
      <c r="M1722" s="28">
        <f>IF($H1722="","",DATE(YEAR($H1722),MONTH($H1722),1))</f>
        <v/>
      </c>
      <c r="N1722" s="26">
        <f>IF($H1722="","",TODAY()-$H1722)</f>
        <v/>
      </c>
      <c r="O1722" s="15" t="n"/>
      <c r="P1722" s="26">
        <f>IF($A1722="","",COUNTIFS('Audit Versions'!$A$6:$A$605,$A1722,'Audit Versions'!$L$6:$L$605,"Active"))</f>
        <v/>
      </c>
      <c r="Q1722" s="15" t="n"/>
      <c r="R1722" s="26">
        <f>IF(OR($A1722="",$P1722=0),"",MOD(N($Q1722),$P1722)+1)</f>
        <v/>
      </c>
      <c r="S1722" s="15" t="n"/>
      <c r="T1722" s="25" t="n"/>
      <c r="U1722" s="26">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Builder'!$B$12="",N($S1722)&lt;='Assignment Builder'!$B$12)))</f>
        <v/>
      </c>
      <c r="V1722" s="23" t="n"/>
    </row>
    <row r="1723">
      <c r="A1723" s="23" t="n"/>
      <c r="B1723" s="23" t="n"/>
      <c r="C1723" s="24" t="n"/>
      <c r="D1723" s="15" t="n"/>
      <c r="E1723" s="23" t="n"/>
      <c r="F1723" s="15" t="n"/>
      <c r="G1723" s="23" t="n"/>
      <c r="H1723" s="25" t="n"/>
      <c r="I1723" s="15" t="n"/>
      <c r="J1723" s="26">
        <f>IF($A1723="","",LEN($C1723)-LEN(SUBSTITUTE($C1723,",",""))+1)</f>
        <v/>
      </c>
      <c r="K1723" s="26">
        <f>IF($A1723="","",SUMPRODUCT(--ISNUMBER(SEARCH('Category Dictionary'!$D$5:$D$135&amp;"",$C1723)),--('Category Dictionary'!$D$5:$D$135&lt;&gt;"")))</f>
        <v/>
      </c>
      <c r="L1723" s="27">
        <f>IF($A1723="","",TRIM(IF(ISERROR(FIND(",",$C1723)),$C1723,LEFT($C1723,FIND(",",$C1723)-1))))</f>
        <v/>
      </c>
      <c r="M1723" s="28">
        <f>IF($H1723="","",DATE(YEAR($H1723),MONTH($H1723),1))</f>
        <v/>
      </c>
      <c r="N1723" s="26">
        <f>IF($H1723="","",TODAY()-$H1723)</f>
        <v/>
      </c>
      <c r="O1723" s="15" t="n"/>
      <c r="P1723" s="26">
        <f>IF($A1723="","",COUNTIFS('Audit Versions'!$A$6:$A$605,$A1723,'Audit Versions'!$L$6:$L$605,"Active"))</f>
        <v/>
      </c>
      <c r="Q1723" s="15" t="n"/>
      <c r="R1723" s="26">
        <f>IF(OR($A1723="",$P1723=0),"",MOD(N($Q1723),$P1723)+1)</f>
        <v/>
      </c>
      <c r="S1723" s="15" t="n"/>
      <c r="T1723" s="25" t="n"/>
      <c r="U1723" s="26">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Builder'!$B$12="",N($S1723)&lt;='Assignment Builder'!$B$12)))</f>
        <v/>
      </c>
      <c r="V1723" s="23" t="n"/>
    </row>
    <row r="1724">
      <c r="A1724" s="23" t="n"/>
      <c r="B1724" s="23" t="n"/>
      <c r="C1724" s="24" t="n"/>
      <c r="D1724" s="15" t="n"/>
      <c r="E1724" s="23" t="n"/>
      <c r="F1724" s="15" t="n"/>
      <c r="G1724" s="23" t="n"/>
      <c r="H1724" s="25" t="n"/>
      <c r="I1724" s="15" t="n"/>
      <c r="J1724" s="26">
        <f>IF($A1724="","",LEN($C1724)-LEN(SUBSTITUTE($C1724,",",""))+1)</f>
        <v/>
      </c>
      <c r="K1724" s="26">
        <f>IF($A1724="","",SUMPRODUCT(--ISNUMBER(SEARCH('Category Dictionary'!$D$5:$D$135&amp;"",$C1724)),--('Category Dictionary'!$D$5:$D$135&lt;&gt;"")))</f>
        <v/>
      </c>
      <c r="L1724" s="27">
        <f>IF($A1724="","",TRIM(IF(ISERROR(FIND(",",$C1724)),$C1724,LEFT($C1724,FIND(",",$C1724)-1))))</f>
        <v/>
      </c>
      <c r="M1724" s="28">
        <f>IF($H1724="","",DATE(YEAR($H1724),MONTH($H1724),1))</f>
        <v/>
      </c>
      <c r="N1724" s="26">
        <f>IF($H1724="","",TODAY()-$H1724)</f>
        <v/>
      </c>
      <c r="O1724" s="15" t="n"/>
      <c r="P1724" s="26">
        <f>IF($A1724="","",COUNTIFS('Audit Versions'!$A$6:$A$605,$A1724,'Audit Versions'!$L$6:$L$605,"Active"))</f>
        <v/>
      </c>
      <c r="Q1724" s="15" t="n"/>
      <c r="R1724" s="26">
        <f>IF(OR($A1724="",$P1724=0),"",MOD(N($Q1724),$P1724)+1)</f>
        <v/>
      </c>
      <c r="S1724" s="15" t="n"/>
      <c r="T1724" s="25" t="n"/>
      <c r="U1724" s="26">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Builder'!$B$12="",N($S1724)&lt;='Assignment Builder'!$B$12)))</f>
        <v/>
      </c>
      <c r="V1724" s="23" t="n"/>
    </row>
    <row r="1725">
      <c r="A1725" s="23" t="n"/>
      <c r="B1725" s="23" t="n"/>
      <c r="C1725" s="24" t="n"/>
      <c r="D1725" s="15" t="n"/>
      <c r="E1725" s="23" t="n"/>
      <c r="F1725" s="15" t="n"/>
      <c r="G1725" s="23" t="n"/>
      <c r="H1725" s="25" t="n"/>
      <c r="I1725" s="15" t="n"/>
      <c r="J1725" s="26">
        <f>IF($A1725="","",LEN($C1725)-LEN(SUBSTITUTE($C1725,",",""))+1)</f>
        <v/>
      </c>
      <c r="K1725" s="26">
        <f>IF($A1725="","",SUMPRODUCT(--ISNUMBER(SEARCH('Category Dictionary'!$D$5:$D$135&amp;"",$C1725)),--('Category Dictionary'!$D$5:$D$135&lt;&gt;"")))</f>
        <v/>
      </c>
      <c r="L1725" s="27">
        <f>IF($A1725="","",TRIM(IF(ISERROR(FIND(",",$C1725)),$C1725,LEFT($C1725,FIND(",",$C1725)-1))))</f>
        <v/>
      </c>
      <c r="M1725" s="28">
        <f>IF($H1725="","",DATE(YEAR($H1725),MONTH($H1725),1))</f>
        <v/>
      </c>
      <c r="N1725" s="26">
        <f>IF($H1725="","",TODAY()-$H1725)</f>
        <v/>
      </c>
      <c r="O1725" s="15" t="n"/>
      <c r="P1725" s="26">
        <f>IF($A1725="","",COUNTIFS('Audit Versions'!$A$6:$A$605,$A1725,'Audit Versions'!$L$6:$L$605,"Active"))</f>
        <v/>
      </c>
      <c r="Q1725" s="15" t="n"/>
      <c r="R1725" s="26">
        <f>IF(OR($A1725="",$P1725=0),"",MOD(N($Q1725),$P1725)+1)</f>
        <v/>
      </c>
      <c r="S1725" s="15" t="n"/>
      <c r="T1725" s="25" t="n"/>
      <c r="U1725" s="26">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Builder'!$B$12="",N($S1725)&lt;='Assignment Builder'!$B$12)))</f>
        <v/>
      </c>
      <c r="V1725" s="23" t="n"/>
    </row>
    <row r="1726">
      <c r="A1726" s="23" t="n"/>
      <c r="B1726" s="23" t="n"/>
      <c r="C1726" s="24" t="n"/>
      <c r="D1726" s="15" t="n"/>
      <c r="E1726" s="23" t="n"/>
      <c r="F1726" s="15" t="n"/>
      <c r="G1726" s="23" t="n"/>
      <c r="H1726" s="25" t="n"/>
      <c r="I1726" s="15" t="n"/>
      <c r="J1726" s="26">
        <f>IF($A1726="","",LEN($C1726)-LEN(SUBSTITUTE($C1726,",",""))+1)</f>
        <v/>
      </c>
      <c r="K1726" s="26">
        <f>IF($A1726="","",SUMPRODUCT(--ISNUMBER(SEARCH('Category Dictionary'!$D$5:$D$135&amp;"",$C1726)),--('Category Dictionary'!$D$5:$D$135&lt;&gt;"")))</f>
        <v/>
      </c>
      <c r="L1726" s="27">
        <f>IF($A1726="","",TRIM(IF(ISERROR(FIND(",",$C1726)),$C1726,LEFT($C1726,FIND(",",$C1726)-1))))</f>
        <v/>
      </c>
      <c r="M1726" s="28">
        <f>IF($H1726="","",DATE(YEAR($H1726),MONTH($H1726),1))</f>
        <v/>
      </c>
      <c r="N1726" s="26">
        <f>IF($H1726="","",TODAY()-$H1726)</f>
        <v/>
      </c>
      <c r="O1726" s="15" t="n"/>
      <c r="P1726" s="26">
        <f>IF($A1726="","",COUNTIFS('Audit Versions'!$A$6:$A$605,$A1726,'Audit Versions'!$L$6:$L$605,"Active"))</f>
        <v/>
      </c>
      <c r="Q1726" s="15" t="n"/>
      <c r="R1726" s="26">
        <f>IF(OR($A1726="",$P1726=0),"",MOD(N($Q1726),$P1726)+1)</f>
        <v/>
      </c>
      <c r="S1726" s="15" t="n"/>
      <c r="T1726" s="25" t="n"/>
      <c r="U1726" s="26">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Builder'!$B$12="",N($S1726)&lt;='Assignment Builder'!$B$12)))</f>
        <v/>
      </c>
      <c r="V1726" s="23" t="n"/>
    </row>
    <row r="1727">
      <c r="A1727" s="23" t="n"/>
      <c r="B1727" s="23" t="n"/>
      <c r="C1727" s="24" t="n"/>
      <c r="D1727" s="15" t="n"/>
      <c r="E1727" s="23" t="n"/>
      <c r="F1727" s="15" t="n"/>
      <c r="G1727" s="23" t="n"/>
      <c r="H1727" s="25" t="n"/>
      <c r="I1727" s="15" t="n"/>
      <c r="J1727" s="26">
        <f>IF($A1727="","",LEN($C1727)-LEN(SUBSTITUTE($C1727,",",""))+1)</f>
        <v/>
      </c>
      <c r="K1727" s="26">
        <f>IF($A1727="","",SUMPRODUCT(--ISNUMBER(SEARCH('Category Dictionary'!$D$5:$D$135&amp;"",$C1727)),--('Category Dictionary'!$D$5:$D$135&lt;&gt;"")))</f>
        <v/>
      </c>
      <c r="L1727" s="27">
        <f>IF($A1727="","",TRIM(IF(ISERROR(FIND(",",$C1727)),$C1727,LEFT($C1727,FIND(",",$C1727)-1))))</f>
        <v/>
      </c>
      <c r="M1727" s="28">
        <f>IF($H1727="","",DATE(YEAR($H1727),MONTH($H1727),1))</f>
        <v/>
      </c>
      <c r="N1727" s="26">
        <f>IF($H1727="","",TODAY()-$H1727)</f>
        <v/>
      </c>
      <c r="O1727" s="15" t="n"/>
      <c r="P1727" s="26">
        <f>IF($A1727="","",COUNTIFS('Audit Versions'!$A$6:$A$605,$A1727,'Audit Versions'!$L$6:$L$605,"Active"))</f>
        <v/>
      </c>
      <c r="Q1727" s="15" t="n"/>
      <c r="R1727" s="26">
        <f>IF(OR($A1727="",$P1727=0),"",MOD(N($Q1727),$P1727)+1)</f>
        <v/>
      </c>
      <c r="S1727" s="15" t="n"/>
      <c r="T1727" s="25" t="n"/>
      <c r="U1727" s="26">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Builder'!$B$12="",N($S1727)&lt;='Assignment Builder'!$B$12)))</f>
        <v/>
      </c>
      <c r="V1727" s="23" t="n"/>
    </row>
    <row r="1728">
      <c r="A1728" s="23" t="n"/>
      <c r="B1728" s="23" t="n"/>
      <c r="C1728" s="24" t="n"/>
      <c r="D1728" s="15" t="n"/>
      <c r="E1728" s="23" t="n"/>
      <c r="F1728" s="15" t="n"/>
      <c r="G1728" s="23" t="n"/>
      <c r="H1728" s="25" t="n"/>
      <c r="I1728" s="15" t="n"/>
      <c r="J1728" s="26">
        <f>IF($A1728="","",LEN($C1728)-LEN(SUBSTITUTE($C1728,",",""))+1)</f>
        <v/>
      </c>
      <c r="K1728" s="26">
        <f>IF($A1728="","",SUMPRODUCT(--ISNUMBER(SEARCH('Category Dictionary'!$D$5:$D$135&amp;"",$C1728)),--('Category Dictionary'!$D$5:$D$135&lt;&gt;"")))</f>
        <v/>
      </c>
      <c r="L1728" s="27">
        <f>IF($A1728="","",TRIM(IF(ISERROR(FIND(",",$C1728)),$C1728,LEFT($C1728,FIND(",",$C1728)-1))))</f>
        <v/>
      </c>
      <c r="M1728" s="28">
        <f>IF($H1728="","",DATE(YEAR($H1728),MONTH($H1728),1))</f>
        <v/>
      </c>
      <c r="N1728" s="26">
        <f>IF($H1728="","",TODAY()-$H1728)</f>
        <v/>
      </c>
      <c r="O1728" s="15" t="n"/>
      <c r="P1728" s="26">
        <f>IF($A1728="","",COUNTIFS('Audit Versions'!$A$6:$A$605,$A1728,'Audit Versions'!$L$6:$L$605,"Active"))</f>
        <v/>
      </c>
      <c r="Q1728" s="15" t="n"/>
      <c r="R1728" s="26">
        <f>IF(OR($A1728="",$P1728=0),"",MOD(N($Q1728),$P1728)+1)</f>
        <v/>
      </c>
      <c r="S1728" s="15" t="n"/>
      <c r="T1728" s="25" t="n"/>
      <c r="U1728" s="26">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Builder'!$B$12="",N($S1728)&lt;='Assignment Builder'!$B$12)))</f>
        <v/>
      </c>
      <c r="V1728" s="23" t="n"/>
    </row>
    <row r="1729">
      <c r="A1729" s="23" t="n"/>
      <c r="B1729" s="23" t="n"/>
      <c r="C1729" s="24" t="n"/>
      <c r="D1729" s="15" t="n"/>
      <c r="E1729" s="23" t="n"/>
      <c r="F1729" s="15" t="n"/>
      <c r="G1729" s="23" t="n"/>
      <c r="H1729" s="25" t="n"/>
      <c r="I1729" s="15" t="n"/>
      <c r="J1729" s="26">
        <f>IF($A1729="","",LEN($C1729)-LEN(SUBSTITUTE($C1729,",",""))+1)</f>
        <v/>
      </c>
      <c r="K1729" s="26">
        <f>IF($A1729="","",SUMPRODUCT(--ISNUMBER(SEARCH('Category Dictionary'!$D$5:$D$135&amp;"",$C1729)),--('Category Dictionary'!$D$5:$D$135&lt;&gt;"")))</f>
        <v/>
      </c>
      <c r="L1729" s="27">
        <f>IF($A1729="","",TRIM(IF(ISERROR(FIND(",",$C1729)),$C1729,LEFT($C1729,FIND(",",$C1729)-1))))</f>
        <v/>
      </c>
      <c r="M1729" s="28">
        <f>IF($H1729="","",DATE(YEAR($H1729),MONTH($H1729),1))</f>
        <v/>
      </c>
      <c r="N1729" s="26">
        <f>IF($H1729="","",TODAY()-$H1729)</f>
        <v/>
      </c>
      <c r="O1729" s="15" t="n"/>
      <c r="P1729" s="26">
        <f>IF($A1729="","",COUNTIFS('Audit Versions'!$A$6:$A$605,$A1729,'Audit Versions'!$L$6:$L$605,"Active"))</f>
        <v/>
      </c>
      <c r="Q1729" s="15" t="n"/>
      <c r="R1729" s="26">
        <f>IF(OR($A1729="",$P1729=0),"",MOD(N($Q1729),$P1729)+1)</f>
        <v/>
      </c>
      <c r="S1729" s="15" t="n"/>
      <c r="T1729" s="25" t="n"/>
      <c r="U1729" s="26">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Builder'!$B$12="",N($S1729)&lt;='Assignment Builder'!$B$12)))</f>
        <v/>
      </c>
      <c r="V1729" s="23" t="n"/>
    </row>
    <row r="1730">
      <c r="A1730" s="23" t="n"/>
      <c r="B1730" s="23" t="n"/>
      <c r="C1730" s="24" t="n"/>
      <c r="D1730" s="15" t="n"/>
      <c r="E1730" s="23" t="n"/>
      <c r="F1730" s="15" t="n"/>
      <c r="G1730" s="23" t="n"/>
      <c r="H1730" s="25" t="n"/>
      <c r="I1730" s="15" t="n"/>
      <c r="J1730" s="26">
        <f>IF($A1730="","",LEN($C1730)-LEN(SUBSTITUTE($C1730,",",""))+1)</f>
        <v/>
      </c>
      <c r="K1730" s="26">
        <f>IF($A1730="","",SUMPRODUCT(--ISNUMBER(SEARCH('Category Dictionary'!$D$5:$D$135&amp;"",$C1730)),--('Category Dictionary'!$D$5:$D$135&lt;&gt;"")))</f>
        <v/>
      </c>
      <c r="L1730" s="27">
        <f>IF($A1730="","",TRIM(IF(ISERROR(FIND(",",$C1730)),$C1730,LEFT($C1730,FIND(",",$C1730)-1))))</f>
        <v/>
      </c>
      <c r="M1730" s="28">
        <f>IF($H1730="","",DATE(YEAR($H1730),MONTH($H1730),1))</f>
        <v/>
      </c>
      <c r="N1730" s="26">
        <f>IF($H1730="","",TODAY()-$H1730)</f>
        <v/>
      </c>
      <c r="O1730" s="15" t="n"/>
      <c r="P1730" s="26">
        <f>IF($A1730="","",COUNTIFS('Audit Versions'!$A$6:$A$605,$A1730,'Audit Versions'!$L$6:$L$605,"Active"))</f>
        <v/>
      </c>
      <c r="Q1730" s="15" t="n"/>
      <c r="R1730" s="26">
        <f>IF(OR($A1730="",$P1730=0),"",MOD(N($Q1730),$P1730)+1)</f>
        <v/>
      </c>
      <c r="S1730" s="15" t="n"/>
      <c r="T1730" s="25" t="n"/>
      <c r="U1730" s="26">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Builder'!$B$12="",N($S1730)&lt;='Assignment Builder'!$B$12)))</f>
        <v/>
      </c>
      <c r="V1730" s="23" t="n"/>
    </row>
    <row r="1731">
      <c r="A1731" s="23" t="n"/>
      <c r="B1731" s="23" t="n"/>
      <c r="C1731" s="24" t="n"/>
      <c r="D1731" s="15" t="n"/>
      <c r="E1731" s="23" t="n"/>
      <c r="F1731" s="15" t="n"/>
      <c r="G1731" s="23" t="n"/>
      <c r="H1731" s="25" t="n"/>
      <c r="I1731" s="15" t="n"/>
      <c r="J1731" s="26">
        <f>IF($A1731="","",LEN($C1731)-LEN(SUBSTITUTE($C1731,",",""))+1)</f>
        <v/>
      </c>
      <c r="K1731" s="26">
        <f>IF($A1731="","",SUMPRODUCT(--ISNUMBER(SEARCH('Category Dictionary'!$D$5:$D$135&amp;"",$C1731)),--('Category Dictionary'!$D$5:$D$135&lt;&gt;"")))</f>
        <v/>
      </c>
      <c r="L1731" s="27">
        <f>IF($A1731="","",TRIM(IF(ISERROR(FIND(",",$C1731)),$C1731,LEFT($C1731,FIND(",",$C1731)-1))))</f>
        <v/>
      </c>
      <c r="M1731" s="28">
        <f>IF($H1731="","",DATE(YEAR($H1731),MONTH($H1731),1))</f>
        <v/>
      </c>
      <c r="N1731" s="26">
        <f>IF($H1731="","",TODAY()-$H1731)</f>
        <v/>
      </c>
      <c r="O1731" s="15" t="n"/>
      <c r="P1731" s="26">
        <f>IF($A1731="","",COUNTIFS('Audit Versions'!$A$6:$A$605,$A1731,'Audit Versions'!$L$6:$L$605,"Active"))</f>
        <v/>
      </c>
      <c r="Q1731" s="15" t="n"/>
      <c r="R1731" s="26">
        <f>IF(OR($A1731="",$P1731=0),"",MOD(N($Q1731),$P1731)+1)</f>
        <v/>
      </c>
      <c r="S1731" s="15" t="n"/>
      <c r="T1731" s="25" t="n"/>
      <c r="U1731" s="26">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Builder'!$B$12="",N($S1731)&lt;='Assignment Builder'!$B$12)))</f>
        <v/>
      </c>
      <c r="V1731" s="23" t="n"/>
    </row>
    <row r="1732">
      <c r="A1732" s="23" t="n"/>
      <c r="B1732" s="23" t="n"/>
      <c r="C1732" s="24" t="n"/>
      <c r="D1732" s="15" t="n"/>
      <c r="E1732" s="23" t="n"/>
      <c r="F1732" s="15" t="n"/>
      <c r="G1732" s="23" t="n"/>
      <c r="H1732" s="25" t="n"/>
      <c r="I1732" s="15" t="n"/>
      <c r="J1732" s="26">
        <f>IF($A1732="","",LEN($C1732)-LEN(SUBSTITUTE($C1732,",",""))+1)</f>
        <v/>
      </c>
      <c r="K1732" s="26">
        <f>IF($A1732="","",SUMPRODUCT(--ISNUMBER(SEARCH('Category Dictionary'!$D$5:$D$135&amp;"",$C1732)),--('Category Dictionary'!$D$5:$D$135&lt;&gt;"")))</f>
        <v/>
      </c>
      <c r="L1732" s="27">
        <f>IF($A1732="","",TRIM(IF(ISERROR(FIND(",",$C1732)),$C1732,LEFT($C1732,FIND(",",$C1732)-1))))</f>
        <v/>
      </c>
      <c r="M1732" s="28">
        <f>IF($H1732="","",DATE(YEAR($H1732),MONTH($H1732),1))</f>
        <v/>
      </c>
      <c r="N1732" s="26">
        <f>IF($H1732="","",TODAY()-$H1732)</f>
        <v/>
      </c>
      <c r="O1732" s="15" t="n"/>
      <c r="P1732" s="26">
        <f>IF($A1732="","",COUNTIFS('Audit Versions'!$A$6:$A$605,$A1732,'Audit Versions'!$L$6:$L$605,"Active"))</f>
        <v/>
      </c>
      <c r="Q1732" s="15" t="n"/>
      <c r="R1732" s="26">
        <f>IF(OR($A1732="",$P1732=0),"",MOD(N($Q1732),$P1732)+1)</f>
        <v/>
      </c>
      <c r="S1732" s="15" t="n"/>
      <c r="T1732" s="25" t="n"/>
      <c r="U1732" s="26">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Builder'!$B$12="",N($S1732)&lt;='Assignment Builder'!$B$12)))</f>
        <v/>
      </c>
      <c r="V1732" s="23" t="n"/>
    </row>
    <row r="1733">
      <c r="A1733" s="23" t="n"/>
      <c r="B1733" s="23" t="n"/>
      <c r="C1733" s="24" t="n"/>
      <c r="D1733" s="15" t="n"/>
      <c r="E1733" s="23" t="n"/>
      <c r="F1733" s="15" t="n"/>
      <c r="G1733" s="23" t="n"/>
      <c r="H1733" s="25" t="n"/>
      <c r="I1733" s="15" t="n"/>
      <c r="J1733" s="26">
        <f>IF($A1733="","",LEN($C1733)-LEN(SUBSTITUTE($C1733,",",""))+1)</f>
        <v/>
      </c>
      <c r="K1733" s="26">
        <f>IF($A1733="","",SUMPRODUCT(--ISNUMBER(SEARCH('Category Dictionary'!$D$5:$D$135&amp;"",$C1733)),--('Category Dictionary'!$D$5:$D$135&lt;&gt;"")))</f>
        <v/>
      </c>
      <c r="L1733" s="27">
        <f>IF($A1733="","",TRIM(IF(ISERROR(FIND(",",$C1733)),$C1733,LEFT($C1733,FIND(",",$C1733)-1))))</f>
        <v/>
      </c>
      <c r="M1733" s="28">
        <f>IF($H1733="","",DATE(YEAR($H1733),MONTH($H1733),1))</f>
        <v/>
      </c>
      <c r="N1733" s="26">
        <f>IF($H1733="","",TODAY()-$H1733)</f>
        <v/>
      </c>
      <c r="O1733" s="15" t="n"/>
      <c r="P1733" s="26">
        <f>IF($A1733="","",COUNTIFS('Audit Versions'!$A$6:$A$605,$A1733,'Audit Versions'!$L$6:$L$605,"Active"))</f>
        <v/>
      </c>
      <c r="Q1733" s="15" t="n"/>
      <c r="R1733" s="26">
        <f>IF(OR($A1733="",$P1733=0),"",MOD(N($Q1733),$P1733)+1)</f>
        <v/>
      </c>
      <c r="S1733" s="15" t="n"/>
      <c r="T1733" s="25" t="n"/>
      <c r="U1733" s="26">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Builder'!$B$12="",N($S1733)&lt;='Assignment Builder'!$B$12)))</f>
        <v/>
      </c>
      <c r="V1733" s="23" t="n"/>
    </row>
    <row r="1734">
      <c r="A1734" s="23" t="n"/>
      <c r="B1734" s="23" t="n"/>
      <c r="C1734" s="24" t="n"/>
      <c r="D1734" s="15" t="n"/>
      <c r="E1734" s="23" t="n"/>
      <c r="F1734" s="15" t="n"/>
      <c r="G1734" s="23" t="n"/>
      <c r="H1734" s="25" t="n"/>
      <c r="I1734" s="15" t="n"/>
      <c r="J1734" s="26">
        <f>IF($A1734="","",LEN($C1734)-LEN(SUBSTITUTE($C1734,",",""))+1)</f>
        <v/>
      </c>
      <c r="K1734" s="26">
        <f>IF($A1734="","",SUMPRODUCT(--ISNUMBER(SEARCH('Category Dictionary'!$D$5:$D$135&amp;"",$C1734)),--('Category Dictionary'!$D$5:$D$135&lt;&gt;"")))</f>
        <v/>
      </c>
      <c r="L1734" s="27">
        <f>IF($A1734="","",TRIM(IF(ISERROR(FIND(",",$C1734)),$C1734,LEFT($C1734,FIND(",",$C1734)-1))))</f>
        <v/>
      </c>
      <c r="M1734" s="28">
        <f>IF($H1734="","",DATE(YEAR($H1734),MONTH($H1734),1))</f>
        <v/>
      </c>
      <c r="N1734" s="26">
        <f>IF($H1734="","",TODAY()-$H1734)</f>
        <v/>
      </c>
      <c r="O1734" s="15" t="n"/>
      <c r="P1734" s="26">
        <f>IF($A1734="","",COUNTIFS('Audit Versions'!$A$6:$A$605,$A1734,'Audit Versions'!$L$6:$L$605,"Active"))</f>
        <v/>
      </c>
      <c r="Q1734" s="15" t="n"/>
      <c r="R1734" s="26">
        <f>IF(OR($A1734="",$P1734=0),"",MOD(N($Q1734),$P1734)+1)</f>
        <v/>
      </c>
      <c r="S1734" s="15" t="n"/>
      <c r="T1734" s="25" t="n"/>
      <c r="U1734" s="26">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Builder'!$B$12="",N($S1734)&lt;='Assignment Builder'!$B$12)))</f>
        <v/>
      </c>
      <c r="V1734" s="23" t="n"/>
    </row>
    <row r="1735">
      <c r="A1735" s="23" t="n"/>
      <c r="B1735" s="23" t="n"/>
      <c r="C1735" s="24" t="n"/>
      <c r="D1735" s="15" t="n"/>
      <c r="E1735" s="23" t="n"/>
      <c r="F1735" s="15" t="n"/>
      <c r="G1735" s="23" t="n"/>
      <c r="H1735" s="25" t="n"/>
      <c r="I1735" s="15" t="n"/>
      <c r="J1735" s="26">
        <f>IF($A1735="","",LEN($C1735)-LEN(SUBSTITUTE($C1735,",",""))+1)</f>
        <v/>
      </c>
      <c r="K1735" s="26">
        <f>IF($A1735="","",SUMPRODUCT(--ISNUMBER(SEARCH('Category Dictionary'!$D$5:$D$135&amp;"",$C1735)),--('Category Dictionary'!$D$5:$D$135&lt;&gt;"")))</f>
        <v/>
      </c>
      <c r="L1735" s="27">
        <f>IF($A1735="","",TRIM(IF(ISERROR(FIND(",",$C1735)),$C1735,LEFT($C1735,FIND(",",$C1735)-1))))</f>
        <v/>
      </c>
      <c r="M1735" s="28">
        <f>IF($H1735="","",DATE(YEAR($H1735),MONTH($H1735),1))</f>
        <v/>
      </c>
      <c r="N1735" s="26">
        <f>IF($H1735="","",TODAY()-$H1735)</f>
        <v/>
      </c>
      <c r="O1735" s="15" t="n"/>
      <c r="P1735" s="26">
        <f>IF($A1735="","",COUNTIFS('Audit Versions'!$A$6:$A$605,$A1735,'Audit Versions'!$L$6:$L$605,"Active"))</f>
        <v/>
      </c>
      <c r="Q1735" s="15" t="n"/>
      <c r="R1735" s="26">
        <f>IF(OR($A1735="",$P1735=0),"",MOD(N($Q1735),$P1735)+1)</f>
        <v/>
      </c>
      <c r="S1735" s="15" t="n"/>
      <c r="T1735" s="25" t="n"/>
      <c r="U1735" s="26">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Builder'!$B$12="",N($S1735)&lt;='Assignment Builder'!$B$12)))</f>
        <v/>
      </c>
      <c r="V1735" s="23" t="n"/>
    </row>
    <row r="1736">
      <c r="A1736" s="23" t="n"/>
      <c r="B1736" s="23" t="n"/>
      <c r="C1736" s="24" t="n"/>
      <c r="D1736" s="15" t="n"/>
      <c r="E1736" s="23" t="n"/>
      <c r="F1736" s="15" t="n"/>
      <c r="G1736" s="23" t="n"/>
      <c r="H1736" s="25" t="n"/>
      <c r="I1736" s="15" t="n"/>
      <c r="J1736" s="26">
        <f>IF($A1736="","",LEN($C1736)-LEN(SUBSTITUTE($C1736,",",""))+1)</f>
        <v/>
      </c>
      <c r="K1736" s="26">
        <f>IF($A1736="","",SUMPRODUCT(--ISNUMBER(SEARCH('Category Dictionary'!$D$5:$D$135&amp;"",$C1736)),--('Category Dictionary'!$D$5:$D$135&lt;&gt;"")))</f>
        <v/>
      </c>
      <c r="L1736" s="27">
        <f>IF($A1736="","",TRIM(IF(ISERROR(FIND(",",$C1736)),$C1736,LEFT($C1736,FIND(",",$C1736)-1))))</f>
        <v/>
      </c>
      <c r="M1736" s="28">
        <f>IF($H1736="","",DATE(YEAR($H1736),MONTH($H1736),1))</f>
        <v/>
      </c>
      <c r="N1736" s="26">
        <f>IF($H1736="","",TODAY()-$H1736)</f>
        <v/>
      </c>
      <c r="O1736" s="15" t="n"/>
      <c r="P1736" s="26">
        <f>IF($A1736="","",COUNTIFS('Audit Versions'!$A$6:$A$605,$A1736,'Audit Versions'!$L$6:$L$605,"Active"))</f>
        <v/>
      </c>
      <c r="Q1736" s="15" t="n"/>
      <c r="R1736" s="26">
        <f>IF(OR($A1736="",$P1736=0),"",MOD(N($Q1736),$P1736)+1)</f>
        <v/>
      </c>
      <c r="S1736" s="15" t="n"/>
      <c r="T1736" s="25" t="n"/>
      <c r="U1736" s="26">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Builder'!$B$12="",N($S1736)&lt;='Assignment Builder'!$B$12)))</f>
        <v/>
      </c>
      <c r="V1736" s="23" t="n"/>
    </row>
    <row r="1737">
      <c r="A1737" s="23" t="n"/>
      <c r="B1737" s="23" t="n"/>
      <c r="C1737" s="24" t="n"/>
      <c r="D1737" s="15" t="n"/>
      <c r="E1737" s="23" t="n"/>
      <c r="F1737" s="15" t="n"/>
      <c r="G1737" s="23" t="n"/>
      <c r="H1737" s="25" t="n"/>
      <c r="I1737" s="15" t="n"/>
      <c r="J1737" s="26">
        <f>IF($A1737="","",LEN($C1737)-LEN(SUBSTITUTE($C1737,",",""))+1)</f>
        <v/>
      </c>
      <c r="K1737" s="26">
        <f>IF($A1737="","",SUMPRODUCT(--ISNUMBER(SEARCH('Category Dictionary'!$D$5:$D$135&amp;"",$C1737)),--('Category Dictionary'!$D$5:$D$135&lt;&gt;"")))</f>
        <v/>
      </c>
      <c r="L1737" s="27">
        <f>IF($A1737="","",TRIM(IF(ISERROR(FIND(",",$C1737)),$C1737,LEFT($C1737,FIND(",",$C1737)-1))))</f>
        <v/>
      </c>
      <c r="M1737" s="28">
        <f>IF($H1737="","",DATE(YEAR($H1737),MONTH($H1737),1))</f>
        <v/>
      </c>
      <c r="N1737" s="26">
        <f>IF($H1737="","",TODAY()-$H1737)</f>
        <v/>
      </c>
      <c r="O1737" s="15" t="n"/>
      <c r="P1737" s="26">
        <f>IF($A1737="","",COUNTIFS('Audit Versions'!$A$6:$A$605,$A1737,'Audit Versions'!$L$6:$L$605,"Active"))</f>
        <v/>
      </c>
      <c r="Q1737" s="15" t="n"/>
      <c r="R1737" s="26">
        <f>IF(OR($A1737="",$P1737=0),"",MOD(N($Q1737),$P1737)+1)</f>
        <v/>
      </c>
      <c r="S1737" s="15" t="n"/>
      <c r="T1737" s="25" t="n"/>
      <c r="U1737" s="26">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Builder'!$B$12="",N($S1737)&lt;='Assignment Builder'!$B$12)))</f>
        <v/>
      </c>
      <c r="V1737" s="23" t="n"/>
    </row>
    <row r="1738">
      <c r="A1738" s="23" t="n"/>
      <c r="B1738" s="23" t="n"/>
      <c r="C1738" s="24" t="n"/>
      <c r="D1738" s="15" t="n"/>
      <c r="E1738" s="23" t="n"/>
      <c r="F1738" s="15" t="n"/>
      <c r="G1738" s="23" t="n"/>
      <c r="H1738" s="25" t="n"/>
      <c r="I1738" s="15" t="n"/>
      <c r="J1738" s="26">
        <f>IF($A1738="","",LEN($C1738)-LEN(SUBSTITUTE($C1738,",",""))+1)</f>
        <v/>
      </c>
      <c r="K1738" s="26">
        <f>IF($A1738="","",SUMPRODUCT(--ISNUMBER(SEARCH('Category Dictionary'!$D$5:$D$135&amp;"",$C1738)),--('Category Dictionary'!$D$5:$D$135&lt;&gt;"")))</f>
        <v/>
      </c>
      <c r="L1738" s="27">
        <f>IF($A1738="","",TRIM(IF(ISERROR(FIND(",",$C1738)),$C1738,LEFT($C1738,FIND(",",$C1738)-1))))</f>
        <v/>
      </c>
      <c r="M1738" s="28">
        <f>IF($H1738="","",DATE(YEAR($H1738),MONTH($H1738),1))</f>
        <v/>
      </c>
      <c r="N1738" s="26">
        <f>IF($H1738="","",TODAY()-$H1738)</f>
        <v/>
      </c>
      <c r="O1738" s="15" t="n"/>
      <c r="P1738" s="26">
        <f>IF($A1738="","",COUNTIFS('Audit Versions'!$A$6:$A$605,$A1738,'Audit Versions'!$L$6:$L$605,"Active"))</f>
        <v/>
      </c>
      <c r="Q1738" s="15" t="n"/>
      <c r="R1738" s="26">
        <f>IF(OR($A1738="",$P1738=0),"",MOD(N($Q1738),$P1738)+1)</f>
        <v/>
      </c>
      <c r="S1738" s="15" t="n"/>
      <c r="T1738" s="25" t="n"/>
      <c r="U1738" s="26">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Builder'!$B$12="",N($S1738)&lt;='Assignment Builder'!$B$12)))</f>
        <v/>
      </c>
      <c r="V1738" s="23" t="n"/>
    </row>
    <row r="1739">
      <c r="A1739" s="23" t="n"/>
      <c r="B1739" s="23" t="n"/>
      <c r="C1739" s="24" t="n"/>
      <c r="D1739" s="15" t="n"/>
      <c r="E1739" s="23" t="n"/>
      <c r="F1739" s="15" t="n"/>
      <c r="G1739" s="23" t="n"/>
      <c r="H1739" s="25" t="n"/>
      <c r="I1739" s="15" t="n"/>
      <c r="J1739" s="26">
        <f>IF($A1739="","",LEN($C1739)-LEN(SUBSTITUTE($C1739,",",""))+1)</f>
        <v/>
      </c>
      <c r="K1739" s="26">
        <f>IF($A1739="","",SUMPRODUCT(--ISNUMBER(SEARCH('Category Dictionary'!$D$5:$D$135&amp;"",$C1739)),--('Category Dictionary'!$D$5:$D$135&lt;&gt;"")))</f>
        <v/>
      </c>
      <c r="L1739" s="27">
        <f>IF($A1739="","",TRIM(IF(ISERROR(FIND(",",$C1739)),$C1739,LEFT($C1739,FIND(",",$C1739)-1))))</f>
        <v/>
      </c>
      <c r="M1739" s="28">
        <f>IF($H1739="","",DATE(YEAR($H1739),MONTH($H1739),1))</f>
        <v/>
      </c>
      <c r="N1739" s="26">
        <f>IF($H1739="","",TODAY()-$H1739)</f>
        <v/>
      </c>
      <c r="O1739" s="15" t="n"/>
      <c r="P1739" s="26">
        <f>IF($A1739="","",COUNTIFS('Audit Versions'!$A$6:$A$605,$A1739,'Audit Versions'!$L$6:$L$605,"Active"))</f>
        <v/>
      </c>
      <c r="Q1739" s="15" t="n"/>
      <c r="R1739" s="26">
        <f>IF(OR($A1739="",$P1739=0),"",MOD(N($Q1739),$P1739)+1)</f>
        <v/>
      </c>
      <c r="S1739" s="15" t="n"/>
      <c r="T1739" s="25" t="n"/>
      <c r="U1739" s="26">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Builder'!$B$12="",N($S1739)&lt;='Assignment Builder'!$B$12)))</f>
        <v/>
      </c>
      <c r="V1739" s="23" t="n"/>
    </row>
    <row r="1740">
      <c r="A1740" s="23" t="n"/>
      <c r="B1740" s="23" t="n"/>
      <c r="C1740" s="24" t="n"/>
      <c r="D1740" s="15" t="n"/>
      <c r="E1740" s="23" t="n"/>
      <c r="F1740" s="15" t="n"/>
      <c r="G1740" s="23" t="n"/>
      <c r="H1740" s="25" t="n"/>
      <c r="I1740" s="15" t="n"/>
      <c r="J1740" s="26">
        <f>IF($A1740="","",LEN($C1740)-LEN(SUBSTITUTE($C1740,",",""))+1)</f>
        <v/>
      </c>
      <c r="K1740" s="26">
        <f>IF($A1740="","",SUMPRODUCT(--ISNUMBER(SEARCH('Category Dictionary'!$D$5:$D$135&amp;"",$C1740)),--('Category Dictionary'!$D$5:$D$135&lt;&gt;"")))</f>
        <v/>
      </c>
      <c r="L1740" s="27">
        <f>IF($A1740="","",TRIM(IF(ISERROR(FIND(",",$C1740)),$C1740,LEFT($C1740,FIND(",",$C1740)-1))))</f>
        <v/>
      </c>
      <c r="M1740" s="28">
        <f>IF($H1740="","",DATE(YEAR($H1740),MONTH($H1740),1))</f>
        <v/>
      </c>
      <c r="N1740" s="26">
        <f>IF($H1740="","",TODAY()-$H1740)</f>
        <v/>
      </c>
      <c r="O1740" s="15" t="n"/>
      <c r="P1740" s="26">
        <f>IF($A1740="","",COUNTIFS('Audit Versions'!$A$6:$A$605,$A1740,'Audit Versions'!$L$6:$L$605,"Active"))</f>
        <v/>
      </c>
      <c r="Q1740" s="15" t="n"/>
      <c r="R1740" s="26">
        <f>IF(OR($A1740="",$P1740=0),"",MOD(N($Q1740),$P1740)+1)</f>
        <v/>
      </c>
      <c r="S1740" s="15" t="n"/>
      <c r="T1740" s="25" t="n"/>
      <c r="U1740" s="26">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Builder'!$B$12="",N($S1740)&lt;='Assignment Builder'!$B$12)))</f>
        <v/>
      </c>
      <c r="V1740" s="23" t="n"/>
    </row>
    <row r="1741">
      <c r="A1741" s="23" t="n"/>
      <c r="B1741" s="23" t="n"/>
      <c r="C1741" s="24" t="n"/>
      <c r="D1741" s="15" t="n"/>
      <c r="E1741" s="23" t="n"/>
      <c r="F1741" s="15" t="n"/>
      <c r="G1741" s="23" t="n"/>
      <c r="H1741" s="25" t="n"/>
      <c r="I1741" s="15" t="n"/>
      <c r="J1741" s="26">
        <f>IF($A1741="","",LEN($C1741)-LEN(SUBSTITUTE($C1741,",",""))+1)</f>
        <v/>
      </c>
      <c r="K1741" s="26">
        <f>IF($A1741="","",SUMPRODUCT(--ISNUMBER(SEARCH('Category Dictionary'!$D$5:$D$135&amp;"",$C1741)),--('Category Dictionary'!$D$5:$D$135&lt;&gt;"")))</f>
        <v/>
      </c>
      <c r="L1741" s="27">
        <f>IF($A1741="","",TRIM(IF(ISERROR(FIND(",",$C1741)),$C1741,LEFT($C1741,FIND(",",$C1741)-1))))</f>
        <v/>
      </c>
      <c r="M1741" s="28">
        <f>IF($H1741="","",DATE(YEAR($H1741),MONTH($H1741),1))</f>
        <v/>
      </c>
      <c r="N1741" s="26">
        <f>IF($H1741="","",TODAY()-$H1741)</f>
        <v/>
      </c>
      <c r="O1741" s="15" t="n"/>
      <c r="P1741" s="26">
        <f>IF($A1741="","",COUNTIFS('Audit Versions'!$A$6:$A$605,$A1741,'Audit Versions'!$L$6:$L$605,"Active"))</f>
        <v/>
      </c>
      <c r="Q1741" s="15" t="n"/>
      <c r="R1741" s="26">
        <f>IF(OR($A1741="",$P1741=0),"",MOD(N($Q1741),$P1741)+1)</f>
        <v/>
      </c>
      <c r="S1741" s="15" t="n"/>
      <c r="T1741" s="25" t="n"/>
      <c r="U1741" s="26">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Builder'!$B$12="",N($S1741)&lt;='Assignment Builder'!$B$12)))</f>
        <v/>
      </c>
      <c r="V1741" s="23" t="n"/>
    </row>
    <row r="1742">
      <c r="A1742" s="23" t="n"/>
      <c r="B1742" s="23" t="n"/>
      <c r="C1742" s="24" t="n"/>
      <c r="D1742" s="15" t="n"/>
      <c r="E1742" s="23" t="n"/>
      <c r="F1742" s="15" t="n"/>
      <c r="G1742" s="23" t="n"/>
      <c r="H1742" s="25" t="n"/>
      <c r="I1742" s="15" t="n"/>
      <c r="J1742" s="26">
        <f>IF($A1742="","",LEN($C1742)-LEN(SUBSTITUTE($C1742,",",""))+1)</f>
        <v/>
      </c>
      <c r="K1742" s="26">
        <f>IF($A1742="","",SUMPRODUCT(--ISNUMBER(SEARCH('Category Dictionary'!$D$5:$D$135&amp;"",$C1742)),--('Category Dictionary'!$D$5:$D$135&lt;&gt;"")))</f>
        <v/>
      </c>
      <c r="L1742" s="27">
        <f>IF($A1742="","",TRIM(IF(ISERROR(FIND(",",$C1742)),$C1742,LEFT($C1742,FIND(",",$C1742)-1))))</f>
        <v/>
      </c>
      <c r="M1742" s="28">
        <f>IF($H1742="","",DATE(YEAR($H1742),MONTH($H1742),1))</f>
        <v/>
      </c>
      <c r="N1742" s="26">
        <f>IF($H1742="","",TODAY()-$H1742)</f>
        <v/>
      </c>
      <c r="O1742" s="15" t="n"/>
      <c r="P1742" s="26">
        <f>IF($A1742="","",COUNTIFS('Audit Versions'!$A$6:$A$605,$A1742,'Audit Versions'!$L$6:$L$605,"Active"))</f>
        <v/>
      </c>
      <c r="Q1742" s="15" t="n"/>
      <c r="R1742" s="26">
        <f>IF(OR($A1742="",$P1742=0),"",MOD(N($Q1742),$P1742)+1)</f>
        <v/>
      </c>
      <c r="S1742" s="15" t="n"/>
      <c r="T1742" s="25" t="n"/>
      <c r="U1742" s="26">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Builder'!$B$12="",N($S1742)&lt;='Assignment Builder'!$B$12)))</f>
        <v/>
      </c>
      <c r="V1742" s="23" t="n"/>
    </row>
    <row r="1743">
      <c r="A1743" s="23" t="n"/>
      <c r="B1743" s="23" t="n"/>
      <c r="C1743" s="24" t="n"/>
      <c r="D1743" s="15" t="n"/>
      <c r="E1743" s="23" t="n"/>
      <c r="F1743" s="15" t="n"/>
      <c r="G1743" s="23" t="n"/>
      <c r="H1743" s="25" t="n"/>
      <c r="I1743" s="15" t="n"/>
      <c r="J1743" s="26">
        <f>IF($A1743="","",LEN($C1743)-LEN(SUBSTITUTE($C1743,",",""))+1)</f>
        <v/>
      </c>
      <c r="K1743" s="26">
        <f>IF($A1743="","",SUMPRODUCT(--ISNUMBER(SEARCH('Category Dictionary'!$D$5:$D$135&amp;"",$C1743)),--('Category Dictionary'!$D$5:$D$135&lt;&gt;"")))</f>
        <v/>
      </c>
      <c r="L1743" s="27">
        <f>IF($A1743="","",TRIM(IF(ISERROR(FIND(",",$C1743)),$C1743,LEFT($C1743,FIND(",",$C1743)-1))))</f>
        <v/>
      </c>
      <c r="M1743" s="28">
        <f>IF($H1743="","",DATE(YEAR($H1743),MONTH($H1743),1))</f>
        <v/>
      </c>
      <c r="N1743" s="26">
        <f>IF($H1743="","",TODAY()-$H1743)</f>
        <v/>
      </c>
      <c r="O1743" s="15" t="n"/>
      <c r="P1743" s="26">
        <f>IF($A1743="","",COUNTIFS('Audit Versions'!$A$6:$A$605,$A1743,'Audit Versions'!$L$6:$L$605,"Active"))</f>
        <v/>
      </c>
      <c r="Q1743" s="15" t="n"/>
      <c r="R1743" s="26">
        <f>IF(OR($A1743="",$P1743=0),"",MOD(N($Q1743),$P1743)+1)</f>
        <v/>
      </c>
      <c r="S1743" s="15" t="n"/>
      <c r="T1743" s="25" t="n"/>
      <c r="U1743" s="26">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Builder'!$B$12="",N($S1743)&lt;='Assignment Builder'!$B$12)))</f>
        <v/>
      </c>
      <c r="V1743" s="23" t="n"/>
    </row>
    <row r="1744">
      <c r="A1744" s="23" t="n"/>
      <c r="B1744" s="23" t="n"/>
      <c r="C1744" s="24" t="n"/>
      <c r="D1744" s="15" t="n"/>
      <c r="E1744" s="23" t="n"/>
      <c r="F1744" s="15" t="n"/>
      <c r="G1744" s="23" t="n"/>
      <c r="H1744" s="25" t="n"/>
      <c r="I1744" s="15" t="n"/>
      <c r="J1744" s="26">
        <f>IF($A1744="","",LEN($C1744)-LEN(SUBSTITUTE($C1744,",",""))+1)</f>
        <v/>
      </c>
      <c r="K1744" s="26">
        <f>IF($A1744="","",SUMPRODUCT(--ISNUMBER(SEARCH('Category Dictionary'!$D$5:$D$135&amp;"",$C1744)),--('Category Dictionary'!$D$5:$D$135&lt;&gt;"")))</f>
        <v/>
      </c>
      <c r="L1744" s="27">
        <f>IF($A1744="","",TRIM(IF(ISERROR(FIND(",",$C1744)),$C1744,LEFT($C1744,FIND(",",$C1744)-1))))</f>
        <v/>
      </c>
      <c r="M1744" s="28">
        <f>IF($H1744="","",DATE(YEAR($H1744),MONTH($H1744),1))</f>
        <v/>
      </c>
      <c r="N1744" s="26">
        <f>IF($H1744="","",TODAY()-$H1744)</f>
        <v/>
      </c>
      <c r="O1744" s="15" t="n"/>
      <c r="P1744" s="26">
        <f>IF($A1744="","",COUNTIFS('Audit Versions'!$A$6:$A$605,$A1744,'Audit Versions'!$L$6:$L$605,"Active"))</f>
        <v/>
      </c>
      <c r="Q1744" s="15" t="n"/>
      <c r="R1744" s="26">
        <f>IF(OR($A1744="",$P1744=0),"",MOD(N($Q1744),$P1744)+1)</f>
        <v/>
      </c>
      <c r="S1744" s="15" t="n"/>
      <c r="T1744" s="25" t="n"/>
      <c r="U1744" s="26">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Builder'!$B$12="",N($S1744)&lt;='Assignment Builder'!$B$12)))</f>
        <v/>
      </c>
      <c r="V1744" s="23" t="n"/>
    </row>
    <row r="1745">
      <c r="A1745" s="23" t="n"/>
      <c r="B1745" s="23" t="n"/>
      <c r="C1745" s="24" t="n"/>
      <c r="D1745" s="15" t="n"/>
      <c r="E1745" s="23" t="n"/>
      <c r="F1745" s="15" t="n"/>
      <c r="G1745" s="23" t="n"/>
      <c r="H1745" s="25" t="n"/>
      <c r="I1745" s="15" t="n"/>
      <c r="J1745" s="26">
        <f>IF($A1745="","",LEN($C1745)-LEN(SUBSTITUTE($C1745,",",""))+1)</f>
        <v/>
      </c>
      <c r="K1745" s="26">
        <f>IF($A1745="","",SUMPRODUCT(--ISNUMBER(SEARCH('Category Dictionary'!$D$5:$D$135&amp;"",$C1745)),--('Category Dictionary'!$D$5:$D$135&lt;&gt;"")))</f>
        <v/>
      </c>
      <c r="L1745" s="27">
        <f>IF($A1745="","",TRIM(IF(ISERROR(FIND(",",$C1745)),$C1745,LEFT($C1745,FIND(",",$C1745)-1))))</f>
        <v/>
      </c>
      <c r="M1745" s="28">
        <f>IF($H1745="","",DATE(YEAR($H1745),MONTH($H1745),1))</f>
        <v/>
      </c>
      <c r="N1745" s="26">
        <f>IF($H1745="","",TODAY()-$H1745)</f>
        <v/>
      </c>
      <c r="O1745" s="15" t="n"/>
      <c r="P1745" s="26">
        <f>IF($A1745="","",COUNTIFS('Audit Versions'!$A$6:$A$605,$A1745,'Audit Versions'!$L$6:$L$605,"Active"))</f>
        <v/>
      </c>
      <c r="Q1745" s="15" t="n"/>
      <c r="R1745" s="26">
        <f>IF(OR($A1745="",$P1745=0),"",MOD(N($Q1745),$P1745)+1)</f>
        <v/>
      </c>
      <c r="S1745" s="15" t="n"/>
      <c r="T1745" s="25" t="n"/>
      <c r="U1745" s="26">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Builder'!$B$12="",N($S1745)&lt;='Assignment Builder'!$B$12)))</f>
        <v/>
      </c>
      <c r="V1745" s="23" t="n"/>
    </row>
    <row r="1746">
      <c r="A1746" s="23" t="n"/>
      <c r="B1746" s="23" t="n"/>
      <c r="C1746" s="24" t="n"/>
      <c r="D1746" s="15" t="n"/>
      <c r="E1746" s="23" t="n"/>
      <c r="F1746" s="15" t="n"/>
      <c r="G1746" s="23" t="n"/>
      <c r="H1746" s="25" t="n"/>
      <c r="I1746" s="15" t="n"/>
      <c r="J1746" s="26">
        <f>IF($A1746="","",LEN($C1746)-LEN(SUBSTITUTE($C1746,",",""))+1)</f>
        <v/>
      </c>
      <c r="K1746" s="26">
        <f>IF($A1746="","",SUMPRODUCT(--ISNUMBER(SEARCH('Category Dictionary'!$D$5:$D$135&amp;"",$C1746)),--('Category Dictionary'!$D$5:$D$135&lt;&gt;"")))</f>
        <v/>
      </c>
      <c r="L1746" s="27">
        <f>IF($A1746="","",TRIM(IF(ISERROR(FIND(",",$C1746)),$C1746,LEFT($C1746,FIND(",",$C1746)-1))))</f>
        <v/>
      </c>
      <c r="M1746" s="28">
        <f>IF($H1746="","",DATE(YEAR($H1746),MONTH($H1746),1))</f>
        <v/>
      </c>
      <c r="N1746" s="26">
        <f>IF($H1746="","",TODAY()-$H1746)</f>
        <v/>
      </c>
      <c r="O1746" s="15" t="n"/>
      <c r="P1746" s="26">
        <f>IF($A1746="","",COUNTIFS('Audit Versions'!$A$6:$A$605,$A1746,'Audit Versions'!$L$6:$L$605,"Active"))</f>
        <v/>
      </c>
      <c r="Q1746" s="15" t="n"/>
      <c r="R1746" s="26">
        <f>IF(OR($A1746="",$P1746=0),"",MOD(N($Q1746),$P1746)+1)</f>
        <v/>
      </c>
      <c r="S1746" s="15" t="n"/>
      <c r="T1746" s="25" t="n"/>
      <c r="U1746" s="26">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Builder'!$B$12="",N($S1746)&lt;='Assignment Builder'!$B$12)))</f>
        <v/>
      </c>
      <c r="V1746" s="23" t="n"/>
    </row>
    <row r="1747">
      <c r="A1747" s="23" t="n"/>
      <c r="B1747" s="23" t="n"/>
      <c r="C1747" s="24" t="n"/>
      <c r="D1747" s="15" t="n"/>
      <c r="E1747" s="23" t="n"/>
      <c r="F1747" s="15" t="n"/>
      <c r="G1747" s="23" t="n"/>
      <c r="H1747" s="25" t="n"/>
      <c r="I1747" s="15" t="n"/>
      <c r="J1747" s="26">
        <f>IF($A1747="","",LEN($C1747)-LEN(SUBSTITUTE($C1747,",",""))+1)</f>
        <v/>
      </c>
      <c r="K1747" s="26">
        <f>IF($A1747="","",SUMPRODUCT(--ISNUMBER(SEARCH('Category Dictionary'!$D$5:$D$135&amp;"",$C1747)),--('Category Dictionary'!$D$5:$D$135&lt;&gt;"")))</f>
        <v/>
      </c>
      <c r="L1747" s="27">
        <f>IF($A1747="","",TRIM(IF(ISERROR(FIND(",",$C1747)),$C1747,LEFT($C1747,FIND(",",$C1747)-1))))</f>
        <v/>
      </c>
      <c r="M1747" s="28">
        <f>IF($H1747="","",DATE(YEAR($H1747),MONTH($H1747),1))</f>
        <v/>
      </c>
      <c r="N1747" s="26">
        <f>IF($H1747="","",TODAY()-$H1747)</f>
        <v/>
      </c>
      <c r="O1747" s="15" t="n"/>
      <c r="P1747" s="26">
        <f>IF($A1747="","",COUNTIFS('Audit Versions'!$A$6:$A$605,$A1747,'Audit Versions'!$L$6:$L$605,"Active"))</f>
        <v/>
      </c>
      <c r="Q1747" s="15" t="n"/>
      <c r="R1747" s="26">
        <f>IF(OR($A1747="",$P1747=0),"",MOD(N($Q1747),$P1747)+1)</f>
        <v/>
      </c>
      <c r="S1747" s="15" t="n"/>
      <c r="T1747" s="25" t="n"/>
      <c r="U1747" s="26">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Builder'!$B$12="",N($S1747)&lt;='Assignment Builder'!$B$12)))</f>
        <v/>
      </c>
      <c r="V1747" s="23" t="n"/>
    </row>
    <row r="1748">
      <c r="A1748" s="23" t="n"/>
      <c r="B1748" s="23" t="n"/>
      <c r="C1748" s="24" t="n"/>
      <c r="D1748" s="15" t="n"/>
      <c r="E1748" s="23" t="n"/>
      <c r="F1748" s="15" t="n"/>
      <c r="G1748" s="23" t="n"/>
      <c r="H1748" s="25" t="n"/>
      <c r="I1748" s="15" t="n"/>
      <c r="J1748" s="26">
        <f>IF($A1748="","",LEN($C1748)-LEN(SUBSTITUTE($C1748,",",""))+1)</f>
        <v/>
      </c>
      <c r="K1748" s="26">
        <f>IF($A1748="","",SUMPRODUCT(--ISNUMBER(SEARCH('Category Dictionary'!$D$5:$D$135&amp;"",$C1748)),--('Category Dictionary'!$D$5:$D$135&lt;&gt;"")))</f>
        <v/>
      </c>
      <c r="L1748" s="27">
        <f>IF($A1748="","",TRIM(IF(ISERROR(FIND(",",$C1748)),$C1748,LEFT($C1748,FIND(",",$C1748)-1))))</f>
        <v/>
      </c>
      <c r="M1748" s="28">
        <f>IF($H1748="","",DATE(YEAR($H1748),MONTH($H1748),1))</f>
        <v/>
      </c>
      <c r="N1748" s="26">
        <f>IF($H1748="","",TODAY()-$H1748)</f>
        <v/>
      </c>
      <c r="O1748" s="15" t="n"/>
      <c r="P1748" s="26">
        <f>IF($A1748="","",COUNTIFS('Audit Versions'!$A$6:$A$605,$A1748,'Audit Versions'!$L$6:$L$605,"Active"))</f>
        <v/>
      </c>
      <c r="Q1748" s="15" t="n"/>
      <c r="R1748" s="26">
        <f>IF(OR($A1748="",$P1748=0),"",MOD(N($Q1748),$P1748)+1)</f>
        <v/>
      </c>
      <c r="S1748" s="15" t="n"/>
      <c r="T1748" s="25" t="n"/>
      <c r="U1748" s="26">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Builder'!$B$12="",N($S1748)&lt;='Assignment Builder'!$B$12)))</f>
        <v/>
      </c>
      <c r="V1748" s="23" t="n"/>
    </row>
    <row r="1749">
      <c r="A1749" s="23" t="n"/>
      <c r="B1749" s="23" t="n"/>
      <c r="C1749" s="24" t="n"/>
      <c r="D1749" s="15" t="n"/>
      <c r="E1749" s="23" t="n"/>
      <c r="F1749" s="15" t="n"/>
      <c r="G1749" s="23" t="n"/>
      <c r="H1749" s="25" t="n"/>
      <c r="I1749" s="15" t="n"/>
      <c r="J1749" s="26">
        <f>IF($A1749="","",LEN($C1749)-LEN(SUBSTITUTE($C1749,",",""))+1)</f>
        <v/>
      </c>
      <c r="K1749" s="26">
        <f>IF($A1749="","",SUMPRODUCT(--ISNUMBER(SEARCH('Category Dictionary'!$D$5:$D$135&amp;"",$C1749)),--('Category Dictionary'!$D$5:$D$135&lt;&gt;"")))</f>
        <v/>
      </c>
      <c r="L1749" s="27">
        <f>IF($A1749="","",TRIM(IF(ISERROR(FIND(",",$C1749)),$C1749,LEFT($C1749,FIND(",",$C1749)-1))))</f>
        <v/>
      </c>
      <c r="M1749" s="28">
        <f>IF($H1749="","",DATE(YEAR($H1749),MONTH($H1749),1))</f>
        <v/>
      </c>
      <c r="N1749" s="26">
        <f>IF($H1749="","",TODAY()-$H1749)</f>
        <v/>
      </c>
      <c r="O1749" s="15" t="n"/>
      <c r="P1749" s="26">
        <f>IF($A1749="","",COUNTIFS('Audit Versions'!$A$6:$A$605,$A1749,'Audit Versions'!$L$6:$L$605,"Active"))</f>
        <v/>
      </c>
      <c r="Q1749" s="15" t="n"/>
      <c r="R1749" s="26">
        <f>IF(OR($A1749="",$P1749=0),"",MOD(N($Q1749),$P1749)+1)</f>
        <v/>
      </c>
      <c r="S1749" s="15" t="n"/>
      <c r="T1749" s="25" t="n"/>
      <c r="U1749" s="26">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Builder'!$B$12="",N($S1749)&lt;='Assignment Builder'!$B$12)))</f>
        <v/>
      </c>
      <c r="V1749" s="23" t="n"/>
    </row>
    <row r="1750">
      <c r="A1750" s="23" t="n"/>
      <c r="B1750" s="23" t="n"/>
      <c r="C1750" s="24" t="n"/>
      <c r="D1750" s="15" t="n"/>
      <c r="E1750" s="23" t="n"/>
      <c r="F1750" s="15" t="n"/>
      <c r="G1750" s="23" t="n"/>
      <c r="H1750" s="25" t="n"/>
      <c r="I1750" s="15" t="n"/>
      <c r="J1750" s="26">
        <f>IF($A1750="","",LEN($C1750)-LEN(SUBSTITUTE($C1750,",",""))+1)</f>
        <v/>
      </c>
      <c r="K1750" s="26">
        <f>IF($A1750="","",SUMPRODUCT(--ISNUMBER(SEARCH('Category Dictionary'!$D$5:$D$135&amp;"",$C1750)),--('Category Dictionary'!$D$5:$D$135&lt;&gt;"")))</f>
        <v/>
      </c>
      <c r="L1750" s="27">
        <f>IF($A1750="","",TRIM(IF(ISERROR(FIND(",",$C1750)),$C1750,LEFT($C1750,FIND(",",$C1750)-1))))</f>
        <v/>
      </c>
      <c r="M1750" s="28">
        <f>IF($H1750="","",DATE(YEAR($H1750),MONTH($H1750),1))</f>
        <v/>
      </c>
      <c r="N1750" s="26">
        <f>IF($H1750="","",TODAY()-$H1750)</f>
        <v/>
      </c>
      <c r="O1750" s="15" t="n"/>
      <c r="P1750" s="26">
        <f>IF($A1750="","",COUNTIFS('Audit Versions'!$A$6:$A$605,$A1750,'Audit Versions'!$L$6:$L$605,"Active"))</f>
        <v/>
      </c>
      <c r="Q1750" s="15" t="n"/>
      <c r="R1750" s="26">
        <f>IF(OR($A1750="",$P1750=0),"",MOD(N($Q1750),$P1750)+1)</f>
        <v/>
      </c>
      <c r="S1750" s="15" t="n"/>
      <c r="T1750" s="25" t="n"/>
      <c r="U1750" s="26">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Builder'!$B$12="",N($S1750)&lt;='Assignment Builder'!$B$12)))</f>
        <v/>
      </c>
      <c r="V1750" s="23" t="n"/>
    </row>
    <row r="1751">
      <c r="A1751" s="23" t="n"/>
      <c r="B1751" s="23" t="n"/>
      <c r="C1751" s="24" t="n"/>
      <c r="D1751" s="15" t="n"/>
      <c r="E1751" s="23" t="n"/>
      <c r="F1751" s="15" t="n"/>
      <c r="G1751" s="23" t="n"/>
      <c r="H1751" s="25" t="n"/>
      <c r="I1751" s="15" t="n"/>
      <c r="J1751" s="26">
        <f>IF($A1751="","",LEN($C1751)-LEN(SUBSTITUTE($C1751,",",""))+1)</f>
        <v/>
      </c>
      <c r="K1751" s="26">
        <f>IF($A1751="","",SUMPRODUCT(--ISNUMBER(SEARCH('Category Dictionary'!$D$5:$D$135&amp;"",$C1751)),--('Category Dictionary'!$D$5:$D$135&lt;&gt;"")))</f>
        <v/>
      </c>
      <c r="L1751" s="27">
        <f>IF($A1751="","",TRIM(IF(ISERROR(FIND(",",$C1751)),$C1751,LEFT($C1751,FIND(",",$C1751)-1))))</f>
        <v/>
      </c>
      <c r="M1751" s="28">
        <f>IF($H1751="","",DATE(YEAR($H1751),MONTH($H1751),1))</f>
        <v/>
      </c>
      <c r="N1751" s="26">
        <f>IF($H1751="","",TODAY()-$H1751)</f>
        <v/>
      </c>
      <c r="O1751" s="15" t="n"/>
      <c r="P1751" s="26">
        <f>IF($A1751="","",COUNTIFS('Audit Versions'!$A$6:$A$605,$A1751,'Audit Versions'!$L$6:$L$605,"Active"))</f>
        <v/>
      </c>
      <c r="Q1751" s="15" t="n"/>
      <c r="R1751" s="26">
        <f>IF(OR($A1751="",$P1751=0),"",MOD(N($Q1751),$P1751)+1)</f>
        <v/>
      </c>
      <c r="S1751" s="15" t="n"/>
      <c r="T1751" s="25" t="n"/>
      <c r="U1751" s="26">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Builder'!$B$12="",N($S1751)&lt;='Assignment Builder'!$B$12)))</f>
        <v/>
      </c>
      <c r="V1751" s="23" t="n"/>
    </row>
    <row r="1752">
      <c r="A1752" s="23" t="n"/>
      <c r="B1752" s="23" t="n"/>
      <c r="C1752" s="24" t="n"/>
      <c r="D1752" s="15" t="n"/>
      <c r="E1752" s="23" t="n"/>
      <c r="F1752" s="15" t="n"/>
      <c r="G1752" s="23" t="n"/>
      <c r="H1752" s="25" t="n"/>
      <c r="I1752" s="15" t="n"/>
      <c r="J1752" s="26">
        <f>IF($A1752="","",LEN($C1752)-LEN(SUBSTITUTE($C1752,",",""))+1)</f>
        <v/>
      </c>
      <c r="K1752" s="26">
        <f>IF($A1752="","",SUMPRODUCT(--ISNUMBER(SEARCH('Category Dictionary'!$D$5:$D$135&amp;"",$C1752)),--('Category Dictionary'!$D$5:$D$135&lt;&gt;"")))</f>
        <v/>
      </c>
      <c r="L1752" s="27">
        <f>IF($A1752="","",TRIM(IF(ISERROR(FIND(",",$C1752)),$C1752,LEFT($C1752,FIND(",",$C1752)-1))))</f>
        <v/>
      </c>
      <c r="M1752" s="28">
        <f>IF($H1752="","",DATE(YEAR($H1752),MONTH($H1752),1))</f>
        <v/>
      </c>
      <c r="N1752" s="26">
        <f>IF($H1752="","",TODAY()-$H1752)</f>
        <v/>
      </c>
      <c r="O1752" s="15" t="n"/>
      <c r="P1752" s="26">
        <f>IF($A1752="","",COUNTIFS('Audit Versions'!$A$6:$A$605,$A1752,'Audit Versions'!$L$6:$L$605,"Active"))</f>
        <v/>
      </c>
      <c r="Q1752" s="15" t="n"/>
      <c r="R1752" s="26">
        <f>IF(OR($A1752="",$P1752=0),"",MOD(N($Q1752),$P1752)+1)</f>
        <v/>
      </c>
      <c r="S1752" s="15" t="n"/>
      <c r="T1752" s="25" t="n"/>
      <c r="U1752" s="26">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Builder'!$B$12="",N($S1752)&lt;='Assignment Builder'!$B$12)))</f>
        <v/>
      </c>
      <c r="V1752" s="23" t="n"/>
    </row>
    <row r="1753">
      <c r="A1753" s="23" t="n"/>
      <c r="B1753" s="23" t="n"/>
      <c r="C1753" s="24" t="n"/>
      <c r="D1753" s="15" t="n"/>
      <c r="E1753" s="23" t="n"/>
      <c r="F1753" s="15" t="n"/>
      <c r="G1753" s="23" t="n"/>
      <c r="H1753" s="25" t="n"/>
      <c r="I1753" s="15" t="n"/>
      <c r="J1753" s="26">
        <f>IF($A1753="","",LEN($C1753)-LEN(SUBSTITUTE($C1753,",",""))+1)</f>
        <v/>
      </c>
      <c r="K1753" s="26">
        <f>IF($A1753="","",SUMPRODUCT(--ISNUMBER(SEARCH('Category Dictionary'!$D$5:$D$135&amp;"",$C1753)),--('Category Dictionary'!$D$5:$D$135&lt;&gt;"")))</f>
        <v/>
      </c>
      <c r="L1753" s="27">
        <f>IF($A1753="","",TRIM(IF(ISERROR(FIND(",",$C1753)),$C1753,LEFT($C1753,FIND(",",$C1753)-1))))</f>
        <v/>
      </c>
      <c r="M1753" s="28">
        <f>IF($H1753="","",DATE(YEAR($H1753),MONTH($H1753),1))</f>
        <v/>
      </c>
      <c r="N1753" s="26">
        <f>IF($H1753="","",TODAY()-$H1753)</f>
        <v/>
      </c>
      <c r="O1753" s="15" t="n"/>
      <c r="P1753" s="26">
        <f>IF($A1753="","",COUNTIFS('Audit Versions'!$A$6:$A$605,$A1753,'Audit Versions'!$L$6:$L$605,"Active"))</f>
        <v/>
      </c>
      <c r="Q1753" s="15" t="n"/>
      <c r="R1753" s="26">
        <f>IF(OR($A1753="",$P1753=0),"",MOD(N($Q1753),$P1753)+1)</f>
        <v/>
      </c>
      <c r="S1753" s="15" t="n"/>
      <c r="T1753" s="25" t="n"/>
      <c r="U1753" s="26">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Builder'!$B$12="",N($S1753)&lt;='Assignment Builder'!$B$12)))</f>
        <v/>
      </c>
      <c r="V1753" s="23" t="n"/>
    </row>
    <row r="1754">
      <c r="A1754" s="23" t="n"/>
      <c r="B1754" s="23" t="n"/>
      <c r="C1754" s="24" t="n"/>
      <c r="D1754" s="15" t="n"/>
      <c r="E1754" s="23" t="n"/>
      <c r="F1754" s="15" t="n"/>
      <c r="G1754" s="23" t="n"/>
      <c r="H1754" s="25" t="n"/>
      <c r="I1754" s="15" t="n"/>
      <c r="J1754" s="26">
        <f>IF($A1754="","",LEN($C1754)-LEN(SUBSTITUTE($C1754,",",""))+1)</f>
        <v/>
      </c>
      <c r="K1754" s="26">
        <f>IF($A1754="","",SUMPRODUCT(--ISNUMBER(SEARCH('Category Dictionary'!$D$5:$D$135&amp;"",$C1754)),--('Category Dictionary'!$D$5:$D$135&lt;&gt;"")))</f>
        <v/>
      </c>
      <c r="L1754" s="27">
        <f>IF($A1754="","",TRIM(IF(ISERROR(FIND(",",$C1754)),$C1754,LEFT($C1754,FIND(",",$C1754)-1))))</f>
        <v/>
      </c>
      <c r="M1754" s="28">
        <f>IF($H1754="","",DATE(YEAR($H1754),MONTH($H1754),1))</f>
        <v/>
      </c>
      <c r="N1754" s="26">
        <f>IF($H1754="","",TODAY()-$H1754)</f>
        <v/>
      </c>
      <c r="O1754" s="15" t="n"/>
      <c r="P1754" s="26">
        <f>IF($A1754="","",COUNTIFS('Audit Versions'!$A$6:$A$605,$A1754,'Audit Versions'!$L$6:$L$605,"Active"))</f>
        <v/>
      </c>
      <c r="Q1754" s="15" t="n"/>
      <c r="R1754" s="26">
        <f>IF(OR($A1754="",$P1754=0),"",MOD(N($Q1754),$P1754)+1)</f>
        <v/>
      </c>
      <c r="S1754" s="15" t="n"/>
      <c r="T1754" s="25" t="n"/>
      <c r="U1754" s="26">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Builder'!$B$12="",N($S1754)&lt;='Assignment Builder'!$B$12)))</f>
        <v/>
      </c>
      <c r="V1754" s="23" t="n"/>
    </row>
    <row r="1755">
      <c r="A1755" s="23" t="n"/>
      <c r="B1755" s="23" t="n"/>
      <c r="C1755" s="24" t="n"/>
      <c r="D1755" s="15" t="n"/>
      <c r="E1755" s="23" t="n"/>
      <c r="F1755" s="15" t="n"/>
      <c r="G1755" s="23" t="n"/>
      <c r="H1755" s="25" t="n"/>
      <c r="I1755" s="15" t="n"/>
      <c r="J1755" s="26">
        <f>IF($A1755="","",LEN($C1755)-LEN(SUBSTITUTE($C1755,",",""))+1)</f>
        <v/>
      </c>
      <c r="K1755" s="26">
        <f>IF($A1755="","",SUMPRODUCT(--ISNUMBER(SEARCH('Category Dictionary'!$D$5:$D$135&amp;"",$C1755)),--('Category Dictionary'!$D$5:$D$135&lt;&gt;"")))</f>
        <v/>
      </c>
      <c r="L1755" s="27">
        <f>IF($A1755="","",TRIM(IF(ISERROR(FIND(",",$C1755)),$C1755,LEFT($C1755,FIND(",",$C1755)-1))))</f>
        <v/>
      </c>
      <c r="M1755" s="28">
        <f>IF($H1755="","",DATE(YEAR($H1755),MONTH($H1755),1))</f>
        <v/>
      </c>
      <c r="N1755" s="26">
        <f>IF($H1755="","",TODAY()-$H1755)</f>
        <v/>
      </c>
      <c r="O1755" s="15" t="n"/>
      <c r="P1755" s="26">
        <f>IF($A1755="","",COUNTIFS('Audit Versions'!$A$6:$A$605,$A1755,'Audit Versions'!$L$6:$L$605,"Active"))</f>
        <v/>
      </c>
      <c r="Q1755" s="15" t="n"/>
      <c r="R1755" s="26">
        <f>IF(OR($A1755="",$P1755=0),"",MOD(N($Q1755),$P1755)+1)</f>
        <v/>
      </c>
      <c r="S1755" s="15" t="n"/>
      <c r="T1755" s="25" t="n"/>
      <c r="U1755" s="26">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Builder'!$B$12="",N($S1755)&lt;='Assignment Builder'!$B$12)))</f>
        <v/>
      </c>
      <c r="V1755" s="23" t="n"/>
    </row>
    <row r="1756">
      <c r="A1756" s="23" t="n"/>
      <c r="B1756" s="23" t="n"/>
      <c r="C1756" s="24" t="n"/>
      <c r="D1756" s="15" t="n"/>
      <c r="E1756" s="23" t="n"/>
      <c r="F1756" s="15" t="n"/>
      <c r="G1756" s="23" t="n"/>
      <c r="H1756" s="25" t="n"/>
      <c r="I1756" s="15" t="n"/>
      <c r="J1756" s="26">
        <f>IF($A1756="","",LEN($C1756)-LEN(SUBSTITUTE($C1756,",",""))+1)</f>
        <v/>
      </c>
      <c r="K1756" s="26">
        <f>IF($A1756="","",SUMPRODUCT(--ISNUMBER(SEARCH('Category Dictionary'!$D$5:$D$135&amp;"",$C1756)),--('Category Dictionary'!$D$5:$D$135&lt;&gt;"")))</f>
        <v/>
      </c>
      <c r="L1756" s="27">
        <f>IF($A1756="","",TRIM(IF(ISERROR(FIND(",",$C1756)),$C1756,LEFT($C1756,FIND(",",$C1756)-1))))</f>
        <v/>
      </c>
      <c r="M1756" s="28">
        <f>IF($H1756="","",DATE(YEAR($H1756),MONTH($H1756),1))</f>
        <v/>
      </c>
      <c r="N1756" s="26">
        <f>IF($H1756="","",TODAY()-$H1756)</f>
        <v/>
      </c>
      <c r="O1756" s="15" t="n"/>
      <c r="P1756" s="26">
        <f>IF($A1756="","",COUNTIFS('Audit Versions'!$A$6:$A$605,$A1756,'Audit Versions'!$L$6:$L$605,"Active"))</f>
        <v/>
      </c>
      <c r="Q1756" s="15" t="n"/>
      <c r="R1756" s="26">
        <f>IF(OR($A1756="",$P1756=0),"",MOD(N($Q1756),$P1756)+1)</f>
        <v/>
      </c>
      <c r="S1756" s="15" t="n"/>
      <c r="T1756" s="25" t="n"/>
      <c r="U1756" s="26">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Builder'!$B$12="",N($S1756)&lt;='Assignment Builder'!$B$12)))</f>
        <v/>
      </c>
      <c r="V1756" s="23" t="n"/>
    </row>
    <row r="1757">
      <c r="A1757" s="23" t="n"/>
      <c r="B1757" s="23" t="n"/>
      <c r="C1757" s="24" t="n"/>
      <c r="D1757" s="15" t="n"/>
      <c r="E1757" s="23" t="n"/>
      <c r="F1757" s="15" t="n"/>
      <c r="G1757" s="23" t="n"/>
      <c r="H1757" s="25" t="n"/>
      <c r="I1757" s="15" t="n"/>
      <c r="J1757" s="26">
        <f>IF($A1757="","",LEN($C1757)-LEN(SUBSTITUTE($C1757,",",""))+1)</f>
        <v/>
      </c>
      <c r="K1757" s="26">
        <f>IF($A1757="","",SUMPRODUCT(--ISNUMBER(SEARCH('Category Dictionary'!$D$5:$D$135&amp;"",$C1757)),--('Category Dictionary'!$D$5:$D$135&lt;&gt;"")))</f>
        <v/>
      </c>
      <c r="L1757" s="27">
        <f>IF($A1757="","",TRIM(IF(ISERROR(FIND(",",$C1757)),$C1757,LEFT($C1757,FIND(",",$C1757)-1))))</f>
        <v/>
      </c>
      <c r="M1757" s="28">
        <f>IF($H1757="","",DATE(YEAR($H1757),MONTH($H1757),1))</f>
        <v/>
      </c>
      <c r="N1757" s="26">
        <f>IF($H1757="","",TODAY()-$H1757)</f>
        <v/>
      </c>
      <c r="O1757" s="15" t="n"/>
      <c r="P1757" s="26">
        <f>IF($A1757="","",COUNTIFS('Audit Versions'!$A$6:$A$605,$A1757,'Audit Versions'!$L$6:$L$605,"Active"))</f>
        <v/>
      </c>
      <c r="Q1757" s="15" t="n"/>
      <c r="R1757" s="26">
        <f>IF(OR($A1757="",$P1757=0),"",MOD(N($Q1757),$P1757)+1)</f>
        <v/>
      </c>
      <c r="S1757" s="15" t="n"/>
      <c r="T1757" s="25" t="n"/>
      <c r="U1757" s="26">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Builder'!$B$12="",N($S1757)&lt;='Assignment Builder'!$B$12)))</f>
        <v/>
      </c>
      <c r="V1757" s="23" t="n"/>
    </row>
    <row r="1758">
      <c r="A1758" s="23" t="n"/>
      <c r="B1758" s="23" t="n"/>
      <c r="C1758" s="24" t="n"/>
      <c r="D1758" s="15" t="n"/>
      <c r="E1758" s="23" t="n"/>
      <c r="F1758" s="15" t="n"/>
      <c r="G1758" s="23" t="n"/>
      <c r="H1758" s="25" t="n"/>
      <c r="I1758" s="15" t="n"/>
      <c r="J1758" s="26">
        <f>IF($A1758="","",LEN($C1758)-LEN(SUBSTITUTE($C1758,",",""))+1)</f>
        <v/>
      </c>
      <c r="K1758" s="26">
        <f>IF($A1758="","",SUMPRODUCT(--ISNUMBER(SEARCH('Category Dictionary'!$D$5:$D$135&amp;"",$C1758)),--('Category Dictionary'!$D$5:$D$135&lt;&gt;"")))</f>
        <v/>
      </c>
      <c r="L1758" s="27">
        <f>IF($A1758="","",TRIM(IF(ISERROR(FIND(",",$C1758)),$C1758,LEFT($C1758,FIND(",",$C1758)-1))))</f>
        <v/>
      </c>
      <c r="M1758" s="28">
        <f>IF($H1758="","",DATE(YEAR($H1758),MONTH($H1758),1))</f>
        <v/>
      </c>
      <c r="N1758" s="26">
        <f>IF($H1758="","",TODAY()-$H1758)</f>
        <v/>
      </c>
      <c r="O1758" s="15" t="n"/>
      <c r="P1758" s="26">
        <f>IF($A1758="","",COUNTIFS('Audit Versions'!$A$6:$A$605,$A1758,'Audit Versions'!$L$6:$L$605,"Active"))</f>
        <v/>
      </c>
      <c r="Q1758" s="15" t="n"/>
      <c r="R1758" s="26">
        <f>IF(OR($A1758="",$P1758=0),"",MOD(N($Q1758),$P1758)+1)</f>
        <v/>
      </c>
      <c r="S1758" s="15" t="n"/>
      <c r="T1758" s="25" t="n"/>
      <c r="U1758" s="26">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Builder'!$B$12="",N($S1758)&lt;='Assignment Builder'!$B$12)))</f>
        <v/>
      </c>
      <c r="V1758" s="23" t="n"/>
    </row>
    <row r="1759">
      <c r="A1759" s="23" t="n"/>
      <c r="B1759" s="23" t="n"/>
      <c r="C1759" s="24" t="n"/>
      <c r="D1759" s="15" t="n"/>
      <c r="E1759" s="23" t="n"/>
      <c r="F1759" s="15" t="n"/>
      <c r="G1759" s="23" t="n"/>
      <c r="H1759" s="25" t="n"/>
      <c r="I1759" s="15" t="n"/>
      <c r="J1759" s="26">
        <f>IF($A1759="","",LEN($C1759)-LEN(SUBSTITUTE($C1759,",",""))+1)</f>
        <v/>
      </c>
      <c r="K1759" s="26">
        <f>IF($A1759="","",SUMPRODUCT(--ISNUMBER(SEARCH('Category Dictionary'!$D$5:$D$135&amp;"",$C1759)),--('Category Dictionary'!$D$5:$D$135&lt;&gt;"")))</f>
        <v/>
      </c>
      <c r="L1759" s="27">
        <f>IF($A1759="","",TRIM(IF(ISERROR(FIND(",",$C1759)),$C1759,LEFT($C1759,FIND(",",$C1759)-1))))</f>
        <v/>
      </c>
      <c r="M1759" s="28">
        <f>IF($H1759="","",DATE(YEAR($H1759),MONTH($H1759),1))</f>
        <v/>
      </c>
      <c r="N1759" s="26">
        <f>IF($H1759="","",TODAY()-$H1759)</f>
        <v/>
      </c>
      <c r="O1759" s="15" t="n"/>
      <c r="P1759" s="26">
        <f>IF($A1759="","",COUNTIFS('Audit Versions'!$A$6:$A$605,$A1759,'Audit Versions'!$L$6:$L$605,"Active"))</f>
        <v/>
      </c>
      <c r="Q1759" s="15" t="n"/>
      <c r="R1759" s="26">
        <f>IF(OR($A1759="",$P1759=0),"",MOD(N($Q1759),$P1759)+1)</f>
        <v/>
      </c>
      <c r="S1759" s="15" t="n"/>
      <c r="T1759" s="25" t="n"/>
      <c r="U1759" s="26">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Builder'!$B$12="",N($S1759)&lt;='Assignment Builder'!$B$12)))</f>
        <v/>
      </c>
      <c r="V1759" s="23" t="n"/>
    </row>
    <row r="1760">
      <c r="A1760" s="23" t="n"/>
      <c r="B1760" s="23" t="n"/>
      <c r="C1760" s="24" t="n"/>
      <c r="D1760" s="15" t="n"/>
      <c r="E1760" s="23" t="n"/>
      <c r="F1760" s="15" t="n"/>
      <c r="G1760" s="23" t="n"/>
      <c r="H1760" s="25" t="n"/>
      <c r="I1760" s="15" t="n"/>
      <c r="J1760" s="26">
        <f>IF($A1760="","",LEN($C1760)-LEN(SUBSTITUTE($C1760,",",""))+1)</f>
        <v/>
      </c>
      <c r="K1760" s="26">
        <f>IF($A1760="","",SUMPRODUCT(--ISNUMBER(SEARCH('Category Dictionary'!$D$5:$D$135&amp;"",$C1760)),--('Category Dictionary'!$D$5:$D$135&lt;&gt;"")))</f>
        <v/>
      </c>
      <c r="L1760" s="27">
        <f>IF($A1760="","",TRIM(IF(ISERROR(FIND(",",$C1760)),$C1760,LEFT($C1760,FIND(",",$C1760)-1))))</f>
        <v/>
      </c>
      <c r="M1760" s="28">
        <f>IF($H1760="","",DATE(YEAR($H1760),MONTH($H1760),1))</f>
        <v/>
      </c>
      <c r="N1760" s="26">
        <f>IF($H1760="","",TODAY()-$H1760)</f>
        <v/>
      </c>
      <c r="O1760" s="15" t="n"/>
      <c r="P1760" s="26">
        <f>IF($A1760="","",COUNTIFS('Audit Versions'!$A$6:$A$605,$A1760,'Audit Versions'!$L$6:$L$605,"Active"))</f>
        <v/>
      </c>
      <c r="Q1760" s="15" t="n"/>
      <c r="R1760" s="26">
        <f>IF(OR($A1760="",$P1760=0),"",MOD(N($Q1760),$P1760)+1)</f>
        <v/>
      </c>
      <c r="S1760" s="15" t="n"/>
      <c r="T1760" s="25" t="n"/>
      <c r="U1760" s="26">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Builder'!$B$12="",N($S1760)&lt;='Assignment Builder'!$B$12)))</f>
        <v/>
      </c>
      <c r="V1760" s="23" t="n"/>
    </row>
    <row r="1761">
      <c r="A1761" s="23" t="n"/>
      <c r="B1761" s="23" t="n"/>
      <c r="C1761" s="24" t="n"/>
      <c r="D1761" s="15" t="n"/>
      <c r="E1761" s="23" t="n"/>
      <c r="F1761" s="15" t="n"/>
      <c r="G1761" s="23" t="n"/>
      <c r="H1761" s="25" t="n"/>
      <c r="I1761" s="15" t="n"/>
      <c r="J1761" s="26">
        <f>IF($A1761="","",LEN($C1761)-LEN(SUBSTITUTE($C1761,",",""))+1)</f>
        <v/>
      </c>
      <c r="K1761" s="26">
        <f>IF($A1761="","",SUMPRODUCT(--ISNUMBER(SEARCH('Category Dictionary'!$D$5:$D$135&amp;"",$C1761)),--('Category Dictionary'!$D$5:$D$135&lt;&gt;"")))</f>
        <v/>
      </c>
      <c r="L1761" s="27">
        <f>IF($A1761="","",TRIM(IF(ISERROR(FIND(",",$C1761)),$C1761,LEFT($C1761,FIND(",",$C1761)-1))))</f>
        <v/>
      </c>
      <c r="M1761" s="28">
        <f>IF($H1761="","",DATE(YEAR($H1761),MONTH($H1761),1))</f>
        <v/>
      </c>
      <c r="N1761" s="26">
        <f>IF($H1761="","",TODAY()-$H1761)</f>
        <v/>
      </c>
      <c r="O1761" s="15" t="n"/>
      <c r="P1761" s="26">
        <f>IF($A1761="","",COUNTIFS('Audit Versions'!$A$6:$A$605,$A1761,'Audit Versions'!$L$6:$L$605,"Active"))</f>
        <v/>
      </c>
      <c r="Q1761" s="15" t="n"/>
      <c r="R1761" s="26">
        <f>IF(OR($A1761="",$P1761=0),"",MOD(N($Q1761),$P1761)+1)</f>
        <v/>
      </c>
      <c r="S1761" s="15" t="n"/>
      <c r="T1761" s="25" t="n"/>
      <c r="U1761" s="26">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Builder'!$B$12="",N($S1761)&lt;='Assignment Builder'!$B$12)))</f>
        <v/>
      </c>
      <c r="V1761" s="23" t="n"/>
    </row>
    <row r="1762">
      <c r="A1762" s="23" t="n"/>
      <c r="B1762" s="23" t="n"/>
      <c r="C1762" s="24" t="n"/>
      <c r="D1762" s="15" t="n"/>
      <c r="E1762" s="23" t="n"/>
      <c r="F1762" s="15" t="n"/>
      <c r="G1762" s="23" t="n"/>
      <c r="H1762" s="25" t="n"/>
      <c r="I1762" s="15" t="n"/>
      <c r="J1762" s="26">
        <f>IF($A1762="","",LEN($C1762)-LEN(SUBSTITUTE($C1762,",",""))+1)</f>
        <v/>
      </c>
      <c r="K1762" s="26">
        <f>IF($A1762="","",SUMPRODUCT(--ISNUMBER(SEARCH('Category Dictionary'!$D$5:$D$135&amp;"",$C1762)),--('Category Dictionary'!$D$5:$D$135&lt;&gt;"")))</f>
        <v/>
      </c>
      <c r="L1762" s="27">
        <f>IF($A1762="","",TRIM(IF(ISERROR(FIND(",",$C1762)),$C1762,LEFT($C1762,FIND(",",$C1762)-1))))</f>
        <v/>
      </c>
      <c r="M1762" s="28">
        <f>IF($H1762="","",DATE(YEAR($H1762),MONTH($H1762),1))</f>
        <v/>
      </c>
      <c r="N1762" s="26">
        <f>IF($H1762="","",TODAY()-$H1762)</f>
        <v/>
      </c>
      <c r="O1762" s="15" t="n"/>
      <c r="P1762" s="26">
        <f>IF($A1762="","",COUNTIFS('Audit Versions'!$A$6:$A$605,$A1762,'Audit Versions'!$L$6:$L$605,"Active"))</f>
        <v/>
      </c>
      <c r="Q1762" s="15" t="n"/>
      <c r="R1762" s="26">
        <f>IF(OR($A1762="",$P1762=0),"",MOD(N($Q1762),$P1762)+1)</f>
        <v/>
      </c>
      <c r="S1762" s="15" t="n"/>
      <c r="T1762" s="25" t="n"/>
      <c r="U1762" s="26">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Builder'!$B$12="",N($S1762)&lt;='Assignment Builder'!$B$12)))</f>
        <v/>
      </c>
      <c r="V1762" s="23" t="n"/>
    </row>
    <row r="1763">
      <c r="A1763" s="23" t="n"/>
      <c r="B1763" s="23" t="n"/>
      <c r="C1763" s="24" t="n"/>
      <c r="D1763" s="15" t="n"/>
      <c r="E1763" s="23" t="n"/>
      <c r="F1763" s="15" t="n"/>
      <c r="G1763" s="23" t="n"/>
      <c r="H1763" s="25" t="n"/>
      <c r="I1763" s="15" t="n"/>
      <c r="J1763" s="26">
        <f>IF($A1763="","",LEN($C1763)-LEN(SUBSTITUTE($C1763,",",""))+1)</f>
        <v/>
      </c>
      <c r="K1763" s="26">
        <f>IF($A1763="","",SUMPRODUCT(--ISNUMBER(SEARCH('Category Dictionary'!$D$5:$D$135&amp;"",$C1763)),--('Category Dictionary'!$D$5:$D$135&lt;&gt;"")))</f>
        <v/>
      </c>
      <c r="L1763" s="27">
        <f>IF($A1763="","",TRIM(IF(ISERROR(FIND(",",$C1763)),$C1763,LEFT($C1763,FIND(",",$C1763)-1))))</f>
        <v/>
      </c>
      <c r="M1763" s="28">
        <f>IF($H1763="","",DATE(YEAR($H1763),MONTH($H1763),1))</f>
        <v/>
      </c>
      <c r="N1763" s="26">
        <f>IF($H1763="","",TODAY()-$H1763)</f>
        <v/>
      </c>
      <c r="O1763" s="15" t="n"/>
      <c r="P1763" s="26">
        <f>IF($A1763="","",COUNTIFS('Audit Versions'!$A$6:$A$605,$A1763,'Audit Versions'!$L$6:$L$605,"Active"))</f>
        <v/>
      </c>
      <c r="Q1763" s="15" t="n"/>
      <c r="R1763" s="26">
        <f>IF(OR($A1763="",$P1763=0),"",MOD(N($Q1763),$P1763)+1)</f>
        <v/>
      </c>
      <c r="S1763" s="15" t="n"/>
      <c r="T1763" s="25" t="n"/>
      <c r="U1763" s="26">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Builder'!$B$12="",N($S1763)&lt;='Assignment Builder'!$B$12)))</f>
        <v/>
      </c>
      <c r="V1763" s="23" t="n"/>
    </row>
    <row r="1764">
      <c r="A1764" s="23" t="n"/>
      <c r="B1764" s="23" t="n"/>
      <c r="C1764" s="24" t="n"/>
      <c r="D1764" s="15" t="n"/>
      <c r="E1764" s="23" t="n"/>
      <c r="F1764" s="15" t="n"/>
      <c r="G1764" s="23" t="n"/>
      <c r="H1764" s="25" t="n"/>
      <c r="I1764" s="15" t="n"/>
      <c r="J1764" s="26">
        <f>IF($A1764="","",LEN($C1764)-LEN(SUBSTITUTE($C1764,",",""))+1)</f>
        <v/>
      </c>
      <c r="K1764" s="26">
        <f>IF($A1764="","",SUMPRODUCT(--ISNUMBER(SEARCH('Category Dictionary'!$D$5:$D$135&amp;"",$C1764)),--('Category Dictionary'!$D$5:$D$135&lt;&gt;"")))</f>
        <v/>
      </c>
      <c r="L1764" s="27">
        <f>IF($A1764="","",TRIM(IF(ISERROR(FIND(",",$C1764)),$C1764,LEFT($C1764,FIND(",",$C1764)-1))))</f>
        <v/>
      </c>
      <c r="M1764" s="28">
        <f>IF($H1764="","",DATE(YEAR($H1764),MONTH($H1764),1))</f>
        <v/>
      </c>
      <c r="N1764" s="26">
        <f>IF($H1764="","",TODAY()-$H1764)</f>
        <v/>
      </c>
      <c r="O1764" s="15" t="n"/>
      <c r="P1764" s="26">
        <f>IF($A1764="","",COUNTIFS('Audit Versions'!$A$6:$A$605,$A1764,'Audit Versions'!$L$6:$L$605,"Active"))</f>
        <v/>
      </c>
      <c r="Q1764" s="15" t="n"/>
      <c r="R1764" s="26">
        <f>IF(OR($A1764="",$P1764=0),"",MOD(N($Q1764),$P1764)+1)</f>
        <v/>
      </c>
      <c r="S1764" s="15" t="n"/>
      <c r="T1764" s="25" t="n"/>
      <c r="U1764" s="26">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Builder'!$B$12="",N($S1764)&lt;='Assignment Builder'!$B$12)))</f>
        <v/>
      </c>
      <c r="V1764" s="23" t="n"/>
    </row>
    <row r="1765">
      <c r="A1765" s="23" t="n"/>
      <c r="B1765" s="23" t="n"/>
      <c r="C1765" s="24" t="n"/>
      <c r="D1765" s="15" t="n"/>
      <c r="E1765" s="23" t="n"/>
      <c r="F1765" s="15" t="n"/>
      <c r="G1765" s="23" t="n"/>
      <c r="H1765" s="25" t="n"/>
      <c r="I1765" s="15" t="n"/>
      <c r="J1765" s="26">
        <f>IF($A1765="","",LEN($C1765)-LEN(SUBSTITUTE($C1765,",",""))+1)</f>
        <v/>
      </c>
      <c r="K1765" s="26">
        <f>IF($A1765="","",SUMPRODUCT(--ISNUMBER(SEARCH('Category Dictionary'!$D$5:$D$135&amp;"",$C1765)),--('Category Dictionary'!$D$5:$D$135&lt;&gt;"")))</f>
        <v/>
      </c>
      <c r="L1765" s="27">
        <f>IF($A1765="","",TRIM(IF(ISERROR(FIND(",",$C1765)),$C1765,LEFT($C1765,FIND(",",$C1765)-1))))</f>
        <v/>
      </c>
      <c r="M1765" s="28">
        <f>IF($H1765="","",DATE(YEAR($H1765),MONTH($H1765),1))</f>
        <v/>
      </c>
      <c r="N1765" s="26">
        <f>IF($H1765="","",TODAY()-$H1765)</f>
        <v/>
      </c>
      <c r="O1765" s="15" t="n"/>
      <c r="P1765" s="26">
        <f>IF($A1765="","",COUNTIFS('Audit Versions'!$A$6:$A$605,$A1765,'Audit Versions'!$L$6:$L$605,"Active"))</f>
        <v/>
      </c>
      <c r="Q1765" s="15" t="n"/>
      <c r="R1765" s="26">
        <f>IF(OR($A1765="",$P1765=0),"",MOD(N($Q1765),$P1765)+1)</f>
        <v/>
      </c>
      <c r="S1765" s="15" t="n"/>
      <c r="T1765" s="25" t="n"/>
      <c r="U1765" s="26">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Builder'!$B$12="",N($S1765)&lt;='Assignment Builder'!$B$12)))</f>
        <v/>
      </c>
      <c r="V1765" s="23" t="n"/>
    </row>
    <row r="1766">
      <c r="A1766" s="23" t="n"/>
      <c r="B1766" s="23" t="n"/>
      <c r="C1766" s="24" t="n"/>
      <c r="D1766" s="15" t="n"/>
      <c r="E1766" s="23" t="n"/>
      <c r="F1766" s="15" t="n"/>
      <c r="G1766" s="23" t="n"/>
      <c r="H1766" s="25" t="n"/>
      <c r="I1766" s="15" t="n"/>
      <c r="J1766" s="26">
        <f>IF($A1766="","",LEN($C1766)-LEN(SUBSTITUTE($C1766,",",""))+1)</f>
        <v/>
      </c>
      <c r="K1766" s="26">
        <f>IF($A1766="","",SUMPRODUCT(--ISNUMBER(SEARCH('Category Dictionary'!$D$5:$D$135&amp;"",$C1766)),--('Category Dictionary'!$D$5:$D$135&lt;&gt;"")))</f>
        <v/>
      </c>
      <c r="L1766" s="27">
        <f>IF($A1766="","",TRIM(IF(ISERROR(FIND(",",$C1766)),$C1766,LEFT($C1766,FIND(",",$C1766)-1))))</f>
        <v/>
      </c>
      <c r="M1766" s="28">
        <f>IF($H1766="","",DATE(YEAR($H1766),MONTH($H1766),1))</f>
        <v/>
      </c>
      <c r="N1766" s="26">
        <f>IF($H1766="","",TODAY()-$H1766)</f>
        <v/>
      </c>
      <c r="O1766" s="15" t="n"/>
      <c r="P1766" s="26">
        <f>IF($A1766="","",COUNTIFS('Audit Versions'!$A$6:$A$605,$A1766,'Audit Versions'!$L$6:$L$605,"Active"))</f>
        <v/>
      </c>
      <c r="Q1766" s="15" t="n"/>
      <c r="R1766" s="26">
        <f>IF(OR($A1766="",$P1766=0),"",MOD(N($Q1766),$P1766)+1)</f>
        <v/>
      </c>
      <c r="S1766" s="15" t="n"/>
      <c r="T1766" s="25" t="n"/>
      <c r="U1766" s="26">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Builder'!$B$12="",N($S1766)&lt;='Assignment Builder'!$B$12)))</f>
        <v/>
      </c>
      <c r="V1766" s="23" t="n"/>
    </row>
    <row r="1767">
      <c r="A1767" s="23" t="n"/>
      <c r="B1767" s="23" t="n"/>
      <c r="C1767" s="24" t="n"/>
      <c r="D1767" s="15" t="n"/>
      <c r="E1767" s="23" t="n"/>
      <c r="F1767" s="15" t="n"/>
      <c r="G1767" s="23" t="n"/>
      <c r="H1767" s="25" t="n"/>
      <c r="I1767" s="15" t="n"/>
      <c r="J1767" s="26">
        <f>IF($A1767="","",LEN($C1767)-LEN(SUBSTITUTE($C1767,",",""))+1)</f>
        <v/>
      </c>
      <c r="K1767" s="26">
        <f>IF($A1767="","",SUMPRODUCT(--ISNUMBER(SEARCH('Category Dictionary'!$D$5:$D$135&amp;"",$C1767)),--('Category Dictionary'!$D$5:$D$135&lt;&gt;"")))</f>
        <v/>
      </c>
      <c r="L1767" s="27">
        <f>IF($A1767="","",TRIM(IF(ISERROR(FIND(",",$C1767)),$C1767,LEFT($C1767,FIND(",",$C1767)-1))))</f>
        <v/>
      </c>
      <c r="M1767" s="28">
        <f>IF($H1767="","",DATE(YEAR($H1767),MONTH($H1767),1))</f>
        <v/>
      </c>
      <c r="N1767" s="26">
        <f>IF($H1767="","",TODAY()-$H1767)</f>
        <v/>
      </c>
      <c r="O1767" s="15" t="n"/>
      <c r="P1767" s="26">
        <f>IF($A1767="","",COUNTIFS('Audit Versions'!$A$6:$A$605,$A1767,'Audit Versions'!$L$6:$L$605,"Active"))</f>
        <v/>
      </c>
      <c r="Q1767" s="15" t="n"/>
      <c r="R1767" s="26">
        <f>IF(OR($A1767="",$P1767=0),"",MOD(N($Q1767),$P1767)+1)</f>
        <v/>
      </c>
      <c r="S1767" s="15" t="n"/>
      <c r="T1767" s="25" t="n"/>
      <c r="U1767" s="26">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Builder'!$B$12="",N($S1767)&lt;='Assignment Builder'!$B$12)))</f>
        <v/>
      </c>
      <c r="V1767" s="23" t="n"/>
    </row>
    <row r="1768">
      <c r="A1768" s="23" t="n"/>
      <c r="B1768" s="23" t="n"/>
      <c r="C1768" s="24" t="n"/>
      <c r="D1768" s="15" t="n"/>
      <c r="E1768" s="23" t="n"/>
      <c r="F1768" s="15" t="n"/>
      <c r="G1768" s="23" t="n"/>
      <c r="H1768" s="25" t="n"/>
      <c r="I1768" s="15" t="n"/>
      <c r="J1768" s="26">
        <f>IF($A1768="","",LEN($C1768)-LEN(SUBSTITUTE($C1768,",",""))+1)</f>
        <v/>
      </c>
      <c r="K1768" s="26">
        <f>IF($A1768="","",SUMPRODUCT(--ISNUMBER(SEARCH('Category Dictionary'!$D$5:$D$135&amp;"",$C1768)),--('Category Dictionary'!$D$5:$D$135&lt;&gt;"")))</f>
        <v/>
      </c>
      <c r="L1768" s="27">
        <f>IF($A1768="","",TRIM(IF(ISERROR(FIND(",",$C1768)),$C1768,LEFT($C1768,FIND(",",$C1768)-1))))</f>
        <v/>
      </c>
      <c r="M1768" s="28">
        <f>IF($H1768="","",DATE(YEAR($H1768),MONTH($H1768),1))</f>
        <v/>
      </c>
      <c r="N1768" s="26">
        <f>IF($H1768="","",TODAY()-$H1768)</f>
        <v/>
      </c>
      <c r="O1768" s="15" t="n"/>
      <c r="P1768" s="26">
        <f>IF($A1768="","",COUNTIFS('Audit Versions'!$A$6:$A$605,$A1768,'Audit Versions'!$L$6:$L$605,"Active"))</f>
        <v/>
      </c>
      <c r="Q1768" s="15" t="n"/>
      <c r="R1768" s="26">
        <f>IF(OR($A1768="",$P1768=0),"",MOD(N($Q1768),$P1768)+1)</f>
        <v/>
      </c>
      <c r="S1768" s="15" t="n"/>
      <c r="T1768" s="25" t="n"/>
      <c r="U1768" s="26">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Builder'!$B$12="",N($S1768)&lt;='Assignment Builder'!$B$12)))</f>
        <v/>
      </c>
      <c r="V1768" s="23" t="n"/>
    </row>
    <row r="1769">
      <c r="A1769" s="23" t="n"/>
      <c r="B1769" s="23" t="n"/>
      <c r="C1769" s="24" t="n"/>
      <c r="D1769" s="15" t="n"/>
      <c r="E1769" s="23" t="n"/>
      <c r="F1769" s="15" t="n"/>
      <c r="G1769" s="23" t="n"/>
      <c r="H1769" s="25" t="n"/>
      <c r="I1769" s="15" t="n"/>
      <c r="J1769" s="26">
        <f>IF($A1769="","",LEN($C1769)-LEN(SUBSTITUTE($C1769,",",""))+1)</f>
        <v/>
      </c>
      <c r="K1769" s="26">
        <f>IF($A1769="","",SUMPRODUCT(--ISNUMBER(SEARCH('Category Dictionary'!$D$5:$D$135&amp;"",$C1769)),--('Category Dictionary'!$D$5:$D$135&lt;&gt;"")))</f>
        <v/>
      </c>
      <c r="L1769" s="27">
        <f>IF($A1769="","",TRIM(IF(ISERROR(FIND(",",$C1769)),$C1769,LEFT($C1769,FIND(",",$C1769)-1))))</f>
        <v/>
      </c>
      <c r="M1769" s="28">
        <f>IF($H1769="","",DATE(YEAR($H1769),MONTH($H1769),1))</f>
        <v/>
      </c>
      <c r="N1769" s="26">
        <f>IF($H1769="","",TODAY()-$H1769)</f>
        <v/>
      </c>
      <c r="O1769" s="15" t="n"/>
      <c r="P1769" s="26">
        <f>IF($A1769="","",COUNTIFS('Audit Versions'!$A$6:$A$605,$A1769,'Audit Versions'!$L$6:$L$605,"Active"))</f>
        <v/>
      </c>
      <c r="Q1769" s="15" t="n"/>
      <c r="R1769" s="26">
        <f>IF(OR($A1769="",$P1769=0),"",MOD(N($Q1769),$P1769)+1)</f>
        <v/>
      </c>
      <c r="S1769" s="15" t="n"/>
      <c r="T1769" s="25" t="n"/>
      <c r="U1769" s="26">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Builder'!$B$12="",N($S1769)&lt;='Assignment Builder'!$B$12)))</f>
        <v/>
      </c>
      <c r="V1769" s="23" t="n"/>
    </row>
    <row r="1770">
      <c r="A1770" s="23" t="n"/>
      <c r="B1770" s="23" t="n"/>
      <c r="C1770" s="24" t="n"/>
      <c r="D1770" s="15" t="n"/>
      <c r="E1770" s="23" t="n"/>
      <c r="F1770" s="15" t="n"/>
      <c r="G1770" s="23" t="n"/>
      <c r="H1770" s="25" t="n"/>
      <c r="I1770" s="15" t="n"/>
      <c r="J1770" s="26">
        <f>IF($A1770="","",LEN($C1770)-LEN(SUBSTITUTE($C1770,",",""))+1)</f>
        <v/>
      </c>
      <c r="K1770" s="26">
        <f>IF($A1770="","",SUMPRODUCT(--ISNUMBER(SEARCH('Category Dictionary'!$D$5:$D$135&amp;"",$C1770)),--('Category Dictionary'!$D$5:$D$135&lt;&gt;"")))</f>
        <v/>
      </c>
      <c r="L1770" s="27">
        <f>IF($A1770="","",TRIM(IF(ISERROR(FIND(",",$C1770)),$C1770,LEFT($C1770,FIND(",",$C1770)-1))))</f>
        <v/>
      </c>
      <c r="M1770" s="28">
        <f>IF($H1770="","",DATE(YEAR($H1770),MONTH($H1770),1))</f>
        <v/>
      </c>
      <c r="N1770" s="26">
        <f>IF($H1770="","",TODAY()-$H1770)</f>
        <v/>
      </c>
      <c r="O1770" s="15" t="n"/>
      <c r="P1770" s="26">
        <f>IF($A1770="","",COUNTIFS('Audit Versions'!$A$6:$A$605,$A1770,'Audit Versions'!$L$6:$L$605,"Active"))</f>
        <v/>
      </c>
      <c r="Q1770" s="15" t="n"/>
      <c r="R1770" s="26">
        <f>IF(OR($A1770="",$P1770=0),"",MOD(N($Q1770),$P1770)+1)</f>
        <v/>
      </c>
      <c r="S1770" s="15" t="n"/>
      <c r="T1770" s="25" t="n"/>
      <c r="U1770" s="26">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Builder'!$B$12="",N($S1770)&lt;='Assignment Builder'!$B$12)))</f>
        <v/>
      </c>
      <c r="V1770" s="23" t="n"/>
    </row>
    <row r="1771">
      <c r="A1771" s="23" t="n"/>
      <c r="B1771" s="23" t="n"/>
      <c r="C1771" s="24" t="n"/>
      <c r="D1771" s="15" t="n"/>
      <c r="E1771" s="23" t="n"/>
      <c r="F1771" s="15" t="n"/>
      <c r="G1771" s="23" t="n"/>
      <c r="H1771" s="25" t="n"/>
      <c r="I1771" s="15" t="n"/>
      <c r="J1771" s="26">
        <f>IF($A1771="","",LEN($C1771)-LEN(SUBSTITUTE($C1771,",",""))+1)</f>
        <v/>
      </c>
      <c r="K1771" s="26">
        <f>IF($A1771="","",SUMPRODUCT(--ISNUMBER(SEARCH('Category Dictionary'!$D$5:$D$135&amp;"",$C1771)),--('Category Dictionary'!$D$5:$D$135&lt;&gt;"")))</f>
        <v/>
      </c>
      <c r="L1771" s="27">
        <f>IF($A1771="","",TRIM(IF(ISERROR(FIND(",",$C1771)),$C1771,LEFT($C1771,FIND(",",$C1771)-1))))</f>
        <v/>
      </c>
      <c r="M1771" s="28">
        <f>IF($H1771="","",DATE(YEAR($H1771),MONTH($H1771),1))</f>
        <v/>
      </c>
      <c r="N1771" s="26">
        <f>IF($H1771="","",TODAY()-$H1771)</f>
        <v/>
      </c>
      <c r="O1771" s="15" t="n"/>
      <c r="P1771" s="26">
        <f>IF($A1771="","",COUNTIFS('Audit Versions'!$A$6:$A$605,$A1771,'Audit Versions'!$L$6:$L$605,"Active"))</f>
        <v/>
      </c>
      <c r="Q1771" s="15" t="n"/>
      <c r="R1771" s="26">
        <f>IF(OR($A1771="",$P1771=0),"",MOD(N($Q1771),$P1771)+1)</f>
        <v/>
      </c>
      <c r="S1771" s="15" t="n"/>
      <c r="T1771" s="25" t="n"/>
      <c r="U1771" s="26">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Builder'!$B$12="",N($S1771)&lt;='Assignment Builder'!$B$12)))</f>
        <v/>
      </c>
      <c r="V1771" s="23" t="n"/>
    </row>
    <row r="1772">
      <c r="A1772" s="23" t="n"/>
      <c r="B1772" s="23" t="n"/>
      <c r="C1772" s="24" t="n"/>
      <c r="D1772" s="15" t="n"/>
      <c r="E1772" s="23" t="n"/>
      <c r="F1772" s="15" t="n"/>
      <c r="G1772" s="23" t="n"/>
      <c r="H1772" s="25" t="n"/>
      <c r="I1772" s="15" t="n"/>
      <c r="J1772" s="26">
        <f>IF($A1772="","",LEN($C1772)-LEN(SUBSTITUTE($C1772,",",""))+1)</f>
        <v/>
      </c>
      <c r="K1772" s="26">
        <f>IF($A1772="","",SUMPRODUCT(--ISNUMBER(SEARCH('Category Dictionary'!$D$5:$D$135&amp;"",$C1772)),--('Category Dictionary'!$D$5:$D$135&lt;&gt;"")))</f>
        <v/>
      </c>
      <c r="L1772" s="27">
        <f>IF($A1772="","",TRIM(IF(ISERROR(FIND(",",$C1772)),$C1772,LEFT($C1772,FIND(",",$C1772)-1))))</f>
        <v/>
      </c>
      <c r="M1772" s="28">
        <f>IF($H1772="","",DATE(YEAR($H1772),MONTH($H1772),1))</f>
        <v/>
      </c>
      <c r="N1772" s="26">
        <f>IF($H1772="","",TODAY()-$H1772)</f>
        <v/>
      </c>
      <c r="O1772" s="15" t="n"/>
      <c r="P1772" s="26">
        <f>IF($A1772="","",COUNTIFS('Audit Versions'!$A$6:$A$605,$A1772,'Audit Versions'!$L$6:$L$605,"Active"))</f>
        <v/>
      </c>
      <c r="Q1772" s="15" t="n"/>
      <c r="R1772" s="26">
        <f>IF(OR($A1772="",$P1772=0),"",MOD(N($Q1772),$P1772)+1)</f>
        <v/>
      </c>
      <c r="S1772" s="15" t="n"/>
      <c r="T1772" s="25" t="n"/>
      <c r="U1772" s="26">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Builder'!$B$12="",N($S1772)&lt;='Assignment Builder'!$B$12)))</f>
        <v/>
      </c>
      <c r="V1772" s="23" t="n"/>
    </row>
    <row r="1773">
      <c r="A1773" s="23" t="n"/>
      <c r="B1773" s="23" t="n"/>
      <c r="C1773" s="24" t="n"/>
      <c r="D1773" s="15" t="n"/>
      <c r="E1773" s="23" t="n"/>
      <c r="F1773" s="15" t="n"/>
      <c r="G1773" s="23" t="n"/>
      <c r="H1773" s="25" t="n"/>
      <c r="I1773" s="15" t="n"/>
      <c r="J1773" s="26">
        <f>IF($A1773="","",LEN($C1773)-LEN(SUBSTITUTE($C1773,",",""))+1)</f>
        <v/>
      </c>
      <c r="K1773" s="26">
        <f>IF($A1773="","",SUMPRODUCT(--ISNUMBER(SEARCH('Category Dictionary'!$D$5:$D$135&amp;"",$C1773)),--('Category Dictionary'!$D$5:$D$135&lt;&gt;"")))</f>
        <v/>
      </c>
      <c r="L1773" s="27">
        <f>IF($A1773="","",TRIM(IF(ISERROR(FIND(",",$C1773)),$C1773,LEFT($C1773,FIND(",",$C1773)-1))))</f>
        <v/>
      </c>
      <c r="M1773" s="28">
        <f>IF($H1773="","",DATE(YEAR($H1773),MONTH($H1773),1))</f>
        <v/>
      </c>
      <c r="N1773" s="26">
        <f>IF($H1773="","",TODAY()-$H1773)</f>
        <v/>
      </c>
      <c r="O1773" s="15" t="n"/>
      <c r="P1773" s="26">
        <f>IF($A1773="","",COUNTIFS('Audit Versions'!$A$6:$A$605,$A1773,'Audit Versions'!$L$6:$L$605,"Active"))</f>
        <v/>
      </c>
      <c r="Q1773" s="15" t="n"/>
      <c r="R1773" s="26">
        <f>IF(OR($A1773="",$P1773=0),"",MOD(N($Q1773),$P1773)+1)</f>
        <v/>
      </c>
      <c r="S1773" s="15" t="n"/>
      <c r="T1773" s="25" t="n"/>
      <c r="U1773" s="26">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Builder'!$B$12="",N($S1773)&lt;='Assignment Builder'!$B$12)))</f>
        <v/>
      </c>
      <c r="V1773" s="23" t="n"/>
    </row>
    <row r="1774">
      <c r="A1774" s="23" t="n"/>
      <c r="B1774" s="23" t="n"/>
      <c r="C1774" s="24" t="n"/>
      <c r="D1774" s="15" t="n"/>
      <c r="E1774" s="23" t="n"/>
      <c r="F1774" s="15" t="n"/>
      <c r="G1774" s="23" t="n"/>
      <c r="H1774" s="25" t="n"/>
      <c r="I1774" s="15" t="n"/>
      <c r="J1774" s="26">
        <f>IF($A1774="","",LEN($C1774)-LEN(SUBSTITUTE($C1774,",",""))+1)</f>
        <v/>
      </c>
      <c r="K1774" s="26">
        <f>IF($A1774="","",SUMPRODUCT(--ISNUMBER(SEARCH('Category Dictionary'!$D$5:$D$135&amp;"",$C1774)),--('Category Dictionary'!$D$5:$D$135&lt;&gt;"")))</f>
        <v/>
      </c>
      <c r="L1774" s="27">
        <f>IF($A1774="","",TRIM(IF(ISERROR(FIND(",",$C1774)),$C1774,LEFT($C1774,FIND(",",$C1774)-1))))</f>
        <v/>
      </c>
      <c r="M1774" s="28">
        <f>IF($H1774="","",DATE(YEAR($H1774),MONTH($H1774),1))</f>
        <v/>
      </c>
      <c r="N1774" s="26">
        <f>IF($H1774="","",TODAY()-$H1774)</f>
        <v/>
      </c>
      <c r="O1774" s="15" t="n"/>
      <c r="P1774" s="26">
        <f>IF($A1774="","",COUNTIFS('Audit Versions'!$A$6:$A$605,$A1774,'Audit Versions'!$L$6:$L$605,"Active"))</f>
        <v/>
      </c>
      <c r="Q1774" s="15" t="n"/>
      <c r="R1774" s="26">
        <f>IF(OR($A1774="",$P1774=0),"",MOD(N($Q1774),$P1774)+1)</f>
        <v/>
      </c>
      <c r="S1774" s="15" t="n"/>
      <c r="T1774" s="25" t="n"/>
      <c r="U1774" s="26">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Builder'!$B$12="",N($S1774)&lt;='Assignment Builder'!$B$12)))</f>
        <v/>
      </c>
      <c r="V1774" s="23" t="n"/>
    </row>
    <row r="1775">
      <c r="A1775" s="23" t="n"/>
      <c r="B1775" s="23" t="n"/>
      <c r="C1775" s="24" t="n"/>
      <c r="D1775" s="15" t="n"/>
      <c r="E1775" s="23" t="n"/>
      <c r="F1775" s="15" t="n"/>
      <c r="G1775" s="23" t="n"/>
      <c r="H1775" s="25" t="n"/>
      <c r="I1775" s="15" t="n"/>
      <c r="J1775" s="26">
        <f>IF($A1775="","",LEN($C1775)-LEN(SUBSTITUTE($C1775,",",""))+1)</f>
        <v/>
      </c>
      <c r="K1775" s="26">
        <f>IF($A1775="","",SUMPRODUCT(--ISNUMBER(SEARCH('Category Dictionary'!$D$5:$D$135&amp;"",$C1775)),--('Category Dictionary'!$D$5:$D$135&lt;&gt;"")))</f>
        <v/>
      </c>
      <c r="L1775" s="27">
        <f>IF($A1775="","",TRIM(IF(ISERROR(FIND(",",$C1775)),$C1775,LEFT($C1775,FIND(",",$C1775)-1))))</f>
        <v/>
      </c>
      <c r="M1775" s="28">
        <f>IF($H1775="","",DATE(YEAR($H1775),MONTH($H1775),1))</f>
        <v/>
      </c>
      <c r="N1775" s="26">
        <f>IF($H1775="","",TODAY()-$H1775)</f>
        <v/>
      </c>
      <c r="O1775" s="15" t="n"/>
      <c r="P1775" s="26">
        <f>IF($A1775="","",COUNTIFS('Audit Versions'!$A$6:$A$605,$A1775,'Audit Versions'!$L$6:$L$605,"Active"))</f>
        <v/>
      </c>
      <c r="Q1775" s="15" t="n"/>
      <c r="R1775" s="26">
        <f>IF(OR($A1775="",$P1775=0),"",MOD(N($Q1775),$P1775)+1)</f>
        <v/>
      </c>
      <c r="S1775" s="15" t="n"/>
      <c r="T1775" s="25" t="n"/>
      <c r="U1775" s="26">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Builder'!$B$12="",N($S1775)&lt;='Assignment Builder'!$B$12)))</f>
        <v/>
      </c>
      <c r="V1775" s="23" t="n"/>
    </row>
    <row r="1776">
      <c r="A1776" s="23" t="n"/>
      <c r="B1776" s="23" t="n"/>
      <c r="C1776" s="24" t="n"/>
      <c r="D1776" s="15" t="n"/>
      <c r="E1776" s="23" t="n"/>
      <c r="F1776" s="15" t="n"/>
      <c r="G1776" s="23" t="n"/>
      <c r="H1776" s="25" t="n"/>
      <c r="I1776" s="15" t="n"/>
      <c r="J1776" s="26">
        <f>IF($A1776="","",LEN($C1776)-LEN(SUBSTITUTE($C1776,",",""))+1)</f>
        <v/>
      </c>
      <c r="K1776" s="26">
        <f>IF($A1776="","",SUMPRODUCT(--ISNUMBER(SEARCH('Category Dictionary'!$D$5:$D$135&amp;"",$C1776)),--('Category Dictionary'!$D$5:$D$135&lt;&gt;"")))</f>
        <v/>
      </c>
      <c r="L1776" s="27">
        <f>IF($A1776="","",TRIM(IF(ISERROR(FIND(",",$C1776)),$C1776,LEFT($C1776,FIND(",",$C1776)-1))))</f>
        <v/>
      </c>
      <c r="M1776" s="28">
        <f>IF($H1776="","",DATE(YEAR($H1776),MONTH($H1776),1))</f>
        <v/>
      </c>
      <c r="N1776" s="26">
        <f>IF($H1776="","",TODAY()-$H1776)</f>
        <v/>
      </c>
      <c r="O1776" s="15" t="n"/>
      <c r="P1776" s="26">
        <f>IF($A1776="","",COUNTIFS('Audit Versions'!$A$6:$A$605,$A1776,'Audit Versions'!$L$6:$L$605,"Active"))</f>
        <v/>
      </c>
      <c r="Q1776" s="15" t="n"/>
      <c r="R1776" s="26">
        <f>IF(OR($A1776="",$P1776=0),"",MOD(N($Q1776),$P1776)+1)</f>
        <v/>
      </c>
      <c r="S1776" s="15" t="n"/>
      <c r="T1776" s="25" t="n"/>
      <c r="U1776" s="26">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Builder'!$B$12="",N($S1776)&lt;='Assignment Builder'!$B$12)))</f>
        <v/>
      </c>
      <c r="V1776" s="23" t="n"/>
    </row>
    <row r="1777">
      <c r="A1777" s="23" t="n"/>
      <c r="B1777" s="23" t="n"/>
      <c r="C1777" s="24" t="n"/>
      <c r="D1777" s="15" t="n"/>
      <c r="E1777" s="23" t="n"/>
      <c r="F1777" s="15" t="n"/>
      <c r="G1777" s="23" t="n"/>
      <c r="H1777" s="25" t="n"/>
      <c r="I1777" s="15" t="n"/>
      <c r="J1777" s="26">
        <f>IF($A1777="","",LEN($C1777)-LEN(SUBSTITUTE($C1777,",",""))+1)</f>
        <v/>
      </c>
      <c r="K1777" s="26">
        <f>IF($A1777="","",SUMPRODUCT(--ISNUMBER(SEARCH('Category Dictionary'!$D$5:$D$135&amp;"",$C1777)),--('Category Dictionary'!$D$5:$D$135&lt;&gt;"")))</f>
        <v/>
      </c>
      <c r="L1777" s="27">
        <f>IF($A1777="","",TRIM(IF(ISERROR(FIND(",",$C1777)),$C1777,LEFT($C1777,FIND(",",$C1777)-1))))</f>
        <v/>
      </c>
      <c r="M1777" s="28">
        <f>IF($H1777="","",DATE(YEAR($H1777),MONTH($H1777),1))</f>
        <v/>
      </c>
      <c r="N1777" s="26">
        <f>IF($H1777="","",TODAY()-$H1777)</f>
        <v/>
      </c>
      <c r="O1777" s="15" t="n"/>
      <c r="P1777" s="26">
        <f>IF($A1777="","",COUNTIFS('Audit Versions'!$A$6:$A$605,$A1777,'Audit Versions'!$L$6:$L$605,"Active"))</f>
        <v/>
      </c>
      <c r="Q1777" s="15" t="n"/>
      <c r="R1777" s="26">
        <f>IF(OR($A1777="",$P1777=0),"",MOD(N($Q1777),$P1777)+1)</f>
        <v/>
      </c>
      <c r="S1777" s="15" t="n"/>
      <c r="T1777" s="25" t="n"/>
      <c r="U1777" s="26">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Builder'!$B$12="",N($S1777)&lt;='Assignment Builder'!$B$12)))</f>
        <v/>
      </c>
      <c r="V1777" s="23" t="n"/>
    </row>
    <row r="1778">
      <c r="A1778" s="23" t="n"/>
      <c r="B1778" s="23" t="n"/>
      <c r="C1778" s="24" t="n"/>
      <c r="D1778" s="15" t="n"/>
      <c r="E1778" s="23" t="n"/>
      <c r="F1778" s="15" t="n"/>
      <c r="G1778" s="23" t="n"/>
      <c r="H1778" s="25" t="n"/>
      <c r="I1778" s="15" t="n"/>
      <c r="J1778" s="26">
        <f>IF($A1778="","",LEN($C1778)-LEN(SUBSTITUTE($C1778,",",""))+1)</f>
        <v/>
      </c>
      <c r="K1778" s="26">
        <f>IF($A1778="","",SUMPRODUCT(--ISNUMBER(SEARCH('Category Dictionary'!$D$5:$D$135&amp;"",$C1778)),--('Category Dictionary'!$D$5:$D$135&lt;&gt;"")))</f>
        <v/>
      </c>
      <c r="L1778" s="27">
        <f>IF($A1778="","",TRIM(IF(ISERROR(FIND(",",$C1778)),$C1778,LEFT($C1778,FIND(",",$C1778)-1))))</f>
        <v/>
      </c>
      <c r="M1778" s="28">
        <f>IF($H1778="","",DATE(YEAR($H1778),MONTH($H1778),1))</f>
        <v/>
      </c>
      <c r="N1778" s="26">
        <f>IF($H1778="","",TODAY()-$H1778)</f>
        <v/>
      </c>
      <c r="O1778" s="15" t="n"/>
      <c r="P1778" s="26">
        <f>IF($A1778="","",COUNTIFS('Audit Versions'!$A$6:$A$605,$A1778,'Audit Versions'!$L$6:$L$605,"Active"))</f>
        <v/>
      </c>
      <c r="Q1778" s="15" t="n"/>
      <c r="R1778" s="26">
        <f>IF(OR($A1778="",$P1778=0),"",MOD(N($Q1778),$P1778)+1)</f>
        <v/>
      </c>
      <c r="S1778" s="15" t="n"/>
      <c r="T1778" s="25" t="n"/>
      <c r="U1778" s="26">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Builder'!$B$12="",N($S1778)&lt;='Assignment Builder'!$B$12)))</f>
        <v/>
      </c>
      <c r="V1778" s="23" t="n"/>
    </row>
    <row r="1779">
      <c r="A1779" s="23" t="n"/>
      <c r="B1779" s="23" t="n"/>
      <c r="C1779" s="24" t="n"/>
      <c r="D1779" s="15" t="n"/>
      <c r="E1779" s="23" t="n"/>
      <c r="F1779" s="15" t="n"/>
      <c r="G1779" s="23" t="n"/>
      <c r="H1779" s="25" t="n"/>
      <c r="I1779" s="15" t="n"/>
      <c r="J1779" s="26">
        <f>IF($A1779="","",LEN($C1779)-LEN(SUBSTITUTE($C1779,",",""))+1)</f>
        <v/>
      </c>
      <c r="K1779" s="26">
        <f>IF($A1779="","",SUMPRODUCT(--ISNUMBER(SEARCH('Category Dictionary'!$D$5:$D$135&amp;"",$C1779)),--('Category Dictionary'!$D$5:$D$135&lt;&gt;"")))</f>
        <v/>
      </c>
      <c r="L1779" s="27">
        <f>IF($A1779="","",TRIM(IF(ISERROR(FIND(",",$C1779)),$C1779,LEFT($C1779,FIND(",",$C1779)-1))))</f>
        <v/>
      </c>
      <c r="M1779" s="28">
        <f>IF($H1779="","",DATE(YEAR($H1779),MONTH($H1779),1))</f>
        <v/>
      </c>
      <c r="N1779" s="26">
        <f>IF($H1779="","",TODAY()-$H1779)</f>
        <v/>
      </c>
      <c r="O1779" s="15" t="n"/>
      <c r="P1779" s="26">
        <f>IF($A1779="","",COUNTIFS('Audit Versions'!$A$6:$A$605,$A1779,'Audit Versions'!$L$6:$L$605,"Active"))</f>
        <v/>
      </c>
      <c r="Q1779" s="15" t="n"/>
      <c r="R1779" s="26">
        <f>IF(OR($A1779="",$P1779=0),"",MOD(N($Q1779),$P1779)+1)</f>
        <v/>
      </c>
      <c r="S1779" s="15" t="n"/>
      <c r="T1779" s="25" t="n"/>
      <c r="U1779" s="26">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Builder'!$B$12="",N($S1779)&lt;='Assignment Builder'!$B$12)))</f>
        <v/>
      </c>
      <c r="V1779" s="23" t="n"/>
    </row>
    <row r="1780">
      <c r="A1780" s="23" t="n"/>
      <c r="B1780" s="23" t="n"/>
      <c r="C1780" s="24" t="n"/>
      <c r="D1780" s="15" t="n"/>
      <c r="E1780" s="23" t="n"/>
      <c r="F1780" s="15" t="n"/>
      <c r="G1780" s="23" t="n"/>
      <c r="H1780" s="25" t="n"/>
      <c r="I1780" s="15" t="n"/>
      <c r="J1780" s="26">
        <f>IF($A1780="","",LEN($C1780)-LEN(SUBSTITUTE($C1780,",",""))+1)</f>
        <v/>
      </c>
      <c r="K1780" s="26">
        <f>IF($A1780="","",SUMPRODUCT(--ISNUMBER(SEARCH('Category Dictionary'!$D$5:$D$135&amp;"",$C1780)),--('Category Dictionary'!$D$5:$D$135&lt;&gt;"")))</f>
        <v/>
      </c>
      <c r="L1780" s="27">
        <f>IF($A1780="","",TRIM(IF(ISERROR(FIND(",",$C1780)),$C1780,LEFT($C1780,FIND(",",$C1780)-1))))</f>
        <v/>
      </c>
      <c r="M1780" s="28">
        <f>IF($H1780="","",DATE(YEAR($H1780),MONTH($H1780),1))</f>
        <v/>
      </c>
      <c r="N1780" s="26">
        <f>IF($H1780="","",TODAY()-$H1780)</f>
        <v/>
      </c>
      <c r="O1780" s="15" t="n"/>
      <c r="P1780" s="26">
        <f>IF($A1780="","",COUNTIFS('Audit Versions'!$A$6:$A$605,$A1780,'Audit Versions'!$L$6:$L$605,"Active"))</f>
        <v/>
      </c>
      <c r="Q1780" s="15" t="n"/>
      <c r="R1780" s="26">
        <f>IF(OR($A1780="",$P1780=0),"",MOD(N($Q1780),$P1780)+1)</f>
        <v/>
      </c>
      <c r="S1780" s="15" t="n"/>
      <c r="T1780" s="25" t="n"/>
      <c r="U1780" s="26">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Builder'!$B$12="",N($S1780)&lt;='Assignment Builder'!$B$12)))</f>
        <v/>
      </c>
      <c r="V1780" s="23" t="n"/>
    </row>
    <row r="1781">
      <c r="A1781" s="23" t="n"/>
      <c r="B1781" s="23" t="n"/>
      <c r="C1781" s="24" t="n"/>
      <c r="D1781" s="15" t="n"/>
      <c r="E1781" s="23" t="n"/>
      <c r="F1781" s="15" t="n"/>
      <c r="G1781" s="23" t="n"/>
      <c r="H1781" s="25" t="n"/>
      <c r="I1781" s="15" t="n"/>
      <c r="J1781" s="26">
        <f>IF($A1781="","",LEN($C1781)-LEN(SUBSTITUTE($C1781,",",""))+1)</f>
        <v/>
      </c>
      <c r="K1781" s="26">
        <f>IF($A1781="","",SUMPRODUCT(--ISNUMBER(SEARCH('Category Dictionary'!$D$5:$D$135&amp;"",$C1781)),--('Category Dictionary'!$D$5:$D$135&lt;&gt;"")))</f>
        <v/>
      </c>
      <c r="L1781" s="27">
        <f>IF($A1781="","",TRIM(IF(ISERROR(FIND(",",$C1781)),$C1781,LEFT($C1781,FIND(",",$C1781)-1))))</f>
        <v/>
      </c>
      <c r="M1781" s="28">
        <f>IF($H1781="","",DATE(YEAR($H1781),MONTH($H1781),1))</f>
        <v/>
      </c>
      <c r="N1781" s="26">
        <f>IF($H1781="","",TODAY()-$H1781)</f>
        <v/>
      </c>
      <c r="O1781" s="15" t="n"/>
      <c r="P1781" s="26">
        <f>IF($A1781="","",COUNTIFS('Audit Versions'!$A$6:$A$605,$A1781,'Audit Versions'!$L$6:$L$605,"Active"))</f>
        <v/>
      </c>
      <c r="Q1781" s="15" t="n"/>
      <c r="R1781" s="26">
        <f>IF(OR($A1781="",$P1781=0),"",MOD(N($Q1781),$P1781)+1)</f>
        <v/>
      </c>
      <c r="S1781" s="15" t="n"/>
      <c r="T1781" s="25" t="n"/>
      <c r="U1781" s="26">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Builder'!$B$12="",N($S1781)&lt;='Assignment Builder'!$B$12)))</f>
        <v/>
      </c>
      <c r="V1781" s="23" t="n"/>
    </row>
    <row r="1782">
      <c r="A1782" s="23" t="n"/>
      <c r="B1782" s="23" t="n"/>
      <c r="C1782" s="24" t="n"/>
      <c r="D1782" s="15" t="n"/>
      <c r="E1782" s="23" t="n"/>
      <c r="F1782" s="15" t="n"/>
      <c r="G1782" s="23" t="n"/>
      <c r="H1782" s="25" t="n"/>
      <c r="I1782" s="15" t="n"/>
      <c r="J1782" s="26">
        <f>IF($A1782="","",LEN($C1782)-LEN(SUBSTITUTE($C1782,",",""))+1)</f>
        <v/>
      </c>
      <c r="K1782" s="26">
        <f>IF($A1782="","",SUMPRODUCT(--ISNUMBER(SEARCH('Category Dictionary'!$D$5:$D$135&amp;"",$C1782)),--('Category Dictionary'!$D$5:$D$135&lt;&gt;"")))</f>
        <v/>
      </c>
      <c r="L1782" s="27">
        <f>IF($A1782="","",TRIM(IF(ISERROR(FIND(",",$C1782)),$C1782,LEFT($C1782,FIND(",",$C1782)-1))))</f>
        <v/>
      </c>
      <c r="M1782" s="28">
        <f>IF($H1782="","",DATE(YEAR($H1782),MONTH($H1782),1))</f>
        <v/>
      </c>
      <c r="N1782" s="26">
        <f>IF($H1782="","",TODAY()-$H1782)</f>
        <v/>
      </c>
      <c r="O1782" s="15" t="n"/>
      <c r="P1782" s="26">
        <f>IF($A1782="","",COUNTIFS('Audit Versions'!$A$6:$A$605,$A1782,'Audit Versions'!$L$6:$L$605,"Active"))</f>
        <v/>
      </c>
      <c r="Q1782" s="15" t="n"/>
      <c r="R1782" s="26">
        <f>IF(OR($A1782="",$P1782=0),"",MOD(N($Q1782),$P1782)+1)</f>
        <v/>
      </c>
      <c r="S1782" s="15" t="n"/>
      <c r="T1782" s="25" t="n"/>
      <c r="U1782" s="26">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Builder'!$B$12="",N($S1782)&lt;='Assignment Builder'!$B$12)))</f>
        <v/>
      </c>
      <c r="V1782" s="23" t="n"/>
    </row>
    <row r="1783">
      <c r="A1783" s="23" t="n"/>
      <c r="B1783" s="23" t="n"/>
      <c r="C1783" s="24" t="n"/>
      <c r="D1783" s="15" t="n"/>
      <c r="E1783" s="23" t="n"/>
      <c r="F1783" s="15" t="n"/>
      <c r="G1783" s="23" t="n"/>
      <c r="H1783" s="25" t="n"/>
      <c r="I1783" s="15" t="n"/>
      <c r="J1783" s="26">
        <f>IF($A1783="","",LEN($C1783)-LEN(SUBSTITUTE($C1783,",",""))+1)</f>
        <v/>
      </c>
      <c r="K1783" s="26">
        <f>IF($A1783="","",SUMPRODUCT(--ISNUMBER(SEARCH('Category Dictionary'!$D$5:$D$135&amp;"",$C1783)),--('Category Dictionary'!$D$5:$D$135&lt;&gt;"")))</f>
        <v/>
      </c>
      <c r="L1783" s="27">
        <f>IF($A1783="","",TRIM(IF(ISERROR(FIND(",",$C1783)),$C1783,LEFT($C1783,FIND(",",$C1783)-1))))</f>
        <v/>
      </c>
      <c r="M1783" s="28">
        <f>IF($H1783="","",DATE(YEAR($H1783),MONTH($H1783),1))</f>
        <v/>
      </c>
      <c r="N1783" s="26">
        <f>IF($H1783="","",TODAY()-$H1783)</f>
        <v/>
      </c>
      <c r="O1783" s="15" t="n"/>
      <c r="P1783" s="26">
        <f>IF($A1783="","",COUNTIFS('Audit Versions'!$A$6:$A$605,$A1783,'Audit Versions'!$L$6:$L$605,"Active"))</f>
        <v/>
      </c>
      <c r="Q1783" s="15" t="n"/>
      <c r="R1783" s="26">
        <f>IF(OR($A1783="",$P1783=0),"",MOD(N($Q1783),$P1783)+1)</f>
        <v/>
      </c>
      <c r="S1783" s="15" t="n"/>
      <c r="T1783" s="25" t="n"/>
      <c r="U1783" s="26">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Builder'!$B$12="",N($S1783)&lt;='Assignment Builder'!$B$12)))</f>
        <v/>
      </c>
      <c r="V1783" s="23" t="n"/>
    </row>
    <row r="1784">
      <c r="A1784" s="23" t="n"/>
      <c r="B1784" s="23" t="n"/>
      <c r="C1784" s="24" t="n"/>
      <c r="D1784" s="15" t="n"/>
      <c r="E1784" s="23" t="n"/>
      <c r="F1784" s="15" t="n"/>
      <c r="G1784" s="23" t="n"/>
      <c r="H1784" s="25" t="n"/>
      <c r="I1784" s="15" t="n"/>
      <c r="J1784" s="26">
        <f>IF($A1784="","",LEN($C1784)-LEN(SUBSTITUTE($C1784,",",""))+1)</f>
        <v/>
      </c>
      <c r="K1784" s="26">
        <f>IF($A1784="","",SUMPRODUCT(--ISNUMBER(SEARCH('Category Dictionary'!$D$5:$D$135&amp;"",$C1784)),--('Category Dictionary'!$D$5:$D$135&lt;&gt;"")))</f>
        <v/>
      </c>
      <c r="L1784" s="27">
        <f>IF($A1784="","",TRIM(IF(ISERROR(FIND(",",$C1784)),$C1784,LEFT($C1784,FIND(",",$C1784)-1))))</f>
        <v/>
      </c>
      <c r="M1784" s="28">
        <f>IF($H1784="","",DATE(YEAR($H1784),MONTH($H1784),1))</f>
        <v/>
      </c>
      <c r="N1784" s="26">
        <f>IF($H1784="","",TODAY()-$H1784)</f>
        <v/>
      </c>
      <c r="O1784" s="15" t="n"/>
      <c r="P1784" s="26">
        <f>IF($A1784="","",COUNTIFS('Audit Versions'!$A$6:$A$605,$A1784,'Audit Versions'!$L$6:$L$605,"Active"))</f>
        <v/>
      </c>
      <c r="Q1784" s="15" t="n"/>
      <c r="R1784" s="26">
        <f>IF(OR($A1784="",$P1784=0),"",MOD(N($Q1784),$P1784)+1)</f>
        <v/>
      </c>
      <c r="S1784" s="15" t="n"/>
      <c r="T1784" s="25" t="n"/>
      <c r="U1784" s="26">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Builder'!$B$12="",N($S1784)&lt;='Assignment Builder'!$B$12)))</f>
        <v/>
      </c>
      <c r="V1784" s="23" t="n"/>
    </row>
    <row r="1785">
      <c r="A1785" s="23" t="n"/>
      <c r="B1785" s="23" t="n"/>
      <c r="C1785" s="24" t="n"/>
      <c r="D1785" s="15" t="n"/>
      <c r="E1785" s="23" t="n"/>
      <c r="F1785" s="15" t="n"/>
      <c r="G1785" s="23" t="n"/>
      <c r="H1785" s="25" t="n"/>
      <c r="I1785" s="15" t="n"/>
      <c r="J1785" s="26">
        <f>IF($A1785="","",LEN($C1785)-LEN(SUBSTITUTE($C1785,",",""))+1)</f>
        <v/>
      </c>
      <c r="K1785" s="26">
        <f>IF($A1785="","",SUMPRODUCT(--ISNUMBER(SEARCH('Category Dictionary'!$D$5:$D$135&amp;"",$C1785)),--('Category Dictionary'!$D$5:$D$135&lt;&gt;"")))</f>
        <v/>
      </c>
      <c r="L1785" s="27">
        <f>IF($A1785="","",TRIM(IF(ISERROR(FIND(",",$C1785)),$C1785,LEFT($C1785,FIND(",",$C1785)-1))))</f>
        <v/>
      </c>
      <c r="M1785" s="28">
        <f>IF($H1785="","",DATE(YEAR($H1785),MONTH($H1785),1))</f>
        <v/>
      </c>
      <c r="N1785" s="26">
        <f>IF($H1785="","",TODAY()-$H1785)</f>
        <v/>
      </c>
      <c r="O1785" s="15" t="n"/>
      <c r="P1785" s="26">
        <f>IF($A1785="","",COUNTIFS('Audit Versions'!$A$6:$A$605,$A1785,'Audit Versions'!$L$6:$L$605,"Active"))</f>
        <v/>
      </c>
      <c r="Q1785" s="15" t="n"/>
      <c r="R1785" s="26">
        <f>IF(OR($A1785="",$P1785=0),"",MOD(N($Q1785),$P1785)+1)</f>
        <v/>
      </c>
      <c r="S1785" s="15" t="n"/>
      <c r="T1785" s="25" t="n"/>
      <c r="U1785" s="26">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Builder'!$B$12="",N($S1785)&lt;='Assignment Builder'!$B$12)))</f>
        <v/>
      </c>
      <c r="V1785" s="23" t="n"/>
    </row>
    <row r="1786">
      <c r="A1786" s="23" t="n"/>
      <c r="B1786" s="23" t="n"/>
      <c r="C1786" s="24" t="n"/>
      <c r="D1786" s="15" t="n"/>
      <c r="E1786" s="23" t="n"/>
      <c r="F1786" s="15" t="n"/>
      <c r="G1786" s="23" t="n"/>
      <c r="H1786" s="25" t="n"/>
      <c r="I1786" s="15" t="n"/>
      <c r="J1786" s="26">
        <f>IF($A1786="","",LEN($C1786)-LEN(SUBSTITUTE($C1786,",",""))+1)</f>
        <v/>
      </c>
      <c r="K1786" s="26">
        <f>IF($A1786="","",SUMPRODUCT(--ISNUMBER(SEARCH('Category Dictionary'!$D$5:$D$135&amp;"",$C1786)),--('Category Dictionary'!$D$5:$D$135&lt;&gt;"")))</f>
        <v/>
      </c>
      <c r="L1786" s="27">
        <f>IF($A1786="","",TRIM(IF(ISERROR(FIND(",",$C1786)),$C1786,LEFT($C1786,FIND(",",$C1786)-1))))</f>
        <v/>
      </c>
      <c r="M1786" s="28">
        <f>IF($H1786="","",DATE(YEAR($H1786),MONTH($H1786),1))</f>
        <v/>
      </c>
      <c r="N1786" s="26">
        <f>IF($H1786="","",TODAY()-$H1786)</f>
        <v/>
      </c>
      <c r="O1786" s="15" t="n"/>
      <c r="P1786" s="26">
        <f>IF($A1786="","",COUNTIFS('Audit Versions'!$A$6:$A$605,$A1786,'Audit Versions'!$L$6:$L$605,"Active"))</f>
        <v/>
      </c>
      <c r="Q1786" s="15" t="n"/>
      <c r="R1786" s="26">
        <f>IF(OR($A1786="",$P1786=0),"",MOD(N($Q1786),$P1786)+1)</f>
        <v/>
      </c>
      <c r="S1786" s="15" t="n"/>
      <c r="T1786" s="25" t="n"/>
      <c r="U1786" s="26">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Builder'!$B$12="",N($S1786)&lt;='Assignment Builder'!$B$12)))</f>
        <v/>
      </c>
      <c r="V1786" s="23" t="n"/>
    </row>
    <row r="1787">
      <c r="A1787" s="23" t="n"/>
      <c r="B1787" s="23" t="n"/>
      <c r="C1787" s="24" t="n"/>
      <c r="D1787" s="15" t="n"/>
      <c r="E1787" s="23" t="n"/>
      <c r="F1787" s="15" t="n"/>
      <c r="G1787" s="23" t="n"/>
      <c r="H1787" s="25" t="n"/>
      <c r="I1787" s="15" t="n"/>
      <c r="J1787" s="26">
        <f>IF($A1787="","",LEN($C1787)-LEN(SUBSTITUTE($C1787,",",""))+1)</f>
        <v/>
      </c>
      <c r="K1787" s="26">
        <f>IF($A1787="","",SUMPRODUCT(--ISNUMBER(SEARCH('Category Dictionary'!$D$5:$D$135&amp;"",$C1787)),--('Category Dictionary'!$D$5:$D$135&lt;&gt;"")))</f>
        <v/>
      </c>
      <c r="L1787" s="27">
        <f>IF($A1787="","",TRIM(IF(ISERROR(FIND(",",$C1787)),$C1787,LEFT($C1787,FIND(",",$C1787)-1))))</f>
        <v/>
      </c>
      <c r="M1787" s="28">
        <f>IF($H1787="","",DATE(YEAR($H1787),MONTH($H1787),1))</f>
        <v/>
      </c>
      <c r="N1787" s="26">
        <f>IF($H1787="","",TODAY()-$H1787)</f>
        <v/>
      </c>
      <c r="O1787" s="15" t="n"/>
      <c r="P1787" s="26">
        <f>IF($A1787="","",COUNTIFS('Audit Versions'!$A$6:$A$605,$A1787,'Audit Versions'!$L$6:$L$605,"Active"))</f>
        <v/>
      </c>
      <c r="Q1787" s="15" t="n"/>
      <c r="R1787" s="26">
        <f>IF(OR($A1787="",$P1787=0),"",MOD(N($Q1787),$P1787)+1)</f>
        <v/>
      </c>
      <c r="S1787" s="15" t="n"/>
      <c r="T1787" s="25" t="n"/>
      <c r="U1787" s="26">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Builder'!$B$12="",N($S1787)&lt;='Assignment Builder'!$B$12)))</f>
        <v/>
      </c>
      <c r="V1787" s="23" t="n"/>
    </row>
    <row r="1788">
      <c r="A1788" s="23" t="n"/>
      <c r="B1788" s="23" t="n"/>
      <c r="C1788" s="24" t="n"/>
      <c r="D1788" s="15" t="n"/>
      <c r="E1788" s="23" t="n"/>
      <c r="F1788" s="15" t="n"/>
      <c r="G1788" s="23" t="n"/>
      <c r="H1788" s="25" t="n"/>
      <c r="I1788" s="15" t="n"/>
      <c r="J1788" s="26">
        <f>IF($A1788="","",LEN($C1788)-LEN(SUBSTITUTE($C1788,",",""))+1)</f>
        <v/>
      </c>
      <c r="K1788" s="26">
        <f>IF($A1788="","",SUMPRODUCT(--ISNUMBER(SEARCH('Category Dictionary'!$D$5:$D$135&amp;"",$C1788)),--('Category Dictionary'!$D$5:$D$135&lt;&gt;"")))</f>
        <v/>
      </c>
      <c r="L1788" s="27">
        <f>IF($A1788="","",TRIM(IF(ISERROR(FIND(",",$C1788)),$C1788,LEFT($C1788,FIND(",",$C1788)-1))))</f>
        <v/>
      </c>
      <c r="M1788" s="28">
        <f>IF($H1788="","",DATE(YEAR($H1788),MONTH($H1788),1))</f>
        <v/>
      </c>
      <c r="N1788" s="26">
        <f>IF($H1788="","",TODAY()-$H1788)</f>
        <v/>
      </c>
      <c r="O1788" s="15" t="n"/>
      <c r="P1788" s="26">
        <f>IF($A1788="","",COUNTIFS('Audit Versions'!$A$6:$A$605,$A1788,'Audit Versions'!$L$6:$L$605,"Active"))</f>
        <v/>
      </c>
      <c r="Q1788" s="15" t="n"/>
      <c r="R1788" s="26">
        <f>IF(OR($A1788="",$P1788=0),"",MOD(N($Q1788),$P1788)+1)</f>
        <v/>
      </c>
      <c r="S1788" s="15" t="n"/>
      <c r="T1788" s="25" t="n"/>
      <c r="U1788" s="26">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Builder'!$B$12="",N($S1788)&lt;='Assignment Builder'!$B$12)))</f>
        <v/>
      </c>
      <c r="V1788" s="23" t="n"/>
    </row>
    <row r="1789">
      <c r="A1789" s="23" t="n"/>
      <c r="B1789" s="23" t="n"/>
      <c r="C1789" s="24" t="n"/>
      <c r="D1789" s="15" t="n"/>
      <c r="E1789" s="23" t="n"/>
      <c r="F1789" s="15" t="n"/>
      <c r="G1789" s="23" t="n"/>
      <c r="H1789" s="25" t="n"/>
      <c r="I1789" s="15" t="n"/>
      <c r="J1789" s="26">
        <f>IF($A1789="","",LEN($C1789)-LEN(SUBSTITUTE($C1789,",",""))+1)</f>
        <v/>
      </c>
      <c r="K1789" s="26">
        <f>IF($A1789="","",SUMPRODUCT(--ISNUMBER(SEARCH('Category Dictionary'!$D$5:$D$135&amp;"",$C1789)),--('Category Dictionary'!$D$5:$D$135&lt;&gt;"")))</f>
        <v/>
      </c>
      <c r="L1789" s="27">
        <f>IF($A1789="","",TRIM(IF(ISERROR(FIND(",",$C1789)),$C1789,LEFT($C1789,FIND(",",$C1789)-1))))</f>
        <v/>
      </c>
      <c r="M1789" s="28">
        <f>IF($H1789="","",DATE(YEAR($H1789),MONTH($H1789),1))</f>
        <v/>
      </c>
      <c r="N1789" s="26">
        <f>IF($H1789="","",TODAY()-$H1789)</f>
        <v/>
      </c>
      <c r="O1789" s="15" t="n"/>
      <c r="P1789" s="26">
        <f>IF($A1789="","",COUNTIFS('Audit Versions'!$A$6:$A$605,$A1789,'Audit Versions'!$L$6:$L$605,"Active"))</f>
        <v/>
      </c>
      <c r="Q1789" s="15" t="n"/>
      <c r="R1789" s="26">
        <f>IF(OR($A1789="",$P1789=0),"",MOD(N($Q1789),$P1789)+1)</f>
        <v/>
      </c>
      <c r="S1789" s="15" t="n"/>
      <c r="T1789" s="25" t="n"/>
      <c r="U1789" s="26">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Builder'!$B$12="",N($S1789)&lt;='Assignment Builder'!$B$12)))</f>
        <v/>
      </c>
      <c r="V1789" s="23" t="n"/>
    </row>
    <row r="1790">
      <c r="A1790" s="23" t="n"/>
      <c r="B1790" s="23" t="n"/>
      <c r="C1790" s="24" t="n"/>
      <c r="D1790" s="15" t="n"/>
      <c r="E1790" s="23" t="n"/>
      <c r="F1790" s="15" t="n"/>
      <c r="G1790" s="23" t="n"/>
      <c r="H1790" s="25" t="n"/>
      <c r="I1790" s="15" t="n"/>
      <c r="J1790" s="26">
        <f>IF($A1790="","",LEN($C1790)-LEN(SUBSTITUTE($C1790,",",""))+1)</f>
        <v/>
      </c>
      <c r="K1790" s="26">
        <f>IF($A1790="","",SUMPRODUCT(--ISNUMBER(SEARCH('Category Dictionary'!$D$5:$D$135&amp;"",$C1790)),--('Category Dictionary'!$D$5:$D$135&lt;&gt;"")))</f>
        <v/>
      </c>
      <c r="L1790" s="27">
        <f>IF($A1790="","",TRIM(IF(ISERROR(FIND(",",$C1790)),$C1790,LEFT($C1790,FIND(",",$C1790)-1))))</f>
        <v/>
      </c>
      <c r="M1790" s="28">
        <f>IF($H1790="","",DATE(YEAR($H1790),MONTH($H1790),1))</f>
        <v/>
      </c>
      <c r="N1790" s="26">
        <f>IF($H1790="","",TODAY()-$H1790)</f>
        <v/>
      </c>
      <c r="O1790" s="15" t="n"/>
      <c r="P1790" s="26">
        <f>IF($A1790="","",COUNTIFS('Audit Versions'!$A$6:$A$605,$A1790,'Audit Versions'!$L$6:$L$605,"Active"))</f>
        <v/>
      </c>
      <c r="Q1790" s="15" t="n"/>
      <c r="R1790" s="26">
        <f>IF(OR($A1790="",$P1790=0),"",MOD(N($Q1790),$P1790)+1)</f>
        <v/>
      </c>
      <c r="S1790" s="15" t="n"/>
      <c r="T1790" s="25" t="n"/>
      <c r="U1790" s="26">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Builder'!$B$12="",N($S1790)&lt;='Assignment Builder'!$B$12)))</f>
        <v/>
      </c>
      <c r="V1790" s="23" t="n"/>
    </row>
    <row r="1791">
      <c r="A1791" s="23" t="n"/>
      <c r="B1791" s="23" t="n"/>
      <c r="C1791" s="24" t="n"/>
      <c r="D1791" s="15" t="n"/>
      <c r="E1791" s="23" t="n"/>
      <c r="F1791" s="15" t="n"/>
      <c r="G1791" s="23" t="n"/>
      <c r="H1791" s="25" t="n"/>
      <c r="I1791" s="15" t="n"/>
      <c r="J1791" s="26">
        <f>IF($A1791="","",LEN($C1791)-LEN(SUBSTITUTE($C1791,",",""))+1)</f>
        <v/>
      </c>
      <c r="K1791" s="26">
        <f>IF($A1791="","",SUMPRODUCT(--ISNUMBER(SEARCH('Category Dictionary'!$D$5:$D$135&amp;"",$C1791)),--('Category Dictionary'!$D$5:$D$135&lt;&gt;"")))</f>
        <v/>
      </c>
      <c r="L1791" s="27">
        <f>IF($A1791="","",TRIM(IF(ISERROR(FIND(",",$C1791)),$C1791,LEFT($C1791,FIND(",",$C1791)-1))))</f>
        <v/>
      </c>
      <c r="M1791" s="28">
        <f>IF($H1791="","",DATE(YEAR($H1791),MONTH($H1791),1))</f>
        <v/>
      </c>
      <c r="N1791" s="26">
        <f>IF($H1791="","",TODAY()-$H1791)</f>
        <v/>
      </c>
      <c r="O1791" s="15" t="n"/>
      <c r="P1791" s="26">
        <f>IF($A1791="","",COUNTIFS('Audit Versions'!$A$6:$A$605,$A1791,'Audit Versions'!$L$6:$L$605,"Active"))</f>
        <v/>
      </c>
      <c r="Q1791" s="15" t="n"/>
      <c r="R1791" s="26">
        <f>IF(OR($A1791="",$P1791=0),"",MOD(N($Q1791),$P1791)+1)</f>
        <v/>
      </c>
      <c r="S1791" s="15" t="n"/>
      <c r="T1791" s="25" t="n"/>
      <c r="U1791" s="26">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Builder'!$B$12="",N($S1791)&lt;='Assignment Builder'!$B$12)))</f>
        <v/>
      </c>
      <c r="V1791" s="23" t="n"/>
    </row>
    <row r="1792">
      <c r="A1792" s="23" t="n"/>
      <c r="B1792" s="23" t="n"/>
      <c r="C1792" s="24" t="n"/>
      <c r="D1792" s="15" t="n"/>
      <c r="E1792" s="23" t="n"/>
      <c r="F1792" s="15" t="n"/>
      <c r="G1792" s="23" t="n"/>
      <c r="H1792" s="25" t="n"/>
      <c r="I1792" s="15" t="n"/>
      <c r="J1792" s="26">
        <f>IF($A1792="","",LEN($C1792)-LEN(SUBSTITUTE($C1792,",",""))+1)</f>
        <v/>
      </c>
      <c r="K1792" s="26">
        <f>IF($A1792="","",SUMPRODUCT(--ISNUMBER(SEARCH('Category Dictionary'!$D$5:$D$135&amp;"",$C1792)),--('Category Dictionary'!$D$5:$D$135&lt;&gt;"")))</f>
        <v/>
      </c>
      <c r="L1792" s="27">
        <f>IF($A1792="","",TRIM(IF(ISERROR(FIND(",",$C1792)),$C1792,LEFT($C1792,FIND(",",$C1792)-1))))</f>
        <v/>
      </c>
      <c r="M1792" s="28">
        <f>IF($H1792="","",DATE(YEAR($H1792),MONTH($H1792),1))</f>
        <v/>
      </c>
      <c r="N1792" s="26">
        <f>IF($H1792="","",TODAY()-$H1792)</f>
        <v/>
      </c>
      <c r="O1792" s="15" t="n"/>
      <c r="P1792" s="26">
        <f>IF($A1792="","",COUNTIFS('Audit Versions'!$A$6:$A$605,$A1792,'Audit Versions'!$L$6:$L$605,"Active"))</f>
        <v/>
      </c>
      <c r="Q1792" s="15" t="n"/>
      <c r="R1792" s="26">
        <f>IF(OR($A1792="",$P1792=0),"",MOD(N($Q1792),$P1792)+1)</f>
        <v/>
      </c>
      <c r="S1792" s="15" t="n"/>
      <c r="T1792" s="25" t="n"/>
      <c r="U1792" s="26">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Builder'!$B$12="",N($S1792)&lt;='Assignment Builder'!$B$12)))</f>
        <v/>
      </c>
      <c r="V1792" s="23" t="n"/>
    </row>
    <row r="1793">
      <c r="A1793" s="23" t="n"/>
      <c r="B1793" s="23" t="n"/>
      <c r="C1793" s="24" t="n"/>
      <c r="D1793" s="15" t="n"/>
      <c r="E1793" s="23" t="n"/>
      <c r="F1793" s="15" t="n"/>
      <c r="G1793" s="23" t="n"/>
      <c r="H1793" s="25" t="n"/>
      <c r="I1793" s="15" t="n"/>
      <c r="J1793" s="26">
        <f>IF($A1793="","",LEN($C1793)-LEN(SUBSTITUTE($C1793,",",""))+1)</f>
        <v/>
      </c>
      <c r="K1793" s="26">
        <f>IF($A1793="","",SUMPRODUCT(--ISNUMBER(SEARCH('Category Dictionary'!$D$5:$D$135&amp;"",$C1793)),--('Category Dictionary'!$D$5:$D$135&lt;&gt;"")))</f>
        <v/>
      </c>
      <c r="L1793" s="27">
        <f>IF($A1793="","",TRIM(IF(ISERROR(FIND(",",$C1793)),$C1793,LEFT($C1793,FIND(",",$C1793)-1))))</f>
        <v/>
      </c>
      <c r="M1793" s="28">
        <f>IF($H1793="","",DATE(YEAR($H1793),MONTH($H1793),1))</f>
        <v/>
      </c>
      <c r="N1793" s="26">
        <f>IF($H1793="","",TODAY()-$H1793)</f>
        <v/>
      </c>
      <c r="O1793" s="15" t="n"/>
      <c r="P1793" s="26">
        <f>IF($A1793="","",COUNTIFS('Audit Versions'!$A$6:$A$605,$A1793,'Audit Versions'!$L$6:$L$605,"Active"))</f>
        <v/>
      </c>
      <c r="Q1793" s="15" t="n"/>
      <c r="R1793" s="26">
        <f>IF(OR($A1793="",$P1793=0),"",MOD(N($Q1793),$P1793)+1)</f>
        <v/>
      </c>
      <c r="S1793" s="15" t="n"/>
      <c r="T1793" s="25" t="n"/>
      <c r="U1793" s="26">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Builder'!$B$12="",N($S1793)&lt;='Assignment Builder'!$B$12)))</f>
        <v/>
      </c>
      <c r="V1793" s="23" t="n"/>
    </row>
    <row r="1794">
      <c r="A1794" s="23" t="n"/>
      <c r="B1794" s="23" t="n"/>
      <c r="C1794" s="24" t="n"/>
      <c r="D1794" s="15" t="n"/>
      <c r="E1794" s="23" t="n"/>
      <c r="F1794" s="15" t="n"/>
      <c r="G1794" s="23" t="n"/>
      <c r="H1794" s="25" t="n"/>
      <c r="I1794" s="15" t="n"/>
      <c r="J1794" s="26">
        <f>IF($A1794="","",LEN($C1794)-LEN(SUBSTITUTE($C1794,",",""))+1)</f>
        <v/>
      </c>
      <c r="K1794" s="26">
        <f>IF($A1794="","",SUMPRODUCT(--ISNUMBER(SEARCH('Category Dictionary'!$D$5:$D$135&amp;"",$C1794)),--('Category Dictionary'!$D$5:$D$135&lt;&gt;"")))</f>
        <v/>
      </c>
      <c r="L1794" s="27">
        <f>IF($A1794="","",TRIM(IF(ISERROR(FIND(",",$C1794)),$C1794,LEFT($C1794,FIND(",",$C1794)-1))))</f>
        <v/>
      </c>
      <c r="M1794" s="28">
        <f>IF($H1794="","",DATE(YEAR($H1794),MONTH($H1794),1))</f>
        <v/>
      </c>
      <c r="N1794" s="26">
        <f>IF($H1794="","",TODAY()-$H1794)</f>
        <v/>
      </c>
      <c r="O1794" s="15" t="n"/>
      <c r="P1794" s="26">
        <f>IF($A1794="","",COUNTIFS('Audit Versions'!$A$6:$A$605,$A1794,'Audit Versions'!$L$6:$L$605,"Active"))</f>
        <v/>
      </c>
      <c r="Q1794" s="15" t="n"/>
      <c r="R1794" s="26">
        <f>IF(OR($A1794="",$P1794=0),"",MOD(N($Q1794),$P1794)+1)</f>
        <v/>
      </c>
      <c r="S1794" s="15" t="n"/>
      <c r="T1794" s="25" t="n"/>
      <c r="U1794" s="26">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Builder'!$B$12="",N($S1794)&lt;='Assignment Builder'!$B$12)))</f>
        <v/>
      </c>
      <c r="V1794" s="23" t="n"/>
    </row>
    <row r="1795">
      <c r="A1795" s="23" t="n"/>
      <c r="B1795" s="23" t="n"/>
      <c r="C1795" s="24" t="n"/>
      <c r="D1795" s="15" t="n"/>
      <c r="E1795" s="23" t="n"/>
      <c r="F1795" s="15" t="n"/>
      <c r="G1795" s="23" t="n"/>
      <c r="H1795" s="25" t="n"/>
      <c r="I1795" s="15" t="n"/>
      <c r="J1795" s="26">
        <f>IF($A1795="","",LEN($C1795)-LEN(SUBSTITUTE($C1795,",",""))+1)</f>
        <v/>
      </c>
      <c r="K1795" s="26">
        <f>IF($A1795="","",SUMPRODUCT(--ISNUMBER(SEARCH('Category Dictionary'!$D$5:$D$135&amp;"",$C1795)),--('Category Dictionary'!$D$5:$D$135&lt;&gt;"")))</f>
        <v/>
      </c>
      <c r="L1795" s="27">
        <f>IF($A1795="","",TRIM(IF(ISERROR(FIND(",",$C1795)),$C1795,LEFT($C1795,FIND(",",$C1795)-1))))</f>
        <v/>
      </c>
      <c r="M1795" s="28">
        <f>IF($H1795="","",DATE(YEAR($H1795),MONTH($H1795),1))</f>
        <v/>
      </c>
      <c r="N1795" s="26">
        <f>IF($H1795="","",TODAY()-$H1795)</f>
        <v/>
      </c>
      <c r="O1795" s="15" t="n"/>
      <c r="P1795" s="26">
        <f>IF($A1795="","",COUNTIFS('Audit Versions'!$A$6:$A$605,$A1795,'Audit Versions'!$L$6:$L$605,"Active"))</f>
        <v/>
      </c>
      <c r="Q1795" s="15" t="n"/>
      <c r="R1795" s="26">
        <f>IF(OR($A1795="",$P1795=0),"",MOD(N($Q1795),$P1795)+1)</f>
        <v/>
      </c>
      <c r="S1795" s="15" t="n"/>
      <c r="T1795" s="25" t="n"/>
      <c r="U1795" s="26">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Builder'!$B$12="",N($S1795)&lt;='Assignment Builder'!$B$12)))</f>
        <v/>
      </c>
      <c r="V1795" s="23" t="n"/>
    </row>
    <row r="1796">
      <c r="A1796" s="23" t="n"/>
      <c r="B1796" s="23" t="n"/>
      <c r="C1796" s="24" t="n"/>
      <c r="D1796" s="15" t="n"/>
      <c r="E1796" s="23" t="n"/>
      <c r="F1796" s="15" t="n"/>
      <c r="G1796" s="23" t="n"/>
      <c r="H1796" s="25" t="n"/>
      <c r="I1796" s="15" t="n"/>
      <c r="J1796" s="26">
        <f>IF($A1796="","",LEN($C1796)-LEN(SUBSTITUTE($C1796,",",""))+1)</f>
        <v/>
      </c>
      <c r="K1796" s="26">
        <f>IF($A1796="","",SUMPRODUCT(--ISNUMBER(SEARCH('Category Dictionary'!$D$5:$D$135&amp;"",$C1796)),--('Category Dictionary'!$D$5:$D$135&lt;&gt;"")))</f>
        <v/>
      </c>
      <c r="L1796" s="27">
        <f>IF($A1796="","",TRIM(IF(ISERROR(FIND(",",$C1796)),$C1796,LEFT($C1796,FIND(",",$C1796)-1))))</f>
        <v/>
      </c>
      <c r="M1796" s="28">
        <f>IF($H1796="","",DATE(YEAR($H1796),MONTH($H1796),1))</f>
        <v/>
      </c>
      <c r="N1796" s="26">
        <f>IF($H1796="","",TODAY()-$H1796)</f>
        <v/>
      </c>
      <c r="O1796" s="15" t="n"/>
      <c r="P1796" s="26">
        <f>IF($A1796="","",COUNTIFS('Audit Versions'!$A$6:$A$605,$A1796,'Audit Versions'!$L$6:$L$605,"Active"))</f>
        <v/>
      </c>
      <c r="Q1796" s="15" t="n"/>
      <c r="R1796" s="26">
        <f>IF(OR($A1796="",$P1796=0),"",MOD(N($Q1796),$P1796)+1)</f>
        <v/>
      </c>
      <c r="S1796" s="15" t="n"/>
      <c r="T1796" s="25" t="n"/>
      <c r="U1796" s="26">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Builder'!$B$12="",N($S1796)&lt;='Assignment Builder'!$B$12)))</f>
        <v/>
      </c>
      <c r="V1796" s="23" t="n"/>
    </row>
    <row r="1797">
      <c r="A1797" s="23" t="n"/>
      <c r="B1797" s="23" t="n"/>
      <c r="C1797" s="24" t="n"/>
      <c r="D1797" s="15" t="n"/>
      <c r="E1797" s="23" t="n"/>
      <c r="F1797" s="15" t="n"/>
      <c r="G1797" s="23" t="n"/>
      <c r="H1797" s="25" t="n"/>
      <c r="I1797" s="15" t="n"/>
      <c r="J1797" s="26">
        <f>IF($A1797="","",LEN($C1797)-LEN(SUBSTITUTE($C1797,",",""))+1)</f>
        <v/>
      </c>
      <c r="K1797" s="26">
        <f>IF($A1797="","",SUMPRODUCT(--ISNUMBER(SEARCH('Category Dictionary'!$D$5:$D$135&amp;"",$C1797)),--('Category Dictionary'!$D$5:$D$135&lt;&gt;"")))</f>
        <v/>
      </c>
      <c r="L1797" s="27">
        <f>IF($A1797="","",TRIM(IF(ISERROR(FIND(",",$C1797)),$C1797,LEFT($C1797,FIND(",",$C1797)-1))))</f>
        <v/>
      </c>
      <c r="M1797" s="28">
        <f>IF($H1797="","",DATE(YEAR($H1797),MONTH($H1797),1))</f>
        <v/>
      </c>
      <c r="N1797" s="26">
        <f>IF($H1797="","",TODAY()-$H1797)</f>
        <v/>
      </c>
      <c r="O1797" s="15" t="n"/>
      <c r="P1797" s="26">
        <f>IF($A1797="","",COUNTIFS('Audit Versions'!$A$6:$A$605,$A1797,'Audit Versions'!$L$6:$L$605,"Active"))</f>
        <v/>
      </c>
      <c r="Q1797" s="15" t="n"/>
      <c r="R1797" s="26">
        <f>IF(OR($A1797="",$P1797=0),"",MOD(N($Q1797),$P1797)+1)</f>
        <v/>
      </c>
      <c r="S1797" s="15" t="n"/>
      <c r="T1797" s="25" t="n"/>
      <c r="U1797" s="26">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Builder'!$B$12="",N($S1797)&lt;='Assignment Builder'!$B$12)))</f>
        <v/>
      </c>
      <c r="V1797" s="23" t="n"/>
    </row>
    <row r="1798">
      <c r="A1798" s="23" t="n"/>
      <c r="B1798" s="23" t="n"/>
      <c r="C1798" s="24" t="n"/>
      <c r="D1798" s="15" t="n"/>
      <c r="E1798" s="23" t="n"/>
      <c r="F1798" s="15" t="n"/>
      <c r="G1798" s="23" t="n"/>
      <c r="H1798" s="25" t="n"/>
      <c r="I1798" s="15" t="n"/>
      <c r="J1798" s="26">
        <f>IF($A1798="","",LEN($C1798)-LEN(SUBSTITUTE($C1798,",",""))+1)</f>
        <v/>
      </c>
      <c r="K1798" s="26">
        <f>IF($A1798="","",SUMPRODUCT(--ISNUMBER(SEARCH('Category Dictionary'!$D$5:$D$135&amp;"",$C1798)),--('Category Dictionary'!$D$5:$D$135&lt;&gt;"")))</f>
        <v/>
      </c>
      <c r="L1798" s="27">
        <f>IF($A1798="","",TRIM(IF(ISERROR(FIND(",",$C1798)),$C1798,LEFT($C1798,FIND(",",$C1798)-1))))</f>
        <v/>
      </c>
      <c r="M1798" s="28">
        <f>IF($H1798="","",DATE(YEAR($H1798),MONTH($H1798),1))</f>
        <v/>
      </c>
      <c r="N1798" s="26">
        <f>IF($H1798="","",TODAY()-$H1798)</f>
        <v/>
      </c>
      <c r="O1798" s="15" t="n"/>
      <c r="P1798" s="26">
        <f>IF($A1798="","",COUNTIFS('Audit Versions'!$A$6:$A$605,$A1798,'Audit Versions'!$L$6:$L$605,"Active"))</f>
        <v/>
      </c>
      <c r="Q1798" s="15" t="n"/>
      <c r="R1798" s="26">
        <f>IF(OR($A1798="",$P1798=0),"",MOD(N($Q1798),$P1798)+1)</f>
        <v/>
      </c>
      <c r="S1798" s="15" t="n"/>
      <c r="T1798" s="25" t="n"/>
      <c r="U1798" s="26">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Builder'!$B$12="",N($S1798)&lt;='Assignment Builder'!$B$12)))</f>
        <v/>
      </c>
      <c r="V1798" s="23" t="n"/>
    </row>
    <row r="1799">
      <c r="A1799" s="23" t="n"/>
      <c r="B1799" s="23" t="n"/>
      <c r="C1799" s="24" t="n"/>
      <c r="D1799" s="15" t="n"/>
      <c r="E1799" s="23" t="n"/>
      <c r="F1799" s="15" t="n"/>
      <c r="G1799" s="23" t="n"/>
      <c r="H1799" s="25" t="n"/>
      <c r="I1799" s="15" t="n"/>
      <c r="J1799" s="26">
        <f>IF($A1799="","",LEN($C1799)-LEN(SUBSTITUTE($C1799,",",""))+1)</f>
        <v/>
      </c>
      <c r="K1799" s="26">
        <f>IF($A1799="","",SUMPRODUCT(--ISNUMBER(SEARCH('Category Dictionary'!$D$5:$D$135&amp;"",$C1799)),--('Category Dictionary'!$D$5:$D$135&lt;&gt;"")))</f>
        <v/>
      </c>
      <c r="L1799" s="27">
        <f>IF($A1799="","",TRIM(IF(ISERROR(FIND(",",$C1799)),$C1799,LEFT($C1799,FIND(",",$C1799)-1))))</f>
        <v/>
      </c>
      <c r="M1799" s="28">
        <f>IF($H1799="","",DATE(YEAR($H1799),MONTH($H1799),1))</f>
        <v/>
      </c>
      <c r="N1799" s="26">
        <f>IF($H1799="","",TODAY()-$H1799)</f>
        <v/>
      </c>
      <c r="O1799" s="15" t="n"/>
      <c r="P1799" s="26">
        <f>IF($A1799="","",COUNTIFS('Audit Versions'!$A$6:$A$605,$A1799,'Audit Versions'!$L$6:$L$605,"Active"))</f>
        <v/>
      </c>
      <c r="Q1799" s="15" t="n"/>
      <c r="R1799" s="26">
        <f>IF(OR($A1799="",$P1799=0),"",MOD(N($Q1799),$P1799)+1)</f>
        <v/>
      </c>
      <c r="S1799" s="15" t="n"/>
      <c r="T1799" s="25" t="n"/>
      <c r="U1799" s="26">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Builder'!$B$12="",N($S1799)&lt;='Assignment Builder'!$B$12)))</f>
        <v/>
      </c>
      <c r="V1799" s="23" t="n"/>
    </row>
    <row r="1800">
      <c r="A1800" s="23" t="n"/>
      <c r="B1800" s="23" t="n"/>
      <c r="C1800" s="24" t="n"/>
      <c r="D1800" s="15" t="n"/>
      <c r="E1800" s="23" t="n"/>
      <c r="F1800" s="15" t="n"/>
      <c r="G1800" s="23" t="n"/>
      <c r="H1800" s="25" t="n"/>
      <c r="I1800" s="15" t="n"/>
      <c r="J1800" s="26">
        <f>IF($A1800="","",LEN($C1800)-LEN(SUBSTITUTE($C1800,",",""))+1)</f>
        <v/>
      </c>
      <c r="K1800" s="26">
        <f>IF($A1800="","",SUMPRODUCT(--ISNUMBER(SEARCH('Category Dictionary'!$D$5:$D$135&amp;"",$C1800)),--('Category Dictionary'!$D$5:$D$135&lt;&gt;"")))</f>
        <v/>
      </c>
      <c r="L1800" s="27">
        <f>IF($A1800="","",TRIM(IF(ISERROR(FIND(",",$C1800)),$C1800,LEFT($C1800,FIND(",",$C1800)-1))))</f>
        <v/>
      </c>
      <c r="M1800" s="28">
        <f>IF($H1800="","",DATE(YEAR($H1800),MONTH($H1800),1))</f>
        <v/>
      </c>
      <c r="N1800" s="26">
        <f>IF($H1800="","",TODAY()-$H1800)</f>
        <v/>
      </c>
      <c r="O1800" s="15" t="n"/>
      <c r="P1800" s="26">
        <f>IF($A1800="","",COUNTIFS('Audit Versions'!$A$6:$A$605,$A1800,'Audit Versions'!$L$6:$L$605,"Active"))</f>
        <v/>
      </c>
      <c r="Q1800" s="15" t="n"/>
      <c r="R1800" s="26">
        <f>IF(OR($A1800="",$P1800=0),"",MOD(N($Q1800),$P1800)+1)</f>
        <v/>
      </c>
      <c r="S1800" s="15" t="n"/>
      <c r="T1800" s="25" t="n"/>
      <c r="U1800" s="26">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Builder'!$B$12="",N($S1800)&lt;='Assignment Builder'!$B$12)))</f>
        <v/>
      </c>
      <c r="V1800" s="23" t="n"/>
    </row>
    <row r="1801">
      <c r="A1801" s="23" t="n"/>
      <c r="B1801" s="23" t="n"/>
      <c r="C1801" s="24" t="n"/>
      <c r="D1801" s="15" t="n"/>
      <c r="E1801" s="23" t="n"/>
      <c r="F1801" s="15" t="n"/>
      <c r="G1801" s="23" t="n"/>
      <c r="H1801" s="25" t="n"/>
      <c r="I1801" s="15" t="n"/>
      <c r="J1801" s="26">
        <f>IF($A1801="","",LEN($C1801)-LEN(SUBSTITUTE($C1801,",",""))+1)</f>
        <v/>
      </c>
      <c r="K1801" s="26">
        <f>IF($A1801="","",SUMPRODUCT(--ISNUMBER(SEARCH('Category Dictionary'!$D$5:$D$135&amp;"",$C1801)),--('Category Dictionary'!$D$5:$D$135&lt;&gt;"")))</f>
        <v/>
      </c>
      <c r="L1801" s="27">
        <f>IF($A1801="","",TRIM(IF(ISERROR(FIND(",",$C1801)),$C1801,LEFT($C1801,FIND(",",$C1801)-1))))</f>
        <v/>
      </c>
      <c r="M1801" s="28">
        <f>IF($H1801="","",DATE(YEAR($H1801),MONTH($H1801),1))</f>
        <v/>
      </c>
      <c r="N1801" s="26">
        <f>IF($H1801="","",TODAY()-$H1801)</f>
        <v/>
      </c>
      <c r="O1801" s="15" t="n"/>
      <c r="P1801" s="26">
        <f>IF($A1801="","",COUNTIFS('Audit Versions'!$A$6:$A$605,$A1801,'Audit Versions'!$L$6:$L$605,"Active"))</f>
        <v/>
      </c>
      <c r="Q1801" s="15" t="n"/>
      <c r="R1801" s="26">
        <f>IF(OR($A1801="",$P1801=0),"",MOD(N($Q1801),$P1801)+1)</f>
        <v/>
      </c>
      <c r="S1801" s="15" t="n"/>
      <c r="T1801" s="25" t="n"/>
      <c r="U1801" s="26">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Builder'!$B$12="",N($S1801)&lt;='Assignment Builder'!$B$12)))</f>
        <v/>
      </c>
      <c r="V1801" s="23" t="n"/>
    </row>
    <row r="1802">
      <c r="A1802" s="23" t="n"/>
      <c r="B1802" s="23" t="n"/>
      <c r="C1802" s="24" t="n"/>
      <c r="D1802" s="15" t="n"/>
      <c r="E1802" s="23" t="n"/>
      <c r="F1802" s="15" t="n"/>
      <c r="G1802" s="23" t="n"/>
      <c r="H1802" s="25" t="n"/>
      <c r="I1802" s="15" t="n"/>
      <c r="J1802" s="26">
        <f>IF($A1802="","",LEN($C1802)-LEN(SUBSTITUTE($C1802,",",""))+1)</f>
        <v/>
      </c>
      <c r="K1802" s="26">
        <f>IF($A1802="","",SUMPRODUCT(--ISNUMBER(SEARCH('Category Dictionary'!$D$5:$D$135&amp;"",$C1802)),--('Category Dictionary'!$D$5:$D$135&lt;&gt;"")))</f>
        <v/>
      </c>
      <c r="L1802" s="27">
        <f>IF($A1802="","",TRIM(IF(ISERROR(FIND(",",$C1802)),$C1802,LEFT($C1802,FIND(",",$C1802)-1))))</f>
        <v/>
      </c>
      <c r="M1802" s="28">
        <f>IF($H1802="","",DATE(YEAR($H1802),MONTH($H1802),1))</f>
        <v/>
      </c>
      <c r="N1802" s="26">
        <f>IF($H1802="","",TODAY()-$H1802)</f>
        <v/>
      </c>
      <c r="O1802" s="15" t="n"/>
      <c r="P1802" s="26">
        <f>IF($A1802="","",COUNTIFS('Audit Versions'!$A$6:$A$605,$A1802,'Audit Versions'!$L$6:$L$605,"Active"))</f>
        <v/>
      </c>
      <c r="Q1802" s="15" t="n"/>
      <c r="R1802" s="26">
        <f>IF(OR($A1802="",$P1802=0),"",MOD(N($Q1802),$P1802)+1)</f>
        <v/>
      </c>
      <c r="S1802" s="15" t="n"/>
      <c r="T1802" s="25" t="n"/>
      <c r="U1802" s="26">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Builder'!$B$12="",N($S1802)&lt;='Assignment Builder'!$B$12)))</f>
        <v/>
      </c>
      <c r="V1802" s="23" t="n"/>
    </row>
    <row r="1803">
      <c r="A1803" s="23" t="n"/>
      <c r="B1803" s="23" t="n"/>
      <c r="C1803" s="24" t="n"/>
      <c r="D1803" s="15" t="n"/>
      <c r="E1803" s="23" t="n"/>
      <c r="F1803" s="15" t="n"/>
      <c r="G1803" s="23" t="n"/>
      <c r="H1803" s="25" t="n"/>
      <c r="I1803" s="15" t="n"/>
      <c r="J1803" s="26">
        <f>IF($A1803="","",LEN($C1803)-LEN(SUBSTITUTE($C1803,",",""))+1)</f>
        <v/>
      </c>
      <c r="K1803" s="26">
        <f>IF($A1803="","",SUMPRODUCT(--ISNUMBER(SEARCH('Category Dictionary'!$D$5:$D$135&amp;"",$C1803)),--('Category Dictionary'!$D$5:$D$135&lt;&gt;"")))</f>
        <v/>
      </c>
      <c r="L1803" s="27">
        <f>IF($A1803="","",TRIM(IF(ISERROR(FIND(",",$C1803)),$C1803,LEFT($C1803,FIND(",",$C1803)-1))))</f>
        <v/>
      </c>
      <c r="M1803" s="28">
        <f>IF($H1803="","",DATE(YEAR($H1803),MONTH($H1803),1))</f>
        <v/>
      </c>
      <c r="N1803" s="26">
        <f>IF($H1803="","",TODAY()-$H1803)</f>
        <v/>
      </c>
      <c r="O1803" s="15" t="n"/>
      <c r="P1803" s="26">
        <f>IF($A1803="","",COUNTIFS('Audit Versions'!$A$6:$A$605,$A1803,'Audit Versions'!$L$6:$L$605,"Active"))</f>
        <v/>
      </c>
      <c r="Q1803" s="15" t="n"/>
      <c r="R1803" s="26">
        <f>IF(OR($A1803="",$P1803=0),"",MOD(N($Q1803),$P1803)+1)</f>
        <v/>
      </c>
      <c r="S1803" s="15" t="n"/>
      <c r="T1803" s="25" t="n"/>
      <c r="U1803" s="26">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Builder'!$B$12="",N($S1803)&lt;='Assignment Builder'!$B$12)))</f>
        <v/>
      </c>
      <c r="V1803" s="23" t="n"/>
    </row>
    <row r="1804">
      <c r="A1804" s="23" t="n"/>
      <c r="B1804" s="23" t="n"/>
      <c r="C1804" s="24" t="n"/>
      <c r="D1804" s="15" t="n"/>
      <c r="E1804" s="23" t="n"/>
      <c r="F1804" s="15" t="n"/>
      <c r="G1804" s="23" t="n"/>
      <c r="H1804" s="25" t="n"/>
      <c r="I1804" s="15" t="n"/>
      <c r="J1804" s="26">
        <f>IF($A1804="","",LEN($C1804)-LEN(SUBSTITUTE($C1804,",",""))+1)</f>
        <v/>
      </c>
      <c r="K1804" s="26">
        <f>IF($A1804="","",SUMPRODUCT(--ISNUMBER(SEARCH('Category Dictionary'!$D$5:$D$135&amp;"",$C1804)),--('Category Dictionary'!$D$5:$D$135&lt;&gt;"")))</f>
        <v/>
      </c>
      <c r="L1804" s="27">
        <f>IF($A1804="","",TRIM(IF(ISERROR(FIND(",",$C1804)),$C1804,LEFT($C1804,FIND(",",$C1804)-1))))</f>
        <v/>
      </c>
      <c r="M1804" s="28">
        <f>IF($H1804="","",DATE(YEAR($H1804),MONTH($H1804),1))</f>
        <v/>
      </c>
      <c r="N1804" s="26">
        <f>IF($H1804="","",TODAY()-$H1804)</f>
        <v/>
      </c>
      <c r="O1804" s="15" t="n"/>
      <c r="P1804" s="26">
        <f>IF($A1804="","",COUNTIFS('Audit Versions'!$A$6:$A$605,$A1804,'Audit Versions'!$L$6:$L$605,"Active"))</f>
        <v/>
      </c>
      <c r="Q1804" s="15" t="n"/>
      <c r="R1804" s="26">
        <f>IF(OR($A1804="",$P1804=0),"",MOD(N($Q1804),$P1804)+1)</f>
        <v/>
      </c>
      <c r="S1804" s="15" t="n"/>
      <c r="T1804" s="25" t="n"/>
      <c r="U1804" s="26">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Builder'!$B$12="",N($S1804)&lt;='Assignment Builder'!$B$12)))</f>
        <v/>
      </c>
      <c r="V1804" s="23" t="n"/>
    </row>
    <row r="1805">
      <c r="A1805" s="23" t="n"/>
      <c r="B1805" s="23" t="n"/>
      <c r="C1805" s="24" t="n"/>
      <c r="D1805" s="15" t="n"/>
      <c r="E1805" s="23" t="n"/>
      <c r="F1805" s="15" t="n"/>
      <c r="G1805" s="23" t="n"/>
      <c r="H1805" s="25" t="n"/>
      <c r="I1805" s="15" t="n"/>
      <c r="J1805" s="26">
        <f>IF($A1805="","",LEN($C1805)-LEN(SUBSTITUTE($C1805,",",""))+1)</f>
        <v/>
      </c>
      <c r="K1805" s="26">
        <f>IF($A1805="","",SUMPRODUCT(--ISNUMBER(SEARCH('Category Dictionary'!$D$5:$D$135&amp;"",$C1805)),--('Category Dictionary'!$D$5:$D$135&lt;&gt;"")))</f>
        <v/>
      </c>
      <c r="L1805" s="27">
        <f>IF($A1805="","",TRIM(IF(ISERROR(FIND(",",$C1805)),$C1805,LEFT($C1805,FIND(",",$C1805)-1))))</f>
        <v/>
      </c>
      <c r="M1805" s="28">
        <f>IF($H1805="","",DATE(YEAR($H1805),MONTH($H1805),1))</f>
        <v/>
      </c>
      <c r="N1805" s="26">
        <f>IF($H1805="","",TODAY()-$H1805)</f>
        <v/>
      </c>
      <c r="O1805" s="15" t="n"/>
      <c r="P1805" s="26">
        <f>IF($A1805="","",COUNTIFS('Audit Versions'!$A$6:$A$605,$A1805,'Audit Versions'!$L$6:$L$605,"Active"))</f>
        <v/>
      </c>
      <c r="Q1805" s="15" t="n"/>
      <c r="R1805" s="26">
        <f>IF(OR($A1805="",$P1805=0),"",MOD(N($Q1805),$P1805)+1)</f>
        <v/>
      </c>
      <c r="S1805" s="15" t="n"/>
      <c r="T1805" s="25" t="n"/>
      <c r="U1805" s="26">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Builder'!$B$12="",N($S1805)&lt;='Assignment Builder'!$B$12)))</f>
        <v/>
      </c>
      <c r="V1805" s="23" t="n"/>
    </row>
    <row r="1806">
      <c r="A1806" s="23" t="n"/>
      <c r="B1806" s="23" t="n"/>
      <c r="C1806" s="24" t="n"/>
      <c r="D1806" s="15" t="n"/>
      <c r="E1806" s="23" t="n"/>
      <c r="F1806" s="15" t="n"/>
      <c r="G1806" s="23" t="n"/>
      <c r="H1806" s="25" t="n"/>
      <c r="I1806" s="15" t="n"/>
      <c r="J1806" s="26">
        <f>IF($A1806="","",LEN($C1806)-LEN(SUBSTITUTE($C1806,",",""))+1)</f>
        <v/>
      </c>
      <c r="K1806" s="26">
        <f>IF($A1806="","",SUMPRODUCT(--ISNUMBER(SEARCH('Category Dictionary'!$D$5:$D$135&amp;"",$C1806)),--('Category Dictionary'!$D$5:$D$135&lt;&gt;"")))</f>
        <v/>
      </c>
      <c r="L1806" s="27">
        <f>IF($A1806="","",TRIM(IF(ISERROR(FIND(",",$C1806)),$C1806,LEFT($C1806,FIND(",",$C1806)-1))))</f>
        <v/>
      </c>
      <c r="M1806" s="28">
        <f>IF($H1806="","",DATE(YEAR($H1806),MONTH($H1806),1))</f>
        <v/>
      </c>
      <c r="N1806" s="26">
        <f>IF($H1806="","",TODAY()-$H1806)</f>
        <v/>
      </c>
      <c r="O1806" s="15" t="n"/>
      <c r="P1806" s="26">
        <f>IF($A1806="","",COUNTIFS('Audit Versions'!$A$6:$A$605,$A1806,'Audit Versions'!$L$6:$L$605,"Active"))</f>
        <v/>
      </c>
      <c r="Q1806" s="15" t="n"/>
      <c r="R1806" s="26">
        <f>IF(OR($A1806="",$P1806=0),"",MOD(N($Q1806),$P1806)+1)</f>
        <v/>
      </c>
      <c r="S1806" s="15" t="n"/>
      <c r="T1806" s="25" t="n"/>
      <c r="U1806" s="26">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Builder'!$B$12="",N($S1806)&lt;='Assignment Builder'!$B$12)))</f>
        <v/>
      </c>
      <c r="V1806" s="23" t="n"/>
    </row>
    <row r="1807">
      <c r="A1807" s="23" t="n"/>
      <c r="B1807" s="23" t="n"/>
      <c r="C1807" s="24" t="n"/>
      <c r="D1807" s="15" t="n"/>
      <c r="E1807" s="23" t="n"/>
      <c r="F1807" s="15" t="n"/>
      <c r="G1807" s="23" t="n"/>
      <c r="H1807" s="25" t="n"/>
      <c r="I1807" s="15" t="n"/>
      <c r="J1807" s="26">
        <f>IF($A1807="","",LEN($C1807)-LEN(SUBSTITUTE($C1807,",",""))+1)</f>
        <v/>
      </c>
      <c r="K1807" s="26">
        <f>IF($A1807="","",SUMPRODUCT(--ISNUMBER(SEARCH('Category Dictionary'!$D$5:$D$135&amp;"",$C1807)),--('Category Dictionary'!$D$5:$D$135&lt;&gt;"")))</f>
        <v/>
      </c>
      <c r="L1807" s="27">
        <f>IF($A1807="","",TRIM(IF(ISERROR(FIND(",",$C1807)),$C1807,LEFT($C1807,FIND(",",$C1807)-1))))</f>
        <v/>
      </c>
      <c r="M1807" s="28">
        <f>IF($H1807="","",DATE(YEAR($H1807),MONTH($H1807),1))</f>
        <v/>
      </c>
      <c r="N1807" s="26">
        <f>IF($H1807="","",TODAY()-$H1807)</f>
        <v/>
      </c>
      <c r="O1807" s="15" t="n"/>
      <c r="P1807" s="26">
        <f>IF($A1807="","",COUNTIFS('Audit Versions'!$A$6:$A$605,$A1807,'Audit Versions'!$L$6:$L$605,"Active"))</f>
        <v/>
      </c>
      <c r="Q1807" s="15" t="n"/>
      <c r="R1807" s="26">
        <f>IF(OR($A1807="",$P1807=0),"",MOD(N($Q1807),$P1807)+1)</f>
        <v/>
      </c>
      <c r="S1807" s="15" t="n"/>
      <c r="T1807" s="25" t="n"/>
      <c r="U1807" s="26">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Builder'!$B$12="",N($S1807)&lt;='Assignment Builder'!$B$12)))</f>
        <v/>
      </c>
      <c r="V1807" s="23" t="n"/>
    </row>
    <row r="1808">
      <c r="A1808" s="23" t="n"/>
      <c r="B1808" s="23" t="n"/>
      <c r="C1808" s="24" t="n"/>
      <c r="D1808" s="15" t="n"/>
      <c r="E1808" s="23" t="n"/>
      <c r="F1808" s="15" t="n"/>
      <c r="G1808" s="23" t="n"/>
      <c r="H1808" s="25" t="n"/>
      <c r="I1808" s="15" t="n"/>
      <c r="J1808" s="26">
        <f>IF($A1808="","",LEN($C1808)-LEN(SUBSTITUTE($C1808,",",""))+1)</f>
        <v/>
      </c>
      <c r="K1808" s="26">
        <f>IF($A1808="","",SUMPRODUCT(--ISNUMBER(SEARCH('Category Dictionary'!$D$5:$D$135&amp;"",$C1808)),--('Category Dictionary'!$D$5:$D$135&lt;&gt;"")))</f>
        <v/>
      </c>
      <c r="L1808" s="27">
        <f>IF($A1808="","",TRIM(IF(ISERROR(FIND(",",$C1808)),$C1808,LEFT($C1808,FIND(",",$C1808)-1))))</f>
        <v/>
      </c>
      <c r="M1808" s="28">
        <f>IF($H1808="","",DATE(YEAR($H1808),MONTH($H1808),1))</f>
        <v/>
      </c>
      <c r="N1808" s="26">
        <f>IF($H1808="","",TODAY()-$H1808)</f>
        <v/>
      </c>
      <c r="O1808" s="15" t="n"/>
      <c r="P1808" s="26">
        <f>IF($A1808="","",COUNTIFS('Audit Versions'!$A$6:$A$605,$A1808,'Audit Versions'!$L$6:$L$605,"Active"))</f>
        <v/>
      </c>
      <c r="Q1808" s="15" t="n"/>
      <c r="R1808" s="26">
        <f>IF(OR($A1808="",$P1808=0),"",MOD(N($Q1808),$P1808)+1)</f>
        <v/>
      </c>
      <c r="S1808" s="15" t="n"/>
      <c r="T1808" s="25" t="n"/>
      <c r="U1808" s="26">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Builder'!$B$12="",N($S1808)&lt;='Assignment Builder'!$B$12)))</f>
        <v/>
      </c>
      <c r="V1808" s="23" t="n"/>
    </row>
    <row r="1809">
      <c r="A1809" s="23" t="n"/>
      <c r="B1809" s="23" t="n"/>
      <c r="C1809" s="24" t="n"/>
      <c r="D1809" s="15" t="n"/>
      <c r="E1809" s="23" t="n"/>
      <c r="F1809" s="15" t="n"/>
      <c r="G1809" s="23" t="n"/>
      <c r="H1809" s="25" t="n"/>
      <c r="I1809" s="15" t="n"/>
      <c r="J1809" s="26">
        <f>IF($A1809="","",LEN($C1809)-LEN(SUBSTITUTE($C1809,",",""))+1)</f>
        <v/>
      </c>
      <c r="K1809" s="26">
        <f>IF($A1809="","",SUMPRODUCT(--ISNUMBER(SEARCH('Category Dictionary'!$D$5:$D$135&amp;"",$C1809)),--('Category Dictionary'!$D$5:$D$135&lt;&gt;"")))</f>
        <v/>
      </c>
      <c r="L1809" s="27">
        <f>IF($A1809="","",TRIM(IF(ISERROR(FIND(",",$C1809)),$C1809,LEFT($C1809,FIND(",",$C1809)-1))))</f>
        <v/>
      </c>
      <c r="M1809" s="28">
        <f>IF($H1809="","",DATE(YEAR($H1809),MONTH($H1809),1))</f>
        <v/>
      </c>
      <c r="N1809" s="26">
        <f>IF($H1809="","",TODAY()-$H1809)</f>
        <v/>
      </c>
      <c r="O1809" s="15" t="n"/>
      <c r="P1809" s="26">
        <f>IF($A1809="","",COUNTIFS('Audit Versions'!$A$6:$A$605,$A1809,'Audit Versions'!$L$6:$L$605,"Active"))</f>
        <v/>
      </c>
      <c r="Q1809" s="15" t="n"/>
      <c r="R1809" s="26">
        <f>IF(OR($A1809="",$P1809=0),"",MOD(N($Q1809),$P1809)+1)</f>
        <v/>
      </c>
      <c r="S1809" s="15" t="n"/>
      <c r="T1809" s="25" t="n"/>
      <c r="U1809" s="26">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Builder'!$B$12="",N($S1809)&lt;='Assignment Builder'!$B$12)))</f>
        <v/>
      </c>
      <c r="V1809" s="23" t="n"/>
    </row>
    <row r="1810">
      <c r="A1810" s="23" t="n"/>
      <c r="B1810" s="23" t="n"/>
      <c r="C1810" s="24" t="n"/>
      <c r="D1810" s="15" t="n"/>
      <c r="E1810" s="23" t="n"/>
      <c r="F1810" s="15" t="n"/>
      <c r="G1810" s="23" t="n"/>
      <c r="H1810" s="25" t="n"/>
      <c r="I1810" s="15" t="n"/>
      <c r="J1810" s="26">
        <f>IF($A1810="","",LEN($C1810)-LEN(SUBSTITUTE($C1810,",",""))+1)</f>
        <v/>
      </c>
      <c r="K1810" s="26">
        <f>IF($A1810="","",SUMPRODUCT(--ISNUMBER(SEARCH('Category Dictionary'!$D$5:$D$135&amp;"",$C1810)),--('Category Dictionary'!$D$5:$D$135&lt;&gt;"")))</f>
        <v/>
      </c>
      <c r="L1810" s="27">
        <f>IF($A1810="","",TRIM(IF(ISERROR(FIND(",",$C1810)),$C1810,LEFT($C1810,FIND(",",$C1810)-1))))</f>
        <v/>
      </c>
      <c r="M1810" s="28">
        <f>IF($H1810="","",DATE(YEAR($H1810),MONTH($H1810),1))</f>
        <v/>
      </c>
      <c r="N1810" s="26">
        <f>IF($H1810="","",TODAY()-$H1810)</f>
        <v/>
      </c>
      <c r="O1810" s="15" t="n"/>
      <c r="P1810" s="26">
        <f>IF($A1810="","",COUNTIFS('Audit Versions'!$A$6:$A$605,$A1810,'Audit Versions'!$L$6:$L$605,"Active"))</f>
        <v/>
      </c>
      <c r="Q1810" s="15" t="n"/>
      <c r="R1810" s="26">
        <f>IF(OR($A1810="",$P1810=0),"",MOD(N($Q1810),$P1810)+1)</f>
        <v/>
      </c>
      <c r="S1810" s="15" t="n"/>
      <c r="T1810" s="25" t="n"/>
      <c r="U1810" s="26">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Builder'!$B$12="",N($S1810)&lt;='Assignment Builder'!$B$12)))</f>
        <v/>
      </c>
      <c r="V1810" s="23" t="n"/>
    </row>
    <row r="1811">
      <c r="A1811" s="23" t="n"/>
      <c r="B1811" s="23" t="n"/>
      <c r="C1811" s="24" t="n"/>
      <c r="D1811" s="15" t="n"/>
      <c r="E1811" s="23" t="n"/>
      <c r="F1811" s="15" t="n"/>
      <c r="G1811" s="23" t="n"/>
      <c r="H1811" s="25" t="n"/>
      <c r="I1811" s="15" t="n"/>
      <c r="J1811" s="26">
        <f>IF($A1811="","",LEN($C1811)-LEN(SUBSTITUTE($C1811,",",""))+1)</f>
        <v/>
      </c>
      <c r="K1811" s="26">
        <f>IF($A1811="","",SUMPRODUCT(--ISNUMBER(SEARCH('Category Dictionary'!$D$5:$D$135&amp;"",$C1811)),--('Category Dictionary'!$D$5:$D$135&lt;&gt;"")))</f>
        <v/>
      </c>
      <c r="L1811" s="27">
        <f>IF($A1811="","",TRIM(IF(ISERROR(FIND(",",$C1811)),$C1811,LEFT($C1811,FIND(",",$C1811)-1))))</f>
        <v/>
      </c>
      <c r="M1811" s="28">
        <f>IF($H1811="","",DATE(YEAR($H1811),MONTH($H1811),1))</f>
        <v/>
      </c>
      <c r="N1811" s="26">
        <f>IF($H1811="","",TODAY()-$H1811)</f>
        <v/>
      </c>
      <c r="O1811" s="15" t="n"/>
      <c r="P1811" s="26">
        <f>IF($A1811="","",COUNTIFS('Audit Versions'!$A$6:$A$605,$A1811,'Audit Versions'!$L$6:$L$605,"Active"))</f>
        <v/>
      </c>
      <c r="Q1811" s="15" t="n"/>
      <c r="R1811" s="26">
        <f>IF(OR($A1811="",$P1811=0),"",MOD(N($Q1811),$P1811)+1)</f>
        <v/>
      </c>
      <c r="S1811" s="15" t="n"/>
      <c r="T1811" s="25" t="n"/>
      <c r="U1811" s="26">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Builder'!$B$12="",N($S1811)&lt;='Assignment Builder'!$B$12)))</f>
        <v/>
      </c>
      <c r="V1811" s="23" t="n"/>
    </row>
    <row r="1812">
      <c r="A1812" s="23" t="n"/>
      <c r="B1812" s="23" t="n"/>
      <c r="C1812" s="24" t="n"/>
      <c r="D1812" s="15" t="n"/>
      <c r="E1812" s="23" t="n"/>
      <c r="F1812" s="15" t="n"/>
      <c r="G1812" s="23" t="n"/>
      <c r="H1812" s="25" t="n"/>
      <c r="I1812" s="15" t="n"/>
      <c r="J1812" s="26">
        <f>IF($A1812="","",LEN($C1812)-LEN(SUBSTITUTE($C1812,",",""))+1)</f>
        <v/>
      </c>
      <c r="K1812" s="26">
        <f>IF($A1812="","",SUMPRODUCT(--ISNUMBER(SEARCH('Category Dictionary'!$D$5:$D$135&amp;"",$C1812)),--('Category Dictionary'!$D$5:$D$135&lt;&gt;"")))</f>
        <v/>
      </c>
      <c r="L1812" s="27">
        <f>IF($A1812="","",TRIM(IF(ISERROR(FIND(",",$C1812)),$C1812,LEFT($C1812,FIND(",",$C1812)-1))))</f>
        <v/>
      </c>
      <c r="M1812" s="28">
        <f>IF($H1812="","",DATE(YEAR($H1812),MONTH($H1812),1))</f>
        <v/>
      </c>
      <c r="N1812" s="26">
        <f>IF($H1812="","",TODAY()-$H1812)</f>
        <v/>
      </c>
      <c r="O1812" s="15" t="n"/>
      <c r="P1812" s="26">
        <f>IF($A1812="","",COUNTIFS('Audit Versions'!$A$6:$A$605,$A1812,'Audit Versions'!$L$6:$L$605,"Active"))</f>
        <v/>
      </c>
      <c r="Q1812" s="15" t="n"/>
      <c r="R1812" s="26">
        <f>IF(OR($A1812="",$P1812=0),"",MOD(N($Q1812),$P1812)+1)</f>
        <v/>
      </c>
      <c r="S1812" s="15" t="n"/>
      <c r="T1812" s="25" t="n"/>
      <c r="U1812" s="26">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Builder'!$B$12="",N($S1812)&lt;='Assignment Builder'!$B$12)))</f>
        <v/>
      </c>
      <c r="V1812" s="23" t="n"/>
    </row>
    <row r="1813">
      <c r="A1813" s="23" t="n"/>
      <c r="B1813" s="23" t="n"/>
      <c r="C1813" s="24" t="n"/>
      <c r="D1813" s="15" t="n"/>
      <c r="E1813" s="23" t="n"/>
      <c r="F1813" s="15" t="n"/>
      <c r="G1813" s="23" t="n"/>
      <c r="H1813" s="25" t="n"/>
      <c r="I1813" s="15" t="n"/>
      <c r="J1813" s="26">
        <f>IF($A1813="","",LEN($C1813)-LEN(SUBSTITUTE($C1813,",",""))+1)</f>
        <v/>
      </c>
      <c r="K1813" s="26">
        <f>IF($A1813="","",SUMPRODUCT(--ISNUMBER(SEARCH('Category Dictionary'!$D$5:$D$135&amp;"",$C1813)),--('Category Dictionary'!$D$5:$D$135&lt;&gt;"")))</f>
        <v/>
      </c>
      <c r="L1813" s="27">
        <f>IF($A1813="","",TRIM(IF(ISERROR(FIND(",",$C1813)),$C1813,LEFT($C1813,FIND(",",$C1813)-1))))</f>
        <v/>
      </c>
      <c r="M1813" s="28">
        <f>IF($H1813="","",DATE(YEAR($H1813),MONTH($H1813),1))</f>
        <v/>
      </c>
      <c r="N1813" s="26">
        <f>IF($H1813="","",TODAY()-$H1813)</f>
        <v/>
      </c>
      <c r="O1813" s="15" t="n"/>
      <c r="P1813" s="26">
        <f>IF($A1813="","",COUNTIFS('Audit Versions'!$A$6:$A$605,$A1813,'Audit Versions'!$L$6:$L$605,"Active"))</f>
        <v/>
      </c>
      <c r="Q1813" s="15" t="n"/>
      <c r="R1813" s="26">
        <f>IF(OR($A1813="",$P1813=0),"",MOD(N($Q1813),$P1813)+1)</f>
        <v/>
      </c>
      <c r="S1813" s="15" t="n"/>
      <c r="T1813" s="25" t="n"/>
      <c r="U1813" s="26">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Builder'!$B$12="",N($S1813)&lt;='Assignment Builder'!$B$12)))</f>
        <v/>
      </c>
      <c r="V1813" s="23" t="n"/>
    </row>
    <row r="1814">
      <c r="A1814" s="23" t="n"/>
      <c r="B1814" s="23" t="n"/>
      <c r="C1814" s="24" t="n"/>
      <c r="D1814" s="15" t="n"/>
      <c r="E1814" s="23" t="n"/>
      <c r="F1814" s="15" t="n"/>
      <c r="G1814" s="23" t="n"/>
      <c r="H1814" s="25" t="n"/>
      <c r="I1814" s="15" t="n"/>
      <c r="J1814" s="26">
        <f>IF($A1814="","",LEN($C1814)-LEN(SUBSTITUTE($C1814,",",""))+1)</f>
        <v/>
      </c>
      <c r="K1814" s="26">
        <f>IF($A1814="","",SUMPRODUCT(--ISNUMBER(SEARCH('Category Dictionary'!$D$5:$D$135&amp;"",$C1814)),--('Category Dictionary'!$D$5:$D$135&lt;&gt;"")))</f>
        <v/>
      </c>
      <c r="L1814" s="27">
        <f>IF($A1814="","",TRIM(IF(ISERROR(FIND(",",$C1814)),$C1814,LEFT($C1814,FIND(",",$C1814)-1))))</f>
        <v/>
      </c>
      <c r="M1814" s="28">
        <f>IF($H1814="","",DATE(YEAR($H1814),MONTH($H1814),1))</f>
        <v/>
      </c>
      <c r="N1814" s="26">
        <f>IF($H1814="","",TODAY()-$H1814)</f>
        <v/>
      </c>
      <c r="O1814" s="15" t="n"/>
      <c r="P1814" s="26">
        <f>IF($A1814="","",COUNTIFS('Audit Versions'!$A$6:$A$605,$A1814,'Audit Versions'!$L$6:$L$605,"Active"))</f>
        <v/>
      </c>
      <c r="Q1814" s="15" t="n"/>
      <c r="R1814" s="26">
        <f>IF(OR($A1814="",$P1814=0),"",MOD(N($Q1814),$P1814)+1)</f>
        <v/>
      </c>
      <c r="S1814" s="15" t="n"/>
      <c r="T1814" s="25" t="n"/>
      <c r="U1814" s="26">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Builder'!$B$12="",N($S1814)&lt;='Assignment Builder'!$B$12)))</f>
        <v/>
      </c>
      <c r="V1814" s="23" t="n"/>
    </row>
    <row r="1815">
      <c r="A1815" s="23" t="n"/>
      <c r="B1815" s="23" t="n"/>
      <c r="C1815" s="24" t="n"/>
      <c r="D1815" s="15" t="n"/>
      <c r="E1815" s="23" t="n"/>
      <c r="F1815" s="15" t="n"/>
      <c r="G1815" s="23" t="n"/>
      <c r="H1815" s="25" t="n"/>
      <c r="I1815" s="15" t="n"/>
      <c r="J1815" s="26">
        <f>IF($A1815="","",LEN($C1815)-LEN(SUBSTITUTE($C1815,",",""))+1)</f>
        <v/>
      </c>
      <c r="K1815" s="26">
        <f>IF($A1815="","",SUMPRODUCT(--ISNUMBER(SEARCH('Category Dictionary'!$D$5:$D$135&amp;"",$C1815)),--('Category Dictionary'!$D$5:$D$135&lt;&gt;"")))</f>
        <v/>
      </c>
      <c r="L1815" s="27">
        <f>IF($A1815="","",TRIM(IF(ISERROR(FIND(",",$C1815)),$C1815,LEFT($C1815,FIND(",",$C1815)-1))))</f>
        <v/>
      </c>
      <c r="M1815" s="28">
        <f>IF($H1815="","",DATE(YEAR($H1815),MONTH($H1815),1))</f>
        <v/>
      </c>
      <c r="N1815" s="26">
        <f>IF($H1815="","",TODAY()-$H1815)</f>
        <v/>
      </c>
      <c r="O1815" s="15" t="n"/>
      <c r="P1815" s="26">
        <f>IF($A1815="","",COUNTIFS('Audit Versions'!$A$6:$A$605,$A1815,'Audit Versions'!$L$6:$L$605,"Active"))</f>
        <v/>
      </c>
      <c r="Q1815" s="15" t="n"/>
      <c r="R1815" s="26">
        <f>IF(OR($A1815="",$P1815=0),"",MOD(N($Q1815),$P1815)+1)</f>
        <v/>
      </c>
      <c r="S1815" s="15" t="n"/>
      <c r="T1815" s="25" t="n"/>
      <c r="U1815" s="26">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Builder'!$B$12="",N($S1815)&lt;='Assignment Builder'!$B$12)))</f>
        <v/>
      </c>
      <c r="V1815" s="23" t="n"/>
    </row>
    <row r="1816">
      <c r="A1816" s="23" t="n"/>
      <c r="B1816" s="23" t="n"/>
      <c r="C1816" s="24" t="n"/>
      <c r="D1816" s="15" t="n"/>
      <c r="E1816" s="23" t="n"/>
      <c r="F1816" s="15" t="n"/>
      <c r="G1816" s="23" t="n"/>
      <c r="H1816" s="25" t="n"/>
      <c r="I1816" s="15" t="n"/>
      <c r="J1816" s="26">
        <f>IF($A1816="","",LEN($C1816)-LEN(SUBSTITUTE($C1816,",",""))+1)</f>
        <v/>
      </c>
      <c r="K1816" s="26">
        <f>IF($A1816="","",SUMPRODUCT(--ISNUMBER(SEARCH('Category Dictionary'!$D$5:$D$135&amp;"",$C1816)),--('Category Dictionary'!$D$5:$D$135&lt;&gt;"")))</f>
        <v/>
      </c>
      <c r="L1816" s="27">
        <f>IF($A1816="","",TRIM(IF(ISERROR(FIND(",",$C1816)),$C1816,LEFT($C1816,FIND(",",$C1816)-1))))</f>
        <v/>
      </c>
      <c r="M1816" s="28">
        <f>IF($H1816="","",DATE(YEAR($H1816),MONTH($H1816),1))</f>
        <v/>
      </c>
      <c r="N1816" s="26">
        <f>IF($H1816="","",TODAY()-$H1816)</f>
        <v/>
      </c>
      <c r="O1816" s="15" t="n"/>
      <c r="P1816" s="26">
        <f>IF($A1816="","",COUNTIFS('Audit Versions'!$A$6:$A$605,$A1816,'Audit Versions'!$L$6:$L$605,"Active"))</f>
        <v/>
      </c>
      <c r="Q1816" s="15" t="n"/>
      <c r="R1816" s="26">
        <f>IF(OR($A1816="",$P1816=0),"",MOD(N($Q1816),$P1816)+1)</f>
        <v/>
      </c>
      <c r="S1816" s="15" t="n"/>
      <c r="T1816" s="25" t="n"/>
      <c r="U1816" s="26">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Builder'!$B$12="",N($S1816)&lt;='Assignment Builder'!$B$12)))</f>
        <v/>
      </c>
      <c r="V1816" s="23" t="n"/>
    </row>
    <row r="1817">
      <c r="A1817" s="23" t="n"/>
      <c r="B1817" s="23" t="n"/>
      <c r="C1817" s="24" t="n"/>
      <c r="D1817" s="15" t="n"/>
      <c r="E1817" s="23" t="n"/>
      <c r="F1817" s="15" t="n"/>
      <c r="G1817" s="23" t="n"/>
      <c r="H1817" s="25" t="n"/>
      <c r="I1817" s="15" t="n"/>
      <c r="J1817" s="26">
        <f>IF($A1817="","",LEN($C1817)-LEN(SUBSTITUTE($C1817,",",""))+1)</f>
        <v/>
      </c>
      <c r="K1817" s="26">
        <f>IF($A1817="","",SUMPRODUCT(--ISNUMBER(SEARCH('Category Dictionary'!$D$5:$D$135&amp;"",$C1817)),--('Category Dictionary'!$D$5:$D$135&lt;&gt;"")))</f>
        <v/>
      </c>
      <c r="L1817" s="27">
        <f>IF($A1817="","",TRIM(IF(ISERROR(FIND(",",$C1817)),$C1817,LEFT($C1817,FIND(",",$C1817)-1))))</f>
        <v/>
      </c>
      <c r="M1817" s="28">
        <f>IF($H1817="","",DATE(YEAR($H1817),MONTH($H1817),1))</f>
        <v/>
      </c>
      <c r="N1817" s="26">
        <f>IF($H1817="","",TODAY()-$H1817)</f>
        <v/>
      </c>
      <c r="O1817" s="15" t="n"/>
      <c r="P1817" s="26">
        <f>IF($A1817="","",COUNTIFS('Audit Versions'!$A$6:$A$605,$A1817,'Audit Versions'!$L$6:$L$605,"Active"))</f>
        <v/>
      </c>
      <c r="Q1817" s="15" t="n"/>
      <c r="R1817" s="26">
        <f>IF(OR($A1817="",$P1817=0),"",MOD(N($Q1817),$P1817)+1)</f>
        <v/>
      </c>
      <c r="S1817" s="15" t="n"/>
      <c r="T1817" s="25" t="n"/>
      <c r="U1817" s="26">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Builder'!$B$12="",N($S1817)&lt;='Assignment Builder'!$B$12)))</f>
        <v/>
      </c>
      <c r="V1817" s="23" t="n"/>
    </row>
    <row r="1818">
      <c r="A1818" s="23" t="n"/>
      <c r="B1818" s="23" t="n"/>
      <c r="C1818" s="24" t="n"/>
      <c r="D1818" s="15" t="n"/>
      <c r="E1818" s="23" t="n"/>
      <c r="F1818" s="15" t="n"/>
      <c r="G1818" s="23" t="n"/>
      <c r="H1818" s="25" t="n"/>
      <c r="I1818" s="15" t="n"/>
      <c r="J1818" s="26">
        <f>IF($A1818="","",LEN($C1818)-LEN(SUBSTITUTE($C1818,",",""))+1)</f>
        <v/>
      </c>
      <c r="K1818" s="26">
        <f>IF($A1818="","",SUMPRODUCT(--ISNUMBER(SEARCH('Category Dictionary'!$D$5:$D$135&amp;"",$C1818)),--('Category Dictionary'!$D$5:$D$135&lt;&gt;"")))</f>
        <v/>
      </c>
      <c r="L1818" s="27">
        <f>IF($A1818="","",TRIM(IF(ISERROR(FIND(",",$C1818)),$C1818,LEFT($C1818,FIND(",",$C1818)-1))))</f>
        <v/>
      </c>
      <c r="M1818" s="28">
        <f>IF($H1818="","",DATE(YEAR($H1818),MONTH($H1818),1))</f>
        <v/>
      </c>
      <c r="N1818" s="26">
        <f>IF($H1818="","",TODAY()-$H1818)</f>
        <v/>
      </c>
      <c r="O1818" s="15" t="n"/>
      <c r="P1818" s="26">
        <f>IF($A1818="","",COUNTIFS('Audit Versions'!$A$6:$A$605,$A1818,'Audit Versions'!$L$6:$L$605,"Active"))</f>
        <v/>
      </c>
      <c r="Q1818" s="15" t="n"/>
      <c r="R1818" s="26">
        <f>IF(OR($A1818="",$P1818=0),"",MOD(N($Q1818),$P1818)+1)</f>
        <v/>
      </c>
      <c r="S1818" s="15" t="n"/>
      <c r="T1818" s="25" t="n"/>
      <c r="U1818" s="26">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Builder'!$B$12="",N($S1818)&lt;='Assignment Builder'!$B$12)))</f>
        <v/>
      </c>
      <c r="V1818" s="23" t="n"/>
    </row>
    <row r="1819">
      <c r="A1819" s="23" t="n"/>
      <c r="B1819" s="23" t="n"/>
      <c r="C1819" s="24" t="n"/>
      <c r="D1819" s="15" t="n"/>
      <c r="E1819" s="23" t="n"/>
      <c r="F1819" s="15" t="n"/>
      <c r="G1819" s="23" t="n"/>
      <c r="H1819" s="25" t="n"/>
      <c r="I1819" s="15" t="n"/>
      <c r="J1819" s="26">
        <f>IF($A1819="","",LEN($C1819)-LEN(SUBSTITUTE($C1819,",",""))+1)</f>
        <v/>
      </c>
      <c r="K1819" s="26">
        <f>IF($A1819="","",SUMPRODUCT(--ISNUMBER(SEARCH('Category Dictionary'!$D$5:$D$135&amp;"",$C1819)),--('Category Dictionary'!$D$5:$D$135&lt;&gt;"")))</f>
        <v/>
      </c>
      <c r="L1819" s="27">
        <f>IF($A1819="","",TRIM(IF(ISERROR(FIND(",",$C1819)),$C1819,LEFT($C1819,FIND(",",$C1819)-1))))</f>
        <v/>
      </c>
      <c r="M1819" s="28">
        <f>IF($H1819="","",DATE(YEAR($H1819),MONTH($H1819),1))</f>
        <v/>
      </c>
      <c r="N1819" s="26">
        <f>IF($H1819="","",TODAY()-$H1819)</f>
        <v/>
      </c>
      <c r="O1819" s="15" t="n"/>
      <c r="P1819" s="26">
        <f>IF($A1819="","",COUNTIFS('Audit Versions'!$A$6:$A$605,$A1819,'Audit Versions'!$L$6:$L$605,"Active"))</f>
        <v/>
      </c>
      <c r="Q1819" s="15" t="n"/>
      <c r="R1819" s="26">
        <f>IF(OR($A1819="",$P1819=0),"",MOD(N($Q1819),$P1819)+1)</f>
        <v/>
      </c>
      <c r="S1819" s="15" t="n"/>
      <c r="T1819" s="25" t="n"/>
      <c r="U1819" s="26">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Builder'!$B$12="",N($S1819)&lt;='Assignment Builder'!$B$12)))</f>
        <v/>
      </c>
      <c r="V1819" s="23" t="n"/>
    </row>
    <row r="1820">
      <c r="A1820" s="23" t="n"/>
      <c r="B1820" s="23" t="n"/>
      <c r="C1820" s="24" t="n"/>
      <c r="D1820" s="15" t="n"/>
      <c r="E1820" s="23" t="n"/>
      <c r="F1820" s="15" t="n"/>
      <c r="G1820" s="23" t="n"/>
      <c r="H1820" s="25" t="n"/>
      <c r="I1820" s="15" t="n"/>
      <c r="J1820" s="26">
        <f>IF($A1820="","",LEN($C1820)-LEN(SUBSTITUTE($C1820,",",""))+1)</f>
        <v/>
      </c>
      <c r="K1820" s="26">
        <f>IF($A1820="","",SUMPRODUCT(--ISNUMBER(SEARCH('Category Dictionary'!$D$5:$D$135&amp;"",$C1820)),--('Category Dictionary'!$D$5:$D$135&lt;&gt;"")))</f>
        <v/>
      </c>
      <c r="L1820" s="27">
        <f>IF($A1820="","",TRIM(IF(ISERROR(FIND(",",$C1820)),$C1820,LEFT($C1820,FIND(",",$C1820)-1))))</f>
        <v/>
      </c>
      <c r="M1820" s="28">
        <f>IF($H1820="","",DATE(YEAR($H1820),MONTH($H1820),1))</f>
        <v/>
      </c>
      <c r="N1820" s="26">
        <f>IF($H1820="","",TODAY()-$H1820)</f>
        <v/>
      </c>
      <c r="O1820" s="15" t="n"/>
      <c r="P1820" s="26">
        <f>IF($A1820="","",COUNTIFS('Audit Versions'!$A$6:$A$605,$A1820,'Audit Versions'!$L$6:$L$605,"Active"))</f>
        <v/>
      </c>
      <c r="Q1820" s="15" t="n"/>
      <c r="R1820" s="26">
        <f>IF(OR($A1820="",$P1820=0),"",MOD(N($Q1820),$P1820)+1)</f>
        <v/>
      </c>
      <c r="S1820" s="15" t="n"/>
      <c r="T1820" s="25" t="n"/>
      <c r="U1820" s="26">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Builder'!$B$12="",N($S1820)&lt;='Assignment Builder'!$B$12)))</f>
        <v/>
      </c>
      <c r="V1820" s="23" t="n"/>
    </row>
    <row r="1821">
      <c r="A1821" s="23" t="n"/>
      <c r="B1821" s="23" t="n"/>
      <c r="C1821" s="24" t="n"/>
      <c r="D1821" s="15" t="n"/>
      <c r="E1821" s="23" t="n"/>
      <c r="F1821" s="15" t="n"/>
      <c r="G1821" s="23" t="n"/>
      <c r="H1821" s="25" t="n"/>
      <c r="I1821" s="15" t="n"/>
      <c r="J1821" s="26">
        <f>IF($A1821="","",LEN($C1821)-LEN(SUBSTITUTE($C1821,",",""))+1)</f>
        <v/>
      </c>
      <c r="K1821" s="26">
        <f>IF($A1821="","",SUMPRODUCT(--ISNUMBER(SEARCH('Category Dictionary'!$D$5:$D$135&amp;"",$C1821)),--('Category Dictionary'!$D$5:$D$135&lt;&gt;"")))</f>
        <v/>
      </c>
      <c r="L1821" s="27">
        <f>IF($A1821="","",TRIM(IF(ISERROR(FIND(",",$C1821)),$C1821,LEFT($C1821,FIND(",",$C1821)-1))))</f>
        <v/>
      </c>
      <c r="M1821" s="28">
        <f>IF($H1821="","",DATE(YEAR($H1821),MONTH($H1821),1))</f>
        <v/>
      </c>
      <c r="N1821" s="26">
        <f>IF($H1821="","",TODAY()-$H1821)</f>
        <v/>
      </c>
      <c r="O1821" s="15" t="n"/>
      <c r="P1821" s="26">
        <f>IF($A1821="","",COUNTIFS('Audit Versions'!$A$6:$A$605,$A1821,'Audit Versions'!$L$6:$L$605,"Active"))</f>
        <v/>
      </c>
      <c r="Q1821" s="15" t="n"/>
      <c r="R1821" s="26">
        <f>IF(OR($A1821="",$P1821=0),"",MOD(N($Q1821),$P1821)+1)</f>
        <v/>
      </c>
      <c r="S1821" s="15" t="n"/>
      <c r="T1821" s="25" t="n"/>
      <c r="U1821" s="26">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Builder'!$B$12="",N($S1821)&lt;='Assignment Builder'!$B$12)))</f>
        <v/>
      </c>
      <c r="V1821" s="23" t="n"/>
    </row>
    <row r="1822">
      <c r="A1822" s="23" t="n"/>
      <c r="B1822" s="23" t="n"/>
      <c r="C1822" s="24" t="n"/>
      <c r="D1822" s="15" t="n"/>
      <c r="E1822" s="23" t="n"/>
      <c r="F1822" s="15" t="n"/>
      <c r="G1822" s="23" t="n"/>
      <c r="H1822" s="25" t="n"/>
      <c r="I1822" s="15" t="n"/>
      <c r="J1822" s="26">
        <f>IF($A1822="","",LEN($C1822)-LEN(SUBSTITUTE($C1822,",",""))+1)</f>
        <v/>
      </c>
      <c r="K1822" s="26">
        <f>IF($A1822="","",SUMPRODUCT(--ISNUMBER(SEARCH('Category Dictionary'!$D$5:$D$135&amp;"",$C1822)),--('Category Dictionary'!$D$5:$D$135&lt;&gt;"")))</f>
        <v/>
      </c>
      <c r="L1822" s="27">
        <f>IF($A1822="","",TRIM(IF(ISERROR(FIND(",",$C1822)),$C1822,LEFT($C1822,FIND(",",$C1822)-1))))</f>
        <v/>
      </c>
      <c r="M1822" s="28">
        <f>IF($H1822="","",DATE(YEAR($H1822),MONTH($H1822),1))</f>
        <v/>
      </c>
      <c r="N1822" s="26">
        <f>IF($H1822="","",TODAY()-$H1822)</f>
        <v/>
      </c>
      <c r="O1822" s="15" t="n"/>
      <c r="P1822" s="26">
        <f>IF($A1822="","",COUNTIFS('Audit Versions'!$A$6:$A$605,$A1822,'Audit Versions'!$L$6:$L$605,"Active"))</f>
        <v/>
      </c>
      <c r="Q1822" s="15" t="n"/>
      <c r="R1822" s="26">
        <f>IF(OR($A1822="",$P1822=0),"",MOD(N($Q1822),$P1822)+1)</f>
        <v/>
      </c>
      <c r="S1822" s="15" t="n"/>
      <c r="T1822" s="25" t="n"/>
      <c r="U1822" s="26">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Builder'!$B$12="",N($S1822)&lt;='Assignment Builder'!$B$12)))</f>
        <v/>
      </c>
      <c r="V1822" s="23" t="n"/>
    </row>
    <row r="1823">
      <c r="A1823" s="23" t="n"/>
      <c r="B1823" s="23" t="n"/>
      <c r="C1823" s="24" t="n"/>
      <c r="D1823" s="15" t="n"/>
      <c r="E1823" s="23" t="n"/>
      <c r="F1823" s="15" t="n"/>
      <c r="G1823" s="23" t="n"/>
      <c r="H1823" s="25" t="n"/>
      <c r="I1823" s="15" t="n"/>
      <c r="J1823" s="26">
        <f>IF($A1823="","",LEN($C1823)-LEN(SUBSTITUTE($C1823,",",""))+1)</f>
        <v/>
      </c>
      <c r="K1823" s="26">
        <f>IF($A1823="","",SUMPRODUCT(--ISNUMBER(SEARCH('Category Dictionary'!$D$5:$D$135&amp;"",$C1823)),--('Category Dictionary'!$D$5:$D$135&lt;&gt;"")))</f>
        <v/>
      </c>
      <c r="L1823" s="27">
        <f>IF($A1823="","",TRIM(IF(ISERROR(FIND(",",$C1823)),$C1823,LEFT($C1823,FIND(",",$C1823)-1))))</f>
        <v/>
      </c>
      <c r="M1823" s="28">
        <f>IF($H1823="","",DATE(YEAR($H1823),MONTH($H1823),1))</f>
        <v/>
      </c>
      <c r="N1823" s="26">
        <f>IF($H1823="","",TODAY()-$H1823)</f>
        <v/>
      </c>
      <c r="O1823" s="15" t="n"/>
      <c r="P1823" s="26">
        <f>IF($A1823="","",COUNTIFS('Audit Versions'!$A$6:$A$605,$A1823,'Audit Versions'!$L$6:$L$605,"Active"))</f>
        <v/>
      </c>
      <c r="Q1823" s="15" t="n"/>
      <c r="R1823" s="26">
        <f>IF(OR($A1823="",$P1823=0),"",MOD(N($Q1823),$P1823)+1)</f>
        <v/>
      </c>
      <c r="S1823" s="15" t="n"/>
      <c r="T1823" s="25" t="n"/>
      <c r="U1823" s="26">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Builder'!$B$12="",N($S1823)&lt;='Assignment Builder'!$B$12)))</f>
        <v/>
      </c>
      <c r="V1823" s="23" t="n"/>
    </row>
    <row r="1824">
      <c r="A1824" s="23" t="n"/>
      <c r="B1824" s="23" t="n"/>
      <c r="C1824" s="24" t="n"/>
      <c r="D1824" s="15" t="n"/>
      <c r="E1824" s="23" t="n"/>
      <c r="F1824" s="15" t="n"/>
      <c r="G1824" s="23" t="n"/>
      <c r="H1824" s="25" t="n"/>
      <c r="I1824" s="15" t="n"/>
      <c r="J1824" s="26">
        <f>IF($A1824="","",LEN($C1824)-LEN(SUBSTITUTE($C1824,",",""))+1)</f>
        <v/>
      </c>
      <c r="K1824" s="26">
        <f>IF($A1824="","",SUMPRODUCT(--ISNUMBER(SEARCH('Category Dictionary'!$D$5:$D$135&amp;"",$C1824)),--('Category Dictionary'!$D$5:$D$135&lt;&gt;"")))</f>
        <v/>
      </c>
      <c r="L1824" s="27">
        <f>IF($A1824="","",TRIM(IF(ISERROR(FIND(",",$C1824)),$C1824,LEFT($C1824,FIND(",",$C1824)-1))))</f>
        <v/>
      </c>
      <c r="M1824" s="28">
        <f>IF($H1824="","",DATE(YEAR($H1824),MONTH($H1824),1))</f>
        <v/>
      </c>
      <c r="N1824" s="26">
        <f>IF($H1824="","",TODAY()-$H1824)</f>
        <v/>
      </c>
      <c r="O1824" s="15" t="n"/>
      <c r="P1824" s="26">
        <f>IF($A1824="","",COUNTIFS('Audit Versions'!$A$6:$A$605,$A1824,'Audit Versions'!$L$6:$L$605,"Active"))</f>
        <v/>
      </c>
      <c r="Q1824" s="15" t="n"/>
      <c r="R1824" s="26">
        <f>IF(OR($A1824="",$P1824=0),"",MOD(N($Q1824),$P1824)+1)</f>
        <v/>
      </c>
      <c r="S1824" s="15" t="n"/>
      <c r="T1824" s="25" t="n"/>
      <c r="U1824" s="26">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Builder'!$B$12="",N($S1824)&lt;='Assignment Builder'!$B$12)))</f>
        <v/>
      </c>
      <c r="V1824" s="23" t="n"/>
    </row>
    <row r="1825">
      <c r="A1825" s="23" t="n"/>
      <c r="B1825" s="23" t="n"/>
      <c r="C1825" s="24" t="n"/>
      <c r="D1825" s="15" t="n"/>
      <c r="E1825" s="23" t="n"/>
      <c r="F1825" s="15" t="n"/>
      <c r="G1825" s="23" t="n"/>
      <c r="H1825" s="25" t="n"/>
      <c r="I1825" s="15" t="n"/>
      <c r="J1825" s="26">
        <f>IF($A1825="","",LEN($C1825)-LEN(SUBSTITUTE($C1825,",",""))+1)</f>
        <v/>
      </c>
      <c r="K1825" s="26">
        <f>IF($A1825="","",SUMPRODUCT(--ISNUMBER(SEARCH('Category Dictionary'!$D$5:$D$135&amp;"",$C1825)),--('Category Dictionary'!$D$5:$D$135&lt;&gt;"")))</f>
        <v/>
      </c>
      <c r="L1825" s="27">
        <f>IF($A1825="","",TRIM(IF(ISERROR(FIND(",",$C1825)),$C1825,LEFT($C1825,FIND(",",$C1825)-1))))</f>
        <v/>
      </c>
      <c r="M1825" s="28">
        <f>IF($H1825="","",DATE(YEAR($H1825),MONTH($H1825),1))</f>
        <v/>
      </c>
      <c r="N1825" s="26">
        <f>IF($H1825="","",TODAY()-$H1825)</f>
        <v/>
      </c>
      <c r="O1825" s="15" t="n"/>
      <c r="P1825" s="26">
        <f>IF($A1825="","",COUNTIFS('Audit Versions'!$A$6:$A$605,$A1825,'Audit Versions'!$L$6:$L$605,"Active"))</f>
        <v/>
      </c>
      <c r="Q1825" s="15" t="n"/>
      <c r="R1825" s="26">
        <f>IF(OR($A1825="",$P1825=0),"",MOD(N($Q1825),$P1825)+1)</f>
        <v/>
      </c>
      <c r="S1825" s="15" t="n"/>
      <c r="T1825" s="25" t="n"/>
      <c r="U1825" s="26">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Builder'!$B$12="",N($S1825)&lt;='Assignment Builder'!$B$12)))</f>
        <v/>
      </c>
      <c r="V1825" s="23" t="n"/>
    </row>
    <row r="1826">
      <c r="A1826" s="23" t="n"/>
      <c r="B1826" s="23" t="n"/>
      <c r="C1826" s="24" t="n"/>
      <c r="D1826" s="15" t="n"/>
      <c r="E1826" s="23" t="n"/>
      <c r="F1826" s="15" t="n"/>
      <c r="G1826" s="23" t="n"/>
      <c r="H1826" s="25" t="n"/>
      <c r="I1826" s="15" t="n"/>
      <c r="J1826" s="26">
        <f>IF($A1826="","",LEN($C1826)-LEN(SUBSTITUTE($C1826,",",""))+1)</f>
        <v/>
      </c>
      <c r="K1826" s="26">
        <f>IF($A1826="","",SUMPRODUCT(--ISNUMBER(SEARCH('Category Dictionary'!$D$5:$D$135&amp;"",$C1826)),--('Category Dictionary'!$D$5:$D$135&lt;&gt;"")))</f>
        <v/>
      </c>
      <c r="L1826" s="27">
        <f>IF($A1826="","",TRIM(IF(ISERROR(FIND(",",$C1826)),$C1826,LEFT($C1826,FIND(",",$C1826)-1))))</f>
        <v/>
      </c>
      <c r="M1826" s="28">
        <f>IF($H1826="","",DATE(YEAR($H1826),MONTH($H1826),1))</f>
        <v/>
      </c>
      <c r="N1826" s="26">
        <f>IF($H1826="","",TODAY()-$H1826)</f>
        <v/>
      </c>
      <c r="O1826" s="15" t="n"/>
      <c r="P1826" s="26">
        <f>IF($A1826="","",COUNTIFS('Audit Versions'!$A$6:$A$605,$A1826,'Audit Versions'!$L$6:$L$605,"Active"))</f>
        <v/>
      </c>
      <c r="Q1826" s="15" t="n"/>
      <c r="R1826" s="26">
        <f>IF(OR($A1826="",$P1826=0),"",MOD(N($Q1826),$P1826)+1)</f>
        <v/>
      </c>
      <c r="S1826" s="15" t="n"/>
      <c r="T1826" s="25" t="n"/>
      <c r="U1826" s="26">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Builder'!$B$12="",N($S1826)&lt;='Assignment Builder'!$B$12)))</f>
        <v/>
      </c>
      <c r="V1826" s="23" t="n"/>
    </row>
    <row r="1827">
      <c r="A1827" s="23" t="n"/>
      <c r="B1827" s="23" t="n"/>
      <c r="C1827" s="24" t="n"/>
      <c r="D1827" s="15" t="n"/>
      <c r="E1827" s="23" t="n"/>
      <c r="F1827" s="15" t="n"/>
      <c r="G1827" s="23" t="n"/>
      <c r="H1827" s="25" t="n"/>
      <c r="I1827" s="15" t="n"/>
      <c r="J1827" s="26">
        <f>IF($A1827="","",LEN($C1827)-LEN(SUBSTITUTE($C1827,",",""))+1)</f>
        <v/>
      </c>
      <c r="K1827" s="26">
        <f>IF($A1827="","",SUMPRODUCT(--ISNUMBER(SEARCH('Category Dictionary'!$D$5:$D$135&amp;"",$C1827)),--('Category Dictionary'!$D$5:$D$135&lt;&gt;"")))</f>
        <v/>
      </c>
      <c r="L1827" s="27">
        <f>IF($A1827="","",TRIM(IF(ISERROR(FIND(",",$C1827)),$C1827,LEFT($C1827,FIND(",",$C1827)-1))))</f>
        <v/>
      </c>
      <c r="M1827" s="28">
        <f>IF($H1827="","",DATE(YEAR($H1827),MONTH($H1827),1))</f>
        <v/>
      </c>
      <c r="N1827" s="26">
        <f>IF($H1827="","",TODAY()-$H1827)</f>
        <v/>
      </c>
      <c r="O1827" s="15" t="n"/>
      <c r="P1827" s="26">
        <f>IF($A1827="","",COUNTIFS('Audit Versions'!$A$6:$A$605,$A1827,'Audit Versions'!$L$6:$L$605,"Active"))</f>
        <v/>
      </c>
      <c r="Q1827" s="15" t="n"/>
      <c r="R1827" s="26">
        <f>IF(OR($A1827="",$P1827=0),"",MOD(N($Q1827),$P1827)+1)</f>
        <v/>
      </c>
      <c r="S1827" s="15" t="n"/>
      <c r="T1827" s="25" t="n"/>
      <c r="U1827" s="26">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Builder'!$B$12="",N($S1827)&lt;='Assignment Builder'!$B$12)))</f>
        <v/>
      </c>
      <c r="V1827" s="23" t="n"/>
    </row>
    <row r="1828">
      <c r="A1828" s="23" t="n"/>
      <c r="B1828" s="23" t="n"/>
      <c r="C1828" s="24" t="n"/>
      <c r="D1828" s="15" t="n"/>
      <c r="E1828" s="23" t="n"/>
      <c r="F1828" s="15" t="n"/>
      <c r="G1828" s="23" t="n"/>
      <c r="H1828" s="25" t="n"/>
      <c r="I1828" s="15" t="n"/>
      <c r="J1828" s="26">
        <f>IF($A1828="","",LEN($C1828)-LEN(SUBSTITUTE($C1828,",",""))+1)</f>
        <v/>
      </c>
      <c r="K1828" s="26">
        <f>IF($A1828="","",SUMPRODUCT(--ISNUMBER(SEARCH('Category Dictionary'!$D$5:$D$135&amp;"",$C1828)),--('Category Dictionary'!$D$5:$D$135&lt;&gt;"")))</f>
        <v/>
      </c>
      <c r="L1828" s="27">
        <f>IF($A1828="","",TRIM(IF(ISERROR(FIND(",",$C1828)),$C1828,LEFT($C1828,FIND(",",$C1828)-1))))</f>
        <v/>
      </c>
      <c r="M1828" s="28">
        <f>IF($H1828="","",DATE(YEAR($H1828),MONTH($H1828),1))</f>
        <v/>
      </c>
      <c r="N1828" s="26">
        <f>IF($H1828="","",TODAY()-$H1828)</f>
        <v/>
      </c>
      <c r="O1828" s="15" t="n"/>
      <c r="P1828" s="26">
        <f>IF($A1828="","",COUNTIFS('Audit Versions'!$A$6:$A$605,$A1828,'Audit Versions'!$L$6:$L$605,"Active"))</f>
        <v/>
      </c>
      <c r="Q1828" s="15" t="n"/>
      <c r="R1828" s="26">
        <f>IF(OR($A1828="",$P1828=0),"",MOD(N($Q1828),$P1828)+1)</f>
        <v/>
      </c>
      <c r="S1828" s="15" t="n"/>
      <c r="T1828" s="25" t="n"/>
      <c r="U1828" s="26">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Builder'!$B$12="",N($S1828)&lt;='Assignment Builder'!$B$12)))</f>
        <v/>
      </c>
      <c r="V1828" s="23" t="n"/>
    </row>
    <row r="1829">
      <c r="A1829" s="23" t="n"/>
      <c r="B1829" s="23" t="n"/>
      <c r="C1829" s="24" t="n"/>
      <c r="D1829" s="15" t="n"/>
      <c r="E1829" s="23" t="n"/>
      <c r="F1829" s="15" t="n"/>
      <c r="G1829" s="23" t="n"/>
      <c r="H1829" s="25" t="n"/>
      <c r="I1829" s="15" t="n"/>
      <c r="J1829" s="26">
        <f>IF($A1829="","",LEN($C1829)-LEN(SUBSTITUTE($C1829,",",""))+1)</f>
        <v/>
      </c>
      <c r="K1829" s="26">
        <f>IF($A1829="","",SUMPRODUCT(--ISNUMBER(SEARCH('Category Dictionary'!$D$5:$D$135&amp;"",$C1829)),--('Category Dictionary'!$D$5:$D$135&lt;&gt;"")))</f>
        <v/>
      </c>
      <c r="L1829" s="27">
        <f>IF($A1829="","",TRIM(IF(ISERROR(FIND(",",$C1829)),$C1829,LEFT($C1829,FIND(",",$C1829)-1))))</f>
        <v/>
      </c>
      <c r="M1829" s="28">
        <f>IF($H1829="","",DATE(YEAR($H1829),MONTH($H1829),1))</f>
        <v/>
      </c>
      <c r="N1829" s="26">
        <f>IF($H1829="","",TODAY()-$H1829)</f>
        <v/>
      </c>
      <c r="O1829" s="15" t="n"/>
      <c r="P1829" s="26">
        <f>IF($A1829="","",COUNTIFS('Audit Versions'!$A$6:$A$605,$A1829,'Audit Versions'!$L$6:$L$605,"Active"))</f>
        <v/>
      </c>
      <c r="Q1829" s="15" t="n"/>
      <c r="R1829" s="26">
        <f>IF(OR($A1829="",$P1829=0),"",MOD(N($Q1829),$P1829)+1)</f>
        <v/>
      </c>
      <c r="S1829" s="15" t="n"/>
      <c r="T1829" s="25" t="n"/>
      <c r="U1829" s="26">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Builder'!$B$12="",N($S1829)&lt;='Assignment Builder'!$B$12)))</f>
        <v/>
      </c>
      <c r="V1829" s="23" t="n"/>
    </row>
    <row r="1830">
      <c r="A1830" s="23" t="n"/>
      <c r="B1830" s="23" t="n"/>
      <c r="C1830" s="24" t="n"/>
      <c r="D1830" s="15" t="n"/>
      <c r="E1830" s="23" t="n"/>
      <c r="F1830" s="15" t="n"/>
      <c r="G1830" s="23" t="n"/>
      <c r="H1830" s="25" t="n"/>
      <c r="I1830" s="15" t="n"/>
      <c r="J1830" s="26">
        <f>IF($A1830="","",LEN($C1830)-LEN(SUBSTITUTE($C1830,",",""))+1)</f>
        <v/>
      </c>
      <c r="K1830" s="26">
        <f>IF($A1830="","",SUMPRODUCT(--ISNUMBER(SEARCH('Category Dictionary'!$D$5:$D$135&amp;"",$C1830)),--('Category Dictionary'!$D$5:$D$135&lt;&gt;"")))</f>
        <v/>
      </c>
      <c r="L1830" s="27">
        <f>IF($A1830="","",TRIM(IF(ISERROR(FIND(",",$C1830)),$C1830,LEFT($C1830,FIND(",",$C1830)-1))))</f>
        <v/>
      </c>
      <c r="M1830" s="28">
        <f>IF($H1830="","",DATE(YEAR($H1830),MONTH($H1830),1))</f>
        <v/>
      </c>
      <c r="N1830" s="26">
        <f>IF($H1830="","",TODAY()-$H1830)</f>
        <v/>
      </c>
      <c r="O1830" s="15" t="n"/>
      <c r="P1830" s="26">
        <f>IF($A1830="","",COUNTIFS('Audit Versions'!$A$6:$A$605,$A1830,'Audit Versions'!$L$6:$L$605,"Active"))</f>
        <v/>
      </c>
      <c r="Q1830" s="15" t="n"/>
      <c r="R1830" s="26">
        <f>IF(OR($A1830="",$P1830=0),"",MOD(N($Q1830),$P1830)+1)</f>
        <v/>
      </c>
      <c r="S1830" s="15" t="n"/>
      <c r="T1830" s="25" t="n"/>
      <c r="U1830" s="26">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Builder'!$B$12="",N($S1830)&lt;='Assignment Builder'!$B$12)))</f>
        <v/>
      </c>
      <c r="V1830" s="23" t="n"/>
    </row>
    <row r="1831">
      <c r="A1831" s="23" t="n"/>
      <c r="B1831" s="23" t="n"/>
      <c r="C1831" s="24" t="n"/>
      <c r="D1831" s="15" t="n"/>
      <c r="E1831" s="23" t="n"/>
      <c r="F1831" s="15" t="n"/>
      <c r="G1831" s="23" t="n"/>
      <c r="H1831" s="25" t="n"/>
      <c r="I1831" s="15" t="n"/>
      <c r="J1831" s="26">
        <f>IF($A1831="","",LEN($C1831)-LEN(SUBSTITUTE($C1831,",",""))+1)</f>
        <v/>
      </c>
      <c r="K1831" s="26">
        <f>IF($A1831="","",SUMPRODUCT(--ISNUMBER(SEARCH('Category Dictionary'!$D$5:$D$135&amp;"",$C1831)),--('Category Dictionary'!$D$5:$D$135&lt;&gt;"")))</f>
        <v/>
      </c>
      <c r="L1831" s="27">
        <f>IF($A1831="","",TRIM(IF(ISERROR(FIND(",",$C1831)),$C1831,LEFT($C1831,FIND(",",$C1831)-1))))</f>
        <v/>
      </c>
      <c r="M1831" s="28">
        <f>IF($H1831="","",DATE(YEAR($H1831),MONTH($H1831),1))</f>
        <v/>
      </c>
      <c r="N1831" s="26">
        <f>IF($H1831="","",TODAY()-$H1831)</f>
        <v/>
      </c>
      <c r="O1831" s="15" t="n"/>
      <c r="P1831" s="26">
        <f>IF($A1831="","",COUNTIFS('Audit Versions'!$A$6:$A$605,$A1831,'Audit Versions'!$L$6:$L$605,"Active"))</f>
        <v/>
      </c>
      <c r="Q1831" s="15" t="n"/>
      <c r="R1831" s="26">
        <f>IF(OR($A1831="",$P1831=0),"",MOD(N($Q1831),$P1831)+1)</f>
        <v/>
      </c>
      <c r="S1831" s="15" t="n"/>
      <c r="T1831" s="25" t="n"/>
      <c r="U1831" s="26">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Builder'!$B$12="",N($S1831)&lt;='Assignment Builder'!$B$12)))</f>
        <v/>
      </c>
      <c r="V1831" s="23" t="n"/>
    </row>
    <row r="1832">
      <c r="A1832" s="23" t="n"/>
      <c r="B1832" s="23" t="n"/>
      <c r="C1832" s="24" t="n"/>
      <c r="D1832" s="15" t="n"/>
      <c r="E1832" s="23" t="n"/>
      <c r="F1832" s="15" t="n"/>
      <c r="G1832" s="23" t="n"/>
      <c r="H1832" s="25" t="n"/>
      <c r="I1832" s="15" t="n"/>
      <c r="J1832" s="26">
        <f>IF($A1832="","",LEN($C1832)-LEN(SUBSTITUTE($C1832,",",""))+1)</f>
        <v/>
      </c>
      <c r="K1832" s="26">
        <f>IF($A1832="","",SUMPRODUCT(--ISNUMBER(SEARCH('Category Dictionary'!$D$5:$D$135&amp;"",$C1832)),--('Category Dictionary'!$D$5:$D$135&lt;&gt;"")))</f>
        <v/>
      </c>
      <c r="L1832" s="27">
        <f>IF($A1832="","",TRIM(IF(ISERROR(FIND(",",$C1832)),$C1832,LEFT($C1832,FIND(",",$C1832)-1))))</f>
        <v/>
      </c>
      <c r="M1832" s="28">
        <f>IF($H1832="","",DATE(YEAR($H1832),MONTH($H1832),1))</f>
        <v/>
      </c>
      <c r="N1832" s="26">
        <f>IF($H1832="","",TODAY()-$H1832)</f>
        <v/>
      </c>
      <c r="O1832" s="15" t="n"/>
      <c r="P1832" s="26">
        <f>IF($A1832="","",COUNTIFS('Audit Versions'!$A$6:$A$605,$A1832,'Audit Versions'!$L$6:$L$605,"Active"))</f>
        <v/>
      </c>
      <c r="Q1832" s="15" t="n"/>
      <c r="R1832" s="26">
        <f>IF(OR($A1832="",$P1832=0),"",MOD(N($Q1832),$P1832)+1)</f>
        <v/>
      </c>
      <c r="S1832" s="15" t="n"/>
      <c r="T1832" s="25" t="n"/>
      <c r="U1832" s="26">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Builder'!$B$12="",N($S1832)&lt;='Assignment Builder'!$B$12)))</f>
        <v/>
      </c>
      <c r="V1832" s="23" t="n"/>
    </row>
    <row r="1833">
      <c r="A1833" s="23" t="n"/>
      <c r="B1833" s="23" t="n"/>
      <c r="C1833" s="24" t="n"/>
      <c r="D1833" s="15" t="n"/>
      <c r="E1833" s="23" t="n"/>
      <c r="F1833" s="15" t="n"/>
      <c r="G1833" s="23" t="n"/>
      <c r="H1833" s="25" t="n"/>
      <c r="I1833" s="15" t="n"/>
      <c r="J1833" s="26">
        <f>IF($A1833="","",LEN($C1833)-LEN(SUBSTITUTE($C1833,",",""))+1)</f>
        <v/>
      </c>
      <c r="K1833" s="26">
        <f>IF($A1833="","",SUMPRODUCT(--ISNUMBER(SEARCH('Category Dictionary'!$D$5:$D$135&amp;"",$C1833)),--('Category Dictionary'!$D$5:$D$135&lt;&gt;"")))</f>
        <v/>
      </c>
      <c r="L1833" s="27">
        <f>IF($A1833="","",TRIM(IF(ISERROR(FIND(",",$C1833)),$C1833,LEFT($C1833,FIND(",",$C1833)-1))))</f>
        <v/>
      </c>
      <c r="M1833" s="28">
        <f>IF($H1833="","",DATE(YEAR($H1833),MONTH($H1833),1))</f>
        <v/>
      </c>
      <c r="N1833" s="26">
        <f>IF($H1833="","",TODAY()-$H1833)</f>
        <v/>
      </c>
      <c r="O1833" s="15" t="n"/>
      <c r="P1833" s="26">
        <f>IF($A1833="","",COUNTIFS('Audit Versions'!$A$6:$A$605,$A1833,'Audit Versions'!$L$6:$L$605,"Active"))</f>
        <v/>
      </c>
      <c r="Q1833" s="15" t="n"/>
      <c r="R1833" s="26">
        <f>IF(OR($A1833="",$P1833=0),"",MOD(N($Q1833),$P1833)+1)</f>
        <v/>
      </c>
      <c r="S1833" s="15" t="n"/>
      <c r="T1833" s="25" t="n"/>
      <c r="U1833" s="26">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Builder'!$B$12="",N($S1833)&lt;='Assignment Builder'!$B$12)))</f>
        <v/>
      </c>
      <c r="V1833" s="23" t="n"/>
    </row>
    <row r="1834">
      <c r="A1834" s="23" t="n"/>
      <c r="B1834" s="23" t="n"/>
      <c r="C1834" s="24" t="n"/>
      <c r="D1834" s="15" t="n"/>
      <c r="E1834" s="23" t="n"/>
      <c r="F1834" s="15" t="n"/>
      <c r="G1834" s="23" t="n"/>
      <c r="H1834" s="25" t="n"/>
      <c r="I1834" s="15" t="n"/>
      <c r="J1834" s="26">
        <f>IF($A1834="","",LEN($C1834)-LEN(SUBSTITUTE($C1834,",",""))+1)</f>
        <v/>
      </c>
      <c r="K1834" s="26">
        <f>IF($A1834="","",SUMPRODUCT(--ISNUMBER(SEARCH('Category Dictionary'!$D$5:$D$135&amp;"",$C1834)),--('Category Dictionary'!$D$5:$D$135&lt;&gt;"")))</f>
        <v/>
      </c>
      <c r="L1834" s="27">
        <f>IF($A1834="","",TRIM(IF(ISERROR(FIND(",",$C1834)),$C1834,LEFT($C1834,FIND(",",$C1834)-1))))</f>
        <v/>
      </c>
      <c r="M1834" s="28">
        <f>IF($H1834="","",DATE(YEAR($H1834),MONTH($H1834),1))</f>
        <v/>
      </c>
      <c r="N1834" s="26">
        <f>IF($H1834="","",TODAY()-$H1834)</f>
        <v/>
      </c>
      <c r="O1834" s="15" t="n"/>
      <c r="P1834" s="26">
        <f>IF($A1834="","",COUNTIFS('Audit Versions'!$A$6:$A$605,$A1834,'Audit Versions'!$L$6:$L$605,"Active"))</f>
        <v/>
      </c>
      <c r="Q1834" s="15" t="n"/>
      <c r="R1834" s="26">
        <f>IF(OR($A1834="",$P1834=0),"",MOD(N($Q1834),$P1834)+1)</f>
        <v/>
      </c>
      <c r="S1834" s="15" t="n"/>
      <c r="T1834" s="25" t="n"/>
      <c r="U1834" s="26">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Builder'!$B$12="",N($S1834)&lt;='Assignment Builder'!$B$12)))</f>
        <v/>
      </c>
      <c r="V1834" s="23" t="n"/>
    </row>
    <row r="1835">
      <c r="A1835" s="23" t="n"/>
      <c r="B1835" s="23" t="n"/>
      <c r="C1835" s="24" t="n"/>
      <c r="D1835" s="15" t="n"/>
      <c r="E1835" s="23" t="n"/>
      <c r="F1835" s="15" t="n"/>
      <c r="G1835" s="23" t="n"/>
      <c r="H1835" s="25" t="n"/>
      <c r="I1835" s="15" t="n"/>
      <c r="J1835" s="26">
        <f>IF($A1835="","",LEN($C1835)-LEN(SUBSTITUTE($C1835,",",""))+1)</f>
        <v/>
      </c>
      <c r="K1835" s="26">
        <f>IF($A1835="","",SUMPRODUCT(--ISNUMBER(SEARCH('Category Dictionary'!$D$5:$D$135&amp;"",$C1835)),--('Category Dictionary'!$D$5:$D$135&lt;&gt;"")))</f>
        <v/>
      </c>
      <c r="L1835" s="27">
        <f>IF($A1835="","",TRIM(IF(ISERROR(FIND(",",$C1835)),$C1835,LEFT($C1835,FIND(",",$C1835)-1))))</f>
        <v/>
      </c>
      <c r="M1835" s="28">
        <f>IF($H1835="","",DATE(YEAR($H1835),MONTH($H1835),1))</f>
        <v/>
      </c>
      <c r="N1835" s="26">
        <f>IF($H1835="","",TODAY()-$H1835)</f>
        <v/>
      </c>
      <c r="O1835" s="15" t="n"/>
      <c r="P1835" s="26">
        <f>IF($A1835="","",COUNTIFS('Audit Versions'!$A$6:$A$605,$A1835,'Audit Versions'!$L$6:$L$605,"Active"))</f>
        <v/>
      </c>
      <c r="Q1835" s="15" t="n"/>
      <c r="R1835" s="26">
        <f>IF(OR($A1835="",$P1835=0),"",MOD(N($Q1835),$P1835)+1)</f>
        <v/>
      </c>
      <c r="S1835" s="15" t="n"/>
      <c r="T1835" s="25" t="n"/>
      <c r="U1835" s="26">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Builder'!$B$12="",N($S1835)&lt;='Assignment Builder'!$B$12)))</f>
        <v/>
      </c>
      <c r="V1835" s="23" t="n"/>
    </row>
    <row r="1836">
      <c r="A1836" s="23" t="n"/>
      <c r="B1836" s="23" t="n"/>
      <c r="C1836" s="24" t="n"/>
      <c r="D1836" s="15" t="n"/>
      <c r="E1836" s="23" t="n"/>
      <c r="F1836" s="15" t="n"/>
      <c r="G1836" s="23" t="n"/>
      <c r="H1836" s="25" t="n"/>
      <c r="I1836" s="15" t="n"/>
      <c r="J1836" s="26">
        <f>IF($A1836="","",LEN($C1836)-LEN(SUBSTITUTE($C1836,",",""))+1)</f>
        <v/>
      </c>
      <c r="K1836" s="26">
        <f>IF($A1836="","",SUMPRODUCT(--ISNUMBER(SEARCH('Category Dictionary'!$D$5:$D$135&amp;"",$C1836)),--('Category Dictionary'!$D$5:$D$135&lt;&gt;"")))</f>
        <v/>
      </c>
      <c r="L1836" s="27">
        <f>IF($A1836="","",TRIM(IF(ISERROR(FIND(",",$C1836)),$C1836,LEFT($C1836,FIND(",",$C1836)-1))))</f>
        <v/>
      </c>
      <c r="M1836" s="28">
        <f>IF($H1836="","",DATE(YEAR($H1836),MONTH($H1836),1))</f>
        <v/>
      </c>
      <c r="N1836" s="26">
        <f>IF($H1836="","",TODAY()-$H1836)</f>
        <v/>
      </c>
      <c r="O1836" s="15" t="n"/>
      <c r="P1836" s="26">
        <f>IF($A1836="","",COUNTIFS('Audit Versions'!$A$6:$A$605,$A1836,'Audit Versions'!$L$6:$L$605,"Active"))</f>
        <v/>
      </c>
      <c r="Q1836" s="15" t="n"/>
      <c r="R1836" s="26">
        <f>IF(OR($A1836="",$P1836=0),"",MOD(N($Q1836),$P1836)+1)</f>
        <v/>
      </c>
      <c r="S1836" s="15" t="n"/>
      <c r="T1836" s="25" t="n"/>
      <c r="U1836" s="26">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Builder'!$B$12="",N($S1836)&lt;='Assignment Builder'!$B$12)))</f>
        <v/>
      </c>
      <c r="V1836" s="23" t="n"/>
    </row>
    <row r="1837">
      <c r="A1837" s="23" t="n"/>
      <c r="B1837" s="23" t="n"/>
      <c r="C1837" s="24" t="n"/>
      <c r="D1837" s="15" t="n"/>
      <c r="E1837" s="23" t="n"/>
      <c r="F1837" s="15" t="n"/>
      <c r="G1837" s="23" t="n"/>
      <c r="H1837" s="25" t="n"/>
      <c r="I1837" s="15" t="n"/>
      <c r="J1837" s="26">
        <f>IF($A1837="","",LEN($C1837)-LEN(SUBSTITUTE($C1837,",",""))+1)</f>
        <v/>
      </c>
      <c r="K1837" s="26">
        <f>IF($A1837="","",SUMPRODUCT(--ISNUMBER(SEARCH('Category Dictionary'!$D$5:$D$135&amp;"",$C1837)),--('Category Dictionary'!$D$5:$D$135&lt;&gt;"")))</f>
        <v/>
      </c>
      <c r="L1837" s="27">
        <f>IF($A1837="","",TRIM(IF(ISERROR(FIND(",",$C1837)),$C1837,LEFT($C1837,FIND(",",$C1837)-1))))</f>
        <v/>
      </c>
      <c r="M1837" s="28">
        <f>IF($H1837="","",DATE(YEAR($H1837),MONTH($H1837),1))</f>
        <v/>
      </c>
      <c r="N1837" s="26">
        <f>IF($H1837="","",TODAY()-$H1837)</f>
        <v/>
      </c>
      <c r="O1837" s="15" t="n"/>
      <c r="P1837" s="26">
        <f>IF($A1837="","",COUNTIFS('Audit Versions'!$A$6:$A$605,$A1837,'Audit Versions'!$L$6:$L$605,"Active"))</f>
        <v/>
      </c>
      <c r="Q1837" s="15" t="n"/>
      <c r="R1837" s="26">
        <f>IF(OR($A1837="",$P1837=0),"",MOD(N($Q1837),$P1837)+1)</f>
        <v/>
      </c>
      <c r="S1837" s="15" t="n"/>
      <c r="T1837" s="25" t="n"/>
      <c r="U1837" s="26">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Builder'!$B$12="",N($S1837)&lt;='Assignment Builder'!$B$12)))</f>
        <v/>
      </c>
      <c r="V1837" s="23" t="n"/>
    </row>
    <row r="1838">
      <c r="A1838" s="23" t="n"/>
      <c r="B1838" s="23" t="n"/>
      <c r="C1838" s="24" t="n"/>
      <c r="D1838" s="15" t="n"/>
      <c r="E1838" s="23" t="n"/>
      <c r="F1838" s="15" t="n"/>
      <c r="G1838" s="23" t="n"/>
      <c r="H1838" s="25" t="n"/>
      <c r="I1838" s="15" t="n"/>
      <c r="J1838" s="26">
        <f>IF($A1838="","",LEN($C1838)-LEN(SUBSTITUTE($C1838,",",""))+1)</f>
        <v/>
      </c>
      <c r="K1838" s="26">
        <f>IF($A1838="","",SUMPRODUCT(--ISNUMBER(SEARCH('Category Dictionary'!$D$5:$D$135&amp;"",$C1838)),--('Category Dictionary'!$D$5:$D$135&lt;&gt;"")))</f>
        <v/>
      </c>
      <c r="L1838" s="27">
        <f>IF($A1838="","",TRIM(IF(ISERROR(FIND(",",$C1838)),$C1838,LEFT($C1838,FIND(",",$C1838)-1))))</f>
        <v/>
      </c>
      <c r="M1838" s="28">
        <f>IF($H1838="","",DATE(YEAR($H1838),MONTH($H1838),1))</f>
        <v/>
      </c>
      <c r="N1838" s="26">
        <f>IF($H1838="","",TODAY()-$H1838)</f>
        <v/>
      </c>
      <c r="O1838" s="15" t="n"/>
      <c r="P1838" s="26">
        <f>IF($A1838="","",COUNTIFS('Audit Versions'!$A$6:$A$605,$A1838,'Audit Versions'!$L$6:$L$605,"Active"))</f>
        <v/>
      </c>
      <c r="Q1838" s="15" t="n"/>
      <c r="R1838" s="26">
        <f>IF(OR($A1838="",$P1838=0),"",MOD(N($Q1838),$P1838)+1)</f>
        <v/>
      </c>
      <c r="S1838" s="15" t="n"/>
      <c r="T1838" s="25" t="n"/>
      <c r="U1838" s="26">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Builder'!$B$12="",N($S1838)&lt;='Assignment Builder'!$B$12)))</f>
        <v/>
      </c>
      <c r="V1838" s="23" t="n"/>
    </row>
    <row r="1839">
      <c r="A1839" s="23" t="n"/>
      <c r="B1839" s="23" t="n"/>
      <c r="C1839" s="24" t="n"/>
      <c r="D1839" s="15" t="n"/>
      <c r="E1839" s="23" t="n"/>
      <c r="F1839" s="15" t="n"/>
      <c r="G1839" s="23" t="n"/>
      <c r="H1839" s="25" t="n"/>
      <c r="I1839" s="15" t="n"/>
      <c r="J1839" s="26">
        <f>IF($A1839="","",LEN($C1839)-LEN(SUBSTITUTE($C1839,",",""))+1)</f>
        <v/>
      </c>
      <c r="K1839" s="26">
        <f>IF($A1839="","",SUMPRODUCT(--ISNUMBER(SEARCH('Category Dictionary'!$D$5:$D$135&amp;"",$C1839)),--('Category Dictionary'!$D$5:$D$135&lt;&gt;"")))</f>
        <v/>
      </c>
      <c r="L1839" s="27">
        <f>IF($A1839="","",TRIM(IF(ISERROR(FIND(",",$C1839)),$C1839,LEFT($C1839,FIND(",",$C1839)-1))))</f>
        <v/>
      </c>
      <c r="M1839" s="28">
        <f>IF($H1839="","",DATE(YEAR($H1839),MONTH($H1839),1))</f>
        <v/>
      </c>
      <c r="N1839" s="26">
        <f>IF($H1839="","",TODAY()-$H1839)</f>
        <v/>
      </c>
      <c r="O1839" s="15" t="n"/>
      <c r="P1839" s="26">
        <f>IF($A1839="","",COUNTIFS('Audit Versions'!$A$6:$A$605,$A1839,'Audit Versions'!$L$6:$L$605,"Active"))</f>
        <v/>
      </c>
      <c r="Q1839" s="15" t="n"/>
      <c r="R1839" s="26">
        <f>IF(OR($A1839="",$P1839=0),"",MOD(N($Q1839),$P1839)+1)</f>
        <v/>
      </c>
      <c r="S1839" s="15" t="n"/>
      <c r="T1839" s="25" t="n"/>
      <c r="U1839" s="26">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Builder'!$B$12="",N($S1839)&lt;='Assignment Builder'!$B$12)))</f>
        <v/>
      </c>
      <c r="V1839" s="23" t="n"/>
    </row>
    <row r="1840">
      <c r="A1840" s="23" t="n"/>
      <c r="B1840" s="23" t="n"/>
      <c r="C1840" s="24" t="n"/>
      <c r="D1840" s="15" t="n"/>
      <c r="E1840" s="23" t="n"/>
      <c r="F1840" s="15" t="n"/>
      <c r="G1840" s="23" t="n"/>
      <c r="H1840" s="25" t="n"/>
      <c r="I1840" s="15" t="n"/>
      <c r="J1840" s="26">
        <f>IF($A1840="","",LEN($C1840)-LEN(SUBSTITUTE($C1840,",",""))+1)</f>
        <v/>
      </c>
      <c r="K1840" s="26">
        <f>IF($A1840="","",SUMPRODUCT(--ISNUMBER(SEARCH('Category Dictionary'!$D$5:$D$135&amp;"",$C1840)),--('Category Dictionary'!$D$5:$D$135&lt;&gt;"")))</f>
        <v/>
      </c>
      <c r="L1840" s="27">
        <f>IF($A1840="","",TRIM(IF(ISERROR(FIND(",",$C1840)),$C1840,LEFT($C1840,FIND(",",$C1840)-1))))</f>
        <v/>
      </c>
      <c r="M1840" s="28">
        <f>IF($H1840="","",DATE(YEAR($H1840),MONTH($H1840),1))</f>
        <v/>
      </c>
      <c r="N1840" s="26">
        <f>IF($H1840="","",TODAY()-$H1840)</f>
        <v/>
      </c>
      <c r="O1840" s="15" t="n"/>
      <c r="P1840" s="26">
        <f>IF($A1840="","",COUNTIFS('Audit Versions'!$A$6:$A$605,$A1840,'Audit Versions'!$L$6:$L$605,"Active"))</f>
        <v/>
      </c>
      <c r="Q1840" s="15" t="n"/>
      <c r="R1840" s="26">
        <f>IF(OR($A1840="",$P1840=0),"",MOD(N($Q1840),$P1840)+1)</f>
        <v/>
      </c>
      <c r="S1840" s="15" t="n"/>
      <c r="T1840" s="25" t="n"/>
      <c r="U1840" s="26">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Builder'!$B$12="",N($S1840)&lt;='Assignment Builder'!$B$12)))</f>
        <v/>
      </c>
      <c r="V1840" s="23" t="n"/>
    </row>
    <row r="1841">
      <c r="A1841" s="23" t="n"/>
      <c r="B1841" s="23" t="n"/>
      <c r="C1841" s="24" t="n"/>
      <c r="D1841" s="15" t="n"/>
      <c r="E1841" s="23" t="n"/>
      <c r="F1841" s="15" t="n"/>
      <c r="G1841" s="23" t="n"/>
      <c r="H1841" s="25" t="n"/>
      <c r="I1841" s="15" t="n"/>
      <c r="J1841" s="26">
        <f>IF($A1841="","",LEN($C1841)-LEN(SUBSTITUTE($C1841,",",""))+1)</f>
        <v/>
      </c>
      <c r="K1841" s="26">
        <f>IF($A1841="","",SUMPRODUCT(--ISNUMBER(SEARCH('Category Dictionary'!$D$5:$D$135&amp;"",$C1841)),--('Category Dictionary'!$D$5:$D$135&lt;&gt;"")))</f>
        <v/>
      </c>
      <c r="L1841" s="27">
        <f>IF($A1841="","",TRIM(IF(ISERROR(FIND(",",$C1841)),$C1841,LEFT($C1841,FIND(",",$C1841)-1))))</f>
        <v/>
      </c>
      <c r="M1841" s="28">
        <f>IF($H1841="","",DATE(YEAR($H1841),MONTH($H1841),1))</f>
        <v/>
      </c>
      <c r="N1841" s="26">
        <f>IF($H1841="","",TODAY()-$H1841)</f>
        <v/>
      </c>
      <c r="O1841" s="15" t="n"/>
      <c r="P1841" s="26">
        <f>IF($A1841="","",COUNTIFS('Audit Versions'!$A$6:$A$605,$A1841,'Audit Versions'!$L$6:$L$605,"Active"))</f>
        <v/>
      </c>
      <c r="Q1841" s="15" t="n"/>
      <c r="R1841" s="26">
        <f>IF(OR($A1841="",$P1841=0),"",MOD(N($Q1841),$P1841)+1)</f>
        <v/>
      </c>
      <c r="S1841" s="15" t="n"/>
      <c r="T1841" s="25" t="n"/>
      <c r="U1841" s="26">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Builder'!$B$12="",N($S1841)&lt;='Assignment Builder'!$B$12)))</f>
        <v/>
      </c>
      <c r="V1841" s="23" t="n"/>
    </row>
    <row r="1842">
      <c r="A1842" s="23" t="n"/>
      <c r="B1842" s="23" t="n"/>
      <c r="C1842" s="24" t="n"/>
      <c r="D1842" s="15" t="n"/>
      <c r="E1842" s="23" t="n"/>
      <c r="F1842" s="15" t="n"/>
      <c r="G1842" s="23" t="n"/>
      <c r="H1842" s="25" t="n"/>
      <c r="I1842" s="15" t="n"/>
      <c r="J1842" s="26">
        <f>IF($A1842="","",LEN($C1842)-LEN(SUBSTITUTE($C1842,",",""))+1)</f>
        <v/>
      </c>
      <c r="K1842" s="26">
        <f>IF($A1842="","",SUMPRODUCT(--ISNUMBER(SEARCH('Category Dictionary'!$D$5:$D$135&amp;"",$C1842)),--('Category Dictionary'!$D$5:$D$135&lt;&gt;"")))</f>
        <v/>
      </c>
      <c r="L1842" s="27">
        <f>IF($A1842="","",TRIM(IF(ISERROR(FIND(",",$C1842)),$C1842,LEFT($C1842,FIND(",",$C1842)-1))))</f>
        <v/>
      </c>
      <c r="M1842" s="28">
        <f>IF($H1842="","",DATE(YEAR($H1842),MONTH($H1842),1))</f>
        <v/>
      </c>
      <c r="N1842" s="26">
        <f>IF($H1842="","",TODAY()-$H1842)</f>
        <v/>
      </c>
      <c r="O1842" s="15" t="n"/>
      <c r="P1842" s="26">
        <f>IF($A1842="","",COUNTIFS('Audit Versions'!$A$6:$A$605,$A1842,'Audit Versions'!$L$6:$L$605,"Active"))</f>
        <v/>
      </c>
      <c r="Q1842" s="15" t="n"/>
      <c r="R1842" s="26">
        <f>IF(OR($A1842="",$P1842=0),"",MOD(N($Q1842),$P1842)+1)</f>
        <v/>
      </c>
      <c r="S1842" s="15" t="n"/>
      <c r="T1842" s="25" t="n"/>
      <c r="U1842" s="26">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Builder'!$B$12="",N($S1842)&lt;='Assignment Builder'!$B$12)))</f>
        <v/>
      </c>
      <c r="V1842" s="23" t="n"/>
    </row>
    <row r="1843">
      <c r="A1843" s="23" t="n"/>
      <c r="B1843" s="23" t="n"/>
      <c r="C1843" s="24" t="n"/>
      <c r="D1843" s="15" t="n"/>
      <c r="E1843" s="23" t="n"/>
      <c r="F1843" s="15" t="n"/>
      <c r="G1843" s="23" t="n"/>
      <c r="H1843" s="25" t="n"/>
      <c r="I1843" s="15" t="n"/>
      <c r="J1843" s="26">
        <f>IF($A1843="","",LEN($C1843)-LEN(SUBSTITUTE($C1843,",",""))+1)</f>
        <v/>
      </c>
      <c r="K1843" s="26">
        <f>IF($A1843="","",SUMPRODUCT(--ISNUMBER(SEARCH('Category Dictionary'!$D$5:$D$135&amp;"",$C1843)),--('Category Dictionary'!$D$5:$D$135&lt;&gt;"")))</f>
        <v/>
      </c>
      <c r="L1843" s="27">
        <f>IF($A1843="","",TRIM(IF(ISERROR(FIND(",",$C1843)),$C1843,LEFT($C1843,FIND(",",$C1843)-1))))</f>
        <v/>
      </c>
      <c r="M1843" s="28">
        <f>IF($H1843="","",DATE(YEAR($H1843),MONTH($H1843),1))</f>
        <v/>
      </c>
      <c r="N1843" s="26">
        <f>IF($H1843="","",TODAY()-$H1843)</f>
        <v/>
      </c>
      <c r="O1843" s="15" t="n"/>
      <c r="P1843" s="26">
        <f>IF($A1843="","",COUNTIFS('Audit Versions'!$A$6:$A$605,$A1843,'Audit Versions'!$L$6:$L$605,"Active"))</f>
        <v/>
      </c>
      <c r="Q1843" s="15" t="n"/>
      <c r="R1843" s="26">
        <f>IF(OR($A1843="",$P1843=0),"",MOD(N($Q1843),$P1843)+1)</f>
        <v/>
      </c>
      <c r="S1843" s="15" t="n"/>
      <c r="T1843" s="25" t="n"/>
      <c r="U1843" s="26">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Builder'!$B$12="",N($S1843)&lt;='Assignment Builder'!$B$12)))</f>
        <v/>
      </c>
      <c r="V1843" s="23" t="n"/>
    </row>
    <row r="1844">
      <c r="A1844" s="23" t="n"/>
      <c r="B1844" s="23" t="n"/>
      <c r="C1844" s="24" t="n"/>
      <c r="D1844" s="15" t="n"/>
      <c r="E1844" s="23" t="n"/>
      <c r="F1844" s="15" t="n"/>
      <c r="G1844" s="23" t="n"/>
      <c r="H1844" s="25" t="n"/>
      <c r="I1844" s="15" t="n"/>
      <c r="J1844" s="26">
        <f>IF($A1844="","",LEN($C1844)-LEN(SUBSTITUTE($C1844,",",""))+1)</f>
        <v/>
      </c>
      <c r="K1844" s="26">
        <f>IF($A1844="","",SUMPRODUCT(--ISNUMBER(SEARCH('Category Dictionary'!$D$5:$D$135&amp;"",$C1844)),--('Category Dictionary'!$D$5:$D$135&lt;&gt;"")))</f>
        <v/>
      </c>
      <c r="L1844" s="27">
        <f>IF($A1844="","",TRIM(IF(ISERROR(FIND(",",$C1844)),$C1844,LEFT($C1844,FIND(",",$C1844)-1))))</f>
        <v/>
      </c>
      <c r="M1844" s="28">
        <f>IF($H1844="","",DATE(YEAR($H1844),MONTH($H1844),1))</f>
        <v/>
      </c>
      <c r="N1844" s="26">
        <f>IF($H1844="","",TODAY()-$H1844)</f>
        <v/>
      </c>
      <c r="O1844" s="15" t="n"/>
      <c r="P1844" s="26">
        <f>IF($A1844="","",COUNTIFS('Audit Versions'!$A$6:$A$605,$A1844,'Audit Versions'!$L$6:$L$605,"Active"))</f>
        <v/>
      </c>
      <c r="Q1844" s="15" t="n"/>
      <c r="R1844" s="26">
        <f>IF(OR($A1844="",$P1844=0),"",MOD(N($Q1844),$P1844)+1)</f>
        <v/>
      </c>
      <c r="S1844" s="15" t="n"/>
      <c r="T1844" s="25" t="n"/>
      <c r="U1844" s="26">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Builder'!$B$12="",N($S1844)&lt;='Assignment Builder'!$B$12)))</f>
        <v/>
      </c>
      <c r="V1844" s="23" t="n"/>
    </row>
    <row r="1845">
      <c r="A1845" s="23" t="n"/>
      <c r="B1845" s="23" t="n"/>
      <c r="C1845" s="24" t="n"/>
      <c r="D1845" s="15" t="n"/>
      <c r="E1845" s="23" t="n"/>
      <c r="F1845" s="15" t="n"/>
      <c r="G1845" s="23" t="n"/>
      <c r="H1845" s="25" t="n"/>
      <c r="I1845" s="15" t="n"/>
      <c r="J1845" s="26">
        <f>IF($A1845="","",LEN($C1845)-LEN(SUBSTITUTE($C1845,",",""))+1)</f>
        <v/>
      </c>
      <c r="K1845" s="26">
        <f>IF($A1845="","",SUMPRODUCT(--ISNUMBER(SEARCH('Category Dictionary'!$D$5:$D$135&amp;"",$C1845)),--('Category Dictionary'!$D$5:$D$135&lt;&gt;"")))</f>
        <v/>
      </c>
      <c r="L1845" s="27">
        <f>IF($A1845="","",TRIM(IF(ISERROR(FIND(",",$C1845)),$C1845,LEFT($C1845,FIND(",",$C1845)-1))))</f>
        <v/>
      </c>
      <c r="M1845" s="28">
        <f>IF($H1845="","",DATE(YEAR($H1845),MONTH($H1845),1))</f>
        <v/>
      </c>
      <c r="N1845" s="26">
        <f>IF($H1845="","",TODAY()-$H1845)</f>
        <v/>
      </c>
      <c r="O1845" s="15" t="n"/>
      <c r="P1845" s="26">
        <f>IF($A1845="","",COUNTIFS('Audit Versions'!$A$6:$A$605,$A1845,'Audit Versions'!$L$6:$L$605,"Active"))</f>
        <v/>
      </c>
      <c r="Q1845" s="15" t="n"/>
      <c r="R1845" s="26">
        <f>IF(OR($A1845="",$P1845=0),"",MOD(N($Q1845),$P1845)+1)</f>
        <v/>
      </c>
      <c r="S1845" s="15" t="n"/>
      <c r="T1845" s="25" t="n"/>
      <c r="U1845" s="26">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Builder'!$B$12="",N($S1845)&lt;='Assignment Builder'!$B$12)))</f>
        <v/>
      </c>
      <c r="V1845" s="23" t="n"/>
    </row>
    <row r="1846">
      <c r="A1846" s="23" t="n"/>
      <c r="B1846" s="23" t="n"/>
      <c r="C1846" s="24" t="n"/>
      <c r="D1846" s="15" t="n"/>
      <c r="E1846" s="23" t="n"/>
      <c r="F1846" s="15" t="n"/>
      <c r="G1846" s="23" t="n"/>
      <c r="H1846" s="25" t="n"/>
      <c r="I1846" s="15" t="n"/>
      <c r="J1846" s="26">
        <f>IF($A1846="","",LEN($C1846)-LEN(SUBSTITUTE($C1846,",",""))+1)</f>
        <v/>
      </c>
      <c r="K1846" s="26">
        <f>IF($A1846="","",SUMPRODUCT(--ISNUMBER(SEARCH('Category Dictionary'!$D$5:$D$135&amp;"",$C1846)),--('Category Dictionary'!$D$5:$D$135&lt;&gt;"")))</f>
        <v/>
      </c>
      <c r="L1846" s="27">
        <f>IF($A1846="","",TRIM(IF(ISERROR(FIND(",",$C1846)),$C1846,LEFT($C1846,FIND(",",$C1846)-1))))</f>
        <v/>
      </c>
      <c r="M1846" s="28">
        <f>IF($H1846="","",DATE(YEAR($H1846),MONTH($H1846),1))</f>
        <v/>
      </c>
      <c r="N1846" s="26">
        <f>IF($H1846="","",TODAY()-$H1846)</f>
        <v/>
      </c>
      <c r="O1846" s="15" t="n"/>
      <c r="P1846" s="26">
        <f>IF($A1846="","",COUNTIFS('Audit Versions'!$A$6:$A$605,$A1846,'Audit Versions'!$L$6:$L$605,"Active"))</f>
        <v/>
      </c>
      <c r="Q1846" s="15" t="n"/>
      <c r="R1846" s="26">
        <f>IF(OR($A1846="",$P1846=0),"",MOD(N($Q1846),$P1846)+1)</f>
        <v/>
      </c>
      <c r="S1846" s="15" t="n"/>
      <c r="T1846" s="25" t="n"/>
      <c r="U1846" s="26">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Builder'!$B$12="",N($S1846)&lt;='Assignment Builder'!$B$12)))</f>
        <v/>
      </c>
      <c r="V1846" s="23" t="n"/>
    </row>
    <row r="1847">
      <c r="A1847" s="23" t="n"/>
      <c r="B1847" s="23" t="n"/>
      <c r="C1847" s="24" t="n"/>
      <c r="D1847" s="15" t="n"/>
      <c r="E1847" s="23" t="n"/>
      <c r="F1847" s="15" t="n"/>
      <c r="G1847" s="23" t="n"/>
      <c r="H1847" s="25" t="n"/>
      <c r="I1847" s="15" t="n"/>
      <c r="J1847" s="26">
        <f>IF($A1847="","",LEN($C1847)-LEN(SUBSTITUTE($C1847,",",""))+1)</f>
        <v/>
      </c>
      <c r="K1847" s="26">
        <f>IF($A1847="","",SUMPRODUCT(--ISNUMBER(SEARCH('Category Dictionary'!$D$5:$D$135&amp;"",$C1847)),--('Category Dictionary'!$D$5:$D$135&lt;&gt;"")))</f>
        <v/>
      </c>
      <c r="L1847" s="27">
        <f>IF($A1847="","",TRIM(IF(ISERROR(FIND(",",$C1847)),$C1847,LEFT($C1847,FIND(",",$C1847)-1))))</f>
        <v/>
      </c>
      <c r="M1847" s="28">
        <f>IF($H1847="","",DATE(YEAR($H1847),MONTH($H1847),1))</f>
        <v/>
      </c>
      <c r="N1847" s="26">
        <f>IF($H1847="","",TODAY()-$H1847)</f>
        <v/>
      </c>
      <c r="O1847" s="15" t="n"/>
      <c r="P1847" s="26">
        <f>IF($A1847="","",COUNTIFS('Audit Versions'!$A$6:$A$605,$A1847,'Audit Versions'!$L$6:$L$605,"Active"))</f>
        <v/>
      </c>
      <c r="Q1847" s="15" t="n"/>
      <c r="R1847" s="26">
        <f>IF(OR($A1847="",$P1847=0),"",MOD(N($Q1847),$P1847)+1)</f>
        <v/>
      </c>
      <c r="S1847" s="15" t="n"/>
      <c r="T1847" s="25" t="n"/>
      <c r="U1847" s="26">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Builder'!$B$12="",N($S1847)&lt;='Assignment Builder'!$B$12)))</f>
        <v/>
      </c>
      <c r="V1847" s="23" t="n"/>
    </row>
    <row r="1848">
      <c r="A1848" s="23" t="n"/>
      <c r="B1848" s="23" t="n"/>
      <c r="C1848" s="24" t="n"/>
      <c r="D1848" s="15" t="n"/>
      <c r="E1848" s="23" t="n"/>
      <c r="F1848" s="15" t="n"/>
      <c r="G1848" s="23" t="n"/>
      <c r="H1848" s="25" t="n"/>
      <c r="I1848" s="15" t="n"/>
      <c r="J1848" s="26">
        <f>IF($A1848="","",LEN($C1848)-LEN(SUBSTITUTE($C1848,",",""))+1)</f>
        <v/>
      </c>
      <c r="K1848" s="26">
        <f>IF($A1848="","",SUMPRODUCT(--ISNUMBER(SEARCH('Category Dictionary'!$D$5:$D$135&amp;"",$C1848)),--('Category Dictionary'!$D$5:$D$135&lt;&gt;"")))</f>
        <v/>
      </c>
      <c r="L1848" s="27">
        <f>IF($A1848="","",TRIM(IF(ISERROR(FIND(",",$C1848)),$C1848,LEFT($C1848,FIND(",",$C1848)-1))))</f>
        <v/>
      </c>
      <c r="M1848" s="28">
        <f>IF($H1848="","",DATE(YEAR($H1848),MONTH($H1848),1))</f>
        <v/>
      </c>
      <c r="N1848" s="26">
        <f>IF($H1848="","",TODAY()-$H1848)</f>
        <v/>
      </c>
      <c r="O1848" s="15" t="n"/>
      <c r="P1848" s="26">
        <f>IF($A1848="","",COUNTIFS('Audit Versions'!$A$6:$A$605,$A1848,'Audit Versions'!$L$6:$L$605,"Active"))</f>
        <v/>
      </c>
      <c r="Q1848" s="15" t="n"/>
      <c r="R1848" s="26">
        <f>IF(OR($A1848="",$P1848=0),"",MOD(N($Q1848),$P1848)+1)</f>
        <v/>
      </c>
      <c r="S1848" s="15" t="n"/>
      <c r="T1848" s="25" t="n"/>
      <c r="U1848" s="26">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Builder'!$B$12="",N($S1848)&lt;='Assignment Builder'!$B$12)))</f>
        <v/>
      </c>
      <c r="V1848" s="23" t="n"/>
    </row>
    <row r="1849">
      <c r="A1849" s="23" t="n"/>
      <c r="B1849" s="23" t="n"/>
      <c r="C1849" s="24" t="n"/>
      <c r="D1849" s="15" t="n"/>
      <c r="E1849" s="23" t="n"/>
      <c r="F1849" s="15" t="n"/>
      <c r="G1849" s="23" t="n"/>
      <c r="H1849" s="25" t="n"/>
      <c r="I1849" s="15" t="n"/>
      <c r="J1849" s="26">
        <f>IF($A1849="","",LEN($C1849)-LEN(SUBSTITUTE($C1849,",",""))+1)</f>
        <v/>
      </c>
      <c r="K1849" s="26">
        <f>IF($A1849="","",SUMPRODUCT(--ISNUMBER(SEARCH('Category Dictionary'!$D$5:$D$135&amp;"",$C1849)),--('Category Dictionary'!$D$5:$D$135&lt;&gt;"")))</f>
        <v/>
      </c>
      <c r="L1849" s="27">
        <f>IF($A1849="","",TRIM(IF(ISERROR(FIND(",",$C1849)),$C1849,LEFT($C1849,FIND(",",$C1849)-1))))</f>
        <v/>
      </c>
      <c r="M1849" s="28">
        <f>IF($H1849="","",DATE(YEAR($H1849),MONTH($H1849),1))</f>
        <v/>
      </c>
      <c r="N1849" s="26">
        <f>IF($H1849="","",TODAY()-$H1849)</f>
        <v/>
      </c>
      <c r="O1849" s="15" t="n"/>
      <c r="P1849" s="26">
        <f>IF($A1849="","",COUNTIFS('Audit Versions'!$A$6:$A$605,$A1849,'Audit Versions'!$L$6:$L$605,"Active"))</f>
        <v/>
      </c>
      <c r="Q1849" s="15" t="n"/>
      <c r="R1849" s="26">
        <f>IF(OR($A1849="",$P1849=0),"",MOD(N($Q1849),$P1849)+1)</f>
        <v/>
      </c>
      <c r="S1849" s="15" t="n"/>
      <c r="T1849" s="25" t="n"/>
      <c r="U1849" s="26">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Builder'!$B$12="",N($S1849)&lt;='Assignment Builder'!$B$12)))</f>
        <v/>
      </c>
      <c r="V1849" s="23" t="n"/>
    </row>
    <row r="1850">
      <c r="A1850" s="23" t="n"/>
      <c r="B1850" s="23" t="n"/>
      <c r="C1850" s="24" t="n"/>
      <c r="D1850" s="15" t="n"/>
      <c r="E1850" s="23" t="n"/>
      <c r="F1850" s="15" t="n"/>
      <c r="G1850" s="23" t="n"/>
      <c r="H1850" s="25" t="n"/>
      <c r="I1850" s="15" t="n"/>
      <c r="J1850" s="26">
        <f>IF($A1850="","",LEN($C1850)-LEN(SUBSTITUTE($C1850,",",""))+1)</f>
        <v/>
      </c>
      <c r="K1850" s="26">
        <f>IF($A1850="","",SUMPRODUCT(--ISNUMBER(SEARCH('Category Dictionary'!$D$5:$D$135&amp;"",$C1850)),--('Category Dictionary'!$D$5:$D$135&lt;&gt;"")))</f>
        <v/>
      </c>
      <c r="L1850" s="27">
        <f>IF($A1850="","",TRIM(IF(ISERROR(FIND(",",$C1850)),$C1850,LEFT($C1850,FIND(",",$C1850)-1))))</f>
        <v/>
      </c>
      <c r="M1850" s="28">
        <f>IF($H1850="","",DATE(YEAR($H1850),MONTH($H1850),1))</f>
        <v/>
      </c>
      <c r="N1850" s="26">
        <f>IF($H1850="","",TODAY()-$H1850)</f>
        <v/>
      </c>
      <c r="O1850" s="15" t="n"/>
      <c r="P1850" s="26">
        <f>IF($A1850="","",COUNTIFS('Audit Versions'!$A$6:$A$605,$A1850,'Audit Versions'!$L$6:$L$605,"Active"))</f>
        <v/>
      </c>
      <c r="Q1850" s="15" t="n"/>
      <c r="R1850" s="26">
        <f>IF(OR($A1850="",$P1850=0),"",MOD(N($Q1850),$P1850)+1)</f>
        <v/>
      </c>
      <c r="S1850" s="15" t="n"/>
      <c r="T1850" s="25" t="n"/>
      <c r="U1850" s="26">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Builder'!$B$12="",N($S1850)&lt;='Assignment Builder'!$B$12)))</f>
        <v/>
      </c>
      <c r="V1850" s="23" t="n"/>
    </row>
    <row r="1851">
      <c r="A1851" s="23" t="n"/>
      <c r="B1851" s="23" t="n"/>
      <c r="C1851" s="24" t="n"/>
      <c r="D1851" s="15" t="n"/>
      <c r="E1851" s="23" t="n"/>
      <c r="F1851" s="15" t="n"/>
      <c r="G1851" s="23" t="n"/>
      <c r="H1851" s="25" t="n"/>
      <c r="I1851" s="15" t="n"/>
      <c r="J1851" s="26">
        <f>IF($A1851="","",LEN($C1851)-LEN(SUBSTITUTE($C1851,",",""))+1)</f>
        <v/>
      </c>
      <c r="K1851" s="26">
        <f>IF($A1851="","",SUMPRODUCT(--ISNUMBER(SEARCH('Category Dictionary'!$D$5:$D$135&amp;"",$C1851)),--('Category Dictionary'!$D$5:$D$135&lt;&gt;"")))</f>
        <v/>
      </c>
      <c r="L1851" s="27">
        <f>IF($A1851="","",TRIM(IF(ISERROR(FIND(",",$C1851)),$C1851,LEFT($C1851,FIND(",",$C1851)-1))))</f>
        <v/>
      </c>
      <c r="M1851" s="28">
        <f>IF($H1851="","",DATE(YEAR($H1851),MONTH($H1851),1))</f>
        <v/>
      </c>
      <c r="N1851" s="26">
        <f>IF($H1851="","",TODAY()-$H1851)</f>
        <v/>
      </c>
      <c r="O1851" s="15" t="n"/>
      <c r="P1851" s="26">
        <f>IF($A1851="","",COUNTIFS('Audit Versions'!$A$6:$A$605,$A1851,'Audit Versions'!$L$6:$L$605,"Active"))</f>
        <v/>
      </c>
      <c r="Q1851" s="15" t="n"/>
      <c r="R1851" s="26">
        <f>IF(OR($A1851="",$P1851=0),"",MOD(N($Q1851),$P1851)+1)</f>
        <v/>
      </c>
      <c r="S1851" s="15" t="n"/>
      <c r="T1851" s="25" t="n"/>
      <c r="U1851" s="26">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Builder'!$B$12="",N($S1851)&lt;='Assignment Builder'!$B$12)))</f>
        <v/>
      </c>
      <c r="V1851" s="23" t="n"/>
    </row>
    <row r="1852">
      <c r="A1852" s="23" t="n"/>
      <c r="B1852" s="23" t="n"/>
      <c r="C1852" s="24" t="n"/>
      <c r="D1852" s="15" t="n"/>
      <c r="E1852" s="23" t="n"/>
      <c r="F1852" s="15" t="n"/>
      <c r="G1852" s="23" t="n"/>
      <c r="H1852" s="25" t="n"/>
      <c r="I1852" s="15" t="n"/>
      <c r="J1852" s="26">
        <f>IF($A1852="","",LEN($C1852)-LEN(SUBSTITUTE($C1852,",",""))+1)</f>
        <v/>
      </c>
      <c r="K1852" s="26">
        <f>IF($A1852="","",SUMPRODUCT(--ISNUMBER(SEARCH('Category Dictionary'!$D$5:$D$135&amp;"",$C1852)),--('Category Dictionary'!$D$5:$D$135&lt;&gt;"")))</f>
        <v/>
      </c>
      <c r="L1852" s="27">
        <f>IF($A1852="","",TRIM(IF(ISERROR(FIND(",",$C1852)),$C1852,LEFT($C1852,FIND(",",$C1852)-1))))</f>
        <v/>
      </c>
      <c r="M1852" s="28">
        <f>IF($H1852="","",DATE(YEAR($H1852),MONTH($H1852),1))</f>
        <v/>
      </c>
      <c r="N1852" s="26">
        <f>IF($H1852="","",TODAY()-$H1852)</f>
        <v/>
      </c>
      <c r="O1852" s="15" t="n"/>
      <c r="P1852" s="26">
        <f>IF($A1852="","",COUNTIFS('Audit Versions'!$A$6:$A$605,$A1852,'Audit Versions'!$L$6:$L$605,"Active"))</f>
        <v/>
      </c>
      <c r="Q1852" s="15" t="n"/>
      <c r="R1852" s="26">
        <f>IF(OR($A1852="",$P1852=0),"",MOD(N($Q1852),$P1852)+1)</f>
        <v/>
      </c>
      <c r="S1852" s="15" t="n"/>
      <c r="T1852" s="25" t="n"/>
      <c r="U1852" s="26">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Builder'!$B$12="",N($S1852)&lt;='Assignment Builder'!$B$12)))</f>
        <v/>
      </c>
      <c r="V1852" s="23" t="n"/>
    </row>
    <row r="1853">
      <c r="A1853" s="23" t="n"/>
      <c r="B1853" s="23" t="n"/>
      <c r="C1853" s="24" t="n"/>
      <c r="D1853" s="15" t="n"/>
      <c r="E1853" s="23" t="n"/>
      <c r="F1853" s="15" t="n"/>
      <c r="G1853" s="23" t="n"/>
      <c r="H1853" s="25" t="n"/>
      <c r="I1853" s="15" t="n"/>
      <c r="J1853" s="26">
        <f>IF($A1853="","",LEN($C1853)-LEN(SUBSTITUTE($C1853,",",""))+1)</f>
        <v/>
      </c>
      <c r="K1853" s="26">
        <f>IF($A1853="","",SUMPRODUCT(--ISNUMBER(SEARCH('Category Dictionary'!$D$5:$D$135&amp;"",$C1853)),--('Category Dictionary'!$D$5:$D$135&lt;&gt;"")))</f>
        <v/>
      </c>
      <c r="L1853" s="27">
        <f>IF($A1853="","",TRIM(IF(ISERROR(FIND(",",$C1853)),$C1853,LEFT($C1853,FIND(",",$C1853)-1))))</f>
        <v/>
      </c>
      <c r="M1853" s="28">
        <f>IF($H1853="","",DATE(YEAR($H1853),MONTH($H1853),1))</f>
        <v/>
      </c>
      <c r="N1853" s="26">
        <f>IF($H1853="","",TODAY()-$H1853)</f>
        <v/>
      </c>
      <c r="O1853" s="15" t="n"/>
      <c r="P1853" s="26">
        <f>IF($A1853="","",COUNTIFS('Audit Versions'!$A$6:$A$605,$A1853,'Audit Versions'!$L$6:$L$605,"Active"))</f>
        <v/>
      </c>
      <c r="Q1853" s="15" t="n"/>
      <c r="R1853" s="26">
        <f>IF(OR($A1853="",$P1853=0),"",MOD(N($Q1853),$P1853)+1)</f>
        <v/>
      </c>
      <c r="S1853" s="15" t="n"/>
      <c r="T1853" s="25" t="n"/>
      <c r="U1853" s="26">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Builder'!$B$12="",N($S1853)&lt;='Assignment Builder'!$B$12)))</f>
        <v/>
      </c>
      <c r="V1853" s="23" t="n"/>
    </row>
    <row r="1854">
      <c r="A1854" s="23" t="n"/>
      <c r="B1854" s="23" t="n"/>
      <c r="C1854" s="24" t="n"/>
      <c r="D1854" s="15" t="n"/>
      <c r="E1854" s="23" t="n"/>
      <c r="F1854" s="15" t="n"/>
      <c r="G1854" s="23" t="n"/>
      <c r="H1854" s="25" t="n"/>
      <c r="I1854" s="15" t="n"/>
      <c r="J1854" s="26">
        <f>IF($A1854="","",LEN($C1854)-LEN(SUBSTITUTE($C1854,",",""))+1)</f>
        <v/>
      </c>
      <c r="K1854" s="26">
        <f>IF($A1854="","",SUMPRODUCT(--ISNUMBER(SEARCH('Category Dictionary'!$D$5:$D$135&amp;"",$C1854)),--('Category Dictionary'!$D$5:$D$135&lt;&gt;"")))</f>
        <v/>
      </c>
      <c r="L1854" s="27">
        <f>IF($A1854="","",TRIM(IF(ISERROR(FIND(",",$C1854)),$C1854,LEFT($C1854,FIND(",",$C1854)-1))))</f>
        <v/>
      </c>
      <c r="M1854" s="28">
        <f>IF($H1854="","",DATE(YEAR($H1854),MONTH($H1854),1))</f>
        <v/>
      </c>
      <c r="N1854" s="26">
        <f>IF($H1854="","",TODAY()-$H1854)</f>
        <v/>
      </c>
      <c r="O1854" s="15" t="n"/>
      <c r="P1854" s="26">
        <f>IF($A1854="","",COUNTIFS('Audit Versions'!$A$6:$A$605,$A1854,'Audit Versions'!$L$6:$L$605,"Active"))</f>
        <v/>
      </c>
      <c r="Q1854" s="15" t="n"/>
      <c r="R1854" s="26">
        <f>IF(OR($A1854="",$P1854=0),"",MOD(N($Q1854),$P1854)+1)</f>
        <v/>
      </c>
      <c r="S1854" s="15" t="n"/>
      <c r="T1854" s="25" t="n"/>
      <c r="U1854" s="26">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Builder'!$B$12="",N($S1854)&lt;='Assignment Builder'!$B$12)))</f>
        <v/>
      </c>
      <c r="V1854" s="23" t="n"/>
    </row>
    <row r="1855">
      <c r="A1855" s="23" t="n"/>
      <c r="B1855" s="23" t="n"/>
      <c r="C1855" s="24" t="n"/>
      <c r="D1855" s="15" t="n"/>
      <c r="E1855" s="23" t="n"/>
      <c r="F1855" s="15" t="n"/>
      <c r="G1855" s="23" t="n"/>
      <c r="H1855" s="25" t="n"/>
      <c r="I1855" s="15" t="n"/>
      <c r="J1855" s="26">
        <f>IF($A1855="","",LEN($C1855)-LEN(SUBSTITUTE($C1855,",",""))+1)</f>
        <v/>
      </c>
      <c r="K1855" s="26">
        <f>IF($A1855="","",SUMPRODUCT(--ISNUMBER(SEARCH('Category Dictionary'!$D$5:$D$135&amp;"",$C1855)),--('Category Dictionary'!$D$5:$D$135&lt;&gt;"")))</f>
        <v/>
      </c>
      <c r="L1855" s="27">
        <f>IF($A1855="","",TRIM(IF(ISERROR(FIND(",",$C1855)),$C1855,LEFT($C1855,FIND(",",$C1855)-1))))</f>
        <v/>
      </c>
      <c r="M1855" s="28">
        <f>IF($H1855="","",DATE(YEAR($H1855),MONTH($H1855),1))</f>
        <v/>
      </c>
      <c r="N1855" s="26">
        <f>IF($H1855="","",TODAY()-$H1855)</f>
        <v/>
      </c>
      <c r="O1855" s="15" t="n"/>
      <c r="P1855" s="26">
        <f>IF($A1855="","",COUNTIFS('Audit Versions'!$A$6:$A$605,$A1855,'Audit Versions'!$L$6:$L$605,"Active"))</f>
        <v/>
      </c>
      <c r="Q1855" s="15" t="n"/>
      <c r="R1855" s="26">
        <f>IF(OR($A1855="",$P1855=0),"",MOD(N($Q1855),$P1855)+1)</f>
        <v/>
      </c>
      <c r="S1855" s="15" t="n"/>
      <c r="T1855" s="25" t="n"/>
      <c r="U1855" s="26">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Builder'!$B$12="",N($S1855)&lt;='Assignment Builder'!$B$12)))</f>
        <v/>
      </c>
      <c r="V1855" s="23" t="n"/>
    </row>
    <row r="1856">
      <c r="A1856" s="23" t="n"/>
      <c r="B1856" s="23" t="n"/>
      <c r="C1856" s="24" t="n"/>
      <c r="D1856" s="15" t="n"/>
      <c r="E1856" s="23" t="n"/>
      <c r="F1856" s="15" t="n"/>
      <c r="G1856" s="23" t="n"/>
      <c r="H1856" s="25" t="n"/>
      <c r="I1856" s="15" t="n"/>
      <c r="J1856" s="26">
        <f>IF($A1856="","",LEN($C1856)-LEN(SUBSTITUTE($C1856,",",""))+1)</f>
        <v/>
      </c>
      <c r="K1856" s="26">
        <f>IF($A1856="","",SUMPRODUCT(--ISNUMBER(SEARCH('Category Dictionary'!$D$5:$D$135&amp;"",$C1856)),--('Category Dictionary'!$D$5:$D$135&lt;&gt;"")))</f>
        <v/>
      </c>
      <c r="L1856" s="27">
        <f>IF($A1856="","",TRIM(IF(ISERROR(FIND(",",$C1856)),$C1856,LEFT($C1856,FIND(",",$C1856)-1))))</f>
        <v/>
      </c>
      <c r="M1856" s="28">
        <f>IF($H1856="","",DATE(YEAR($H1856),MONTH($H1856),1))</f>
        <v/>
      </c>
      <c r="N1856" s="26">
        <f>IF($H1856="","",TODAY()-$H1856)</f>
        <v/>
      </c>
      <c r="O1856" s="15" t="n"/>
      <c r="P1856" s="26">
        <f>IF($A1856="","",COUNTIFS('Audit Versions'!$A$6:$A$605,$A1856,'Audit Versions'!$L$6:$L$605,"Active"))</f>
        <v/>
      </c>
      <c r="Q1856" s="15" t="n"/>
      <c r="R1856" s="26">
        <f>IF(OR($A1856="",$P1856=0),"",MOD(N($Q1856),$P1856)+1)</f>
        <v/>
      </c>
      <c r="S1856" s="15" t="n"/>
      <c r="T1856" s="25" t="n"/>
      <c r="U1856" s="26">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Builder'!$B$12="",N($S1856)&lt;='Assignment Builder'!$B$12)))</f>
        <v/>
      </c>
      <c r="V1856" s="23" t="n"/>
    </row>
    <row r="1857">
      <c r="A1857" s="23" t="n"/>
      <c r="B1857" s="23" t="n"/>
      <c r="C1857" s="24" t="n"/>
      <c r="D1857" s="15" t="n"/>
      <c r="E1857" s="23" t="n"/>
      <c r="F1857" s="15" t="n"/>
      <c r="G1857" s="23" t="n"/>
      <c r="H1857" s="25" t="n"/>
      <c r="I1857" s="15" t="n"/>
      <c r="J1857" s="26">
        <f>IF($A1857="","",LEN($C1857)-LEN(SUBSTITUTE($C1857,",",""))+1)</f>
        <v/>
      </c>
      <c r="K1857" s="26">
        <f>IF($A1857="","",SUMPRODUCT(--ISNUMBER(SEARCH('Category Dictionary'!$D$5:$D$135&amp;"",$C1857)),--('Category Dictionary'!$D$5:$D$135&lt;&gt;"")))</f>
        <v/>
      </c>
      <c r="L1857" s="27">
        <f>IF($A1857="","",TRIM(IF(ISERROR(FIND(",",$C1857)),$C1857,LEFT($C1857,FIND(",",$C1857)-1))))</f>
        <v/>
      </c>
      <c r="M1857" s="28">
        <f>IF($H1857="","",DATE(YEAR($H1857),MONTH($H1857),1))</f>
        <v/>
      </c>
      <c r="N1857" s="26">
        <f>IF($H1857="","",TODAY()-$H1857)</f>
        <v/>
      </c>
      <c r="O1857" s="15" t="n"/>
      <c r="P1857" s="26">
        <f>IF($A1857="","",COUNTIFS('Audit Versions'!$A$6:$A$605,$A1857,'Audit Versions'!$L$6:$L$605,"Active"))</f>
        <v/>
      </c>
      <c r="Q1857" s="15" t="n"/>
      <c r="R1857" s="26">
        <f>IF(OR($A1857="",$P1857=0),"",MOD(N($Q1857),$P1857)+1)</f>
        <v/>
      </c>
      <c r="S1857" s="15" t="n"/>
      <c r="T1857" s="25" t="n"/>
      <c r="U1857" s="26">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Builder'!$B$12="",N($S1857)&lt;='Assignment Builder'!$B$12)))</f>
        <v/>
      </c>
      <c r="V1857" s="23" t="n"/>
    </row>
    <row r="1858">
      <c r="A1858" s="23" t="n"/>
      <c r="B1858" s="23" t="n"/>
      <c r="C1858" s="24" t="n"/>
      <c r="D1858" s="15" t="n"/>
      <c r="E1858" s="23" t="n"/>
      <c r="F1858" s="15" t="n"/>
      <c r="G1858" s="23" t="n"/>
      <c r="H1858" s="25" t="n"/>
      <c r="I1858" s="15" t="n"/>
      <c r="J1858" s="26">
        <f>IF($A1858="","",LEN($C1858)-LEN(SUBSTITUTE($C1858,",",""))+1)</f>
        <v/>
      </c>
      <c r="K1858" s="26">
        <f>IF($A1858="","",SUMPRODUCT(--ISNUMBER(SEARCH('Category Dictionary'!$D$5:$D$135&amp;"",$C1858)),--('Category Dictionary'!$D$5:$D$135&lt;&gt;"")))</f>
        <v/>
      </c>
      <c r="L1858" s="27">
        <f>IF($A1858="","",TRIM(IF(ISERROR(FIND(",",$C1858)),$C1858,LEFT($C1858,FIND(",",$C1858)-1))))</f>
        <v/>
      </c>
      <c r="M1858" s="28">
        <f>IF($H1858="","",DATE(YEAR($H1858),MONTH($H1858),1))</f>
        <v/>
      </c>
      <c r="N1858" s="26">
        <f>IF($H1858="","",TODAY()-$H1858)</f>
        <v/>
      </c>
      <c r="O1858" s="15" t="n"/>
      <c r="P1858" s="26">
        <f>IF($A1858="","",COUNTIFS('Audit Versions'!$A$6:$A$605,$A1858,'Audit Versions'!$L$6:$L$605,"Active"))</f>
        <v/>
      </c>
      <c r="Q1858" s="15" t="n"/>
      <c r="R1858" s="26">
        <f>IF(OR($A1858="",$P1858=0),"",MOD(N($Q1858),$P1858)+1)</f>
        <v/>
      </c>
      <c r="S1858" s="15" t="n"/>
      <c r="T1858" s="25" t="n"/>
      <c r="U1858" s="26">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Builder'!$B$12="",N($S1858)&lt;='Assignment Builder'!$B$12)))</f>
        <v/>
      </c>
      <c r="V1858" s="23" t="n"/>
    </row>
    <row r="1859">
      <c r="A1859" s="23" t="n"/>
      <c r="B1859" s="23" t="n"/>
      <c r="C1859" s="24" t="n"/>
      <c r="D1859" s="15" t="n"/>
      <c r="E1859" s="23" t="n"/>
      <c r="F1859" s="15" t="n"/>
      <c r="G1859" s="23" t="n"/>
      <c r="H1859" s="25" t="n"/>
      <c r="I1859" s="15" t="n"/>
      <c r="J1859" s="26">
        <f>IF($A1859="","",LEN($C1859)-LEN(SUBSTITUTE($C1859,",",""))+1)</f>
        <v/>
      </c>
      <c r="K1859" s="26">
        <f>IF($A1859="","",SUMPRODUCT(--ISNUMBER(SEARCH('Category Dictionary'!$D$5:$D$135&amp;"",$C1859)),--('Category Dictionary'!$D$5:$D$135&lt;&gt;"")))</f>
        <v/>
      </c>
      <c r="L1859" s="27">
        <f>IF($A1859="","",TRIM(IF(ISERROR(FIND(",",$C1859)),$C1859,LEFT($C1859,FIND(",",$C1859)-1))))</f>
        <v/>
      </c>
      <c r="M1859" s="28">
        <f>IF($H1859="","",DATE(YEAR($H1859),MONTH($H1859),1))</f>
        <v/>
      </c>
      <c r="N1859" s="26">
        <f>IF($H1859="","",TODAY()-$H1859)</f>
        <v/>
      </c>
      <c r="O1859" s="15" t="n"/>
      <c r="P1859" s="26">
        <f>IF($A1859="","",COUNTIFS('Audit Versions'!$A$6:$A$605,$A1859,'Audit Versions'!$L$6:$L$605,"Active"))</f>
        <v/>
      </c>
      <c r="Q1859" s="15" t="n"/>
      <c r="R1859" s="26">
        <f>IF(OR($A1859="",$P1859=0),"",MOD(N($Q1859),$P1859)+1)</f>
        <v/>
      </c>
      <c r="S1859" s="15" t="n"/>
      <c r="T1859" s="25" t="n"/>
      <c r="U1859" s="26">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Builder'!$B$12="",N($S1859)&lt;='Assignment Builder'!$B$12)))</f>
        <v/>
      </c>
      <c r="V1859" s="23" t="n"/>
    </row>
    <row r="1860">
      <c r="A1860" s="23" t="n"/>
      <c r="B1860" s="23" t="n"/>
      <c r="C1860" s="24" t="n"/>
      <c r="D1860" s="15" t="n"/>
      <c r="E1860" s="23" t="n"/>
      <c r="F1860" s="15" t="n"/>
      <c r="G1860" s="23" t="n"/>
      <c r="H1860" s="25" t="n"/>
      <c r="I1860" s="15" t="n"/>
      <c r="J1860" s="26">
        <f>IF($A1860="","",LEN($C1860)-LEN(SUBSTITUTE($C1860,",",""))+1)</f>
        <v/>
      </c>
      <c r="K1860" s="26">
        <f>IF($A1860="","",SUMPRODUCT(--ISNUMBER(SEARCH('Category Dictionary'!$D$5:$D$135&amp;"",$C1860)),--('Category Dictionary'!$D$5:$D$135&lt;&gt;"")))</f>
        <v/>
      </c>
      <c r="L1860" s="27">
        <f>IF($A1860="","",TRIM(IF(ISERROR(FIND(",",$C1860)),$C1860,LEFT($C1860,FIND(",",$C1860)-1))))</f>
        <v/>
      </c>
      <c r="M1860" s="28">
        <f>IF($H1860="","",DATE(YEAR($H1860),MONTH($H1860),1))</f>
        <v/>
      </c>
      <c r="N1860" s="26">
        <f>IF($H1860="","",TODAY()-$H1860)</f>
        <v/>
      </c>
      <c r="O1860" s="15" t="n"/>
      <c r="P1860" s="26">
        <f>IF($A1860="","",COUNTIFS('Audit Versions'!$A$6:$A$605,$A1860,'Audit Versions'!$L$6:$L$605,"Active"))</f>
        <v/>
      </c>
      <c r="Q1860" s="15" t="n"/>
      <c r="R1860" s="26">
        <f>IF(OR($A1860="",$P1860=0),"",MOD(N($Q1860),$P1860)+1)</f>
        <v/>
      </c>
      <c r="S1860" s="15" t="n"/>
      <c r="T1860" s="25" t="n"/>
      <c r="U1860" s="26">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Builder'!$B$12="",N($S1860)&lt;='Assignment Builder'!$B$12)))</f>
        <v/>
      </c>
      <c r="V1860" s="23" t="n"/>
    </row>
    <row r="1861">
      <c r="A1861" s="23" t="n"/>
      <c r="B1861" s="23" t="n"/>
      <c r="C1861" s="24" t="n"/>
      <c r="D1861" s="15" t="n"/>
      <c r="E1861" s="23" t="n"/>
      <c r="F1861" s="15" t="n"/>
      <c r="G1861" s="23" t="n"/>
      <c r="H1861" s="25" t="n"/>
      <c r="I1861" s="15" t="n"/>
      <c r="J1861" s="26">
        <f>IF($A1861="","",LEN($C1861)-LEN(SUBSTITUTE($C1861,",",""))+1)</f>
        <v/>
      </c>
      <c r="K1861" s="26">
        <f>IF($A1861="","",SUMPRODUCT(--ISNUMBER(SEARCH('Category Dictionary'!$D$5:$D$135&amp;"",$C1861)),--('Category Dictionary'!$D$5:$D$135&lt;&gt;"")))</f>
        <v/>
      </c>
      <c r="L1861" s="27">
        <f>IF($A1861="","",TRIM(IF(ISERROR(FIND(",",$C1861)),$C1861,LEFT($C1861,FIND(",",$C1861)-1))))</f>
        <v/>
      </c>
      <c r="M1861" s="28">
        <f>IF($H1861="","",DATE(YEAR($H1861),MONTH($H1861),1))</f>
        <v/>
      </c>
      <c r="N1861" s="26">
        <f>IF($H1861="","",TODAY()-$H1861)</f>
        <v/>
      </c>
      <c r="O1861" s="15" t="n"/>
      <c r="P1861" s="26">
        <f>IF($A1861="","",COUNTIFS('Audit Versions'!$A$6:$A$605,$A1861,'Audit Versions'!$L$6:$L$605,"Active"))</f>
        <v/>
      </c>
      <c r="Q1861" s="15" t="n"/>
      <c r="R1861" s="26">
        <f>IF(OR($A1861="",$P1861=0),"",MOD(N($Q1861),$P1861)+1)</f>
        <v/>
      </c>
      <c r="S1861" s="15" t="n"/>
      <c r="T1861" s="25" t="n"/>
      <c r="U1861" s="26">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Builder'!$B$12="",N($S1861)&lt;='Assignment Builder'!$B$12)))</f>
        <v/>
      </c>
      <c r="V1861" s="23" t="n"/>
    </row>
    <row r="1862">
      <c r="A1862" s="23" t="n"/>
      <c r="B1862" s="23" t="n"/>
      <c r="C1862" s="24" t="n"/>
      <c r="D1862" s="15" t="n"/>
      <c r="E1862" s="23" t="n"/>
      <c r="F1862" s="15" t="n"/>
      <c r="G1862" s="23" t="n"/>
      <c r="H1862" s="25" t="n"/>
      <c r="I1862" s="15" t="n"/>
      <c r="J1862" s="26">
        <f>IF($A1862="","",LEN($C1862)-LEN(SUBSTITUTE($C1862,",",""))+1)</f>
        <v/>
      </c>
      <c r="K1862" s="26">
        <f>IF($A1862="","",SUMPRODUCT(--ISNUMBER(SEARCH('Category Dictionary'!$D$5:$D$135&amp;"",$C1862)),--('Category Dictionary'!$D$5:$D$135&lt;&gt;"")))</f>
        <v/>
      </c>
      <c r="L1862" s="27">
        <f>IF($A1862="","",TRIM(IF(ISERROR(FIND(",",$C1862)),$C1862,LEFT($C1862,FIND(",",$C1862)-1))))</f>
        <v/>
      </c>
      <c r="M1862" s="28">
        <f>IF($H1862="","",DATE(YEAR($H1862),MONTH($H1862),1))</f>
        <v/>
      </c>
      <c r="N1862" s="26">
        <f>IF($H1862="","",TODAY()-$H1862)</f>
        <v/>
      </c>
      <c r="O1862" s="15" t="n"/>
      <c r="P1862" s="26">
        <f>IF($A1862="","",COUNTIFS('Audit Versions'!$A$6:$A$605,$A1862,'Audit Versions'!$L$6:$L$605,"Active"))</f>
        <v/>
      </c>
      <c r="Q1862" s="15" t="n"/>
      <c r="R1862" s="26">
        <f>IF(OR($A1862="",$P1862=0),"",MOD(N($Q1862),$P1862)+1)</f>
        <v/>
      </c>
      <c r="S1862" s="15" t="n"/>
      <c r="T1862" s="25" t="n"/>
      <c r="U1862" s="26">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Builder'!$B$12="",N($S1862)&lt;='Assignment Builder'!$B$12)))</f>
        <v/>
      </c>
      <c r="V1862" s="23" t="n"/>
    </row>
    <row r="1863">
      <c r="A1863" s="23" t="n"/>
      <c r="B1863" s="23" t="n"/>
      <c r="C1863" s="24" t="n"/>
      <c r="D1863" s="15" t="n"/>
      <c r="E1863" s="23" t="n"/>
      <c r="F1863" s="15" t="n"/>
      <c r="G1863" s="23" t="n"/>
      <c r="H1863" s="25" t="n"/>
      <c r="I1863" s="15" t="n"/>
      <c r="J1863" s="26">
        <f>IF($A1863="","",LEN($C1863)-LEN(SUBSTITUTE($C1863,",",""))+1)</f>
        <v/>
      </c>
      <c r="K1863" s="26">
        <f>IF($A1863="","",SUMPRODUCT(--ISNUMBER(SEARCH('Category Dictionary'!$D$5:$D$135&amp;"",$C1863)),--('Category Dictionary'!$D$5:$D$135&lt;&gt;"")))</f>
        <v/>
      </c>
      <c r="L1863" s="27">
        <f>IF($A1863="","",TRIM(IF(ISERROR(FIND(",",$C1863)),$C1863,LEFT($C1863,FIND(",",$C1863)-1))))</f>
        <v/>
      </c>
      <c r="M1863" s="28">
        <f>IF($H1863="","",DATE(YEAR($H1863),MONTH($H1863),1))</f>
        <v/>
      </c>
      <c r="N1863" s="26">
        <f>IF($H1863="","",TODAY()-$H1863)</f>
        <v/>
      </c>
      <c r="O1863" s="15" t="n"/>
      <c r="P1863" s="26">
        <f>IF($A1863="","",COUNTIFS('Audit Versions'!$A$6:$A$605,$A1863,'Audit Versions'!$L$6:$L$605,"Active"))</f>
        <v/>
      </c>
      <c r="Q1863" s="15" t="n"/>
      <c r="R1863" s="26">
        <f>IF(OR($A1863="",$P1863=0),"",MOD(N($Q1863),$P1863)+1)</f>
        <v/>
      </c>
      <c r="S1863" s="15" t="n"/>
      <c r="T1863" s="25" t="n"/>
      <c r="U1863" s="26">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Builder'!$B$12="",N($S1863)&lt;='Assignment Builder'!$B$12)))</f>
        <v/>
      </c>
      <c r="V1863" s="23" t="n"/>
    </row>
    <row r="1864">
      <c r="A1864" s="23" t="n"/>
      <c r="B1864" s="23" t="n"/>
      <c r="C1864" s="24" t="n"/>
      <c r="D1864" s="15" t="n"/>
      <c r="E1864" s="23" t="n"/>
      <c r="F1864" s="15" t="n"/>
      <c r="G1864" s="23" t="n"/>
      <c r="H1864" s="25" t="n"/>
      <c r="I1864" s="15" t="n"/>
      <c r="J1864" s="26">
        <f>IF($A1864="","",LEN($C1864)-LEN(SUBSTITUTE($C1864,",",""))+1)</f>
        <v/>
      </c>
      <c r="K1864" s="26">
        <f>IF($A1864="","",SUMPRODUCT(--ISNUMBER(SEARCH('Category Dictionary'!$D$5:$D$135&amp;"",$C1864)),--('Category Dictionary'!$D$5:$D$135&lt;&gt;"")))</f>
        <v/>
      </c>
      <c r="L1864" s="27">
        <f>IF($A1864="","",TRIM(IF(ISERROR(FIND(",",$C1864)),$C1864,LEFT($C1864,FIND(",",$C1864)-1))))</f>
        <v/>
      </c>
      <c r="M1864" s="28">
        <f>IF($H1864="","",DATE(YEAR($H1864),MONTH($H1864),1))</f>
        <v/>
      </c>
      <c r="N1864" s="26">
        <f>IF($H1864="","",TODAY()-$H1864)</f>
        <v/>
      </c>
      <c r="O1864" s="15" t="n"/>
      <c r="P1864" s="26">
        <f>IF($A1864="","",COUNTIFS('Audit Versions'!$A$6:$A$605,$A1864,'Audit Versions'!$L$6:$L$605,"Active"))</f>
        <v/>
      </c>
      <c r="Q1864" s="15" t="n"/>
      <c r="R1864" s="26">
        <f>IF(OR($A1864="",$P1864=0),"",MOD(N($Q1864),$P1864)+1)</f>
        <v/>
      </c>
      <c r="S1864" s="15" t="n"/>
      <c r="T1864" s="25" t="n"/>
      <c r="U1864" s="26">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Builder'!$B$12="",N($S1864)&lt;='Assignment Builder'!$B$12)))</f>
        <v/>
      </c>
      <c r="V1864" s="23" t="n"/>
    </row>
    <row r="1865">
      <c r="A1865" s="23" t="n"/>
      <c r="B1865" s="23" t="n"/>
      <c r="C1865" s="24" t="n"/>
      <c r="D1865" s="15" t="n"/>
      <c r="E1865" s="23" t="n"/>
      <c r="F1865" s="15" t="n"/>
      <c r="G1865" s="23" t="n"/>
      <c r="H1865" s="25" t="n"/>
      <c r="I1865" s="15" t="n"/>
      <c r="J1865" s="26">
        <f>IF($A1865="","",LEN($C1865)-LEN(SUBSTITUTE($C1865,",",""))+1)</f>
        <v/>
      </c>
      <c r="K1865" s="26">
        <f>IF($A1865="","",SUMPRODUCT(--ISNUMBER(SEARCH('Category Dictionary'!$D$5:$D$135&amp;"",$C1865)),--('Category Dictionary'!$D$5:$D$135&lt;&gt;"")))</f>
        <v/>
      </c>
      <c r="L1865" s="27">
        <f>IF($A1865="","",TRIM(IF(ISERROR(FIND(",",$C1865)),$C1865,LEFT($C1865,FIND(",",$C1865)-1))))</f>
        <v/>
      </c>
      <c r="M1865" s="28">
        <f>IF($H1865="","",DATE(YEAR($H1865),MONTH($H1865),1))</f>
        <v/>
      </c>
      <c r="N1865" s="26">
        <f>IF($H1865="","",TODAY()-$H1865)</f>
        <v/>
      </c>
      <c r="O1865" s="15" t="n"/>
      <c r="P1865" s="26">
        <f>IF($A1865="","",COUNTIFS('Audit Versions'!$A$6:$A$605,$A1865,'Audit Versions'!$L$6:$L$605,"Active"))</f>
        <v/>
      </c>
      <c r="Q1865" s="15" t="n"/>
      <c r="R1865" s="26">
        <f>IF(OR($A1865="",$P1865=0),"",MOD(N($Q1865),$P1865)+1)</f>
        <v/>
      </c>
      <c r="S1865" s="15" t="n"/>
      <c r="T1865" s="25" t="n"/>
      <c r="U1865" s="26">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Builder'!$B$12="",N($S1865)&lt;='Assignment Builder'!$B$12)))</f>
        <v/>
      </c>
      <c r="V1865" s="23" t="n"/>
    </row>
    <row r="1866">
      <c r="A1866" s="23" t="n"/>
      <c r="B1866" s="23" t="n"/>
      <c r="C1866" s="24" t="n"/>
      <c r="D1866" s="15" t="n"/>
      <c r="E1866" s="23" t="n"/>
      <c r="F1866" s="15" t="n"/>
      <c r="G1866" s="23" t="n"/>
      <c r="H1866" s="25" t="n"/>
      <c r="I1866" s="15" t="n"/>
      <c r="J1866" s="26">
        <f>IF($A1866="","",LEN($C1866)-LEN(SUBSTITUTE($C1866,",",""))+1)</f>
        <v/>
      </c>
      <c r="K1866" s="26">
        <f>IF($A1866="","",SUMPRODUCT(--ISNUMBER(SEARCH('Category Dictionary'!$D$5:$D$135&amp;"",$C1866)),--('Category Dictionary'!$D$5:$D$135&lt;&gt;"")))</f>
        <v/>
      </c>
      <c r="L1866" s="27">
        <f>IF($A1866="","",TRIM(IF(ISERROR(FIND(",",$C1866)),$C1866,LEFT($C1866,FIND(",",$C1866)-1))))</f>
        <v/>
      </c>
      <c r="M1866" s="28">
        <f>IF($H1866="","",DATE(YEAR($H1866),MONTH($H1866),1))</f>
        <v/>
      </c>
      <c r="N1866" s="26">
        <f>IF($H1866="","",TODAY()-$H1866)</f>
        <v/>
      </c>
      <c r="O1866" s="15" t="n"/>
      <c r="P1866" s="26">
        <f>IF($A1866="","",COUNTIFS('Audit Versions'!$A$6:$A$605,$A1866,'Audit Versions'!$L$6:$L$605,"Active"))</f>
        <v/>
      </c>
      <c r="Q1866" s="15" t="n"/>
      <c r="R1866" s="26">
        <f>IF(OR($A1866="",$P1866=0),"",MOD(N($Q1866),$P1866)+1)</f>
        <v/>
      </c>
      <c r="S1866" s="15" t="n"/>
      <c r="T1866" s="25" t="n"/>
      <c r="U1866" s="26">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Builder'!$B$12="",N($S1866)&lt;='Assignment Builder'!$B$12)))</f>
        <v/>
      </c>
      <c r="V1866" s="23" t="n"/>
    </row>
    <row r="1867">
      <c r="A1867" s="23" t="n"/>
      <c r="B1867" s="23" t="n"/>
      <c r="C1867" s="24" t="n"/>
      <c r="D1867" s="15" t="n"/>
      <c r="E1867" s="23" t="n"/>
      <c r="F1867" s="15" t="n"/>
      <c r="G1867" s="23" t="n"/>
      <c r="H1867" s="25" t="n"/>
      <c r="I1867" s="15" t="n"/>
      <c r="J1867" s="26">
        <f>IF($A1867="","",LEN($C1867)-LEN(SUBSTITUTE($C1867,",",""))+1)</f>
        <v/>
      </c>
      <c r="K1867" s="26">
        <f>IF($A1867="","",SUMPRODUCT(--ISNUMBER(SEARCH('Category Dictionary'!$D$5:$D$135&amp;"",$C1867)),--('Category Dictionary'!$D$5:$D$135&lt;&gt;"")))</f>
        <v/>
      </c>
      <c r="L1867" s="27">
        <f>IF($A1867="","",TRIM(IF(ISERROR(FIND(",",$C1867)),$C1867,LEFT($C1867,FIND(",",$C1867)-1))))</f>
        <v/>
      </c>
      <c r="M1867" s="28">
        <f>IF($H1867="","",DATE(YEAR($H1867),MONTH($H1867),1))</f>
        <v/>
      </c>
      <c r="N1867" s="26">
        <f>IF($H1867="","",TODAY()-$H1867)</f>
        <v/>
      </c>
      <c r="O1867" s="15" t="n"/>
      <c r="P1867" s="26">
        <f>IF($A1867="","",COUNTIFS('Audit Versions'!$A$6:$A$605,$A1867,'Audit Versions'!$L$6:$L$605,"Active"))</f>
        <v/>
      </c>
      <c r="Q1867" s="15" t="n"/>
      <c r="R1867" s="26">
        <f>IF(OR($A1867="",$P1867=0),"",MOD(N($Q1867),$P1867)+1)</f>
        <v/>
      </c>
      <c r="S1867" s="15" t="n"/>
      <c r="T1867" s="25" t="n"/>
      <c r="U1867" s="26">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Builder'!$B$12="",N($S1867)&lt;='Assignment Builder'!$B$12)))</f>
        <v/>
      </c>
      <c r="V1867" s="23" t="n"/>
    </row>
    <row r="1868">
      <c r="A1868" s="23" t="n"/>
      <c r="B1868" s="23" t="n"/>
      <c r="C1868" s="24" t="n"/>
      <c r="D1868" s="15" t="n"/>
      <c r="E1868" s="23" t="n"/>
      <c r="F1868" s="15" t="n"/>
      <c r="G1868" s="23" t="n"/>
      <c r="H1868" s="25" t="n"/>
      <c r="I1868" s="15" t="n"/>
      <c r="J1868" s="26">
        <f>IF($A1868="","",LEN($C1868)-LEN(SUBSTITUTE($C1868,",",""))+1)</f>
        <v/>
      </c>
      <c r="K1868" s="26">
        <f>IF($A1868="","",SUMPRODUCT(--ISNUMBER(SEARCH('Category Dictionary'!$D$5:$D$135&amp;"",$C1868)),--('Category Dictionary'!$D$5:$D$135&lt;&gt;"")))</f>
        <v/>
      </c>
      <c r="L1868" s="27">
        <f>IF($A1868="","",TRIM(IF(ISERROR(FIND(",",$C1868)),$C1868,LEFT($C1868,FIND(",",$C1868)-1))))</f>
        <v/>
      </c>
      <c r="M1868" s="28">
        <f>IF($H1868="","",DATE(YEAR($H1868),MONTH($H1868),1))</f>
        <v/>
      </c>
      <c r="N1868" s="26">
        <f>IF($H1868="","",TODAY()-$H1868)</f>
        <v/>
      </c>
      <c r="O1868" s="15" t="n"/>
      <c r="P1868" s="26">
        <f>IF($A1868="","",COUNTIFS('Audit Versions'!$A$6:$A$605,$A1868,'Audit Versions'!$L$6:$L$605,"Active"))</f>
        <v/>
      </c>
      <c r="Q1868" s="15" t="n"/>
      <c r="R1868" s="26">
        <f>IF(OR($A1868="",$P1868=0),"",MOD(N($Q1868),$P1868)+1)</f>
        <v/>
      </c>
      <c r="S1868" s="15" t="n"/>
      <c r="T1868" s="25" t="n"/>
      <c r="U1868" s="26">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Builder'!$B$12="",N($S1868)&lt;='Assignment Builder'!$B$12)))</f>
        <v/>
      </c>
      <c r="V1868" s="23" t="n"/>
    </row>
    <row r="1869">
      <c r="A1869" s="23" t="n"/>
      <c r="B1869" s="23" t="n"/>
      <c r="C1869" s="24" t="n"/>
      <c r="D1869" s="15" t="n"/>
      <c r="E1869" s="23" t="n"/>
      <c r="F1869" s="15" t="n"/>
      <c r="G1869" s="23" t="n"/>
      <c r="H1869" s="25" t="n"/>
      <c r="I1869" s="15" t="n"/>
      <c r="J1869" s="26">
        <f>IF($A1869="","",LEN($C1869)-LEN(SUBSTITUTE($C1869,",",""))+1)</f>
        <v/>
      </c>
      <c r="K1869" s="26">
        <f>IF($A1869="","",SUMPRODUCT(--ISNUMBER(SEARCH('Category Dictionary'!$D$5:$D$135&amp;"",$C1869)),--('Category Dictionary'!$D$5:$D$135&lt;&gt;"")))</f>
        <v/>
      </c>
      <c r="L1869" s="27">
        <f>IF($A1869="","",TRIM(IF(ISERROR(FIND(",",$C1869)),$C1869,LEFT($C1869,FIND(",",$C1869)-1))))</f>
        <v/>
      </c>
      <c r="M1869" s="28">
        <f>IF($H1869="","",DATE(YEAR($H1869),MONTH($H1869),1))</f>
        <v/>
      </c>
      <c r="N1869" s="26">
        <f>IF($H1869="","",TODAY()-$H1869)</f>
        <v/>
      </c>
      <c r="O1869" s="15" t="n"/>
      <c r="P1869" s="26">
        <f>IF($A1869="","",COUNTIFS('Audit Versions'!$A$6:$A$605,$A1869,'Audit Versions'!$L$6:$L$605,"Active"))</f>
        <v/>
      </c>
      <c r="Q1869" s="15" t="n"/>
      <c r="R1869" s="26">
        <f>IF(OR($A1869="",$P1869=0),"",MOD(N($Q1869),$P1869)+1)</f>
        <v/>
      </c>
      <c r="S1869" s="15" t="n"/>
      <c r="T1869" s="25" t="n"/>
      <c r="U1869" s="26">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Builder'!$B$12="",N($S1869)&lt;='Assignment Builder'!$B$12)))</f>
        <v/>
      </c>
      <c r="V1869" s="23" t="n"/>
    </row>
    <row r="1870">
      <c r="A1870" s="23" t="n"/>
      <c r="B1870" s="23" t="n"/>
      <c r="C1870" s="24" t="n"/>
      <c r="D1870" s="15" t="n"/>
      <c r="E1870" s="23" t="n"/>
      <c r="F1870" s="15" t="n"/>
      <c r="G1870" s="23" t="n"/>
      <c r="H1870" s="25" t="n"/>
      <c r="I1870" s="15" t="n"/>
      <c r="J1870" s="26">
        <f>IF($A1870="","",LEN($C1870)-LEN(SUBSTITUTE($C1870,",",""))+1)</f>
        <v/>
      </c>
      <c r="K1870" s="26">
        <f>IF($A1870="","",SUMPRODUCT(--ISNUMBER(SEARCH('Category Dictionary'!$D$5:$D$135&amp;"",$C1870)),--('Category Dictionary'!$D$5:$D$135&lt;&gt;"")))</f>
        <v/>
      </c>
      <c r="L1870" s="27">
        <f>IF($A1870="","",TRIM(IF(ISERROR(FIND(",",$C1870)),$C1870,LEFT($C1870,FIND(",",$C1870)-1))))</f>
        <v/>
      </c>
      <c r="M1870" s="28">
        <f>IF($H1870="","",DATE(YEAR($H1870),MONTH($H1870),1))</f>
        <v/>
      </c>
      <c r="N1870" s="26">
        <f>IF($H1870="","",TODAY()-$H1870)</f>
        <v/>
      </c>
      <c r="O1870" s="15" t="n"/>
      <c r="P1870" s="26">
        <f>IF($A1870="","",COUNTIFS('Audit Versions'!$A$6:$A$605,$A1870,'Audit Versions'!$L$6:$L$605,"Active"))</f>
        <v/>
      </c>
      <c r="Q1870" s="15" t="n"/>
      <c r="R1870" s="26">
        <f>IF(OR($A1870="",$P1870=0),"",MOD(N($Q1870),$P1870)+1)</f>
        <v/>
      </c>
      <c r="S1870" s="15" t="n"/>
      <c r="T1870" s="25" t="n"/>
      <c r="U1870" s="26">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Builder'!$B$12="",N($S1870)&lt;='Assignment Builder'!$B$12)))</f>
        <v/>
      </c>
      <c r="V1870" s="23" t="n"/>
    </row>
    <row r="1871">
      <c r="A1871" s="23" t="n"/>
      <c r="B1871" s="23" t="n"/>
      <c r="C1871" s="24" t="n"/>
      <c r="D1871" s="15" t="n"/>
      <c r="E1871" s="23" t="n"/>
      <c r="F1871" s="15" t="n"/>
      <c r="G1871" s="23" t="n"/>
      <c r="H1871" s="25" t="n"/>
      <c r="I1871" s="15" t="n"/>
      <c r="J1871" s="26">
        <f>IF($A1871="","",LEN($C1871)-LEN(SUBSTITUTE($C1871,",",""))+1)</f>
        <v/>
      </c>
      <c r="K1871" s="26">
        <f>IF($A1871="","",SUMPRODUCT(--ISNUMBER(SEARCH('Category Dictionary'!$D$5:$D$135&amp;"",$C1871)),--('Category Dictionary'!$D$5:$D$135&lt;&gt;"")))</f>
        <v/>
      </c>
      <c r="L1871" s="27">
        <f>IF($A1871="","",TRIM(IF(ISERROR(FIND(",",$C1871)),$C1871,LEFT($C1871,FIND(",",$C1871)-1))))</f>
        <v/>
      </c>
      <c r="M1871" s="28">
        <f>IF($H1871="","",DATE(YEAR($H1871),MONTH($H1871),1))</f>
        <v/>
      </c>
      <c r="N1871" s="26">
        <f>IF($H1871="","",TODAY()-$H1871)</f>
        <v/>
      </c>
      <c r="O1871" s="15" t="n"/>
      <c r="P1871" s="26">
        <f>IF($A1871="","",COUNTIFS('Audit Versions'!$A$6:$A$605,$A1871,'Audit Versions'!$L$6:$L$605,"Active"))</f>
        <v/>
      </c>
      <c r="Q1871" s="15" t="n"/>
      <c r="R1871" s="26">
        <f>IF(OR($A1871="",$P1871=0),"",MOD(N($Q1871),$P1871)+1)</f>
        <v/>
      </c>
      <c r="S1871" s="15" t="n"/>
      <c r="T1871" s="25" t="n"/>
      <c r="U1871" s="26">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Builder'!$B$12="",N($S1871)&lt;='Assignment Builder'!$B$12)))</f>
        <v/>
      </c>
      <c r="V1871" s="23" t="n"/>
    </row>
    <row r="1872">
      <c r="A1872" s="23" t="n"/>
      <c r="B1872" s="23" t="n"/>
      <c r="C1872" s="24" t="n"/>
      <c r="D1872" s="15" t="n"/>
      <c r="E1872" s="23" t="n"/>
      <c r="F1872" s="15" t="n"/>
      <c r="G1872" s="23" t="n"/>
      <c r="H1872" s="25" t="n"/>
      <c r="I1872" s="15" t="n"/>
      <c r="J1872" s="26">
        <f>IF($A1872="","",LEN($C1872)-LEN(SUBSTITUTE($C1872,",",""))+1)</f>
        <v/>
      </c>
      <c r="K1872" s="26">
        <f>IF($A1872="","",SUMPRODUCT(--ISNUMBER(SEARCH('Category Dictionary'!$D$5:$D$135&amp;"",$C1872)),--('Category Dictionary'!$D$5:$D$135&lt;&gt;"")))</f>
        <v/>
      </c>
      <c r="L1872" s="27">
        <f>IF($A1872="","",TRIM(IF(ISERROR(FIND(",",$C1872)),$C1872,LEFT($C1872,FIND(",",$C1872)-1))))</f>
        <v/>
      </c>
      <c r="M1872" s="28">
        <f>IF($H1872="","",DATE(YEAR($H1872),MONTH($H1872),1))</f>
        <v/>
      </c>
      <c r="N1872" s="26">
        <f>IF($H1872="","",TODAY()-$H1872)</f>
        <v/>
      </c>
      <c r="O1872" s="15" t="n"/>
      <c r="P1872" s="26">
        <f>IF($A1872="","",COUNTIFS('Audit Versions'!$A$6:$A$605,$A1872,'Audit Versions'!$L$6:$L$605,"Active"))</f>
        <v/>
      </c>
      <c r="Q1872" s="15" t="n"/>
      <c r="R1872" s="26">
        <f>IF(OR($A1872="",$P1872=0),"",MOD(N($Q1872),$P1872)+1)</f>
        <v/>
      </c>
      <c r="S1872" s="15" t="n"/>
      <c r="T1872" s="25" t="n"/>
      <c r="U1872" s="26">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Builder'!$B$12="",N($S1872)&lt;='Assignment Builder'!$B$12)))</f>
        <v/>
      </c>
      <c r="V1872" s="23" t="n"/>
    </row>
    <row r="1873">
      <c r="A1873" s="23" t="n"/>
      <c r="B1873" s="23" t="n"/>
      <c r="C1873" s="24" t="n"/>
      <c r="D1873" s="15" t="n"/>
      <c r="E1873" s="23" t="n"/>
      <c r="F1873" s="15" t="n"/>
      <c r="G1873" s="23" t="n"/>
      <c r="H1873" s="25" t="n"/>
      <c r="I1873" s="15" t="n"/>
      <c r="J1873" s="26">
        <f>IF($A1873="","",LEN($C1873)-LEN(SUBSTITUTE($C1873,",",""))+1)</f>
        <v/>
      </c>
      <c r="K1873" s="26">
        <f>IF($A1873="","",SUMPRODUCT(--ISNUMBER(SEARCH('Category Dictionary'!$D$5:$D$135&amp;"",$C1873)),--('Category Dictionary'!$D$5:$D$135&lt;&gt;"")))</f>
        <v/>
      </c>
      <c r="L1873" s="27">
        <f>IF($A1873="","",TRIM(IF(ISERROR(FIND(",",$C1873)),$C1873,LEFT($C1873,FIND(",",$C1873)-1))))</f>
        <v/>
      </c>
      <c r="M1873" s="28">
        <f>IF($H1873="","",DATE(YEAR($H1873),MONTH($H1873),1))</f>
        <v/>
      </c>
      <c r="N1873" s="26">
        <f>IF($H1873="","",TODAY()-$H1873)</f>
        <v/>
      </c>
      <c r="O1873" s="15" t="n"/>
      <c r="P1873" s="26">
        <f>IF($A1873="","",COUNTIFS('Audit Versions'!$A$6:$A$605,$A1873,'Audit Versions'!$L$6:$L$605,"Active"))</f>
        <v/>
      </c>
      <c r="Q1873" s="15" t="n"/>
      <c r="R1873" s="26">
        <f>IF(OR($A1873="",$P1873=0),"",MOD(N($Q1873),$P1873)+1)</f>
        <v/>
      </c>
      <c r="S1873" s="15" t="n"/>
      <c r="T1873" s="25" t="n"/>
      <c r="U1873" s="26">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Builder'!$B$12="",N($S1873)&lt;='Assignment Builder'!$B$12)))</f>
        <v/>
      </c>
      <c r="V1873" s="23" t="n"/>
    </row>
    <row r="1874">
      <c r="A1874" s="23" t="n"/>
      <c r="B1874" s="23" t="n"/>
      <c r="C1874" s="24" t="n"/>
      <c r="D1874" s="15" t="n"/>
      <c r="E1874" s="23" t="n"/>
      <c r="F1874" s="15" t="n"/>
      <c r="G1874" s="23" t="n"/>
      <c r="H1874" s="25" t="n"/>
      <c r="I1874" s="15" t="n"/>
      <c r="J1874" s="26">
        <f>IF($A1874="","",LEN($C1874)-LEN(SUBSTITUTE($C1874,",",""))+1)</f>
        <v/>
      </c>
      <c r="K1874" s="26">
        <f>IF($A1874="","",SUMPRODUCT(--ISNUMBER(SEARCH('Category Dictionary'!$D$5:$D$135&amp;"",$C1874)),--('Category Dictionary'!$D$5:$D$135&lt;&gt;"")))</f>
        <v/>
      </c>
      <c r="L1874" s="27">
        <f>IF($A1874="","",TRIM(IF(ISERROR(FIND(",",$C1874)),$C1874,LEFT($C1874,FIND(",",$C1874)-1))))</f>
        <v/>
      </c>
      <c r="M1874" s="28">
        <f>IF($H1874="","",DATE(YEAR($H1874),MONTH($H1874),1))</f>
        <v/>
      </c>
      <c r="N1874" s="26">
        <f>IF($H1874="","",TODAY()-$H1874)</f>
        <v/>
      </c>
      <c r="O1874" s="15" t="n"/>
      <c r="P1874" s="26">
        <f>IF($A1874="","",COUNTIFS('Audit Versions'!$A$6:$A$605,$A1874,'Audit Versions'!$L$6:$L$605,"Active"))</f>
        <v/>
      </c>
      <c r="Q1874" s="15" t="n"/>
      <c r="R1874" s="26">
        <f>IF(OR($A1874="",$P1874=0),"",MOD(N($Q1874),$P1874)+1)</f>
        <v/>
      </c>
      <c r="S1874" s="15" t="n"/>
      <c r="T1874" s="25" t="n"/>
      <c r="U1874" s="26">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Builder'!$B$12="",N($S1874)&lt;='Assignment Builder'!$B$12)))</f>
        <v/>
      </c>
      <c r="V1874" s="23" t="n"/>
    </row>
    <row r="1875">
      <c r="A1875" s="23" t="n"/>
      <c r="B1875" s="23" t="n"/>
      <c r="C1875" s="24" t="n"/>
      <c r="D1875" s="15" t="n"/>
      <c r="E1875" s="23" t="n"/>
      <c r="F1875" s="15" t="n"/>
      <c r="G1875" s="23" t="n"/>
      <c r="H1875" s="25" t="n"/>
      <c r="I1875" s="15" t="n"/>
      <c r="J1875" s="26">
        <f>IF($A1875="","",LEN($C1875)-LEN(SUBSTITUTE($C1875,",",""))+1)</f>
        <v/>
      </c>
      <c r="K1875" s="26">
        <f>IF($A1875="","",SUMPRODUCT(--ISNUMBER(SEARCH('Category Dictionary'!$D$5:$D$135&amp;"",$C1875)),--('Category Dictionary'!$D$5:$D$135&lt;&gt;"")))</f>
        <v/>
      </c>
      <c r="L1875" s="27">
        <f>IF($A1875="","",TRIM(IF(ISERROR(FIND(",",$C1875)),$C1875,LEFT($C1875,FIND(",",$C1875)-1))))</f>
        <v/>
      </c>
      <c r="M1875" s="28">
        <f>IF($H1875="","",DATE(YEAR($H1875),MONTH($H1875),1))</f>
        <v/>
      </c>
      <c r="N1875" s="26">
        <f>IF($H1875="","",TODAY()-$H1875)</f>
        <v/>
      </c>
      <c r="O1875" s="15" t="n"/>
      <c r="P1875" s="26">
        <f>IF($A1875="","",COUNTIFS('Audit Versions'!$A$6:$A$605,$A1875,'Audit Versions'!$L$6:$L$605,"Active"))</f>
        <v/>
      </c>
      <c r="Q1875" s="15" t="n"/>
      <c r="R1875" s="26">
        <f>IF(OR($A1875="",$P1875=0),"",MOD(N($Q1875),$P1875)+1)</f>
        <v/>
      </c>
      <c r="S1875" s="15" t="n"/>
      <c r="T1875" s="25" t="n"/>
      <c r="U1875" s="26">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Builder'!$B$12="",N($S1875)&lt;='Assignment Builder'!$B$12)))</f>
        <v/>
      </c>
      <c r="V1875" s="23" t="n"/>
    </row>
    <row r="1876">
      <c r="A1876" s="23" t="n"/>
      <c r="B1876" s="23" t="n"/>
      <c r="C1876" s="24" t="n"/>
      <c r="D1876" s="15" t="n"/>
      <c r="E1876" s="23" t="n"/>
      <c r="F1876" s="15" t="n"/>
      <c r="G1876" s="23" t="n"/>
      <c r="H1876" s="25" t="n"/>
      <c r="I1876" s="15" t="n"/>
      <c r="J1876" s="26">
        <f>IF($A1876="","",LEN($C1876)-LEN(SUBSTITUTE($C1876,",",""))+1)</f>
        <v/>
      </c>
      <c r="K1876" s="26">
        <f>IF($A1876="","",SUMPRODUCT(--ISNUMBER(SEARCH('Category Dictionary'!$D$5:$D$135&amp;"",$C1876)),--('Category Dictionary'!$D$5:$D$135&lt;&gt;"")))</f>
        <v/>
      </c>
      <c r="L1876" s="27">
        <f>IF($A1876="","",TRIM(IF(ISERROR(FIND(",",$C1876)),$C1876,LEFT($C1876,FIND(",",$C1876)-1))))</f>
        <v/>
      </c>
      <c r="M1876" s="28">
        <f>IF($H1876="","",DATE(YEAR($H1876),MONTH($H1876),1))</f>
        <v/>
      </c>
      <c r="N1876" s="26">
        <f>IF($H1876="","",TODAY()-$H1876)</f>
        <v/>
      </c>
      <c r="O1876" s="15" t="n"/>
      <c r="P1876" s="26">
        <f>IF($A1876="","",COUNTIFS('Audit Versions'!$A$6:$A$605,$A1876,'Audit Versions'!$L$6:$L$605,"Active"))</f>
        <v/>
      </c>
      <c r="Q1876" s="15" t="n"/>
      <c r="R1876" s="26">
        <f>IF(OR($A1876="",$P1876=0),"",MOD(N($Q1876),$P1876)+1)</f>
        <v/>
      </c>
      <c r="S1876" s="15" t="n"/>
      <c r="T1876" s="25" t="n"/>
      <c r="U1876" s="26">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Builder'!$B$12="",N($S1876)&lt;='Assignment Builder'!$B$12)))</f>
        <v/>
      </c>
      <c r="V1876" s="23" t="n"/>
    </row>
    <row r="1877">
      <c r="A1877" s="23" t="n"/>
      <c r="B1877" s="23" t="n"/>
      <c r="C1877" s="24" t="n"/>
      <c r="D1877" s="15" t="n"/>
      <c r="E1877" s="23" t="n"/>
      <c r="F1877" s="15" t="n"/>
      <c r="G1877" s="23" t="n"/>
      <c r="H1877" s="25" t="n"/>
      <c r="I1877" s="15" t="n"/>
      <c r="J1877" s="26">
        <f>IF($A1877="","",LEN($C1877)-LEN(SUBSTITUTE($C1877,",",""))+1)</f>
        <v/>
      </c>
      <c r="K1877" s="26">
        <f>IF($A1877="","",SUMPRODUCT(--ISNUMBER(SEARCH('Category Dictionary'!$D$5:$D$135&amp;"",$C1877)),--('Category Dictionary'!$D$5:$D$135&lt;&gt;"")))</f>
        <v/>
      </c>
      <c r="L1877" s="27">
        <f>IF($A1877="","",TRIM(IF(ISERROR(FIND(",",$C1877)),$C1877,LEFT($C1877,FIND(",",$C1877)-1))))</f>
        <v/>
      </c>
      <c r="M1877" s="28">
        <f>IF($H1877="","",DATE(YEAR($H1877),MONTH($H1877),1))</f>
        <v/>
      </c>
      <c r="N1877" s="26">
        <f>IF($H1877="","",TODAY()-$H1877)</f>
        <v/>
      </c>
      <c r="O1877" s="15" t="n"/>
      <c r="P1877" s="26">
        <f>IF($A1877="","",COUNTIFS('Audit Versions'!$A$6:$A$605,$A1877,'Audit Versions'!$L$6:$L$605,"Active"))</f>
        <v/>
      </c>
      <c r="Q1877" s="15" t="n"/>
      <c r="R1877" s="26">
        <f>IF(OR($A1877="",$P1877=0),"",MOD(N($Q1877),$P1877)+1)</f>
        <v/>
      </c>
      <c r="S1877" s="15" t="n"/>
      <c r="T1877" s="25" t="n"/>
      <c r="U1877" s="26">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Builder'!$B$12="",N($S1877)&lt;='Assignment Builder'!$B$12)))</f>
        <v/>
      </c>
      <c r="V1877" s="23" t="n"/>
    </row>
    <row r="1878">
      <c r="A1878" s="23" t="n"/>
      <c r="B1878" s="23" t="n"/>
      <c r="C1878" s="24" t="n"/>
      <c r="D1878" s="15" t="n"/>
      <c r="E1878" s="23" t="n"/>
      <c r="F1878" s="15" t="n"/>
      <c r="G1878" s="23" t="n"/>
      <c r="H1878" s="25" t="n"/>
      <c r="I1878" s="15" t="n"/>
      <c r="J1878" s="26">
        <f>IF($A1878="","",LEN($C1878)-LEN(SUBSTITUTE($C1878,",",""))+1)</f>
        <v/>
      </c>
      <c r="K1878" s="26">
        <f>IF($A1878="","",SUMPRODUCT(--ISNUMBER(SEARCH('Category Dictionary'!$D$5:$D$135&amp;"",$C1878)),--('Category Dictionary'!$D$5:$D$135&lt;&gt;"")))</f>
        <v/>
      </c>
      <c r="L1878" s="27">
        <f>IF($A1878="","",TRIM(IF(ISERROR(FIND(",",$C1878)),$C1878,LEFT($C1878,FIND(",",$C1878)-1))))</f>
        <v/>
      </c>
      <c r="M1878" s="28">
        <f>IF($H1878="","",DATE(YEAR($H1878),MONTH($H1878),1))</f>
        <v/>
      </c>
      <c r="N1878" s="26">
        <f>IF($H1878="","",TODAY()-$H1878)</f>
        <v/>
      </c>
      <c r="O1878" s="15" t="n"/>
      <c r="P1878" s="26">
        <f>IF($A1878="","",COUNTIFS('Audit Versions'!$A$6:$A$605,$A1878,'Audit Versions'!$L$6:$L$605,"Active"))</f>
        <v/>
      </c>
      <c r="Q1878" s="15" t="n"/>
      <c r="R1878" s="26">
        <f>IF(OR($A1878="",$P1878=0),"",MOD(N($Q1878),$P1878)+1)</f>
        <v/>
      </c>
      <c r="S1878" s="15" t="n"/>
      <c r="T1878" s="25" t="n"/>
      <c r="U1878" s="26">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Builder'!$B$12="",N($S1878)&lt;='Assignment Builder'!$B$12)))</f>
        <v/>
      </c>
      <c r="V1878" s="23" t="n"/>
    </row>
    <row r="1879">
      <c r="A1879" s="23" t="n"/>
      <c r="B1879" s="23" t="n"/>
      <c r="C1879" s="24" t="n"/>
      <c r="D1879" s="15" t="n"/>
      <c r="E1879" s="23" t="n"/>
      <c r="F1879" s="15" t="n"/>
      <c r="G1879" s="23" t="n"/>
      <c r="H1879" s="25" t="n"/>
      <c r="I1879" s="15" t="n"/>
      <c r="J1879" s="26">
        <f>IF($A1879="","",LEN($C1879)-LEN(SUBSTITUTE($C1879,",",""))+1)</f>
        <v/>
      </c>
      <c r="K1879" s="26">
        <f>IF($A1879="","",SUMPRODUCT(--ISNUMBER(SEARCH('Category Dictionary'!$D$5:$D$135&amp;"",$C1879)),--('Category Dictionary'!$D$5:$D$135&lt;&gt;"")))</f>
        <v/>
      </c>
      <c r="L1879" s="27">
        <f>IF($A1879="","",TRIM(IF(ISERROR(FIND(",",$C1879)),$C1879,LEFT($C1879,FIND(",",$C1879)-1))))</f>
        <v/>
      </c>
      <c r="M1879" s="28">
        <f>IF($H1879="","",DATE(YEAR($H1879),MONTH($H1879),1))</f>
        <v/>
      </c>
      <c r="N1879" s="26">
        <f>IF($H1879="","",TODAY()-$H1879)</f>
        <v/>
      </c>
      <c r="O1879" s="15" t="n"/>
      <c r="P1879" s="26">
        <f>IF($A1879="","",COUNTIFS('Audit Versions'!$A$6:$A$605,$A1879,'Audit Versions'!$L$6:$L$605,"Active"))</f>
        <v/>
      </c>
      <c r="Q1879" s="15" t="n"/>
      <c r="R1879" s="26">
        <f>IF(OR($A1879="",$P1879=0),"",MOD(N($Q1879),$P1879)+1)</f>
        <v/>
      </c>
      <c r="S1879" s="15" t="n"/>
      <c r="T1879" s="25" t="n"/>
      <c r="U1879" s="26">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Builder'!$B$12="",N($S1879)&lt;='Assignment Builder'!$B$12)))</f>
        <v/>
      </c>
      <c r="V1879" s="23" t="n"/>
    </row>
    <row r="1880">
      <c r="A1880" s="23" t="n"/>
      <c r="B1880" s="23" t="n"/>
      <c r="C1880" s="24" t="n"/>
      <c r="D1880" s="15" t="n"/>
      <c r="E1880" s="23" t="n"/>
      <c r="F1880" s="15" t="n"/>
      <c r="G1880" s="23" t="n"/>
      <c r="H1880" s="25" t="n"/>
      <c r="I1880" s="15" t="n"/>
      <c r="J1880" s="26">
        <f>IF($A1880="","",LEN($C1880)-LEN(SUBSTITUTE($C1880,",",""))+1)</f>
        <v/>
      </c>
      <c r="K1880" s="26">
        <f>IF($A1880="","",SUMPRODUCT(--ISNUMBER(SEARCH('Category Dictionary'!$D$5:$D$135&amp;"",$C1880)),--('Category Dictionary'!$D$5:$D$135&lt;&gt;"")))</f>
        <v/>
      </c>
      <c r="L1880" s="27">
        <f>IF($A1880="","",TRIM(IF(ISERROR(FIND(",",$C1880)),$C1880,LEFT($C1880,FIND(",",$C1880)-1))))</f>
        <v/>
      </c>
      <c r="M1880" s="28">
        <f>IF($H1880="","",DATE(YEAR($H1880),MONTH($H1880),1))</f>
        <v/>
      </c>
      <c r="N1880" s="26">
        <f>IF($H1880="","",TODAY()-$H1880)</f>
        <v/>
      </c>
      <c r="O1880" s="15" t="n"/>
      <c r="P1880" s="26">
        <f>IF($A1880="","",COUNTIFS('Audit Versions'!$A$6:$A$605,$A1880,'Audit Versions'!$L$6:$L$605,"Active"))</f>
        <v/>
      </c>
      <c r="Q1880" s="15" t="n"/>
      <c r="R1880" s="26">
        <f>IF(OR($A1880="",$P1880=0),"",MOD(N($Q1880),$P1880)+1)</f>
        <v/>
      </c>
      <c r="S1880" s="15" t="n"/>
      <c r="T1880" s="25" t="n"/>
      <c r="U1880" s="26">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Builder'!$B$12="",N($S1880)&lt;='Assignment Builder'!$B$12)))</f>
        <v/>
      </c>
      <c r="V1880" s="23" t="n"/>
    </row>
    <row r="1881">
      <c r="A1881" s="23" t="n"/>
      <c r="B1881" s="23" t="n"/>
      <c r="C1881" s="24" t="n"/>
      <c r="D1881" s="15" t="n"/>
      <c r="E1881" s="23" t="n"/>
      <c r="F1881" s="15" t="n"/>
      <c r="G1881" s="23" t="n"/>
      <c r="H1881" s="25" t="n"/>
      <c r="I1881" s="15" t="n"/>
      <c r="J1881" s="26">
        <f>IF($A1881="","",LEN($C1881)-LEN(SUBSTITUTE($C1881,",",""))+1)</f>
        <v/>
      </c>
      <c r="K1881" s="26">
        <f>IF($A1881="","",SUMPRODUCT(--ISNUMBER(SEARCH('Category Dictionary'!$D$5:$D$135&amp;"",$C1881)),--('Category Dictionary'!$D$5:$D$135&lt;&gt;"")))</f>
        <v/>
      </c>
      <c r="L1881" s="27">
        <f>IF($A1881="","",TRIM(IF(ISERROR(FIND(",",$C1881)),$C1881,LEFT($C1881,FIND(",",$C1881)-1))))</f>
        <v/>
      </c>
      <c r="M1881" s="28">
        <f>IF($H1881="","",DATE(YEAR($H1881),MONTH($H1881),1))</f>
        <v/>
      </c>
      <c r="N1881" s="26">
        <f>IF($H1881="","",TODAY()-$H1881)</f>
        <v/>
      </c>
      <c r="O1881" s="15" t="n"/>
      <c r="P1881" s="26">
        <f>IF($A1881="","",COUNTIFS('Audit Versions'!$A$6:$A$605,$A1881,'Audit Versions'!$L$6:$L$605,"Active"))</f>
        <v/>
      </c>
      <c r="Q1881" s="15" t="n"/>
      <c r="R1881" s="26">
        <f>IF(OR($A1881="",$P1881=0),"",MOD(N($Q1881),$P1881)+1)</f>
        <v/>
      </c>
      <c r="S1881" s="15" t="n"/>
      <c r="T1881" s="25" t="n"/>
      <c r="U1881" s="26">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Builder'!$B$12="",N($S1881)&lt;='Assignment Builder'!$B$12)))</f>
        <v/>
      </c>
      <c r="V1881" s="23" t="n"/>
    </row>
    <row r="1882">
      <c r="A1882" s="23" t="n"/>
      <c r="B1882" s="23" t="n"/>
      <c r="C1882" s="24" t="n"/>
      <c r="D1882" s="15" t="n"/>
      <c r="E1882" s="23" t="n"/>
      <c r="F1882" s="15" t="n"/>
      <c r="G1882" s="23" t="n"/>
      <c r="H1882" s="25" t="n"/>
      <c r="I1882" s="15" t="n"/>
      <c r="J1882" s="26">
        <f>IF($A1882="","",LEN($C1882)-LEN(SUBSTITUTE($C1882,",",""))+1)</f>
        <v/>
      </c>
      <c r="K1882" s="26">
        <f>IF($A1882="","",SUMPRODUCT(--ISNUMBER(SEARCH('Category Dictionary'!$D$5:$D$135&amp;"",$C1882)),--('Category Dictionary'!$D$5:$D$135&lt;&gt;"")))</f>
        <v/>
      </c>
      <c r="L1882" s="27">
        <f>IF($A1882="","",TRIM(IF(ISERROR(FIND(",",$C1882)),$C1882,LEFT($C1882,FIND(",",$C1882)-1))))</f>
        <v/>
      </c>
      <c r="M1882" s="28">
        <f>IF($H1882="","",DATE(YEAR($H1882),MONTH($H1882),1))</f>
        <v/>
      </c>
      <c r="N1882" s="26">
        <f>IF($H1882="","",TODAY()-$H1882)</f>
        <v/>
      </c>
      <c r="O1882" s="15" t="n"/>
      <c r="P1882" s="26">
        <f>IF($A1882="","",COUNTIFS('Audit Versions'!$A$6:$A$605,$A1882,'Audit Versions'!$L$6:$L$605,"Active"))</f>
        <v/>
      </c>
      <c r="Q1882" s="15" t="n"/>
      <c r="R1882" s="26">
        <f>IF(OR($A1882="",$P1882=0),"",MOD(N($Q1882),$P1882)+1)</f>
        <v/>
      </c>
      <c r="S1882" s="15" t="n"/>
      <c r="T1882" s="25" t="n"/>
      <c r="U1882" s="26">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Builder'!$B$12="",N($S1882)&lt;='Assignment Builder'!$B$12)))</f>
        <v/>
      </c>
      <c r="V1882" s="23" t="n"/>
    </row>
    <row r="1883">
      <c r="A1883" s="23" t="n"/>
      <c r="B1883" s="23" t="n"/>
      <c r="C1883" s="24" t="n"/>
      <c r="D1883" s="15" t="n"/>
      <c r="E1883" s="23" t="n"/>
      <c r="F1883" s="15" t="n"/>
      <c r="G1883" s="23" t="n"/>
      <c r="H1883" s="25" t="n"/>
      <c r="I1883" s="15" t="n"/>
      <c r="J1883" s="26">
        <f>IF($A1883="","",LEN($C1883)-LEN(SUBSTITUTE($C1883,",",""))+1)</f>
        <v/>
      </c>
      <c r="K1883" s="26">
        <f>IF($A1883="","",SUMPRODUCT(--ISNUMBER(SEARCH('Category Dictionary'!$D$5:$D$135&amp;"",$C1883)),--('Category Dictionary'!$D$5:$D$135&lt;&gt;"")))</f>
        <v/>
      </c>
      <c r="L1883" s="27">
        <f>IF($A1883="","",TRIM(IF(ISERROR(FIND(",",$C1883)),$C1883,LEFT($C1883,FIND(",",$C1883)-1))))</f>
        <v/>
      </c>
      <c r="M1883" s="28">
        <f>IF($H1883="","",DATE(YEAR($H1883),MONTH($H1883),1))</f>
        <v/>
      </c>
      <c r="N1883" s="26">
        <f>IF($H1883="","",TODAY()-$H1883)</f>
        <v/>
      </c>
      <c r="O1883" s="15" t="n"/>
      <c r="P1883" s="26">
        <f>IF($A1883="","",COUNTIFS('Audit Versions'!$A$6:$A$605,$A1883,'Audit Versions'!$L$6:$L$605,"Active"))</f>
        <v/>
      </c>
      <c r="Q1883" s="15" t="n"/>
      <c r="R1883" s="26">
        <f>IF(OR($A1883="",$P1883=0),"",MOD(N($Q1883),$P1883)+1)</f>
        <v/>
      </c>
      <c r="S1883" s="15" t="n"/>
      <c r="T1883" s="25" t="n"/>
      <c r="U1883" s="26">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Builder'!$B$12="",N($S1883)&lt;='Assignment Builder'!$B$12)))</f>
        <v/>
      </c>
      <c r="V1883" s="23" t="n"/>
    </row>
    <row r="1884">
      <c r="A1884" s="23" t="n"/>
      <c r="B1884" s="23" t="n"/>
      <c r="C1884" s="24" t="n"/>
      <c r="D1884" s="15" t="n"/>
      <c r="E1884" s="23" t="n"/>
      <c r="F1884" s="15" t="n"/>
      <c r="G1884" s="23" t="n"/>
      <c r="H1884" s="25" t="n"/>
      <c r="I1884" s="15" t="n"/>
      <c r="J1884" s="26">
        <f>IF($A1884="","",LEN($C1884)-LEN(SUBSTITUTE($C1884,",",""))+1)</f>
        <v/>
      </c>
      <c r="K1884" s="26">
        <f>IF($A1884="","",SUMPRODUCT(--ISNUMBER(SEARCH('Category Dictionary'!$D$5:$D$135&amp;"",$C1884)),--('Category Dictionary'!$D$5:$D$135&lt;&gt;"")))</f>
        <v/>
      </c>
      <c r="L1884" s="27">
        <f>IF($A1884="","",TRIM(IF(ISERROR(FIND(",",$C1884)),$C1884,LEFT($C1884,FIND(",",$C1884)-1))))</f>
        <v/>
      </c>
      <c r="M1884" s="28">
        <f>IF($H1884="","",DATE(YEAR($H1884),MONTH($H1884),1))</f>
        <v/>
      </c>
      <c r="N1884" s="26">
        <f>IF($H1884="","",TODAY()-$H1884)</f>
        <v/>
      </c>
      <c r="O1884" s="15" t="n"/>
      <c r="P1884" s="26">
        <f>IF($A1884="","",COUNTIFS('Audit Versions'!$A$6:$A$605,$A1884,'Audit Versions'!$L$6:$L$605,"Active"))</f>
        <v/>
      </c>
      <c r="Q1884" s="15" t="n"/>
      <c r="R1884" s="26">
        <f>IF(OR($A1884="",$P1884=0),"",MOD(N($Q1884),$P1884)+1)</f>
        <v/>
      </c>
      <c r="S1884" s="15" t="n"/>
      <c r="T1884" s="25" t="n"/>
      <c r="U1884" s="26">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Builder'!$B$12="",N($S1884)&lt;='Assignment Builder'!$B$12)))</f>
        <v/>
      </c>
      <c r="V1884" s="23" t="n"/>
    </row>
    <row r="1885">
      <c r="A1885" s="23" t="n"/>
      <c r="B1885" s="23" t="n"/>
      <c r="C1885" s="24" t="n"/>
      <c r="D1885" s="15" t="n"/>
      <c r="E1885" s="23" t="n"/>
      <c r="F1885" s="15" t="n"/>
      <c r="G1885" s="23" t="n"/>
      <c r="H1885" s="25" t="n"/>
      <c r="I1885" s="15" t="n"/>
      <c r="J1885" s="26">
        <f>IF($A1885="","",LEN($C1885)-LEN(SUBSTITUTE($C1885,",",""))+1)</f>
        <v/>
      </c>
      <c r="K1885" s="26">
        <f>IF($A1885="","",SUMPRODUCT(--ISNUMBER(SEARCH('Category Dictionary'!$D$5:$D$135&amp;"",$C1885)),--('Category Dictionary'!$D$5:$D$135&lt;&gt;"")))</f>
        <v/>
      </c>
      <c r="L1885" s="27">
        <f>IF($A1885="","",TRIM(IF(ISERROR(FIND(",",$C1885)),$C1885,LEFT($C1885,FIND(",",$C1885)-1))))</f>
        <v/>
      </c>
      <c r="M1885" s="28">
        <f>IF($H1885="","",DATE(YEAR($H1885),MONTH($H1885),1))</f>
        <v/>
      </c>
      <c r="N1885" s="26">
        <f>IF($H1885="","",TODAY()-$H1885)</f>
        <v/>
      </c>
      <c r="O1885" s="15" t="n"/>
      <c r="P1885" s="26">
        <f>IF($A1885="","",COUNTIFS('Audit Versions'!$A$6:$A$605,$A1885,'Audit Versions'!$L$6:$L$605,"Active"))</f>
        <v/>
      </c>
      <c r="Q1885" s="15" t="n"/>
      <c r="R1885" s="26">
        <f>IF(OR($A1885="",$P1885=0),"",MOD(N($Q1885),$P1885)+1)</f>
        <v/>
      </c>
      <c r="S1885" s="15" t="n"/>
      <c r="T1885" s="25" t="n"/>
      <c r="U1885" s="26">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Builder'!$B$12="",N($S1885)&lt;='Assignment Builder'!$B$12)))</f>
        <v/>
      </c>
      <c r="V1885" s="23" t="n"/>
    </row>
    <row r="1886">
      <c r="A1886" s="23" t="n"/>
      <c r="B1886" s="23" t="n"/>
      <c r="C1886" s="24" t="n"/>
      <c r="D1886" s="15" t="n"/>
      <c r="E1886" s="23" t="n"/>
      <c r="F1886" s="15" t="n"/>
      <c r="G1886" s="23" t="n"/>
      <c r="H1886" s="25" t="n"/>
      <c r="I1886" s="15" t="n"/>
      <c r="J1886" s="26">
        <f>IF($A1886="","",LEN($C1886)-LEN(SUBSTITUTE($C1886,",",""))+1)</f>
        <v/>
      </c>
      <c r="K1886" s="26">
        <f>IF($A1886="","",SUMPRODUCT(--ISNUMBER(SEARCH('Category Dictionary'!$D$5:$D$135&amp;"",$C1886)),--('Category Dictionary'!$D$5:$D$135&lt;&gt;"")))</f>
        <v/>
      </c>
      <c r="L1886" s="27">
        <f>IF($A1886="","",TRIM(IF(ISERROR(FIND(",",$C1886)),$C1886,LEFT($C1886,FIND(",",$C1886)-1))))</f>
        <v/>
      </c>
      <c r="M1886" s="28">
        <f>IF($H1886="","",DATE(YEAR($H1886),MONTH($H1886),1))</f>
        <v/>
      </c>
      <c r="N1886" s="26">
        <f>IF($H1886="","",TODAY()-$H1886)</f>
        <v/>
      </c>
      <c r="O1886" s="15" t="n"/>
      <c r="P1886" s="26">
        <f>IF($A1886="","",COUNTIFS('Audit Versions'!$A$6:$A$605,$A1886,'Audit Versions'!$L$6:$L$605,"Active"))</f>
        <v/>
      </c>
      <c r="Q1886" s="15" t="n"/>
      <c r="R1886" s="26">
        <f>IF(OR($A1886="",$P1886=0),"",MOD(N($Q1886),$P1886)+1)</f>
        <v/>
      </c>
      <c r="S1886" s="15" t="n"/>
      <c r="T1886" s="25" t="n"/>
      <c r="U1886" s="26">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Builder'!$B$12="",N($S1886)&lt;='Assignment Builder'!$B$12)))</f>
        <v/>
      </c>
      <c r="V1886" s="23" t="n"/>
    </row>
    <row r="1887">
      <c r="A1887" s="23" t="n"/>
      <c r="B1887" s="23" t="n"/>
      <c r="C1887" s="24" t="n"/>
      <c r="D1887" s="15" t="n"/>
      <c r="E1887" s="23" t="n"/>
      <c r="F1887" s="15" t="n"/>
      <c r="G1887" s="23" t="n"/>
      <c r="H1887" s="25" t="n"/>
      <c r="I1887" s="15" t="n"/>
      <c r="J1887" s="26">
        <f>IF($A1887="","",LEN($C1887)-LEN(SUBSTITUTE($C1887,",",""))+1)</f>
        <v/>
      </c>
      <c r="K1887" s="26">
        <f>IF($A1887="","",SUMPRODUCT(--ISNUMBER(SEARCH('Category Dictionary'!$D$5:$D$135&amp;"",$C1887)),--('Category Dictionary'!$D$5:$D$135&lt;&gt;"")))</f>
        <v/>
      </c>
      <c r="L1887" s="27">
        <f>IF($A1887="","",TRIM(IF(ISERROR(FIND(",",$C1887)),$C1887,LEFT($C1887,FIND(",",$C1887)-1))))</f>
        <v/>
      </c>
      <c r="M1887" s="28">
        <f>IF($H1887="","",DATE(YEAR($H1887),MONTH($H1887),1))</f>
        <v/>
      </c>
      <c r="N1887" s="26">
        <f>IF($H1887="","",TODAY()-$H1887)</f>
        <v/>
      </c>
      <c r="O1887" s="15" t="n"/>
      <c r="P1887" s="26">
        <f>IF($A1887="","",COUNTIFS('Audit Versions'!$A$6:$A$605,$A1887,'Audit Versions'!$L$6:$L$605,"Active"))</f>
        <v/>
      </c>
      <c r="Q1887" s="15" t="n"/>
      <c r="R1887" s="26">
        <f>IF(OR($A1887="",$P1887=0),"",MOD(N($Q1887),$P1887)+1)</f>
        <v/>
      </c>
      <c r="S1887" s="15" t="n"/>
      <c r="T1887" s="25" t="n"/>
      <c r="U1887" s="26">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Builder'!$B$12="",N($S1887)&lt;='Assignment Builder'!$B$12)))</f>
        <v/>
      </c>
      <c r="V1887" s="23" t="n"/>
    </row>
    <row r="1888">
      <c r="A1888" s="23" t="n"/>
      <c r="B1888" s="23" t="n"/>
      <c r="C1888" s="24" t="n"/>
      <c r="D1888" s="15" t="n"/>
      <c r="E1888" s="23" t="n"/>
      <c r="F1888" s="15" t="n"/>
      <c r="G1888" s="23" t="n"/>
      <c r="H1888" s="25" t="n"/>
      <c r="I1888" s="15" t="n"/>
      <c r="J1888" s="26">
        <f>IF($A1888="","",LEN($C1888)-LEN(SUBSTITUTE($C1888,",",""))+1)</f>
        <v/>
      </c>
      <c r="K1888" s="26">
        <f>IF($A1888="","",SUMPRODUCT(--ISNUMBER(SEARCH('Category Dictionary'!$D$5:$D$135&amp;"",$C1888)),--('Category Dictionary'!$D$5:$D$135&lt;&gt;"")))</f>
        <v/>
      </c>
      <c r="L1888" s="27">
        <f>IF($A1888="","",TRIM(IF(ISERROR(FIND(",",$C1888)),$C1888,LEFT($C1888,FIND(",",$C1888)-1))))</f>
        <v/>
      </c>
      <c r="M1888" s="28">
        <f>IF($H1888="","",DATE(YEAR($H1888),MONTH($H1888),1))</f>
        <v/>
      </c>
      <c r="N1888" s="26">
        <f>IF($H1888="","",TODAY()-$H1888)</f>
        <v/>
      </c>
      <c r="O1888" s="15" t="n"/>
      <c r="P1888" s="26">
        <f>IF($A1888="","",COUNTIFS('Audit Versions'!$A$6:$A$605,$A1888,'Audit Versions'!$L$6:$L$605,"Active"))</f>
        <v/>
      </c>
      <c r="Q1888" s="15" t="n"/>
      <c r="R1888" s="26">
        <f>IF(OR($A1888="",$P1888=0),"",MOD(N($Q1888),$P1888)+1)</f>
        <v/>
      </c>
      <c r="S1888" s="15" t="n"/>
      <c r="T1888" s="25" t="n"/>
      <c r="U1888" s="26">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Builder'!$B$12="",N($S1888)&lt;='Assignment Builder'!$B$12)))</f>
        <v/>
      </c>
      <c r="V1888" s="23" t="n"/>
    </row>
    <row r="1889">
      <c r="A1889" s="23" t="n"/>
      <c r="B1889" s="23" t="n"/>
      <c r="C1889" s="24" t="n"/>
      <c r="D1889" s="15" t="n"/>
      <c r="E1889" s="23" t="n"/>
      <c r="F1889" s="15" t="n"/>
      <c r="G1889" s="23" t="n"/>
      <c r="H1889" s="25" t="n"/>
      <c r="I1889" s="15" t="n"/>
      <c r="J1889" s="26">
        <f>IF($A1889="","",LEN($C1889)-LEN(SUBSTITUTE($C1889,",",""))+1)</f>
        <v/>
      </c>
      <c r="K1889" s="26">
        <f>IF($A1889="","",SUMPRODUCT(--ISNUMBER(SEARCH('Category Dictionary'!$D$5:$D$135&amp;"",$C1889)),--('Category Dictionary'!$D$5:$D$135&lt;&gt;"")))</f>
        <v/>
      </c>
      <c r="L1889" s="27">
        <f>IF($A1889="","",TRIM(IF(ISERROR(FIND(",",$C1889)),$C1889,LEFT($C1889,FIND(",",$C1889)-1))))</f>
        <v/>
      </c>
      <c r="M1889" s="28">
        <f>IF($H1889="","",DATE(YEAR($H1889),MONTH($H1889),1))</f>
        <v/>
      </c>
      <c r="N1889" s="26">
        <f>IF($H1889="","",TODAY()-$H1889)</f>
        <v/>
      </c>
      <c r="O1889" s="15" t="n"/>
      <c r="P1889" s="26">
        <f>IF($A1889="","",COUNTIFS('Audit Versions'!$A$6:$A$605,$A1889,'Audit Versions'!$L$6:$L$605,"Active"))</f>
        <v/>
      </c>
      <c r="Q1889" s="15" t="n"/>
      <c r="R1889" s="26">
        <f>IF(OR($A1889="",$P1889=0),"",MOD(N($Q1889),$P1889)+1)</f>
        <v/>
      </c>
      <c r="S1889" s="15" t="n"/>
      <c r="T1889" s="25" t="n"/>
      <c r="U1889" s="26">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Builder'!$B$12="",N($S1889)&lt;='Assignment Builder'!$B$12)))</f>
        <v/>
      </c>
      <c r="V1889" s="23" t="n"/>
    </row>
    <row r="1890">
      <c r="A1890" s="23" t="n"/>
      <c r="B1890" s="23" t="n"/>
      <c r="C1890" s="24" t="n"/>
      <c r="D1890" s="15" t="n"/>
      <c r="E1890" s="23" t="n"/>
      <c r="F1890" s="15" t="n"/>
      <c r="G1890" s="23" t="n"/>
      <c r="H1890" s="25" t="n"/>
      <c r="I1890" s="15" t="n"/>
      <c r="J1890" s="26">
        <f>IF($A1890="","",LEN($C1890)-LEN(SUBSTITUTE($C1890,",",""))+1)</f>
        <v/>
      </c>
      <c r="K1890" s="26">
        <f>IF($A1890="","",SUMPRODUCT(--ISNUMBER(SEARCH('Category Dictionary'!$D$5:$D$135&amp;"",$C1890)),--('Category Dictionary'!$D$5:$D$135&lt;&gt;"")))</f>
        <v/>
      </c>
      <c r="L1890" s="27">
        <f>IF($A1890="","",TRIM(IF(ISERROR(FIND(",",$C1890)),$C1890,LEFT($C1890,FIND(",",$C1890)-1))))</f>
        <v/>
      </c>
      <c r="M1890" s="28">
        <f>IF($H1890="","",DATE(YEAR($H1890),MONTH($H1890),1))</f>
        <v/>
      </c>
      <c r="N1890" s="26">
        <f>IF($H1890="","",TODAY()-$H1890)</f>
        <v/>
      </c>
      <c r="O1890" s="15" t="n"/>
      <c r="P1890" s="26">
        <f>IF($A1890="","",COUNTIFS('Audit Versions'!$A$6:$A$605,$A1890,'Audit Versions'!$L$6:$L$605,"Active"))</f>
        <v/>
      </c>
      <c r="Q1890" s="15" t="n"/>
      <c r="R1890" s="26">
        <f>IF(OR($A1890="",$P1890=0),"",MOD(N($Q1890),$P1890)+1)</f>
        <v/>
      </c>
      <c r="S1890" s="15" t="n"/>
      <c r="T1890" s="25" t="n"/>
      <c r="U1890" s="26">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Builder'!$B$12="",N($S1890)&lt;='Assignment Builder'!$B$12)))</f>
        <v/>
      </c>
      <c r="V1890" s="23" t="n"/>
    </row>
    <row r="1891">
      <c r="A1891" s="23" t="n"/>
      <c r="B1891" s="23" t="n"/>
      <c r="C1891" s="24" t="n"/>
      <c r="D1891" s="15" t="n"/>
      <c r="E1891" s="23" t="n"/>
      <c r="F1891" s="15" t="n"/>
      <c r="G1891" s="23" t="n"/>
      <c r="H1891" s="25" t="n"/>
      <c r="I1891" s="15" t="n"/>
      <c r="J1891" s="26">
        <f>IF($A1891="","",LEN($C1891)-LEN(SUBSTITUTE($C1891,",",""))+1)</f>
        <v/>
      </c>
      <c r="K1891" s="26">
        <f>IF($A1891="","",SUMPRODUCT(--ISNUMBER(SEARCH('Category Dictionary'!$D$5:$D$135&amp;"",$C1891)),--('Category Dictionary'!$D$5:$D$135&lt;&gt;"")))</f>
        <v/>
      </c>
      <c r="L1891" s="27">
        <f>IF($A1891="","",TRIM(IF(ISERROR(FIND(",",$C1891)),$C1891,LEFT($C1891,FIND(",",$C1891)-1))))</f>
        <v/>
      </c>
      <c r="M1891" s="28">
        <f>IF($H1891="","",DATE(YEAR($H1891),MONTH($H1891),1))</f>
        <v/>
      </c>
      <c r="N1891" s="26">
        <f>IF($H1891="","",TODAY()-$H1891)</f>
        <v/>
      </c>
      <c r="O1891" s="15" t="n"/>
      <c r="P1891" s="26">
        <f>IF($A1891="","",COUNTIFS('Audit Versions'!$A$6:$A$605,$A1891,'Audit Versions'!$L$6:$L$605,"Active"))</f>
        <v/>
      </c>
      <c r="Q1891" s="15" t="n"/>
      <c r="R1891" s="26">
        <f>IF(OR($A1891="",$P1891=0),"",MOD(N($Q1891),$P1891)+1)</f>
        <v/>
      </c>
      <c r="S1891" s="15" t="n"/>
      <c r="T1891" s="25" t="n"/>
      <c r="U1891" s="26">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Builder'!$B$12="",N($S1891)&lt;='Assignment Builder'!$B$12)))</f>
        <v/>
      </c>
      <c r="V1891" s="23" t="n"/>
    </row>
    <row r="1892">
      <c r="A1892" s="23" t="n"/>
      <c r="B1892" s="23" t="n"/>
      <c r="C1892" s="24" t="n"/>
      <c r="D1892" s="15" t="n"/>
      <c r="E1892" s="23" t="n"/>
      <c r="F1892" s="15" t="n"/>
      <c r="G1892" s="23" t="n"/>
      <c r="H1892" s="25" t="n"/>
      <c r="I1892" s="15" t="n"/>
      <c r="J1892" s="26">
        <f>IF($A1892="","",LEN($C1892)-LEN(SUBSTITUTE($C1892,",",""))+1)</f>
        <v/>
      </c>
      <c r="K1892" s="26">
        <f>IF($A1892="","",SUMPRODUCT(--ISNUMBER(SEARCH('Category Dictionary'!$D$5:$D$135&amp;"",$C1892)),--('Category Dictionary'!$D$5:$D$135&lt;&gt;"")))</f>
        <v/>
      </c>
      <c r="L1892" s="27">
        <f>IF($A1892="","",TRIM(IF(ISERROR(FIND(",",$C1892)),$C1892,LEFT($C1892,FIND(",",$C1892)-1))))</f>
        <v/>
      </c>
      <c r="M1892" s="28">
        <f>IF($H1892="","",DATE(YEAR($H1892),MONTH($H1892),1))</f>
        <v/>
      </c>
      <c r="N1892" s="26">
        <f>IF($H1892="","",TODAY()-$H1892)</f>
        <v/>
      </c>
      <c r="O1892" s="15" t="n"/>
      <c r="P1892" s="26">
        <f>IF($A1892="","",COUNTIFS('Audit Versions'!$A$6:$A$605,$A1892,'Audit Versions'!$L$6:$L$605,"Active"))</f>
        <v/>
      </c>
      <c r="Q1892" s="15" t="n"/>
      <c r="R1892" s="26">
        <f>IF(OR($A1892="",$P1892=0),"",MOD(N($Q1892),$P1892)+1)</f>
        <v/>
      </c>
      <c r="S1892" s="15" t="n"/>
      <c r="T1892" s="25" t="n"/>
      <c r="U1892" s="26">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Builder'!$B$12="",N($S1892)&lt;='Assignment Builder'!$B$12)))</f>
        <v/>
      </c>
      <c r="V1892" s="23" t="n"/>
    </row>
    <row r="1893">
      <c r="A1893" s="23" t="n"/>
      <c r="B1893" s="23" t="n"/>
      <c r="C1893" s="24" t="n"/>
      <c r="D1893" s="15" t="n"/>
      <c r="E1893" s="23" t="n"/>
      <c r="F1893" s="15" t="n"/>
      <c r="G1893" s="23" t="n"/>
      <c r="H1893" s="25" t="n"/>
      <c r="I1893" s="15" t="n"/>
      <c r="J1893" s="26">
        <f>IF($A1893="","",LEN($C1893)-LEN(SUBSTITUTE($C1893,",",""))+1)</f>
        <v/>
      </c>
      <c r="K1893" s="26">
        <f>IF($A1893="","",SUMPRODUCT(--ISNUMBER(SEARCH('Category Dictionary'!$D$5:$D$135&amp;"",$C1893)),--('Category Dictionary'!$D$5:$D$135&lt;&gt;"")))</f>
        <v/>
      </c>
      <c r="L1893" s="27">
        <f>IF($A1893="","",TRIM(IF(ISERROR(FIND(",",$C1893)),$C1893,LEFT($C1893,FIND(",",$C1893)-1))))</f>
        <v/>
      </c>
      <c r="M1893" s="28">
        <f>IF($H1893="","",DATE(YEAR($H1893),MONTH($H1893),1))</f>
        <v/>
      </c>
      <c r="N1893" s="26">
        <f>IF($H1893="","",TODAY()-$H1893)</f>
        <v/>
      </c>
      <c r="O1893" s="15" t="n"/>
      <c r="P1893" s="26">
        <f>IF($A1893="","",COUNTIFS('Audit Versions'!$A$6:$A$605,$A1893,'Audit Versions'!$L$6:$L$605,"Active"))</f>
        <v/>
      </c>
      <c r="Q1893" s="15" t="n"/>
      <c r="R1893" s="26">
        <f>IF(OR($A1893="",$P1893=0),"",MOD(N($Q1893),$P1893)+1)</f>
        <v/>
      </c>
      <c r="S1893" s="15" t="n"/>
      <c r="T1893" s="25" t="n"/>
      <c r="U1893" s="26">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Builder'!$B$12="",N($S1893)&lt;='Assignment Builder'!$B$12)))</f>
        <v/>
      </c>
      <c r="V1893" s="23" t="n"/>
    </row>
    <row r="1894">
      <c r="A1894" s="23" t="n"/>
      <c r="B1894" s="23" t="n"/>
      <c r="C1894" s="24" t="n"/>
      <c r="D1894" s="15" t="n"/>
      <c r="E1894" s="23" t="n"/>
      <c r="F1894" s="15" t="n"/>
      <c r="G1894" s="23" t="n"/>
      <c r="H1894" s="25" t="n"/>
      <c r="I1894" s="15" t="n"/>
      <c r="J1894" s="26">
        <f>IF($A1894="","",LEN($C1894)-LEN(SUBSTITUTE($C1894,",",""))+1)</f>
        <v/>
      </c>
      <c r="K1894" s="26">
        <f>IF($A1894="","",SUMPRODUCT(--ISNUMBER(SEARCH('Category Dictionary'!$D$5:$D$135&amp;"",$C1894)),--('Category Dictionary'!$D$5:$D$135&lt;&gt;"")))</f>
        <v/>
      </c>
      <c r="L1894" s="27">
        <f>IF($A1894="","",TRIM(IF(ISERROR(FIND(",",$C1894)),$C1894,LEFT($C1894,FIND(",",$C1894)-1))))</f>
        <v/>
      </c>
      <c r="M1894" s="28">
        <f>IF($H1894="","",DATE(YEAR($H1894),MONTH($H1894),1))</f>
        <v/>
      </c>
      <c r="N1894" s="26">
        <f>IF($H1894="","",TODAY()-$H1894)</f>
        <v/>
      </c>
      <c r="O1894" s="15" t="n"/>
      <c r="P1894" s="26">
        <f>IF($A1894="","",COUNTIFS('Audit Versions'!$A$6:$A$605,$A1894,'Audit Versions'!$L$6:$L$605,"Active"))</f>
        <v/>
      </c>
      <c r="Q1894" s="15" t="n"/>
      <c r="R1894" s="26">
        <f>IF(OR($A1894="",$P1894=0),"",MOD(N($Q1894),$P1894)+1)</f>
        <v/>
      </c>
      <c r="S1894" s="15" t="n"/>
      <c r="T1894" s="25" t="n"/>
      <c r="U1894" s="26">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Builder'!$B$12="",N($S1894)&lt;='Assignment Builder'!$B$12)))</f>
        <v/>
      </c>
      <c r="V1894" s="23" t="n"/>
    </row>
    <row r="1895">
      <c r="A1895" s="23" t="n"/>
      <c r="B1895" s="23" t="n"/>
      <c r="C1895" s="24" t="n"/>
      <c r="D1895" s="15" t="n"/>
      <c r="E1895" s="23" t="n"/>
      <c r="F1895" s="15" t="n"/>
      <c r="G1895" s="23" t="n"/>
      <c r="H1895" s="25" t="n"/>
      <c r="I1895" s="15" t="n"/>
      <c r="J1895" s="26">
        <f>IF($A1895="","",LEN($C1895)-LEN(SUBSTITUTE($C1895,",",""))+1)</f>
        <v/>
      </c>
      <c r="K1895" s="26">
        <f>IF($A1895="","",SUMPRODUCT(--ISNUMBER(SEARCH('Category Dictionary'!$D$5:$D$135&amp;"",$C1895)),--('Category Dictionary'!$D$5:$D$135&lt;&gt;"")))</f>
        <v/>
      </c>
      <c r="L1895" s="27">
        <f>IF($A1895="","",TRIM(IF(ISERROR(FIND(",",$C1895)),$C1895,LEFT($C1895,FIND(",",$C1895)-1))))</f>
        <v/>
      </c>
      <c r="M1895" s="28">
        <f>IF($H1895="","",DATE(YEAR($H1895),MONTH($H1895),1))</f>
        <v/>
      </c>
      <c r="N1895" s="26">
        <f>IF($H1895="","",TODAY()-$H1895)</f>
        <v/>
      </c>
      <c r="O1895" s="15" t="n"/>
      <c r="P1895" s="26">
        <f>IF($A1895="","",COUNTIFS('Audit Versions'!$A$6:$A$605,$A1895,'Audit Versions'!$L$6:$L$605,"Active"))</f>
        <v/>
      </c>
      <c r="Q1895" s="15" t="n"/>
      <c r="R1895" s="26">
        <f>IF(OR($A1895="",$P1895=0),"",MOD(N($Q1895),$P1895)+1)</f>
        <v/>
      </c>
      <c r="S1895" s="15" t="n"/>
      <c r="T1895" s="25" t="n"/>
      <c r="U1895" s="26">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Builder'!$B$12="",N($S1895)&lt;='Assignment Builder'!$B$12)))</f>
        <v/>
      </c>
      <c r="V1895" s="23" t="n"/>
    </row>
    <row r="1896">
      <c r="A1896" s="23" t="n"/>
      <c r="B1896" s="23" t="n"/>
      <c r="C1896" s="24" t="n"/>
      <c r="D1896" s="15" t="n"/>
      <c r="E1896" s="23" t="n"/>
      <c r="F1896" s="15" t="n"/>
      <c r="G1896" s="23" t="n"/>
      <c r="H1896" s="25" t="n"/>
      <c r="I1896" s="15" t="n"/>
      <c r="J1896" s="26">
        <f>IF($A1896="","",LEN($C1896)-LEN(SUBSTITUTE($C1896,",",""))+1)</f>
        <v/>
      </c>
      <c r="K1896" s="26">
        <f>IF($A1896="","",SUMPRODUCT(--ISNUMBER(SEARCH('Category Dictionary'!$D$5:$D$135&amp;"",$C1896)),--('Category Dictionary'!$D$5:$D$135&lt;&gt;"")))</f>
        <v/>
      </c>
      <c r="L1896" s="27">
        <f>IF($A1896="","",TRIM(IF(ISERROR(FIND(",",$C1896)),$C1896,LEFT($C1896,FIND(",",$C1896)-1))))</f>
        <v/>
      </c>
      <c r="M1896" s="28">
        <f>IF($H1896="","",DATE(YEAR($H1896),MONTH($H1896),1))</f>
        <v/>
      </c>
      <c r="N1896" s="26">
        <f>IF($H1896="","",TODAY()-$H1896)</f>
        <v/>
      </c>
      <c r="O1896" s="15" t="n"/>
      <c r="P1896" s="26">
        <f>IF($A1896="","",COUNTIFS('Audit Versions'!$A$6:$A$605,$A1896,'Audit Versions'!$L$6:$L$605,"Active"))</f>
        <v/>
      </c>
      <c r="Q1896" s="15" t="n"/>
      <c r="R1896" s="26">
        <f>IF(OR($A1896="",$P1896=0),"",MOD(N($Q1896),$P1896)+1)</f>
        <v/>
      </c>
      <c r="S1896" s="15" t="n"/>
      <c r="T1896" s="25" t="n"/>
      <c r="U1896" s="26">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Builder'!$B$12="",N($S1896)&lt;='Assignment Builder'!$B$12)))</f>
        <v/>
      </c>
      <c r="V1896" s="23" t="n"/>
    </row>
    <row r="1897">
      <c r="A1897" s="23" t="n"/>
      <c r="B1897" s="23" t="n"/>
      <c r="C1897" s="24" t="n"/>
      <c r="D1897" s="15" t="n"/>
      <c r="E1897" s="23" t="n"/>
      <c r="F1897" s="15" t="n"/>
      <c r="G1897" s="23" t="n"/>
      <c r="H1897" s="25" t="n"/>
      <c r="I1897" s="15" t="n"/>
      <c r="J1897" s="26">
        <f>IF($A1897="","",LEN($C1897)-LEN(SUBSTITUTE($C1897,",",""))+1)</f>
        <v/>
      </c>
      <c r="K1897" s="26">
        <f>IF($A1897="","",SUMPRODUCT(--ISNUMBER(SEARCH('Category Dictionary'!$D$5:$D$135&amp;"",$C1897)),--('Category Dictionary'!$D$5:$D$135&lt;&gt;"")))</f>
        <v/>
      </c>
      <c r="L1897" s="27">
        <f>IF($A1897="","",TRIM(IF(ISERROR(FIND(",",$C1897)),$C1897,LEFT($C1897,FIND(",",$C1897)-1))))</f>
        <v/>
      </c>
      <c r="M1897" s="28">
        <f>IF($H1897="","",DATE(YEAR($H1897),MONTH($H1897),1))</f>
        <v/>
      </c>
      <c r="N1897" s="26">
        <f>IF($H1897="","",TODAY()-$H1897)</f>
        <v/>
      </c>
      <c r="O1897" s="15" t="n"/>
      <c r="P1897" s="26">
        <f>IF($A1897="","",COUNTIFS('Audit Versions'!$A$6:$A$605,$A1897,'Audit Versions'!$L$6:$L$605,"Active"))</f>
        <v/>
      </c>
      <c r="Q1897" s="15" t="n"/>
      <c r="R1897" s="26">
        <f>IF(OR($A1897="",$P1897=0),"",MOD(N($Q1897),$P1897)+1)</f>
        <v/>
      </c>
      <c r="S1897" s="15" t="n"/>
      <c r="T1897" s="25" t="n"/>
      <c r="U1897" s="26">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Builder'!$B$12="",N($S1897)&lt;='Assignment Builder'!$B$12)))</f>
        <v/>
      </c>
      <c r="V1897" s="23" t="n"/>
    </row>
    <row r="1898">
      <c r="A1898" s="23" t="n"/>
      <c r="B1898" s="23" t="n"/>
      <c r="C1898" s="24" t="n"/>
      <c r="D1898" s="15" t="n"/>
      <c r="E1898" s="23" t="n"/>
      <c r="F1898" s="15" t="n"/>
      <c r="G1898" s="23" t="n"/>
      <c r="H1898" s="25" t="n"/>
      <c r="I1898" s="15" t="n"/>
      <c r="J1898" s="26">
        <f>IF($A1898="","",LEN($C1898)-LEN(SUBSTITUTE($C1898,",",""))+1)</f>
        <v/>
      </c>
      <c r="K1898" s="26">
        <f>IF($A1898="","",SUMPRODUCT(--ISNUMBER(SEARCH('Category Dictionary'!$D$5:$D$135&amp;"",$C1898)),--('Category Dictionary'!$D$5:$D$135&lt;&gt;"")))</f>
        <v/>
      </c>
      <c r="L1898" s="27">
        <f>IF($A1898="","",TRIM(IF(ISERROR(FIND(",",$C1898)),$C1898,LEFT($C1898,FIND(",",$C1898)-1))))</f>
        <v/>
      </c>
      <c r="M1898" s="28">
        <f>IF($H1898="","",DATE(YEAR($H1898),MONTH($H1898),1))</f>
        <v/>
      </c>
      <c r="N1898" s="26">
        <f>IF($H1898="","",TODAY()-$H1898)</f>
        <v/>
      </c>
      <c r="O1898" s="15" t="n"/>
      <c r="P1898" s="26">
        <f>IF($A1898="","",COUNTIFS('Audit Versions'!$A$6:$A$605,$A1898,'Audit Versions'!$L$6:$L$605,"Active"))</f>
        <v/>
      </c>
      <c r="Q1898" s="15" t="n"/>
      <c r="R1898" s="26">
        <f>IF(OR($A1898="",$P1898=0),"",MOD(N($Q1898),$P1898)+1)</f>
        <v/>
      </c>
      <c r="S1898" s="15" t="n"/>
      <c r="T1898" s="25" t="n"/>
      <c r="U1898" s="26">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Builder'!$B$12="",N($S1898)&lt;='Assignment Builder'!$B$12)))</f>
        <v/>
      </c>
      <c r="V1898" s="23" t="n"/>
    </row>
    <row r="1899">
      <c r="A1899" s="23" t="n"/>
      <c r="B1899" s="23" t="n"/>
      <c r="C1899" s="24" t="n"/>
      <c r="D1899" s="15" t="n"/>
      <c r="E1899" s="23" t="n"/>
      <c r="F1899" s="15" t="n"/>
      <c r="G1899" s="23" t="n"/>
      <c r="H1899" s="25" t="n"/>
      <c r="I1899" s="15" t="n"/>
      <c r="J1899" s="26">
        <f>IF($A1899="","",LEN($C1899)-LEN(SUBSTITUTE($C1899,",",""))+1)</f>
        <v/>
      </c>
      <c r="K1899" s="26">
        <f>IF($A1899="","",SUMPRODUCT(--ISNUMBER(SEARCH('Category Dictionary'!$D$5:$D$135&amp;"",$C1899)),--('Category Dictionary'!$D$5:$D$135&lt;&gt;"")))</f>
        <v/>
      </c>
      <c r="L1899" s="27">
        <f>IF($A1899="","",TRIM(IF(ISERROR(FIND(",",$C1899)),$C1899,LEFT($C1899,FIND(",",$C1899)-1))))</f>
        <v/>
      </c>
      <c r="M1899" s="28">
        <f>IF($H1899="","",DATE(YEAR($H1899),MONTH($H1899),1))</f>
        <v/>
      </c>
      <c r="N1899" s="26">
        <f>IF($H1899="","",TODAY()-$H1899)</f>
        <v/>
      </c>
      <c r="O1899" s="15" t="n"/>
      <c r="P1899" s="26">
        <f>IF($A1899="","",COUNTIFS('Audit Versions'!$A$6:$A$605,$A1899,'Audit Versions'!$L$6:$L$605,"Active"))</f>
        <v/>
      </c>
      <c r="Q1899" s="15" t="n"/>
      <c r="R1899" s="26">
        <f>IF(OR($A1899="",$P1899=0),"",MOD(N($Q1899),$P1899)+1)</f>
        <v/>
      </c>
      <c r="S1899" s="15" t="n"/>
      <c r="T1899" s="25" t="n"/>
      <c r="U1899" s="26">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Builder'!$B$12="",N($S1899)&lt;='Assignment Builder'!$B$12)))</f>
        <v/>
      </c>
      <c r="V1899" s="23" t="n"/>
    </row>
    <row r="1900">
      <c r="A1900" s="23" t="n"/>
      <c r="B1900" s="23" t="n"/>
      <c r="C1900" s="24" t="n"/>
      <c r="D1900" s="15" t="n"/>
      <c r="E1900" s="23" t="n"/>
      <c r="F1900" s="15" t="n"/>
      <c r="G1900" s="23" t="n"/>
      <c r="H1900" s="25" t="n"/>
      <c r="I1900" s="15" t="n"/>
      <c r="J1900" s="26">
        <f>IF($A1900="","",LEN($C1900)-LEN(SUBSTITUTE($C1900,",",""))+1)</f>
        <v/>
      </c>
      <c r="K1900" s="26">
        <f>IF($A1900="","",SUMPRODUCT(--ISNUMBER(SEARCH('Category Dictionary'!$D$5:$D$135&amp;"",$C1900)),--('Category Dictionary'!$D$5:$D$135&lt;&gt;"")))</f>
        <v/>
      </c>
      <c r="L1900" s="27">
        <f>IF($A1900="","",TRIM(IF(ISERROR(FIND(",",$C1900)),$C1900,LEFT($C1900,FIND(",",$C1900)-1))))</f>
        <v/>
      </c>
      <c r="M1900" s="28">
        <f>IF($H1900="","",DATE(YEAR($H1900),MONTH($H1900),1))</f>
        <v/>
      </c>
      <c r="N1900" s="26">
        <f>IF($H1900="","",TODAY()-$H1900)</f>
        <v/>
      </c>
      <c r="O1900" s="15" t="n"/>
      <c r="P1900" s="26">
        <f>IF($A1900="","",COUNTIFS('Audit Versions'!$A$6:$A$605,$A1900,'Audit Versions'!$L$6:$L$605,"Active"))</f>
        <v/>
      </c>
      <c r="Q1900" s="15" t="n"/>
      <c r="R1900" s="26">
        <f>IF(OR($A1900="",$P1900=0),"",MOD(N($Q1900),$P1900)+1)</f>
        <v/>
      </c>
      <c r="S1900" s="15" t="n"/>
      <c r="T1900" s="25" t="n"/>
      <c r="U1900" s="26">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Builder'!$B$12="",N($S1900)&lt;='Assignment Builder'!$B$12)))</f>
        <v/>
      </c>
      <c r="V1900" s="23" t="n"/>
    </row>
    <row r="1901">
      <c r="A1901" s="23" t="n"/>
      <c r="B1901" s="23" t="n"/>
      <c r="C1901" s="24" t="n"/>
      <c r="D1901" s="15" t="n"/>
      <c r="E1901" s="23" t="n"/>
      <c r="F1901" s="15" t="n"/>
      <c r="G1901" s="23" t="n"/>
      <c r="H1901" s="25" t="n"/>
      <c r="I1901" s="15" t="n"/>
      <c r="J1901" s="26">
        <f>IF($A1901="","",LEN($C1901)-LEN(SUBSTITUTE($C1901,",",""))+1)</f>
        <v/>
      </c>
      <c r="K1901" s="26">
        <f>IF($A1901="","",SUMPRODUCT(--ISNUMBER(SEARCH('Category Dictionary'!$D$5:$D$135&amp;"",$C1901)),--('Category Dictionary'!$D$5:$D$135&lt;&gt;"")))</f>
        <v/>
      </c>
      <c r="L1901" s="27">
        <f>IF($A1901="","",TRIM(IF(ISERROR(FIND(",",$C1901)),$C1901,LEFT($C1901,FIND(",",$C1901)-1))))</f>
        <v/>
      </c>
      <c r="M1901" s="28">
        <f>IF($H1901="","",DATE(YEAR($H1901),MONTH($H1901),1))</f>
        <v/>
      </c>
      <c r="N1901" s="26">
        <f>IF($H1901="","",TODAY()-$H1901)</f>
        <v/>
      </c>
      <c r="O1901" s="15" t="n"/>
      <c r="P1901" s="26">
        <f>IF($A1901="","",COUNTIFS('Audit Versions'!$A$6:$A$605,$A1901,'Audit Versions'!$L$6:$L$605,"Active"))</f>
        <v/>
      </c>
      <c r="Q1901" s="15" t="n"/>
      <c r="R1901" s="26">
        <f>IF(OR($A1901="",$P1901=0),"",MOD(N($Q1901),$P1901)+1)</f>
        <v/>
      </c>
      <c r="S1901" s="15" t="n"/>
      <c r="T1901" s="25" t="n"/>
      <c r="U1901" s="26">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Builder'!$B$12="",N($S1901)&lt;='Assignment Builder'!$B$12)))</f>
        <v/>
      </c>
      <c r="V1901" s="23" t="n"/>
    </row>
    <row r="1902">
      <c r="A1902" s="23" t="n"/>
      <c r="B1902" s="23" t="n"/>
      <c r="C1902" s="24" t="n"/>
      <c r="D1902" s="15" t="n"/>
      <c r="E1902" s="23" t="n"/>
      <c r="F1902" s="15" t="n"/>
      <c r="G1902" s="23" t="n"/>
      <c r="H1902" s="25" t="n"/>
      <c r="I1902" s="15" t="n"/>
      <c r="J1902" s="26">
        <f>IF($A1902="","",LEN($C1902)-LEN(SUBSTITUTE($C1902,",",""))+1)</f>
        <v/>
      </c>
      <c r="K1902" s="26">
        <f>IF($A1902="","",SUMPRODUCT(--ISNUMBER(SEARCH('Category Dictionary'!$D$5:$D$135&amp;"",$C1902)),--('Category Dictionary'!$D$5:$D$135&lt;&gt;"")))</f>
        <v/>
      </c>
      <c r="L1902" s="27">
        <f>IF($A1902="","",TRIM(IF(ISERROR(FIND(",",$C1902)),$C1902,LEFT($C1902,FIND(",",$C1902)-1))))</f>
        <v/>
      </c>
      <c r="M1902" s="28">
        <f>IF($H1902="","",DATE(YEAR($H1902),MONTH($H1902),1))</f>
        <v/>
      </c>
      <c r="N1902" s="26">
        <f>IF($H1902="","",TODAY()-$H1902)</f>
        <v/>
      </c>
      <c r="O1902" s="15" t="n"/>
      <c r="P1902" s="26">
        <f>IF($A1902="","",COUNTIFS('Audit Versions'!$A$6:$A$605,$A1902,'Audit Versions'!$L$6:$L$605,"Active"))</f>
        <v/>
      </c>
      <c r="Q1902" s="15" t="n"/>
      <c r="R1902" s="26">
        <f>IF(OR($A1902="",$P1902=0),"",MOD(N($Q1902),$P1902)+1)</f>
        <v/>
      </c>
      <c r="S1902" s="15" t="n"/>
      <c r="T1902" s="25" t="n"/>
      <c r="U1902" s="26">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Builder'!$B$12="",N($S1902)&lt;='Assignment Builder'!$B$12)))</f>
        <v/>
      </c>
      <c r="V1902" s="23" t="n"/>
    </row>
    <row r="1903">
      <c r="A1903" s="23" t="n"/>
      <c r="B1903" s="23" t="n"/>
      <c r="C1903" s="24" t="n"/>
      <c r="D1903" s="15" t="n"/>
      <c r="E1903" s="23" t="n"/>
      <c r="F1903" s="15" t="n"/>
      <c r="G1903" s="23" t="n"/>
      <c r="H1903" s="25" t="n"/>
      <c r="I1903" s="15" t="n"/>
      <c r="J1903" s="26">
        <f>IF($A1903="","",LEN($C1903)-LEN(SUBSTITUTE($C1903,",",""))+1)</f>
        <v/>
      </c>
      <c r="K1903" s="26">
        <f>IF($A1903="","",SUMPRODUCT(--ISNUMBER(SEARCH('Category Dictionary'!$D$5:$D$135&amp;"",$C1903)),--('Category Dictionary'!$D$5:$D$135&lt;&gt;"")))</f>
        <v/>
      </c>
      <c r="L1903" s="27">
        <f>IF($A1903="","",TRIM(IF(ISERROR(FIND(",",$C1903)),$C1903,LEFT($C1903,FIND(",",$C1903)-1))))</f>
        <v/>
      </c>
      <c r="M1903" s="28">
        <f>IF($H1903="","",DATE(YEAR($H1903),MONTH($H1903),1))</f>
        <v/>
      </c>
      <c r="N1903" s="26">
        <f>IF($H1903="","",TODAY()-$H1903)</f>
        <v/>
      </c>
      <c r="O1903" s="15" t="n"/>
      <c r="P1903" s="26">
        <f>IF($A1903="","",COUNTIFS('Audit Versions'!$A$6:$A$605,$A1903,'Audit Versions'!$L$6:$L$605,"Active"))</f>
        <v/>
      </c>
      <c r="Q1903" s="15" t="n"/>
      <c r="R1903" s="26">
        <f>IF(OR($A1903="",$P1903=0),"",MOD(N($Q1903),$P1903)+1)</f>
        <v/>
      </c>
      <c r="S1903" s="15" t="n"/>
      <c r="T1903" s="25" t="n"/>
      <c r="U1903" s="26">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Builder'!$B$12="",N($S1903)&lt;='Assignment Builder'!$B$12)))</f>
        <v/>
      </c>
      <c r="V1903" s="23" t="n"/>
    </row>
    <row r="1904">
      <c r="A1904" s="23" t="n"/>
      <c r="B1904" s="23" t="n"/>
      <c r="C1904" s="24" t="n"/>
      <c r="D1904" s="15" t="n"/>
      <c r="E1904" s="23" t="n"/>
      <c r="F1904" s="15" t="n"/>
      <c r="G1904" s="23" t="n"/>
      <c r="H1904" s="25" t="n"/>
      <c r="I1904" s="15" t="n"/>
      <c r="J1904" s="26">
        <f>IF($A1904="","",LEN($C1904)-LEN(SUBSTITUTE($C1904,",",""))+1)</f>
        <v/>
      </c>
      <c r="K1904" s="26">
        <f>IF($A1904="","",SUMPRODUCT(--ISNUMBER(SEARCH('Category Dictionary'!$D$5:$D$135&amp;"",$C1904)),--('Category Dictionary'!$D$5:$D$135&lt;&gt;"")))</f>
        <v/>
      </c>
      <c r="L1904" s="27">
        <f>IF($A1904="","",TRIM(IF(ISERROR(FIND(",",$C1904)),$C1904,LEFT($C1904,FIND(",",$C1904)-1))))</f>
        <v/>
      </c>
      <c r="M1904" s="28">
        <f>IF($H1904="","",DATE(YEAR($H1904),MONTH($H1904),1))</f>
        <v/>
      </c>
      <c r="N1904" s="26">
        <f>IF($H1904="","",TODAY()-$H1904)</f>
        <v/>
      </c>
      <c r="O1904" s="15" t="n"/>
      <c r="P1904" s="26">
        <f>IF($A1904="","",COUNTIFS('Audit Versions'!$A$6:$A$605,$A1904,'Audit Versions'!$L$6:$L$605,"Active"))</f>
        <v/>
      </c>
      <c r="Q1904" s="15" t="n"/>
      <c r="R1904" s="26">
        <f>IF(OR($A1904="",$P1904=0),"",MOD(N($Q1904),$P1904)+1)</f>
        <v/>
      </c>
      <c r="S1904" s="15" t="n"/>
      <c r="T1904" s="25" t="n"/>
      <c r="U1904" s="26">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Builder'!$B$12="",N($S1904)&lt;='Assignment Builder'!$B$12)))</f>
        <v/>
      </c>
      <c r="V1904" s="23" t="n"/>
    </row>
    <row r="1905">
      <c r="A1905" s="23" t="n"/>
      <c r="B1905" s="23" t="n"/>
      <c r="C1905" s="24" t="n"/>
      <c r="D1905" s="15" t="n"/>
      <c r="E1905" s="23" t="n"/>
      <c r="F1905" s="15" t="n"/>
      <c r="G1905" s="23" t="n"/>
      <c r="H1905" s="25" t="n"/>
      <c r="I1905" s="15" t="n"/>
      <c r="J1905" s="26">
        <f>IF($A1905="","",LEN($C1905)-LEN(SUBSTITUTE($C1905,",",""))+1)</f>
        <v/>
      </c>
      <c r="K1905" s="26">
        <f>IF($A1905="","",SUMPRODUCT(--ISNUMBER(SEARCH('Category Dictionary'!$D$5:$D$135&amp;"",$C1905)),--('Category Dictionary'!$D$5:$D$135&lt;&gt;"")))</f>
        <v/>
      </c>
      <c r="L1905" s="27">
        <f>IF($A1905="","",TRIM(IF(ISERROR(FIND(",",$C1905)),$C1905,LEFT($C1905,FIND(",",$C1905)-1))))</f>
        <v/>
      </c>
      <c r="M1905" s="28">
        <f>IF($H1905="","",DATE(YEAR($H1905),MONTH($H1905),1))</f>
        <v/>
      </c>
      <c r="N1905" s="26">
        <f>IF($H1905="","",TODAY()-$H1905)</f>
        <v/>
      </c>
      <c r="O1905" s="15" t="n"/>
      <c r="P1905" s="26">
        <f>IF($A1905="","",COUNTIFS('Audit Versions'!$A$6:$A$605,$A1905,'Audit Versions'!$L$6:$L$605,"Active"))</f>
        <v/>
      </c>
      <c r="Q1905" s="15" t="n"/>
      <c r="R1905" s="26">
        <f>IF(OR($A1905="",$P1905=0),"",MOD(N($Q1905),$P1905)+1)</f>
        <v/>
      </c>
      <c r="S1905" s="15" t="n"/>
      <c r="T1905" s="25" t="n"/>
      <c r="U1905" s="26">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Builder'!$B$12="",N($S1905)&lt;='Assignment Builder'!$B$12)))</f>
        <v/>
      </c>
      <c r="V1905" s="23" t="n"/>
    </row>
    <row r="1906">
      <c r="A1906" s="23" t="n"/>
      <c r="B1906" s="23" t="n"/>
      <c r="C1906" s="24" t="n"/>
      <c r="D1906" s="15" t="n"/>
      <c r="E1906" s="23" t="n"/>
      <c r="F1906" s="15" t="n"/>
      <c r="G1906" s="23" t="n"/>
      <c r="H1906" s="25" t="n"/>
      <c r="I1906" s="15" t="n"/>
      <c r="J1906" s="26">
        <f>IF($A1906="","",LEN($C1906)-LEN(SUBSTITUTE($C1906,",",""))+1)</f>
        <v/>
      </c>
      <c r="K1906" s="26">
        <f>IF($A1906="","",SUMPRODUCT(--ISNUMBER(SEARCH('Category Dictionary'!$D$5:$D$135&amp;"",$C1906)),--('Category Dictionary'!$D$5:$D$135&lt;&gt;"")))</f>
        <v/>
      </c>
      <c r="L1906" s="27">
        <f>IF($A1906="","",TRIM(IF(ISERROR(FIND(",",$C1906)),$C1906,LEFT($C1906,FIND(",",$C1906)-1))))</f>
        <v/>
      </c>
      <c r="M1906" s="28">
        <f>IF($H1906="","",DATE(YEAR($H1906),MONTH($H1906),1))</f>
        <v/>
      </c>
      <c r="N1906" s="26">
        <f>IF($H1906="","",TODAY()-$H1906)</f>
        <v/>
      </c>
      <c r="O1906" s="15" t="n"/>
      <c r="P1906" s="26">
        <f>IF($A1906="","",COUNTIFS('Audit Versions'!$A$6:$A$605,$A1906,'Audit Versions'!$L$6:$L$605,"Active"))</f>
        <v/>
      </c>
      <c r="Q1906" s="15" t="n"/>
      <c r="R1906" s="26">
        <f>IF(OR($A1906="",$P1906=0),"",MOD(N($Q1906),$P1906)+1)</f>
        <v/>
      </c>
      <c r="S1906" s="15" t="n"/>
      <c r="T1906" s="25" t="n"/>
      <c r="U1906" s="26">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Builder'!$B$12="",N($S1906)&lt;='Assignment Builder'!$B$12)))</f>
        <v/>
      </c>
      <c r="V1906" s="23" t="n"/>
    </row>
    <row r="1907">
      <c r="A1907" s="23" t="n"/>
      <c r="B1907" s="23" t="n"/>
      <c r="C1907" s="24" t="n"/>
      <c r="D1907" s="15" t="n"/>
      <c r="E1907" s="23" t="n"/>
      <c r="F1907" s="15" t="n"/>
      <c r="G1907" s="23" t="n"/>
      <c r="H1907" s="25" t="n"/>
      <c r="I1907" s="15" t="n"/>
      <c r="J1907" s="26">
        <f>IF($A1907="","",LEN($C1907)-LEN(SUBSTITUTE($C1907,",",""))+1)</f>
        <v/>
      </c>
      <c r="K1907" s="26">
        <f>IF($A1907="","",SUMPRODUCT(--ISNUMBER(SEARCH('Category Dictionary'!$D$5:$D$135&amp;"",$C1907)),--('Category Dictionary'!$D$5:$D$135&lt;&gt;"")))</f>
        <v/>
      </c>
      <c r="L1907" s="27">
        <f>IF($A1907="","",TRIM(IF(ISERROR(FIND(",",$C1907)),$C1907,LEFT($C1907,FIND(",",$C1907)-1))))</f>
        <v/>
      </c>
      <c r="M1907" s="28">
        <f>IF($H1907="","",DATE(YEAR($H1907),MONTH($H1907),1))</f>
        <v/>
      </c>
      <c r="N1907" s="26">
        <f>IF($H1907="","",TODAY()-$H1907)</f>
        <v/>
      </c>
      <c r="O1907" s="15" t="n"/>
      <c r="P1907" s="26">
        <f>IF($A1907="","",COUNTIFS('Audit Versions'!$A$6:$A$605,$A1907,'Audit Versions'!$L$6:$L$605,"Active"))</f>
        <v/>
      </c>
      <c r="Q1907" s="15" t="n"/>
      <c r="R1907" s="26">
        <f>IF(OR($A1907="",$P1907=0),"",MOD(N($Q1907),$P1907)+1)</f>
        <v/>
      </c>
      <c r="S1907" s="15" t="n"/>
      <c r="T1907" s="25" t="n"/>
      <c r="U1907" s="26">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Builder'!$B$12="",N($S1907)&lt;='Assignment Builder'!$B$12)))</f>
        <v/>
      </c>
      <c r="V1907" s="23" t="n"/>
    </row>
    <row r="1908">
      <c r="A1908" s="23" t="n"/>
      <c r="B1908" s="23" t="n"/>
      <c r="C1908" s="24" t="n"/>
      <c r="D1908" s="15" t="n"/>
      <c r="E1908" s="23" t="n"/>
      <c r="F1908" s="15" t="n"/>
      <c r="G1908" s="23" t="n"/>
      <c r="H1908" s="25" t="n"/>
      <c r="I1908" s="15" t="n"/>
      <c r="J1908" s="26">
        <f>IF($A1908="","",LEN($C1908)-LEN(SUBSTITUTE($C1908,",",""))+1)</f>
        <v/>
      </c>
      <c r="K1908" s="26">
        <f>IF($A1908="","",SUMPRODUCT(--ISNUMBER(SEARCH('Category Dictionary'!$D$5:$D$135&amp;"",$C1908)),--('Category Dictionary'!$D$5:$D$135&lt;&gt;"")))</f>
        <v/>
      </c>
      <c r="L1908" s="27">
        <f>IF($A1908="","",TRIM(IF(ISERROR(FIND(",",$C1908)),$C1908,LEFT($C1908,FIND(",",$C1908)-1))))</f>
        <v/>
      </c>
      <c r="M1908" s="28">
        <f>IF($H1908="","",DATE(YEAR($H1908),MONTH($H1908),1))</f>
        <v/>
      </c>
      <c r="N1908" s="26">
        <f>IF($H1908="","",TODAY()-$H1908)</f>
        <v/>
      </c>
      <c r="O1908" s="15" t="n"/>
      <c r="P1908" s="26">
        <f>IF($A1908="","",COUNTIFS('Audit Versions'!$A$6:$A$605,$A1908,'Audit Versions'!$L$6:$L$605,"Active"))</f>
        <v/>
      </c>
      <c r="Q1908" s="15" t="n"/>
      <c r="R1908" s="26">
        <f>IF(OR($A1908="",$P1908=0),"",MOD(N($Q1908),$P1908)+1)</f>
        <v/>
      </c>
      <c r="S1908" s="15" t="n"/>
      <c r="T1908" s="25" t="n"/>
      <c r="U1908" s="26">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Builder'!$B$12="",N($S1908)&lt;='Assignment Builder'!$B$12)))</f>
        <v/>
      </c>
      <c r="V1908" s="23" t="n"/>
    </row>
    <row r="1909">
      <c r="A1909" s="23" t="n"/>
      <c r="B1909" s="23" t="n"/>
      <c r="C1909" s="24" t="n"/>
      <c r="D1909" s="15" t="n"/>
      <c r="E1909" s="23" t="n"/>
      <c r="F1909" s="15" t="n"/>
      <c r="G1909" s="23" t="n"/>
      <c r="H1909" s="25" t="n"/>
      <c r="I1909" s="15" t="n"/>
      <c r="J1909" s="26">
        <f>IF($A1909="","",LEN($C1909)-LEN(SUBSTITUTE($C1909,",",""))+1)</f>
        <v/>
      </c>
      <c r="K1909" s="26">
        <f>IF($A1909="","",SUMPRODUCT(--ISNUMBER(SEARCH('Category Dictionary'!$D$5:$D$135&amp;"",$C1909)),--('Category Dictionary'!$D$5:$D$135&lt;&gt;"")))</f>
        <v/>
      </c>
      <c r="L1909" s="27">
        <f>IF($A1909="","",TRIM(IF(ISERROR(FIND(",",$C1909)),$C1909,LEFT($C1909,FIND(",",$C1909)-1))))</f>
        <v/>
      </c>
      <c r="M1909" s="28">
        <f>IF($H1909="","",DATE(YEAR($H1909),MONTH($H1909),1))</f>
        <v/>
      </c>
      <c r="N1909" s="26">
        <f>IF($H1909="","",TODAY()-$H1909)</f>
        <v/>
      </c>
      <c r="O1909" s="15" t="n"/>
      <c r="P1909" s="26">
        <f>IF($A1909="","",COUNTIFS('Audit Versions'!$A$6:$A$605,$A1909,'Audit Versions'!$L$6:$L$605,"Active"))</f>
        <v/>
      </c>
      <c r="Q1909" s="15" t="n"/>
      <c r="R1909" s="26">
        <f>IF(OR($A1909="",$P1909=0),"",MOD(N($Q1909),$P1909)+1)</f>
        <v/>
      </c>
      <c r="S1909" s="15" t="n"/>
      <c r="T1909" s="25" t="n"/>
      <c r="U1909" s="26">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Builder'!$B$12="",N($S1909)&lt;='Assignment Builder'!$B$12)))</f>
        <v/>
      </c>
      <c r="V1909" s="23" t="n"/>
    </row>
    <row r="1910">
      <c r="A1910" s="23" t="n"/>
      <c r="B1910" s="23" t="n"/>
      <c r="C1910" s="24" t="n"/>
      <c r="D1910" s="15" t="n"/>
      <c r="E1910" s="23" t="n"/>
      <c r="F1910" s="15" t="n"/>
      <c r="G1910" s="23" t="n"/>
      <c r="H1910" s="25" t="n"/>
      <c r="I1910" s="15" t="n"/>
      <c r="J1910" s="26">
        <f>IF($A1910="","",LEN($C1910)-LEN(SUBSTITUTE($C1910,",",""))+1)</f>
        <v/>
      </c>
      <c r="K1910" s="26">
        <f>IF($A1910="","",SUMPRODUCT(--ISNUMBER(SEARCH('Category Dictionary'!$D$5:$D$135&amp;"",$C1910)),--('Category Dictionary'!$D$5:$D$135&lt;&gt;"")))</f>
        <v/>
      </c>
      <c r="L1910" s="27">
        <f>IF($A1910="","",TRIM(IF(ISERROR(FIND(",",$C1910)),$C1910,LEFT($C1910,FIND(",",$C1910)-1))))</f>
        <v/>
      </c>
      <c r="M1910" s="28">
        <f>IF($H1910="","",DATE(YEAR($H1910),MONTH($H1910),1))</f>
        <v/>
      </c>
      <c r="N1910" s="26">
        <f>IF($H1910="","",TODAY()-$H1910)</f>
        <v/>
      </c>
      <c r="O1910" s="15" t="n"/>
      <c r="P1910" s="26">
        <f>IF($A1910="","",COUNTIFS('Audit Versions'!$A$6:$A$605,$A1910,'Audit Versions'!$L$6:$L$605,"Active"))</f>
        <v/>
      </c>
      <c r="Q1910" s="15" t="n"/>
      <c r="R1910" s="26">
        <f>IF(OR($A1910="",$P1910=0),"",MOD(N($Q1910),$P1910)+1)</f>
        <v/>
      </c>
      <c r="S1910" s="15" t="n"/>
      <c r="T1910" s="25" t="n"/>
      <c r="U1910" s="26">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Builder'!$B$12="",N($S1910)&lt;='Assignment Builder'!$B$12)))</f>
        <v/>
      </c>
      <c r="V1910" s="23" t="n"/>
    </row>
    <row r="1911">
      <c r="A1911" s="23" t="n"/>
      <c r="B1911" s="23" t="n"/>
      <c r="C1911" s="24" t="n"/>
      <c r="D1911" s="15" t="n"/>
      <c r="E1911" s="23" t="n"/>
      <c r="F1911" s="15" t="n"/>
      <c r="G1911" s="23" t="n"/>
      <c r="H1911" s="25" t="n"/>
      <c r="I1911" s="15" t="n"/>
      <c r="J1911" s="26">
        <f>IF($A1911="","",LEN($C1911)-LEN(SUBSTITUTE($C1911,",",""))+1)</f>
        <v/>
      </c>
      <c r="K1911" s="26">
        <f>IF($A1911="","",SUMPRODUCT(--ISNUMBER(SEARCH('Category Dictionary'!$D$5:$D$135&amp;"",$C1911)),--('Category Dictionary'!$D$5:$D$135&lt;&gt;"")))</f>
        <v/>
      </c>
      <c r="L1911" s="27">
        <f>IF($A1911="","",TRIM(IF(ISERROR(FIND(",",$C1911)),$C1911,LEFT($C1911,FIND(",",$C1911)-1))))</f>
        <v/>
      </c>
      <c r="M1911" s="28">
        <f>IF($H1911="","",DATE(YEAR($H1911),MONTH($H1911),1))</f>
        <v/>
      </c>
      <c r="N1911" s="26">
        <f>IF($H1911="","",TODAY()-$H1911)</f>
        <v/>
      </c>
      <c r="O1911" s="15" t="n"/>
      <c r="P1911" s="26">
        <f>IF($A1911="","",COUNTIFS('Audit Versions'!$A$6:$A$605,$A1911,'Audit Versions'!$L$6:$L$605,"Active"))</f>
        <v/>
      </c>
      <c r="Q1911" s="15" t="n"/>
      <c r="R1911" s="26">
        <f>IF(OR($A1911="",$P1911=0),"",MOD(N($Q1911),$P1911)+1)</f>
        <v/>
      </c>
      <c r="S1911" s="15" t="n"/>
      <c r="T1911" s="25" t="n"/>
      <c r="U1911" s="26">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Builder'!$B$12="",N($S1911)&lt;='Assignment Builder'!$B$12)))</f>
        <v/>
      </c>
      <c r="V1911" s="23" t="n"/>
    </row>
    <row r="1912">
      <c r="A1912" s="23" t="n"/>
      <c r="B1912" s="23" t="n"/>
      <c r="C1912" s="24" t="n"/>
      <c r="D1912" s="15" t="n"/>
      <c r="E1912" s="23" t="n"/>
      <c r="F1912" s="15" t="n"/>
      <c r="G1912" s="23" t="n"/>
      <c r="H1912" s="25" t="n"/>
      <c r="I1912" s="15" t="n"/>
      <c r="J1912" s="26">
        <f>IF($A1912="","",LEN($C1912)-LEN(SUBSTITUTE($C1912,",",""))+1)</f>
        <v/>
      </c>
      <c r="K1912" s="26">
        <f>IF($A1912="","",SUMPRODUCT(--ISNUMBER(SEARCH('Category Dictionary'!$D$5:$D$135&amp;"",$C1912)),--('Category Dictionary'!$D$5:$D$135&lt;&gt;"")))</f>
        <v/>
      </c>
      <c r="L1912" s="27">
        <f>IF($A1912="","",TRIM(IF(ISERROR(FIND(",",$C1912)),$C1912,LEFT($C1912,FIND(",",$C1912)-1))))</f>
        <v/>
      </c>
      <c r="M1912" s="28">
        <f>IF($H1912="","",DATE(YEAR($H1912),MONTH($H1912),1))</f>
        <v/>
      </c>
      <c r="N1912" s="26">
        <f>IF($H1912="","",TODAY()-$H1912)</f>
        <v/>
      </c>
      <c r="O1912" s="15" t="n"/>
      <c r="P1912" s="26">
        <f>IF($A1912="","",COUNTIFS('Audit Versions'!$A$6:$A$605,$A1912,'Audit Versions'!$L$6:$L$605,"Active"))</f>
        <v/>
      </c>
      <c r="Q1912" s="15" t="n"/>
      <c r="R1912" s="26">
        <f>IF(OR($A1912="",$P1912=0),"",MOD(N($Q1912),$P1912)+1)</f>
        <v/>
      </c>
      <c r="S1912" s="15" t="n"/>
      <c r="T1912" s="25" t="n"/>
      <c r="U1912" s="26">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Builder'!$B$12="",N($S1912)&lt;='Assignment Builder'!$B$12)))</f>
        <v/>
      </c>
      <c r="V1912" s="23" t="n"/>
    </row>
    <row r="1913">
      <c r="A1913" s="23" t="n"/>
      <c r="B1913" s="23" t="n"/>
      <c r="C1913" s="24" t="n"/>
      <c r="D1913" s="15" t="n"/>
      <c r="E1913" s="23" t="n"/>
      <c r="F1913" s="15" t="n"/>
      <c r="G1913" s="23" t="n"/>
      <c r="H1913" s="25" t="n"/>
      <c r="I1913" s="15" t="n"/>
      <c r="J1913" s="26">
        <f>IF($A1913="","",LEN($C1913)-LEN(SUBSTITUTE($C1913,",",""))+1)</f>
        <v/>
      </c>
      <c r="K1913" s="26">
        <f>IF($A1913="","",SUMPRODUCT(--ISNUMBER(SEARCH('Category Dictionary'!$D$5:$D$135&amp;"",$C1913)),--('Category Dictionary'!$D$5:$D$135&lt;&gt;"")))</f>
        <v/>
      </c>
      <c r="L1913" s="27">
        <f>IF($A1913="","",TRIM(IF(ISERROR(FIND(",",$C1913)),$C1913,LEFT($C1913,FIND(",",$C1913)-1))))</f>
        <v/>
      </c>
      <c r="M1913" s="28">
        <f>IF($H1913="","",DATE(YEAR($H1913),MONTH($H1913),1))</f>
        <v/>
      </c>
      <c r="N1913" s="26">
        <f>IF($H1913="","",TODAY()-$H1913)</f>
        <v/>
      </c>
      <c r="O1913" s="15" t="n"/>
      <c r="P1913" s="26">
        <f>IF($A1913="","",COUNTIFS('Audit Versions'!$A$6:$A$605,$A1913,'Audit Versions'!$L$6:$L$605,"Active"))</f>
        <v/>
      </c>
      <c r="Q1913" s="15" t="n"/>
      <c r="R1913" s="26">
        <f>IF(OR($A1913="",$P1913=0),"",MOD(N($Q1913),$P1913)+1)</f>
        <v/>
      </c>
      <c r="S1913" s="15" t="n"/>
      <c r="T1913" s="25" t="n"/>
      <c r="U1913" s="26">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Builder'!$B$12="",N($S1913)&lt;='Assignment Builder'!$B$12)))</f>
        <v/>
      </c>
      <c r="V1913" s="23" t="n"/>
    </row>
    <row r="1914">
      <c r="A1914" s="23" t="n"/>
      <c r="B1914" s="23" t="n"/>
      <c r="C1914" s="24" t="n"/>
      <c r="D1914" s="15" t="n"/>
      <c r="E1914" s="23" t="n"/>
      <c r="F1914" s="15" t="n"/>
      <c r="G1914" s="23" t="n"/>
      <c r="H1914" s="25" t="n"/>
      <c r="I1914" s="15" t="n"/>
      <c r="J1914" s="26">
        <f>IF($A1914="","",LEN($C1914)-LEN(SUBSTITUTE($C1914,",",""))+1)</f>
        <v/>
      </c>
      <c r="K1914" s="26">
        <f>IF($A1914="","",SUMPRODUCT(--ISNUMBER(SEARCH('Category Dictionary'!$D$5:$D$135&amp;"",$C1914)),--('Category Dictionary'!$D$5:$D$135&lt;&gt;"")))</f>
        <v/>
      </c>
      <c r="L1914" s="27">
        <f>IF($A1914="","",TRIM(IF(ISERROR(FIND(",",$C1914)),$C1914,LEFT($C1914,FIND(",",$C1914)-1))))</f>
        <v/>
      </c>
      <c r="M1914" s="28">
        <f>IF($H1914="","",DATE(YEAR($H1914),MONTH($H1914),1))</f>
        <v/>
      </c>
      <c r="N1914" s="26">
        <f>IF($H1914="","",TODAY()-$H1914)</f>
        <v/>
      </c>
      <c r="O1914" s="15" t="n"/>
      <c r="P1914" s="26">
        <f>IF($A1914="","",COUNTIFS('Audit Versions'!$A$6:$A$605,$A1914,'Audit Versions'!$L$6:$L$605,"Active"))</f>
        <v/>
      </c>
      <c r="Q1914" s="15" t="n"/>
      <c r="R1914" s="26">
        <f>IF(OR($A1914="",$P1914=0),"",MOD(N($Q1914),$P1914)+1)</f>
        <v/>
      </c>
      <c r="S1914" s="15" t="n"/>
      <c r="T1914" s="25" t="n"/>
      <c r="U1914" s="26">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Builder'!$B$12="",N($S1914)&lt;='Assignment Builder'!$B$12)))</f>
        <v/>
      </c>
      <c r="V1914" s="23" t="n"/>
    </row>
    <row r="1915">
      <c r="A1915" s="23" t="n"/>
      <c r="B1915" s="23" t="n"/>
      <c r="C1915" s="24" t="n"/>
      <c r="D1915" s="15" t="n"/>
      <c r="E1915" s="23" t="n"/>
      <c r="F1915" s="15" t="n"/>
      <c r="G1915" s="23" t="n"/>
      <c r="H1915" s="25" t="n"/>
      <c r="I1915" s="15" t="n"/>
      <c r="J1915" s="26">
        <f>IF($A1915="","",LEN($C1915)-LEN(SUBSTITUTE($C1915,",",""))+1)</f>
        <v/>
      </c>
      <c r="K1915" s="26">
        <f>IF($A1915="","",SUMPRODUCT(--ISNUMBER(SEARCH('Category Dictionary'!$D$5:$D$135&amp;"",$C1915)),--('Category Dictionary'!$D$5:$D$135&lt;&gt;"")))</f>
        <v/>
      </c>
      <c r="L1915" s="27">
        <f>IF($A1915="","",TRIM(IF(ISERROR(FIND(",",$C1915)),$C1915,LEFT($C1915,FIND(",",$C1915)-1))))</f>
        <v/>
      </c>
      <c r="M1915" s="28">
        <f>IF($H1915="","",DATE(YEAR($H1915),MONTH($H1915),1))</f>
        <v/>
      </c>
      <c r="N1915" s="26">
        <f>IF($H1915="","",TODAY()-$H1915)</f>
        <v/>
      </c>
      <c r="O1915" s="15" t="n"/>
      <c r="P1915" s="26">
        <f>IF($A1915="","",COUNTIFS('Audit Versions'!$A$6:$A$605,$A1915,'Audit Versions'!$L$6:$L$605,"Active"))</f>
        <v/>
      </c>
      <c r="Q1915" s="15" t="n"/>
      <c r="R1915" s="26">
        <f>IF(OR($A1915="",$P1915=0),"",MOD(N($Q1915),$P1915)+1)</f>
        <v/>
      </c>
      <c r="S1915" s="15" t="n"/>
      <c r="T1915" s="25" t="n"/>
      <c r="U1915" s="26">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Builder'!$B$12="",N($S1915)&lt;='Assignment Builder'!$B$12)))</f>
        <v/>
      </c>
      <c r="V1915" s="23" t="n"/>
    </row>
    <row r="1916">
      <c r="A1916" s="23" t="n"/>
      <c r="B1916" s="23" t="n"/>
      <c r="C1916" s="24" t="n"/>
      <c r="D1916" s="15" t="n"/>
      <c r="E1916" s="23" t="n"/>
      <c r="F1916" s="15" t="n"/>
      <c r="G1916" s="23" t="n"/>
      <c r="H1916" s="25" t="n"/>
      <c r="I1916" s="15" t="n"/>
      <c r="J1916" s="26">
        <f>IF($A1916="","",LEN($C1916)-LEN(SUBSTITUTE($C1916,",",""))+1)</f>
        <v/>
      </c>
      <c r="K1916" s="26">
        <f>IF($A1916="","",SUMPRODUCT(--ISNUMBER(SEARCH('Category Dictionary'!$D$5:$D$135&amp;"",$C1916)),--('Category Dictionary'!$D$5:$D$135&lt;&gt;"")))</f>
        <v/>
      </c>
      <c r="L1916" s="27">
        <f>IF($A1916="","",TRIM(IF(ISERROR(FIND(",",$C1916)),$C1916,LEFT($C1916,FIND(",",$C1916)-1))))</f>
        <v/>
      </c>
      <c r="M1916" s="28">
        <f>IF($H1916="","",DATE(YEAR($H1916),MONTH($H1916),1))</f>
        <v/>
      </c>
      <c r="N1916" s="26">
        <f>IF($H1916="","",TODAY()-$H1916)</f>
        <v/>
      </c>
      <c r="O1916" s="15" t="n"/>
      <c r="P1916" s="26">
        <f>IF($A1916="","",COUNTIFS('Audit Versions'!$A$6:$A$605,$A1916,'Audit Versions'!$L$6:$L$605,"Active"))</f>
        <v/>
      </c>
      <c r="Q1916" s="15" t="n"/>
      <c r="R1916" s="26">
        <f>IF(OR($A1916="",$P1916=0),"",MOD(N($Q1916),$P1916)+1)</f>
        <v/>
      </c>
      <c r="S1916" s="15" t="n"/>
      <c r="T1916" s="25" t="n"/>
      <c r="U1916" s="26">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Builder'!$B$12="",N($S1916)&lt;='Assignment Builder'!$B$12)))</f>
        <v/>
      </c>
      <c r="V1916" s="23" t="n"/>
    </row>
    <row r="1917">
      <c r="A1917" s="23" t="n"/>
      <c r="B1917" s="23" t="n"/>
      <c r="C1917" s="24" t="n"/>
      <c r="D1917" s="15" t="n"/>
      <c r="E1917" s="23" t="n"/>
      <c r="F1917" s="15" t="n"/>
      <c r="G1917" s="23" t="n"/>
      <c r="H1917" s="25" t="n"/>
      <c r="I1917" s="15" t="n"/>
      <c r="J1917" s="26">
        <f>IF($A1917="","",LEN($C1917)-LEN(SUBSTITUTE($C1917,",",""))+1)</f>
        <v/>
      </c>
      <c r="K1917" s="26">
        <f>IF($A1917="","",SUMPRODUCT(--ISNUMBER(SEARCH('Category Dictionary'!$D$5:$D$135&amp;"",$C1917)),--('Category Dictionary'!$D$5:$D$135&lt;&gt;"")))</f>
        <v/>
      </c>
      <c r="L1917" s="27">
        <f>IF($A1917="","",TRIM(IF(ISERROR(FIND(",",$C1917)),$C1917,LEFT($C1917,FIND(",",$C1917)-1))))</f>
        <v/>
      </c>
      <c r="M1917" s="28">
        <f>IF($H1917="","",DATE(YEAR($H1917),MONTH($H1917),1))</f>
        <v/>
      </c>
      <c r="N1917" s="26">
        <f>IF($H1917="","",TODAY()-$H1917)</f>
        <v/>
      </c>
      <c r="O1917" s="15" t="n"/>
      <c r="P1917" s="26">
        <f>IF($A1917="","",COUNTIFS('Audit Versions'!$A$6:$A$605,$A1917,'Audit Versions'!$L$6:$L$605,"Active"))</f>
        <v/>
      </c>
      <c r="Q1917" s="15" t="n"/>
      <c r="R1917" s="26">
        <f>IF(OR($A1917="",$P1917=0),"",MOD(N($Q1917),$P1917)+1)</f>
        <v/>
      </c>
      <c r="S1917" s="15" t="n"/>
      <c r="T1917" s="25" t="n"/>
      <c r="U1917" s="26">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Builder'!$B$12="",N($S1917)&lt;='Assignment Builder'!$B$12)))</f>
        <v/>
      </c>
      <c r="V1917" s="23" t="n"/>
    </row>
    <row r="1918">
      <c r="A1918" s="23" t="n"/>
      <c r="B1918" s="23" t="n"/>
      <c r="C1918" s="24" t="n"/>
      <c r="D1918" s="15" t="n"/>
      <c r="E1918" s="23" t="n"/>
      <c r="F1918" s="15" t="n"/>
      <c r="G1918" s="23" t="n"/>
      <c r="H1918" s="25" t="n"/>
      <c r="I1918" s="15" t="n"/>
      <c r="J1918" s="26">
        <f>IF($A1918="","",LEN($C1918)-LEN(SUBSTITUTE($C1918,",",""))+1)</f>
        <v/>
      </c>
      <c r="K1918" s="26">
        <f>IF($A1918="","",SUMPRODUCT(--ISNUMBER(SEARCH('Category Dictionary'!$D$5:$D$135&amp;"",$C1918)),--('Category Dictionary'!$D$5:$D$135&lt;&gt;"")))</f>
        <v/>
      </c>
      <c r="L1918" s="27">
        <f>IF($A1918="","",TRIM(IF(ISERROR(FIND(",",$C1918)),$C1918,LEFT($C1918,FIND(",",$C1918)-1))))</f>
        <v/>
      </c>
      <c r="M1918" s="28">
        <f>IF($H1918="","",DATE(YEAR($H1918),MONTH($H1918),1))</f>
        <v/>
      </c>
      <c r="N1918" s="26">
        <f>IF($H1918="","",TODAY()-$H1918)</f>
        <v/>
      </c>
      <c r="O1918" s="15" t="n"/>
      <c r="P1918" s="26">
        <f>IF($A1918="","",COUNTIFS('Audit Versions'!$A$6:$A$605,$A1918,'Audit Versions'!$L$6:$L$605,"Active"))</f>
        <v/>
      </c>
      <c r="Q1918" s="15" t="n"/>
      <c r="R1918" s="26">
        <f>IF(OR($A1918="",$P1918=0),"",MOD(N($Q1918),$P1918)+1)</f>
        <v/>
      </c>
      <c r="S1918" s="15" t="n"/>
      <c r="T1918" s="25" t="n"/>
      <c r="U1918" s="26">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Builder'!$B$12="",N($S1918)&lt;='Assignment Builder'!$B$12)))</f>
        <v/>
      </c>
      <c r="V1918" s="23" t="n"/>
    </row>
    <row r="1919">
      <c r="A1919" s="23" t="n"/>
      <c r="B1919" s="23" t="n"/>
      <c r="C1919" s="24" t="n"/>
      <c r="D1919" s="15" t="n"/>
      <c r="E1919" s="23" t="n"/>
      <c r="F1919" s="15" t="n"/>
      <c r="G1919" s="23" t="n"/>
      <c r="H1919" s="25" t="n"/>
      <c r="I1919" s="15" t="n"/>
      <c r="J1919" s="26">
        <f>IF($A1919="","",LEN($C1919)-LEN(SUBSTITUTE($C1919,",",""))+1)</f>
        <v/>
      </c>
      <c r="K1919" s="26">
        <f>IF($A1919="","",SUMPRODUCT(--ISNUMBER(SEARCH('Category Dictionary'!$D$5:$D$135&amp;"",$C1919)),--('Category Dictionary'!$D$5:$D$135&lt;&gt;"")))</f>
        <v/>
      </c>
      <c r="L1919" s="27">
        <f>IF($A1919="","",TRIM(IF(ISERROR(FIND(",",$C1919)),$C1919,LEFT($C1919,FIND(",",$C1919)-1))))</f>
        <v/>
      </c>
      <c r="M1919" s="28">
        <f>IF($H1919="","",DATE(YEAR($H1919),MONTH($H1919),1))</f>
        <v/>
      </c>
      <c r="N1919" s="26">
        <f>IF($H1919="","",TODAY()-$H1919)</f>
        <v/>
      </c>
      <c r="O1919" s="15" t="n"/>
      <c r="P1919" s="26">
        <f>IF($A1919="","",COUNTIFS('Audit Versions'!$A$6:$A$605,$A1919,'Audit Versions'!$L$6:$L$605,"Active"))</f>
        <v/>
      </c>
      <c r="Q1919" s="15" t="n"/>
      <c r="R1919" s="26">
        <f>IF(OR($A1919="",$P1919=0),"",MOD(N($Q1919),$P1919)+1)</f>
        <v/>
      </c>
      <c r="S1919" s="15" t="n"/>
      <c r="T1919" s="25" t="n"/>
      <c r="U1919" s="26">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Builder'!$B$12="",N($S1919)&lt;='Assignment Builder'!$B$12)))</f>
        <v/>
      </c>
      <c r="V1919" s="23" t="n"/>
    </row>
    <row r="1920">
      <c r="A1920" s="23" t="n"/>
      <c r="B1920" s="23" t="n"/>
      <c r="C1920" s="24" t="n"/>
      <c r="D1920" s="15" t="n"/>
      <c r="E1920" s="23" t="n"/>
      <c r="F1920" s="15" t="n"/>
      <c r="G1920" s="23" t="n"/>
      <c r="H1920" s="25" t="n"/>
      <c r="I1920" s="15" t="n"/>
      <c r="J1920" s="26">
        <f>IF($A1920="","",LEN($C1920)-LEN(SUBSTITUTE($C1920,",",""))+1)</f>
        <v/>
      </c>
      <c r="K1920" s="26">
        <f>IF($A1920="","",SUMPRODUCT(--ISNUMBER(SEARCH('Category Dictionary'!$D$5:$D$135&amp;"",$C1920)),--('Category Dictionary'!$D$5:$D$135&lt;&gt;"")))</f>
        <v/>
      </c>
      <c r="L1920" s="27">
        <f>IF($A1920="","",TRIM(IF(ISERROR(FIND(",",$C1920)),$C1920,LEFT($C1920,FIND(",",$C1920)-1))))</f>
        <v/>
      </c>
      <c r="M1920" s="28">
        <f>IF($H1920="","",DATE(YEAR($H1920),MONTH($H1920),1))</f>
        <v/>
      </c>
      <c r="N1920" s="26">
        <f>IF($H1920="","",TODAY()-$H1920)</f>
        <v/>
      </c>
      <c r="O1920" s="15" t="n"/>
      <c r="P1920" s="26">
        <f>IF($A1920="","",COUNTIFS('Audit Versions'!$A$6:$A$605,$A1920,'Audit Versions'!$L$6:$L$605,"Active"))</f>
        <v/>
      </c>
      <c r="Q1920" s="15" t="n"/>
      <c r="R1920" s="26">
        <f>IF(OR($A1920="",$P1920=0),"",MOD(N($Q1920),$P1920)+1)</f>
        <v/>
      </c>
      <c r="S1920" s="15" t="n"/>
      <c r="T1920" s="25" t="n"/>
      <c r="U1920" s="26">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Builder'!$B$12="",N($S1920)&lt;='Assignment Builder'!$B$12)))</f>
        <v/>
      </c>
      <c r="V1920" s="23" t="n"/>
    </row>
    <row r="1921">
      <c r="A1921" s="23" t="n"/>
      <c r="B1921" s="23" t="n"/>
      <c r="C1921" s="24" t="n"/>
      <c r="D1921" s="15" t="n"/>
      <c r="E1921" s="23" t="n"/>
      <c r="F1921" s="15" t="n"/>
      <c r="G1921" s="23" t="n"/>
      <c r="H1921" s="25" t="n"/>
      <c r="I1921" s="15" t="n"/>
      <c r="J1921" s="26">
        <f>IF($A1921="","",LEN($C1921)-LEN(SUBSTITUTE($C1921,",",""))+1)</f>
        <v/>
      </c>
      <c r="K1921" s="26">
        <f>IF($A1921="","",SUMPRODUCT(--ISNUMBER(SEARCH('Category Dictionary'!$D$5:$D$135&amp;"",$C1921)),--('Category Dictionary'!$D$5:$D$135&lt;&gt;"")))</f>
        <v/>
      </c>
      <c r="L1921" s="27">
        <f>IF($A1921="","",TRIM(IF(ISERROR(FIND(",",$C1921)),$C1921,LEFT($C1921,FIND(",",$C1921)-1))))</f>
        <v/>
      </c>
      <c r="M1921" s="28">
        <f>IF($H1921="","",DATE(YEAR($H1921),MONTH($H1921),1))</f>
        <v/>
      </c>
      <c r="N1921" s="26">
        <f>IF($H1921="","",TODAY()-$H1921)</f>
        <v/>
      </c>
      <c r="O1921" s="15" t="n"/>
      <c r="P1921" s="26">
        <f>IF($A1921="","",COUNTIFS('Audit Versions'!$A$6:$A$605,$A1921,'Audit Versions'!$L$6:$L$605,"Active"))</f>
        <v/>
      </c>
      <c r="Q1921" s="15" t="n"/>
      <c r="R1921" s="26">
        <f>IF(OR($A1921="",$P1921=0),"",MOD(N($Q1921),$P1921)+1)</f>
        <v/>
      </c>
      <c r="S1921" s="15" t="n"/>
      <c r="T1921" s="25" t="n"/>
      <c r="U1921" s="26">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Builder'!$B$12="",N($S1921)&lt;='Assignment Builder'!$B$12)))</f>
        <v/>
      </c>
      <c r="V1921" s="23" t="n"/>
    </row>
    <row r="1922">
      <c r="A1922" s="23" t="n"/>
      <c r="B1922" s="23" t="n"/>
      <c r="C1922" s="24" t="n"/>
      <c r="D1922" s="15" t="n"/>
      <c r="E1922" s="23" t="n"/>
      <c r="F1922" s="15" t="n"/>
      <c r="G1922" s="23" t="n"/>
      <c r="H1922" s="25" t="n"/>
      <c r="I1922" s="15" t="n"/>
      <c r="J1922" s="26">
        <f>IF($A1922="","",LEN($C1922)-LEN(SUBSTITUTE($C1922,",",""))+1)</f>
        <v/>
      </c>
      <c r="K1922" s="26">
        <f>IF($A1922="","",SUMPRODUCT(--ISNUMBER(SEARCH('Category Dictionary'!$D$5:$D$135&amp;"",$C1922)),--('Category Dictionary'!$D$5:$D$135&lt;&gt;"")))</f>
        <v/>
      </c>
      <c r="L1922" s="27">
        <f>IF($A1922="","",TRIM(IF(ISERROR(FIND(",",$C1922)),$C1922,LEFT($C1922,FIND(",",$C1922)-1))))</f>
        <v/>
      </c>
      <c r="M1922" s="28">
        <f>IF($H1922="","",DATE(YEAR($H1922),MONTH($H1922),1))</f>
        <v/>
      </c>
      <c r="N1922" s="26">
        <f>IF($H1922="","",TODAY()-$H1922)</f>
        <v/>
      </c>
      <c r="O1922" s="15" t="n"/>
      <c r="P1922" s="26">
        <f>IF($A1922="","",COUNTIFS('Audit Versions'!$A$6:$A$605,$A1922,'Audit Versions'!$L$6:$L$605,"Active"))</f>
        <v/>
      </c>
      <c r="Q1922" s="15" t="n"/>
      <c r="R1922" s="26">
        <f>IF(OR($A1922="",$P1922=0),"",MOD(N($Q1922),$P1922)+1)</f>
        <v/>
      </c>
      <c r="S1922" s="15" t="n"/>
      <c r="T1922" s="25" t="n"/>
      <c r="U1922" s="26">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Builder'!$B$12="",N($S1922)&lt;='Assignment Builder'!$B$12)))</f>
        <v/>
      </c>
      <c r="V1922" s="23" t="n"/>
    </row>
    <row r="1923">
      <c r="A1923" s="23" t="n"/>
      <c r="B1923" s="23" t="n"/>
      <c r="C1923" s="24" t="n"/>
      <c r="D1923" s="15" t="n"/>
      <c r="E1923" s="23" t="n"/>
      <c r="F1923" s="15" t="n"/>
      <c r="G1923" s="23" t="n"/>
      <c r="H1923" s="25" t="n"/>
      <c r="I1923" s="15" t="n"/>
      <c r="J1923" s="26">
        <f>IF($A1923="","",LEN($C1923)-LEN(SUBSTITUTE($C1923,",",""))+1)</f>
        <v/>
      </c>
      <c r="K1923" s="26">
        <f>IF($A1923="","",SUMPRODUCT(--ISNUMBER(SEARCH('Category Dictionary'!$D$5:$D$135&amp;"",$C1923)),--('Category Dictionary'!$D$5:$D$135&lt;&gt;"")))</f>
        <v/>
      </c>
      <c r="L1923" s="27">
        <f>IF($A1923="","",TRIM(IF(ISERROR(FIND(",",$C1923)),$C1923,LEFT($C1923,FIND(",",$C1923)-1))))</f>
        <v/>
      </c>
      <c r="M1923" s="28">
        <f>IF($H1923="","",DATE(YEAR($H1923),MONTH($H1923),1))</f>
        <v/>
      </c>
      <c r="N1923" s="26">
        <f>IF($H1923="","",TODAY()-$H1923)</f>
        <v/>
      </c>
      <c r="O1923" s="15" t="n"/>
      <c r="P1923" s="26">
        <f>IF($A1923="","",COUNTIFS('Audit Versions'!$A$6:$A$605,$A1923,'Audit Versions'!$L$6:$L$605,"Active"))</f>
        <v/>
      </c>
      <c r="Q1923" s="15" t="n"/>
      <c r="R1923" s="26">
        <f>IF(OR($A1923="",$P1923=0),"",MOD(N($Q1923),$P1923)+1)</f>
        <v/>
      </c>
      <c r="S1923" s="15" t="n"/>
      <c r="T1923" s="25" t="n"/>
      <c r="U1923" s="26">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Builder'!$B$12="",N($S1923)&lt;='Assignment Builder'!$B$12)))</f>
        <v/>
      </c>
      <c r="V1923" s="23" t="n"/>
    </row>
    <row r="1924">
      <c r="A1924" s="23" t="n"/>
      <c r="B1924" s="23" t="n"/>
      <c r="C1924" s="24" t="n"/>
      <c r="D1924" s="15" t="n"/>
      <c r="E1924" s="23" t="n"/>
      <c r="F1924" s="15" t="n"/>
      <c r="G1924" s="23" t="n"/>
      <c r="H1924" s="25" t="n"/>
      <c r="I1924" s="15" t="n"/>
      <c r="J1924" s="26">
        <f>IF($A1924="","",LEN($C1924)-LEN(SUBSTITUTE($C1924,",",""))+1)</f>
        <v/>
      </c>
      <c r="K1924" s="26">
        <f>IF($A1924="","",SUMPRODUCT(--ISNUMBER(SEARCH('Category Dictionary'!$D$5:$D$135&amp;"",$C1924)),--('Category Dictionary'!$D$5:$D$135&lt;&gt;"")))</f>
        <v/>
      </c>
      <c r="L1924" s="27">
        <f>IF($A1924="","",TRIM(IF(ISERROR(FIND(",",$C1924)),$C1924,LEFT($C1924,FIND(",",$C1924)-1))))</f>
        <v/>
      </c>
      <c r="M1924" s="28">
        <f>IF($H1924="","",DATE(YEAR($H1924),MONTH($H1924),1))</f>
        <v/>
      </c>
      <c r="N1924" s="26">
        <f>IF($H1924="","",TODAY()-$H1924)</f>
        <v/>
      </c>
      <c r="O1924" s="15" t="n"/>
      <c r="P1924" s="26">
        <f>IF($A1924="","",COUNTIFS('Audit Versions'!$A$6:$A$605,$A1924,'Audit Versions'!$L$6:$L$605,"Active"))</f>
        <v/>
      </c>
      <c r="Q1924" s="15" t="n"/>
      <c r="R1924" s="26">
        <f>IF(OR($A1924="",$P1924=0),"",MOD(N($Q1924),$P1924)+1)</f>
        <v/>
      </c>
      <c r="S1924" s="15" t="n"/>
      <c r="T1924" s="25" t="n"/>
      <c r="U1924" s="26">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Builder'!$B$12="",N($S1924)&lt;='Assignment Builder'!$B$12)))</f>
        <v/>
      </c>
      <c r="V1924" s="23" t="n"/>
    </row>
    <row r="1925">
      <c r="A1925" s="23" t="n"/>
      <c r="B1925" s="23" t="n"/>
      <c r="C1925" s="24" t="n"/>
      <c r="D1925" s="15" t="n"/>
      <c r="E1925" s="23" t="n"/>
      <c r="F1925" s="15" t="n"/>
      <c r="G1925" s="23" t="n"/>
      <c r="H1925" s="25" t="n"/>
      <c r="I1925" s="15" t="n"/>
      <c r="J1925" s="26">
        <f>IF($A1925="","",LEN($C1925)-LEN(SUBSTITUTE($C1925,",",""))+1)</f>
        <v/>
      </c>
      <c r="K1925" s="26">
        <f>IF($A1925="","",SUMPRODUCT(--ISNUMBER(SEARCH('Category Dictionary'!$D$5:$D$135&amp;"",$C1925)),--('Category Dictionary'!$D$5:$D$135&lt;&gt;"")))</f>
        <v/>
      </c>
      <c r="L1925" s="27">
        <f>IF($A1925="","",TRIM(IF(ISERROR(FIND(",",$C1925)),$C1925,LEFT($C1925,FIND(",",$C1925)-1))))</f>
        <v/>
      </c>
      <c r="M1925" s="28">
        <f>IF($H1925="","",DATE(YEAR($H1925),MONTH($H1925),1))</f>
        <v/>
      </c>
      <c r="N1925" s="26">
        <f>IF($H1925="","",TODAY()-$H1925)</f>
        <v/>
      </c>
      <c r="O1925" s="15" t="n"/>
      <c r="P1925" s="26">
        <f>IF($A1925="","",COUNTIFS('Audit Versions'!$A$6:$A$605,$A1925,'Audit Versions'!$L$6:$L$605,"Active"))</f>
        <v/>
      </c>
      <c r="Q1925" s="15" t="n"/>
      <c r="R1925" s="26">
        <f>IF(OR($A1925="",$P1925=0),"",MOD(N($Q1925),$P1925)+1)</f>
        <v/>
      </c>
      <c r="S1925" s="15" t="n"/>
      <c r="T1925" s="25" t="n"/>
      <c r="U1925" s="26">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Builder'!$B$12="",N($S1925)&lt;='Assignment Builder'!$B$12)))</f>
        <v/>
      </c>
      <c r="V1925" s="23" t="n"/>
    </row>
    <row r="1926">
      <c r="A1926" s="23" t="n"/>
      <c r="B1926" s="23" t="n"/>
      <c r="C1926" s="24" t="n"/>
      <c r="D1926" s="15" t="n"/>
      <c r="E1926" s="23" t="n"/>
      <c r="F1926" s="15" t="n"/>
      <c r="G1926" s="23" t="n"/>
      <c r="H1926" s="25" t="n"/>
      <c r="I1926" s="15" t="n"/>
      <c r="J1926" s="26">
        <f>IF($A1926="","",LEN($C1926)-LEN(SUBSTITUTE($C1926,",",""))+1)</f>
        <v/>
      </c>
      <c r="K1926" s="26">
        <f>IF($A1926="","",SUMPRODUCT(--ISNUMBER(SEARCH('Category Dictionary'!$D$5:$D$135&amp;"",$C1926)),--('Category Dictionary'!$D$5:$D$135&lt;&gt;"")))</f>
        <v/>
      </c>
      <c r="L1926" s="27">
        <f>IF($A1926="","",TRIM(IF(ISERROR(FIND(",",$C1926)),$C1926,LEFT($C1926,FIND(",",$C1926)-1))))</f>
        <v/>
      </c>
      <c r="M1926" s="28">
        <f>IF($H1926="","",DATE(YEAR($H1926),MONTH($H1926),1))</f>
        <v/>
      </c>
      <c r="N1926" s="26">
        <f>IF($H1926="","",TODAY()-$H1926)</f>
        <v/>
      </c>
      <c r="O1926" s="15" t="n"/>
      <c r="P1926" s="26">
        <f>IF($A1926="","",COUNTIFS('Audit Versions'!$A$6:$A$605,$A1926,'Audit Versions'!$L$6:$L$605,"Active"))</f>
        <v/>
      </c>
      <c r="Q1926" s="15" t="n"/>
      <c r="R1926" s="26">
        <f>IF(OR($A1926="",$P1926=0),"",MOD(N($Q1926),$P1926)+1)</f>
        <v/>
      </c>
      <c r="S1926" s="15" t="n"/>
      <c r="T1926" s="25" t="n"/>
      <c r="U1926" s="26">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Builder'!$B$12="",N($S1926)&lt;='Assignment Builder'!$B$12)))</f>
        <v/>
      </c>
      <c r="V1926" s="23" t="n"/>
    </row>
    <row r="1927">
      <c r="A1927" s="23" t="n"/>
      <c r="B1927" s="23" t="n"/>
      <c r="C1927" s="24" t="n"/>
      <c r="D1927" s="15" t="n"/>
      <c r="E1927" s="23" t="n"/>
      <c r="F1927" s="15" t="n"/>
      <c r="G1927" s="23" t="n"/>
      <c r="H1927" s="25" t="n"/>
      <c r="I1927" s="15" t="n"/>
      <c r="J1927" s="26">
        <f>IF($A1927="","",LEN($C1927)-LEN(SUBSTITUTE($C1927,",",""))+1)</f>
        <v/>
      </c>
      <c r="K1927" s="26">
        <f>IF($A1927="","",SUMPRODUCT(--ISNUMBER(SEARCH('Category Dictionary'!$D$5:$D$135&amp;"",$C1927)),--('Category Dictionary'!$D$5:$D$135&lt;&gt;"")))</f>
        <v/>
      </c>
      <c r="L1927" s="27">
        <f>IF($A1927="","",TRIM(IF(ISERROR(FIND(",",$C1927)),$C1927,LEFT($C1927,FIND(",",$C1927)-1))))</f>
        <v/>
      </c>
      <c r="M1927" s="28">
        <f>IF($H1927="","",DATE(YEAR($H1927),MONTH($H1927),1))</f>
        <v/>
      </c>
      <c r="N1927" s="26">
        <f>IF($H1927="","",TODAY()-$H1927)</f>
        <v/>
      </c>
      <c r="O1927" s="15" t="n"/>
      <c r="P1927" s="26">
        <f>IF($A1927="","",COUNTIFS('Audit Versions'!$A$6:$A$605,$A1927,'Audit Versions'!$L$6:$L$605,"Active"))</f>
        <v/>
      </c>
      <c r="Q1927" s="15" t="n"/>
      <c r="R1927" s="26">
        <f>IF(OR($A1927="",$P1927=0),"",MOD(N($Q1927),$P1927)+1)</f>
        <v/>
      </c>
      <c r="S1927" s="15" t="n"/>
      <c r="T1927" s="25" t="n"/>
      <c r="U1927" s="26">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Builder'!$B$12="",N($S1927)&lt;='Assignment Builder'!$B$12)))</f>
        <v/>
      </c>
      <c r="V1927" s="23" t="n"/>
    </row>
    <row r="1928">
      <c r="A1928" s="23" t="n"/>
      <c r="B1928" s="23" t="n"/>
      <c r="C1928" s="24" t="n"/>
      <c r="D1928" s="15" t="n"/>
      <c r="E1928" s="23" t="n"/>
      <c r="F1928" s="15" t="n"/>
      <c r="G1928" s="23" t="n"/>
      <c r="H1928" s="25" t="n"/>
      <c r="I1928" s="15" t="n"/>
      <c r="J1928" s="26">
        <f>IF($A1928="","",LEN($C1928)-LEN(SUBSTITUTE($C1928,",",""))+1)</f>
        <v/>
      </c>
      <c r="K1928" s="26">
        <f>IF($A1928="","",SUMPRODUCT(--ISNUMBER(SEARCH('Category Dictionary'!$D$5:$D$135&amp;"",$C1928)),--('Category Dictionary'!$D$5:$D$135&lt;&gt;"")))</f>
        <v/>
      </c>
      <c r="L1928" s="27">
        <f>IF($A1928="","",TRIM(IF(ISERROR(FIND(",",$C1928)),$C1928,LEFT($C1928,FIND(",",$C1928)-1))))</f>
        <v/>
      </c>
      <c r="M1928" s="28">
        <f>IF($H1928="","",DATE(YEAR($H1928),MONTH($H1928),1))</f>
        <v/>
      </c>
      <c r="N1928" s="26">
        <f>IF($H1928="","",TODAY()-$H1928)</f>
        <v/>
      </c>
      <c r="O1928" s="15" t="n"/>
      <c r="P1928" s="26">
        <f>IF($A1928="","",COUNTIFS('Audit Versions'!$A$6:$A$605,$A1928,'Audit Versions'!$L$6:$L$605,"Active"))</f>
        <v/>
      </c>
      <c r="Q1928" s="15" t="n"/>
      <c r="R1928" s="26">
        <f>IF(OR($A1928="",$P1928=0),"",MOD(N($Q1928),$P1928)+1)</f>
        <v/>
      </c>
      <c r="S1928" s="15" t="n"/>
      <c r="T1928" s="25" t="n"/>
      <c r="U1928" s="26">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Builder'!$B$12="",N($S1928)&lt;='Assignment Builder'!$B$12)))</f>
        <v/>
      </c>
      <c r="V1928" s="23" t="n"/>
    </row>
    <row r="1929">
      <c r="A1929" s="23" t="n"/>
      <c r="B1929" s="23" t="n"/>
      <c r="C1929" s="24" t="n"/>
      <c r="D1929" s="15" t="n"/>
      <c r="E1929" s="23" t="n"/>
      <c r="F1929" s="15" t="n"/>
      <c r="G1929" s="23" t="n"/>
      <c r="H1929" s="25" t="n"/>
      <c r="I1929" s="15" t="n"/>
      <c r="J1929" s="26">
        <f>IF($A1929="","",LEN($C1929)-LEN(SUBSTITUTE($C1929,",",""))+1)</f>
        <v/>
      </c>
      <c r="K1929" s="26">
        <f>IF($A1929="","",SUMPRODUCT(--ISNUMBER(SEARCH('Category Dictionary'!$D$5:$D$135&amp;"",$C1929)),--('Category Dictionary'!$D$5:$D$135&lt;&gt;"")))</f>
        <v/>
      </c>
      <c r="L1929" s="27">
        <f>IF($A1929="","",TRIM(IF(ISERROR(FIND(",",$C1929)),$C1929,LEFT($C1929,FIND(",",$C1929)-1))))</f>
        <v/>
      </c>
      <c r="M1929" s="28">
        <f>IF($H1929="","",DATE(YEAR($H1929),MONTH($H1929),1))</f>
        <v/>
      </c>
      <c r="N1929" s="26">
        <f>IF($H1929="","",TODAY()-$H1929)</f>
        <v/>
      </c>
      <c r="O1929" s="15" t="n"/>
      <c r="P1929" s="26">
        <f>IF($A1929="","",COUNTIFS('Audit Versions'!$A$6:$A$605,$A1929,'Audit Versions'!$L$6:$L$605,"Active"))</f>
        <v/>
      </c>
      <c r="Q1929" s="15" t="n"/>
      <c r="R1929" s="26">
        <f>IF(OR($A1929="",$P1929=0),"",MOD(N($Q1929),$P1929)+1)</f>
        <v/>
      </c>
      <c r="S1929" s="15" t="n"/>
      <c r="T1929" s="25" t="n"/>
      <c r="U1929" s="26">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Builder'!$B$12="",N($S1929)&lt;='Assignment Builder'!$B$12)))</f>
        <v/>
      </c>
      <c r="V1929" s="23" t="n"/>
    </row>
    <row r="1930">
      <c r="A1930" s="23" t="n"/>
      <c r="B1930" s="23" t="n"/>
      <c r="C1930" s="24" t="n"/>
      <c r="D1930" s="15" t="n"/>
      <c r="E1930" s="23" t="n"/>
      <c r="F1930" s="15" t="n"/>
      <c r="G1930" s="23" t="n"/>
      <c r="H1930" s="25" t="n"/>
      <c r="I1930" s="15" t="n"/>
      <c r="J1930" s="26">
        <f>IF($A1930="","",LEN($C1930)-LEN(SUBSTITUTE($C1930,",",""))+1)</f>
        <v/>
      </c>
      <c r="K1930" s="26">
        <f>IF($A1930="","",SUMPRODUCT(--ISNUMBER(SEARCH('Category Dictionary'!$D$5:$D$135&amp;"",$C1930)),--('Category Dictionary'!$D$5:$D$135&lt;&gt;"")))</f>
        <v/>
      </c>
      <c r="L1930" s="27">
        <f>IF($A1930="","",TRIM(IF(ISERROR(FIND(",",$C1930)),$C1930,LEFT($C1930,FIND(",",$C1930)-1))))</f>
        <v/>
      </c>
      <c r="M1930" s="28">
        <f>IF($H1930="","",DATE(YEAR($H1930),MONTH($H1930),1))</f>
        <v/>
      </c>
      <c r="N1930" s="26">
        <f>IF($H1930="","",TODAY()-$H1930)</f>
        <v/>
      </c>
      <c r="O1930" s="15" t="n"/>
      <c r="P1930" s="26">
        <f>IF($A1930="","",COUNTIFS('Audit Versions'!$A$6:$A$605,$A1930,'Audit Versions'!$L$6:$L$605,"Active"))</f>
        <v/>
      </c>
      <c r="Q1930" s="15" t="n"/>
      <c r="R1930" s="26">
        <f>IF(OR($A1930="",$P1930=0),"",MOD(N($Q1930),$P1930)+1)</f>
        <v/>
      </c>
      <c r="S1930" s="15" t="n"/>
      <c r="T1930" s="25" t="n"/>
      <c r="U1930" s="26">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Builder'!$B$12="",N($S1930)&lt;='Assignment Builder'!$B$12)))</f>
        <v/>
      </c>
      <c r="V1930" s="23" t="n"/>
    </row>
    <row r="1931">
      <c r="A1931" s="23" t="n"/>
      <c r="B1931" s="23" t="n"/>
      <c r="C1931" s="24" t="n"/>
      <c r="D1931" s="15" t="n"/>
      <c r="E1931" s="23" t="n"/>
      <c r="F1931" s="15" t="n"/>
      <c r="G1931" s="23" t="n"/>
      <c r="H1931" s="25" t="n"/>
      <c r="I1931" s="15" t="n"/>
      <c r="J1931" s="26">
        <f>IF($A1931="","",LEN($C1931)-LEN(SUBSTITUTE($C1931,",",""))+1)</f>
        <v/>
      </c>
      <c r="K1931" s="26">
        <f>IF($A1931="","",SUMPRODUCT(--ISNUMBER(SEARCH('Category Dictionary'!$D$5:$D$135&amp;"",$C1931)),--('Category Dictionary'!$D$5:$D$135&lt;&gt;"")))</f>
        <v/>
      </c>
      <c r="L1931" s="27">
        <f>IF($A1931="","",TRIM(IF(ISERROR(FIND(",",$C1931)),$C1931,LEFT($C1931,FIND(",",$C1931)-1))))</f>
        <v/>
      </c>
      <c r="M1931" s="28">
        <f>IF($H1931="","",DATE(YEAR($H1931),MONTH($H1931),1))</f>
        <v/>
      </c>
      <c r="N1931" s="26">
        <f>IF($H1931="","",TODAY()-$H1931)</f>
        <v/>
      </c>
      <c r="O1931" s="15" t="n"/>
      <c r="P1931" s="26">
        <f>IF($A1931="","",COUNTIFS('Audit Versions'!$A$6:$A$605,$A1931,'Audit Versions'!$L$6:$L$605,"Active"))</f>
        <v/>
      </c>
      <c r="Q1931" s="15" t="n"/>
      <c r="R1931" s="26">
        <f>IF(OR($A1931="",$P1931=0),"",MOD(N($Q1931),$P1931)+1)</f>
        <v/>
      </c>
      <c r="S1931" s="15" t="n"/>
      <c r="T1931" s="25" t="n"/>
      <c r="U1931" s="26">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Builder'!$B$12="",N($S1931)&lt;='Assignment Builder'!$B$12)))</f>
        <v/>
      </c>
      <c r="V1931" s="23" t="n"/>
    </row>
    <row r="1932">
      <c r="A1932" s="23" t="n"/>
      <c r="B1932" s="23" t="n"/>
      <c r="C1932" s="24" t="n"/>
      <c r="D1932" s="15" t="n"/>
      <c r="E1932" s="23" t="n"/>
      <c r="F1932" s="15" t="n"/>
      <c r="G1932" s="23" t="n"/>
      <c r="H1932" s="25" t="n"/>
      <c r="I1932" s="15" t="n"/>
      <c r="J1932" s="26">
        <f>IF($A1932="","",LEN($C1932)-LEN(SUBSTITUTE($C1932,",",""))+1)</f>
        <v/>
      </c>
      <c r="K1932" s="26">
        <f>IF($A1932="","",SUMPRODUCT(--ISNUMBER(SEARCH('Category Dictionary'!$D$5:$D$135&amp;"",$C1932)),--('Category Dictionary'!$D$5:$D$135&lt;&gt;"")))</f>
        <v/>
      </c>
      <c r="L1932" s="27">
        <f>IF($A1932="","",TRIM(IF(ISERROR(FIND(",",$C1932)),$C1932,LEFT($C1932,FIND(",",$C1932)-1))))</f>
        <v/>
      </c>
      <c r="M1932" s="28">
        <f>IF($H1932="","",DATE(YEAR($H1932),MONTH($H1932),1))</f>
        <v/>
      </c>
      <c r="N1932" s="26">
        <f>IF($H1932="","",TODAY()-$H1932)</f>
        <v/>
      </c>
      <c r="O1932" s="15" t="n"/>
      <c r="P1932" s="26">
        <f>IF($A1932="","",COUNTIFS('Audit Versions'!$A$6:$A$605,$A1932,'Audit Versions'!$L$6:$L$605,"Active"))</f>
        <v/>
      </c>
      <c r="Q1932" s="15" t="n"/>
      <c r="R1932" s="26">
        <f>IF(OR($A1932="",$P1932=0),"",MOD(N($Q1932),$P1932)+1)</f>
        <v/>
      </c>
      <c r="S1932" s="15" t="n"/>
      <c r="T1932" s="25" t="n"/>
      <c r="U1932" s="26">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Builder'!$B$12="",N($S1932)&lt;='Assignment Builder'!$B$12)))</f>
        <v/>
      </c>
      <c r="V1932" s="23" t="n"/>
    </row>
    <row r="1933">
      <c r="A1933" s="23" t="n"/>
      <c r="B1933" s="23" t="n"/>
      <c r="C1933" s="24" t="n"/>
      <c r="D1933" s="15" t="n"/>
      <c r="E1933" s="23" t="n"/>
      <c r="F1933" s="15" t="n"/>
      <c r="G1933" s="23" t="n"/>
      <c r="H1933" s="25" t="n"/>
      <c r="I1933" s="15" t="n"/>
      <c r="J1933" s="26">
        <f>IF($A1933="","",LEN($C1933)-LEN(SUBSTITUTE($C1933,",",""))+1)</f>
        <v/>
      </c>
      <c r="K1933" s="26">
        <f>IF($A1933="","",SUMPRODUCT(--ISNUMBER(SEARCH('Category Dictionary'!$D$5:$D$135&amp;"",$C1933)),--('Category Dictionary'!$D$5:$D$135&lt;&gt;"")))</f>
        <v/>
      </c>
      <c r="L1933" s="27">
        <f>IF($A1933="","",TRIM(IF(ISERROR(FIND(",",$C1933)),$C1933,LEFT($C1933,FIND(",",$C1933)-1))))</f>
        <v/>
      </c>
      <c r="M1933" s="28">
        <f>IF($H1933="","",DATE(YEAR($H1933),MONTH($H1933),1))</f>
        <v/>
      </c>
      <c r="N1933" s="26">
        <f>IF($H1933="","",TODAY()-$H1933)</f>
        <v/>
      </c>
      <c r="O1933" s="15" t="n"/>
      <c r="P1933" s="26">
        <f>IF($A1933="","",COUNTIFS('Audit Versions'!$A$6:$A$605,$A1933,'Audit Versions'!$L$6:$L$605,"Active"))</f>
        <v/>
      </c>
      <c r="Q1933" s="15" t="n"/>
      <c r="R1933" s="26">
        <f>IF(OR($A1933="",$P1933=0),"",MOD(N($Q1933),$P1933)+1)</f>
        <v/>
      </c>
      <c r="S1933" s="15" t="n"/>
      <c r="T1933" s="25" t="n"/>
      <c r="U1933" s="26">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Builder'!$B$12="",N($S1933)&lt;='Assignment Builder'!$B$12)))</f>
        <v/>
      </c>
      <c r="V1933" s="23" t="n"/>
    </row>
    <row r="1934">
      <c r="A1934" s="23" t="n"/>
      <c r="B1934" s="23" t="n"/>
      <c r="C1934" s="24" t="n"/>
      <c r="D1934" s="15" t="n"/>
      <c r="E1934" s="23" t="n"/>
      <c r="F1934" s="15" t="n"/>
      <c r="G1934" s="23" t="n"/>
      <c r="H1934" s="25" t="n"/>
      <c r="I1934" s="15" t="n"/>
      <c r="J1934" s="26">
        <f>IF($A1934="","",LEN($C1934)-LEN(SUBSTITUTE($C1934,",",""))+1)</f>
        <v/>
      </c>
      <c r="K1934" s="26">
        <f>IF($A1934="","",SUMPRODUCT(--ISNUMBER(SEARCH('Category Dictionary'!$D$5:$D$135&amp;"",$C1934)),--('Category Dictionary'!$D$5:$D$135&lt;&gt;"")))</f>
        <v/>
      </c>
      <c r="L1934" s="27">
        <f>IF($A1934="","",TRIM(IF(ISERROR(FIND(",",$C1934)),$C1934,LEFT($C1934,FIND(",",$C1934)-1))))</f>
        <v/>
      </c>
      <c r="M1934" s="28">
        <f>IF($H1934="","",DATE(YEAR($H1934),MONTH($H1934),1))</f>
        <v/>
      </c>
      <c r="N1934" s="26">
        <f>IF($H1934="","",TODAY()-$H1934)</f>
        <v/>
      </c>
      <c r="O1934" s="15" t="n"/>
      <c r="P1934" s="26">
        <f>IF($A1934="","",COUNTIFS('Audit Versions'!$A$6:$A$605,$A1934,'Audit Versions'!$L$6:$L$605,"Active"))</f>
        <v/>
      </c>
      <c r="Q1934" s="15" t="n"/>
      <c r="R1934" s="26">
        <f>IF(OR($A1934="",$P1934=0),"",MOD(N($Q1934),$P1934)+1)</f>
        <v/>
      </c>
      <c r="S1934" s="15" t="n"/>
      <c r="T1934" s="25" t="n"/>
      <c r="U1934" s="26">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Builder'!$B$12="",N($S1934)&lt;='Assignment Builder'!$B$12)))</f>
        <v/>
      </c>
      <c r="V1934" s="23" t="n"/>
    </row>
    <row r="1935">
      <c r="A1935" s="23" t="n"/>
      <c r="B1935" s="23" t="n"/>
      <c r="C1935" s="24" t="n"/>
      <c r="D1935" s="15" t="n"/>
      <c r="E1935" s="23" t="n"/>
      <c r="F1935" s="15" t="n"/>
      <c r="G1935" s="23" t="n"/>
      <c r="H1935" s="25" t="n"/>
      <c r="I1935" s="15" t="n"/>
      <c r="J1935" s="26">
        <f>IF($A1935="","",LEN($C1935)-LEN(SUBSTITUTE($C1935,",",""))+1)</f>
        <v/>
      </c>
      <c r="K1935" s="26">
        <f>IF($A1935="","",SUMPRODUCT(--ISNUMBER(SEARCH('Category Dictionary'!$D$5:$D$135&amp;"",$C1935)),--('Category Dictionary'!$D$5:$D$135&lt;&gt;"")))</f>
        <v/>
      </c>
      <c r="L1935" s="27">
        <f>IF($A1935="","",TRIM(IF(ISERROR(FIND(",",$C1935)),$C1935,LEFT($C1935,FIND(",",$C1935)-1))))</f>
        <v/>
      </c>
      <c r="M1935" s="28">
        <f>IF($H1935="","",DATE(YEAR($H1935),MONTH($H1935),1))</f>
        <v/>
      </c>
      <c r="N1935" s="26">
        <f>IF($H1935="","",TODAY()-$H1935)</f>
        <v/>
      </c>
      <c r="O1935" s="15" t="n"/>
      <c r="P1935" s="26">
        <f>IF($A1935="","",COUNTIFS('Audit Versions'!$A$6:$A$605,$A1935,'Audit Versions'!$L$6:$L$605,"Active"))</f>
        <v/>
      </c>
      <c r="Q1935" s="15" t="n"/>
      <c r="R1935" s="26">
        <f>IF(OR($A1935="",$P1935=0),"",MOD(N($Q1935),$P1935)+1)</f>
        <v/>
      </c>
      <c r="S1935" s="15" t="n"/>
      <c r="T1935" s="25" t="n"/>
      <c r="U1935" s="26">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Builder'!$B$12="",N($S1935)&lt;='Assignment Builder'!$B$12)))</f>
        <v/>
      </c>
      <c r="V1935" s="23" t="n"/>
    </row>
    <row r="1936">
      <c r="A1936" s="23" t="n"/>
      <c r="B1936" s="23" t="n"/>
      <c r="C1936" s="24" t="n"/>
      <c r="D1936" s="15" t="n"/>
      <c r="E1936" s="23" t="n"/>
      <c r="F1936" s="15" t="n"/>
      <c r="G1936" s="23" t="n"/>
      <c r="H1936" s="25" t="n"/>
      <c r="I1936" s="15" t="n"/>
      <c r="J1936" s="26">
        <f>IF($A1936="","",LEN($C1936)-LEN(SUBSTITUTE($C1936,",",""))+1)</f>
        <v/>
      </c>
      <c r="K1936" s="26">
        <f>IF($A1936="","",SUMPRODUCT(--ISNUMBER(SEARCH('Category Dictionary'!$D$5:$D$135&amp;"",$C1936)),--('Category Dictionary'!$D$5:$D$135&lt;&gt;"")))</f>
        <v/>
      </c>
      <c r="L1936" s="27">
        <f>IF($A1936="","",TRIM(IF(ISERROR(FIND(",",$C1936)),$C1936,LEFT($C1936,FIND(",",$C1936)-1))))</f>
        <v/>
      </c>
      <c r="M1936" s="28">
        <f>IF($H1936="","",DATE(YEAR($H1936),MONTH($H1936),1))</f>
        <v/>
      </c>
      <c r="N1936" s="26">
        <f>IF($H1936="","",TODAY()-$H1936)</f>
        <v/>
      </c>
      <c r="O1936" s="15" t="n"/>
      <c r="P1936" s="26">
        <f>IF($A1936="","",COUNTIFS('Audit Versions'!$A$6:$A$605,$A1936,'Audit Versions'!$L$6:$L$605,"Active"))</f>
        <v/>
      </c>
      <c r="Q1936" s="15" t="n"/>
      <c r="R1936" s="26">
        <f>IF(OR($A1936="",$P1936=0),"",MOD(N($Q1936),$P1936)+1)</f>
        <v/>
      </c>
      <c r="S1936" s="15" t="n"/>
      <c r="T1936" s="25" t="n"/>
      <c r="U1936" s="26">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Builder'!$B$12="",N($S1936)&lt;='Assignment Builder'!$B$12)))</f>
        <v/>
      </c>
      <c r="V1936" s="23" t="n"/>
    </row>
    <row r="1937">
      <c r="A1937" s="23" t="n"/>
      <c r="B1937" s="23" t="n"/>
      <c r="C1937" s="24" t="n"/>
      <c r="D1937" s="15" t="n"/>
      <c r="E1937" s="23" t="n"/>
      <c r="F1937" s="15" t="n"/>
      <c r="G1937" s="23" t="n"/>
      <c r="H1937" s="25" t="n"/>
      <c r="I1937" s="15" t="n"/>
      <c r="J1937" s="26">
        <f>IF($A1937="","",LEN($C1937)-LEN(SUBSTITUTE($C1937,",",""))+1)</f>
        <v/>
      </c>
      <c r="K1937" s="26">
        <f>IF($A1937="","",SUMPRODUCT(--ISNUMBER(SEARCH('Category Dictionary'!$D$5:$D$135&amp;"",$C1937)),--('Category Dictionary'!$D$5:$D$135&lt;&gt;"")))</f>
        <v/>
      </c>
      <c r="L1937" s="27">
        <f>IF($A1937="","",TRIM(IF(ISERROR(FIND(",",$C1937)),$C1937,LEFT($C1937,FIND(",",$C1937)-1))))</f>
        <v/>
      </c>
      <c r="M1937" s="28">
        <f>IF($H1937="","",DATE(YEAR($H1937),MONTH($H1937),1))</f>
        <v/>
      </c>
      <c r="N1937" s="26">
        <f>IF($H1937="","",TODAY()-$H1937)</f>
        <v/>
      </c>
      <c r="O1937" s="15" t="n"/>
      <c r="P1937" s="26">
        <f>IF($A1937="","",COUNTIFS('Audit Versions'!$A$6:$A$605,$A1937,'Audit Versions'!$L$6:$L$605,"Active"))</f>
        <v/>
      </c>
      <c r="Q1937" s="15" t="n"/>
      <c r="R1937" s="26">
        <f>IF(OR($A1937="",$P1937=0),"",MOD(N($Q1937),$P1937)+1)</f>
        <v/>
      </c>
      <c r="S1937" s="15" t="n"/>
      <c r="T1937" s="25" t="n"/>
      <c r="U1937" s="26">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Builder'!$B$12="",N($S1937)&lt;='Assignment Builder'!$B$12)))</f>
        <v/>
      </c>
      <c r="V1937" s="23" t="n"/>
    </row>
    <row r="1938">
      <c r="A1938" s="23" t="n"/>
      <c r="B1938" s="23" t="n"/>
      <c r="C1938" s="24" t="n"/>
      <c r="D1938" s="15" t="n"/>
      <c r="E1938" s="23" t="n"/>
      <c r="F1938" s="15" t="n"/>
      <c r="G1938" s="23" t="n"/>
      <c r="H1938" s="25" t="n"/>
      <c r="I1938" s="15" t="n"/>
      <c r="J1938" s="26">
        <f>IF($A1938="","",LEN($C1938)-LEN(SUBSTITUTE($C1938,",",""))+1)</f>
        <v/>
      </c>
      <c r="K1938" s="26">
        <f>IF($A1938="","",SUMPRODUCT(--ISNUMBER(SEARCH('Category Dictionary'!$D$5:$D$135&amp;"",$C1938)),--('Category Dictionary'!$D$5:$D$135&lt;&gt;"")))</f>
        <v/>
      </c>
      <c r="L1938" s="27">
        <f>IF($A1938="","",TRIM(IF(ISERROR(FIND(",",$C1938)),$C1938,LEFT($C1938,FIND(",",$C1938)-1))))</f>
        <v/>
      </c>
      <c r="M1938" s="28">
        <f>IF($H1938="","",DATE(YEAR($H1938),MONTH($H1938),1))</f>
        <v/>
      </c>
      <c r="N1938" s="26">
        <f>IF($H1938="","",TODAY()-$H1938)</f>
        <v/>
      </c>
      <c r="O1938" s="15" t="n"/>
      <c r="P1938" s="26">
        <f>IF($A1938="","",COUNTIFS('Audit Versions'!$A$6:$A$605,$A1938,'Audit Versions'!$L$6:$L$605,"Active"))</f>
        <v/>
      </c>
      <c r="Q1938" s="15" t="n"/>
      <c r="R1938" s="26">
        <f>IF(OR($A1938="",$P1938=0),"",MOD(N($Q1938),$P1938)+1)</f>
        <v/>
      </c>
      <c r="S1938" s="15" t="n"/>
      <c r="T1938" s="25" t="n"/>
      <c r="U1938" s="26">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Builder'!$B$12="",N($S1938)&lt;='Assignment Builder'!$B$12)))</f>
        <v/>
      </c>
      <c r="V1938" s="23" t="n"/>
    </row>
    <row r="1939">
      <c r="A1939" s="23" t="n"/>
      <c r="B1939" s="23" t="n"/>
      <c r="C1939" s="24" t="n"/>
      <c r="D1939" s="15" t="n"/>
      <c r="E1939" s="23" t="n"/>
      <c r="F1939" s="15" t="n"/>
      <c r="G1939" s="23" t="n"/>
      <c r="H1939" s="25" t="n"/>
      <c r="I1939" s="15" t="n"/>
      <c r="J1939" s="26">
        <f>IF($A1939="","",LEN($C1939)-LEN(SUBSTITUTE($C1939,",",""))+1)</f>
        <v/>
      </c>
      <c r="K1939" s="26">
        <f>IF($A1939="","",SUMPRODUCT(--ISNUMBER(SEARCH('Category Dictionary'!$D$5:$D$135&amp;"",$C1939)),--('Category Dictionary'!$D$5:$D$135&lt;&gt;"")))</f>
        <v/>
      </c>
      <c r="L1939" s="27">
        <f>IF($A1939="","",TRIM(IF(ISERROR(FIND(",",$C1939)),$C1939,LEFT($C1939,FIND(",",$C1939)-1))))</f>
        <v/>
      </c>
      <c r="M1939" s="28">
        <f>IF($H1939="","",DATE(YEAR($H1939),MONTH($H1939),1))</f>
        <v/>
      </c>
      <c r="N1939" s="26">
        <f>IF($H1939="","",TODAY()-$H1939)</f>
        <v/>
      </c>
      <c r="O1939" s="15" t="n"/>
      <c r="P1939" s="26">
        <f>IF($A1939="","",COUNTIFS('Audit Versions'!$A$6:$A$605,$A1939,'Audit Versions'!$L$6:$L$605,"Active"))</f>
        <v/>
      </c>
      <c r="Q1939" s="15" t="n"/>
      <c r="R1939" s="26">
        <f>IF(OR($A1939="",$P1939=0),"",MOD(N($Q1939),$P1939)+1)</f>
        <v/>
      </c>
      <c r="S1939" s="15" t="n"/>
      <c r="T1939" s="25" t="n"/>
      <c r="U1939" s="26">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Builder'!$B$12="",N($S1939)&lt;='Assignment Builder'!$B$12)))</f>
        <v/>
      </c>
      <c r="V1939" s="23" t="n"/>
    </row>
    <row r="1940">
      <c r="A1940" s="23" t="n"/>
      <c r="B1940" s="23" t="n"/>
      <c r="C1940" s="24" t="n"/>
      <c r="D1940" s="15" t="n"/>
      <c r="E1940" s="23" t="n"/>
      <c r="F1940" s="15" t="n"/>
      <c r="G1940" s="23" t="n"/>
      <c r="H1940" s="25" t="n"/>
      <c r="I1940" s="15" t="n"/>
      <c r="J1940" s="26">
        <f>IF($A1940="","",LEN($C1940)-LEN(SUBSTITUTE($C1940,",",""))+1)</f>
        <v/>
      </c>
      <c r="K1940" s="26">
        <f>IF($A1940="","",SUMPRODUCT(--ISNUMBER(SEARCH('Category Dictionary'!$D$5:$D$135&amp;"",$C1940)),--('Category Dictionary'!$D$5:$D$135&lt;&gt;"")))</f>
        <v/>
      </c>
      <c r="L1940" s="27">
        <f>IF($A1940="","",TRIM(IF(ISERROR(FIND(",",$C1940)),$C1940,LEFT($C1940,FIND(",",$C1940)-1))))</f>
        <v/>
      </c>
      <c r="M1940" s="28">
        <f>IF($H1940="","",DATE(YEAR($H1940),MONTH($H1940),1))</f>
        <v/>
      </c>
      <c r="N1940" s="26">
        <f>IF($H1940="","",TODAY()-$H1940)</f>
        <v/>
      </c>
      <c r="O1940" s="15" t="n"/>
      <c r="P1940" s="26">
        <f>IF($A1940="","",COUNTIFS('Audit Versions'!$A$6:$A$605,$A1940,'Audit Versions'!$L$6:$L$605,"Active"))</f>
        <v/>
      </c>
      <c r="Q1940" s="15" t="n"/>
      <c r="R1940" s="26">
        <f>IF(OR($A1940="",$P1940=0),"",MOD(N($Q1940),$P1940)+1)</f>
        <v/>
      </c>
      <c r="S1940" s="15" t="n"/>
      <c r="T1940" s="25" t="n"/>
      <c r="U1940" s="26">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Builder'!$B$12="",N($S1940)&lt;='Assignment Builder'!$B$12)))</f>
        <v/>
      </c>
      <c r="V1940" s="23" t="n"/>
    </row>
    <row r="1941">
      <c r="A1941" s="23" t="n"/>
      <c r="B1941" s="23" t="n"/>
      <c r="C1941" s="24" t="n"/>
      <c r="D1941" s="15" t="n"/>
      <c r="E1941" s="23" t="n"/>
      <c r="F1941" s="15" t="n"/>
      <c r="G1941" s="23" t="n"/>
      <c r="H1941" s="25" t="n"/>
      <c r="I1941" s="15" t="n"/>
      <c r="J1941" s="26">
        <f>IF($A1941="","",LEN($C1941)-LEN(SUBSTITUTE($C1941,",",""))+1)</f>
        <v/>
      </c>
      <c r="K1941" s="26">
        <f>IF($A1941="","",SUMPRODUCT(--ISNUMBER(SEARCH('Category Dictionary'!$D$5:$D$135&amp;"",$C1941)),--('Category Dictionary'!$D$5:$D$135&lt;&gt;"")))</f>
        <v/>
      </c>
      <c r="L1941" s="27">
        <f>IF($A1941="","",TRIM(IF(ISERROR(FIND(",",$C1941)),$C1941,LEFT($C1941,FIND(",",$C1941)-1))))</f>
        <v/>
      </c>
      <c r="M1941" s="28">
        <f>IF($H1941="","",DATE(YEAR($H1941),MONTH($H1941),1))</f>
        <v/>
      </c>
      <c r="N1941" s="26">
        <f>IF($H1941="","",TODAY()-$H1941)</f>
        <v/>
      </c>
      <c r="O1941" s="15" t="n"/>
      <c r="P1941" s="26">
        <f>IF($A1941="","",COUNTIFS('Audit Versions'!$A$6:$A$605,$A1941,'Audit Versions'!$L$6:$L$605,"Active"))</f>
        <v/>
      </c>
      <c r="Q1941" s="15" t="n"/>
      <c r="R1941" s="26">
        <f>IF(OR($A1941="",$P1941=0),"",MOD(N($Q1941),$P1941)+1)</f>
        <v/>
      </c>
      <c r="S1941" s="15" t="n"/>
      <c r="T1941" s="25" t="n"/>
      <c r="U1941" s="26">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Builder'!$B$12="",N($S1941)&lt;='Assignment Builder'!$B$12)))</f>
        <v/>
      </c>
      <c r="V1941" s="23" t="n"/>
    </row>
    <row r="1942">
      <c r="A1942" s="23" t="n"/>
      <c r="B1942" s="23" t="n"/>
      <c r="C1942" s="24" t="n"/>
      <c r="D1942" s="15" t="n"/>
      <c r="E1942" s="23" t="n"/>
      <c r="F1942" s="15" t="n"/>
      <c r="G1942" s="23" t="n"/>
      <c r="H1942" s="25" t="n"/>
      <c r="I1942" s="15" t="n"/>
      <c r="J1942" s="26">
        <f>IF($A1942="","",LEN($C1942)-LEN(SUBSTITUTE($C1942,",",""))+1)</f>
        <v/>
      </c>
      <c r="K1942" s="26">
        <f>IF($A1942="","",SUMPRODUCT(--ISNUMBER(SEARCH('Category Dictionary'!$D$5:$D$135&amp;"",$C1942)),--('Category Dictionary'!$D$5:$D$135&lt;&gt;"")))</f>
        <v/>
      </c>
      <c r="L1942" s="27">
        <f>IF($A1942="","",TRIM(IF(ISERROR(FIND(",",$C1942)),$C1942,LEFT($C1942,FIND(",",$C1942)-1))))</f>
        <v/>
      </c>
      <c r="M1942" s="28">
        <f>IF($H1942="","",DATE(YEAR($H1942),MONTH($H1942),1))</f>
        <v/>
      </c>
      <c r="N1942" s="26">
        <f>IF($H1942="","",TODAY()-$H1942)</f>
        <v/>
      </c>
      <c r="O1942" s="15" t="n"/>
      <c r="P1942" s="26">
        <f>IF($A1942="","",COUNTIFS('Audit Versions'!$A$6:$A$605,$A1942,'Audit Versions'!$L$6:$L$605,"Active"))</f>
        <v/>
      </c>
      <c r="Q1942" s="15" t="n"/>
      <c r="R1942" s="26">
        <f>IF(OR($A1942="",$P1942=0),"",MOD(N($Q1942),$P1942)+1)</f>
        <v/>
      </c>
      <c r="S1942" s="15" t="n"/>
      <c r="T1942" s="25" t="n"/>
      <c r="U1942" s="26">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Builder'!$B$12="",N($S1942)&lt;='Assignment Builder'!$B$12)))</f>
        <v/>
      </c>
      <c r="V1942" s="23" t="n"/>
    </row>
    <row r="1943">
      <c r="A1943" s="23" t="n"/>
      <c r="B1943" s="23" t="n"/>
      <c r="C1943" s="24" t="n"/>
      <c r="D1943" s="15" t="n"/>
      <c r="E1943" s="23" t="n"/>
      <c r="F1943" s="15" t="n"/>
      <c r="G1943" s="23" t="n"/>
      <c r="H1943" s="25" t="n"/>
      <c r="I1943" s="15" t="n"/>
      <c r="J1943" s="26">
        <f>IF($A1943="","",LEN($C1943)-LEN(SUBSTITUTE($C1943,",",""))+1)</f>
        <v/>
      </c>
      <c r="K1943" s="26">
        <f>IF($A1943="","",SUMPRODUCT(--ISNUMBER(SEARCH('Category Dictionary'!$D$5:$D$135&amp;"",$C1943)),--('Category Dictionary'!$D$5:$D$135&lt;&gt;"")))</f>
        <v/>
      </c>
      <c r="L1943" s="27">
        <f>IF($A1943="","",TRIM(IF(ISERROR(FIND(",",$C1943)),$C1943,LEFT($C1943,FIND(",",$C1943)-1))))</f>
        <v/>
      </c>
      <c r="M1943" s="28">
        <f>IF($H1943="","",DATE(YEAR($H1943),MONTH($H1943),1))</f>
        <v/>
      </c>
      <c r="N1943" s="26">
        <f>IF($H1943="","",TODAY()-$H1943)</f>
        <v/>
      </c>
      <c r="O1943" s="15" t="n"/>
      <c r="P1943" s="26">
        <f>IF($A1943="","",COUNTIFS('Audit Versions'!$A$6:$A$605,$A1943,'Audit Versions'!$L$6:$L$605,"Active"))</f>
        <v/>
      </c>
      <c r="Q1943" s="15" t="n"/>
      <c r="R1943" s="26">
        <f>IF(OR($A1943="",$P1943=0),"",MOD(N($Q1943),$P1943)+1)</f>
        <v/>
      </c>
      <c r="S1943" s="15" t="n"/>
      <c r="T1943" s="25" t="n"/>
      <c r="U1943" s="26">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Builder'!$B$12="",N($S1943)&lt;='Assignment Builder'!$B$12)))</f>
        <v/>
      </c>
      <c r="V1943" s="23" t="n"/>
    </row>
    <row r="1944">
      <c r="A1944" s="23" t="n"/>
      <c r="B1944" s="23" t="n"/>
      <c r="C1944" s="24" t="n"/>
      <c r="D1944" s="15" t="n"/>
      <c r="E1944" s="23" t="n"/>
      <c r="F1944" s="15" t="n"/>
      <c r="G1944" s="23" t="n"/>
      <c r="H1944" s="25" t="n"/>
      <c r="I1944" s="15" t="n"/>
      <c r="J1944" s="26">
        <f>IF($A1944="","",LEN($C1944)-LEN(SUBSTITUTE($C1944,",",""))+1)</f>
        <v/>
      </c>
      <c r="K1944" s="26">
        <f>IF($A1944="","",SUMPRODUCT(--ISNUMBER(SEARCH('Category Dictionary'!$D$5:$D$135&amp;"",$C1944)),--('Category Dictionary'!$D$5:$D$135&lt;&gt;"")))</f>
        <v/>
      </c>
      <c r="L1944" s="27">
        <f>IF($A1944="","",TRIM(IF(ISERROR(FIND(",",$C1944)),$C1944,LEFT($C1944,FIND(",",$C1944)-1))))</f>
        <v/>
      </c>
      <c r="M1944" s="28">
        <f>IF($H1944="","",DATE(YEAR($H1944),MONTH($H1944),1))</f>
        <v/>
      </c>
      <c r="N1944" s="26">
        <f>IF($H1944="","",TODAY()-$H1944)</f>
        <v/>
      </c>
      <c r="O1944" s="15" t="n"/>
      <c r="P1944" s="26">
        <f>IF($A1944="","",COUNTIFS('Audit Versions'!$A$6:$A$605,$A1944,'Audit Versions'!$L$6:$L$605,"Active"))</f>
        <v/>
      </c>
      <c r="Q1944" s="15" t="n"/>
      <c r="R1944" s="26">
        <f>IF(OR($A1944="",$P1944=0),"",MOD(N($Q1944),$P1944)+1)</f>
        <v/>
      </c>
      <c r="S1944" s="15" t="n"/>
      <c r="T1944" s="25" t="n"/>
      <c r="U1944" s="26">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Builder'!$B$12="",N($S1944)&lt;='Assignment Builder'!$B$12)))</f>
        <v/>
      </c>
      <c r="V1944" s="23" t="n"/>
    </row>
    <row r="1945">
      <c r="A1945" s="23" t="n"/>
      <c r="B1945" s="23" t="n"/>
      <c r="C1945" s="24" t="n"/>
      <c r="D1945" s="15" t="n"/>
      <c r="E1945" s="23" t="n"/>
      <c r="F1945" s="15" t="n"/>
      <c r="G1945" s="23" t="n"/>
      <c r="H1945" s="25" t="n"/>
      <c r="I1945" s="15" t="n"/>
      <c r="J1945" s="26">
        <f>IF($A1945="","",LEN($C1945)-LEN(SUBSTITUTE($C1945,",",""))+1)</f>
        <v/>
      </c>
      <c r="K1945" s="26">
        <f>IF($A1945="","",SUMPRODUCT(--ISNUMBER(SEARCH('Category Dictionary'!$D$5:$D$135&amp;"",$C1945)),--('Category Dictionary'!$D$5:$D$135&lt;&gt;"")))</f>
        <v/>
      </c>
      <c r="L1945" s="27">
        <f>IF($A1945="","",TRIM(IF(ISERROR(FIND(",",$C1945)),$C1945,LEFT($C1945,FIND(",",$C1945)-1))))</f>
        <v/>
      </c>
      <c r="M1945" s="28">
        <f>IF($H1945="","",DATE(YEAR($H1945),MONTH($H1945),1))</f>
        <v/>
      </c>
      <c r="N1945" s="26">
        <f>IF($H1945="","",TODAY()-$H1945)</f>
        <v/>
      </c>
      <c r="O1945" s="15" t="n"/>
      <c r="P1945" s="26">
        <f>IF($A1945="","",COUNTIFS('Audit Versions'!$A$6:$A$605,$A1945,'Audit Versions'!$L$6:$L$605,"Active"))</f>
        <v/>
      </c>
      <c r="Q1945" s="15" t="n"/>
      <c r="R1945" s="26">
        <f>IF(OR($A1945="",$P1945=0),"",MOD(N($Q1945),$P1945)+1)</f>
        <v/>
      </c>
      <c r="S1945" s="15" t="n"/>
      <c r="T1945" s="25" t="n"/>
      <c r="U1945" s="26">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Builder'!$B$12="",N($S1945)&lt;='Assignment Builder'!$B$12)))</f>
        <v/>
      </c>
      <c r="V1945" s="23" t="n"/>
    </row>
    <row r="1946">
      <c r="A1946" s="23" t="n"/>
      <c r="B1946" s="23" t="n"/>
      <c r="C1946" s="24" t="n"/>
      <c r="D1946" s="15" t="n"/>
      <c r="E1946" s="23" t="n"/>
      <c r="F1946" s="15" t="n"/>
      <c r="G1946" s="23" t="n"/>
      <c r="H1946" s="25" t="n"/>
      <c r="I1946" s="15" t="n"/>
      <c r="J1946" s="26">
        <f>IF($A1946="","",LEN($C1946)-LEN(SUBSTITUTE($C1946,",",""))+1)</f>
        <v/>
      </c>
      <c r="K1946" s="26">
        <f>IF($A1946="","",SUMPRODUCT(--ISNUMBER(SEARCH('Category Dictionary'!$D$5:$D$135&amp;"",$C1946)),--('Category Dictionary'!$D$5:$D$135&lt;&gt;"")))</f>
        <v/>
      </c>
      <c r="L1946" s="27">
        <f>IF($A1946="","",TRIM(IF(ISERROR(FIND(",",$C1946)),$C1946,LEFT($C1946,FIND(",",$C1946)-1))))</f>
        <v/>
      </c>
      <c r="M1946" s="28">
        <f>IF($H1946="","",DATE(YEAR($H1946),MONTH($H1946),1))</f>
        <v/>
      </c>
      <c r="N1946" s="26">
        <f>IF($H1946="","",TODAY()-$H1946)</f>
        <v/>
      </c>
      <c r="O1946" s="15" t="n"/>
      <c r="P1946" s="26">
        <f>IF($A1946="","",COUNTIFS('Audit Versions'!$A$6:$A$605,$A1946,'Audit Versions'!$L$6:$L$605,"Active"))</f>
        <v/>
      </c>
      <c r="Q1946" s="15" t="n"/>
      <c r="R1946" s="26">
        <f>IF(OR($A1946="",$P1946=0),"",MOD(N($Q1946),$P1946)+1)</f>
        <v/>
      </c>
      <c r="S1946" s="15" t="n"/>
      <c r="T1946" s="25" t="n"/>
      <c r="U1946" s="26">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Builder'!$B$12="",N($S1946)&lt;='Assignment Builder'!$B$12)))</f>
        <v/>
      </c>
      <c r="V1946" s="23" t="n"/>
    </row>
    <row r="1947">
      <c r="A1947" s="23" t="n"/>
      <c r="B1947" s="23" t="n"/>
      <c r="C1947" s="24" t="n"/>
      <c r="D1947" s="15" t="n"/>
      <c r="E1947" s="23" t="n"/>
      <c r="F1947" s="15" t="n"/>
      <c r="G1947" s="23" t="n"/>
      <c r="H1947" s="25" t="n"/>
      <c r="I1947" s="15" t="n"/>
      <c r="J1947" s="26">
        <f>IF($A1947="","",LEN($C1947)-LEN(SUBSTITUTE($C1947,",",""))+1)</f>
        <v/>
      </c>
      <c r="K1947" s="26">
        <f>IF($A1947="","",SUMPRODUCT(--ISNUMBER(SEARCH('Category Dictionary'!$D$5:$D$135&amp;"",$C1947)),--('Category Dictionary'!$D$5:$D$135&lt;&gt;"")))</f>
        <v/>
      </c>
      <c r="L1947" s="27">
        <f>IF($A1947="","",TRIM(IF(ISERROR(FIND(",",$C1947)),$C1947,LEFT($C1947,FIND(",",$C1947)-1))))</f>
        <v/>
      </c>
      <c r="M1947" s="28">
        <f>IF($H1947="","",DATE(YEAR($H1947),MONTH($H1947),1))</f>
        <v/>
      </c>
      <c r="N1947" s="26">
        <f>IF($H1947="","",TODAY()-$H1947)</f>
        <v/>
      </c>
      <c r="O1947" s="15" t="n"/>
      <c r="P1947" s="26">
        <f>IF($A1947="","",COUNTIFS('Audit Versions'!$A$6:$A$605,$A1947,'Audit Versions'!$L$6:$L$605,"Active"))</f>
        <v/>
      </c>
      <c r="Q1947" s="15" t="n"/>
      <c r="R1947" s="26">
        <f>IF(OR($A1947="",$P1947=0),"",MOD(N($Q1947),$P1947)+1)</f>
        <v/>
      </c>
      <c r="S1947" s="15" t="n"/>
      <c r="T1947" s="25" t="n"/>
      <c r="U1947" s="26">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Builder'!$B$12="",N($S1947)&lt;='Assignment Builder'!$B$12)))</f>
        <v/>
      </c>
      <c r="V1947" s="23" t="n"/>
    </row>
    <row r="1948">
      <c r="A1948" s="23" t="n"/>
      <c r="B1948" s="23" t="n"/>
      <c r="C1948" s="24" t="n"/>
      <c r="D1948" s="15" t="n"/>
      <c r="E1948" s="23" t="n"/>
      <c r="F1948" s="15" t="n"/>
      <c r="G1948" s="23" t="n"/>
      <c r="H1948" s="25" t="n"/>
      <c r="I1948" s="15" t="n"/>
      <c r="J1948" s="26">
        <f>IF($A1948="","",LEN($C1948)-LEN(SUBSTITUTE($C1948,",",""))+1)</f>
        <v/>
      </c>
      <c r="K1948" s="26">
        <f>IF($A1948="","",SUMPRODUCT(--ISNUMBER(SEARCH('Category Dictionary'!$D$5:$D$135&amp;"",$C1948)),--('Category Dictionary'!$D$5:$D$135&lt;&gt;"")))</f>
        <v/>
      </c>
      <c r="L1948" s="27">
        <f>IF($A1948="","",TRIM(IF(ISERROR(FIND(",",$C1948)),$C1948,LEFT($C1948,FIND(",",$C1948)-1))))</f>
        <v/>
      </c>
      <c r="M1948" s="28">
        <f>IF($H1948="","",DATE(YEAR($H1948),MONTH($H1948),1))</f>
        <v/>
      </c>
      <c r="N1948" s="26">
        <f>IF($H1948="","",TODAY()-$H1948)</f>
        <v/>
      </c>
      <c r="O1948" s="15" t="n"/>
      <c r="P1948" s="26">
        <f>IF($A1948="","",COUNTIFS('Audit Versions'!$A$6:$A$605,$A1948,'Audit Versions'!$L$6:$L$605,"Active"))</f>
        <v/>
      </c>
      <c r="Q1948" s="15" t="n"/>
      <c r="R1948" s="26">
        <f>IF(OR($A1948="",$P1948=0),"",MOD(N($Q1948),$P1948)+1)</f>
        <v/>
      </c>
      <c r="S1948" s="15" t="n"/>
      <c r="T1948" s="25" t="n"/>
      <c r="U1948" s="26">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Builder'!$B$12="",N($S1948)&lt;='Assignment Builder'!$B$12)))</f>
        <v/>
      </c>
      <c r="V1948" s="23" t="n"/>
    </row>
    <row r="1949">
      <c r="A1949" s="23" t="n"/>
      <c r="B1949" s="23" t="n"/>
      <c r="C1949" s="24" t="n"/>
      <c r="D1949" s="15" t="n"/>
      <c r="E1949" s="23" t="n"/>
      <c r="F1949" s="15" t="n"/>
      <c r="G1949" s="23" t="n"/>
      <c r="H1949" s="25" t="n"/>
      <c r="I1949" s="15" t="n"/>
      <c r="J1949" s="26">
        <f>IF($A1949="","",LEN($C1949)-LEN(SUBSTITUTE($C1949,",",""))+1)</f>
        <v/>
      </c>
      <c r="K1949" s="26">
        <f>IF($A1949="","",SUMPRODUCT(--ISNUMBER(SEARCH('Category Dictionary'!$D$5:$D$135&amp;"",$C1949)),--('Category Dictionary'!$D$5:$D$135&lt;&gt;"")))</f>
        <v/>
      </c>
      <c r="L1949" s="27">
        <f>IF($A1949="","",TRIM(IF(ISERROR(FIND(",",$C1949)),$C1949,LEFT($C1949,FIND(",",$C1949)-1))))</f>
        <v/>
      </c>
      <c r="M1949" s="28">
        <f>IF($H1949="","",DATE(YEAR($H1949),MONTH($H1949),1))</f>
        <v/>
      </c>
      <c r="N1949" s="26">
        <f>IF($H1949="","",TODAY()-$H1949)</f>
        <v/>
      </c>
      <c r="O1949" s="15" t="n"/>
      <c r="P1949" s="26">
        <f>IF($A1949="","",COUNTIFS('Audit Versions'!$A$6:$A$605,$A1949,'Audit Versions'!$L$6:$L$605,"Active"))</f>
        <v/>
      </c>
      <c r="Q1949" s="15" t="n"/>
      <c r="R1949" s="26">
        <f>IF(OR($A1949="",$P1949=0),"",MOD(N($Q1949),$P1949)+1)</f>
        <v/>
      </c>
      <c r="S1949" s="15" t="n"/>
      <c r="T1949" s="25" t="n"/>
      <c r="U1949" s="26">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Builder'!$B$12="",N($S1949)&lt;='Assignment Builder'!$B$12)))</f>
        <v/>
      </c>
      <c r="V1949" s="23" t="n"/>
    </row>
    <row r="1950">
      <c r="A1950" s="23" t="n"/>
      <c r="B1950" s="23" t="n"/>
      <c r="C1950" s="24" t="n"/>
      <c r="D1950" s="15" t="n"/>
      <c r="E1950" s="23" t="n"/>
      <c r="F1950" s="15" t="n"/>
      <c r="G1950" s="23" t="n"/>
      <c r="H1950" s="25" t="n"/>
      <c r="I1950" s="15" t="n"/>
      <c r="J1950" s="26">
        <f>IF($A1950="","",LEN($C1950)-LEN(SUBSTITUTE($C1950,",",""))+1)</f>
        <v/>
      </c>
      <c r="K1950" s="26">
        <f>IF($A1950="","",SUMPRODUCT(--ISNUMBER(SEARCH('Category Dictionary'!$D$5:$D$135&amp;"",$C1950)),--('Category Dictionary'!$D$5:$D$135&lt;&gt;"")))</f>
        <v/>
      </c>
      <c r="L1950" s="27">
        <f>IF($A1950="","",TRIM(IF(ISERROR(FIND(",",$C1950)),$C1950,LEFT($C1950,FIND(",",$C1950)-1))))</f>
        <v/>
      </c>
      <c r="M1950" s="28">
        <f>IF($H1950="","",DATE(YEAR($H1950),MONTH($H1950),1))</f>
        <v/>
      </c>
      <c r="N1950" s="26">
        <f>IF($H1950="","",TODAY()-$H1950)</f>
        <v/>
      </c>
      <c r="O1950" s="15" t="n"/>
      <c r="P1950" s="26">
        <f>IF($A1950="","",COUNTIFS('Audit Versions'!$A$6:$A$605,$A1950,'Audit Versions'!$L$6:$L$605,"Active"))</f>
        <v/>
      </c>
      <c r="Q1950" s="15" t="n"/>
      <c r="R1950" s="26">
        <f>IF(OR($A1950="",$P1950=0),"",MOD(N($Q1950),$P1950)+1)</f>
        <v/>
      </c>
      <c r="S1950" s="15" t="n"/>
      <c r="T1950" s="25" t="n"/>
      <c r="U1950" s="26">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Builder'!$B$12="",N($S1950)&lt;='Assignment Builder'!$B$12)))</f>
        <v/>
      </c>
      <c r="V1950" s="23" t="n"/>
    </row>
    <row r="1951">
      <c r="A1951" s="23" t="n"/>
      <c r="B1951" s="23" t="n"/>
      <c r="C1951" s="24" t="n"/>
      <c r="D1951" s="15" t="n"/>
      <c r="E1951" s="23" t="n"/>
      <c r="F1951" s="15" t="n"/>
      <c r="G1951" s="23" t="n"/>
      <c r="H1951" s="25" t="n"/>
      <c r="I1951" s="15" t="n"/>
      <c r="J1951" s="26">
        <f>IF($A1951="","",LEN($C1951)-LEN(SUBSTITUTE($C1951,",",""))+1)</f>
        <v/>
      </c>
      <c r="K1951" s="26">
        <f>IF($A1951="","",SUMPRODUCT(--ISNUMBER(SEARCH('Category Dictionary'!$D$5:$D$135&amp;"",$C1951)),--('Category Dictionary'!$D$5:$D$135&lt;&gt;"")))</f>
        <v/>
      </c>
      <c r="L1951" s="27">
        <f>IF($A1951="","",TRIM(IF(ISERROR(FIND(",",$C1951)),$C1951,LEFT($C1951,FIND(",",$C1951)-1))))</f>
        <v/>
      </c>
      <c r="M1951" s="28">
        <f>IF($H1951="","",DATE(YEAR($H1951),MONTH($H1951),1))</f>
        <v/>
      </c>
      <c r="N1951" s="26">
        <f>IF($H1951="","",TODAY()-$H1951)</f>
        <v/>
      </c>
      <c r="O1951" s="15" t="n"/>
      <c r="P1951" s="26">
        <f>IF($A1951="","",COUNTIFS('Audit Versions'!$A$6:$A$605,$A1951,'Audit Versions'!$L$6:$L$605,"Active"))</f>
        <v/>
      </c>
      <c r="Q1951" s="15" t="n"/>
      <c r="R1951" s="26">
        <f>IF(OR($A1951="",$P1951=0),"",MOD(N($Q1951),$P1951)+1)</f>
        <v/>
      </c>
      <c r="S1951" s="15" t="n"/>
      <c r="T1951" s="25" t="n"/>
      <c r="U1951" s="26">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Builder'!$B$12="",N($S1951)&lt;='Assignment Builder'!$B$12)))</f>
        <v/>
      </c>
      <c r="V1951" s="23" t="n"/>
    </row>
    <row r="1952">
      <c r="A1952" s="23" t="n"/>
      <c r="B1952" s="23" t="n"/>
      <c r="C1952" s="24" t="n"/>
      <c r="D1952" s="15" t="n"/>
      <c r="E1952" s="23" t="n"/>
      <c r="F1952" s="15" t="n"/>
      <c r="G1952" s="23" t="n"/>
      <c r="H1952" s="25" t="n"/>
      <c r="I1952" s="15" t="n"/>
      <c r="J1952" s="26">
        <f>IF($A1952="","",LEN($C1952)-LEN(SUBSTITUTE($C1952,",",""))+1)</f>
        <v/>
      </c>
      <c r="K1952" s="26">
        <f>IF($A1952="","",SUMPRODUCT(--ISNUMBER(SEARCH('Category Dictionary'!$D$5:$D$135&amp;"",$C1952)),--('Category Dictionary'!$D$5:$D$135&lt;&gt;"")))</f>
        <v/>
      </c>
      <c r="L1952" s="27">
        <f>IF($A1952="","",TRIM(IF(ISERROR(FIND(",",$C1952)),$C1952,LEFT($C1952,FIND(",",$C1952)-1))))</f>
        <v/>
      </c>
      <c r="M1952" s="28">
        <f>IF($H1952="","",DATE(YEAR($H1952),MONTH($H1952),1))</f>
        <v/>
      </c>
      <c r="N1952" s="26">
        <f>IF($H1952="","",TODAY()-$H1952)</f>
        <v/>
      </c>
      <c r="O1952" s="15" t="n"/>
      <c r="P1952" s="26">
        <f>IF($A1952="","",COUNTIFS('Audit Versions'!$A$6:$A$605,$A1952,'Audit Versions'!$L$6:$L$605,"Active"))</f>
        <v/>
      </c>
      <c r="Q1952" s="15" t="n"/>
      <c r="R1952" s="26">
        <f>IF(OR($A1952="",$P1952=0),"",MOD(N($Q1952),$P1952)+1)</f>
        <v/>
      </c>
      <c r="S1952" s="15" t="n"/>
      <c r="T1952" s="25" t="n"/>
      <c r="U1952" s="26">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Builder'!$B$12="",N($S1952)&lt;='Assignment Builder'!$B$12)))</f>
        <v/>
      </c>
      <c r="V1952" s="23" t="n"/>
    </row>
    <row r="1953">
      <c r="A1953" s="23" t="n"/>
      <c r="B1953" s="23" t="n"/>
      <c r="C1953" s="24" t="n"/>
      <c r="D1953" s="15" t="n"/>
      <c r="E1953" s="23" t="n"/>
      <c r="F1953" s="15" t="n"/>
      <c r="G1953" s="23" t="n"/>
      <c r="H1953" s="25" t="n"/>
      <c r="I1953" s="15" t="n"/>
      <c r="J1953" s="26">
        <f>IF($A1953="","",LEN($C1953)-LEN(SUBSTITUTE($C1953,",",""))+1)</f>
        <v/>
      </c>
      <c r="K1953" s="26">
        <f>IF($A1953="","",SUMPRODUCT(--ISNUMBER(SEARCH('Category Dictionary'!$D$5:$D$135&amp;"",$C1953)),--('Category Dictionary'!$D$5:$D$135&lt;&gt;"")))</f>
        <v/>
      </c>
      <c r="L1953" s="27">
        <f>IF($A1953="","",TRIM(IF(ISERROR(FIND(",",$C1953)),$C1953,LEFT($C1953,FIND(",",$C1953)-1))))</f>
        <v/>
      </c>
      <c r="M1953" s="28">
        <f>IF($H1953="","",DATE(YEAR($H1953),MONTH($H1953),1))</f>
        <v/>
      </c>
      <c r="N1953" s="26">
        <f>IF($H1953="","",TODAY()-$H1953)</f>
        <v/>
      </c>
      <c r="O1953" s="15" t="n"/>
      <c r="P1953" s="26">
        <f>IF($A1953="","",COUNTIFS('Audit Versions'!$A$6:$A$605,$A1953,'Audit Versions'!$L$6:$L$605,"Active"))</f>
        <v/>
      </c>
      <c r="Q1953" s="15" t="n"/>
      <c r="R1953" s="26">
        <f>IF(OR($A1953="",$P1953=0),"",MOD(N($Q1953),$P1953)+1)</f>
        <v/>
      </c>
      <c r="S1953" s="15" t="n"/>
      <c r="T1953" s="25" t="n"/>
      <c r="U1953" s="26">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Builder'!$B$12="",N($S1953)&lt;='Assignment Builder'!$B$12)))</f>
        <v/>
      </c>
      <c r="V1953" s="23" t="n"/>
    </row>
    <row r="1954">
      <c r="A1954" s="23" t="n"/>
      <c r="B1954" s="23" t="n"/>
      <c r="C1954" s="24" t="n"/>
      <c r="D1954" s="15" t="n"/>
      <c r="E1954" s="23" t="n"/>
      <c r="F1954" s="15" t="n"/>
      <c r="G1954" s="23" t="n"/>
      <c r="H1954" s="25" t="n"/>
      <c r="I1954" s="15" t="n"/>
      <c r="J1954" s="26">
        <f>IF($A1954="","",LEN($C1954)-LEN(SUBSTITUTE($C1954,",",""))+1)</f>
        <v/>
      </c>
      <c r="K1954" s="26">
        <f>IF($A1954="","",SUMPRODUCT(--ISNUMBER(SEARCH('Category Dictionary'!$D$5:$D$135&amp;"",$C1954)),--('Category Dictionary'!$D$5:$D$135&lt;&gt;"")))</f>
        <v/>
      </c>
      <c r="L1954" s="27">
        <f>IF($A1954="","",TRIM(IF(ISERROR(FIND(",",$C1954)),$C1954,LEFT($C1954,FIND(",",$C1954)-1))))</f>
        <v/>
      </c>
      <c r="M1954" s="28">
        <f>IF($H1954="","",DATE(YEAR($H1954),MONTH($H1954),1))</f>
        <v/>
      </c>
      <c r="N1954" s="26">
        <f>IF($H1954="","",TODAY()-$H1954)</f>
        <v/>
      </c>
      <c r="O1954" s="15" t="n"/>
      <c r="P1954" s="26">
        <f>IF($A1954="","",COUNTIFS('Audit Versions'!$A$6:$A$605,$A1954,'Audit Versions'!$L$6:$L$605,"Active"))</f>
        <v/>
      </c>
      <c r="Q1954" s="15" t="n"/>
      <c r="R1954" s="26">
        <f>IF(OR($A1954="",$P1954=0),"",MOD(N($Q1954),$P1954)+1)</f>
        <v/>
      </c>
      <c r="S1954" s="15" t="n"/>
      <c r="T1954" s="25" t="n"/>
      <c r="U1954" s="26">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Builder'!$B$12="",N($S1954)&lt;='Assignment Builder'!$B$12)))</f>
        <v/>
      </c>
      <c r="V1954" s="23" t="n"/>
    </row>
    <row r="1955">
      <c r="A1955" s="23" t="n"/>
      <c r="B1955" s="23" t="n"/>
      <c r="C1955" s="24" t="n"/>
      <c r="D1955" s="15" t="n"/>
      <c r="E1955" s="23" t="n"/>
      <c r="F1955" s="15" t="n"/>
      <c r="G1955" s="23" t="n"/>
      <c r="H1955" s="25" t="n"/>
      <c r="I1955" s="15" t="n"/>
      <c r="J1955" s="26">
        <f>IF($A1955="","",LEN($C1955)-LEN(SUBSTITUTE($C1955,",",""))+1)</f>
        <v/>
      </c>
      <c r="K1955" s="26">
        <f>IF($A1955="","",SUMPRODUCT(--ISNUMBER(SEARCH('Category Dictionary'!$D$5:$D$135&amp;"",$C1955)),--('Category Dictionary'!$D$5:$D$135&lt;&gt;"")))</f>
        <v/>
      </c>
      <c r="L1955" s="27">
        <f>IF($A1955="","",TRIM(IF(ISERROR(FIND(",",$C1955)),$C1955,LEFT($C1955,FIND(",",$C1955)-1))))</f>
        <v/>
      </c>
      <c r="M1955" s="28">
        <f>IF($H1955="","",DATE(YEAR($H1955),MONTH($H1955),1))</f>
        <v/>
      </c>
      <c r="N1955" s="26">
        <f>IF($H1955="","",TODAY()-$H1955)</f>
        <v/>
      </c>
      <c r="O1955" s="15" t="n"/>
      <c r="P1955" s="26">
        <f>IF($A1955="","",COUNTIFS('Audit Versions'!$A$6:$A$605,$A1955,'Audit Versions'!$L$6:$L$605,"Active"))</f>
        <v/>
      </c>
      <c r="Q1955" s="15" t="n"/>
      <c r="R1955" s="26">
        <f>IF(OR($A1955="",$P1955=0),"",MOD(N($Q1955),$P1955)+1)</f>
        <v/>
      </c>
      <c r="S1955" s="15" t="n"/>
      <c r="T1955" s="25" t="n"/>
      <c r="U1955" s="26">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Builder'!$B$12="",N($S1955)&lt;='Assignment Builder'!$B$12)))</f>
        <v/>
      </c>
      <c r="V1955" s="23" t="n"/>
    </row>
    <row r="1956">
      <c r="A1956" s="23" t="n"/>
      <c r="B1956" s="23" t="n"/>
      <c r="C1956" s="24" t="n"/>
      <c r="D1956" s="15" t="n"/>
      <c r="E1956" s="23" t="n"/>
      <c r="F1956" s="15" t="n"/>
      <c r="G1956" s="23" t="n"/>
      <c r="H1956" s="25" t="n"/>
      <c r="I1956" s="15" t="n"/>
      <c r="J1956" s="26">
        <f>IF($A1956="","",LEN($C1956)-LEN(SUBSTITUTE($C1956,",",""))+1)</f>
        <v/>
      </c>
      <c r="K1956" s="26">
        <f>IF($A1956="","",SUMPRODUCT(--ISNUMBER(SEARCH('Category Dictionary'!$D$5:$D$135&amp;"",$C1956)),--('Category Dictionary'!$D$5:$D$135&lt;&gt;"")))</f>
        <v/>
      </c>
      <c r="L1956" s="27">
        <f>IF($A1956="","",TRIM(IF(ISERROR(FIND(",",$C1956)),$C1956,LEFT($C1956,FIND(",",$C1956)-1))))</f>
        <v/>
      </c>
      <c r="M1956" s="28">
        <f>IF($H1956="","",DATE(YEAR($H1956),MONTH($H1956),1))</f>
        <v/>
      </c>
      <c r="N1956" s="26">
        <f>IF($H1956="","",TODAY()-$H1956)</f>
        <v/>
      </c>
      <c r="O1956" s="15" t="n"/>
      <c r="P1956" s="26">
        <f>IF($A1956="","",COUNTIFS('Audit Versions'!$A$6:$A$605,$A1956,'Audit Versions'!$L$6:$L$605,"Active"))</f>
        <v/>
      </c>
      <c r="Q1956" s="15" t="n"/>
      <c r="R1956" s="26">
        <f>IF(OR($A1956="",$P1956=0),"",MOD(N($Q1956),$P1956)+1)</f>
        <v/>
      </c>
      <c r="S1956" s="15" t="n"/>
      <c r="T1956" s="25" t="n"/>
      <c r="U1956" s="26">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Builder'!$B$12="",N($S1956)&lt;='Assignment Builder'!$B$12)))</f>
        <v/>
      </c>
      <c r="V1956" s="23" t="n"/>
    </row>
    <row r="1957">
      <c r="A1957" s="23" t="n"/>
      <c r="B1957" s="23" t="n"/>
      <c r="C1957" s="24" t="n"/>
      <c r="D1957" s="15" t="n"/>
      <c r="E1957" s="23" t="n"/>
      <c r="F1957" s="15" t="n"/>
      <c r="G1957" s="23" t="n"/>
      <c r="H1957" s="25" t="n"/>
      <c r="I1957" s="15" t="n"/>
      <c r="J1957" s="26">
        <f>IF($A1957="","",LEN($C1957)-LEN(SUBSTITUTE($C1957,",",""))+1)</f>
        <v/>
      </c>
      <c r="K1957" s="26">
        <f>IF($A1957="","",SUMPRODUCT(--ISNUMBER(SEARCH('Category Dictionary'!$D$5:$D$135&amp;"",$C1957)),--('Category Dictionary'!$D$5:$D$135&lt;&gt;"")))</f>
        <v/>
      </c>
      <c r="L1957" s="27">
        <f>IF($A1957="","",TRIM(IF(ISERROR(FIND(",",$C1957)),$C1957,LEFT($C1957,FIND(",",$C1957)-1))))</f>
        <v/>
      </c>
      <c r="M1957" s="28">
        <f>IF($H1957="","",DATE(YEAR($H1957),MONTH($H1957),1))</f>
        <v/>
      </c>
      <c r="N1957" s="26">
        <f>IF($H1957="","",TODAY()-$H1957)</f>
        <v/>
      </c>
      <c r="O1957" s="15" t="n"/>
      <c r="P1957" s="26">
        <f>IF($A1957="","",COUNTIFS('Audit Versions'!$A$6:$A$605,$A1957,'Audit Versions'!$L$6:$L$605,"Active"))</f>
        <v/>
      </c>
      <c r="Q1957" s="15" t="n"/>
      <c r="R1957" s="26">
        <f>IF(OR($A1957="",$P1957=0),"",MOD(N($Q1957),$P1957)+1)</f>
        <v/>
      </c>
      <c r="S1957" s="15" t="n"/>
      <c r="T1957" s="25" t="n"/>
      <c r="U1957" s="26">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Builder'!$B$12="",N($S1957)&lt;='Assignment Builder'!$B$12)))</f>
        <v/>
      </c>
      <c r="V1957" s="23" t="n"/>
    </row>
    <row r="1958">
      <c r="A1958" s="23" t="n"/>
      <c r="B1958" s="23" t="n"/>
      <c r="C1958" s="24" t="n"/>
      <c r="D1958" s="15" t="n"/>
      <c r="E1958" s="23" t="n"/>
      <c r="F1958" s="15" t="n"/>
      <c r="G1958" s="23" t="n"/>
      <c r="H1958" s="25" t="n"/>
      <c r="I1958" s="15" t="n"/>
      <c r="J1958" s="26">
        <f>IF($A1958="","",LEN($C1958)-LEN(SUBSTITUTE($C1958,",",""))+1)</f>
        <v/>
      </c>
      <c r="K1958" s="26">
        <f>IF($A1958="","",SUMPRODUCT(--ISNUMBER(SEARCH('Category Dictionary'!$D$5:$D$135&amp;"",$C1958)),--('Category Dictionary'!$D$5:$D$135&lt;&gt;"")))</f>
        <v/>
      </c>
      <c r="L1958" s="27">
        <f>IF($A1958="","",TRIM(IF(ISERROR(FIND(",",$C1958)),$C1958,LEFT($C1958,FIND(",",$C1958)-1))))</f>
        <v/>
      </c>
      <c r="M1958" s="28">
        <f>IF($H1958="","",DATE(YEAR($H1958),MONTH($H1958),1))</f>
        <v/>
      </c>
      <c r="N1958" s="26">
        <f>IF($H1958="","",TODAY()-$H1958)</f>
        <v/>
      </c>
      <c r="O1958" s="15" t="n"/>
      <c r="P1958" s="26">
        <f>IF($A1958="","",COUNTIFS('Audit Versions'!$A$6:$A$605,$A1958,'Audit Versions'!$L$6:$L$605,"Active"))</f>
        <v/>
      </c>
      <c r="Q1958" s="15" t="n"/>
      <c r="R1958" s="26">
        <f>IF(OR($A1958="",$P1958=0),"",MOD(N($Q1958),$P1958)+1)</f>
        <v/>
      </c>
      <c r="S1958" s="15" t="n"/>
      <c r="T1958" s="25" t="n"/>
      <c r="U1958" s="26">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Builder'!$B$12="",N($S1958)&lt;='Assignment Builder'!$B$12)))</f>
        <v/>
      </c>
      <c r="V1958" s="23" t="n"/>
    </row>
    <row r="1959">
      <c r="A1959" s="23" t="n"/>
      <c r="B1959" s="23" t="n"/>
      <c r="C1959" s="24" t="n"/>
      <c r="D1959" s="15" t="n"/>
      <c r="E1959" s="23" t="n"/>
      <c r="F1959" s="15" t="n"/>
      <c r="G1959" s="23" t="n"/>
      <c r="H1959" s="25" t="n"/>
      <c r="I1959" s="15" t="n"/>
      <c r="J1959" s="26">
        <f>IF($A1959="","",LEN($C1959)-LEN(SUBSTITUTE($C1959,",",""))+1)</f>
        <v/>
      </c>
      <c r="K1959" s="26">
        <f>IF($A1959="","",SUMPRODUCT(--ISNUMBER(SEARCH('Category Dictionary'!$D$5:$D$135&amp;"",$C1959)),--('Category Dictionary'!$D$5:$D$135&lt;&gt;"")))</f>
        <v/>
      </c>
      <c r="L1959" s="27">
        <f>IF($A1959="","",TRIM(IF(ISERROR(FIND(",",$C1959)),$C1959,LEFT($C1959,FIND(",",$C1959)-1))))</f>
        <v/>
      </c>
      <c r="M1959" s="28">
        <f>IF($H1959="","",DATE(YEAR($H1959),MONTH($H1959),1))</f>
        <v/>
      </c>
      <c r="N1959" s="26">
        <f>IF($H1959="","",TODAY()-$H1959)</f>
        <v/>
      </c>
      <c r="O1959" s="15" t="n"/>
      <c r="P1959" s="26">
        <f>IF($A1959="","",COUNTIFS('Audit Versions'!$A$6:$A$605,$A1959,'Audit Versions'!$L$6:$L$605,"Active"))</f>
        <v/>
      </c>
      <c r="Q1959" s="15" t="n"/>
      <c r="R1959" s="26">
        <f>IF(OR($A1959="",$P1959=0),"",MOD(N($Q1959),$P1959)+1)</f>
        <v/>
      </c>
      <c r="S1959" s="15" t="n"/>
      <c r="T1959" s="25" t="n"/>
      <c r="U1959" s="26">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Builder'!$B$12="",N($S1959)&lt;='Assignment Builder'!$B$12)))</f>
        <v/>
      </c>
      <c r="V1959" s="23" t="n"/>
    </row>
    <row r="1960">
      <c r="A1960" s="23" t="n"/>
      <c r="B1960" s="23" t="n"/>
      <c r="C1960" s="24" t="n"/>
      <c r="D1960" s="15" t="n"/>
      <c r="E1960" s="23" t="n"/>
      <c r="F1960" s="15" t="n"/>
      <c r="G1960" s="23" t="n"/>
      <c r="H1960" s="25" t="n"/>
      <c r="I1960" s="15" t="n"/>
      <c r="J1960" s="26">
        <f>IF($A1960="","",LEN($C1960)-LEN(SUBSTITUTE($C1960,",",""))+1)</f>
        <v/>
      </c>
      <c r="K1960" s="26">
        <f>IF($A1960="","",SUMPRODUCT(--ISNUMBER(SEARCH('Category Dictionary'!$D$5:$D$135&amp;"",$C1960)),--('Category Dictionary'!$D$5:$D$135&lt;&gt;"")))</f>
        <v/>
      </c>
      <c r="L1960" s="27">
        <f>IF($A1960="","",TRIM(IF(ISERROR(FIND(",",$C1960)),$C1960,LEFT($C1960,FIND(",",$C1960)-1))))</f>
        <v/>
      </c>
      <c r="M1960" s="28">
        <f>IF($H1960="","",DATE(YEAR($H1960),MONTH($H1960),1))</f>
        <v/>
      </c>
      <c r="N1960" s="26">
        <f>IF($H1960="","",TODAY()-$H1960)</f>
        <v/>
      </c>
      <c r="O1960" s="15" t="n"/>
      <c r="P1960" s="26">
        <f>IF($A1960="","",COUNTIFS('Audit Versions'!$A$6:$A$605,$A1960,'Audit Versions'!$L$6:$L$605,"Active"))</f>
        <v/>
      </c>
      <c r="Q1960" s="15" t="n"/>
      <c r="R1960" s="26">
        <f>IF(OR($A1960="",$P1960=0),"",MOD(N($Q1960),$P1960)+1)</f>
        <v/>
      </c>
      <c r="S1960" s="15" t="n"/>
      <c r="T1960" s="25" t="n"/>
      <c r="U1960" s="26">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Builder'!$B$12="",N($S1960)&lt;='Assignment Builder'!$B$12)))</f>
        <v/>
      </c>
      <c r="V1960" s="23" t="n"/>
    </row>
    <row r="1961">
      <c r="A1961" s="23" t="n"/>
      <c r="B1961" s="23" t="n"/>
      <c r="C1961" s="24" t="n"/>
      <c r="D1961" s="15" t="n"/>
      <c r="E1961" s="23" t="n"/>
      <c r="F1961" s="15" t="n"/>
      <c r="G1961" s="23" t="n"/>
      <c r="H1961" s="25" t="n"/>
      <c r="I1961" s="15" t="n"/>
      <c r="J1961" s="26">
        <f>IF($A1961="","",LEN($C1961)-LEN(SUBSTITUTE($C1961,",",""))+1)</f>
        <v/>
      </c>
      <c r="K1961" s="26">
        <f>IF($A1961="","",SUMPRODUCT(--ISNUMBER(SEARCH('Category Dictionary'!$D$5:$D$135&amp;"",$C1961)),--('Category Dictionary'!$D$5:$D$135&lt;&gt;"")))</f>
        <v/>
      </c>
      <c r="L1961" s="27">
        <f>IF($A1961="","",TRIM(IF(ISERROR(FIND(",",$C1961)),$C1961,LEFT($C1961,FIND(",",$C1961)-1))))</f>
        <v/>
      </c>
      <c r="M1961" s="28">
        <f>IF($H1961="","",DATE(YEAR($H1961),MONTH($H1961),1))</f>
        <v/>
      </c>
      <c r="N1961" s="26">
        <f>IF($H1961="","",TODAY()-$H1961)</f>
        <v/>
      </c>
      <c r="O1961" s="15" t="n"/>
      <c r="P1961" s="26">
        <f>IF($A1961="","",COUNTIFS('Audit Versions'!$A$6:$A$605,$A1961,'Audit Versions'!$L$6:$L$605,"Active"))</f>
        <v/>
      </c>
      <c r="Q1961" s="15" t="n"/>
      <c r="R1961" s="26">
        <f>IF(OR($A1961="",$P1961=0),"",MOD(N($Q1961),$P1961)+1)</f>
        <v/>
      </c>
      <c r="S1961" s="15" t="n"/>
      <c r="T1961" s="25" t="n"/>
      <c r="U1961" s="26">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Builder'!$B$12="",N($S1961)&lt;='Assignment Builder'!$B$12)))</f>
        <v/>
      </c>
      <c r="V1961" s="23" t="n"/>
    </row>
    <row r="1962">
      <c r="A1962" s="23" t="n"/>
      <c r="B1962" s="23" t="n"/>
      <c r="C1962" s="24" t="n"/>
      <c r="D1962" s="15" t="n"/>
      <c r="E1962" s="23" t="n"/>
      <c r="F1962" s="15" t="n"/>
      <c r="G1962" s="23" t="n"/>
      <c r="H1962" s="25" t="n"/>
      <c r="I1962" s="15" t="n"/>
      <c r="J1962" s="26">
        <f>IF($A1962="","",LEN($C1962)-LEN(SUBSTITUTE($C1962,",",""))+1)</f>
        <v/>
      </c>
      <c r="K1962" s="26">
        <f>IF($A1962="","",SUMPRODUCT(--ISNUMBER(SEARCH('Category Dictionary'!$D$5:$D$135&amp;"",$C1962)),--('Category Dictionary'!$D$5:$D$135&lt;&gt;"")))</f>
        <v/>
      </c>
      <c r="L1962" s="27">
        <f>IF($A1962="","",TRIM(IF(ISERROR(FIND(",",$C1962)),$C1962,LEFT($C1962,FIND(",",$C1962)-1))))</f>
        <v/>
      </c>
      <c r="M1962" s="28">
        <f>IF($H1962="","",DATE(YEAR($H1962),MONTH($H1962),1))</f>
        <v/>
      </c>
      <c r="N1962" s="26">
        <f>IF($H1962="","",TODAY()-$H1962)</f>
        <v/>
      </c>
      <c r="O1962" s="15" t="n"/>
      <c r="P1962" s="26">
        <f>IF($A1962="","",COUNTIFS('Audit Versions'!$A$6:$A$605,$A1962,'Audit Versions'!$L$6:$L$605,"Active"))</f>
        <v/>
      </c>
      <c r="Q1962" s="15" t="n"/>
      <c r="R1962" s="26">
        <f>IF(OR($A1962="",$P1962=0),"",MOD(N($Q1962),$P1962)+1)</f>
        <v/>
      </c>
      <c r="S1962" s="15" t="n"/>
      <c r="T1962" s="25" t="n"/>
      <c r="U1962" s="26">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Builder'!$B$12="",N($S1962)&lt;='Assignment Builder'!$B$12)))</f>
        <v/>
      </c>
      <c r="V1962" s="23" t="n"/>
    </row>
    <row r="1963">
      <c r="A1963" s="23" t="n"/>
      <c r="B1963" s="23" t="n"/>
      <c r="C1963" s="24" t="n"/>
      <c r="D1963" s="15" t="n"/>
      <c r="E1963" s="23" t="n"/>
      <c r="F1963" s="15" t="n"/>
      <c r="G1963" s="23" t="n"/>
      <c r="H1963" s="25" t="n"/>
      <c r="I1963" s="15" t="n"/>
      <c r="J1963" s="26">
        <f>IF($A1963="","",LEN($C1963)-LEN(SUBSTITUTE($C1963,",",""))+1)</f>
        <v/>
      </c>
      <c r="K1963" s="26">
        <f>IF($A1963="","",SUMPRODUCT(--ISNUMBER(SEARCH('Category Dictionary'!$D$5:$D$135&amp;"",$C1963)),--('Category Dictionary'!$D$5:$D$135&lt;&gt;"")))</f>
        <v/>
      </c>
      <c r="L1963" s="27">
        <f>IF($A1963="","",TRIM(IF(ISERROR(FIND(",",$C1963)),$C1963,LEFT($C1963,FIND(",",$C1963)-1))))</f>
        <v/>
      </c>
      <c r="M1963" s="28">
        <f>IF($H1963="","",DATE(YEAR($H1963),MONTH($H1963),1))</f>
        <v/>
      </c>
      <c r="N1963" s="26">
        <f>IF($H1963="","",TODAY()-$H1963)</f>
        <v/>
      </c>
      <c r="O1963" s="15" t="n"/>
      <c r="P1963" s="26">
        <f>IF($A1963="","",COUNTIFS('Audit Versions'!$A$6:$A$605,$A1963,'Audit Versions'!$L$6:$L$605,"Active"))</f>
        <v/>
      </c>
      <c r="Q1963" s="15" t="n"/>
      <c r="R1963" s="26">
        <f>IF(OR($A1963="",$P1963=0),"",MOD(N($Q1963),$P1963)+1)</f>
        <v/>
      </c>
      <c r="S1963" s="15" t="n"/>
      <c r="T1963" s="25" t="n"/>
      <c r="U1963" s="26">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Builder'!$B$12="",N($S1963)&lt;='Assignment Builder'!$B$12)))</f>
        <v/>
      </c>
      <c r="V1963" s="23" t="n"/>
    </row>
    <row r="1964">
      <c r="A1964" s="23" t="n"/>
      <c r="B1964" s="23" t="n"/>
      <c r="C1964" s="24" t="n"/>
      <c r="D1964" s="15" t="n"/>
      <c r="E1964" s="23" t="n"/>
      <c r="F1964" s="15" t="n"/>
      <c r="G1964" s="23" t="n"/>
      <c r="H1964" s="25" t="n"/>
      <c r="I1964" s="15" t="n"/>
      <c r="J1964" s="26">
        <f>IF($A1964="","",LEN($C1964)-LEN(SUBSTITUTE($C1964,",",""))+1)</f>
        <v/>
      </c>
      <c r="K1964" s="26">
        <f>IF($A1964="","",SUMPRODUCT(--ISNUMBER(SEARCH('Category Dictionary'!$D$5:$D$135&amp;"",$C1964)),--('Category Dictionary'!$D$5:$D$135&lt;&gt;"")))</f>
        <v/>
      </c>
      <c r="L1964" s="27">
        <f>IF($A1964="","",TRIM(IF(ISERROR(FIND(",",$C1964)),$C1964,LEFT($C1964,FIND(",",$C1964)-1))))</f>
        <v/>
      </c>
      <c r="M1964" s="28">
        <f>IF($H1964="","",DATE(YEAR($H1964),MONTH($H1964),1))</f>
        <v/>
      </c>
      <c r="N1964" s="26">
        <f>IF($H1964="","",TODAY()-$H1964)</f>
        <v/>
      </c>
      <c r="O1964" s="15" t="n"/>
      <c r="P1964" s="26">
        <f>IF($A1964="","",COUNTIFS('Audit Versions'!$A$6:$A$605,$A1964,'Audit Versions'!$L$6:$L$605,"Active"))</f>
        <v/>
      </c>
      <c r="Q1964" s="15" t="n"/>
      <c r="R1964" s="26">
        <f>IF(OR($A1964="",$P1964=0),"",MOD(N($Q1964),$P1964)+1)</f>
        <v/>
      </c>
      <c r="S1964" s="15" t="n"/>
      <c r="T1964" s="25" t="n"/>
      <c r="U1964" s="26">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Builder'!$B$12="",N($S1964)&lt;='Assignment Builder'!$B$12)))</f>
        <v/>
      </c>
      <c r="V1964" s="23" t="n"/>
    </row>
    <row r="1965">
      <c r="A1965" s="23" t="n"/>
      <c r="B1965" s="23" t="n"/>
      <c r="C1965" s="24" t="n"/>
      <c r="D1965" s="15" t="n"/>
      <c r="E1965" s="23" t="n"/>
      <c r="F1965" s="15" t="n"/>
      <c r="G1965" s="23" t="n"/>
      <c r="H1965" s="25" t="n"/>
      <c r="I1965" s="15" t="n"/>
      <c r="J1965" s="26">
        <f>IF($A1965="","",LEN($C1965)-LEN(SUBSTITUTE($C1965,",",""))+1)</f>
        <v/>
      </c>
      <c r="K1965" s="26">
        <f>IF($A1965="","",SUMPRODUCT(--ISNUMBER(SEARCH('Category Dictionary'!$D$5:$D$135&amp;"",$C1965)),--('Category Dictionary'!$D$5:$D$135&lt;&gt;"")))</f>
        <v/>
      </c>
      <c r="L1965" s="27">
        <f>IF($A1965="","",TRIM(IF(ISERROR(FIND(",",$C1965)),$C1965,LEFT($C1965,FIND(",",$C1965)-1))))</f>
        <v/>
      </c>
      <c r="M1965" s="28">
        <f>IF($H1965="","",DATE(YEAR($H1965),MONTH($H1965),1))</f>
        <v/>
      </c>
      <c r="N1965" s="26">
        <f>IF($H1965="","",TODAY()-$H1965)</f>
        <v/>
      </c>
      <c r="O1965" s="15" t="n"/>
      <c r="P1965" s="26">
        <f>IF($A1965="","",COUNTIFS('Audit Versions'!$A$6:$A$605,$A1965,'Audit Versions'!$L$6:$L$605,"Active"))</f>
        <v/>
      </c>
      <c r="Q1965" s="15" t="n"/>
      <c r="R1965" s="26">
        <f>IF(OR($A1965="",$P1965=0),"",MOD(N($Q1965),$P1965)+1)</f>
        <v/>
      </c>
      <c r="S1965" s="15" t="n"/>
      <c r="T1965" s="25" t="n"/>
      <c r="U1965" s="26">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Builder'!$B$12="",N($S1965)&lt;='Assignment Builder'!$B$12)))</f>
        <v/>
      </c>
      <c r="V1965" s="23" t="n"/>
    </row>
    <row r="1966">
      <c r="A1966" s="23" t="n"/>
      <c r="B1966" s="23" t="n"/>
      <c r="C1966" s="24" t="n"/>
      <c r="D1966" s="15" t="n"/>
      <c r="E1966" s="23" t="n"/>
      <c r="F1966" s="15" t="n"/>
      <c r="G1966" s="23" t="n"/>
      <c r="H1966" s="25" t="n"/>
      <c r="I1966" s="15" t="n"/>
      <c r="J1966" s="26">
        <f>IF($A1966="","",LEN($C1966)-LEN(SUBSTITUTE($C1966,",",""))+1)</f>
        <v/>
      </c>
      <c r="K1966" s="26">
        <f>IF($A1966="","",SUMPRODUCT(--ISNUMBER(SEARCH('Category Dictionary'!$D$5:$D$135&amp;"",$C1966)),--('Category Dictionary'!$D$5:$D$135&lt;&gt;"")))</f>
        <v/>
      </c>
      <c r="L1966" s="27">
        <f>IF($A1966="","",TRIM(IF(ISERROR(FIND(",",$C1966)),$C1966,LEFT($C1966,FIND(",",$C1966)-1))))</f>
        <v/>
      </c>
      <c r="M1966" s="28">
        <f>IF($H1966="","",DATE(YEAR($H1966),MONTH($H1966),1))</f>
        <v/>
      </c>
      <c r="N1966" s="26">
        <f>IF($H1966="","",TODAY()-$H1966)</f>
        <v/>
      </c>
      <c r="O1966" s="15" t="n"/>
      <c r="P1966" s="26">
        <f>IF($A1966="","",COUNTIFS('Audit Versions'!$A$6:$A$605,$A1966,'Audit Versions'!$L$6:$L$605,"Active"))</f>
        <v/>
      </c>
      <c r="Q1966" s="15" t="n"/>
      <c r="R1966" s="26">
        <f>IF(OR($A1966="",$P1966=0),"",MOD(N($Q1966),$P1966)+1)</f>
        <v/>
      </c>
      <c r="S1966" s="15" t="n"/>
      <c r="T1966" s="25" t="n"/>
      <c r="U1966" s="26">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Builder'!$B$12="",N($S1966)&lt;='Assignment Builder'!$B$12)))</f>
        <v/>
      </c>
      <c r="V1966" s="23" t="n"/>
    </row>
    <row r="1967">
      <c r="A1967" s="23" t="n"/>
      <c r="B1967" s="23" t="n"/>
      <c r="C1967" s="24" t="n"/>
      <c r="D1967" s="15" t="n"/>
      <c r="E1967" s="23" t="n"/>
      <c r="F1967" s="15" t="n"/>
      <c r="G1967" s="23" t="n"/>
      <c r="H1967" s="25" t="n"/>
      <c r="I1967" s="15" t="n"/>
      <c r="J1967" s="26">
        <f>IF($A1967="","",LEN($C1967)-LEN(SUBSTITUTE($C1967,",",""))+1)</f>
        <v/>
      </c>
      <c r="K1967" s="26">
        <f>IF($A1967="","",SUMPRODUCT(--ISNUMBER(SEARCH('Category Dictionary'!$D$5:$D$135&amp;"",$C1967)),--('Category Dictionary'!$D$5:$D$135&lt;&gt;"")))</f>
        <v/>
      </c>
      <c r="L1967" s="27">
        <f>IF($A1967="","",TRIM(IF(ISERROR(FIND(",",$C1967)),$C1967,LEFT($C1967,FIND(",",$C1967)-1))))</f>
        <v/>
      </c>
      <c r="M1967" s="28">
        <f>IF($H1967="","",DATE(YEAR($H1967),MONTH($H1967),1))</f>
        <v/>
      </c>
      <c r="N1967" s="26">
        <f>IF($H1967="","",TODAY()-$H1967)</f>
        <v/>
      </c>
      <c r="O1967" s="15" t="n"/>
      <c r="P1967" s="26">
        <f>IF($A1967="","",COUNTIFS('Audit Versions'!$A$6:$A$605,$A1967,'Audit Versions'!$L$6:$L$605,"Active"))</f>
        <v/>
      </c>
      <c r="Q1967" s="15" t="n"/>
      <c r="R1967" s="26">
        <f>IF(OR($A1967="",$P1967=0),"",MOD(N($Q1967),$P1967)+1)</f>
        <v/>
      </c>
      <c r="S1967" s="15" t="n"/>
      <c r="T1967" s="25" t="n"/>
      <c r="U1967" s="26">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Builder'!$B$12="",N($S1967)&lt;='Assignment Builder'!$B$12)))</f>
        <v/>
      </c>
      <c r="V1967" s="23" t="n"/>
    </row>
    <row r="1968">
      <c r="A1968" s="23" t="n"/>
      <c r="B1968" s="23" t="n"/>
      <c r="C1968" s="24" t="n"/>
      <c r="D1968" s="15" t="n"/>
      <c r="E1968" s="23" t="n"/>
      <c r="F1968" s="15" t="n"/>
      <c r="G1968" s="23" t="n"/>
      <c r="H1968" s="25" t="n"/>
      <c r="I1968" s="15" t="n"/>
      <c r="J1968" s="26">
        <f>IF($A1968="","",LEN($C1968)-LEN(SUBSTITUTE($C1968,",",""))+1)</f>
        <v/>
      </c>
      <c r="K1968" s="26">
        <f>IF($A1968="","",SUMPRODUCT(--ISNUMBER(SEARCH('Category Dictionary'!$D$5:$D$135&amp;"",$C1968)),--('Category Dictionary'!$D$5:$D$135&lt;&gt;"")))</f>
        <v/>
      </c>
      <c r="L1968" s="27">
        <f>IF($A1968="","",TRIM(IF(ISERROR(FIND(",",$C1968)),$C1968,LEFT($C1968,FIND(",",$C1968)-1))))</f>
        <v/>
      </c>
      <c r="M1968" s="28">
        <f>IF($H1968="","",DATE(YEAR($H1968),MONTH($H1968),1))</f>
        <v/>
      </c>
      <c r="N1968" s="26">
        <f>IF($H1968="","",TODAY()-$H1968)</f>
        <v/>
      </c>
      <c r="O1968" s="15" t="n"/>
      <c r="P1968" s="26">
        <f>IF($A1968="","",COUNTIFS('Audit Versions'!$A$6:$A$605,$A1968,'Audit Versions'!$L$6:$L$605,"Active"))</f>
        <v/>
      </c>
      <c r="Q1968" s="15" t="n"/>
      <c r="R1968" s="26">
        <f>IF(OR($A1968="",$P1968=0),"",MOD(N($Q1968),$P1968)+1)</f>
        <v/>
      </c>
      <c r="S1968" s="15" t="n"/>
      <c r="T1968" s="25" t="n"/>
      <c r="U1968" s="26">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Builder'!$B$12="",N($S1968)&lt;='Assignment Builder'!$B$12)))</f>
        <v/>
      </c>
      <c r="V1968" s="23" t="n"/>
    </row>
    <row r="1969">
      <c r="A1969" s="23" t="n"/>
      <c r="B1969" s="23" t="n"/>
      <c r="C1969" s="24" t="n"/>
      <c r="D1969" s="15" t="n"/>
      <c r="E1969" s="23" t="n"/>
      <c r="F1969" s="15" t="n"/>
      <c r="G1969" s="23" t="n"/>
      <c r="H1969" s="25" t="n"/>
      <c r="I1969" s="15" t="n"/>
      <c r="J1969" s="26">
        <f>IF($A1969="","",LEN($C1969)-LEN(SUBSTITUTE($C1969,",",""))+1)</f>
        <v/>
      </c>
      <c r="K1969" s="26">
        <f>IF($A1969="","",SUMPRODUCT(--ISNUMBER(SEARCH('Category Dictionary'!$D$5:$D$135&amp;"",$C1969)),--('Category Dictionary'!$D$5:$D$135&lt;&gt;"")))</f>
        <v/>
      </c>
      <c r="L1969" s="27">
        <f>IF($A1969="","",TRIM(IF(ISERROR(FIND(",",$C1969)),$C1969,LEFT($C1969,FIND(",",$C1969)-1))))</f>
        <v/>
      </c>
      <c r="M1969" s="28">
        <f>IF($H1969="","",DATE(YEAR($H1969),MONTH($H1969),1))</f>
        <v/>
      </c>
      <c r="N1969" s="26">
        <f>IF($H1969="","",TODAY()-$H1969)</f>
        <v/>
      </c>
      <c r="O1969" s="15" t="n"/>
      <c r="P1969" s="26">
        <f>IF($A1969="","",COUNTIFS('Audit Versions'!$A$6:$A$605,$A1969,'Audit Versions'!$L$6:$L$605,"Active"))</f>
        <v/>
      </c>
      <c r="Q1969" s="15" t="n"/>
      <c r="R1969" s="26">
        <f>IF(OR($A1969="",$P1969=0),"",MOD(N($Q1969),$P1969)+1)</f>
        <v/>
      </c>
      <c r="S1969" s="15" t="n"/>
      <c r="T1969" s="25" t="n"/>
      <c r="U1969" s="26">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Builder'!$B$12="",N($S1969)&lt;='Assignment Builder'!$B$12)))</f>
        <v/>
      </c>
      <c r="V1969" s="23" t="n"/>
    </row>
    <row r="1970">
      <c r="A1970" s="23" t="n"/>
      <c r="B1970" s="23" t="n"/>
      <c r="C1970" s="24" t="n"/>
      <c r="D1970" s="15" t="n"/>
      <c r="E1970" s="23" t="n"/>
      <c r="F1970" s="15" t="n"/>
      <c r="G1970" s="23" t="n"/>
      <c r="H1970" s="25" t="n"/>
      <c r="I1970" s="15" t="n"/>
      <c r="J1970" s="26">
        <f>IF($A1970="","",LEN($C1970)-LEN(SUBSTITUTE($C1970,",",""))+1)</f>
        <v/>
      </c>
      <c r="K1970" s="26">
        <f>IF($A1970="","",SUMPRODUCT(--ISNUMBER(SEARCH('Category Dictionary'!$D$5:$D$135&amp;"",$C1970)),--('Category Dictionary'!$D$5:$D$135&lt;&gt;"")))</f>
        <v/>
      </c>
      <c r="L1970" s="27">
        <f>IF($A1970="","",TRIM(IF(ISERROR(FIND(",",$C1970)),$C1970,LEFT($C1970,FIND(",",$C1970)-1))))</f>
        <v/>
      </c>
      <c r="M1970" s="28">
        <f>IF($H1970="","",DATE(YEAR($H1970),MONTH($H1970),1))</f>
        <v/>
      </c>
      <c r="N1970" s="26">
        <f>IF($H1970="","",TODAY()-$H1970)</f>
        <v/>
      </c>
      <c r="O1970" s="15" t="n"/>
      <c r="P1970" s="26">
        <f>IF($A1970="","",COUNTIFS('Audit Versions'!$A$6:$A$605,$A1970,'Audit Versions'!$L$6:$L$605,"Active"))</f>
        <v/>
      </c>
      <c r="Q1970" s="15" t="n"/>
      <c r="R1970" s="26">
        <f>IF(OR($A1970="",$P1970=0),"",MOD(N($Q1970),$P1970)+1)</f>
        <v/>
      </c>
      <c r="S1970" s="15" t="n"/>
      <c r="T1970" s="25" t="n"/>
      <c r="U1970" s="26">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Builder'!$B$12="",N($S1970)&lt;='Assignment Builder'!$B$12)))</f>
        <v/>
      </c>
      <c r="V1970" s="23" t="n"/>
    </row>
    <row r="1971">
      <c r="A1971" s="23" t="n"/>
      <c r="B1971" s="23" t="n"/>
      <c r="C1971" s="24" t="n"/>
      <c r="D1971" s="15" t="n"/>
      <c r="E1971" s="23" t="n"/>
      <c r="F1971" s="15" t="n"/>
      <c r="G1971" s="23" t="n"/>
      <c r="H1971" s="25" t="n"/>
      <c r="I1971" s="15" t="n"/>
      <c r="J1971" s="26">
        <f>IF($A1971="","",LEN($C1971)-LEN(SUBSTITUTE($C1971,",",""))+1)</f>
        <v/>
      </c>
      <c r="K1971" s="26">
        <f>IF($A1971="","",SUMPRODUCT(--ISNUMBER(SEARCH('Category Dictionary'!$D$5:$D$135&amp;"",$C1971)),--('Category Dictionary'!$D$5:$D$135&lt;&gt;"")))</f>
        <v/>
      </c>
      <c r="L1971" s="27">
        <f>IF($A1971="","",TRIM(IF(ISERROR(FIND(",",$C1971)),$C1971,LEFT($C1971,FIND(",",$C1971)-1))))</f>
        <v/>
      </c>
      <c r="M1971" s="28">
        <f>IF($H1971="","",DATE(YEAR($H1971),MONTH($H1971),1))</f>
        <v/>
      </c>
      <c r="N1971" s="26">
        <f>IF($H1971="","",TODAY()-$H1971)</f>
        <v/>
      </c>
      <c r="O1971" s="15" t="n"/>
      <c r="P1971" s="26">
        <f>IF($A1971="","",COUNTIFS('Audit Versions'!$A$6:$A$605,$A1971,'Audit Versions'!$L$6:$L$605,"Active"))</f>
        <v/>
      </c>
      <c r="Q1971" s="15" t="n"/>
      <c r="R1971" s="26">
        <f>IF(OR($A1971="",$P1971=0),"",MOD(N($Q1971),$P1971)+1)</f>
        <v/>
      </c>
      <c r="S1971" s="15" t="n"/>
      <c r="T1971" s="25" t="n"/>
      <c r="U1971" s="26">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Builder'!$B$12="",N($S1971)&lt;='Assignment Builder'!$B$12)))</f>
        <v/>
      </c>
      <c r="V1971" s="23" t="n"/>
    </row>
    <row r="1972">
      <c r="A1972" s="23" t="n"/>
      <c r="B1972" s="23" t="n"/>
      <c r="C1972" s="24" t="n"/>
      <c r="D1972" s="15" t="n"/>
      <c r="E1972" s="23" t="n"/>
      <c r="F1972" s="15" t="n"/>
      <c r="G1972" s="23" t="n"/>
      <c r="H1972" s="25" t="n"/>
      <c r="I1972" s="15" t="n"/>
      <c r="J1972" s="26">
        <f>IF($A1972="","",LEN($C1972)-LEN(SUBSTITUTE($C1972,",",""))+1)</f>
        <v/>
      </c>
      <c r="K1972" s="26">
        <f>IF($A1972="","",SUMPRODUCT(--ISNUMBER(SEARCH('Category Dictionary'!$D$5:$D$135&amp;"",$C1972)),--('Category Dictionary'!$D$5:$D$135&lt;&gt;"")))</f>
        <v/>
      </c>
      <c r="L1972" s="27">
        <f>IF($A1972="","",TRIM(IF(ISERROR(FIND(",",$C1972)),$C1972,LEFT($C1972,FIND(",",$C1972)-1))))</f>
        <v/>
      </c>
      <c r="M1972" s="28">
        <f>IF($H1972="","",DATE(YEAR($H1972),MONTH($H1972),1))</f>
        <v/>
      </c>
      <c r="N1972" s="26">
        <f>IF($H1972="","",TODAY()-$H1972)</f>
        <v/>
      </c>
      <c r="O1972" s="15" t="n"/>
      <c r="P1972" s="26">
        <f>IF($A1972="","",COUNTIFS('Audit Versions'!$A$6:$A$605,$A1972,'Audit Versions'!$L$6:$L$605,"Active"))</f>
        <v/>
      </c>
      <c r="Q1972" s="15" t="n"/>
      <c r="R1972" s="26">
        <f>IF(OR($A1972="",$P1972=0),"",MOD(N($Q1972),$P1972)+1)</f>
        <v/>
      </c>
      <c r="S1972" s="15" t="n"/>
      <c r="T1972" s="25" t="n"/>
      <c r="U1972" s="26">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Builder'!$B$12="",N($S1972)&lt;='Assignment Builder'!$B$12)))</f>
        <v/>
      </c>
      <c r="V1972" s="23" t="n"/>
    </row>
    <row r="1973">
      <c r="A1973" s="23" t="n"/>
      <c r="B1973" s="23" t="n"/>
      <c r="C1973" s="24" t="n"/>
      <c r="D1973" s="15" t="n"/>
      <c r="E1973" s="23" t="n"/>
      <c r="F1973" s="15" t="n"/>
      <c r="G1973" s="23" t="n"/>
      <c r="H1973" s="25" t="n"/>
      <c r="I1973" s="15" t="n"/>
      <c r="J1973" s="26">
        <f>IF($A1973="","",LEN($C1973)-LEN(SUBSTITUTE($C1973,",",""))+1)</f>
        <v/>
      </c>
      <c r="K1973" s="26">
        <f>IF($A1973="","",SUMPRODUCT(--ISNUMBER(SEARCH('Category Dictionary'!$D$5:$D$135&amp;"",$C1973)),--('Category Dictionary'!$D$5:$D$135&lt;&gt;"")))</f>
        <v/>
      </c>
      <c r="L1973" s="27">
        <f>IF($A1973="","",TRIM(IF(ISERROR(FIND(",",$C1973)),$C1973,LEFT($C1973,FIND(",",$C1973)-1))))</f>
        <v/>
      </c>
      <c r="M1973" s="28">
        <f>IF($H1973="","",DATE(YEAR($H1973),MONTH($H1973),1))</f>
        <v/>
      </c>
      <c r="N1973" s="26">
        <f>IF($H1973="","",TODAY()-$H1973)</f>
        <v/>
      </c>
      <c r="O1973" s="15" t="n"/>
      <c r="P1973" s="26">
        <f>IF($A1973="","",COUNTIFS('Audit Versions'!$A$6:$A$605,$A1973,'Audit Versions'!$L$6:$L$605,"Active"))</f>
        <v/>
      </c>
      <c r="Q1973" s="15" t="n"/>
      <c r="R1973" s="26">
        <f>IF(OR($A1973="",$P1973=0),"",MOD(N($Q1973),$P1973)+1)</f>
        <v/>
      </c>
      <c r="S1973" s="15" t="n"/>
      <c r="T1973" s="25" t="n"/>
      <c r="U1973" s="26">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Builder'!$B$12="",N($S1973)&lt;='Assignment Builder'!$B$12)))</f>
        <v/>
      </c>
      <c r="V1973" s="23" t="n"/>
    </row>
    <row r="1974">
      <c r="A1974" s="23" t="n"/>
      <c r="B1974" s="23" t="n"/>
      <c r="C1974" s="24" t="n"/>
      <c r="D1974" s="15" t="n"/>
      <c r="E1974" s="23" t="n"/>
      <c r="F1974" s="15" t="n"/>
      <c r="G1974" s="23" t="n"/>
      <c r="H1974" s="25" t="n"/>
      <c r="I1974" s="15" t="n"/>
      <c r="J1974" s="26">
        <f>IF($A1974="","",LEN($C1974)-LEN(SUBSTITUTE($C1974,",",""))+1)</f>
        <v/>
      </c>
      <c r="K1974" s="26">
        <f>IF($A1974="","",SUMPRODUCT(--ISNUMBER(SEARCH('Category Dictionary'!$D$5:$D$135&amp;"",$C1974)),--('Category Dictionary'!$D$5:$D$135&lt;&gt;"")))</f>
        <v/>
      </c>
      <c r="L1974" s="27">
        <f>IF($A1974="","",TRIM(IF(ISERROR(FIND(",",$C1974)),$C1974,LEFT($C1974,FIND(",",$C1974)-1))))</f>
        <v/>
      </c>
      <c r="M1974" s="28">
        <f>IF($H1974="","",DATE(YEAR($H1974),MONTH($H1974),1))</f>
        <v/>
      </c>
      <c r="N1974" s="26">
        <f>IF($H1974="","",TODAY()-$H1974)</f>
        <v/>
      </c>
      <c r="O1974" s="15" t="n"/>
      <c r="P1974" s="26">
        <f>IF($A1974="","",COUNTIFS('Audit Versions'!$A$6:$A$605,$A1974,'Audit Versions'!$L$6:$L$605,"Active"))</f>
        <v/>
      </c>
      <c r="Q1974" s="15" t="n"/>
      <c r="R1974" s="26">
        <f>IF(OR($A1974="",$P1974=0),"",MOD(N($Q1974),$P1974)+1)</f>
        <v/>
      </c>
      <c r="S1974" s="15" t="n"/>
      <c r="T1974" s="25" t="n"/>
      <c r="U1974" s="26">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Builder'!$B$12="",N($S1974)&lt;='Assignment Builder'!$B$12)))</f>
        <v/>
      </c>
      <c r="V1974" s="23" t="n"/>
    </row>
    <row r="1975">
      <c r="A1975" s="23" t="n"/>
      <c r="B1975" s="23" t="n"/>
      <c r="C1975" s="24" t="n"/>
      <c r="D1975" s="15" t="n"/>
      <c r="E1975" s="23" t="n"/>
      <c r="F1975" s="15" t="n"/>
      <c r="G1975" s="23" t="n"/>
      <c r="H1975" s="25" t="n"/>
      <c r="I1975" s="15" t="n"/>
      <c r="J1975" s="26">
        <f>IF($A1975="","",LEN($C1975)-LEN(SUBSTITUTE($C1975,",",""))+1)</f>
        <v/>
      </c>
      <c r="K1975" s="26">
        <f>IF($A1975="","",SUMPRODUCT(--ISNUMBER(SEARCH('Category Dictionary'!$D$5:$D$135&amp;"",$C1975)),--('Category Dictionary'!$D$5:$D$135&lt;&gt;"")))</f>
        <v/>
      </c>
      <c r="L1975" s="27">
        <f>IF($A1975="","",TRIM(IF(ISERROR(FIND(",",$C1975)),$C1975,LEFT($C1975,FIND(",",$C1975)-1))))</f>
        <v/>
      </c>
      <c r="M1975" s="28">
        <f>IF($H1975="","",DATE(YEAR($H1975),MONTH($H1975),1))</f>
        <v/>
      </c>
      <c r="N1975" s="26">
        <f>IF($H1975="","",TODAY()-$H1975)</f>
        <v/>
      </c>
      <c r="O1975" s="15" t="n"/>
      <c r="P1975" s="26">
        <f>IF($A1975="","",COUNTIFS('Audit Versions'!$A$6:$A$605,$A1975,'Audit Versions'!$L$6:$L$605,"Active"))</f>
        <v/>
      </c>
      <c r="Q1975" s="15" t="n"/>
      <c r="R1975" s="26">
        <f>IF(OR($A1975="",$P1975=0),"",MOD(N($Q1975),$P1975)+1)</f>
        <v/>
      </c>
      <c r="S1975" s="15" t="n"/>
      <c r="T1975" s="25" t="n"/>
      <c r="U1975" s="26">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Builder'!$B$12="",N($S1975)&lt;='Assignment Builder'!$B$12)))</f>
        <v/>
      </c>
      <c r="V1975" s="23" t="n"/>
    </row>
    <row r="1976">
      <c r="A1976" s="23" t="n"/>
      <c r="B1976" s="23" t="n"/>
      <c r="C1976" s="24" t="n"/>
      <c r="D1976" s="15" t="n"/>
      <c r="E1976" s="23" t="n"/>
      <c r="F1976" s="15" t="n"/>
      <c r="G1976" s="23" t="n"/>
      <c r="H1976" s="25" t="n"/>
      <c r="I1976" s="15" t="n"/>
      <c r="J1976" s="26">
        <f>IF($A1976="","",LEN($C1976)-LEN(SUBSTITUTE($C1976,",",""))+1)</f>
        <v/>
      </c>
      <c r="K1976" s="26">
        <f>IF($A1976="","",SUMPRODUCT(--ISNUMBER(SEARCH('Category Dictionary'!$D$5:$D$135&amp;"",$C1976)),--('Category Dictionary'!$D$5:$D$135&lt;&gt;"")))</f>
        <v/>
      </c>
      <c r="L1976" s="27">
        <f>IF($A1976="","",TRIM(IF(ISERROR(FIND(",",$C1976)),$C1976,LEFT($C1976,FIND(",",$C1976)-1))))</f>
        <v/>
      </c>
      <c r="M1976" s="28">
        <f>IF($H1976="","",DATE(YEAR($H1976),MONTH($H1976),1))</f>
        <v/>
      </c>
      <c r="N1976" s="26">
        <f>IF($H1976="","",TODAY()-$H1976)</f>
        <v/>
      </c>
      <c r="O1976" s="15" t="n"/>
      <c r="P1976" s="26">
        <f>IF($A1976="","",COUNTIFS('Audit Versions'!$A$6:$A$605,$A1976,'Audit Versions'!$L$6:$L$605,"Active"))</f>
        <v/>
      </c>
      <c r="Q1976" s="15" t="n"/>
      <c r="R1976" s="26">
        <f>IF(OR($A1976="",$P1976=0),"",MOD(N($Q1976),$P1976)+1)</f>
        <v/>
      </c>
      <c r="S1976" s="15" t="n"/>
      <c r="T1976" s="25" t="n"/>
      <c r="U1976" s="26">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Builder'!$B$12="",N($S1976)&lt;='Assignment Builder'!$B$12)))</f>
        <v/>
      </c>
      <c r="V1976" s="23" t="n"/>
    </row>
    <row r="1977">
      <c r="A1977" s="23" t="n"/>
      <c r="B1977" s="23" t="n"/>
      <c r="C1977" s="24" t="n"/>
      <c r="D1977" s="15" t="n"/>
      <c r="E1977" s="23" t="n"/>
      <c r="F1977" s="15" t="n"/>
      <c r="G1977" s="23" t="n"/>
      <c r="H1977" s="25" t="n"/>
      <c r="I1977" s="15" t="n"/>
      <c r="J1977" s="26">
        <f>IF($A1977="","",LEN($C1977)-LEN(SUBSTITUTE($C1977,",",""))+1)</f>
        <v/>
      </c>
      <c r="K1977" s="26">
        <f>IF($A1977="","",SUMPRODUCT(--ISNUMBER(SEARCH('Category Dictionary'!$D$5:$D$135&amp;"",$C1977)),--('Category Dictionary'!$D$5:$D$135&lt;&gt;"")))</f>
        <v/>
      </c>
      <c r="L1977" s="27">
        <f>IF($A1977="","",TRIM(IF(ISERROR(FIND(",",$C1977)),$C1977,LEFT($C1977,FIND(",",$C1977)-1))))</f>
        <v/>
      </c>
      <c r="M1977" s="28">
        <f>IF($H1977="","",DATE(YEAR($H1977),MONTH($H1977),1))</f>
        <v/>
      </c>
      <c r="N1977" s="26">
        <f>IF($H1977="","",TODAY()-$H1977)</f>
        <v/>
      </c>
      <c r="O1977" s="15" t="n"/>
      <c r="P1977" s="26">
        <f>IF($A1977="","",COUNTIFS('Audit Versions'!$A$6:$A$605,$A1977,'Audit Versions'!$L$6:$L$605,"Active"))</f>
        <v/>
      </c>
      <c r="Q1977" s="15" t="n"/>
      <c r="R1977" s="26">
        <f>IF(OR($A1977="",$P1977=0),"",MOD(N($Q1977),$P1977)+1)</f>
        <v/>
      </c>
      <c r="S1977" s="15" t="n"/>
      <c r="T1977" s="25" t="n"/>
      <c r="U1977" s="26">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Builder'!$B$12="",N($S1977)&lt;='Assignment Builder'!$B$12)))</f>
        <v/>
      </c>
      <c r="V1977" s="23" t="n"/>
    </row>
    <row r="1978">
      <c r="A1978" s="23" t="n"/>
      <c r="B1978" s="23" t="n"/>
      <c r="C1978" s="24" t="n"/>
      <c r="D1978" s="15" t="n"/>
      <c r="E1978" s="23" t="n"/>
      <c r="F1978" s="15" t="n"/>
      <c r="G1978" s="23" t="n"/>
      <c r="H1978" s="25" t="n"/>
      <c r="I1978" s="15" t="n"/>
      <c r="J1978" s="26">
        <f>IF($A1978="","",LEN($C1978)-LEN(SUBSTITUTE($C1978,",",""))+1)</f>
        <v/>
      </c>
      <c r="K1978" s="26">
        <f>IF($A1978="","",SUMPRODUCT(--ISNUMBER(SEARCH('Category Dictionary'!$D$5:$D$135&amp;"",$C1978)),--('Category Dictionary'!$D$5:$D$135&lt;&gt;"")))</f>
        <v/>
      </c>
      <c r="L1978" s="27">
        <f>IF($A1978="","",TRIM(IF(ISERROR(FIND(",",$C1978)),$C1978,LEFT($C1978,FIND(",",$C1978)-1))))</f>
        <v/>
      </c>
      <c r="M1978" s="28">
        <f>IF($H1978="","",DATE(YEAR($H1978),MONTH($H1978),1))</f>
        <v/>
      </c>
      <c r="N1978" s="26">
        <f>IF($H1978="","",TODAY()-$H1978)</f>
        <v/>
      </c>
      <c r="O1978" s="15" t="n"/>
      <c r="P1978" s="26">
        <f>IF($A1978="","",COUNTIFS('Audit Versions'!$A$6:$A$605,$A1978,'Audit Versions'!$L$6:$L$605,"Active"))</f>
        <v/>
      </c>
      <c r="Q1978" s="15" t="n"/>
      <c r="R1978" s="26">
        <f>IF(OR($A1978="",$P1978=0),"",MOD(N($Q1978),$P1978)+1)</f>
        <v/>
      </c>
      <c r="S1978" s="15" t="n"/>
      <c r="T1978" s="25" t="n"/>
      <c r="U1978" s="26">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Builder'!$B$12="",N($S1978)&lt;='Assignment Builder'!$B$12)))</f>
        <v/>
      </c>
      <c r="V1978" s="23" t="n"/>
    </row>
    <row r="1979">
      <c r="A1979" s="23" t="n"/>
      <c r="B1979" s="23" t="n"/>
      <c r="C1979" s="24" t="n"/>
      <c r="D1979" s="15" t="n"/>
      <c r="E1979" s="23" t="n"/>
      <c r="F1979" s="15" t="n"/>
      <c r="G1979" s="23" t="n"/>
      <c r="H1979" s="25" t="n"/>
      <c r="I1979" s="15" t="n"/>
      <c r="J1979" s="26">
        <f>IF($A1979="","",LEN($C1979)-LEN(SUBSTITUTE($C1979,",",""))+1)</f>
        <v/>
      </c>
      <c r="K1979" s="26">
        <f>IF($A1979="","",SUMPRODUCT(--ISNUMBER(SEARCH('Category Dictionary'!$D$5:$D$135&amp;"",$C1979)),--('Category Dictionary'!$D$5:$D$135&lt;&gt;"")))</f>
        <v/>
      </c>
      <c r="L1979" s="27">
        <f>IF($A1979="","",TRIM(IF(ISERROR(FIND(",",$C1979)),$C1979,LEFT($C1979,FIND(",",$C1979)-1))))</f>
        <v/>
      </c>
      <c r="M1979" s="28">
        <f>IF($H1979="","",DATE(YEAR($H1979),MONTH($H1979),1))</f>
        <v/>
      </c>
      <c r="N1979" s="26">
        <f>IF($H1979="","",TODAY()-$H1979)</f>
        <v/>
      </c>
      <c r="O1979" s="15" t="n"/>
      <c r="P1979" s="26">
        <f>IF($A1979="","",COUNTIFS('Audit Versions'!$A$6:$A$605,$A1979,'Audit Versions'!$L$6:$L$605,"Active"))</f>
        <v/>
      </c>
      <c r="Q1979" s="15" t="n"/>
      <c r="R1979" s="26">
        <f>IF(OR($A1979="",$P1979=0),"",MOD(N($Q1979),$P1979)+1)</f>
        <v/>
      </c>
      <c r="S1979" s="15" t="n"/>
      <c r="T1979" s="25" t="n"/>
      <c r="U1979" s="26">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Builder'!$B$12="",N($S1979)&lt;='Assignment Builder'!$B$12)))</f>
        <v/>
      </c>
      <c r="V1979" s="23" t="n"/>
    </row>
    <row r="1980">
      <c r="A1980" s="23" t="n"/>
      <c r="B1980" s="23" t="n"/>
      <c r="C1980" s="24" t="n"/>
      <c r="D1980" s="15" t="n"/>
      <c r="E1980" s="23" t="n"/>
      <c r="F1980" s="15" t="n"/>
      <c r="G1980" s="23" t="n"/>
      <c r="H1980" s="25" t="n"/>
      <c r="I1980" s="15" t="n"/>
      <c r="J1980" s="26">
        <f>IF($A1980="","",LEN($C1980)-LEN(SUBSTITUTE($C1980,",",""))+1)</f>
        <v/>
      </c>
      <c r="K1980" s="26">
        <f>IF($A1980="","",SUMPRODUCT(--ISNUMBER(SEARCH('Category Dictionary'!$D$5:$D$135&amp;"",$C1980)),--('Category Dictionary'!$D$5:$D$135&lt;&gt;"")))</f>
        <v/>
      </c>
      <c r="L1980" s="27">
        <f>IF($A1980="","",TRIM(IF(ISERROR(FIND(",",$C1980)),$C1980,LEFT($C1980,FIND(",",$C1980)-1))))</f>
        <v/>
      </c>
      <c r="M1980" s="28">
        <f>IF($H1980="","",DATE(YEAR($H1980),MONTH($H1980),1))</f>
        <v/>
      </c>
      <c r="N1980" s="26">
        <f>IF($H1980="","",TODAY()-$H1980)</f>
        <v/>
      </c>
      <c r="O1980" s="15" t="n"/>
      <c r="P1980" s="26">
        <f>IF($A1980="","",COUNTIFS('Audit Versions'!$A$6:$A$605,$A1980,'Audit Versions'!$L$6:$L$605,"Active"))</f>
        <v/>
      </c>
      <c r="Q1980" s="15" t="n"/>
      <c r="R1980" s="26">
        <f>IF(OR($A1980="",$P1980=0),"",MOD(N($Q1980),$P1980)+1)</f>
        <v/>
      </c>
      <c r="S1980" s="15" t="n"/>
      <c r="T1980" s="25" t="n"/>
      <c r="U1980" s="26">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Builder'!$B$12="",N($S1980)&lt;='Assignment Builder'!$B$12)))</f>
        <v/>
      </c>
      <c r="V1980" s="23" t="n"/>
    </row>
    <row r="1981">
      <c r="A1981" s="23" t="n"/>
      <c r="B1981" s="23" t="n"/>
      <c r="C1981" s="24" t="n"/>
      <c r="D1981" s="15" t="n"/>
      <c r="E1981" s="23" t="n"/>
      <c r="F1981" s="15" t="n"/>
      <c r="G1981" s="23" t="n"/>
      <c r="H1981" s="25" t="n"/>
      <c r="I1981" s="15" t="n"/>
      <c r="J1981" s="26">
        <f>IF($A1981="","",LEN($C1981)-LEN(SUBSTITUTE($C1981,",",""))+1)</f>
        <v/>
      </c>
      <c r="K1981" s="26">
        <f>IF($A1981="","",SUMPRODUCT(--ISNUMBER(SEARCH('Category Dictionary'!$D$5:$D$135&amp;"",$C1981)),--('Category Dictionary'!$D$5:$D$135&lt;&gt;"")))</f>
        <v/>
      </c>
      <c r="L1981" s="27">
        <f>IF($A1981="","",TRIM(IF(ISERROR(FIND(",",$C1981)),$C1981,LEFT($C1981,FIND(",",$C1981)-1))))</f>
        <v/>
      </c>
      <c r="M1981" s="28">
        <f>IF($H1981="","",DATE(YEAR($H1981),MONTH($H1981),1))</f>
        <v/>
      </c>
      <c r="N1981" s="26">
        <f>IF($H1981="","",TODAY()-$H1981)</f>
        <v/>
      </c>
      <c r="O1981" s="15" t="n"/>
      <c r="P1981" s="26">
        <f>IF($A1981="","",COUNTIFS('Audit Versions'!$A$6:$A$605,$A1981,'Audit Versions'!$L$6:$L$605,"Active"))</f>
        <v/>
      </c>
      <c r="Q1981" s="15" t="n"/>
      <c r="R1981" s="26">
        <f>IF(OR($A1981="",$P1981=0),"",MOD(N($Q1981),$P1981)+1)</f>
        <v/>
      </c>
      <c r="S1981" s="15" t="n"/>
      <c r="T1981" s="25" t="n"/>
      <c r="U1981" s="26">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Builder'!$B$12="",N($S1981)&lt;='Assignment Builder'!$B$12)))</f>
        <v/>
      </c>
      <c r="V1981" s="23" t="n"/>
    </row>
    <row r="1982">
      <c r="A1982" s="23" t="n"/>
      <c r="B1982" s="23" t="n"/>
      <c r="C1982" s="24" t="n"/>
      <c r="D1982" s="15" t="n"/>
      <c r="E1982" s="23" t="n"/>
      <c r="F1982" s="15" t="n"/>
      <c r="G1982" s="23" t="n"/>
      <c r="H1982" s="25" t="n"/>
      <c r="I1982" s="15" t="n"/>
      <c r="J1982" s="26">
        <f>IF($A1982="","",LEN($C1982)-LEN(SUBSTITUTE($C1982,",",""))+1)</f>
        <v/>
      </c>
      <c r="K1982" s="26">
        <f>IF($A1982="","",SUMPRODUCT(--ISNUMBER(SEARCH('Category Dictionary'!$D$5:$D$135&amp;"",$C1982)),--('Category Dictionary'!$D$5:$D$135&lt;&gt;"")))</f>
        <v/>
      </c>
      <c r="L1982" s="27">
        <f>IF($A1982="","",TRIM(IF(ISERROR(FIND(",",$C1982)),$C1982,LEFT($C1982,FIND(",",$C1982)-1))))</f>
        <v/>
      </c>
      <c r="M1982" s="28">
        <f>IF($H1982="","",DATE(YEAR($H1982),MONTH($H1982),1))</f>
        <v/>
      </c>
      <c r="N1982" s="26">
        <f>IF($H1982="","",TODAY()-$H1982)</f>
        <v/>
      </c>
      <c r="O1982" s="15" t="n"/>
      <c r="P1982" s="26">
        <f>IF($A1982="","",COUNTIFS('Audit Versions'!$A$6:$A$605,$A1982,'Audit Versions'!$L$6:$L$605,"Active"))</f>
        <v/>
      </c>
      <c r="Q1982" s="15" t="n"/>
      <c r="R1982" s="26">
        <f>IF(OR($A1982="",$P1982=0),"",MOD(N($Q1982),$P1982)+1)</f>
        <v/>
      </c>
      <c r="S1982" s="15" t="n"/>
      <c r="T1982" s="25" t="n"/>
      <c r="U1982" s="26">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Builder'!$B$12="",N($S1982)&lt;='Assignment Builder'!$B$12)))</f>
        <v/>
      </c>
      <c r="V1982" s="23" t="n"/>
    </row>
    <row r="1983">
      <c r="A1983" s="23" t="n"/>
      <c r="B1983" s="23" t="n"/>
      <c r="C1983" s="24" t="n"/>
      <c r="D1983" s="15" t="n"/>
      <c r="E1983" s="23" t="n"/>
      <c r="F1983" s="15" t="n"/>
      <c r="G1983" s="23" t="n"/>
      <c r="H1983" s="25" t="n"/>
      <c r="I1983" s="15" t="n"/>
      <c r="J1983" s="26">
        <f>IF($A1983="","",LEN($C1983)-LEN(SUBSTITUTE($C1983,",",""))+1)</f>
        <v/>
      </c>
      <c r="K1983" s="26">
        <f>IF($A1983="","",SUMPRODUCT(--ISNUMBER(SEARCH('Category Dictionary'!$D$5:$D$135&amp;"",$C1983)),--('Category Dictionary'!$D$5:$D$135&lt;&gt;"")))</f>
        <v/>
      </c>
      <c r="L1983" s="27">
        <f>IF($A1983="","",TRIM(IF(ISERROR(FIND(",",$C1983)),$C1983,LEFT($C1983,FIND(",",$C1983)-1))))</f>
        <v/>
      </c>
      <c r="M1983" s="28">
        <f>IF($H1983="","",DATE(YEAR($H1983),MONTH($H1983),1))</f>
        <v/>
      </c>
      <c r="N1983" s="26">
        <f>IF($H1983="","",TODAY()-$H1983)</f>
        <v/>
      </c>
      <c r="O1983" s="15" t="n"/>
      <c r="P1983" s="26">
        <f>IF($A1983="","",COUNTIFS('Audit Versions'!$A$6:$A$605,$A1983,'Audit Versions'!$L$6:$L$605,"Active"))</f>
        <v/>
      </c>
      <c r="Q1983" s="15" t="n"/>
      <c r="R1983" s="26">
        <f>IF(OR($A1983="",$P1983=0),"",MOD(N($Q1983),$P1983)+1)</f>
        <v/>
      </c>
      <c r="S1983" s="15" t="n"/>
      <c r="T1983" s="25" t="n"/>
      <c r="U1983" s="26">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Builder'!$B$12="",N($S1983)&lt;='Assignment Builder'!$B$12)))</f>
        <v/>
      </c>
      <c r="V1983" s="23" t="n"/>
    </row>
    <row r="1984">
      <c r="A1984" s="23" t="n"/>
      <c r="B1984" s="23" t="n"/>
      <c r="C1984" s="24" t="n"/>
      <c r="D1984" s="15" t="n"/>
      <c r="E1984" s="23" t="n"/>
      <c r="F1984" s="15" t="n"/>
      <c r="G1984" s="23" t="n"/>
      <c r="H1984" s="25" t="n"/>
      <c r="I1984" s="15" t="n"/>
      <c r="J1984" s="26">
        <f>IF($A1984="","",LEN($C1984)-LEN(SUBSTITUTE($C1984,",",""))+1)</f>
        <v/>
      </c>
      <c r="K1984" s="26">
        <f>IF($A1984="","",SUMPRODUCT(--ISNUMBER(SEARCH('Category Dictionary'!$D$5:$D$135&amp;"",$C1984)),--('Category Dictionary'!$D$5:$D$135&lt;&gt;"")))</f>
        <v/>
      </c>
      <c r="L1984" s="27">
        <f>IF($A1984="","",TRIM(IF(ISERROR(FIND(",",$C1984)),$C1984,LEFT($C1984,FIND(",",$C1984)-1))))</f>
        <v/>
      </c>
      <c r="M1984" s="28">
        <f>IF($H1984="","",DATE(YEAR($H1984),MONTH($H1984),1))</f>
        <v/>
      </c>
      <c r="N1984" s="26">
        <f>IF($H1984="","",TODAY()-$H1984)</f>
        <v/>
      </c>
      <c r="O1984" s="15" t="n"/>
      <c r="P1984" s="26">
        <f>IF($A1984="","",COUNTIFS('Audit Versions'!$A$6:$A$605,$A1984,'Audit Versions'!$L$6:$L$605,"Active"))</f>
        <v/>
      </c>
      <c r="Q1984" s="15" t="n"/>
      <c r="R1984" s="26">
        <f>IF(OR($A1984="",$P1984=0),"",MOD(N($Q1984),$P1984)+1)</f>
        <v/>
      </c>
      <c r="S1984" s="15" t="n"/>
      <c r="T1984" s="25" t="n"/>
      <c r="U1984" s="26">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Builder'!$B$12="",N($S1984)&lt;='Assignment Builder'!$B$12)))</f>
        <v/>
      </c>
      <c r="V1984" s="23" t="n"/>
    </row>
    <row r="1985">
      <c r="A1985" s="23" t="n"/>
      <c r="B1985" s="23" t="n"/>
      <c r="C1985" s="24" t="n"/>
      <c r="D1985" s="15" t="n"/>
      <c r="E1985" s="23" t="n"/>
      <c r="F1985" s="15" t="n"/>
      <c r="G1985" s="23" t="n"/>
      <c r="H1985" s="25" t="n"/>
      <c r="I1985" s="15" t="n"/>
      <c r="J1985" s="26">
        <f>IF($A1985="","",LEN($C1985)-LEN(SUBSTITUTE($C1985,",",""))+1)</f>
        <v/>
      </c>
      <c r="K1985" s="26">
        <f>IF($A1985="","",SUMPRODUCT(--ISNUMBER(SEARCH('Category Dictionary'!$D$5:$D$135&amp;"",$C1985)),--('Category Dictionary'!$D$5:$D$135&lt;&gt;"")))</f>
        <v/>
      </c>
      <c r="L1985" s="27">
        <f>IF($A1985="","",TRIM(IF(ISERROR(FIND(",",$C1985)),$C1985,LEFT($C1985,FIND(",",$C1985)-1))))</f>
        <v/>
      </c>
      <c r="M1985" s="28">
        <f>IF($H1985="","",DATE(YEAR($H1985),MONTH($H1985),1))</f>
        <v/>
      </c>
      <c r="N1985" s="26">
        <f>IF($H1985="","",TODAY()-$H1985)</f>
        <v/>
      </c>
      <c r="O1985" s="15" t="n"/>
      <c r="P1985" s="26">
        <f>IF($A1985="","",COUNTIFS('Audit Versions'!$A$6:$A$605,$A1985,'Audit Versions'!$L$6:$L$605,"Active"))</f>
        <v/>
      </c>
      <c r="Q1985" s="15" t="n"/>
      <c r="R1985" s="26">
        <f>IF(OR($A1985="",$P1985=0),"",MOD(N($Q1985),$P1985)+1)</f>
        <v/>
      </c>
      <c r="S1985" s="15" t="n"/>
      <c r="T1985" s="25" t="n"/>
      <c r="U1985" s="26">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Builder'!$B$12="",N($S1985)&lt;='Assignment Builder'!$B$12)))</f>
        <v/>
      </c>
      <c r="V1985" s="23" t="n"/>
    </row>
    <row r="1986">
      <c r="A1986" s="23" t="n"/>
      <c r="B1986" s="23" t="n"/>
      <c r="C1986" s="24" t="n"/>
      <c r="D1986" s="15" t="n"/>
      <c r="E1986" s="23" t="n"/>
      <c r="F1986" s="15" t="n"/>
      <c r="G1986" s="23" t="n"/>
      <c r="H1986" s="25" t="n"/>
      <c r="I1986" s="15" t="n"/>
      <c r="J1986" s="26">
        <f>IF($A1986="","",LEN($C1986)-LEN(SUBSTITUTE($C1986,",",""))+1)</f>
        <v/>
      </c>
      <c r="K1986" s="26">
        <f>IF($A1986="","",SUMPRODUCT(--ISNUMBER(SEARCH('Category Dictionary'!$D$5:$D$135&amp;"",$C1986)),--('Category Dictionary'!$D$5:$D$135&lt;&gt;"")))</f>
        <v/>
      </c>
      <c r="L1986" s="27">
        <f>IF($A1986="","",TRIM(IF(ISERROR(FIND(",",$C1986)),$C1986,LEFT($C1986,FIND(",",$C1986)-1))))</f>
        <v/>
      </c>
      <c r="M1986" s="28">
        <f>IF($H1986="","",DATE(YEAR($H1986),MONTH($H1986),1))</f>
        <v/>
      </c>
      <c r="N1986" s="26">
        <f>IF($H1986="","",TODAY()-$H1986)</f>
        <v/>
      </c>
      <c r="O1986" s="15" t="n"/>
      <c r="P1986" s="26">
        <f>IF($A1986="","",COUNTIFS('Audit Versions'!$A$6:$A$605,$A1986,'Audit Versions'!$L$6:$L$605,"Active"))</f>
        <v/>
      </c>
      <c r="Q1986" s="15" t="n"/>
      <c r="R1986" s="26">
        <f>IF(OR($A1986="",$P1986=0),"",MOD(N($Q1986),$P1986)+1)</f>
        <v/>
      </c>
      <c r="S1986" s="15" t="n"/>
      <c r="T1986" s="25" t="n"/>
      <c r="U1986" s="26">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Builder'!$B$12="",N($S1986)&lt;='Assignment Builder'!$B$12)))</f>
        <v/>
      </c>
      <c r="V1986" s="23" t="n"/>
    </row>
    <row r="1987">
      <c r="A1987" s="23" t="n"/>
      <c r="B1987" s="23" t="n"/>
      <c r="C1987" s="24" t="n"/>
      <c r="D1987" s="15" t="n"/>
      <c r="E1987" s="23" t="n"/>
      <c r="F1987" s="15" t="n"/>
      <c r="G1987" s="23" t="n"/>
      <c r="H1987" s="25" t="n"/>
      <c r="I1987" s="15" t="n"/>
      <c r="J1987" s="26">
        <f>IF($A1987="","",LEN($C1987)-LEN(SUBSTITUTE($C1987,",",""))+1)</f>
        <v/>
      </c>
      <c r="K1987" s="26">
        <f>IF($A1987="","",SUMPRODUCT(--ISNUMBER(SEARCH('Category Dictionary'!$D$5:$D$135&amp;"",$C1987)),--('Category Dictionary'!$D$5:$D$135&lt;&gt;"")))</f>
        <v/>
      </c>
      <c r="L1987" s="27">
        <f>IF($A1987="","",TRIM(IF(ISERROR(FIND(",",$C1987)),$C1987,LEFT($C1987,FIND(",",$C1987)-1))))</f>
        <v/>
      </c>
      <c r="M1987" s="28">
        <f>IF($H1987="","",DATE(YEAR($H1987),MONTH($H1987),1))</f>
        <v/>
      </c>
      <c r="N1987" s="26">
        <f>IF($H1987="","",TODAY()-$H1987)</f>
        <v/>
      </c>
      <c r="O1987" s="15" t="n"/>
      <c r="P1987" s="26">
        <f>IF($A1987="","",COUNTIFS('Audit Versions'!$A$6:$A$605,$A1987,'Audit Versions'!$L$6:$L$605,"Active"))</f>
        <v/>
      </c>
      <c r="Q1987" s="15" t="n"/>
      <c r="R1987" s="26">
        <f>IF(OR($A1987="",$P1987=0),"",MOD(N($Q1987),$P1987)+1)</f>
        <v/>
      </c>
      <c r="S1987" s="15" t="n"/>
      <c r="T1987" s="25" t="n"/>
      <c r="U1987" s="26">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Builder'!$B$12="",N($S1987)&lt;='Assignment Builder'!$B$12)))</f>
        <v/>
      </c>
      <c r="V1987" s="23" t="n"/>
    </row>
    <row r="1988">
      <c r="A1988" s="23" t="n"/>
      <c r="B1988" s="23" t="n"/>
      <c r="C1988" s="24" t="n"/>
      <c r="D1988" s="15" t="n"/>
      <c r="E1988" s="23" t="n"/>
      <c r="F1988" s="15" t="n"/>
      <c r="G1988" s="23" t="n"/>
      <c r="H1988" s="25" t="n"/>
      <c r="I1988" s="15" t="n"/>
      <c r="J1988" s="26">
        <f>IF($A1988="","",LEN($C1988)-LEN(SUBSTITUTE($C1988,",",""))+1)</f>
        <v/>
      </c>
      <c r="K1988" s="26">
        <f>IF($A1988="","",SUMPRODUCT(--ISNUMBER(SEARCH('Category Dictionary'!$D$5:$D$135&amp;"",$C1988)),--('Category Dictionary'!$D$5:$D$135&lt;&gt;"")))</f>
        <v/>
      </c>
      <c r="L1988" s="27">
        <f>IF($A1988="","",TRIM(IF(ISERROR(FIND(",",$C1988)),$C1988,LEFT($C1988,FIND(",",$C1988)-1))))</f>
        <v/>
      </c>
      <c r="M1988" s="28">
        <f>IF($H1988="","",DATE(YEAR($H1988),MONTH($H1988),1))</f>
        <v/>
      </c>
      <c r="N1988" s="26">
        <f>IF($H1988="","",TODAY()-$H1988)</f>
        <v/>
      </c>
      <c r="O1988" s="15" t="n"/>
      <c r="P1988" s="26">
        <f>IF($A1988="","",COUNTIFS('Audit Versions'!$A$6:$A$605,$A1988,'Audit Versions'!$L$6:$L$605,"Active"))</f>
        <v/>
      </c>
      <c r="Q1988" s="15" t="n"/>
      <c r="R1988" s="26">
        <f>IF(OR($A1988="",$P1988=0),"",MOD(N($Q1988),$P1988)+1)</f>
        <v/>
      </c>
      <c r="S1988" s="15" t="n"/>
      <c r="T1988" s="25" t="n"/>
      <c r="U1988" s="26">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Builder'!$B$12="",N($S1988)&lt;='Assignment Builder'!$B$12)))</f>
        <v/>
      </c>
      <c r="V1988" s="23" t="n"/>
    </row>
    <row r="1989">
      <c r="A1989" s="23" t="n"/>
      <c r="B1989" s="23" t="n"/>
      <c r="C1989" s="24" t="n"/>
      <c r="D1989" s="15" t="n"/>
      <c r="E1989" s="23" t="n"/>
      <c r="F1989" s="15" t="n"/>
      <c r="G1989" s="23" t="n"/>
      <c r="H1989" s="25" t="n"/>
      <c r="I1989" s="15" t="n"/>
      <c r="J1989" s="26">
        <f>IF($A1989="","",LEN($C1989)-LEN(SUBSTITUTE($C1989,",",""))+1)</f>
        <v/>
      </c>
      <c r="K1989" s="26">
        <f>IF($A1989="","",SUMPRODUCT(--ISNUMBER(SEARCH('Category Dictionary'!$D$5:$D$135&amp;"",$C1989)),--('Category Dictionary'!$D$5:$D$135&lt;&gt;"")))</f>
        <v/>
      </c>
      <c r="L1989" s="27">
        <f>IF($A1989="","",TRIM(IF(ISERROR(FIND(",",$C1989)),$C1989,LEFT($C1989,FIND(",",$C1989)-1))))</f>
        <v/>
      </c>
      <c r="M1989" s="28">
        <f>IF($H1989="","",DATE(YEAR($H1989),MONTH($H1989),1))</f>
        <v/>
      </c>
      <c r="N1989" s="26">
        <f>IF($H1989="","",TODAY()-$H1989)</f>
        <v/>
      </c>
      <c r="O1989" s="15" t="n"/>
      <c r="P1989" s="26">
        <f>IF($A1989="","",COUNTIFS('Audit Versions'!$A$6:$A$605,$A1989,'Audit Versions'!$L$6:$L$605,"Active"))</f>
        <v/>
      </c>
      <c r="Q1989" s="15" t="n"/>
      <c r="R1989" s="26">
        <f>IF(OR($A1989="",$P1989=0),"",MOD(N($Q1989),$P1989)+1)</f>
        <v/>
      </c>
      <c r="S1989" s="15" t="n"/>
      <c r="T1989" s="25" t="n"/>
      <c r="U1989" s="26">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Builder'!$B$12="",N($S1989)&lt;='Assignment Builder'!$B$12)))</f>
        <v/>
      </c>
      <c r="V1989" s="23" t="n"/>
    </row>
    <row r="1990">
      <c r="A1990" s="23" t="n"/>
      <c r="B1990" s="23" t="n"/>
      <c r="C1990" s="24" t="n"/>
      <c r="D1990" s="15" t="n"/>
      <c r="E1990" s="23" t="n"/>
      <c r="F1990" s="15" t="n"/>
      <c r="G1990" s="23" t="n"/>
      <c r="H1990" s="25" t="n"/>
      <c r="I1990" s="15" t="n"/>
      <c r="J1990" s="26">
        <f>IF($A1990="","",LEN($C1990)-LEN(SUBSTITUTE($C1990,",",""))+1)</f>
        <v/>
      </c>
      <c r="K1990" s="26">
        <f>IF($A1990="","",SUMPRODUCT(--ISNUMBER(SEARCH('Category Dictionary'!$D$5:$D$135&amp;"",$C1990)),--('Category Dictionary'!$D$5:$D$135&lt;&gt;"")))</f>
        <v/>
      </c>
      <c r="L1990" s="27">
        <f>IF($A1990="","",TRIM(IF(ISERROR(FIND(",",$C1990)),$C1990,LEFT($C1990,FIND(",",$C1990)-1))))</f>
        <v/>
      </c>
      <c r="M1990" s="28">
        <f>IF($H1990="","",DATE(YEAR($H1990),MONTH($H1990),1))</f>
        <v/>
      </c>
      <c r="N1990" s="26">
        <f>IF($H1990="","",TODAY()-$H1990)</f>
        <v/>
      </c>
      <c r="O1990" s="15" t="n"/>
      <c r="P1990" s="26">
        <f>IF($A1990="","",COUNTIFS('Audit Versions'!$A$6:$A$605,$A1990,'Audit Versions'!$L$6:$L$605,"Active"))</f>
        <v/>
      </c>
      <c r="Q1990" s="15" t="n"/>
      <c r="R1990" s="26">
        <f>IF(OR($A1990="",$P1990=0),"",MOD(N($Q1990),$P1990)+1)</f>
        <v/>
      </c>
      <c r="S1990" s="15" t="n"/>
      <c r="T1990" s="25" t="n"/>
      <c r="U1990" s="26">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Builder'!$B$12="",N($S1990)&lt;='Assignment Builder'!$B$12)))</f>
        <v/>
      </c>
      <c r="V1990" s="23" t="n"/>
    </row>
    <row r="1991">
      <c r="A1991" s="23" t="n"/>
      <c r="B1991" s="23" t="n"/>
      <c r="C1991" s="24" t="n"/>
      <c r="D1991" s="15" t="n"/>
      <c r="E1991" s="23" t="n"/>
      <c r="F1991" s="15" t="n"/>
      <c r="G1991" s="23" t="n"/>
      <c r="H1991" s="25" t="n"/>
      <c r="I1991" s="15" t="n"/>
      <c r="J1991" s="26">
        <f>IF($A1991="","",LEN($C1991)-LEN(SUBSTITUTE($C1991,",",""))+1)</f>
        <v/>
      </c>
      <c r="K1991" s="26">
        <f>IF($A1991="","",SUMPRODUCT(--ISNUMBER(SEARCH('Category Dictionary'!$D$5:$D$135&amp;"",$C1991)),--('Category Dictionary'!$D$5:$D$135&lt;&gt;"")))</f>
        <v/>
      </c>
      <c r="L1991" s="27">
        <f>IF($A1991="","",TRIM(IF(ISERROR(FIND(",",$C1991)),$C1991,LEFT($C1991,FIND(",",$C1991)-1))))</f>
        <v/>
      </c>
      <c r="M1991" s="28">
        <f>IF($H1991="","",DATE(YEAR($H1991),MONTH($H1991),1))</f>
        <v/>
      </c>
      <c r="N1991" s="26">
        <f>IF($H1991="","",TODAY()-$H1991)</f>
        <v/>
      </c>
      <c r="O1991" s="15" t="n"/>
      <c r="P1991" s="26">
        <f>IF($A1991="","",COUNTIFS('Audit Versions'!$A$6:$A$605,$A1991,'Audit Versions'!$L$6:$L$605,"Active"))</f>
        <v/>
      </c>
      <c r="Q1991" s="15" t="n"/>
      <c r="R1991" s="26">
        <f>IF(OR($A1991="",$P1991=0),"",MOD(N($Q1991),$P1991)+1)</f>
        <v/>
      </c>
      <c r="S1991" s="15" t="n"/>
      <c r="T1991" s="25" t="n"/>
      <c r="U1991" s="26">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Builder'!$B$12="",N($S1991)&lt;='Assignment Builder'!$B$12)))</f>
        <v/>
      </c>
      <c r="V1991" s="23" t="n"/>
    </row>
    <row r="1992">
      <c r="A1992" s="23" t="n"/>
      <c r="B1992" s="23" t="n"/>
      <c r="C1992" s="24" t="n"/>
      <c r="D1992" s="15" t="n"/>
      <c r="E1992" s="23" t="n"/>
      <c r="F1992" s="15" t="n"/>
      <c r="G1992" s="23" t="n"/>
      <c r="H1992" s="25" t="n"/>
      <c r="I1992" s="15" t="n"/>
      <c r="J1992" s="26">
        <f>IF($A1992="","",LEN($C1992)-LEN(SUBSTITUTE($C1992,",",""))+1)</f>
        <v/>
      </c>
      <c r="K1992" s="26">
        <f>IF($A1992="","",SUMPRODUCT(--ISNUMBER(SEARCH('Category Dictionary'!$D$5:$D$135&amp;"",$C1992)),--('Category Dictionary'!$D$5:$D$135&lt;&gt;"")))</f>
        <v/>
      </c>
      <c r="L1992" s="27">
        <f>IF($A1992="","",TRIM(IF(ISERROR(FIND(",",$C1992)),$C1992,LEFT($C1992,FIND(",",$C1992)-1))))</f>
        <v/>
      </c>
      <c r="M1992" s="28">
        <f>IF($H1992="","",DATE(YEAR($H1992),MONTH($H1992),1))</f>
        <v/>
      </c>
      <c r="N1992" s="26">
        <f>IF($H1992="","",TODAY()-$H1992)</f>
        <v/>
      </c>
      <c r="O1992" s="15" t="n"/>
      <c r="P1992" s="26">
        <f>IF($A1992="","",COUNTIFS('Audit Versions'!$A$6:$A$605,$A1992,'Audit Versions'!$L$6:$L$605,"Active"))</f>
        <v/>
      </c>
      <c r="Q1992" s="15" t="n"/>
      <c r="R1992" s="26">
        <f>IF(OR($A1992="",$P1992=0),"",MOD(N($Q1992),$P1992)+1)</f>
        <v/>
      </c>
      <c r="S1992" s="15" t="n"/>
      <c r="T1992" s="25" t="n"/>
      <c r="U1992" s="26">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Builder'!$B$12="",N($S1992)&lt;='Assignment Builder'!$B$12)))</f>
        <v/>
      </c>
      <c r="V1992" s="23" t="n"/>
    </row>
    <row r="1993">
      <c r="A1993" s="23" t="n"/>
      <c r="B1993" s="23" t="n"/>
      <c r="C1993" s="24" t="n"/>
      <c r="D1993" s="15" t="n"/>
      <c r="E1993" s="23" t="n"/>
      <c r="F1993" s="15" t="n"/>
      <c r="G1993" s="23" t="n"/>
      <c r="H1993" s="25" t="n"/>
      <c r="I1993" s="15" t="n"/>
      <c r="J1993" s="26">
        <f>IF($A1993="","",LEN($C1993)-LEN(SUBSTITUTE($C1993,",",""))+1)</f>
        <v/>
      </c>
      <c r="K1993" s="26">
        <f>IF($A1993="","",SUMPRODUCT(--ISNUMBER(SEARCH('Category Dictionary'!$D$5:$D$135&amp;"",$C1993)),--('Category Dictionary'!$D$5:$D$135&lt;&gt;"")))</f>
        <v/>
      </c>
      <c r="L1993" s="27">
        <f>IF($A1993="","",TRIM(IF(ISERROR(FIND(",",$C1993)),$C1993,LEFT($C1993,FIND(",",$C1993)-1))))</f>
        <v/>
      </c>
      <c r="M1993" s="28">
        <f>IF($H1993="","",DATE(YEAR($H1993),MONTH($H1993),1))</f>
        <v/>
      </c>
      <c r="N1993" s="26">
        <f>IF($H1993="","",TODAY()-$H1993)</f>
        <v/>
      </c>
      <c r="O1993" s="15" t="n"/>
      <c r="P1993" s="26">
        <f>IF($A1993="","",COUNTIFS('Audit Versions'!$A$6:$A$605,$A1993,'Audit Versions'!$L$6:$L$605,"Active"))</f>
        <v/>
      </c>
      <c r="Q1993" s="15" t="n"/>
      <c r="R1993" s="26">
        <f>IF(OR($A1993="",$P1993=0),"",MOD(N($Q1993),$P1993)+1)</f>
        <v/>
      </c>
      <c r="S1993" s="15" t="n"/>
      <c r="T1993" s="25" t="n"/>
      <c r="U1993" s="26">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Builder'!$B$12="",N($S1993)&lt;='Assignment Builder'!$B$12)))</f>
        <v/>
      </c>
      <c r="V1993" s="23" t="n"/>
    </row>
    <row r="1994">
      <c r="A1994" s="23" t="n"/>
      <c r="B1994" s="23" t="n"/>
      <c r="C1994" s="24" t="n"/>
      <c r="D1994" s="15" t="n"/>
      <c r="E1994" s="23" t="n"/>
      <c r="F1994" s="15" t="n"/>
      <c r="G1994" s="23" t="n"/>
      <c r="H1994" s="25" t="n"/>
      <c r="I1994" s="15" t="n"/>
      <c r="J1994" s="26">
        <f>IF($A1994="","",LEN($C1994)-LEN(SUBSTITUTE($C1994,",",""))+1)</f>
        <v/>
      </c>
      <c r="K1994" s="26">
        <f>IF($A1994="","",SUMPRODUCT(--ISNUMBER(SEARCH('Category Dictionary'!$D$5:$D$135&amp;"",$C1994)),--('Category Dictionary'!$D$5:$D$135&lt;&gt;"")))</f>
        <v/>
      </c>
      <c r="L1994" s="27">
        <f>IF($A1994="","",TRIM(IF(ISERROR(FIND(",",$C1994)),$C1994,LEFT($C1994,FIND(",",$C1994)-1))))</f>
        <v/>
      </c>
      <c r="M1994" s="28">
        <f>IF($H1994="","",DATE(YEAR($H1994),MONTH($H1994),1))</f>
        <v/>
      </c>
      <c r="N1994" s="26">
        <f>IF($H1994="","",TODAY()-$H1994)</f>
        <v/>
      </c>
      <c r="O1994" s="15" t="n"/>
      <c r="P1994" s="26">
        <f>IF($A1994="","",COUNTIFS('Audit Versions'!$A$6:$A$605,$A1994,'Audit Versions'!$L$6:$L$605,"Active"))</f>
        <v/>
      </c>
      <c r="Q1994" s="15" t="n"/>
      <c r="R1994" s="26">
        <f>IF(OR($A1994="",$P1994=0),"",MOD(N($Q1994),$P1994)+1)</f>
        <v/>
      </c>
      <c r="S1994" s="15" t="n"/>
      <c r="T1994" s="25" t="n"/>
      <c r="U1994" s="26">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Builder'!$B$12="",N($S1994)&lt;='Assignment Builder'!$B$12)))</f>
        <v/>
      </c>
      <c r="V1994" s="23" t="n"/>
    </row>
    <row r="1995">
      <c r="A1995" s="23" t="n"/>
      <c r="B1995" s="23" t="n"/>
      <c r="C1995" s="24" t="n"/>
      <c r="D1995" s="15" t="n"/>
      <c r="E1995" s="23" t="n"/>
      <c r="F1995" s="15" t="n"/>
      <c r="G1995" s="23" t="n"/>
      <c r="H1995" s="25" t="n"/>
      <c r="I1995" s="15" t="n"/>
      <c r="J1995" s="26">
        <f>IF($A1995="","",LEN($C1995)-LEN(SUBSTITUTE($C1995,",",""))+1)</f>
        <v/>
      </c>
      <c r="K1995" s="26">
        <f>IF($A1995="","",SUMPRODUCT(--ISNUMBER(SEARCH('Category Dictionary'!$D$5:$D$135&amp;"",$C1995)),--('Category Dictionary'!$D$5:$D$135&lt;&gt;"")))</f>
        <v/>
      </c>
      <c r="L1995" s="27">
        <f>IF($A1995="","",TRIM(IF(ISERROR(FIND(",",$C1995)),$C1995,LEFT($C1995,FIND(",",$C1995)-1))))</f>
        <v/>
      </c>
      <c r="M1995" s="28">
        <f>IF($H1995="","",DATE(YEAR($H1995),MONTH($H1995),1))</f>
        <v/>
      </c>
      <c r="N1995" s="26">
        <f>IF($H1995="","",TODAY()-$H1995)</f>
        <v/>
      </c>
      <c r="O1995" s="15" t="n"/>
      <c r="P1995" s="26">
        <f>IF($A1995="","",COUNTIFS('Audit Versions'!$A$6:$A$605,$A1995,'Audit Versions'!$L$6:$L$605,"Active"))</f>
        <v/>
      </c>
      <c r="Q1995" s="15" t="n"/>
      <c r="R1995" s="26">
        <f>IF(OR($A1995="",$P1995=0),"",MOD(N($Q1995),$P1995)+1)</f>
        <v/>
      </c>
      <c r="S1995" s="15" t="n"/>
      <c r="T1995" s="25" t="n"/>
      <c r="U1995" s="26">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Builder'!$B$12="",N($S1995)&lt;='Assignment Builder'!$B$12)))</f>
        <v/>
      </c>
      <c r="V1995" s="23" t="n"/>
    </row>
    <row r="1996">
      <c r="A1996" s="23" t="n"/>
      <c r="B1996" s="23" t="n"/>
      <c r="C1996" s="24" t="n"/>
      <c r="D1996" s="15" t="n"/>
      <c r="E1996" s="23" t="n"/>
      <c r="F1996" s="15" t="n"/>
      <c r="G1996" s="23" t="n"/>
      <c r="H1996" s="25" t="n"/>
      <c r="I1996" s="15" t="n"/>
      <c r="J1996" s="26">
        <f>IF($A1996="","",LEN($C1996)-LEN(SUBSTITUTE($C1996,",",""))+1)</f>
        <v/>
      </c>
      <c r="K1996" s="26">
        <f>IF($A1996="","",SUMPRODUCT(--ISNUMBER(SEARCH('Category Dictionary'!$D$5:$D$135&amp;"",$C1996)),--('Category Dictionary'!$D$5:$D$135&lt;&gt;"")))</f>
        <v/>
      </c>
      <c r="L1996" s="27">
        <f>IF($A1996="","",TRIM(IF(ISERROR(FIND(",",$C1996)),$C1996,LEFT($C1996,FIND(",",$C1996)-1))))</f>
        <v/>
      </c>
      <c r="M1996" s="28">
        <f>IF($H1996="","",DATE(YEAR($H1996),MONTH($H1996),1))</f>
        <v/>
      </c>
      <c r="N1996" s="26">
        <f>IF($H1996="","",TODAY()-$H1996)</f>
        <v/>
      </c>
      <c r="O1996" s="15" t="n"/>
      <c r="P1996" s="26">
        <f>IF($A1996="","",COUNTIFS('Audit Versions'!$A$6:$A$605,$A1996,'Audit Versions'!$L$6:$L$605,"Active"))</f>
        <v/>
      </c>
      <c r="Q1996" s="15" t="n"/>
      <c r="R1996" s="26">
        <f>IF(OR($A1996="",$P1996=0),"",MOD(N($Q1996),$P1996)+1)</f>
        <v/>
      </c>
      <c r="S1996" s="15" t="n"/>
      <c r="T1996" s="25" t="n"/>
      <c r="U1996" s="26">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Builder'!$B$12="",N($S1996)&lt;='Assignment Builder'!$B$12)))</f>
        <v/>
      </c>
      <c r="V1996" s="23" t="n"/>
    </row>
    <row r="1997">
      <c r="A1997" s="23" t="n"/>
      <c r="B1997" s="23" t="n"/>
      <c r="C1997" s="24" t="n"/>
      <c r="D1997" s="15" t="n"/>
      <c r="E1997" s="23" t="n"/>
      <c r="F1997" s="15" t="n"/>
      <c r="G1997" s="23" t="n"/>
      <c r="H1997" s="25" t="n"/>
      <c r="I1997" s="15" t="n"/>
      <c r="J1997" s="26">
        <f>IF($A1997="","",LEN($C1997)-LEN(SUBSTITUTE($C1997,",",""))+1)</f>
        <v/>
      </c>
      <c r="K1997" s="26">
        <f>IF($A1997="","",SUMPRODUCT(--ISNUMBER(SEARCH('Category Dictionary'!$D$5:$D$135&amp;"",$C1997)),--('Category Dictionary'!$D$5:$D$135&lt;&gt;"")))</f>
        <v/>
      </c>
      <c r="L1997" s="27">
        <f>IF($A1997="","",TRIM(IF(ISERROR(FIND(",",$C1997)),$C1997,LEFT($C1997,FIND(",",$C1997)-1))))</f>
        <v/>
      </c>
      <c r="M1997" s="28">
        <f>IF($H1997="","",DATE(YEAR($H1997),MONTH($H1997),1))</f>
        <v/>
      </c>
      <c r="N1997" s="26">
        <f>IF($H1997="","",TODAY()-$H1997)</f>
        <v/>
      </c>
      <c r="O1997" s="15" t="n"/>
      <c r="P1997" s="26">
        <f>IF($A1997="","",COUNTIFS('Audit Versions'!$A$6:$A$605,$A1997,'Audit Versions'!$L$6:$L$605,"Active"))</f>
        <v/>
      </c>
      <c r="Q1997" s="15" t="n"/>
      <c r="R1997" s="26">
        <f>IF(OR($A1997="",$P1997=0),"",MOD(N($Q1997),$P1997)+1)</f>
        <v/>
      </c>
      <c r="S1997" s="15" t="n"/>
      <c r="T1997" s="25" t="n"/>
      <c r="U1997" s="26">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Builder'!$B$12="",N($S1997)&lt;='Assignment Builder'!$B$12)))</f>
        <v/>
      </c>
      <c r="V1997" s="23" t="n"/>
    </row>
    <row r="1998">
      <c r="A1998" s="23" t="n"/>
      <c r="B1998" s="23" t="n"/>
      <c r="C1998" s="24" t="n"/>
      <c r="D1998" s="15" t="n"/>
      <c r="E1998" s="23" t="n"/>
      <c r="F1998" s="15" t="n"/>
      <c r="G1998" s="23" t="n"/>
      <c r="H1998" s="25" t="n"/>
      <c r="I1998" s="15" t="n"/>
      <c r="J1998" s="26">
        <f>IF($A1998="","",LEN($C1998)-LEN(SUBSTITUTE($C1998,",",""))+1)</f>
        <v/>
      </c>
      <c r="K1998" s="26">
        <f>IF($A1998="","",SUMPRODUCT(--ISNUMBER(SEARCH('Category Dictionary'!$D$5:$D$135&amp;"",$C1998)),--('Category Dictionary'!$D$5:$D$135&lt;&gt;"")))</f>
        <v/>
      </c>
      <c r="L1998" s="27">
        <f>IF($A1998="","",TRIM(IF(ISERROR(FIND(",",$C1998)),$C1998,LEFT($C1998,FIND(",",$C1998)-1))))</f>
        <v/>
      </c>
      <c r="M1998" s="28">
        <f>IF($H1998="","",DATE(YEAR($H1998),MONTH($H1998),1))</f>
        <v/>
      </c>
      <c r="N1998" s="26">
        <f>IF($H1998="","",TODAY()-$H1998)</f>
        <v/>
      </c>
      <c r="O1998" s="15" t="n"/>
      <c r="P1998" s="26">
        <f>IF($A1998="","",COUNTIFS('Audit Versions'!$A$6:$A$605,$A1998,'Audit Versions'!$L$6:$L$605,"Active"))</f>
        <v/>
      </c>
      <c r="Q1998" s="15" t="n"/>
      <c r="R1998" s="26">
        <f>IF(OR($A1998="",$P1998=0),"",MOD(N($Q1998),$P1998)+1)</f>
        <v/>
      </c>
      <c r="S1998" s="15" t="n"/>
      <c r="T1998" s="25" t="n"/>
      <c r="U1998" s="26">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Builder'!$B$12="",N($S1998)&lt;='Assignment Builder'!$B$12)))</f>
        <v/>
      </c>
      <c r="V1998" s="23" t="n"/>
    </row>
    <row r="1999">
      <c r="A1999" s="23" t="n"/>
      <c r="B1999" s="23" t="n"/>
      <c r="C1999" s="24" t="n"/>
      <c r="D1999" s="15" t="n"/>
      <c r="E1999" s="23" t="n"/>
      <c r="F1999" s="15" t="n"/>
      <c r="G1999" s="23" t="n"/>
      <c r="H1999" s="25" t="n"/>
      <c r="I1999" s="15" t="n"/>
      <c r="J1999" s="26">
        <f>IF($A1999="","",LEN($C1999)-LEN(SUBSTITUTE($C1999,",",""))+1)</f>
        <v/>
      </c>
      <c r="K1999" s="26">
        <f>IF($A1999="","",SUMPRODUCT(--ISNUMBER(SEARCH('Category Dictionary'!$D$5:$D$135&amp;"",$C1999)),--('Category Dictionary'!$D$5:$D$135&lt;&gt;"")))</f>
        <v/>
      </c>
      <c r="L1999" s="27">
        <f>IF($A1999="","",TRIM(IF(ISERROR(FIND(",",$C1999)),$C1999,LEFT($C1999,FIND(",",$C1999)-1))))</f>
        <v/>
      </c>
      <c r="M1999" s="28">
        <f>IF($H1999="","",DATE(YEAR($H1999),MONTH($H1999),1))</f>
        <v/>
      </c>
      <c r="N1999" s="26">
        <f>IF($H1999="","",TODAY()-$H1999)</f>
        <v/>
      </c>
      <c r="O1999" s="15" t="n"/>
      <c r="P1999" s="26">
        <f>IF($A1999="","",COUNTIFS('Audit Versions'!$A$6:$A$605,$A1999,'Audit Versions'!$L$6:$L$605,"Active"))</f>
        <v/>
      </c>
      <c r="Q1999" s="15" t="n"/>
      <c r="R1999" s="26">
        <f>IF(OR($A1999="",$P1999=0),"",MOD(N($Q1999),$P1999)+1)</f>
        <v/>
      </c>
      <c r="S1999" s="15" t="n"/>
      <c r="T1999" s="25" t="n"/>
      <c r="U1999" s="26">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Builder'!$B$12="",N($S1999)&lt;='Assignment Builder'!$B$12)))</f>
        <v/>
      </c>
      <c r="V1999" s="23" t="n"/>
    </row>
    <row r="2000">
      <c r="A2000" s="23" t="n"/>
      <c r="B2000" s="23" t="n"/>
      <c r="C2000" s="24" t="n"/>
      <c r="D2000" s="15" t="n"/>
      <c r="E2000" s="23" t="n"/>
      <c r="F2000" s="15" t="n"/>
      <c r="G2000" s="23" t="n"/>
      <c r="H2000" s="25" t="n"/>
      <c r="I2000" s="15" t="n"/>
      <c r="J2000" s="26">
        <f>IF($A2000="","",LEN($C2000)-LEN(SUBSTITUTE($C2000,",",""))+1)</f>
        <v/>
      </c>
      <c r="K2000" s="26">
        <f>IF($A2000="","",SUMPRODUCT(--ISNUMBER(SEARCH('Category Dictionary'!$D$5:$D$135&amp;"",$C2000)),--('Category Dictionary'!$D$5:$D$135&lt;&gt;"")))</f>
        <v/>
      </c>
      <c r="L2000" s="27">
        <f>IF($A2000="","",TRIM(IF(ISERROR(FIND(",",$C2000)),$C2000,LEFT($C2000,FIND(",",$C2000)-1))))</f>
        <v/>
      </c>
      <c r="M2000" s="28">
        <f>IF($H2000="","",DATE(YEAR($H2000),MONTH($H2000),1))</f>
        <v/>
      </c>
      <c r="N2000" s="26">
        <f>IF($H2000="","",TODAY()-$H2000)</f>
        <v/>
      </c>
      <c r="O2000" s="15" t="n"/>
      <c r="P2000" s="26">
        <f>IF($A2000="","",COUNTIFS('Audit Versions'!$A$6:$A$605,$A2000,'Audit Versions'!$L$6:$L$605,"Active"))</f>
        <v/>
      </c>
      <c r="Q2000" s="15" t="n"/>
      <c r="R2000" s="26">
        <f>IF(OR($A2000="",$P2000=0),"",MOD(N($Q2000),$P2000)+1)</f>
        <v/>
      </c>
      <c r="S2000" s="15" t="n"/>
      <c r="T2000" s="25" t="n"/>
      <c r="U2000" s="26">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Builder'!$B$12="",N($S2000)&lt;='Assignment Builder'!$B$12)))</f>
        <v/>
      </c>
      <c r="V2000" s="23" t="n"/>
    </row>
    <row r="2001">
      <c r="A2001" s="23" t="n"/>
      <c r="B2001" s="23" t="n"/>
      <c r="C2001" s="24" t="n"/>
      <c r="D2001" s="15" t="n"/>
      <c r="E2001" s="23" t="n"/>
      <c r="F2001" s="15" t="n"/>
      <c r="G2001" s="23" t="n"/>
      <c r="H2001" s="25" t="n"/>
      <c r="I2001" s="15" t="n"/>
      <c r="J2001" s="26">
        <f>IF($A2001="","",LEN($C2001)-LEN(SUBSTITUTE($C2001,",",""))+1)</f>
        <v/>
      </c>
      <c r="K2001" s="26">
        <f>IF($A2001="","",SUMPRODUCT(--ISNUMBER(SEARCH('Category Dictionary'!$D$5:$D$135&amp;"",$C2001)),--('Category Dictionary'!$D$5:$D$135&lt;&gt;"")))</f>
        <v/>
      </c>
      <c r="L2001" s="27">
        <f>IF($A2001="","",TRIM(IF(ISERROR(FIND(",",$C2001)),$C2001,LEFT($C2001,FIND(",",$C2001)-1))))</f>
        <v/>
      </c>
      <c r="M2001" s="28">
        <f>IF($H2001="","",DATE(YEAR($H2001),MONTH($H2001),1))</f>
        <v/>
      </c>
      <c r="N2001" s="26">
        <f>IF($H2001="","",TODAY()-$H2001)</f>
        <v/>
      </c>
      <c r="O2001" s="15" t="n"/>
      <c r="P2001" s="26">
        <f>IF($A2001="","",COUNTIFS('Audit Versions'!$A$6:$A$605,$A2001,'Audit Versions'!$L$6:$L$605,"Active"))</f>
        <v/>
      </c>
      <c r="Q2001" s="15" t="n"/>
      <c r="R2001" s="26">
        <f>IF(OR($A2001="",$P2001=0),"",MOD(N($Q2001),$P2001)+1)</f>
        <v/>
      </c>
      <c r="S2001" s="15" t="n"/>
      <c r="T2001" s="25" t="n"/>
      <c r="U2001" s="26">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Builder'!$B$12="",N($S2001)&lt;='Assignment Builder'!$B$12)))</f>
        <v/>
      </c>
      <c r="V2001" s="23" t="n"/>
    </row>
    <row r="2002">
      <c r="A2002" s="23" t="n"/>
      <c r="B2002" s="23" t="n"/>
      <c r="C2002" s="24" t="n"/>
      <c r="D2002" s="15" t="n"/>
      <c r="E2002" s="23" t="n"/>
      <c r="F2002" s="15" t="n"/>
      <c r="G2002" s="23" t="n"/>
      <c r="H2002" s="25" t="n"/>
      <c r="I2002" s="15" t="n"/>
      <c r="J2002" s="26">
        <f>IF($A2002="","",LEN($C2002)-LEN(SUBSTITUTE($C2002,",",""))+1)</f>
        <v/>
      </c>
      <c r="K2002" s="26">
        <f>IF($A2002="","",SUMPRODUCT(--ISNUMBER(SEARCH('Category Dictionary'!$D$5:$D$135&amp;"",$C2002)),--('Category Dictionary'!$D$5:$D$135&lt;&gt;"")))</f>
        <v/>
      </c>
      <c r="L2002" s="27">
        <f>IF($A2002="","",TRIM(IF(ISERROR(FIND(",",$C2002)),$C2002,LEFT($C2002,FIND(",",$C2002)-1))))</f>
        <v/>
      </c>
      <c r="M2002" s="28">
        <f>IF($H2002="","",DATE(YEAR($H2002),MONTH($H2002),1))</f>
        <v/>
      </c>
      <c r="N2002" s="26">
        <f>IF($H2002="","",TODAY()-$H2002)</f>
        <v/>
      </c>
      <c r="O2002" s="15" t="n"/>
      <c r="P2002" s="26">
        <f>IF($A2002="","",COUNTIFS('Audit Versions'!$A$6:$A$605,$A2002,'Audit Versions'!$L$6:$L$605,"Active"))</f>
        <v/>
      </c>
      <c r="Q2002" s="15" t="n"/>
      <c r="R2002" s="26">
        <f>IF(OR($A2002="",$P2002=0),"",MOD(N($Q2002),$P2002)+1)</f>
        <v/>
      </c>
      <c r="S2002" s="15" t="n"/>
      <c r="T2002" s="25" t="n"/>
      <c r="U2002" s="26">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Builder'!$B$12="",N($S2002)&lt;='Assignment Builder'!$B$12)))</f>
        <v/>
      </c>
      <c r="V2002" s="23" t="n"/>
    </row>
    <row r="2003">
      <c r="A2003" s="23" t="n"/>
      <c r="B2003" s="23" t="n"/>
      <c r="C2003" s="24" t="n"/>
      <c r="D2003" s="15" t="n"/>
      <c r="E2003" s="23" t="n"/>
      <c r="F2003" s="15" t="n"/>
      <c r="G2003" s="23" t="n"/>
      <c r="H2003" s="25" t="n"/>
      <c r="I2003" s="15" t="n"/>
      <c r="J2003" s="26">
        <f>IF($A2003="","",LEN($C2003)-LEN(SUBSTITUTE($C2003,",",""))+1)</f>
        <v/>
      </c>
      <c r="K2003" s="26">
        <f>IF($A2003="","",SUMPRODUCT(--ISNUMBER(SEARCH('Category Dictionary'!$D$5:$D$135&amp;"",$C2003)),--('Category Dictionary'!$D$5:$D$135&lt;&gt;"")))</f>
        <v/>
      </c>
      <c r="L2003" s="27">
        <f>IF($A2003="","",TRIM(IF(ISERROR(FIND(",",$C2003)),$C2003,LEFT($C2003,FIND(",",$C2003)-1))))</f>
        <v/>
      </c>
      <c r="M2003" s="28">
        <f>IF($H2003="","",DATE(YEAR($H2003),MONTH($H2003),1))</f>
        <v/>
      </c>
      <c r="N2003" s="26">
        <f>IF($H2003="","",TODAY()-$H2003)</f>
        <v/>
      </c>
      <c r="O2003" s="15" t="n"/>
      <c r="P2003" s="26">
        <f>IF($A2003="","",COUNTIFS('Audit Versions'!$A$6:$A$605,$A2003,'Audit Versions'!$L$6:$L$605,"Active"))</f>
        <v/>
      </c>
      <c r="Q2003" s="15" t="n"/>
      <c r="R2003" s="26">
        <f>IF(OR($A2003="",$P2003=0),"",MOD(N($Q2003),$P2003)+1)</f>
        <v/>
      </c>
      <c r="S2003" s="15" t="n"/>
      <c r="T2003" s="25" t="n"/>
      <c r="U2003" s="26">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Builder'!$B$12="",N($S2003)&lt;='Assignment Builder'!$B$12)))</f>
        <v/>
      </c>
      <c r="V2003" s="23" t="n"/>
    </row>
    <row r="2004">
      <c r="A2004" s="23" t="n"/>
      <c r="B2004" s="23" t="n"/>
      <c r="C2004" s="24" t="n"/>
      <c r="D2004" s="15" t="n"/>
      <c r="E2004" s="23" t="n"/>
      <c r="F2004" s="15" t="n"/>
      <c r="G2004" s="23" t="n"/>
      <c r="H2004" s="25" t="n"/>
      <c r="I2004" s="15" t="n"/>
      <c r="J2004" s="26">
        <f>IF($A2004="","",LEN($C2004)-LEN(SUBSTITUTE($C2004,",",""))+1)</f>
        <v/>
      </c>
      <c r="K2004" s="26">
        <f>IF($A2004="","",SUMPRODUCT(--ISNUMBER(SEARCH('Category Dictionary'!$D$5:$D$135&amp;"",$C2004)),--('Category Dictionary'!$D$5:$D$135&lt;&gt;"")))</f>
        <v/>
      </c>
      <c r="L2004" s="27">
        <f>IF($A2004="","",TRIM(IF(ISERROR(FIND(",",$C2004)),$C2004,LEFT($C2004,FIND(",",$C2004)-1))))</f>
        <v/>
      </c>
      <c r="M2004" s="28">
        <f>IF($H2004="","",DATE(YEAR($H2004),MONTH($H2004),1))</f>
        <v/>
      </c>
      <c r="N2004" s="26">
        <f>IF($H2004="","",TODAY()-$H2004)</f>
        <v/>
      </c>
      <c r="O2004" s="15" t="n"/>
      <c r="P2004" s="26">
        <f>IF($A2004="","",COUNTIFS('Audit Versions'!$A$6:$A$605,$A2004,'Audit Versions'!$L$6:$L$605,"Active"))</f>
        <v/>
      </c>
      <c r="Q2004" s="15" t="n"/>
      <c r="R2004" s="26">
        <f>IF(OR($A2004="",$P2004=0),"",MOD(N($Q2004),$P2004)+1)</f>
        <v/>
      </c>
      <c r="S2004" s="15" t="n"/>
      <c r="T2004" s="25" t="n"/>
      <c r="U2004" s="26">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Builder'!$B$12="",N($S2004)&lt;='Assignment Builder'!$B$12)))</f>
        <v/>
      </c>
      <c r="V2004" s="23" t="n"/>
    </row>
    <row r="2005">
      <c r="A2005" s="23" t="n"/>
      <c r="B2005" s="23" t="n"/>
      <c r="C2005" s="24" t="n"/>
      <c r="D2005" s="15" t="n"/>
      <c r="E2005" s="23" t="n"/>
      <c r="F2005" s="15" t="n"/>
      <c r="G2005" s="23" t="n"/>
      <c r="H2005" s="25" t="n"/>
      <c r="I2005" s="15" t="n"/>
      <c r="J2005" s="26">
        <f>IF($A2005="","",LEN($C2005)-LEN(SUBSTITUTE($C2005,",",""))+1)</f>
        <v/>
      </c>
      <c r="K2005" s="26">
        <f>IF($A2005="","",SUMPRODUCT(--ISNUMBER(SEARCH('Category Dictionary'!$D$5:$D$135&amp;"",$C2005)),--('Category Dictionary'!$D$5:$D$135&lt;&gt;"")))</f>
        <v/>
      </c>
      <c r="L2005" s="27">
        <f>IF($A2005="","",TRIM(IF(ISERROR(FIND(",",$C2005)),$C2005,LEFT($C2005,FIND(",",$C2005)-1))))</f>
        <v/>
      </c>
      <c r="M2005" s="28">
        <f>IF($H2005="","",DATE(YEAR($H2005),MONTH($H2005),1))</f>
        <v/>
      </c>
      <c r="N2005" s="26">
        <f>IF($H2005="","",TODAY()-$H2005)</f>
        <v/>
      </c>
      <c r="O2005" s="15" t="n"/>
      <c r="P2005" s="26">
        <f>IF($A2005="","",COUNTIFS('Audit Versions'!$A$6:$A$605,$A2005,'Audit Versions'!$L$6:$L$605,"Active"))</f>
        <v/>
      </c>
      <c r="Q2005" s="15" t="n"/>
      <c r="R2005" s="26">
        <f>IF(OR($A2005="",$P2005=0),"",MOD(N($Q2005),$P2005)+1)</f>
        <v/>
      </c>
      <c r="S2005" s="15" t="n"/>
      <c r="T2005" s="25" t="n"/>
      <c r="U2005" s="26">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Builder'!$B$12="",N($S2005)&lt;='Assignment Builder'!$B$12)))</f>
        <v/>
      </c>
      <c r="V2005" s="23" t="n"/>
    </row>
    <row r="2006">
      <c r="A2006" s="23" t="n"/>
      <c r="B2006" s="23" t="n"/>
      <c r="C2006" s="24" t="n"/>
      <c r="D2006" s="15" t="n"/>
      <c r="E2006" s="23" t="n"/>
      <c r="F2006" s="15" t="n"/>
      <c r="G2006" s="23" t="n"/>
      <c r="H2006" s="25" t="n"/>
      <c r="I2006" s="15" t="n"/>
      <c r="J2006" s="26">
        <f>IF($A2006="","",LEN($C2006)-LEN(SUBSTITUTE($C2006,",",""))+1)</f>
        <v/>
      </c>
      <c r="K2006" s="26">
        <f>IF($A2006="","",SUMPRODUCT(--ISNUMBER(SEARCH('Category Dictionary'!$D$5:$D$135&amp;"",$C2006)),--('Category Dictionary'!$D$5:$D$135&lt;&gt;"")))</f>
        <v/>
      </c>
      <c r="L2006" s="27">
        <f>IF($A2006="","",TRIM(IF(ISERROR(FIND(",",$C2006)),$C2006,LEFT($C2006,FIND(",",$C2006)-1))))</f>
        <v/>
      </c>
      <c r="M2006" s="28">
        <f>IF($H2006="","",DATE(YEAR($H2006),MONTH($H2006),1))</f>
        <v/>
      </c>
      <c r="N2006" s="26">
        <f>IF($H2006="","",TODAY()-$H2006)</f>
        <v/>
      </c>
      <c r="O2006" s="15" t="n"/>
      <c r="P2006" s="26">
        <f>IF($A2006="","",COUNTIFS('Audit Versions'!$A$6:$A$605,$A2006,'Audit Versions'!$L$6:$L$605,"Active"))</f>
        <v/>
      </c>
      <c r="Q2006" s="15" t="n"/>
      <c r="R2006" s="26">
        <f>IF(OR($A2006="",$P2006=0),"",MOD(N($Q2006),$P2006)+1)</f>
        <v/>
      </c>
      <c r="S2006" s="15" t="n"/>
      <c r="T2006" s="25" t="n"/>
      <c r="U2006" s="26">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Builder'!$B$12="",N($S2006)&lt;='Assignment Builder'!$B$12)))</f>
        <v/>
      </c>
      <c r="V2006" s="23" t="n"/>
    </row>
    <row r="2007">
      <c r="A2007" s="23" t="n"/>
      <c r="B2007" s="23" t="n"/>
      <c r="C2007" s="24" t="n"/>
      <c r="D2007" s="15" t="n"/>
      <c r="E2007" s="23" t="n"/>
      <c r="F2007" s="15" t="n"/>
      <c r="G2007" s="23" t="n"/>
      <c r="H2007" s="25" t="n"/>
      <c r="I2007" s="15" t="n"/>
      <c r="J2007" s="26">
        <f>IF($A2007="","",LEN($C2007)-LEN(SUBSTITUTE($C2007,",",""))+1)</f>
        <v/>
      </c>
      <c r="K2007" s="26">
        <f>IF($A2007="","",SUMPRODUCT(--ISNUMBER(SEARCH('Category Dictionary'!$D$5:$D$135&amp;"",$C2007)),--('Category Dictionary'!$D$5:$D$135&lt;&gt;"")))</f>
        <v/>
      </c>
      <c r="L2007" s="27">
        <f>IF($A2007="","",TRIM(IF(ISERROR(FIND(",",$C2007)),$C2007,LEFT($C2007,FIND(",",$C2007)-1))))</f>
        <v/>
      </c>
      <c r="M2007" s="28">
        <f>IF($H2007="","",DATE(YEAR($H2007),MONTH($H2007),1))</f>
        <v/>
      </c>
      <c r="N2007" s="26">
        <f>IF($H2007="","",TODAY()-$H2007)</f>
        <v/>
      </c>
      <c r="O2007" s="15" t="n"/>
      <c r="P2007" s="26">
        <f>IF($A2007="","",COUNTIFS('Audit Versions'!$A$6:$A$605,$A2007,'Audit Versions'!$L$6:$L$605,"Active"))</f>
        <v/>
      </c>
      <c r="Q2007" s="15" t="n"/>
      <c r="R2007" s="26">
        <f>IF(OR($A2007="",$P2007=0),"",MOD(N($Q2007),$P2007)+1)</f>
        <v/>
      </c>
      <c r="S2007" s="15" t="n"/>
      <c r="T2007" s="25" t="n"/>
      <c r="U2007" s="26">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Builder'!$B$12="",N($S2007)&lt;='Assignment Builder'!$B$12)))</f>
        <v/>
      </c>
      <c r="V2007" s="23" t="n"/>
    </row>
    <row r="2008">
      <c r="A2008" s="23" t="n"/>
      <c r="B2008" s="23" t="n"/>
      <c r="C2008" s="24" t="n"/>
      <c r="D2008" s="15" t="n"/>
      <c r="E2008" s="23" t="n"/>
      <c r="F2008" s="15" t="n"/>
      <c r="G2008" s="23" t="n"/>
      <c r="H2008" s="25" t="n"/>
      <c r="I2008" s="15" t="n"/>
      <c r="J2008" s="26">
        <f>IF($A2008="","",LEN($C2008)-LEN(SUBSTITUTE($C2008,",",""))+1)</f>
        <v/>
      </c>
      <c r="K2008" s="26">
        <f>IF($A2008="","",SUMPRODUCT(--ISNUMBER(SEARCH('Category Dictionary'!$D$5:$D$135&amp;"",$C2008)),--('Category Dictionary'!$D$5:$D$135&lt;&gt;"")))</f>
        <v/>
      </c>
      <c r="L2008" s="27">
        <f>IF($A2008="","",TRIM(IF(ISERROR(FIND(",",$C2008)),$C2008,LEFT($C2008,FIND(",",$C2008)-1))))</f>
        <v/>
      </c>
      <c r="M2008" s="28">
        <f>IF($H2008="","",DATE(YEAR($H2008),MONTH($H2008),1))</f>
        <v/>
      </c>
      <c r="N2008" s="26">
        <f>IF($H2008="","",TODAY()-$H2008)</f>
        <v/>
      </c>
      <c r="O2008" s="15" t="n"/>
      <c r="P2008" s="26">
        <f>IF($A2008="","",COUNTIFS('Audit Versions'!$A$6:$A$605,$A2008,'Audit Versions'!$L$6:$L$605,"Active"))</f>
        <v/>
      </c>
      <c r="Q2008" s="15" t="n"/>
      <c r="R2008" s="26">
        <f>IF(OR($A2008="",$P2008=0),"",MOD(N($Q2008),$P2008)+1)</f>
        <v/>
      </c>
      <c r="S2008" s="15" t="n"/>
      <c r="T2008" s="25" t="n"/>
      <c r="U2008" s="26">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Builder'!$B$12="",N($S2008)&lt;='Assignment Builder'!$B$12)))</f>
        <v/>
      </c>
      <c r="V2008" s="23" t="n"/>
    </row>
    <row r="2009">
      <c r="A2009" s="23" t="n"/>
      <c r="B2009" s="23" t="n"/>
      <c r="C2009" s="24" t="n"/>
      <c r="D2009" s="15" t="n"/>
      <c r="E2009" s="23" t="n"/>
      <c r="F2009" s="15" t="n"/>
      <c r="G2009" s="23" t="n"/>
      <c r="H2009" s="25" t="n"/>
      <c r="I2009" s="15" t="n"/>
      <c r="J2009" s="26">
        <f>IF($A2009="","",LEN($C2009)-LEN(SUBSTITUTE($C2009,",",""))+1)</f>
        <v/>
      </c>
      <c r="K2009" s="26">
        <f>IF($A2009="","",SUMPRODUCT(--ISNUMBER(SEARCH('Category Dictionary'!$D$5:$D$135&amp;"",$C2009)),--('Category Dictionary'!$D$5:$D$135&lt;&gt;"")))</f>
        <v/>
      </c>
      <c r="L2009" s="27">
        <f>IF($A2009="","",TRIM(IF(ISERROR(FIND(",",$C2009)),$C2009,LEFT($C2009,FIND(",",$C2009)-1))))</f>
        <v/>
      </c>
      <c r="M2009" s="28">
        <f>IF($H2009="","",DATE(YEAR($H2009),MONTH($H2009),1))</f>
        <v/>
      </c>
      <c r="N2009" s="26">
        <f>IF($H2009="","",TODAY()-$H2009)</f>
        <v/>
      </c>
      <c r="O2009" s="15" t="n"/>
      <c r="P2009" s="26">
        <f>IF($A2009="","",COUNTIFS('Audit Versions'!$A$6:$A$605,$A2009,'Audit Versions'!$L$6:$L$605,"Active"))</f>
        <v/>
      </c>
      <c r="Q2009" s="15" t="n"/>
      <c r="R2009" s="26">
        <f>IF(OR($A2009="",$P2009=0),"",MOD(N($Q2009),$P2009)+1)</f>
        <v/>
      </c>
      <c r="S2009" s="15" t="n"/>
      <c r="T2009" s="25" t="n"/>
      <c r="U2009" s="26">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Builder'!$B$12="",N($S2009)&lt;='Assignment Builder'!$B$12)))</f>
        <v/>
      </c>
      <c r="V2009" s="23" t="n"/>
    </row>
    <row r="2010">
      <c r="A2010" s="23" t="n"/>
      <c r="B2010" s="23" t="n"/>
      <c r="C2010" s="24" t="n"/>
      <c r="D2010" s="15" t="n"/>
      <c r="E2010" s="23" t="n"/>
      <c r="F2010" s="15" t="n"/>
      <c r="G2010" s="23" t="n"/>
      <c r="H2010" s="25" t="n"/>
      <c r="I2010" s="15" t="n"/>
      <c r="J2010" s="26">
        <f>IF($A2010="","",LEN($C2010)-LEN(SUBSTITUTE($C2010,",",""))+1)</f>
        <v/>
      </c>
      <c r="K2010" s="26">
        <f>IF($A2010="","",SUMPRODUCT(--ISNUMBER(SEARCH('Category Dictionary'!$D$5:$D$135&amp;"",$C2010)),--('Category Dictionary'!$D$5:$D$135&lt;&gt;"")))</f>
        <v/>
      </c>
      <c r="L2010" s="27">
        <f>IF($A2010="","",TRIM(IF(ISERROR(FIND(",",$C2010)),$C2010,LEFT($C2010,FIND(",",$C2010)-1))))</f>
        <v/>
      </c>
      <c r="M2010" s="28">
        <f>IF($H2010="","",DATE(YEAR($H2010),MONTH($H2010),1))</f>
        <v/>
      </c>
      <c r="N2010" s="26">
        <f>IF($H2010="","",TODAY()-$H2010)</f>
        <v/>
      </c>
      <c r="O2010" s="15" t="n"/>
      <c r="P2010" s="26">
        <f>IF($A2010="","",COUNTIFS('Audit Versions'!$A$6:$A$605,$A2010,'Audit Versions'!$L$6:$L$605,"Active"))</f>
        <v/>
      </c>
      <c r="Q2010" s="15" t="n"/>
      <c r="R2010" s="26">
        <f>IF(OR($A2010="",$P2010=0),"",MOD(N($Q2010),$P2010)+1)</f>
        <v/>
      </c>
      <c r="S2010" s="15" t="n"/>
      <c r="T2010" s="25" t="n"/>
      <c r="U2010" s="26">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Builder'!$B$12="",N($S2010)&lt;='Assignment Builder'!$B$12)))</f>
        <v/>
      </c>
      <c r="V2010" s="23" t="n"/>
    </row>
    <row r="2011">
      <c r="A2011" s="23" t="n"/>
      <c r="B2011" s="23" t="n"/>
      <c r="C2011" s="24" t="n"/>
      <c r="D2011" s="15" t="n"/>
      <c r="E2011" s="23" t="n"/>
      <c r="F2011" s="15" t="n"/>
      <c r="G2011" s="23" t="n"/>
      <c r="H2011" s="25" t="n"/>
      <c r="I2011" s="15" t="n"/>
      <c r="J2011" s="26">
        <f>IF($A2011="","",LEN($C2011)-LEN(SUBSTITUTE($C2011,",",""))+1)</f>
        <v/>
      </c>
      <c r="K2011" s="26">
        <f>IF($A2011="","",SUMPRODUCT(--ISNUMBER(SEARCH('Category Dictionary'!$D$5:$D$135&amp;"",$C2011)),--('Category Dictionary'!$D$5:$D$135&lt;&gt;"")))</f>
        <v/>
      </c>
      <c r="L2011" s="27">
        <f>IF($A2011="","",TRIM(IF(ISERROR(FIND(",",$C2011)),$C2011,LEFT($C2011,FIND(",",$C2011)-1))))</f>
        <v/>
      </c>
      <c r="M2011" s="28">
        <f>IF($H2011="","",DATE(YEAR($H2011),MONTH($H2011),1))</f>
        <v/>
      </c>
      <c r="N2011" s="26">
        <f>IF($H2011="","",TODAY()-$H2011)</f>
        <v/>
      </c>
      <c r="O2011" s="15" t="n"/>
      <c r="P2011" s="26">
        <f>IF($A2011="","",COUNTIFS('Audit Versions'!$A$6:$A$605,$A2011,'Audit Versions'!$L$6:$L$605,"Active"))</f>
        <v/>
      </c>
      <c r="Q2011" s="15" t="n"/>
      <c r="R2011" s="26">
        <f>IF(OR($A2011="",$P2011=0),"",MOD(N($Q2011),$P2011)+1)</f>
        <v/>
      </c>
      <c r="S2011" s="15" t="n"/>
      <c r="T2011" s="25" t="n"/>
      <c r="U2011" s="26">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Builder'!$B$12="",N($S2011)&lt;='Assignment Builder'!$B$12)))</f>
        <v/>
      </c>
      <c r="V2011" s="23" t="n"/>
    </row>
    <row r="2012">
      <c r="A2012" s="23" t="n"/>
      <c r="B2012" s="23" t="n"/>
      <c r="C2012" s="24" t="n"/>
      <c r="D2012" s="15" t="n"/>
      <c r="E2012" s="23" t="n"/>
      <c r="F2012" s="15" t="n"/>
      <c r="G2012" s="23" t="n"/>
      <c r="H2012" s="25" t="n"/>
      <c r="I2012" s="15" t="n"/>
      <c r="J2012" s="26">
        <f>IF($A2012="","",LEN($C2012)-LEN(SUBSTITUTE($C2012,",",""))+1)</f>
        <v/>
      </c>
      <c r="K2012" s="26">
        <f>IF($A2012="","",SUMPRODUCT(--ISNUMBER(SEARCH('Category Dictionary'!$D$5:$D$135&amp;"",$C2012)),--('Category Dictionary'!$D$5:$D$135&lt;&gt;"")))</f>
        <v/>
      </c>
      <c r="L2012" s="27">
        <f>IF($A2012="","",TRIM(IF(ISERROR(FIND(",",$C2012)),$C2012,LEFT($C2012,FIND(",",$C2012)-1))))</f>
        <v/>
      </c>
      <c r="M2012" s="28">
        <f>IF($H2012="","",DATE(YEAR($H2012),MONTH($H2012),1))</f>
        <v/>
      </c>
      <c r="N2012" s="26">
        <f>IF($H2012="","",TODAY()-$H2012)</f>
        <v/>
      </c>
      <c r="O2012" s="15" t="n"/>
      <c r="P2012" s="26">
        <f>IF($A2012="","",COUNTIFS('Audit Versions'!$A$6:$A$605,$A2012,'Audit Versions'!$L$6:$L$605,"Active"))</f>
        <v/>
      </c>
      <c r="Q2012" s="15" t="n"/>
      <c r="R2012" s="26">
        <f>IF(OR($A2012="",$P2012=0),"",MOD(N($Q2012),$P2012)+1)</f>
        <v/>
      </c>
      <c r="S2012" s="15" t="n"/>
      <c r="T2012" s="25" t="n"/>
      <c r="U2012" s="26">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Builder'!$B$12="",N($S2012)&lt;='Assignment Builder'!$B$12)))</f>
        <v/>
      </c>
      <c r="V2012" s="23" t="n"/>
    </row>
    <row r="2013">
      <c r="A2013" s="23" t="n"/>
      <c r="B2013" s="23" t="n"/>
      <c r="C2013" s="24" t="n"/>
      <c r="D2013" s="15" t="n"/>
      <c r="E2013" s="23" t="n"/>
      <c r="F2013" s="15" t="n"/>
      <c r="G2013" s="23" t="n"/>
      <c r="H2013" s="25" t="n"/>
      <c r="I2013" s="15" t="n"/>
      <c r="J2013" s="26">
        <f>IF($A2013="","",LEN($C2013)-LEN(SUBSTITUTE($C2013,",",""))+1)</f>
        <v/>
      </c>
      <c r="K2013" s="26">
        <f>IF($A2013="","",SUMPRODUCT(--ISNUMBER(SEARCH('Category Dictionary'!$D$5:$D$135&amp;"",$C2013)),--('Category Dictionary'!$D$5:$D$135&lt;&gt;"")))</f>
        <v/>
      </c>
      <c r="L2013" s="27">
        <f>IF($A2013="","",TRIM(IF(ISERROR(FIND(",",$C2013)),$C2013,LEFT($C2013,FIND(",",$C2013)-1))))</f>
        <v/>
      </c>
      <c r="M2013" s="28">
        <f>IF($H2013="","",DATE(YEAR($H2013),MONTH($H2013),1))</f>
        <v/>
      </c>
      <c r="N2013" s="26">
        <f>IF($H2013="","",TODAY()-$H2013)</f>
        <v/>
      </c>
      <c r="O2013" s="15" t="n"/>
      <c r="P2013" s="26">
        <f>IF($A2013="","",COUNTIFS('Audit Versions'!$A$6:$A$605,$A2013,'Audit Versions'!$L$6:$L$605,"Active"))</f>
        <v/>
      </c>
      <c r="Q2013" s="15" t="n"/>
      <c r="R2013" s="26">
        <f>IF(OR($A2013="",$P2013=0),"",MOD(N($Q2013),$P2013)+1)</f>
        <v/>
      </c>
      <c r="S2013" s="15" t="n"/>
      <c r="T2013" s="25" t="n"/>
      <c r="U2013" s="26">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Builder'!$B$12="",N($S2013)&lt;='Assignment Builder'!$B$12)))</f>
        <v/>
      </c>
      <c r="V2013" s="23" t="n"/>
    </row>
    <row r="2014">
      <c r="A2014" s="23" t="n"/>
      <c r="B2014" s="23" t="n"/>
      <c r="C2014" s="24" t="n"/>
      <c r="D2014" s="15" t="n"/>
      <c r="E2014" s="23" t="n"/>
      <c r="F2014" s="15" t="n"/>
      <c r="G2014" s="23" t="n"/>
      <c r="H2014" s="25" t="n"/>
      <c r="I2014" s="15" t="n"/>
      <c r="J2014" s="26">
        <f>IF($A2014="","",LEN($C2014)-LEN(SUBSTITUTE($C2014,",",""))+1)</f>
        <v/>
      </c>
      <c r="K2014" s="26">
        <f>IF($A2014="","",SUMPRODUCT(--ISNUMBER(SEARCH('Category Dictionary'!$D$5:$D$135&amp;"",$C2014)),--('Category Dictionary'!$D$5:$D$135&lt;&gt;"")))</f>
        <v/>
      </c>
      <c r="L2014" s="27">
        <f>IF($A2014="","",TRIM(IF(ISERROR(FIND(",",$C2014)),$C2014,LEFT($C2014,FIND(",",$C2014)-1))))</f>
        <v/>
      </c>
      <c r="M2014" s="28">
        <f>IF($H2014="","",DATE(YEAR($H2014),MONTH($H2014),1))</f>
        <v/>
      </c>
      <c r="N2014" s="26">
        <f>IF($H2014="","",TODAY()-$H2014)</f>
        <v/>
      </c>
      <c r="O2014" s="15" t="n"/>
      <c r="P2014" s="26">
        <f>IF($A2014="","",COUNTIFS('Audit Versions'!$A$6:$A$605,$A2014,'Audit Versions'!$L$6:$L$605,"Active"))</f>
        <v/>
      </c>
      <c r="Q2014" s="15" t="n"/>
      <c r="R2014" s="26">
        <f>IF(OR($A2014="",$P2014=0),"",MOD(N($Q2014),$P2014)+1)</f>
        <v/>
      </c>
      <c r="S2014" s="15" t="n"/>
      <c r="T2014" s="25" t="n"/>
      <c r="U2014" s="26">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Builder'!$B$12="",N($S2014)&lt;='Assignment Builder'!$B$12)))</f>
        <v/>
      </c>
      <c r="V2014" s="23" t="n"/>
    </row>
    <row r="2015">
      <c r="A2015" s="23" t="n"/>
      <c r="B2015" s="23" t="n"/>
      <c r="C2015" s="24" t="n"/>
      <c r="D2015" s="15" t="n"/>
      <c r="E2015" s="23" t="n"/>
      <c r="F2015" s="15" t="n"/>
      <c r="G2015" s="23" t="n"/>
      <c r="H2015" s="25" t="n"/>
      <c r="I2015" s="15" t="n"/>
      <c r="J2015" s="26">
        <f>IF($A2015="","",LEN($C2015)-LEN(SUBSTITUTE($C2015,",",""))+1)</f>
        <v/>
      </c>
      <c r="K2015" s="26">
        <f>IF($A2015="","",SUMPRODUCT(--ISNUMBER(SEARCH('Category Dictionary'!$D$5:$D$135&amp;"",$C2015)),--('Category Dictionary'!$D$5:$D$135&lt;&gt;"")))</f>
        <v/>
      </c>
      <c r="L2015" s="27">
        <f>IF($A2015="","",TRIM(IF(ISERROR(FIND(",",$C2015)),$C2015,LEFT($C2015,FIND(",",$C2015)-1))))</f>
        <v/>
      </c>
      <c r="M2015" s="28">
        <f>IF($H2015="","",DATE(YEAR($H2015),MONTH($H2015),1))</f>
        <v/>
      </c>
      <c r="N2015" s="26">
        <f>IF($H2015="","",TODAY()-$H2015)</f>
        <v/>
      </c>
      <c r="O2015" s="15" t="n"/>
      <c r="P2015" s="26">
        <f>IF($A2015="","",COUNTIFS('Audit Versions'!$A$6:$A$605,$A2015,'Audit Versions'!$L$6:$L$605,"Active"))</f>
        <v/>
      </c>
      <c r="Q2015" s="15" t="n"/>
      <c r="R2015" s="26">
        <f>IF(OR($A2015="",$P2015=0),"",MOD(N($Q2015),$P2015)+1)</f>
        <v/>
      </c>
      <c r="S2015" s="15" t="n"/>
      <c r="T2015" s="25" t="n"/>
      <c r="U2015" s="26">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Builder'!$B$12="",N($S2015)&lt;='Assignment Builder'!$B$12)))</f>
        <v/>
      </c>
      <c r="V2015" s="23" t="n"/>
    </row>
    <row r="2016">
      <c r="A2016" s="23" t="n"/>
      <c r="B2016" s="23" t="n"/>
      <c r="C2016" s="24" t="n"/>
      <c r="D2016" s="15" t="n"/>
      <c r="E2016" s="23" t="n"/>
      <c r="F2016" s="15" t="n"/>
      <c r="G2016" s="23" t="n"/>
      <c r="H2016" s="25" t="n"/>
      <c r="I2016" s="15" t="n"/>
      <c r="J2016" s="26">
        <f>IF($A2016="","",LEN($C2016)-LEN(SUBSTITUTE($C2016,",",""))+1)</f>
        <v/>
      </c>
      <c r="K2016" s="26">
        <f>IF($A2016="","",SUMPRODUCT(--ISNUMBER(SEARCH('Category Dictionary'!$D$5:$D$135&amp;"",$C2016)),--('Category Dictionary'!$D$5:$D$135&lt;&gt;"")))</f>
        <v/>
      </c>
      <c r="L2016" s="27">
        <f>IF($A2016="","",TRIM(IF(ISERROR(FIND(",",$C2016)),$C2016,LEFT($C2016,FIND(",",$C2016)-1))))</f>
        <v/>
      </c>
      <c r="M2016" s="28">
        <f>IF($H2016="","",DATE(YEAR($H2016),MONTH($H2016),1))</f>
        <v/>
      </c>
      <c r="N2016" s="26">
        <f>IF($H2016="","",TODAY()-$H2016)</f>
        <v/>
      </c>
      <c r="O2016" s="15" t="n"/>
      <c r="P2016" s="26">
        <f>IF($A2016="","",COUNTIFS('Audit Versions'!$A$6:$A$605,$A2016,'Audit Versions'!$L$6:$L$605,"Active"))</f>
        <v/>
      </c>
      <c r="Q2016" s="15" t="n"/>
      <c r="R2016" s="26">
        <f>IF(OR($A2016="",$P2016=0),"",MOD(N($Q2016),$P2016)+1)</f>
        <v/>
      </c>
      <c r="S2016" s="15" t="n"/>
      <c r="T2016" s="25" t="n"/>
      <c r="U2016" s="26">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Builder'!$B$12="",N($S2016)&lt;='Assignment Builder'!$B$12)))</f>
        <v/>
      </c>
      <c r="V2016" s="23" t="n"/>
    </row>
    <row r="2017">
      <c r="A2017" s="23" t="n"/>
      <c r="B2017" s="23" t="n"/>
      <c r="C2017" s="24" t="n"/>
      <c r="D2017" s="15" t="n"/>
      <c r="E2017" s="23" t="n"/>
      <c r="F2017" s="15" t="n"/>
      <c r="G2017" s="23" t="n"/>
      <c r="H2017" s="25" t="n"/>
      <c r="I2017" s="15" t="n"/>
      <c r="J2017" s="26">
        <f>IF($A2017="","",LEN($C2017)-LEN(SUBSTITUTE($C2017,",",""))+1)</f>
        <v/>
      </c>
      <c r="K2017" s="26">
        <f>IF($A2017="","",SUMPRODUCT(--ISNUMBER(SEARCH('Category Dictionary'!$D$5:$D$135&amp;"",$C2017)),--('Category Dictionary'!$D$5:$D$135&lt;&gt;"")))</f>
        <v/>
      </c>
      <c r="L2017" s="27">
        <f>IF($A2017="","",TRIM(IF(ISERROR(FIND(",",$C2017)),$C2017,LEFT($C2017,FIND(",",$C2017)-1))))</f>
        <v/>
      </c>
      <c r="M2017" s="28">
        <f>IF($H2017="","",DATE(YEAR($H2017),MONTH($H2017),1))</f>
        <v/>
      </c>
      <c r="N2017" s="26">
        <f>IF($H2017="","",TODAY()-$H2017)</f>
        <v/>
      </c>
      <c r="O2017" s="15" t="n"/>
      <c r="P2017" s="26">
        <f>IF($A2017="","",COUNTIFS('Audit Versions'!$A$6:$A$605,$A2017,'Audit Versions'!$L$6:$L$605,"Active"))</f>
        <v/>
      </c>
      <c r="Q2017" s="15" t="n"/>
      <c r="R2017" s="26">
        <f>IF(OR($A2017="",$P2017=0),"",MOD(N($Q2017),$P2017)+1)</f>
        <v/>
      </c>
      <c r="S2017" s="15" t="n"/>
      <c r="T2017" s="25" t="n"/>
      <c r="U2017" s="26">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Builder'!$B$12="",N($S2017)&lt;='Assignment Builder'!$B$12)))</f>
        <v/>
      </c>
      <c r="V2017" s="23" t="n"/>
    </row>
    <row r="2018">
      <c r="A2018" s="23" t="n"/>
      <c r="B2018" s="23" t="n"/>
      <c r="C2018" s="24" t="n"/>
      <c r="D2018" s="15" t="n"/>
      <c r="E2018" s="23" t="n"/>
      <c r="F2018" s="15" t="n"/>
      <c r="G2018" s="23" t="n"/>
      <c r="H2018" s="25" t="n"/>
      <c r="I2018" s="15" t="n"/>
      <c r="J2018" s="26">
        <f>IF($A2018="","",LEN($C2018)-LEN(SUBSTITUTE($C2018,",",""))+1)</f>
        <v/>
      </c>
      <c r="K2018" s="26">
        <f>IF($A2018="","",SUMPRODUCT(--ISNUMBER(SEARCH('Category Dictionary'!$D$5:$D$135&amp;"",$C2018)),--('Category Dictionary'!$D$5:$D$135&lt;&gt;"")))</f>
        <v/>
      </c>
      <c r="L2018" s="27">
        <f>IF($A2018="","",TRIM(IF(ISERROR(FIND(",",$C2018)),$C2018,LEFT($C2018,FIND(",",$C2018)-1))))</f>
        <v/>
      </c>
      <c r="M2018" s="28">
        <f>IF($H2018="","",DATE(YEAR($H2018),MONTH($H2018),1))</f>
        <v/>
      </c>
      <c r="N2018" s="26">
        <f>IF($H2018="","",TODAY()-$H2018)</f>
        <v/>
      </c>
      <c r="O2018" s="15" t="n"/>
      <c r="P2018" s="26">
        <f>IF($A2018="","",COUNTIFS('Audit Versions'!$A$6:$A$605,$A2018,'Audit Versions'!$L$6:$L$605,"Active"))</f>
        <v/>
      </c>
      <c r="Q2018" s="15" t="n"/>
      <c r="R2018" s="26">
        <f>IF(OR($A2018="",$P2018=0),"",MOD(N($Q2018),$P2018)+1)</f>
        <v/>
      </c>
      <c r="S2018" s="15" t="n"/>
      <c r="T2018" s="25" t="n"/>
      <c r="U2018" s="26">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Builder'!$B$12="",N($S2018)&lt;='Assignment Builder'!$B$12)))</f>
        <v/>
      </c>
      <c r="V2018" s="23" t="n"/>
    </row>
    <row r="2019">
      <c r="A2019" s="23" t="n"/>
      <c r="B2019" s="23" t="n"/>
      <c r="C2019" s="24" t="n"/>
      <c r="D2019" s="15" t="n"/>
      <c r="E2019" s="23" t="n"/>
      <c r="F2019" s="15" t="n"/>
      <c r="G2019" s="23" t="n"/>
      <c r="H2019" s="25" t="n"/>
      <c r="I2019" s="15" t="n"/>
      <c r="J2019" s="26">
        <f>IF($A2019="","",LEN($C2019)-LEN(SUBSTITUTE($C2019,",",""))+1)</f>
        <v/>
      </c>
      <c r="K2019" s="26">
        <f>IF($A2019="","",SUMPRODUCT(--ISNUMBER(SEARCH('Category Dictionary'!$D$5:$D$135&amp;"",$C2019)),--('Category Dictionary'!$D$5:$D$135&lt;&gt;"")))</f>
        <v/>
      </c>
      <c r="L2019" s="27">
        <f>IF($A2019="","",TRIM(IF(ISERROR(FIND(",",$C2019)),$C2019,LEFT($C2019,FIND(",",$C2019)-1))))</f>
        <v/>
      </c>
      <c r="M2019" s="28">
        <f>IF($H2019="","",DATE(YEAR($H2019),MONTH($H2019),1))</f>
        <v/>
      </c>
      <c r="N2019" s="26">
        <f>IF($H2019="","",TODAY()-$H2019)</f>
        <v/>
      </c>
      <c r="O2019" s="15" t="n"/>
      <c r="P2019" s="26">
        <f>IF($A2019="","",COUNTIFS('Audit Versions'!$A$6:$A$605,$A2019,'Audit Versions'!$L$6:$L$605,"Active"))</f>
        <v/>
      </c>
      <c r="Q2019" s="15" t="n"/>
      <c r="R2019" s="26">
        <f>IF(OR($A2019="",$P2019=0),"",MOD(N($Q2019),$P2019)+1)</f>
        <v/>
      </c>
      <c r="S2019" s="15" t="n"/>
      <c r="T2019" s="25" t="n"/>
      <c r="U2019" s="26">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Builder'!$B$12="",N($S2019)&lt;='Assignment Builder'!$B$12)))</f>
        <v/>
      </c>
      <c r="V2019" s="23" t="n"/>
    </row>
    <row r="2020">
      <c r="A2020" s="23" t="n"/>
      <c r="B2020" s="23" t="n"/>
      <c r="C2020" s="24" t="n"/>
      <c r="D2020" s="15" t="n"/>
      <c r="E2020" s="23" t="n"/>
      <c r="F2020" s="15" t="n"/>
      <c r="G2020" s="23" t="n"/>
      <c r="H2020" s="25" t="n"/>
      <c r="I2020" s="15" t="n"/>
      <c r="J2020" s="26">
        <f>IF($A2020="","",LEN($C2020)-LEN(SUBSTITUTE($C2020,",",""))+1)</f>
        <v/>
      </c>
      <c r="K2020" s="26">
        <f>IF($A2020="","",SUMPRODUCT(--ISNUMBER(SEARCH('Category Dictionary'!$D$5:$D$135&amp;"",$C2020)),--('Category Dictionary'!$D$5:$D$135&lt;&gt;"")))</f>
        <v/>
      </c>
      <c r="L2020" s="27">
        <f>IF($A2020="","",TRIM(IF(ISERROR(FIND(",",$C2020)),$C2020,LEFT($C2020,FIND(",",$C2020)-1))))</f>
        <v/>
      </c>
      <c r="M2020" s="28">
        <f>IF($H2020="","",DATE(YEAR($H2020),MONTH($H2020),1))</f>
        <v/>
      </c>
      <c r="N2020" s="26">
        <f>IF($H2020="","",TODAY()-$H2020)</f>
        <v/>
      </c>
      <c r="O2020" s="15" t="n"/>
      <c r="P2020" s="26">
        <f>IF($A2020="","",COUNTIFS('Audit Versions'!$A$6:$A$605,$A2020,'Audit Versions'!$L$6:$L$605,"Active"))</f>
        <v/>
      </c>
      <c r="Q2020" s="15" t="n"/>
      <c r="R2020" s="26">
        <f>IF(OR($A2020="",$P2020=0),"",MOD(N($Q2020),$P2020)+1)</f>
        <v/>
      </c>
      <c r="S2020" s="15" t="n"/>
      <c r="T2020" s="25" t="n"/>
      <c r="U2020" s="26">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Builder'!$B$12="",N($S2020)&lt;='Assignment Builder'!$B$12)))</f>
        <v/>
      </c>
      <c r="V2020" s="23" t="n"/>
    </row>
    <row r="2021">
      <c r="A2021" s="23" t="n"/>
      <c r="B2021" s="23" t="n"/>
      <c r="C2021" s="24" t="n"/>
      <c r="D2021" s="15" t="n"/>
      <c r="E2021" s="23" t="n"/>
      <c r="F2021" s="15" t="n"/>
      <c r="G2021" s="23" t="n"/>
      <c r="H2021" s="25" t="n"/>
      <c r="I2021" s="15" t="n"/>
      <c r="J2021" s="26">
        <f>IF($A2021="","",LEN($C2021)-LEN(SUBSTITUTE($C2021,",",""))+1)</f>
        <v/>
      </c>
      <c r="K2021" s="26">
        <f>IF($A2021="","",SUMPRODUCT(--ISNUMBER(SEARCH('Category Dictionary'!$D$5:$D$135&amp;"",$C2021)),--('Category Dictionary'!$D$5:$D$135&lt;&gt;"")))</f>
        <v/>
      </c>
      <c r="L2021" s="27">
        <f>IF($A2021="","",TRIM(IF(ISERROR(FIND(",",$C2021)),$C2021,LEFT($C2021,FIND(",",$C2021)-1))))</f>
        <v/>
      </c>
      <c r="M2021" s="28">
        <f>IF($H2021="","",DATE(YEAR($H2021),MONTH($H2021),1))</f>
        <v/>
      </c>
      <c r="N2021" s="26">
        <f>IF($H2021="","",TODAY()-$H2021)</f>
        <v/>
      </c>
      <c r="O2021" s="15" t="n"/>
      <c r="P2021" s="26">
        <f>IF($A2021="","",COUNTIFS('Audit Versions'!$A$6:$A$605,$A2021,'Audit Versions'!$L$6:$L$605,"Active"))</f>
        <v/>
      </c>
      <c r="Q2021" s="15" t="n"/>
      <c r="R2021" s="26">
        <f>IF(OR($A2021="",$P2021=0),"",MOD(N($Q2021),$P2021)+1)</f>
        <v/>
      </c>
      <c r="S2021" s="15" t="n"/>
      <c r="T2021" s="25" t="n"/>
      <c r="U2021" s="26">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Builder'!$B$12="",N($S2021)&lt;='Assignment Builder'!$B$12)))</f>
        <v/>
      </c>
      <c r="V2021" s="23" t="n"/>
    </row>
    <row r="2022">
      <c r="A2022" s="23" t="n"/>
      <c r="B2022" s="23" t="n"/>
      <c r="C2022" s="24" t="n"/>
      <c r="D2022" s="15" t="n"/>
      <c r="E2022" s="23" t="n"/>
      <c r="F2022" s="15" t="n"/>
      <c r="G2022" s="23" t="n"/>
      <c r="H2022" s="25" t="n"/>
      <c r="I2022" s="15" t="n"/>
      <c r="J2022" s="26">
        <f>IF($A2022="","",LEN($C2022)-LEN(SUBSTITUTE($C2022,",",""))+1)</f>
        <v/>
      </c>
      <c r="K2022" s="26">
        <f>IF($A2022="","",SUMPRODUCT(--ISNUMBER(SEARCH('Category Dictionary'!$D$5:$D$135&amp;"",$C2022)),--('Category Dictionary'!$D$5:$D$135&lt;&gt;"")))</f>
        <v/>
      </c>
      <c r="L2022" s="27">
        <f>IF($A2022="","",TRIM(IF(ISERROR(FIND(",",$C2022)),$C2022,LEFT($C2022,FIND(",",$C2022)-1))))</f>
        <v/>
      </c>
      <c r="M2022" s="28">
        <f>IF($H2022="","",DATE(YEAR($H2022),MONTH($H2022),1))</f>
        <v/>
      </c>
      <c r="N2022" s="26">
        <f>IF($H2022="","",TODAY()-$H2022)</f>
        <v/>
      </c>
      <c r="O2022" s="15" t="n"/>
      <c r="P2022" s="26">
        <f>IF($A2022="","",COUNTIFS('Audit Versions'!$A$6:$A$605,$A2022,'Audit Versions'!$L$6:$L$605,"Active"))</f>
        <v/>
      </c>
      <c r="Q2022" s="15" t="n"/>
      <c r="R2022" s="26">
        <f>IF(OR($A2022="",$P2022=0),"",MOD(N($Q2022),$P2022)+1)</f>
        <v/>
      </c>
      <c r="S2022" s="15" t="n"/>
      <c r="T2022" s="25" t="n"/>
      <c r="U2022" s="26">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Builder'!$B$12="",N($S2022)&lt;='Assignment Builder'!$B$12)))</f>
        <v/>
      </c>
      <c r="V2022" s="23" t="n"/>
    </row>
    <row r="2023">
      <c r="A2023" s="23" t="n"/>
      <c r="B2023" s="23" t="n"/>
      <c r="C2023" s="24" t="n"/>
      <c r="D2023" s="15" t="n"/>
      <c r="E2023" s="23" t="n"/>
      <c r="F2023" s="15" t="n"/>
      <c r="G2023" s="23" t="n"/>
      <c r="H2023" s="25" t="n"/>
      <c r="I2023" s="15" t="n"/>
      <c r="J2023" s="26">
        <f>IF($A2023="","",LEN($C2023)-LEN(SUBSTITUTE($C2023,",",""))+1)</f>
        <v/>
      </c>
      <c r="K2023" s="26">
        <f>IF($A2023="","",SUMPRODUCT(--ISNUMBER(SEARCH('Category Dictionary'!$D$5:$D$135&amp;"",$C2023)),--('Category Dictionary'!$D$5:$D$135&lt;&gt;"")))</f>
        <v/>
      </c>
      <c r="L2023" s="27">
        <f>IF($A2023="","",TRIM(IF(ISERROR(FIND(",",$C2023)),$C2023,LEFT($C2023,FIND(",",$C2023)-1))))</f>
        <v/>
      </c>
      <c r="M2023" s="28">
        <f>IF($H2023="","",DATE(YEAR($H2023),MONTH($H2023),1))</f>
        <v/>
      </c>
      <c r="N2023" s="26">
        <f>IF($H2023="","",TODAY()-$H2023)</f>
        <v/>
      </c>
      <c r="O2023" s="15" t="n"/>
      <c r="P2023" s="26">
        <f>IF($A2023="","",COUNTIFS('Audit Versions'!$A$6:$A$605,$A2023,'Audit Versions'!$L$6:$L$605,"Active"))</f>
        <v/>
      </c>
      <c r="Q2023" s="15" t="n"/>
      <c r="R2023" s="26">
        <f>IF(OR($A2023="",$P2023=0),"",MOD(N($Q2023),$P2023)+1)</f>
        <v/>
      </c>
      <c r="S2023" s="15" t="n"/>
      <c r="T2023" s="25" t="n"/>
      <c r="U2023" s="26">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Builder'!$B$12="",N($S2023)&lt;='Assignment Builder'!$B$12)))</f>
        <v/>
      </c>
      <c r="V2023" s="23" t="n"/>
    </row>
    <row r="2024">
      <c r="A2024" s="23" t="n"/>
      <c r="B2024" s="23" t="n"/>
      <c r="C2024" s="24" t="n"/>
      <c r="D2024" s="15" t="n"/>
      <c r="E2024" s="23" t="n"/>
      <c r="F2024" s="15" t="n"/>
      <c r="G2024" s="23" t="n"/>
      <c r="H2024" s="25" t="n"/>
      <c r="I2024" s="15" t="n"/>
      <c r="J2024" s="26">
        <f>IF($A2024="","",LEN($C2024)-LEN(SUBSTITUTE($C2024,",",""))+1)</f>
        <v/>
      </c>
      <c r="K2024" s="26">
        <f>IF($A2024="","",SUMPRODUCT(--ISNUMBER(SEARCH('Category Dictionary'!$D$5:$D$135&amp;"",$C2024)),--('Category Dictionary'!$D$5:$D$135&lt;&gt;"")))</f>
        <v/>
      </c>
      <c r="L2024" s="27">
        <f>IF($A2024="","",TRIM(IF(ISERROR(FIND(",",$C2024)),$C2024,LEFT($C2024,FIND(",",$C2024)-1))))</f>
        <v/>
      </c>
      <c r="M2024" s="28">
        <f>IF($H2024="","",DATE(YEAR($H2024),MONTH($H2024),1))</f>
        <v/>
      </c>
      <c r="N2024" s="26">
        <f>IF($H2024="","",TODAY()-$H2024)</f>
        <v/>
      </c>
      <c r="O2024" s="15" t="n"/>
      <c r="P2024" s="26">
        <f>IF($A2024="","",COUNTIFS('Audit Versions'!$A$6:$A$605,$A2024,'Audit Versions'!$L$6:$L$605,"Active"))</f>
        <v/>
      </c>
      <c r="Q2024" s="15" t="n"/>
      <c r="R2024" s="26">
        <f>IF(OR($A2024="",$P2024=0),"",MOD(N($Q2024),$P2024)+1)</f>
        <v/>
      </c>
      <c r="S2024" s="15" t="n"/>
      <c r="T2024" s="25" t="n"/>
      <c r="U2024" s="26">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Builder'!$B$12="",N($S2024)&lt;='Assignment Builder'!$B$12)))</f>
        <v/>
      </c>
      <c r="V2024" s="23" t="n"/>
    </row>
    <row r="2025">
      <c r="A2025" s="23" t="n"/>
      <c r="B2025" s="23" t="n"/>
      <c r="C2025" s="24" t="n"/>
      <c r="D2025" s="15" t="n"/>
      <c r="E2025" s="23" t="n"/>
      <c r="F2025" s="15" t="n"/>
      <c r="G2025" s="23" t="n"/>
      <c r="H2025" s="25" t="n"/>
      <c r="I2025" s="15" t="n"/>
      <c r="J2025" s="26">
        <f>IF($A2025="","",LEN($C2025)-LEN(SUBSTITUTE($C2025,",",""))+1)</f>
        <v/>
      </c>
      <c r="K2025" s="26">
        <f>IF($A2025="","",SUMPRODUCT(--ISNUMBER(SEARCH('Category Dictionary'!$D$5:$D$135&amp;"",$C2025)),--('Category Dictionary'!$D$5:$D$135&lt;&gt;"")))</f>
        <v/>
      </c>
      <c r="L2025" s="27">
        <f>IF($A2025="","",TRIM(IF(ISERROR(FIND(",",$C2025)),$C2025,LEFT($C2025,FIND(",",$C2025)-1))))</f>
        <v/>
      </c>
      <c r="M2025" s="28">
        <f>IF($H2025="","",DATE(YEAR($H2025),MONTH($H2025),1))</f>
        <v/>
      </c>
      <c r="N2025" s="26">
        <f>IF($H2025="","",TODAY()-$H2025)</f>
        <v/>
      </c>
      <c r="O2025" s="15" t="n"/>
      <c r="P2025" s="26">
        <f>IF($A2025="","",COUNTIFS('Audit Versions'!$A$6:$A$605,$A2025,'Audit Versions'!$L$6:$L$605,"Active"))</f>
        <v/>
      </c>
      <c r="Q2025" s="15" t="n"/>
      <c r="R2025" s="26">
        <f>IF(OR($A2025="",$P2025=0),"",MOD(N($Q2025),$P2025)+1)</f>
        <v/>
      </c>
      <c r="S2025" s="15" t="n"/>
      <c r="T2025" s="25" t="n"/>
      <c r="U2025" s="26">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Builder'!$B$12="",N($S2025)&lt;='Assignment Builder'!$B$12)))</f>
        <v/>
      </c>
      <c r="V2025" s="23" t="n"/>
    </row>
    <row r="2026">
      <c r="A2026" s="23" t="n"/>
      <c r="B2026" s="23" t="n"/>
      <c r="C2026" s="24" t="n"/>
      <c r="D2026" s="15" t="n"/>
      <c r="E2026" s="23" t="n"/>
      <c r="F2026" s="15" t="n"/>
      <c r="G2026" s="23" t="n"/>
      <c r="H2026" s="25" t="n"/>
      <c r="I2026" s="15" t="n"/>
      <c r="J2026" s="26">
        <f>IF($A2026="","",LEN($C2026)-LEN(SUBSTITUTE($C2026,",",""))+1)</f>
        <v/>
      </c>
      <c r="K2026" s="26">
        <f>IF($A2026="","",SUMPRODUCT(--ISNUMBER(SEARCH('Category Dictionary'!$D$5:$D$135&amp;"",$C2026)),--('Category Dictionary'!$D$5:$D$135&lt;&gt;"")))</f>
        <v/>
      </c>
      <c r="L2026" s="27">
        <f>IF($A2026="","",TRIM(IF(ISERROR(FIND(",",$C2026)),$C2026,LEFT($C2026,FIND(",",$C2026)-1))))</f>
        <v/>
      </c>
      <c r="M2026" s="28">
        <f>IF($H2026="","",DATE(YEAR($H2026),MONTH($H2026),1))</f>
        <v/>
      </c>
      <c r="N2026" s="26">
        <f>IF($H2026="","",TODAY()-$H2026)</f>
        <v/>
      </c>
      <c r="O2026" s="15" t="n"/>
      <c r="P2026" s="26">
        <f>IF($A2026="","",COUNTIFS('Audit Versions'!$A$6:$A$605,$A2026,'Audit Versions'!$L$6:$L$605,"Active"))</f>
        <v/>
      </c>
      <c r="Q2026" s="15" t="n"/>
      <c r="R2026" s="26">
        <f>IF(OR($A2026="",$P2026=0),"",MOD(N($Q2026),$P2026)+1)</f>
        <v/>
      </c>
      <c r="S2026" s="15" t="n"/>
      <c r="T2026" s="25" t="n"/>
      <c r="U2026" s="26">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Builder'!$B$12="",N($S2026)&lt;='Assignment Builder'!$B$12)))</f>
        <v/>
      </c>
      <c r="V2026" s="23" t="n"/>
    </row>
    <row r="2027">
      <c r="A2027" s="23" t="n"/>
      <c r="B2027" s="23" t="n"/>
      <c r="C2027" s="24" t="n"/>
      <c r="D2027" s="15" t="n"/>
      <c r="E2027" s="23" t="n"/>
      <c r="F2027" s="15" t="n"/>
      <c r="G2027" s="23" t="n"/>
      <c r="H2027" s="25" t="n"/>
      <c r="I2027" s="15" t="n"/>
      <c r="J2027" s="26">
        <f>IF($A2027="","",LEN($C2027)-LEN(SUBSTITUTE($C2027,",",""))+1)</f>
        <v/>
      </c>
      <c r="K2027" s="26">
        <f>IF($A2027="","",SUMPRODUCT(--ISNUMBER(SEARCH('Category Dictionary'!$D$5:$D$135&amp;"",$C2027)),--('Category Dictionary'!$D$5:$D$135&lt;&gt;"")))</f>
        <v/>
      </c>
      <c r="L2027" s="27">
        <f>IF($A2027="","",TRIM(IF(ISERROR(FIND(",",$C2027)),$C2027,LEFT($C2027,FIND(",",$C2027)-1))))</f>
        <v/>
      </c>
      <c r="M2027" s="28">
        <f>IF($H2027="","",DATE(YEAR($H2027),MONTH($H2027),1))</f>
        <v/>
      </c>
      <c r="N2027" s="26">
        <f>IF($H2027="","",TODAY()-$H2027)</f>
        <v/>
      </c>
      <c r="O2027" s="15" t="n"/>
      <c r="P2027" s="26">
        <f>IF($A2027="","",COUNTIFS('Audit Versions'!$A$6:$A$605,$A2027,'Audit Versions'!$L$6:$L$605,"Active"))</f>
        <v/>
      </c>
      <c r="Q2027" s="15" t="n"/>
      <c r="R2027" s="26">
        <f>IF(OR($A2027="",$P2027=0),"",MOD(N($Q2027),$P2027)+1)</f>
        <v/>
      </c>
      <c r="S2027" s="15" t="n"/>
      <c r="T2027" s="25" t="n"/>
      <c r="U2027" s="26">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Builder'!$B$12="",N($S2027)&lt;='Assignment Builder'!$B$12)))</f>
        <v/>
      </c>
      <c r="V2027" s="23" t="n"/>
    </row>
    <row r="2028">
      <c r="A2028" s="23" t="n"/>
      <c r="B2028" s="23" t="n"/>
      <c r="C2028" s="24" t="n"/>
      <c r="D2028" s="15" t="n"/>
      <c r="E2028" s="23" t="n"/>
      <c r="F2028" s="15" t="n"/>
      <c r="G2028" s="23" t="n"/>
      <c r="H2028" s="25" t="n"/>
      <c r="I2028" s="15" t="n"/>
      <c r="J2028" s="26">
        <f>IF($A2028="","",LEN($C2028)-LEN(SUBSTITUTE($C2028,",",""))+1)</f>
        <v/>
      </c>
      <c r="K2028" s="26">
        <f>IF($A2028="","",SUMPRODUCT(--ISNUMBER(SEARCH('Category Dictionary'!$D$5:$D$135&amp;"",$C2028)),--('Category Dictionary'!$D$5:$D$135&lt;&gt;"")))</f>
        <v/>
      </c>
      <c r="L2028" s="27">
        <f>IF($A2028="","",TRIM(IF(ISERROR(FIND(",",$C2028)),$C2028,LEFT($C2028,FIND(",",$C2028)-1))))</f>
        <v/>
      </c>
      <c r="M2028" s="28">
        <f>IF($H2028="","",DATE(YEAR($H2028),MONTH($H2028),1))</f>
        <v/>
      </c>
      <c r="N2028" s="26">
        <f>IF($H2028="","",TODAY()-$H2028)</f>
        <v/>
      </c>
      <c r="O2028" s="15" t="n"/>
      <c r="P2028" s="26">
        <f>IF($A2028="","",COUNTIFS('Audit Versions'!$A$6:$A$605,$A2028,'Audit Versions'!$L$6:$L$605,"Active"))</f>
        <v/>
      </c>
      <c r="Q2028" s="15" t="n"/>
      <c r="R2028" s="26">
        <f>IF(OR($A2028="",$P2028=0),"",MOD(N($Q2028),$P2028)+1)</f>
        <v/>
      </c>
      <c r="S2028" s="15" t="n"/>
      <c r="T2028" s="25" t="n"/>
      <c r="U2028" s="26">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Builder'!$B$12="",N($S2028)&lt;='Assignment Builder'!$B$12)))</f>
        <v/>
      </c>
      <c r="V2028" s="23" t="n"/>
    </row>
    <row r="2029">
      <c r="A2029" s="23" t="n"/>
      <c r="B2029" s="23" t="n"/>
      <c r="C2029" s="24" t="n"/>
      <c r="D2029" s="15" t="n"/>
      <c r="E2029" s="23" t="n"/>
      <c r="F2029" s="15" t="n"/>
      <c r="G2029" s="23" t="n"/>
      <c r="H2029" s="25" t="n"/>
      <c r="I2029" s="15" t="n"/>
      <c r="J2029" s="26">
        <f>IF($A2029="","",LEN($C2029)-LEN(SUBSTITUTE($C2029,",",""))+1)</f>
        <v/>
      </c>
      <c r="K2029" s="26">
        <f>IF($A2029="","",SUMPRODUCT(--ISNUMBER(SEARCH('Category Dictionary'!$D$5:$D$135&amp;"",$C2029)),--('Category Dictionary'!$D$5:$D$135&lt;&gt;"")))</f>
        <v/>
      </c>
      <c r="L2029" s="27">
        <f>IF($A2029="","",TRIM(IF(ISERROR(FIND(",",$C2029)),$C2029,LEFT($C2029,FIND(",",$C2029)-1))))</f>
        <v/>
      </c>
      <c r="M2029" s="28">
        <f>IF($H2029="","",DATE(YEAR($H2029),MONTH($H2029),1))</f>
        <v/>
      </c>
      <c r="N2029" s="26">
        <f>IF($H2029="","",TODAY()-$H2029)</f>
        <v/>
      </c>
      <c r="O2029" s="15" t="n"/>
      <c r="P2029" s="26">
        <f>IF($A2029="","",COUNTIFS('Audit Versions'!$A$6:$A$605,$A2029,'Audit Versions'!$L$6:$L$605,"Active"))</f>
        <v/>
      </c>
      <c r="Q2029" s="15" t="n"/>
      <c r="R2029" s="26">
        <f>IF(OR($A2029="",$P2029=0),"",MOD(N($Q2029),$P2029)+1)</f>
        <v/>
      </c>
      <c r="S2029" s="15" t="n"/>
      <c r="T2029" s="25" t="n"/>
      <c r="U2029" s="26">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Builder'!$B$12="",N($S2029)&lt;='Assignment Builder'!$B$12)))</f>
        <v/>
      </c>
      <c r="V2029" s="23" t="n"/>
    </row>
    <row r="2030">
      <c r="A2030" s="23" t="n"/>
      <c r="B2030" s="23" t="n"/>
      <c r="C2030" s="24" t="n"/>
      <c r="D2030" s="15" t="n"/>
      <c r="E2030" s="23" t="n"/>
      <c r="F2030" s="15" t="n"/>
      <c r="G2030" s="23" t="n"/>
      <c r="H2030" s="25" t="n"/>
      <c r="I2030" s="15" t="n"/>
      <c r="J2030" s="26">
        <f>IF($A2030="","",LEN($C2030)-LEN(SUBSTITUTE($C2030,",",""))+1)</f>
        <v/>
      </c>
      <c r="K2030" s="26">
        <f>IF($A2030="","",SUMPRODUCT(--ISNUMBER(SEARCH('Category Dictionary'!$D$5:$D$135&amp;"",$C2030)),--('Category Dictionary'!$D$5:$D$135&lt;&gt;"")))</f>
        <v/>
      </c>
      <c r="L2030" s="27">
        <f>IF($A2030="","",TRIM(IF(ISERROR(FIND(",",$C2030)),$C2030,LEFT($C2030,FIND(",",$C2030)-1))))</f>
        <v/>
      </c>
      <c r="M2030" s="28">
        <f>IF($H2030="","",DATE(YEAR($H2030),MONTH($H2030),1))</f>
        <v/>
      </c>
      <c r="N2030" s="26">
        <f>IF($H2030="","",TODAY()-$H2030)</f>
        <v/>
      </c>
      <c r="O2030" s="15" t="n"/>
      <c r="P2030" s="26">
        <f>IF($A2030="","",COUNTIFS('Audit Versions'!$A$6:$A$605,$A2030,'Audit Versions'!$L$6:$L$605,"Active"))</f>
        <v/>
      </c>
      <c r="Q2030" s="15" t="n"/>
      <c r="R2030" s="26">
        <f>IF(OR($A2030="",$P2030=0),"",MOD(N($Q2030),$P2030)+1)</f>
        <v/>
      </c>
      <c r="S2030" s="15" t="n"/>
      <c r="T2030" s="25" t="n"/>
      <c r="U2030" s="26">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Builder'!$B$12="",N($S2030)&lt;='Assignment Builder'!$B$12)))</f>
        <v/>
      </c>
      <c r="V2030" s="23" t="n"/>
    </row>
    <row r="2031">
      <c r="A2031" s="23" t="n"/>
      <c r="B2031" s="23" t="n"/>
      <c r="C2031" s="24" t="n"/>
      <c r="D2031" s="15" t="n"/>
      <c r="E2031" s="23" t="n"/>
      <c r="F2031" s="15" t="n"/>
      <c r="G2031" s="23" t="n"/>
      <c r="H2031" s="25" t="n"/>
      <c r="I2031" s="15" t="n"/>
      <c r="J2031" s="26">
        <f>IF($A2031="","",LEN($C2031)-LEN(SUBSTITUTE($C2031,",",""))+1)</f>
        <v/>
      </c>
      <c r="K2031" s="26">
        <f>IF($A2031="","",SUMPRODUCT(--ISNUMBER(SEARCH('Category Dictionary'!$D$5:$D$135&amp;"",$C2031)),--('Category Dictionary'!$D$5:$D$135&lt;&gt;"")))</f>
        <v/>
      </c>
      <c r="L2031" s="27">
        <f>IF($A2031="","",TRIM(IF(ISERROR(FIND(",",$C2031)),$C2031,LEFT($C2031,FIND(",",$C2031)-1))))</f>
        <v/>
      </c>
      <c r="M2031" s="28">
        <f>IF($H2031="","",DATE(YEAR($H2031),MONTH($H2031),1))</f>
        <v/>
      </c>
      <c r="N2031" s="26">
        <f>IF($H2031="","",TODAY()-$H2031)</f>
        <v/>
      </c>
      <c r="O2031" s="15" t="n"/>
      <c r="P2031" s="26">
        <f>IF($A2031="","",COUNTIFS('Audit Versions'!$A$6:$A$605,$A2031,'Audit Versions'!$L$6:$L$605,"Active"))</f>
        <v/>
      </c>
      <c r="Q2031" s="15" t="n"/>
      <c r="R2031" s="26">
        <f>IF(OR($A2031="",$P2031=0),"",MOD(N($Q2031),$P2031)+1)</f>
        <v/>
      </c>
      <c r="S2031" s="15" t="n"/>
      <c r="T2031" s="25" t="n"/>
      <c r="U2031" s="26">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Builder'!$B$12="",N($S2031)&lt;='Assignment Builder'!$B$12)))</f>
        <v/>
      </c>
      <c r="V2031" s="23" t="n"/>
    </row>
    <row r="2032">
      <c r="A2032" s="23" t="n"/>
      <c r="B2032" s="23" t="n"/>
      <c r="C2032" s="24" t="n"/>
      <c r="D2032" s="15" t="n"/>
      <c r="E2032" s="23" t="n"/>
      <c r="F2032" s="15" t="n"/>
      <c r="G2032" s="23" t="n"/>
      <c r="H2032" s="25" t="n"/>
      <c r="I2032" s="15" t="n"/>
      <c r="J2032" s="26">
        <f>IF($A2032="","",LEN($C2032)-LEN(SUBSTITUTE($C2032,",",""))+1)</f>
        <v/>
      </c>
      <c r="K2032" s="26">
        <f>IF($A2032="","",SUMPRODUCT(--ISNUMBER(SEARCH('Category Dictionary'!$D$5:$D$135&amp;"",$C2032)),--('Category Dictionary'!$D$5:$D$135&lt;&gt;"")))</f>
        <v/>
      </c>
      <c r="L2032" s="27">
        <f>IF($A2032="","",TRIM(IF(ISERROR(FIND(",",$C2032)),$C2032,LEFT($C2032,FIND(",",$C2032)-1))))</f>
        <v/>
      </c>
      <c r="M2032" s="28">
        <f>IF($H2032="","",DATE(YEAR($H2032),MONTH($H2032),1))</f>
        <v/>
      </c>
      <c r="N2032" s="26">
        <f>IF($H2032="","",TODAY()-$H2032)</f>
        <v/>
      </c>
      <c r="O2032" s="15" t="n"/>
      <c r="P2032" s="26">
        <f>IF($A2032="","",COUNTIFS('Audit Versions'!$A$6:$A$605,$A2032,'Audit Versions'!$L$6:$L$605,"Active"))</f>
        <v/>
      </c>
      <c r="Q2032" s="15" t="n"/>
      <c r="R2032" s="26">
        <f>IF(OR($A2032="",$P2032=0),"",MOD(N($Q2032),$P2032)+1)</f>
        <v/>
      </c>
      <c r="S2032" s="15" t="n"/>
      <c r="T2032" s="25" t="n"/>
      <c r="U2032" s="26">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Builder'!$B$12="",N($S2032)&lt;='Assignment Builder'!$B$12)))</f>
        <v/>
      </c>
      <c r="V2032" s="23" t="n"/>
    </row>
    <row r="2033">
      <c r="A2033" s="23" t="n"/>
      <c r="B2033" s="23" t="n"/>
      <c r="C2033" s="24" t="n"/>
      <c r="D2033" s="15" t="n"/>
      <c r="E2033" s="23" t="n"/>
      <c r="F2033" s="15" t="n"/>
      <c r="G2033" s="23" t="n"/>
      <c r="H2033" s="25" t="n"/>
      <c r="I2033" s="15" t="n"/>
      <c r="J2033" s="26">
        <f>IF($A2033="","",LEN($C2033)-LEN(SUBSTITUTE($C2033,",",""))+1)</f>
        <v/>
      </c>
      <c r="K2033" s="26">
        <f>IF($A2033="","",SUMPRODUCT(--ISNUMBER(SEARCH('Category Dictionary'!$D$5:$D$135&amp;"",$C2033)),--('Category Dictionary'!$D$5:$D$135&lt;&gt;"")))</f>
        <v/>
      </c>
      <c r="L2033" s="27">
        <f>IF($A2033="","",TRIM(IF(ISERROR(FIND(",",$C2033)),$C2033,LEFT($C2033,FIND(",",$C2033)-1))))</f>
        <v/>
      </c>
      <c r="M2033" s="28">
        <f>IF($H2033="","",DATE(YEAR($H2033),MONTH($H2033),1))</f>
        <v/>
      </c>
      <c r="N2033" s="26">
        <f>IF($H2033="","",TODAY()-$H2033)</f>
        <v/>
      </c>
      <c r="O2033" s="15" t="n"/>
      <c r="P2033" s="26">
        <f>IF($A2033="","",COUNTIFS('Audit Versions'!$A$6:$A$605,$A2033,'Audit Versions'!$L$6:$L$605,"Active"))</f>
        <v/>
      </c>
      <c r="Q2033" s="15" t="n"/>
      <c r="R2033" s="26">
        <f>IF(OR($A2033="",$P2033=0),"",MOD(N($Q2033),$P2033)+1)</f>
        <v/>
      </c>
      <c r="S2033" s="15" t="n"/>
      <c r="T2033" s="25" t="n"/>
      <c r="U2033" s="26">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Builder'!$B$12="",N($S2033)&lt;='Assignment Builder'!$B$12)))</f>
        <v/>
      </c>
      <c r="V2033" s="23" t="n"/>
    </row>
    <row r="2034">
      <c r="A2034" s="23" t="n"/>
      <c r="B2034" s="23" t="n"/>
      <c r="C2034" s="24" t="n"/>
      <c r="D2034" s="15" t="n"/>
      <c r="E2034" s="23" t="n"/>
      <c r="F2034" s="15" t="n"/>
      <c r="G2034" s="23" t="n"/>
      <c r="H2034" s="25" t="n"/>
      <c r="I2034" s="15" t="n"/>
      <c r="J2034" s="26">
        <f>IF($A2034="","",LEN($C2034)-LEN(SUBSTITUTE($C2034,",",""))+1)</f>
        <v/>
      </c>
      <c r="K2034" s="26">
        <f>IF($A2034="","",SUMPRODUCT(--ISNUMBER(SEARCH('Category Dictionary'!$D$5:$D$135&amp;"",$C2034)),--('Category Dictionary'!$D$5:$D$135&lt;&gt;"")))</f>
        <v/>
      </c>
      <c r="L2034" s="27">
        <f>IF($A2034="","",TRIM(IF(ISERROR(FIND(",",$C2034)),$C2034,LEFT($C2034,FIND(",",$C2034)-1))))</f>
        <v/>
      </c>
      <c r="M2034" s="28">
        <f>IF($H2034="","",DATE(YEAR($H2034),MONTH($H2034),1))</f>
        <v/>
      </c>
      <c r="N2034" s="26">
        <f>IF($H2034="","",TODAY()-$H2034)</f>
        <v/>
      </c>
      <c r="O2034" s="15" t="n"/>
      <c r="P2034" s="26">
        <f>IF($A2034="","",COUNTIFS('Audit Versions'!$A$6:$A$605,$A2034,'Audit Versions'!$L$6:$L$605,"Active"))</f>
        <v/>
      </c>
      <c r="Q2034" s="15" t="n"/>
      <c r="R2034" s="26">
        <f>IF(OR($A2034="",$P2034=0),"",MOD(N($Q2034),$P2034)+1)</f>
        <v/>
      </c>
      <c r="S2034" s="15" t="n"/>
      <c r="T2034" s="25" t="n"/>
      <c r="U2034" s="26">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Builder'!$B$12="",N($S2034)&lt;='Assignment Builder'!$B$12)))</f>
        <v/>
      </c>
      <c r="V2034" s="23" t="n"/>
    </row>
    <row r="2035">
      <c r="A2035" s="23" t="n"/>
      <c r="B2035" s="23" t="n"/>
      <c r="C2035" s="24" t="n"/>
      <c r="D2035" s="15" t="n"/>
      <c r="E2035" s="23" t="n"/>
      <c r="F2035" s="15" t="n"/>
      <c r="G2035" s="23" t="n"/>
      <c r="H2035" s="25" t="n"/>
      <c r="I2035" s="15" t="n"/>
      <c r="J2035" s="26">
        <f>IF($A2035="","",LEN($C2035)-LEN(SUBSTITUTE($C2035,",",""))+1)</f>
        <v/>
      </c>
      <c r="K2035" s="26">
        <f>IF($A2035="","",SUMPRODUCT(--ISNUMBER(SEARCH('Category Dictionary'!$D$5:$D$135&amp;"",$C2035)),--('Category Dictionary'!$D$5:$D$135&lt;&gt;"")))</f>
        <v/>
      </c>
      <c r="L2035" s="27">
        <f>IF($A2035="","",TRIM(IF(ISERROR(FIND(",",$C2035)),$C2035,LEFT($C2035,FIND(",",$C2035)-1))))</f>
        <v/>
      </c>
      <c r="M2035" s="28">
        <f>IF($H2035="","",DATE(YEAR($H2035),MONTH($H2035),1))</f>
        <v/>
      </c>
      <c r="N2035" s="26">
        <f>IF($H2035="","",TODAY()-$H2035)</f>
        <v/>
      </c>
      <c r="O2035" s="15" t="n"/>
      <c r="P2035" s="26">
        <f>IF($A2035="","",COUNTIFS('Audit Versions'!$A$6:$A$605,$A2035,'Audit Versions'!$L$6:$L$605,"Active"))</f>
        <v/>
      </c>
      <c r="Q2035" s="15" t="n"/>
      <c r="R2035" s="26">
        <f>IF(OR($A2035="",$P2035=0),"",MOD(N($Q2035),$P2035)+1)</f>
        <v/>
      </c>
      <c r="S2035" s="15" t="n"/>
      <c r="T2035" s="25" t="n"/>
      <c r="U2035" s="26">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Builder'!$B$12="",N($S2035)&lt;='Assignment Builder'!$B$12)))</f>
        <v/>
      </c>
      <c r="V2035" s="23" t="n"/>
    </row>
    <row r="2036">
      <c r="A2036" s="23" t="n"/>
      <c r="B2036" s="23" t="n"/>
      <c r="C2036" s="24" t="n"/>
      <c r="D2036" s="15" t="n"/>
      <c r="E2036" s="23" t="n"/>
      <c r="F2036" s="15" t="n"/>
      <c r="G2036" s="23" t="n"/>
      <c r="H2036" s="25" t="n"/>
      <c r="I2036" s="15" t="n"/>
      <c r="J2036" s="26">
        <f>IF($A2036="","",LEN($C2036)-LEN(SUBSTITUTE($C2036,",",""))+1)</f>
        <v/>
      </c>
      <c r="K2036" s="26">
        <f>IF($A2036="","",SUMPRODUCT(--ISNUMBER(SEARCH('Category Dictionary'!$D$5:$D$135&amp;"",$C2036)),--('Category Dictionary'!$D$5:$D$135&lt;&gt;"")))</f>
        <v/>
      </c>
      <c r="L2036" s="27">
        <f>IF($A2036="","",TRIM(IF(ISERROR(FIND(",",$C2036)),$C2036,LEFT($C2036,FIND(",",$C2036)-1))))</f>
        <v/>
      </c>
      <c r="M2036" s="28">
        <f>IF($H2036="","",DATE(YEAR($H2036),MONTH($H2036),1))</f>
        <v/>
      </c>
      <c r="N2036" s="26">
        <f>IF($H2036="","",TODAY()-$H2036)</f>
        <v/>
      </c>
      <c r="O2036" s="15" t="n"/>
      <c r="P2036" s="26">
        <f>IF($A2036="","",COUNTIFS('Audit Versions'!$A$6:$A$605,$A2036,'Audit Versions'!$L$6:$L$605,"Active"))</f>
        <v/>
      </c>
      <c r="Q2036" s="15" t="n"/>
      <c r="R2036" s="26">
        <f>IF(OR($A2036="",$P2036=0),"",MOD(N($Q2036),$P2036)+1)</f>
        <v/>
      </c>
      <c r="S2036" s="15" t="n"/>
      <c r="T2036" s="25" t="n"/>
      <c r="U2036" s="26">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Builder'!$B$12="",N($S2036)&lt;='Assignment Builder'!$B$12)))</f>
        <v/>
      </c>
      <c r="V2036" s="23" t="n"/>
    </row>
    <row r="2037">
      <c r="A2037" s="23" t="n"/>
      <c r="B2037" s="23" t="n"/>
      <c r="C2037" s="24" t="n"/>
      <c r="D2037" s="15" t="n"/>
      <c r="E2037" s="23" t="n"/>
      <c r="F2037" s="15" t="n"/>
      <c r="G2037" s="23" t="n"/>
      <c r="H2037" s="25" t="n"/>
      <c r="I2037" s="15" t="n"/>
      <c r="J2037" s="26">
        <f>IF($A2037="","",LEN($C2037)-LEN(SUBSTITUTE($C2037,",",""))+1)</f>
        <v/>
      </c>
      <c r="K2037" s="26">
        <f>IF($A2037="","",SUMPRODUCT(--ISNUMBER(SEARCH('Category Dictionary'!$D$5:$D$135&amp;"",$C2037)),--('Category Dictionary'!$D$5:$D$135&lt;&gt;"")))</f>
        <v/>
      </c>
      <c r="L2037" s="27">
        <f>IF($A2037="","",TRIM(IF(ISERROR(FIND(",",$C2037)),$C2037,LEFT($C2037,FIND(",",$C2037)-1))))</f>
        <v/>
      </c>
      <c r="M2037" s="28">
        <f>IF($H2037="","",DATE(YEAR($H2037),MONTH($H2037),1))</f>
        <v/>
      </c>
      <c r="N2037" s="26">
        <f>IF($H2037="","",TODAY()-$H2037)</f>
        <v/>
      </c>
      <c r="O2037" s="15" t="n"/>
      <c r="P2037" s="26">
        <f>IF($A2037="","",COUNTIFS('Audit Versions'!$A$6:$A$605,$A2037,'Audit Versions'!$L$6:$L$605,"Active"))</f>
        <v/>
      </c>
      <c r="Q2037" s="15" t="n"/>
      <c r="R2037" s="26">
        <f>IF(OR($A2037="",$P2037=0),"",MOD(N($Q2037),$P2037)+1)</f>
        <v/>
      </c>
      <c r="S2037" s="15" t="n"/>
      <c r="T2037" s="25" t="n"/>
      <c r="U2037" s="26">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Builder'!$B$12="",N($S2037)&lt;='Assignment Builder'!$B$12)))</f>
        <v/>
      </c>
      <c r="V2037" s="23" t="n"/>
    </row>
    <row r="2038">
      <c r="A2038" s="23" t="n"/>
      <c r="B2038" s="23" t="n"/>
      <c r="C2038" s="24" t="n"/>
      <c r="D2038" s="15" t="n"/>
      <c r="E2038" s="23" t="n"/>
      <c r="F2038" s="15" t="n"/>
      <c r="G2038" s="23" t="n"/>
      <c r="H2038" s="25" t="n"/>
      <c r="I2038" s="15" t="n"/>
      <c r="J2038" s="26">
        <f>IF($A2038="","",LEN($C2038)-LEN(SUBSTITUTE($C2038,",",""))+1)</f>
        <v/>
      </c>
      <c r="K2038" s="26">
        <f>IF($A2038="","",SUMPRODUCT(--ISNUMBER(SEARCH('Category Dictionary'!$D$5:$D$135&amp;"",$C2038)),--('Category Dictionary'!$D$5:$D$135&lt;&gt;"")))</f>
        <v/>
      </c>
      <c r="L2038" s="27">
        <f>IF($A2038="","",TRIM(IF(ISERROR(FIND(",",$C2038)),$C2038,LEFT($C2038,FIND(",",$C2038)-1))))</f>
        <v/>
      </c>
      <c r="M2038" s="28">
        <f>IF($H2038="","",DATE(YEAR($H2038),MONTH($H2038),1))</f>
        <v/>
      </c>
      <c r="N2038" s="26">
        <f>IF($H2038="","",TODAY()-$H2038)</f>
        <v/>
      </c>
      <c r="O2038" s="15" t="n"/>
      <c r="P2038" s="26">
        <f>IF($A2038="","",COUNTIFS('Audit Versions'!$A$6:$A$605,$A2038,'Audit Versions'!$L$6:$L$605,"Active"))</f>
        <v/>
      </c>
      <c r="Q2038" s="15" t="n"/>
      <c r="R2038" s="26">
        <f>IF(OR($A2038="",$P2038=0),"",MOD(N($Q2038),$P2038)+1)</f>
        <v/>
      </c>
      <c r="S2038" s="15" t="n"/>
      <c r="T2038" s="25" t="n"/>
      <c r="U2038" s="26">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Builder'!$B$12="",N($S2038)&lt;='Assignment Builder'!$B$12)))</f>
        <v/>
      </c>
      <c r="V2038" s="23" t="n"/>
    </row>
    <row r="2039">
      <c r="A2039" s="23" t="n"/>
      <c r="B2039" s="23" t="n"/>
      <c r="C2039" s="24" t="n"/>
      <c r="D2039" s="15" t="n"/>
      <c r="E2039" s="23" t="n"/>
      <c r="F2039" s="15" t="n"/>
      <c r="G2039" s="23" t="n"/>
      <c r="H2039" s="25" t="n"/>
      <c r="I2039" s="15" t="n"/>
      <c r="J2039" s="26">
        <f>IF($A2039="","",LEN($C2039)-LEN(SUBSTITUTE($C2039,",",""))+1)</f>
        <v/>
      </c>
      <c r="K2039" s="26">
        <f>IF($A2039="","",SUMPRODUCT(--ISNUMBER(SEARCH('Category Dictionary'!$D$5:$D$135&amp;"",$C2039)),--('Category Dictionary'!$D$5:$D$135&lt;&gt;"")))</f>
        <v/>
      </c>
      <c r="L2039" s="27">
        <f>IF($A2039="","",TRIM(IF(ISERROR(FIND(",",$C2039)),$C2039,LEFT($C2039,FIND(",",$C2039)-1))))</f>
        <v/>
      </c>
      <c r="M2039" s="28">
        <f>IF($H2039="","",DATE(YEAR($H2039),MONTH($H2039),1))</f>
        <v/>
      </c>
      <c r="N2039" s="26">
        <f>IF($H2039="","",TODAY()-$H2039)</f>
        <v/>
      </c>
      <c r="O2039" s="15" t="n"/>
      <c r="P2039" s="26">
        <f>IF($A2039="","",COUNTIFS('Audit Versions'!$A$6:$A$605,$A2039,'Audit Versions'!$L$6:$L$605,"Active"))</f>
        <v/>
      </c>
      <c r="Q2039" s="15" t="n"/>
      <c r="R2039" s="26">
        <f>IF(OR($A2039="",$P2039=0),"",MOD(N($Q2039),$P2039)+1)</f>
        <v/>
      </c>
      <c r="S2039" s="15" t="n"/>
      <c r="T2039" s="25" t="n"/>
      <c r="U2039" s="26">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Builder'!$B$12="",N($S2039)&lt;='Assignment Builder'!$B$12)))</f>
        <v/>
      </c>
      <c r="V2039" s="23" t="n"/>
    </row>
    <row r="2040">
      <c r="A2040" s="23" t="n"/>
      <c r="B2040" s="23" t="n"/>
      <c r="C2040" s="24" t="n"/>
      <c r="D2040" s="15" t="n"/>
      <c r="E2040" s="23" t="n"/>
      <c r="F2040" s="15" t="n"/>
      <c r="G2040" s="23" t="n"/>
      <c r="H2040" s="25" t="n"/>
      <c r="I2040" s="15" t="n"/>
      <c r="J2040" s="26">
        <f>IF($A2040="","",LEN($C2040)-LEN(SUBSTITUTE($C2040,",",""))+1)</f>
        <v/>
      </c>
      <c r="K2040" s="26">
        <f>IF($A2040="","",SUMPRODUCT(--ISNUMBER(SEARCH('Category Dictionary'!$D$5:$D$135&amp;"",$C2040)),--('Category Dictionary'!$D$5:$D$135&lt;&gt;"")))</f>
        <v/>
      </c>
      <c r="L2040" s="27">
        <f>IF($A2040="","",TRIM(IF(ISERROR(FIND(",",$C2040)),$C2040,LEFT($C2040,FIND(",",$C2040)-1))))</f>
        <v/>
      </c>
      <c r="M2040" s="28">
        <f>IF($H2040="","",DATE(YEAR($H2040),MONTH($H2040),1))</f>
        <v/>
      </c>
      <c r="N2040" s="26">
        <f>IF($H2040="","",TODAY()-$H2040)</f>
        <v/>
      </c>
      <c r="O2040" s="15" t="n"/>
      <c r="P2040" s="26">
        <f>IF($A2040="","",COUNTIFS('Audit Versions'!$A$6:$A$605,$A2040,'Audit Versions'!$L$6:$L$605,"Active"))</f>
        <v/>
      </c>
      <c r="Q2040" s="15" t="n"/>
      <c r="R2040" s="26">
        <f>IF(OR($A2040="",$P2040=0),"",MOD(N($Q2040),$P2040)+1)</f>
        <v/>
      </c>
      <c r="S2040" s="15" t="n"/>
      <c r="T2040" s="25" t="n"/>
      <c r="U2040" s="26">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Builder'!$B$12="",N($S2040)&lt;='Assignment Builder'!$B$12)))</f>
        <v/>
      </c>
      <c r="V2040" s="23" t="n"/>
    </row>
    <row r="2041">
      <c r="A2041" s="23" t="n"/>
      <c r="B2041" s="23" t="n"/>
      <c r="C2041" s="24" t="n"/>
      <c r="D2041" s="15" t="n"/>
      <c r="E2041" s="23" t="n"/>
      <c r="F2041" s="15" t="n"/>
      <c r="G2041" s="23" t="n"/>
      <c r="H2041" s="25" t="n"/>
      <c r="I2041" s="15" t="n"/>
      <c r="J2041" s="26">
        <f>IF($A2041="","",LEN($C2041)-LEN(SUBSTITUTE($C2041,",",""))+1)</f>
        <v/>
      </c>
      <c r="K2041" s="26">
        <f>IF($A2041="","",SUMPRODUCT(--ISNUMBER(SEARCH('Category Dictionary'!$D$5:$D$135&amp;"",$C2041)),--('Category Dictionary'!$D$5:$D$135&lt;&gt;"")))</f>
        <v/>
      </c>
      <c r="L2041" s="27">
        <f>IF($A2041="","",TRIM(IF(ISERROR(FIND(",",$C2041)),$C2041,LEFT($C2041,FIND(",",$C2041)-1))))</f>
        <v/>
      </c>
      <c r="M2041" s="28">
        <f>IF($H2041="","",DATE(YEAR($H2041),MONTH($H2041),1))</f>
        <v/>
      </c>
      <c r="N2041" s="26">
        <f>IF($H2041="","",TODAY()-$H2041)</f>
        <v/>
      </c>
      <c r="O2041" s="15" t="n"/>
      <c r="P2041" s="26">
        <f>IF($A2041="","",COUNTIFS('Audit Versions'!$A$6:$A$605,$A2041,'Audit Versions'!$L$6:$L$605,"Active"))</f>
        <v/>
      </c>
      <c r="Q2041" s="15" t="n"/>
      <c r="R2041" s="26">
        <f>IF(OR($A2041="",$P2041=0),"",MOD(N($Q2041),$P2041)+1)</f>
        <v/>
      </c>
      <c r="S2041" s="15" t="n"/>
      <c r="T2041" s="25" t="n"/>
      <c r="U2041" s="26">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Builder'!$B$12="",N($S2041)&lt;='Assignment Builder'!$B$12)))</f>
        <v/>
      </c>
      <c r="V2041" s="23" t="n"/>
    </row>
    <row r="2042">
      <c r="A2042" s="23" t="n"/>
      <c r="B2042" s="23" t="n"/>
      <c r="C2042" s="24" t="n"/>
      <c r="D2042" s="15" t="n"/>
      <c r="E2042" s="23" t="n"/>
      <c r="F2042" s="15" t="n"/>
      <c r="G2042" s="23" t="n"/>
      <c r="H2042" s="25" t="n"/>
      <c r="I2042" s="15" t="n"/>
      <c r="J2042" s="26">
        <f>IF($A2042="","",LEN($C2042)-LEN(SUBSTITUTE($C2042,",",""))+1)</f>
        <v/>
      </c>
      <c r="K2042" s="26">
        <f>IF($A2042="","",SUMPRODUCT(--ISNUMBER(SEARCH('Category Dictionary'!$D$5:$D$135&amp;"",$C2042)),--('Category Dictionary'!$D$5:$D$135&lt;&gt;"")))</f>
        <v/>
      </c>
      <c r="L2042" s="27">
        <f>IF($A2042="","",TRIM(IF(ISERROR(FIND(",",$C2042)),$C2042,LEFT($C2042,FIND(",",$C2042)-1))))</f>
        <v/>
      </c>
      <c r="M2042" s="28">
        <f>IF($H2042="","",DATE(YEAR($H2042),MONTH($H2042),1))</f>
        <v/>
      </c>
      <c r="N2042" s="26">
        <f>IF($H2042="","",TODAY()-$H2042)</f>
        <v/>
      </c>
      <c r="O2042" s="15" t="n"/>
      <c r="P2042" s="26">
        <f>IF($A2042="","",COUNTIFS('Audit Versions'!$A$6:$A$605,$A2042,'Audit Versions'!$L$6:$L$605,"Active"))</f>
        <v/>
      </c>
      <c r="Q2042" s="15" t="n"/>
      <c r="R2042" s="26">
        <f>IF(OR($A2042="",$P2042=0),"",MOD(N($Q2042),$P2042)+1)</f>
        <v/>
      </c>
      <c r="S2042" s="15" t="n"/>
      <c r="T2042" s="25" t="n"/>
      <c r="U2042" s="26">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Builder'!$B$12="",N($S2042)&lt;='Assignment Builder'!$B$12)))</f>
        <v/>
      </c>
      <c r="V2042" s="23" t="n"/>
    </row>
    <row r="2043">
      <c r="A2043" s="23" t="n"/>
      <c r="B2043" s="23" t="n"/>
      <c r="C2043" s="24" t="n"/>
      <c r="D2043" s="15" t="n"/>
      <c r="E2043" s="23" t="n"/>
      <c r="F2043" s="15" t="n"/>
      <c r="G2043" s="23" t="n"/>
      <c r="H2043" s="25" t="n"/>
      <c r="I2043" s="15" t="n"/>
      <c r="J2043" s="26">
        <f>IF($A2043="","",LEN($C2043)-LEN(SUBSTITUTE($C2043,",",""))+1)</f>
        <v/>
      </c>
      <c r="K2043" s="26">
        <f>IF($A2043="","",SUMPRODUCT(--ISNUMBER(SEARCH('Category Dictionary'!$D$5:$D$135&amp;"",$C2043)),--('Category Dictionary'!$D$5:$D$135&lt;&gt;"")))</f>
        <v/>
      </c>
      <c r="L2043" s="27">
        <f>IF($A2043="","",TRIM(IF(ISERROR(FIND(",",$C2043)),$C2043,LEFT($C2043,FIND(",",$C2043)-1))))</f>
        <v/>
      </c>
      <c r="M2043" s="28">
        <f>IF($H2043="","",DATE(YEAR($H2043),MONTH($H2043),1))</f>
        <v/>
      </c>
      <c r="N2043" s="26">
        <f>IF($H2043="","",TODAY()-$H2043)</f>
        <v/>
      </c>
      <c r="O2043" s="15" t="n"/>
      <c r="P2043" s="26">
        <f>IF($A2043="","",COUNTIFS('Audit Versions'!$A$6:$A$605,$A2043,'Audit Versions'!$L$6:$L$605,"Active"))</f>
        <v/>
      </c>
      <c r="Q2043" s="15" t="n"/>
      <c r="R2043" s="26">
        <f>IF(OR($A2043="",$P2043=0),"",MOD(N($Q2043),$P2043)+1)</f>
        <v/>
      </c>
      <c r="S2043" s="15" t="n"/>
      <c r="T2043" s="25" t="n"/>
      <c r="U2043" s="26">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Builder'!$B$12="",N($S2043)&lt;='Assignment Builder'!$B$12)))</f>
        <v/>
      </c>
      <c r="V2043" s="23" t="n"/>
    </row>
    <row r="2044">
      <c r="A2044" s="23" t="n"/>
      <c r="B2044" s="23" t="n"/>
      <c r="C2044" s="24" t="n"/>
      <c r="D2044" s="15" t="n"/>
      <c r="E2044" s="23" t="n"/>
      <c r="F2044" s="15" t="n"/>
      <c r="G2044" s="23" t="n"/>
      <c r="H2044" s="25" t="n"/>
      <c r="I2044" s="15" t="n"/>
      <c r="J2044" s="26">
        <f>IF($A2044="","",LEN($C2044)-LEN(SUBSTITUTE($C2044,",",""))+1)</f>
        <v/>
      </c>
      <c r="K2044" s="26">
        <f>IF($A2044="","",SUMPRODUCT(--ISNUMBER(SEARCH('Category Dictionary'!$D$5:$D$135&amp;"",$C2044)),--('Category Dictionary'!$D$5:$D$135&lt;&gt;"")))</f>
        <v/>
      </c>
      <c r="L2044" s="27">
        <f>IF($A2044="","",TRIM(IF(ISERROR(FIND(",",$C2044)),$C2044,LEFT($C2044,FIND(",",$C2044)-1))))</f>
        <v/>
      </c>
      <c r="M2044" s="28">
        <f>IF($H2044="","",DATE(YEAR($H2044),MONTH($H2044),1))</f>
        <v/>
      </c>
      <c r="N2044" s="26">
        <f>IF($H2044="","",TODAY()-$H2044)</f>
        <v/>
      </c>
      <c r="O2044" s="15" t="n"/>
      <c r="P2044" s="26">
        <f>IF($A2044="","",COUNTIFS('Audit Versions'!$A$6:$A$605,$A2044,'Audit Versions'!$L$6:$L$605,"Active"))</f>
        <v/>
      </c>
      <c r="Q2044" s="15" t="n"/>
      <c r="R2044" s="26">
        <f>IF(OR($A2044="",$P2044=0),"",MOD(N($Q2044),$P2044)+1)</f>
        <v/>
      </c>
      <c r="S2044" s="15" t="n"/>
      <c r="T2044" s="25" t="n"/>
      <c r="U2044" s="26">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Builder'!$B$12="",N($S2044)&lt;='Assignment Builder'!$B$12)))</f>
        <v/>
      </c>
      <c r="V2044" s="23" t="n"/>
    </row>
    <row r="2045">
      <c r="A2045" s="23" t="n"/>
      <c r="B2045" s="23" t="n"/>
      <c r="C2045" s="24" t="n"/>
      <c r="D2045" s="15" t="n"/>
      <c r="E2045" s="23" t="n"/>
      <c r="F2045" s="15" t="n"/>
      <c r="G2045" s="23" t="n"/>
      <c r="H2045" s="25" t="n"/>
      <c r="I2045" s="15" t="n"/>
      <c r="J2045" s="26">
        <f>IF($A2045="","",LEN($C2045)-LEN(SUBSTITUTE($C2045,",",""))+1)</f>
        <v/>
      </c>
      <c r="K2045" s="26">
        <f>IF($A2045="","",SUMPRODUCT(--ISNUMBER(SEARCH('Category Dictionary'!$D$5:$D$135&amp;"",$C2045)),--('Category Dictionary'!$D$5:$D$135&lt;&gt;"")))</f>
        <v/>
      </c>
      <c r="L2045" s="27">
        <f>IF($A2045="","",TRIM(IF(ISERROR(FIND(",",$C2045)),$C2045,LEFT($C2045,FIND(",",$C2045)-1))))</f>
        <v/>
      </c>
      <c r="M2045" s="28">
        <f>IF($H2045="","",DATE(YEAR($H2045),MONTH($H2045),1))</f>
        <v/>
      </c>
      <c r="N2045" s="26">
        <f>IF($H2045="","",TODAY()-$H2045)</f>
        <v/>
      </c>
      <c r="O2045" s="15" t="n"/>
      <c r="P2045" s="26">
        <f>IF($A2045="","",COUNTIFS('Audit Versions'!$A$6:$A$605,$A2045,'Audit Versions'!$L$6:$L$605,"Active"))</f>
        <v/>
      </c>
      <c r="Q2045" s="15" t="n"/>
      <c r="R2045" s="26">
        <f>IF(OR($A2045="",$P2045=0),"",MOD(N($Q2045),$P2045)+1)</f>
        <v/>
      </c>
      <c r="S2045" s="15" t="n"/>
      <c r="T2045" s="25" t="n"/>
      <c r="U2045" s="26">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Builder'!$B$12="",N($S2045)&lt;='Assignment Builder'!$B$12)))</f>
        <v/>
      </c>
      <c r="V2045" s="23" t="n"/>
    </row>
    <row r="2046">
      <c r="A2046" s="23" t="n"/>
      <c r="B2046" s="23" t="n"/>
      <c r="C2046" s="24" t="n"/>
      <c r="D2046" s="15" t="n"/>
      <c r="E2046" s="23" t="n"/>
      <c r="F2046" s="15" t="n"/>
      <c r="G2046" s="23" t="n"/>
      <c r="H2046" s="25" t="n"/>
      <c r="I2046" s="15" t="n"/>
      <c r="J2046" s="26">
        <f>IF($A2046="","",LEN($C2046)-LEN(SUBSTITUTE($C2046,",",""))+1)</f>
        <v/>
      </c>
      <c r="K2046" s="26">
        <f>IF($A2046="","",SUMPRODUCT(--ISNUMBER(SEARCH('Category Dictionary'!$D$5:$D$135&amp;"",$C2046)),--('Category Dictionary'!$D$5:$D$135&lt;&gt;"")))</f>
        <v/>
      </c>
      <c r="L2046" s="27">
        <f>IF($A2046="","",TRIM(IF(ISERROR(FIND(",",$C2046)),$C2046,LEFT($C2046,FIND(",",$C2046)-1))))</f>
        <v/>
      </c>
      <c r="M2046" s="28">
        <f>IF($H2046="","",DATE(YEAR($H2046),MONTH($H2046),1))</f>
        <v/>
      </c>
      <c r="N2046" s="26">
        <f>IF($H2046="","",TODAY()-$H2046)</f>
        <v/>
      </c>
      <c r="O2046" s="15" t="n"/>
      <c r="P2046" s="26">
        <f>IF($A2046="","",COUNTIFS('Audit Versions'!$A$6:$A$605,$A2046,'Audit Versions'!$L$6:$L$605,"Active"))</f>
        <v/>
      </c>
      <c r="Q2046" s="15" t="n"/>
      <c r="R2046" s="26">
        <f>IF(OR($A2046="",$P2046=0),"",MOD(N($Q2046),$P2046)+1)</f>
        <v/>
      </c>
      <c r="S2046" s="15" t="n"/>
      <c r="T2046" s="25" t="n"/>
      <c r="U2046" s="26">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Builder'!$B$12="",N($S2046)&lt;='Assignment Builder'!$B$12)))</f>
        <v/>
      </c>
      <c r="V2046" s="23" t="n"/>
    </row>
    <row r="2047">
      <c r="A2047" s="23" t="n"/>
      <c r="B2047" s="23" t="n"/>
      <c r="C2047" s="24" t="n"/>
      <c r="D2047" s="15" t="n"/>
      <c r="E2047" s="23" t="n"/>
      <c r="F2047" s="15" t="n"/>
      <c r="G2047" s="23" t="n"/>
      <c r="H2047" s="25" t="n"/>
      <c r="I2047" s="15" t="n"/>
      <c r="J2047" s="26">
        <f>IF($A2047="","",LEN($C2047)-LEN(SUBSTITUTE($C2047,",",""))+1)</f>
        <v/>
      </c>
      <c r="K2047" s="26">
        <f>IF($A2047="","",SUMPRODUCT(--ISNUMBER(SEARCH('Category Dictionary'!$D$5:$D$135&amp;"",$C2047)),--('Category Dictionary'!$D$5:$D$135&lt;&gt;"")))</f>
        <v/>
      </c>
      <c r="L2047" s="27">
        <f>IF($A2047="","",TRIM(IF(ISERROR(FIND(",",$C2047)),$C2047,LEFT($C2047,FIND(",",$C2047)-1))))</f>
        <v/>
      </c>
      <c r="M2047" s="28">
        <f>IF($H2047="","",DATE(YEAR($H2047),MONTH($H2047),1))</f>
        <v/>
      </c>
      <c r="N2047" s="26">
        <f>IF($H2047="","",TODAY()-$H2047)</f>
        <v/>
      </c>
      <c r="O2047" s="15" t="n"/>
      <c r="P2047" s="26">
        <f>IF($A2047="","",COUNTIFS('Audit Versions'!$A$6:$A$605,$A2047,'Audit Versions'!$L$6:$L$605,"Active"))</f>
        <v/>
      </c>
      <c r="Q2047" s="15" t="n"/>
      <c r="R2047" s="26">
        <f>IF(OR($A2047="",$P2047=0),"",MOD(N($Q2047),$P2047)+1)</f>
        <v/>
      </c>
      <c r="S2047" s="15" t="n"/>
      <c r="T2047" s="25" t="n"/>
      <c r="U2047" s="26">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Builder'!$B$12="",N($S2047)&lt;='Assignment Builder'!$B$12)))</f>
        <v/>
      </c>
      <c r="V2047" s="23" t="n"/>
    </row>
    <row r="2048">
      <c r="A2048" s="23" t="n"/>
      <c r="B2048" s="23" t="n"/>
      <c r="C2048" s="24" t="n"/>
      <c r="D2048" s="15" t="n"/>
      <c r="E2048" s="23" t="n"/>
      <c r="F2048" s="15" t="n"/>
      <c r="G2048" s="23" t="n"/>
      <c r="H2048" s="25" t="n"/>
      <c r="I2048" s="15" t="n"/>
      <c r="J2048" s="26">
        <f>IF($A2048="","",LEN($C2048)-LEN(SUBSTITUTE($C2048,",",""))+1)</f>
        <v/>
      </c>
      <c r="K2048" s="26">
        <f>IF($A2048="","",SUMPRODUCT(--ISNUMBER(SEARCH('Category Dictionary'!$D$5:$D$135&amp;"",$C2048)),--('Category Dictionary'!$D$5:$D$135&lt;&gt;"")))</f>
        <v/>
      </c>
      <c r="L2048" s="27">
        <f>IF($A2048="","",TRIM(IF(ISERROR(FIND(",",$C2048)),$C2048,LEFT($C2048,FIND(",",$C2048)-1))))</f>
        <v/>
      </c>
      <c r="M2048" s="28">
        <f>IF($H2048="","",DATE(YEAR($H2048),MONTH($H2048),1))</f>
        <v/>
      </c>
      <c r="N2048" s="26">
        <f>IF($H2048="","",TODAY()-$H2048)</f>
        <v/>
      </c>
      <c r="O2048" s="15" t="n"/>
      <c r="P2048" s="26">
        <f>IF($A2048="","",COUNTIFS('Audit Versions'!$A$6:$A$605,$A2048,'Audit Versions'!$L$6:$L$605,"Active"))</f>
        <v/>
      </c>
      <c r="Q2048" s="15" t="n"/>
      <c r="R2048" s="26">
        <f>IF(OR($A2048="",$P2048=0),"",MOD(N($Q2048),$P2048)+1)</f>
        <v/>
      </c>
      <c r="S2048" s="15" t="n"/>
      <c r="T2048" s="25" t="n"/>
      <c r="U2048" s="26">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Builder'!$B$12="",N($S2048)&lt;='Assignment Builder'!$B$12)))</f>
        <v/>
      </c>
      <c r="V2048" s="23" t="n"/>
    </row>
    <row r="2049">
      <c r="A2049" s="23" t="n"/>
      <c r="B2049" s="23" t="n"/>
      <c r="C2049" s="24" t="n"/>
      <c r="D2049" s="15" t="n"/>
      <c r="E2049" s="23" t="n"/>
      <c r="F2049" s="15" t="n"/>
      <c r="G2049" s="23" t="n"/>
      <c r="H2049" s="25" t="n"/>
      <c r="I2049" s="15" t="n"/>
      <c r="J2049" s="26">
        <f>IF($A2049="","",LEN($C2049)-LEN(SUBSTITUTE($C2049,",",""))+1)</f>
        <v/>
      </c>
      <c r="K2049" s="26">
        <f>IF($A2049="","",SUMPRODUCT(--ISNUMBER(SEARCH('Category Dictionary'!$D$5:$D$135&amp;"",$C2049)),--('Category Dictionary'!$D$5:$D$135&lt;&gt;"")))</f>
        <v/>
      </c>
      <c r="L2049" s="27">
        <f>IF($A2049="","",TRIM(IF(ISERROR(FIND(",",$C2049)),$C2049,LEFT($C2049,FIND(",",$C2049)-1))))</f>
        <v/>
      </c>
      <c r="M2049" s="28">
        <f>IF($H2049="","",DATE(YEAR($H2049),MONTH($H2049),1))</f>
        <v/>
      </c>
      <c r="N2049" s="26">
        <f>IF($H2049="","",TODAY()-$H2049)</f>
        <v/>
      </c>
      <c r="O2049" s="15" t="n"/>
      <c r="P2049" s="26">
        <f>IF($A2049="","",COUNTIFS('Audit Versions'!$A$6:$A$605,$A2049,'Audit Versions'!$L$6:$L$605,"Active"))</f>
        <v/>
      </c>
      <c r="Q2049" s="15" t="n"/>
      <c r="R2049" s="26">
        <f>IF(OR($A2049="",$P2049=0),"",MOD(N($Q2049),$P2049)+1)</f>
        <v/>
      </c>
      <c r="S2049" s="15" t="n"/>
      <c r="T2049" s="25" t="n"/>
      <c r="U2049" s="26">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Builder'!$B$12="",N($S2049)&lt;='Assignment Builder'!$B$12)))</f>
        <v/>
      </c>
      <c r="V2049" s="23" t="n"/>
    </row>
    <row r="2050">
      <c r="A2050" s="23" t="n"/>
      <c r="B2050" s="23" t="n"/>
      <c r="C2050" s="24" t="n"/>
      <c r="D2050" s="15" t="n"/>
      <c r="E2050" s="23" t="n"/>
      <c r="F2050" s="15" t="n"/>
      <c r="G2050" s="23" t="n"/>
      <c r="H2050" s="25" t="n"/>
      <c r="I2050" s="15" t="n"/>
      <c r="J2050" s="26">
        <f>IF($A2050="","",LEN($C2050)-LEN(SUBSTITUTE($C2050,",",""))+1)</f>
        <v/>
      </c>
      <c r="K2050" s="26">
        <f>IF($A2050="","",SUMPRODUCT(--ISNUMBER(SEARCH('Category Dictionary'!$D$5:$D$135&amp;"",$C2050)),--('Category Dictionary'!$D$5:$D$135&lt;&gt;"")))</f>
        <v/>
      </c>
      <c r="L2050" s="27">
        <f>IF($A2050="","",TRIM(IF(ISERROR(FIND(",",$C2050)),$C2050,LEFT($C2050,FIND(",",$C2050)-1))))</f>
        <v/>
      </c>
      <c r="M2050" s="28">
        <f>IF($H2050="","",DATE(YEAR($H2050),MONTH($H2050),1))</f>
        <v/>
      </c>
      <c r="N2050" s="26">
        <f>IF($H2050="","",TODAY()-$H2050)</f>
        <v/>
      </c>
      <c r="O2050" s="15" t="n"/>
      <c r="P2050" s="26">
        <f>IF($A2050="","",COUNTIFS('Audit Versions'!$A$6:$A$605,$A2050,'Audit Versions'!$L$6:$L$605,"Active"))</f>
        <v/>
      </c>
      <c r="Q2050" s="15" t="n"/>
      <c r="R2050" s="26">
        <f>IF(OR($A2050="",$P2050=0),"",MOD(N($Q2050),$P2050)+1)</f>
        <v/>
      </c>
      <c r="S2050" s="15" t="n"/>
      <c r="T2050" s="25" t="n"/>
      <c r="U2050" s="26">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Builder'!$B$12="",N($S2050)&lt;='Assignment Builder'!$B$12)))</f>
        <v/>
      </c>
      <c r="V2050" s="23" t="n"/>
    </row>
    <row r="2051">
      <c r="A2051" s="23" t="n"/>
      <c r="B2051" s="23" t="n"/>
      <c r="C2051" s="24" t="n"/>
      <c r="D2051" s="15" t="n"/>
      <c r="E2051" s="23" t="n"/>
      <c r="F2051" s="15" t="n"/>
      <c r="G2051" s="23" t="n"/>
      <c r="H2051" s="25" t="n"/>
      <c r="I2051" s="15" t="n"/>
      <c r="J2051" s="26">
        <f>IF($A2051="","",LEN($C2051)-LEN(SUBSTITUTE($C2051,",",""))+1)</f>
        <v/>
      </c>
      <c r="K2051" s="26">
        <f>IF($A2051="","",SUMPRODUCT(--ISNUMBER(SEARCH('Category Dictionary'!$D$5:$D$135&amp;"",$C2051)),--('Category Dictionary'!$D$5:$D$135&lt;&gt;"")))</f>
        <v/>
      </c>
      <c r="L2051" s="27">
        <f>IF($A2051="","",TRIM(IF(ISERROR(FIND(",",$C2051)),$C2051,LEFT($C2051,FIND(",",$C2051)-1))))</f>
        <v/>
      </c>
      <c r="M2051" s="28">
        <f>IF($H2051="","",DATE(YEAR($H2051),MONTH($H2051),1))</f>
        <v/>
      </c>
      <c r="N2051" s="26">
        <f>IF($H2051="","",TODAY()-$H2051)</f>
        <v/>
      </c>
      <c r="O2051" s="15" t="n"/>
      <c r="P2051" s="26">
        <f>IF($A2051="","",COUNTIFS('Audit Versions'!$A$6:$A$605,$A2051,'Audit Versions'!$L$6:$L$605,"Active"))</f>
        <v/>
      </c>
      <c r="Q2051" s="15" t="n"/>
      <c r="R2051" s="26">
        <f>IF(OR($A2051="",$P2051=0),"",MOD(N($Q2051),$P2051)+1)</f>
        <v/>
      </c>
      <c r="S2051" s="15" t="n"/>
      <c r="T2051" s="25" t="n"/>
      <c r="U2051" s="26">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Builder'!$B$12="",N($S2051)&lt;='Assignment Builder'!$B$12)))</f>
        <v/>
      </c>
      <c r="V2051" s="23" t="n"/>
    </row>
    <row r="2052">
      <c r="A2052" s="23" t="n"/>
      <c r="B2052" s="23" t="n"/>
      <c r="C2052" s="24" t="n"/>
      <c r="D2052" s="15" t="n"/>
      <c r="E2052" s="23" t="n"/>
      <c r="F2052" s="15" t="n"/>
      <c r="G2052" s="23" t="n"/>
      <c r="H2052" s="25" t="n"/>
      <c r="I2052" s="15" t="n"/>
      <c r="J2052" s="26">
        <f>IF($A2052="","",LEN($C2052)-LEN(SUBSTITUTE($C2052,",",""))+1)</f>
        <v/>
      </c>
      <c r="K2052" s="26">
        <f>IF($A2052="","",SUMPRODUCT(--ISNUMBER(SEARCH('Category Dictionary'!$D$5:$D$135&amp;"",$C2052)),--('Category Dictionary'!$D$5:$D$135&lt;&gt;"")))</f>
        <v/>
      </c>
      <c r="L2052" s="27">
        <f>IF($A2052="","",TRIM(IF(ISERROR(FIND(",",$C2052)),$C2052,LEFT($C2052,FIND(",",$C2052)-1))))</f>
        <v/>
      </c>
      <c r="M2052" s="28">
        <f>IF($H2052="","",DATE(YEAR($H2052),MONTH($H2052),1))</f>
        <v/>
      </c>
      <c r="N2052" s="26">
        <f>IF($H2052="","",TODAY()-$H2052)</f>
        <v/>
      </c>
      <c r="O2052" s="15" t="n"/>
      <c r="P2052" s="26">
        <f>IF($A2052="","",COUNTIFS('Audit Versions'!$A$6:$A$605,$A2052,'Audit Versions'!$L$6:$L$605,"Active"))</f>
        <v/>
      </c>
      <c r="Q2052" s="15" t="n"/>
      <c r="R2052" s="26">
        <f>IF(OR($A2052="",$P2052=0),"",MOD(N($Q2052),$P2052)+1)</f>
        <v/>
      </c>
      <c r="S2052" s="15" t="n"/>
      <c r="T2052" s="25" t="n"/>
      <c r="U2052" s="26">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Builder'!$B$12="",N($S2052)&lt;='Assignment Builder'!$B$12)))</f>
        <v/>
      </c>
      <c r="V2052" s="23" t="n"/>
    </row>
    <row r="2053">
      <c r="A2053" s="23" t="n"/>
      <c r="B2053" s="23" t="n"/>
      <c r="C2053" s="24" t="n"/>
      <c r="D2053" s="15" t="n"/>
      <c r="E2053" s="23" t="n"/>
      <c r="F2053" s="15" t="n"/>
      <c r="G2053" s="23" t="n"/>
      <c r="H2053" s="25" t="n"/>
      <c r="I2053" s="15" t="n"/>
      <c r="J2053" s="26">
        <f>IF($A2053="","",LEN($C2053)-LEN(SUBSTITUTE($C2053,",",""))+1)</f>
        <v/>
      </c>
      <c r="K2053" s="26">
        <f>IF($A2053="","",SUMPRODUCT(--ISNUMBER(SEARCH('Category Dictionary'!$D$5:$D$135&amp;"",$C2053)),--('Category Dictionary'!$D$5:$D$135&lt;&gt;"")))</f>
        <v/>
      </c>
      <c r="L2053" s="27">
        <f>IF($A2053="","",TRIM(IF(ISERROR(FIND(",",$C2053)),$C2053,LEFT($C2053,FIND(",",$C2053)-1))))</f>
        <v/>
      </c>
      <c r="M2053" s="28">
        <f>IF($H2053="","",DATE(YEAR($H2053),MONTH($H2053),1))</f>
        <v/>
      </c>
      <c r="N2053" s="26">
        <f>IF($H2053="","",TODAY()-$H2053)</f>
        <v/>
      </c>
      <c r="O2053" s="15" t="n"/>
      <c r="P2053" s="26">
        <f>IF($A2053="","",COUNTIFS('Audit Versions'!$A$6:$A$605,$A2053,'Audit Versions'!$L$6:$L$605,"Active"))</f>
        <v/>
      </c>
      <c r="Q2053" s="15" t="n"/>
      <c r="R2053" s="26">
        <f>IF(OR($A2053="",$P2053=0),"",MOD(N($Q2053),$P2053)+1)</f>
        <v/>
      </c>
      <c r="S2053" s="15" t="n"/>
      <c r="T2053" s="25" t="n"/>
      <c r="U2053" s="26">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Builder'!$B$12="",N($S2053)&lt;='Assignment Builder'!$B$12)))</f>
        <v/>
      </c>
      <c r="V2053" s="23" t="n"/>
    </row>
    <row r="2054">
      <c r="A2054" s="23" t="n"/>
      <c r="B2054" s="23" t="n"/>
      <c r="C2054" s="24" t="n"/>
      <c r="D2054" s="15" t="n"/>
      <c r="E2054" s="23" t="n"/>
      <c r="F2054" s="15" t="n"/>
      <c r="G2054" s="23" t="n"/>
      <c r="H2054" s="25" t="n"/>
      <c r="I2054" s="15" t="n"/>
      <c r="J2054" s="26">
        <f>IF($A2054="","",LEN($C2054)-LEN(SUBSTITUTE($C2054,",",""))+1)</f>
        <v/>
      </c>
      <c r="K2054" s="26">
        <f>IF($A2054="","",SUMPRODUCT(--ISNUMBER(SEARCH('Category Dictionary'!$D$5:$D$135&amp;"",$C2054)),--('Category Dictionary'!$D$5:$D$135&lt;&gt;"")))</f>
        <v/>
      </c>
      <c r="L2054" s="27">
        <f>IF($A2054="","",TRIM(IF(ISERROR(FIND(",",$C2054)),$C2054,LEFT($C2054,FIND(",",$C2054)-1))))</f>
        <v/>
      </c>
      <c r="M2054" s="28">
        <f>IF($H2054="","",DATE(YEAR($H2054),MONTH($H2054),1))</f>
        <v/>
      </c>
      <c r="N2054" s="26">
        <f>IF($H2054="","",TODAY()-$H2054)</f>
        <v/>
      </c>
      <c r="O2054" s="15" t="n"/>
      <c r="P2054" s="26">
        <f>IF($A2054="","",COUNTIFS('Audit Versions'!$A$6:$A$605,$A2054,'Audit Versions'!$L$6:$L$605,"Active"))</f>
        <v/>
      </c>
      <c r="Q2054" s="15" t="n"/>
      <c r="R2054" s="26">
        <f>IF(OR($A2054="",$P2054=0),"",MOD(N($Q2054),$P2054)+1)</f>
        <v/>
      </c>
      <c r="S2054" s="15" t="n"/>
      <c r="T2054" s="25" t="n"/>
      <c r="U2054" s="26">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Builder'!$B$12="",N($S2054)&lt;='Assignment Builder'!$B$12)))</f>
        <v/>
      </c>
      <c r="V2054" s="23" t="n"/>
    </row>
    <row r="2055">
      <c r="A2055" s="23" t="n"/>
      <c r="B2055" s="23" t="n"/>
      <c r="C2055" s="24" t="n"/>
      <c r="D2055" s="15" t="n"/>
      <c r="E2055" s="23" t="n"/>
      <c r="F2055" s="15" t="n"/>
      <c r="G2055" s="23" t="n"/>
      <c r="H2055" s="25" t="n"/>
      <c r="I2055" s="15" t="n"/>
      <c r="J2055" s="26">
        <f>IF($A2055="","",LEN($C2055)-LEN(SUBSTITUTE($C2055,",",""))+1)</f>
        <v/>
      </c>
      <c r="K2055" s="26">
        <f>IF($A2055="","",SUMPRODUCT(--ISNUMBER(SEARCH('Category Dictionary'!$D$5:$D$135&amp;"",$C2055)),--('Category Dictionary'!$D$5:$D$135&lt;&gt;"")))</f>
        <v/>
      </c>
      <c r="L2055" s="27">
        <f>IF($A2055="","",TRIM(IF(ISERROR(FIND(",",$C2055)),$C2055,LEFT($C2055,FIND(",",$C2055)-1))))</f>
        <v/>
      </c>
      <c r="M2055" s="28">
        <f>IF($H2055="","",DATE(YEAR($H2055),MONTH($H2055),1))</f>
        <v/>
      </c>
      <c r="N2055" s="26">
        <f>IF($H2055="","",TODAY()-$H2055)</f>
        <v/>
      </c>
      <c r="O2055" s="15" t="n"/>
      <c r="P2055" s="26">
        <f>IF($A2055="","",COUNTIFS('Audit Versions'!$A$6:$A$605,$A2055,'Audit Versions'!$L$6:$L$605,"Active"))</f>
        <v/>
      </c>
      <c r="Q2055" s="15" t="n"/>
      <c r="R2055" s="26">
        <f>IF(OR($A2055="",$P2055=0),"",MOD(N($Q2055),$P2055)+1)</f>
        <v/>
      </c>
      <c r="S2055" s="15" t="n"/>
      <c r="T2055" s="25" t="n"/>
      <c r="U2055" s="26">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Builder'!$B$12="",N($S2055)&lt;='Assignment Builder'!$B$12)))</f>
        <v/>
      </c>
      <c r="V2055" s="23" t="n"/>
    </row>
    <row r="2056">
      <c r="A2056" s="23" t="n"/>
      <c r="B2056" s="23" t="n"/>
      <c r="C2056" s="24" t="n"/>
      <c r="D2056" s="15" t="n"/>
      <c r="E2056" s="23" t="n"/>
      <c r="F2056" s="15" t="n"/>
      <c r="G2056" s="23" t="n"/>
      <c r="H2056" s="25" t="n"/>
      <c r="I2056" s="15" t="n"/>
      <c r="J2056" s="26">
        <f>IF($A2056="","",LEN($C2056)-LEN(SUBSTITUTE($C2056,",",""))+1)</f>
        <v/>
      </c>
      <c r="K2056" s="26">
        <f>IF($A2056="","",SUMPRODUCT(--ISNUMBER(SEARCH('Category Dictionary'!$D$5:$D$135&amp;"",$C2056)),--('Category Dictionary'!$D$5:$D$135&lt;&gt;"")))</f>
        <v/>
      </c>
      <c r="L2056" s="27">
        <f>IF($A2056="","",TRIM(IF(ISERROR(FIND(",",$C2056)),$C2056,LEFT($C2056,FIND(",",$C2056)-1))))</f>
        <v/>
      </c>
      <c r="M2056" s="28">
        <f>IF($H2056="","",DATE(YEAR($H2056),MONTH($H2056),1))</f>
        <v/>
      </c>
      <c r="N2056" s="26">
        <f>IF($H2056="","",TODAY()-$H2056)</f>
        <v/>
      </c>
      <c r="O2056" s="15" t="n"/>
      <c r="P2056" s="26">
        <f>IF($A2056="","",COUNTIFS('Audit Versions'!$A$6:$A$605,$A2056,'Audit Versions'!$L$6:$L$605,"Active"))</f>
        <v/>
      </c>
      <c r="Q2056" s="15" t="n"/>
      <c r="R2056" s="26">
        <f>IF(OR($A2056="",$P2056=0),"",MOD(N($Q2056),$P2056)+1)</f>
        <v/>
      </c>
      <c r="S2056" s="15" t="n"/>
      <c r="T2056" s="25" t="n"/>
      <c r="U2056" s="26">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Builder'!$B$12="",N($S2056)&lt;='Assignment Builder'!$B$12)))</f>
        <v/>
      </c>
      <c r="V2056" s="23" t="n"/>
    </row>
    <row r="2057">
      <c r="A2057" s="23" t="n"/>
      <c r="B2057" s="23" t="n"/>
      <c r="C2057" s="24" t="n"/>
      <c r="D2057" s="15" t="n"/>
      <c r="E2057" s="23" t="n"/>
      <c r="F2057" s="15" t="n"/>
      <c r="G2057" s="23" t="n"/>
      <c r="H2057" s="25" t="n"/>
      <c r="I2057" s="15" t="n"/>
      <c r="J2057" s="26">
        <f>IF($A2057="","",LEN($C2057)-LEN(SUBSTITUTE($C2057,",",""))+1)</f>
        <v/>
      </c>
      <c r="K2057" s="26">
        <f>IF($A2057="","",SUMPRODUCT(--ISNUMBER(SEARCH('Category Dictionary'!$D$5:$D$135&amp;"",$C2057)),--('Category Dictionary'!$D$5:$D$135&lt;&gt;"")))</f>
        <v/>
      </c>
      <c r="L2057" s="27">
        <f>IF($A2057="","",TRIM(IF(ISERROR(FIND(",",$C2057)),$C2057,LEFT($C2057,FIND(",",$C2057)-1))))</f>
        <v/>
      </c>
      <c r="M2057" s="28">
        <f>IF($H2057="","",DATE(YEAR($H2057),MONTH($H2057),1))</f>
        <v/>
      </c>
      <c r="N2057" s="26">
        <f>IF($H2057="","",TODAY()-$H2057)</f>
        <v/>
      </c>
      <c r="O2057" s="15" t="n"/>
      <c r="P2057" s="26">
        <f>IF($A2057="","",COUNTIFS('Audit Versions'!$A$6:$A$605,$A2057,'Audit Versions'!$L$6:$L$605,"Active"))</f>
        <v/>
      </c>
      <c r="Q2057" s="15" t="n"/>
      <c r="R2057" s="26">
        <f>IF(OR($A2057="",$P2057=0),"",MOD(N($Q2057),$P2057)+1)</f>
        <v/>
      </c>
      <c r="S2057" s="15" t="n"/>
      <c r="T2057" s="25" t="n"/>
      <c r="U2057" s="26">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Builder'!$B$12="",N($S2057)&lt;='Assignment Builder'!$B$12)))</f>
        <v/>
      </c>
      <c r="V2057" s="23" t="n"/>
    </row>
    <row r="2058">
      <c r="A2058" s="23" t="n"/>
      <c r="B2058" s="23" t="n"/>
      <c r="C2058" s="24" t="n"/>
      <c r="D2058" s="15" t="n"/>
      <c r="E2058" s="23" t="n"/>
      <c r="F2058" s="15" t="n"/>
      <c r="G2058" s="23" t="n"/>
      <c r="H2058" s="25" t="n"/>
      <c r="I2058" s="15" t="n"/>
      <c r="J2058" s="26">
        <f>IF($A2058="","",LEN($C2058)-LEN(SUBSTITUTE($C2058,",",""))+1)</f>
        <v/>
      </c>
      <c r="K2058" s="26">
        <f>IF($A2058="","",SUMPRODUCT(--ISNUMBER(SEARCH('Category Dictionary'!$D$5:$D$135&amp;"",$C2058)),--('Category Dictionary'!$D$5:$D$135&lt;&gt;"")))</f>
        <v/>
      </c>
      <c r="L2058" s="27">
        <f>IF($A2058="","",TRIM(IF(ISERROR(FIND(",",$C2058)),$C2058,LEFT($C2058,FIND(",",$C2058)-1))))</f>
        <v/>
      </c>
      <c r="M2058" s="28">
        <f>IF($H2058="","",DATE(YEAR($H2058),MONTH($H2058),1))</f>
        <v/>
      </c>
      <c r="N2058" s="26">
        <f>IF($H2058="","",TODAY()-$H2058)</f>
        <v/>
      </c>
      <c r="O2058" s="15" t="n"/>
      <c r="P2058" s="26">
        <f>IF($A2058="","",COUNTIFS('Audit Versions'!$A$6:$A$605,$A2058,'Audit Versions'!$L$6:$L$605,"Active"))</f>
        <v/>
      </c>
      <c r="Q2058" s="15" t="n"/>
      <c r="R2058" s="26">
        <f>IF(OR($A2058="",$P2058=0),"",MOD(N($Q2058),$P2058)+1)</f>
        <v/>
      </c>
      <c r="S2058" s="15" t="n"/>
      <c r="T2058" s="25" t="n"/>
      <c r="U2058" s="26">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Builder'!$B$12="",N($S2058)&lt;='Assignment Builder'!$B$12)))</f>
        <v/>
      </c>
      <c r="V2058" s="23" t="n"/>
    </row>
    <row r="2059">
      <c r="A2059" s="23" t="n"/>
      <c r="B2059" s="23" t="n"/>
      <c r="C2059" s="24" t="n"/>
      <c r="D2059" s="15" t="n"/>
      <c r="E2059" s="23" t="n"/>
      <c r="F2059" s="15" t="n"/>
      <c r="G2059" s="23" t="n"/>
      <c r="H2059" s="25" t="n"/>
      <c r="I2059" s="15" t="n"/>
      <c r="J2059" s="26">
        <f>IF($A2059="","",LEN($C2059)-LEN(SUBSTITUTE($C2059,",",""))+1)</f>
        <v/>
      </c>
      <c r="K2059" s="26">
        <f>IF($A2059="","",SUMPRODUCT(--ISNUMBER(SEARCH('Category Dictionary'!$D$5:$D$135&amp;"",$C2059)),--('Category Dictionary'!$D$5:$D$135&lt;&gt;"")))</f>
        <v/>
      </c>
      <c r="L2059" s="27">
        <f>IF($A2059="","",TRIM(IF(ISERROR(FIND(",",$C2059)),$C2059,LEFT($C2059,FIND(",",$C2059)-1))))</f>
        <v/>
      </c>
      <c r="M2059" s="28">
        <f>IF($H2059="","",DATE(YEAR($H2059),MONTH($H2059),1))</f>
        <v/>
      </c>
      <c r="N2059" s="26">
        <f>IF($H2059="","",TODAY()-$H2059)</f>
        <v/>
      </c>
      <c r="O2059" s="15" t="n"/>
      <c r="P2059" s="26">
        <f>IF($A2059="","",COUNTIFS('Audit Versions'!$A$6:$A$605,$A2059,'Audit Versions'!$L$6:$L$605,"Active"))</f>
        <v/>
      </c>
      <c r="Q2059" s="15" t="n"/>
      <c r="R2059" s="26">
        <f>IF(OR($A2059="",$P2059=0),"",MOD(N($Q2059),$P2059)+1)</f>
        <v/>
      </c>
      <c r="S2059" s="15" t="n"/>
      <c r="T2059" s="25" t="n"/>
      <c r="U2059" s="26">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Builder'!$B$12="",N($S2059)&lt;='Assignment Builder'!$B$12)))</f>
        <v/>
      </c>
      <c r="V2059" s="23" t="n"/>
    </row>
    <row r="2060">
      <c r="A2060" s="23" t="n"/>
      <c r="B2060" s="23" t="n"/>
      <c r="C2060" s="24" t="n"/>
      <c r="D2060" s="15" t="n"/>
      <c r="E2060" s="23" t="n"/>
      <c r="F2060" s="15" t="n"/>
      <c r="G2060" s="23" t="n"/>
      <c r="H2060" s="25" t="n"/>
      <c r="I2060" s="15" t="n"/>
      <c r="J2060" s="26">
        <f>IF($A2060="","",LEN($C2060)-LEN(SUBSTITUTE($C2060,",",""))+1)</f>
        <v/>
      </c>
      <c r="K2060" s="26">
        <f>IF($A2060="","",SUMPRODUCT(--ISNUMBER(SEARCH('Category Dictionary'!$D$5:$D$135&amp;"",$C2060)),--('Category Dictionary'!$D$5:$D$135&lt;&gt;"")))</f>
        <v/>
      </c>
      <c r="L2060" s="27">
        <f>IF($A2060="","",TRIM(IF(ISERROR(FIND(",",$C2060)),$C2060,LEFT($C2060,FIND(",",$C2060)-1))))</f>
        <v/>
      </c>
      <c r="M2060" s="28">
        <f>IF($H2060="","",DATE(YEAR($H2060),MONTH($H2060),1))</f>
        <v/>
      </c>
      <c r="N2060" s="26">
        <f>IF($H2060="","",TODAY()-$H2060)</f>
        <v/>
      </c>
      <c r="O2060" s="15" t="n"/>
      <c r="P2060" s="26">
        <f>IF($A2060="","",COUNTIFS('Audit Versions'!$A$6:$A$605,$A2060,'Audit Versions'!$L$6:$L$605,"Active"))</f>
        <v/>
      </c>
      <c r="Q2060" s="15" t="n"/>
      <c r="R2060" s="26">
        <f>IF(OR($A2060="",$P2060=0),"",MOD(N($Q2060),$P2060)+1)</f>
        <v/>
      </c>
      <c r="S2060" s="15" t="n"/>
      <c r="T2060" s="25" t="n"/>
      <c r="U2060" s="26">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Builder'!$B$12="",N($S2060)&lt;='Assignment Builder'!$B$12)))</f>
        <v/>
      </c>
      <c r="V2060" s="23" t="n"/>
    </row>
    <row r="2061">
      <c r="A2061" s="23" t="n"/>
      <c r="B2061" s="23" t="n"/>
      <c r="C2061" s="24" t="n"/>
      <c r="D2061" s="15" t="n"/>
      <c r="E2061" s="23" t="n"/>
      <c r="F2061" s="15" t="n"/>
      <c r="G2061" s="23" t="n"/>
      <c r="H2061" s="25" t="n"/>
      <c r="I2061" s="15" t="n"/>
      <c r="J2061" s="26">
        <f>IF($A2061="","",LEN($C2061)-LEN(SUBSTITUTE($C2061,",",""))+1)</f>
        <v/>
      </c>
      <c r="K2061" s="26">
        <f>IF($A2061="","",SUMPRODUCT(--ISNUMBER(SEARCH('Category Dictionary'!$D$5:$D$135&amp;"",$C2061)),--('Category Dictionary'!$D$5:$D$135&lt;&gt;"")))</f>
        <v/>
      </c>
      <c r="L2061" s="27">
        <f>IF($A2061="","",TRIM(IF(ISERROR(FIND(",",$C2061)),$C2061,LEFT($C2061,FIND(",",$C2061)-1))))</f>
        <v/>
      </c>
      <c r="M2061" s="28">
        <f>IF($H2061="","",DATE(YEAR($H2061),MONTH($H2061),1))</f>
        <v/>
      </c>
      <c r="N2061" s="26">
        <f>IF($H2061="","",TODAY()-$H2061)</f>
        <v/>
      </c>
      <c r="O2061" s="15" t="n"/>
      <c r="P2061" s="26">
        <f>IF($A2061="","",COUNTIFS('Audit Versions'!$A$6:$A$605,$A2061,'Audit Versions'!$L$6:$L$605,"Active"))</f>
        <v/>
      </c>
      <c r="Q2061" s="15" t="n"/>
      <c r="R2061" s="26">
        <f>IF(OR($A2061="",$P2061=0),"",MOD(N($Q2061),$P2061)+1)</f>
        <v/>
      </c>
      <c r="S2061" s="15" t="n"/>
      <c r="T2061" s="25" t="n"/>
      <c r="U2061" s="26">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Builder'!$B$12="",N($S2061)&lt;='Assignment Builder'!$B$12)))</f>
        <v/>
      </c>
      <c r="V2061" s="23" t="n"/>
    </row>
    <row r="2062">
      <c r="A2062" s="23" t="n"/>
      <c r="B2062" s="23" t="n"/>
      <c r="C2062" s="24" t="n"/>
      <c r="D2062" s="15" t="n"/>
      <c r="E2062" s="23" t="n"/>
      <c r="F2062" s="15" t="n"/>
      <c r="G2062" s="23" t="n"/>
      <c r="H2062" s="25" t="n"/>
      <c r="I2062" s="15" t="n"/>
      <c r="J2062" s="26">
        <f>IF($A2062="","",LEN($C2062)-LEN(SUBSTITUTE($C2062,",",""))+1)</f>
        <v/>
      </c>
      <c r="K2062" s="26">
        <f>IF($A2062="","",SUMPRODUCT(--ISNUMBER(SEARCH('Category Dictionary'!$D$5:$D$135&amp;"",$C2062)),--('Category Dictionary'!$D$5:$D$135&lt;&gt;"")))</f>
        <v/>
      </c>
      <c r="L2062" s="27">
        <f>IF($A2062="","",TRIM(IF(ISERROR(FIND(",",$C2062)),$C2062,LEFT($C2062,FIND(",",$C2062)-1))))</f>
        <v/>
      </c>
      <c r="M2062" s="28">
        <f>IF($H2062="","",DATE(YEAR($H2062),MONTH($H2062),1))</f>
        <v/>
      </c>
      <c r="N2062" s="26">
        <f>IF($H2062="","",TODAY()-$H2062)</f>
        <v/>
      </c>
      <c r="O2062" s="15" t="n"/>
      <c r="P2062" s="26">
        <f>IF($A2062="","",COUNTIFS('Audit Versions'!$A$6:$A$605,$A2062,'Audit Versions'!$L$6:$L$605,"Active"))</f>
        <v/>
      </c>
      <c r="Q2062" s="15" t="n"/>
      <c r="R2062" s="26">
        <f>IF(OR($A2062="",$P2062=0),"",MOD(N($Q2062),$P2062)+1)</f>
        <v/>
      </c>
      <c r="S2062" s="15" t="n"/>
      <c r="T2062" s="25" t="n"/>
      <c r="U2062" s="26">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Builder'!$B$12="",N($S2062)&lt;='Assignment Builder'!$B$12)))</f>
        <v/>
      </c>
      <c r="V2062" s="23" t="n"/>
    </row>
    <row r="2063">
      <c r="A2063" s="23" t="n"/>
      <c r="B2063" s="23" t="n"/>
      <c r="C2063" s="24" t="n"/>
      <c r="D2063" s="15" t="n"/>
      <c r="E2063" s="23" t="n"/>
      <c r="F2063" s="15" t="n"/>
      <c r="G2063" s="23" t="n"/>
      <c r="H2063" s="25" t="n"/>
      <c r="I2063" s="15" t="n"/>
      <c r="J2063" s="26">
        <f>IF($A2063="","",LEN($C2063)-LEN(SUBSTITUTE($C2063,",",""))+1)</f>
        <v/>
      </c>
      <c r="K2063" s="26">
        <f>IF($A2063="","",SUMPRODUCT(--ISNUMBER(SEARCH('Category Dictionary'!$D$5:$D$135&amp;"",$C2063)),--('Category Dictionary'!$D$5:$D$135&lt;&gt;"")))</f>
        <v/>
      </c>
      <c r="L2063" s="27">
        <f>IF($A2063="","",TRIM(IF(ISERROR(FIND(",",$C2063)),$C2063,LEFT($C2063,FIND(",",$C2063)-1))))</f>
        <v/>
      </c>
      <c r="M2063" s="28">
        <f>IF($H2063="","",DATE(YEAR($H2063),MONTH($H2063),1))</f>
        <v/>
      </c>
      <c r="N2063" s="26">
        <f>IF($H2063="","",TODAY()-$H2063)</f>
        <v/>
      </c>
      <c r="O2063" s="15" t="n"/>
      <c r="P2063" s="26">
        <f>IF($A2063="","",COUNTIFS('Audit Versions'!$A$6:$A$605,$A2063,'Audit Versions'!$L$6:$L$605,"Active"))</f>
        <v/>
      </c>
      <c r="Q2063" s="15" t="n"/>
      <c r="R2063" s="26">
        <f>IF(OR($A2063="",$P2063=0),"",MOD(N($Q2063),$P2063)+1)</f>
        <v/>
      </c>
      <c r="S2063" s="15" t="n"/>
      <c r="T2063" s="25" t="n"/>
      <c r="U2063" s="26">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Builder'!$B$12="",N($S2063)&lt;='Assignment Builder'!$B$12)))</f>
        <v/>
      </c>
      <c r="V2063" s="23" t="n"/>
    </row>
    <row r="2064">
      <c r="A2064" s="23" t="n"/>
      <c r="B2064" s="23" t="n"/>
      <c r="C2064" s="24" t="n"/>
      <c r="D2064" s="15" t="n"/>
      <c r="E2064" s="23" t="n"/>
      <c r="F2064" s="15" t="n"/>
      <c r="G2064" s="23" t="n"/>
      <c r="H2064" s="25" t="n"/>
      <c r="I2064" s="15" t="n"/>
      <c r="J2064" s="26">
        <f>IF($A2064="","",LEN($C2064)-LEN(SUBSTITUTE($C2064,",",""))+1)</f>
        <v/>
      </c>
      <c r="K2064" s="26">
        <f>IF($A2064="","",SUMPRODUCT(--ISNUMBER(SEARCH('Category Dictionary'!$D$5:$D$135&amp;"",$C2064)),--('Category Dictionary'!$D$5:$D$135&lt;&gt;"")))</f>
        <v/>
      </c>
      <c r="L2064" s="27">
        <f>IF($A2064="","",TRIM(IF(ISERROR(FIND(",",$C2064)),$C2064,LEFT($C2064,FIND(",",$C2064)-1))))</f>
        <v/>
      </c>
      <c r="M2064" s="28">
        <f>IF($H2064="","",DATE(YEAR($H2064),MONTH($H2064),1))</f>
        <v/>
      </c>
      <c r="N2064" s="26">
        <f>IF($H2064="","",TODAY()-$H2064)</f>
        <v/>
      </c>
      <c r="O2064" s="15" t="n"/>
      <c r="P2064" s="26">
        <f>IF($A2064="","",COUNTIFS('Audit Versions'!$A$6:$A$605,$A2064,'Audit Versions'!$L$6:$L$605,"Active"))</f>
        <v/>
      </c>
      <c r="Q2064" s="15" t="n"/>
      <c r="R2064" s="26">
        <f>IF(OR($A2064="",$P2064=0),"",MOD(N($Q2064),$P2064)+1)</f>
        <v/>
      </c>
      <c r="S2064" s="15" t="n"/>
      <c r="T2064" s="25" t="n"/>
      <c r="U2064" s="26">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Builder'!$B$12="",N($S2064)&lt;='Assignment Builder'!$B$12)))</f>
        <v/>
      </c>
      <c r="V2064" s="23" t="n"/>
    </row>
    <row r="2065">
      <c r="A2065" s="23" t="n"/>
      <c r="B2065" s="23" t="n"/>
      <c r="C2065" s="24" t="n"/>
      <c r="D2065" s="15" t="n"/>
      <c r="E2065" s="23" t="n"/>
      <c r="F2065" s="15" t="n"/>
      <c r="G2065" s="23" t="n"/>
      <c r="H2065" s="25" t="n"/>
      <c r="I2065" s="15" t="n"/>
      <c r="J2065" s="26">
        <f>IF($A2065="","",LEN($C2065)-LEN(SUBSTITUTE($C2065,",",""))+1)</f>
        <v/>
      </c>
      <c r="K2065" s="26">
        <f>IF($A2065="","",SUMPRODUCT(--ISNUMBER(SEARCH('Category Dictionary'!$D$5:$D$135&amp;"",$C2065)),--('Category Dictionary'!$D$5:$D$135&lt;&gt;"")))</f>
        <v/>
      </c>
      <c r="L2065" s="27">
        <f>IF($A2065="","",TRIM(IF(ISERROR(FIND(",",$C2065)),$C2065,LEFT($C2065,FIND(",",$C2065)-1))))</f>
        <v/>
      </c>
      <c r="M2065" s="28">
        <f>IF($H2065="","",DATE(YEAR($H2065),MONTH($H2065),1))</f>
        <v/>
      </c>
      <c r="N2065" s="26">
        <f>IF($H2065="","",TODAY()-$H2065)</f>
        <v/>
      </c>
      <c r="O2065" s="15" t="n"/>
      <c r="P2065" s="26">
        <f>IF($A2065="","",COUNTIFS('Audit Versions'!$A$6:$A$605,$A2065,'Audit Versions'!$L$6:$L$605,"Active"))</f>
        <v/>
      </c>
      <c r="Q2065" s="15" t="n"/>
      <c r="R2065" s="26">
        <f>IF(OR($A2065="",$P2065=0),"",MOD(N($Q2065),$P2065)+1)</f>
        <v/>
      </c>
      <c r="S2065" s="15" t="n"/>
      <c r="T2065" s="25" t="n"/>
      <c r="U2065" s="26">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Builder'!$B$12="",N($S2065)&lt;='Assignment Builder'!$B$12)))</f>
        <v/>
      </c>
      <c r="V2065" s="23" t="n"/>
    </row>
    <row r="2066">
      <c r="A2066" s="23" t="n"/>
      <c r="B2066" s="23" t="n"/>
      <c r="C2066" s="24" t="n"/>
      <c r="D2066" s="15" t="n"/>
      <c r="E2066" s="23" t="n"/>
      <c r="F2066" s="15" t="n"/>
      <c r="G2066" s="23" t="n"/>
      <c r="H2066" s="25" t="n"/>
      <c r="I2066" s="15" t="n"/>
      <c r="J2066" s="26">
        <f>IF($A2066="","",LEN($C2066)-LEN(SUBSTITUTE($C2066,",",""))+1)</f>
        <v/>
      </c>
      <c r="K2066" s="26">
        <f>IF($A2066="","",SUMPRODUCT(--ISNUMBER(SEARCH('Category Dictionary'!$D$5:$D$135&amp;"",$C2066)),--('Category Dictionary'!$D$5:$D$135&lt;&gt;"")))</f>
        <v/>
      </c>
      <c r="L2066" s="27">
        <f>IF($A2066="","",TRIM(IF(ISERROR(FIND(",",$C2066)),$C2066,LEFT($C2066,FIND(",",$C2066)-1))))</f>
        <v/>
      </c>
      <c r="M2066" s="28">
        <f>IF($H2066="","",DATE(YEAR($H2066),MONTH($H2066),1))</f>
        <v/>
      </c>
      <c r="N2066" s="26">
        <f>IF($H2066="","",TODAY()-$H2066)</f>
        <v/>
      </c>
      <c r="O2066" s="15" t="n"/>
      <c r="P2066" s="26">
        <f>IF($A2066="","",COUNTIFS('Audit Versions'!$A$6:$A$605,$A2066,'Audit Versions'!$L$6:$L$605,"Active"))</f>
        <v/>
      </c>
      <c r="Q2066" s="15" t="n"/>
      <c r="R2066" s="26">
        <f>IF(OR($A2066="",$P2066=0),"",MOD(N($Q2066),$P2066)+1)</f>
        <v/>
      </c>
      <c r="S2066" s="15" t="n"/>
      <c r="T2066" s="25" t="n"/>
      <c r="U2066" s="26">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Builder'!$B$12="",N($S2066)&lt;='Assignment Builder'!$B$12)))</f>
        <v/>
      </c>
      <c r="V2066" s="23" t="n"/>
    </row>
    <row r="2067">
      <c r="A2067" s="23" t="n"/>
      <c r="B2067" s="23" t="n"/>
      <c r="C2067" s="24" t="n"/>
      <c r="D2067" s="15" t="n"/>
      <c r="E2067" s="23" t="n"/>
      <c r="F2067" s="15" t="n"/>
      <c r="G2067" s="23" t="n"/>
      <c r="H2067" s="25" t="n"/>
      <c r="I2067" s="15" t="n"/>
      <c r="J2067" s="26">
        <f>IF($A2067="","",LEN($C2067)-LEN(SUBSTITUTE($C2067,",",""))+1)</f>
        <v/>
      </c>
      <c r="K2067" s="26">
        <f>IF($A2067="","",SUMPRODUCT(--ISNUMBER(SEARCH('Category Dictionary'!$D$5:$D$135&amp;"",$C2067)),--('Category Dictionary'!$D$5:$D$135&lt;&gt;"")))</f>
        <v/>
      </c>
      <c r="L2067" s="27">
        <f>IF($A2067="","",TRIM(IF(ISERROR(FIND(",",$C2067)),$C2067,LEFT($C2067,FIND(",",$C2067)-1))))</f>
        <v/>
      </c>
      <c r="M2067" s="28">
        <f>IF($H2067="","",DATE(YEAR($H2067),MONTH($H2067),1))</f>
        <v/>
      </c>
      <c r="N2067" s="26">
        <f>IF($H2067="","",TODAY()-$H2067)</f>
        <v/>
      </c>
      <c r="O2067" s="15" t="n"/>
      <c r="P2067" s="26">
        <f>IF($A2067="","",COUNTIFS('Audit Versions'!$A$6:$A$605,$A2067,'Audit Versions'!$L$6:$L$605,"Active"))</f>
        <v/>
      </c>
      <c r="Q2067" s="15" t="n"/>
      <c r="R2067" s="26">
        <f>IF(OR($A2067="",$P2067=0),"",MOD(N($Q2067),$P2067)+1)</f>
        <v/>
      </c>
      <c r="S2067" s="15" t="n"/>
      <c r="T2067" s="25" t="n"/>
      <c r="U2067" s="26">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Builder'!$B$12="",N($S2067)&lt;='Assignment Builder'!$B$12)))</f>
        <v/>
      </c>
      <c r="V2067" s="23" t="n"/>
    </row>
    <row r="2068">
      <c r="A2068" s="23" t="n"/>
      <c r="B2068" s="23" t="n"/>
      <c r="C2068" s="24" t="n"/>
      <c r="D2068" s="15" t="n"/>
      <c r="E2068" s="23" t="n"/>
      <c r="F2068" s="15" t="n"/>
      <c r="G2068" s="23" t="n"/>
      <c r="H2068" s="25" t="n"/>
      <c r="I2068" s="15" t="n"/>
      <c r="J2068" s="26">
        <f>IF($A2068="","",LEN($C2068)-LEN(SUBSTITUTE($C2068,",",""))+1)</f>
        <v/>
      </c>
      <c r="K2068" s="26">
        <f>IF($A2068="","",SUMPRODUCT(--ISNUMBER(SEARCH('Category Dictionary'!$D$5:$D$135&amp;"",$C2068)),--('Category Dictionary'!$D$5:$D$135&lt;&gt;"")))</f>
        <v/>
      </c>
      <c r="L2068" s="27">
        <f>IF($A2068="","",TRIM(IF(ISERROR(FIND(",",$C2068)),$C2068,LEFT($C2068,FIND(",",$C2068)-1))))</f>
        <v/>
      </c>
      <c r="M2068" s="28">
        <f>IF($H2068="","",DATE(YEAR($H2068),MONTH($H2068),1))</f>
        <v/>
      </c>
      <c r="N2068" s="26">
        <f>IF($H2068="","",TODAY()-$H2068)</f>
        <v/>
      </c>
      <c r="O2068" s="15" t="n"/>
      <c r="P2068" s="26">
        <f>IF($A2068="","",COUNTIFS('Audit Versions'!$A$6:$A$605,$A2068,'Audit Versions'!$L$6:$L$605,"Active"))</f>
        <v/>
      </c>
      <c r="Q2068" s="15" t="n"/>
      <c r="R2068" s="26">
        <f>IF(OR($A2068="",$P2068=0),"",MOD(N($Q2068),$P2068)+1)</f>
        <v/>
      </c>
      <c r="S2068" s="15" t="n"/>
      <c r="T2068" s="25" t="n"/>
      <c r="U2068" s="26">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Builder'!$B$12="",N($S2068)&lt;='Assignment Builder'!$B$12)))</f>
        <v/>
      </c>
      <c r="V2068" s="23" t="n"/>
    </row>
    <row r="2069">
      <c r="A2069" s="23" t="n"/>
      <c r="B2069" s="23" t="n"/>
      <c r="C2069" s="24" t="n"/>
      <c r="D2069" s="15" t="n"/>
      <c r="E2069" s="23" t="n"/>
      <c r="F2069" s="15" t="n"/>
      <c r="G2069" s="23" t="n"/>
      <c r="H2069" s="25" t="n"/>
      <c r="I2069" s="15" t="n"/>
      <c r="J2069" s="26">
        <f>IF($A2069="","",LEN($C2069)-LEN(SUBSTITUTE($C2069,",",""))+1)</f>
        <v/>
      </c>
      <c r="K2069" s="26">
        <f>IF($A2069="","",SUMPRODUCT(--ISNUMBER(SEARCH('Category Dictionary'!$D$5:$D$135&amp;"",$C2069)),--('Category Dictionary'!$D$5:$D$135&lt;&gt;"")))</f>
        <v/>
      </c>
      <c r="L2069" s="27">
        <f>IF($A2069="","",TRIM(IF(ISERROR(FIND(",",$C2069)),$C2069,LEFT($C2069,FIND(",",$C2069)-1))))</f>
        <v/>
      </c>
      <c r="M2069" s="28">
        <f>IF($H2069="","",DATE(YEAR($H2069),MONTH($H2069),1))</f>
        <v/>
      </c>
      <c r="N2069" s="26">
        <f>IF($H2069="","",TODAY()-$H2069)</f>
        <v/>
      </c>
      <c r="O2069" s="15" t="n"/>
      <c r="P2069" s="26">
        <f>IF($A2069="","",COUNTIFS('Audit Versions'!$A$6:$A$605,$A2069,'Audit Versions'!$L$6:$L$605,"Active"))</f>
        <v/>
      </c>
      <c r="Q2069" s="15" t="n"/>
      <c r="R2069" s="26">
        <f>IF(OR($A2069="",$P2069=0),"",MOD(N($Q2069),$P2069)+1)</f>
        <v/>
      </c>
      <c r="S2069" s="15" t="n"/>
      <c r="T2069" s="25" t="n"/>
      <c r="U2069" s="26">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Builder'!$B$12="",N($S2069)&lt;='Assignment Builder'!$B$12)))</f>
        <v/>
      </c>
      <c r="V2069" s="23" t="n"/>
    </row>
    <row r="2070">
      <c r="A2070" s="23" t="n"/>
      <c r="B2070" s="23" t="n"/>
      <c r="C2070" s="24" t="n"/>
      <c r="D2070" s="15" t="n"/>
      <c r="E2070" s="23" t="n"/>
      <c r="F2070" s="15" t="n"/>
      <c r="G2070" s="23" t="n"/>
      <c r="H2070" s="25" t="n"/>
      <c r="I2070" s="15" t="n"/>
      <c r="J2070" s="26">
        <f>IF($A2070="","",LEN($C2070)-LEN(SUBSTITUTE($C2070,",",""))+1)</f>
        <v/>
      </c>
      <c r="K2070" s="26">
        <f>IF($A2070="","",SUMPRODUCT(--ISNUMBER(SEARCH('Category Dictionary'!$D$5:$D$135&amp;"",$C2070)),--('Category Dictionary'!$D$5:$D$135&lt;&gt;"")))</f>
        <v/>
      </c>
      <c r="L2070" s="27">
        <f>IF($A2070="","",TRIM(IF(ISERROR(FIND(",",$C2070)),$C2070,LEFT($C2070,FIND(",",$C2070)-1))))</f>
        <v/>
      </c>
      <c r="M2070" s="28">
        <f>IF($H2070="","",DATE(YEAR($H2070),MONTH($H2070),1))</f>
        <v/>
      </c>
      <c r="N2070" s="26">
        <f>IF($H2070="","",TODAY()-$H2070)</f>
        <v/>
      </c>
      <c r="O2070" s="15" t="n"/>
      <c r="P2070" s="26">
        <f>IF($A2070="","",COUNTIFS('Audit Versions'!$A$6:$A$605,$A2070,'Audit Versions'!$L$6:$L$605,"Active"))</f>
        <v/>
      </c>
      <c r="Q2070" s="15" t="n"/>
      <c r="R2070" s="26">
        <f>IF(OR($A2070="",$P2070=0),"",MOD(N($Q2070),$P2070)+1)</f>
        <v/>
      </c>
      <c r="S2070" s="15" t="n"/>
      <c r="T2070" s="25" t="n"/>
      <c r="U2070" s="26">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Builder'!$B$12="",N($S2070)&lt;='Assignment Builder'!$B$12)))</f>
        <v/>
      </c>
      <c r="V2070" s="23" t="n"/>
    </row>
    <row r="2071">
      <c r="A2071" s="23" t="n"/>
      <c r="B2071" s="23" t="n"/>
      <c r="C2071" s="24" t="n"/>
      <c r="D2071" s="15" t="n"/>
      <c r="E2071" s="23" t="n"/>
      <c r="F2071" s="15" t="n"/>
      <c r="G2071" s="23" t="n"/>
      <c r="H2071" s="25" t="n"/>
      <c r="I2071" s="15" t="n"/>
      <c r="J2071" s="26">
        <f>IF($A2071="","",LEN($C2071)-LEN(SUBSTITUTE($C2071,",",""))+1)</f>
        <v/>
      </c>
      <c r="K2071" s="26">
        <f>IF($A2071="","",SUMPRODUCT(--ISNUMBER(SEARCH('Category Dictionary'!$D$5:$D$135&amp;"",$C2071)),--('Category Dictionary'!$D$5:$D$135&lt;&gt;"")))</f>
        <v/>
      </c>
      <c r="L2071" s="27">
        <f>IF($A2071="","",TRIM(IF(ISERROR(FIND(",",$C2071)),$C2071,LEFT($C2071,FIND(",",$C2071)-1))))</f>
        <v/>
      </c>
      <c r="M2071" s="28">
        <f>IF($H2071="","",DATE(YEAR($H2071),MONTH($H2071),1))</f>
        <v/>
      </c>
      <c r="N2071" s="26">
        <f>IF($H2071="","",TODAY()-$H2071)</f>
        <v/>
      </c>
      <c r="O2071" s="15" t="n"/>
      <c r="P2071" s="26">
        <f>IF($A2071="","",COUNTIFS('Audit Versions'!$A$6:$A$605,$A2071,'Audit Versions'!$L$6:$L$605,"Active"))</f>
        <v/>
      </c>
      <c r="Q2071" s="15" t="n"/>
      <c r="R2071" s="26">
        <f>IF(OR($A2071="",$P2071=0),"",MOD(N($Q2071),$P2071)+1)</f>
        <v/>
      </c>
      <c r="S2071" s="15" t="n"/>
      <c r="T2071" s="25" t="n"/>
      <c r="U2071" s="26">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Builder'!$B$12="",N($S2071)&lt;='Assignment Builder'!$B$12)))</f>
        <v/>
      </c>
      <c r="V2071" s="23" t="n"/>
    </row>
    <row r="2072">
      <c r="A2072" s="23" t="n"/>
      <c r="B2072" s="23" t="n"/>
      <c r="C2072" s="24" t="n"/>
      <c r="D2072" s="15" t="n"/>
      <c r="E2072" s="23" t="n"/>
      <c r="F2072" s="15" t="n"/>
      <c r="G2072" s="23" t="n"/>
      <c r="H2072" s="25" t="n"/>
      <c r="I2072" s="15" t="n"/>
      <c r="J2072" s="26">
        <f>IF($A2072="","",LEN($C2072)-LEN(SUBSTITUTE($C2072,",",""))+1)</f>
        <v/>
      </c>
      <c r="K2072" s="26">
        <f>IF($A2072="","",SUMPRODUCT(--ISNUMBER(SEARCH('Category Dictionary'!$D$5:$D$135&amp;"",$C2072)),--('Category Dictionary'!$D$5:$D$135&lt;&gt;"")))</f>
        <v/>
      </c>
      <c r="L2072" s="27">
        <f>IF($A2072="","",TRIM(IF(ISERROR(FIND(",",$C2072)),$C2072,LEFT($C2072,FIND(",",$C2072)-1))))</f>
        <v/>
      </c>
      <c r="M2072" s="28">
        <f>IF($H2072="","",DATE(YEAR($H2072),MONTH($H2072),1))</f>
        <v/>
      </c>
      <c r="N2072" s="26">
        <f>IF($H2072="","",TODAY()-$H2072)</f>
        <v/>
      </c>
      <c r="O2072" s="15" t="n"/>
      <c r="P2072" s="26">
        <f>IF($A2072="","",COUNTIFS('Audit Versions'!$A$6:$A$605,$A2072,'Audit Versions'!$L$6:$L$605,"Active"))</f>
        <v/>
      </c>
      <c r="Q2072" s="15" t="n"/>
      <c r="R2072" s="26">
        <f>IF(OR($A2072="",$P2072=0),"",MOD(N($Q2072),$P2072)+1)</f>
        <v/>
      </c>
      <c r="S2072" s="15" t="n"/>
      <c r="T2072" s="25" t="n"/>
      <c r="U2072" s="26">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Builder'!$B$12="",N($S2072)&lt;='Assignment Builder'!$B$12)))</f>
        <v/>
      </c>
      <c r="V2072" s="23" t="n"/>
    </row>
    <row r="2073">
      <c r="A2073" s="23" t="n"/>
      <c r="B2073" s="23" t="n"/>
      <c r="C2073" s="24" t="n"/>
      <c r="D2073" s="15" t="n"/>
      <c r="E2073" s="23" t="n"/>
      <c r="F2073" s="15" t="n"/>
      <c r="G2073" s="23" t="n"/>
      <c r="H2073" s="25" t="n"/>
      <c r="I2073" s="15" t="n"/>
      <c r="J2073" s="26">
        <f>IF($A2073="","",LEN($C2073)-LEN(SUBSTITUTE($C2073,",",""))+1)</f>
        <v/>
      </c>
      <c r="K2073" s="26">
        <f>IF($A2073="","",SUMPRODUCT(--ISNUMBER(SEARCH('Category Dictionary'!$D$5:$D$135&amp;"",$C2073)),--('Category Dictionary'!$D$5:$D$135&lt;&gt;"")))</f>
        <v/>
      </c>
      <c r="L2073" s="27">
        <f>IF($A2073="","",TRIM(IF(ISERROR(FIND(",",$C2073)),$C2073,LEFT($C2073,FIND(",",$C2073)-1))))</f>
        <v/>
      </c>
      <c r="M2073" s="28">
        <f>IF($H2073="","",DATE(YEAR($H2073),MONTH($H2073),1))</f>
        <v/>
      </c>
      <c r="N2073" s="26">
        <f>IF($H2073="","",TODAY()-$H2073)</f>
        <v/>
      </c>
      <c r="O2073" s="15" t="n"/>
      <c r="P2073" s="26">
        <f>IF($A2073="","",COUNTIFS('Audit Versions'!$A$6:$A$605,$A2073,'Audit Versions'!$L$6:$L$605,"Active"))</f>
        <v/>
      </c>
      <c r="Q2073" s="15" t="n"/>
      <c r="R2073" s="26">
        <f>IF(OR($A2073="",$P2073=0),"",MOD(N($Q2073),$P2073)+1)</f>
        <v/>
      </c>
      <c r="S2073" s="15" t="n"/>
      <c r="T2073" s="25" t="n"/>
      <c r="U2073" s="26">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Builder'!$B$12="",N($S2073)&lt;='Assignment Builder'!$B$12)))</f>
        <v/>
      </c>
      <c r="V2073" s="23" t="n"/>
    </row>
    <row r="2074">
      <c r="A2074" s="23" t="n"/>
      <c r="B2074" s="23" t="n"/>
      <c r="C2074" s="24" t="n"/>
      <c r="D2074" s="15" t="n"/>
      <c r="E2074" s="23" t="n"/>
      <c r="F2074" s="15" t="n"/>
      <c r="G2074" s="23" t="n"/>
      <c r="H2074" s="25" t="n"/>
      <c r="I2074" s="15" t="n"/>
      <c r="J2074" s="26">
        <f>IF($A2074="","",LEN($C2074)-LEN(SUBSTITUTE($C2074,",",""))+1)</f>
        <v/>
      </c>
      <c r="K2074" s="26">
        <f>IF($A2074="","",SUMPRODUCT(--ISNUMBER(SEARCH('Category Dictionary'!$D$5:$D$135&amp;"",$C2074)),--('Category Dictionary'!$D$5:$D$135&lt;&gt;"")))</f>
        <v/>
      </c>
      <c r="L2074" s="27">
        <f>IF($A2074="","",TRIM(IF(ISERROR(FIND(",",$C2074)),$C2074,LEFT($C2074,FIND(",",$C2074)-1))))</f>
        <v/>
      </c>
      <c r="M2074" s="28">
        <f>IF($H2074="","",DATE(YEAR($H2074),MONTH($H2074),1))</f>
        <v/>
      </c>
      <c r="N2074" s="26">
        <f>IF($H2074="","",TODAY()-$H2074)</f>
        <v/>
      </c>
      <c r="O2074" s="15" t="n"/>
      <c r="P2074" s="26">
        <f>IF($A2074="","",COUNTIFS('Audit Versions'!$A$6:$A$605,$A2074,'Audit Versions'!$L$6:$L$605,"Active"))</f>
        <v/>
      </c>
      <c r="Q2074" s="15" t="n"/>
      <c r="R2074" s="26">
        <f>IF(OR($A2074="",$P2074=0),"",MOD(N($Q2074),$P2074)+1)</f>
        <v/>
      </c>
      <c r="S2074" s="15" t="n"/>
      <c r="T2074" s="25" t="n"/>
      <c r="U2074" s="26">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Builder'!$B$12="",N($S2074)&lt;='Assignment Builder'!$B$12)))</f>
        <v/>
      </c>
      <c r="V2074" s="23" t="n"/>
    </row>
    <row r="2075">
      <c r="A2075" s="23" t="n"/>
      <c r="B2075" s="23" t="n"/>
      <c r="C2075" s="24" t="n"/>
      <c r="D2075" s="15" t="n"/>
      <c r="E2075" s="23" t="n"/>
      <c r="F2075" s="15" t="n"/>
      <c r="G2075" s="23" t="n"/>
      <c r="H2075" s="25" t="n"/>
      <c r="I2075" s="15" t="n"/>
      <c r="J2075" s="26">
        <f>IF($A2075="","",LEN($C2075)-LEN(SUBSTITUTE($C2075,",",""))+1)</f>
        <v/>
      </c>
      <c r="K2075" s="26">
        <f>IF($A2075="","",SUMPRODUCT(--ISNUMBER(SEARCH('Category Dictionary'!$D$5:$D$135&amp;"",$C2075)),--('Category Dictionary'!$D$5:$D$135&lt;&gt;"")))</f>
        <v/>
      </c>
      <c r="L2075" s="27">
        <f>IF($A2075="","",TRIM(IF(ISERROR(FIND(",",$C2075)),$C2075,LEFT($C2075,FIND(",",$C2075)-1))))</f>
        <v/>
      </c>
      <c r="M2075" s="28">
        <f>IF($H2075="","",DATE(YEAR($H2075),MONTH($H2075),1))</f>
        <v/>
      </c>
      <c r="N2075" s="26">
        <f>IF($H2075="","",TODAY()-$H2075)</f>
        <v/>
      </c>
      <c r="O2075" s="15" t="n"/>
      <c r="P2075" s="26">
        <f>IF($A2075="","",COUNTIFS('Audit Versions'!$A$6:$A$605,$A2075,'Audit Versions'!$L$6:$L$605,"Active"))</f>
        <v/>
      </c>
      <c r="Q2075" s="15" t="n"/>
      <c r="R2075" s="26">
        <f>IF(OR($A2075="",$P2075=0),"",MOD(N($Q2075),$P2075)+1)</f>
        <v/>
      </c>
      <c r="S2075" s="15" t="n"/>
      <c r="T2075" s="25" t="n"/>
      <c r="U2075" s="26">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Builder'!$B$12="",N($S2075)&lt;='Assignment Builder'!$B$12)))</f>
        <v/>
      </c>
      <c r="V2075" s="23" t="n"/>
    </row>
    <row r="2076">
      <c r="A2076" s="23" t="n"/>
      <c r="B2076" s="23" t="n"/>
      <c r="C2076" s="24" t="n"/>
      <c r="D2076" s="15" t="n"/>
      <c r="E2076" s="23" t="n"/>
      <c r="F2076" s="15" t="n"/>
      <c r="G2076" s="23" t="n"/>
      <c r="H2076" s="25" t="n"/>
      <c r="I2076" s="15" t="n"/>
      <c r="J2076" s="26">
        <f>IF($A2076="","",LEN($C2076)-LEN(SUBSTITUTE($C2076,",",""))+1)</f>
        <v/>
      </c>
      <c r="K2076" s="26">
        <f>IF($A2076="","",SUMPRODUCT(--ISNUMBER(SEARCH('Category Dictionary'!$D$5:$D$135&amp;"",$C2076)),--('Category Dictionary'!$D$5:$D$135&lt;&gt;"")))</f>
        <v/>
      </c>
      <c r="L2076" s="27">
        <f>IF($A2076="","",TRIM(IF(ISERROR(FIND(",",$C2076)),$C2076,LEFT($C2076,FIND(",",$C2076)-1))))</f>
        <v/>
      </c>
      <c r="M2076" s="28">
        <f>IF($H2076="","",DATE(YEAR($H2076),MONTH($H2076),1))</f>
        <v/>
      </c>
      <c r="N2076" s="26">
        <f>IF($H2076="","",TODAY()-$H2076)</f>
        <v/>
      </c>
      <c r="O2076" s="15" t="n"/>
      <c r="P2076" s="26">
        <f>IF($A2076="","",COUNTIFS('Audit Versions'!$A$6:$A$605,$A2076,'Audit Versions'!$L$6:$L$605,"Active"))</f>
        <v/>
      </c>
      <c r="Q2076" s="15" t="n"/>
      <c r="R2076" s="26">
        <f>IF(OR($A2076="",$P2076=0),"",MOD(N($Q2076),$P2076)+1)</f>
        <v/>
      </c>
      <c r="S2076" s="15" t="n"/>
      <c r="T2076" s="25" t="n"/>
      <c r="U2076" s="26">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Builder'!$B$12="",N($S2076)&lt;='Assignment Builder'!$B$12)))</f>
        <v/>
      </c>
      <c r="V2076" s="23" t="n"/>
    </row>
    <row r="2077">
      <c r="A2077" s="23" t="n"/>
      <c r="B2077" s="23" t="n"/>
      <c r="C2077" s="24" t="n"/>
      <c r="D2077" s="15" t="n"/>
      <c r="E2077" s="23" t="n"/>
      <c r="F2077" s="15" t="n"/>
      <c r="G2077" s="23" t="n"/>
      <c r="H2077" s="25" t="n"/>
      <c r="I2077" s="15" t="n"/>
      <c r="J2077" s="26">
        <f>IF($A2077="","",LEN($C2077)-LEN(SUBSTITUTE($C2077,",",""))+1)</f>
        <v/>
      </c>
      <c r="K2077" s="26">
        <f>IF($A2077="","",SUMPRODUCT(--ISNUMBER(SEARCH('Category Dictionary'!$D$5:$D$135&amp;"",$C2077)),--('Category Dictionary'!$D$5:$D$135&lt;&gt;"")))</f>
        <v/>
      </c>
      <c r="L2077" s="27">
        <f>IF($A2077="","",TRIM(IF(ISERROR(FIND(",",$C2077)),$C2077,LEFT($C2077,FIND(",",$C2077)-1))))</f>
        <v/>
      </c>
      <c r="M2077" s="28">
        <f>IF($H2077="","",DATE(YEAR($H2077),MONTH($H2077),1))</f>
        <v/>
      </c>
      <c r="N2077" s="26">
        <f>IF($H2077="","",TODAY()-$H2077)</f>
        <v/>
      </c>
      <c r="O2077" s="15" t="n"/>
      <c r="P2077" s="26">
        <f>IF($A2077="","",COUNTIFS('Audit Versions'!$A$6:$A$605,$A2077,'Audit Versions'!$L$6:$L$605,"Active"))</f>
        <v/>
      </c>
      <c r="Q2077" s="15" t="n"/>
      <c r="R2077" s="26">
        <f>IF(OR($A2077="",$P2077=0),"",MOD(N($Q2077),$P2077)+1)</f>
        <v/>
      </c>
      <c r="S2077" s="15" t="n"/>
      <c r="T2077" s="25" t="n"/>
      <c r="U2077" s="26">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Builder'!$B$12="",N($S2077)&lt;='Assignment Builder'!$B$12)))</f>
        <v/>
      </c>
      <c r="V2077" s="23" t="n"/>
    </row>
    <row r="2078">
      <c r="A2078" s="23" t="n"/>
      <c r="B2078" s="23" t="n"/>
      <c r="C2078" s="24" t="n"/>
      <c r="D2078" s="15" t="n"/>
      <c r="E2078" s="23" t="n"/>
      <c r="F2078" s="15" t="n"/>
      <c r="G2078" s="23" t="n"/>
      <c r="H2078" s="25" t="n"/>
      <c r="I2078" s="15" t="n"/>
      <c r="J2078" s="26">
        <f>IF($A2078="","",LEN($C2078)-LEN(SUBSTITUTE($C2078,",",""))+1)</f>
        <v/>
      </c>
      <c r="K2078" s="26">
        <f>IF($A2078="","",SUMPRODUCT(--ISNUMBER(SEARCH('Category Dictionary'!$D$5:$D$135&amp;"",$C2078)),--('Category Dictionary'!$D$5:$D$135&lt;&gt;"")))</f>
        <v/>
      </c>
      <c r="L2078" s="27">
        <f>IF($A2078="","",TRIM(IF(ISERROR(FIND(",",$C2078)),$C2078,LEFT($C2078,FIND(",",$C2078)-1))))</f>
        <v/>
      </c>
      <c r="M2078" s="28">
        <f>IF($H2078="","",DATE(YEAR($H2078),MONTH($H2078),1))</f>
        <v/>
      </c>
      <c r="N2078" s="26">
        <f>IF($H2078="","",TODAY()-$H2078)</f>
        <v/>
      </c>
      <c r="O2078" s="15" t="n"/>
      <c r="P2078" s="26">
        <f>IF($A2078="","",COUNTIFS('Audit Versions'!$A$6:$A$605,$A2078,'Audit Versions'!$L$6:$L$605,"Active"))</f>
        <v/>
      </c>
      <c r="Q2078" s="15" t="n"/>
      <c r="R2078" s="26">
        <f>IF(OR($A2078="",$P2078=0),"",MOD(N($Q2078),$P2078)+1)</f>
        <v/>
      </c>
      <c r="S2078" s="15" t="n"/>
      <c r="T2078" s="25" t="n"/>
      <c r="U2078" s="26">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Builder'!$B$12="",N($S2078)&lt;='Assignment Builder'!$B$12)))</f>
        <v/>
      </c>
      <c r="V2078" s="23" t="n"/>
    </row>
    <row r="2079">
      <c r="A2079" s="23" t="n"/>
      <c r="B2079" s="23" t="n"/>
      <c r="C2079" s="24" t="n"/>
      <c r="D2079" s="15" t="n"/>
      <c r="E2079" s="23" t="n"/>
      <c r="F2079" s="15" t="n"/>
      <c r="G2079" s="23" t="n"/>
      <c r="H2079" s="25" t="n"/>
      <c r="I2079" s="15" t="n"/>
      <c r="J2079" s="26">
        <f>IF($A2079="","",LEN($C2079)-LEN(SUBSTITUTE($C2079,",",""))+1)</f>
        <v/>
      </c>
      <c r="K2079" s="26">
        <f>IF($A2079="","",SUMPRODUCT(--ISNUMBER(SEARCH('Category Dictionary'!$D$5:$D$135&amp;"",$C2079)),--('Category Dictionary'!$D$5:$D$135&lt;&gt;"")))</f>
        <v/>
      </c>
      <c r="L2079" s="27">
        <f>IF($A2079="","",TRIM(IF(ISERROR(FIND(",",$C2079)),$C2079,LEFT($C2079,FIND(",",$C2079)-1))))</f>
        <v/>
      </c>
      <c r="M2079" s="28">
        <f>IF($H2079="","",DATE(YEAR($H2079),MONTH($H2079),1))</f>
        <v/>
      </c>
      <c r="N2079" s="26">
        <f>IF($H2079="","",TODAY()-$H2079)</f>
        <v/>
      </c>
      <c r="O2079" s="15" t="n"/>
      <c r="P2079" s="26">
        <f>IF($A2079="","",COUNTIFS('Audit Versions'!$A$6:$A$605,$A2079,'Audit Versions'!$L$6:$L$605,"Active"))</f>
        <v/>
      </c>
      <c r="Q2079" s="15" t="n"/>
      <c r="R2079" s="26">
        <f>IF(OR($A2079="",$P2079=0),"",MOD(N($Q2079),$P2079)+1)</f>
        <v/>
      </c>
      <c r="S2079" s="15" t="n"/>
      <c r="T2079" s="25" t="n"/>
      <c r="U2079" s="26">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Builder'!$B$12="",N($S2079)&lt;='Assignment Builder'!$B$12)))</f>
        <v/>
      </c>
      <c r="V2079" s="23" t="n"/>
    </row>
    <row r="2080">
      <c r="A2080" s="23" t="n"/>
      <c r="B2080" s="23" t="n"/>
      <c r="C2080" s="24" t="n"/>
      <c r="D2080" s="15" t="n"/>
      <c r="E2080" s="23" t="n"/>
      <c r="F2080" s="15" t="n"/>
      <c r="G2080" s="23" t="n"/>
      <c r="H2080" s="25" t="n"/>
      <c r="I2080" s="15" t="n"/>
      <c r="J2080" s="26">
        <f>IF($A2080="","",LEN($C2080)-LEN(SUBSTITUTE($C2080,",",""))+1)</f>
        <v/>
      </c>
      <c r="K2080" s="26">
        <f>IF($A2080="","",SUMPRODUCT(--ISNUMBER(SEARCH('Category Dictionary'!$D$5:$D$135&amp;"",$C2080)),--('Category Dictionary'!$D$5:$D$135&lt;&gt;"")))</f>
        <v/>
      </c>
      <c r="L2080" s="27">
        <f>IF($A2080="","",TRIM(IF(ISERROR(FIND(",",$C2080)),$C2080,LEFT($C2080,FIND(",",$C2080)-1))))</f>
        <v/>
      </c>
      <c r="M2080" s="28">
        <f>IF($H2080="","",DATE(YEAR($H2080),MONTH($H2080),1))</f>
        <v/>
      </c>
      <c r="N2080" s="26">
        <f>IF($H2080="","",TODAY()-$H2080)</f>
        <v/>
      </c>
      <c r="O2080" s="15" t="n"/>
      <c r="P2080" s="26">
        <f>IF($A2080="","",COUNTIFS('Audit Versions'!$A$6:$A$605,$A2080,'Audit Versions'!$L$6:$L$605,"Active"))</f>
        <v/>
      </c>
      <c r="Q2080" s="15" t="n"/>
      <c r="R2080" s="26">
        <f>IF(OR($A2080="",$P2080=0),"",MOD(N($Q2080),$P2080)+1)</f>
        <v/>
      </c>
      <c r="S2080" s="15" t="n"/>
      <c r="T2080" s="25" t="n"/>
      <c r="U2080" s="26">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Builder'!$B$12="",N($S2080)&lt;='Assignment Builder'!$B$12)))</f>
        <v/>
      </c>
      <c r="V2080" s="23" t="n"/>
    </row>
    <row r="2081">
      <c r="A2081" s="23" t="n"/>
      <c r="B2081" s="23" t="n"/>
      <c r="C2081" s="24" t="n"/>
      <c r="D2081" s="15" t="n"/>
      <c r="E2081" s="23" t="n"/>
      <c r="F2081" s="15" t="n"/>
      <c r="G2081" s="23" t="n"/>
      <c r="H2081" s="25" t="n"/>
      <c r="I2081" s="15" t="n"/>
      <c r="J2081" s="26">
        <f>IF($A2081="","",LEN($C2081)-LEN(SUBSTITUTE($C2081,",",""))+1)</f>
        <v/>
      </c>
      <c r="K2081" s="26">
        <f>IF($A2081="","",SUMPRODUCT(--ISNUMBER(SEARCH('Category Dictionary'!$D$5:$D$135&amp;"",$C2081)),--('Category Dictionary'!$D$5:$D$135&lt;&gt;"")))</f>
        <v/>
      </c>
      <c r="L2081" s="27">
        <f>IF($A2081="","",TRIM(IF(ISERROR(FIND(",",$C2081)),$C2081,LEFT($C2081,FIND(",",$C2081)-1))))</f>
        <v/>
      </c>
      <c r="M2081" s="28">
        <f>IF($H2081="","",DATE(YEAR($H2081),MONTH($H2081),1))</f>
        <v/>
      </c>
      <c r="N2081" s="26">
        <f>IF($H2081="","",TODAY()-$H2081)</f>
        <v/>
      </c>
      <c r="O2081" s="15" t="n"/>
      <c r="P2081" s="26">
        <f>IF($A2081="","",COUNTIFS('Audit Versions'!$A$6:$A$605,$A2081,'Audit Versions'!$L$6:$L$605,"Active"))</f>
        <v/>
      </c>
      <c r="Q2081" s="15" t="n"/>
      <c r="R2081" s="26">
        <f>IF(OR($A2081="",$P2081=0),"",MOD(N($Q2081),$P2081)+1)</f>
        <v/>
      </c>
      <c r="S2081" s="15" t="n"/>
      <c r="T2081" s="25" t="n"/>
      <c r="U2081" s="26">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Builder'!$B$12="",N($S2081)&lt;='Assignment Builder'!$B$12)))</f>
        <v/>
      </c>
      <c r="V2081" s="23" t="n"/>
    </row>
    <row r="2082">
      <c r="A2082" s="23" t="n"/>
      <c r="B2082" s="23" t="n"/>
      <c r="C2082" s="24" t="n"/>
      <c r="D2082" s="15" t="n"/>
      <c r="E2082" s="23" t="n"/>
      <c r="F2082" s="15" t="n"/>
      <c r="G2082" s="23" t="n"/>
      <c r="H2082" s="25" t="n"/>
      <c r="I2082" s="15" t="n"/>
      <c r="J2082" s="26">
        <f>IF($A2082="","",LEN($C2082)-LEN(SUBSTITUTE($C2082,",",""))+1)</f>
        <v/>
      </c>
      <c r="K2082" s="26">
        <f>IF($A2082="","",SUMPRODUCT(--ISNUMBER(SEARCH('Category Dictionary'!$D$5:$D$135&amp;"",$C2082)),--('Category Dictionary'!$D$5:$D$135&lt;&gt;"")))</f>
        <v/>
      </c>
      <c r="L2082" s="27">
        <f>IF($A2082="","",TRIM(IF(ISERROR(FIND(",",$C2082)),$C2082,LEFT($C2082,FIND(",",$C2082)-1))))</f>
        <v/>
      </c>
      <c r="M2082" s="28">
        <f>IF($H2082="","",DATE(YEAR($H2082),MONTH($H2082),1))</f>
        <v/>
      </c>
      <c r="N2082" s="26">
        <f>IF($H2082="","",TODAY()-$H2082)</f>
        <v/>
      </c>
      <c r="O2082" s="15" t="n"/>
      <c r="P2082" s="26">
        <f>IF($A2082="","",COUNTIFS('Audit Versions'!$A$6:$A$605,$A2082,'Audit Versions'!$L$6:$L$605,"Active"))</f>
        <v/>
      </c>
      <c r="Q2082" s="15" t="n"/>
      <c r="R2082" s="26">
        <f>IF(OR($A2082="",$P2082=0),"",MOD(N($Q2082),$P2082)+1)</f>
        <v/>
      </c>
      <c r="S2082" s="15" t="n"/>
      <c r="T2082" s="25" t="n"/>
      <c r="U2082" s="26">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Builder'!$B$12="",N($S2082)&lt;='Assignment Builder'!$B$12)))</f>
        <v/>
      </c>
      <c r="V2082" s="23" t="n"/>
    </row>
    <row r="2083">
      <c r="A2083" s="23" t="n"/>
      <c r="B2083" s="23" t="n"/>
      <c r="C2083" s="24" t="n"/>
      <c r="D2083" s="15" t="n"/>
      <c r="E2083" s="23" t="n"/>
      <c r="F2083" s="15" t="n"/>
      <c r="G2083" s="23" t="n"/>
      <c r="H2083" s="25" t="n"/>
      <c r="I2083" s="15" t="n"/>
      <c r="J2083" s="26">
        <f>IF($A2083="","",LEN($C2083)-LEN(SUBSTITUTE($C2083,",",""))+1)</f>
        <v/>
      </c>
      <c r="K2083" s="26">
        <f>IF($A2083="","",SUMPRODUCT(--ISNUMBER(SEARCH('Category Dictionary'!$D$5:$D$135&amp;"",$C2083)),--('Category Dictionary'!$D$5:$D$135&lt;&gt;"")))</f>
        <v/>
      </c>
      <c r="L2083" s="27">
        <f>IF($A2083="","",TRIM(IF(ISERROR(FIND(",",$C2083)),$C2083,LEFT($C2083,FIND(",",$C2083)-1))))</f>
        <v/>
      </c>
      <c r="M2083" s="28">
        <f>IF($H2083="","",DATE(YEAR($H2083),MONTH($H2083),1))</f>
        <v/>
      </c>
      <c r="N2083" s="26">
        <f>IF($H2083="","",TODAY()-$H2083)</f>
        <v/>
      </c>
      <c r="O2083" s="15" t="n"/>
      <c r="P2083" s="26">
        <f>IF($A2083="","",COUNTIFS('Audit Versions'!$A$6:$A$605,$A2083,'Audit Versions'!$L$6:$L$605,"Active"))</f>
        <v/>
      </c>
      <c r="Q2083" s="15" t="n"/>
      <c r="R2083" s="26">
        <f>IF(OR($A2083="",$P2083=0),"",MOD(N($Q2083),$P2083)+1)</f>
        <v/>
      </c>
      <c r="S2083" s="15" t="n"/>
      <c r="T2083" s="25" t="n"/>
      <c r="U2083" s="26">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Builder'!$B$12="",N($S2083)&lt;='Assignment Builder'!$B$12)))</f>
        <v/>
      </c>
      <c r="V2083" s="23" t="n"/>
    </row>
    <row r="2084">
      <c r="A2084" s="23" t="n"/>
      <c r="B2084" s="23" t="n"/>
      <c r="C2084" s="24" t="n"/>
      <c r="D2084" s="15" t="n"/>
      <c r="E2084" s="23" t="n"/>
      <c r="F2084" s="15" t="n"/>
      <c r="G2084" s="23" t="n"/>
      <c r="H2084" s="25" t="n"/>
      <c r="I2084" s="15" t="n"/>
      <c r="J2084" s="26">
        <f>IF($A2084="","",LEN($C2084)-LEN(SUBSTITUTE($C2084,",",""))+1)</f>
        <v/>
      </c>
      <c r="K2084" s="26">
        <f>IF($A2084="","",SUMPRODUCT(--ISNUMBER(SEARCH('Category Dictionary'!$D$5:$D$135&amp;"",$C2084)),--('Category Dictionary'!$D$5:$D$135&lt;&gt;"")))</f>
        <v/>
      </c>
      <c r="L2084" s="27">
        <f>IF($A2084="","",TRIM(IF(ISERROR(FIND(",",$C2084)),$C2084,LEFT($C2084,FIND(",",$C2084)-1))))</f>
        <v/>
      </c>
      <c r="M2084" s="28">
        <f>IF($H2084="","",DATE(YEAR($H2084),MONTH($H2084),1))</f>
        <v/>
      </c>
      <c r="N2084" s="26">
        <f>IF($H2084="","",TODAY()-$H2084)</f>
        <v/>
      </c>
      <c r="O2084" s="15" t="n"/>
      <c r="P2084" s="26">
        <f>IF($A2084="","",COUNTIFS('Audit Versions'!$A$6:$A$605,$A2084,'Audit Versions'!$L$6:$L$605,"Active"))</f>
        <v/>
      </c>
      <c r="Q2084" s="15" t="n"/>
      <c r="R2084" s="26">
        <f>IF(OR($A2084="",$P2084=0),"",MOD(N($Q2084),$P2084)+1)</f>
        <v/>
      </c>
      <c r="S2084" s="15" t="n"/>
      <c r="T2084" s="25" t="n"/>
      <c r="U2084" s="26">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Builder'!$B$12="",N($S2084)&lt;='Assignment Builder'!$B$12)))</f>
        <v/>
      </c>
      <c r="V2084" s="23" t="n"/>
    </row>
    <row r="2085">
      <c r="A2085" s="23" t="n"/>
      <c r="B2085" s="23" t="n"/>
      <c r="C2085" s="24" t="n"/>
      <c r="D2085" s="15" t="n"/>
      <c r="E2085" s="23" t="n"/>
      <c r="F2085" s="15" t="n"/>
      <c r="G2085" s="23" t="n"/>
      <c r="H2085" s="25" t="n"/>
      <c r="I2085" s="15" t="n"/>
      <c r="J2085" s="26">
        <f>IF($A2085="","",LEN($C2085)-LEN(SUBSTITUTE($C2085,",",""))+1)</f>
        <v/>
      </c>
      <c r="K2085" s="26">
        <f>IF($A2085="","",SUMPRODUCT(--ISNUMBER(SEARCH('Category Dictionary'!$D$5:$D$135&amp;"",$C2085)),--('Category Dictionary'!$D$5:$D$135&lt;&gt;"")))</f>
        <v/>
      </c>
      <c r="L2085" s="27">
        <f>IF($A2085="","",TRIM(IF(ISERROR(FIND(",",$C2085)),$C2085,LEFT($C2085,FIND(",",$C2085)-1))))</f>
        <v/>
      </c>
      <c r="M2085" s="28">
        <f>IF($H2085="","",DATE(YEAR($H2085),MONTH($H2085),1))</f>
        <v/>
      </c>
      <c r="N2085" s="26">
        <f>IF($H2085="","",TODAY()-$H2085)</f>
        <v/>
      </c>
      <c r="O2085" s="15" t="n"/>
      <c r="P2085" s="26">
        <f>IF($A2085="","",COUNTIFS('Audit Versions'!$A$6:$A$605,$A2085,'Audit Versions'!$L$6:$L$605,"Active"))</f>
        <v/>
      </c>
      <c r="Q2085" s="15" t="n"/>
      <c r="R2085" s="26">
        <f>IF(OR($A2085="",$P2085=0),"",MOD(N($Q2085),$P2085)+1)</f>
        <v/>
      </c>
      <c r="S2085" s="15" t="n"/>
      <c r="T2085" s="25" t="n"/>
      <c r="U2085" s="26">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Builder'!$B$12="",N($S2085)&lt;='Assignment Builder'!$B$12)))</f>
        <v/>
      </c>
      <c r="V2085" s="23" t="n"/>
    </row>
    <row r="2086">
      <c r="A2086" s="23" t="n"/>
      <c r="B2086" s="23" t="n"/>
      <c r="C2086" s="24" t="n"/>
      <c r="D2086" s="15" t="n"/>
      <c r="E2086" s="23" t="n"/>
      <c r="F2086" s="15" t="n"/>
      <c r="G2086" s="23" t="n"/>
      <c r="H2086" s="25" t="n"/>
      <c r="I2086" s="15" t="n"/>
      <c r="J2086" s="26">
        <f>IF($A2086="","",LEN($C2086)-LEN(SUBSTITUTE($C2086,",",""))+1)</f>
        <v/>
      </c>
      <c r="K2086" s="26">
        <f>IF($A2086="","",SUMPRODUCT(--ISNUMBER(SEARCH('Category Dictionary'!$D$5:$D$135&amp;"",$C2086)),--('Category Dictionary'!$D$5:$D$135&lt;&gt;"")))</f>
        <v/>
      </c>
      <c r="L2086" s="27">
        <f>IF($A2086="","",TRIM(IF(ISERROR(FIND(",",$C2086)),$C2086,LEFT($C2086,FIND(",",$C2086)-1))))</f>
        <v/>
      </c>
      <c r="M2086" s="28">
        <f>IF($H2086="","",DATE(YEAR($H2086),MONTH($H2086),1))</f>
        <v/>
      </c>
      <c r="N2086" s="26">
        <f>IF($H2086="","",TODAY()-$H2086)</f>
        <v/>
      </c>
      <c r="O2086" s="15" t="n"/>
      <c r="P2086" s="26">
        <f>IF($A2086="","",COUNTIFS('Audit Versions'!$A$6:$A$605,$A2086,'Audit Versions'!$L$6:$L$605,"Active"))</f>
        <v/>
      </c>
      <c r="Q2086" s="15" t="n"/>
      <c r="R2086" s="26">
        <f>IF(OR($A2086="",$P2086=0),"",MOD(N($Q2086),$P2086)+1)</f>
        <v/>
      </c>
      <c r="S2086" s="15" t="n"/>
      <c r="T2086" s="25" t="n"/>
      <c r="U2086" s="26">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Builder'!$B$12="",N($S2086)&lt;='Assignment Builder'!$B$12)))</f>
        <v/>
      </c>
      <c r="V2086" s="23" t="n"/>
    </row>
    <row r="2087">
      <c r="A2087" s="23" t="n"/>
      <c r="B2087" s="23" t="n"/>
      <c r="C2087" s="24" t="n"/>
      <c r="D2087" s="15" t="n"/>
      <c r="E2087" s="23" t="n"/>
      <c r="F2087" s="15" t="n"/>
      <c r="G2087" s="23" t="n"/>
      <c r="H2087" s="25" t="n"/>
      <c r="I2087" s="15" t="n"/>
      <c r="J2087" s="26">
        <f>IF($A2087="","",LEN($C2087)-LEN(SUBSTITUTE($C2087,",",""))+1)</f>
        <v/>
      </c>
      <c r="K2087" s="26">
        <f>IF($A2087="","",SUMPRODUCT(--ISNUMBER(SEARCH('Category Dictionary'!$D$5:$D$135&amp;"",$C2087)),--('Category Dictionary'!$D$5:$D$135&lt;&gt;"")))</f>
        <v/>
      </c>
      <c r="L2087" s="27">
        <f>IF($A2087="","",TRIM(IF(ISERROR(FIND(",",$C2087)),$C2087,LEFT($C2087,FIND(",",$C2087)-1))))</f>
        <v/>
      </c>
      <c r="M2087" s="28">
        <f>IF($H2087="","",DATE(YEAR($H2087),MONTH($H2087),1))</f>
        <v/>
      </c>
      <c r="N2087" s="26">
        <f>IF($H2087="","",TODAY()-$H2087)</f>
        <v/>
      </c>
      <c r="O2087" s="15" t="n"/>
      <c r="P2087" s="26">
        <f>IF($A2087="","",COUNTIFS('Audit Versions'!$A$6:$A$605,$A2087,'Audit Versions'!$L$6:$L$605,"Active"))</f>
        <v/>
      </c>
      <c r="Q2087" s="15" t="n"/>
      <c r="R2087" s="26">
        <f>IF(OR($A2087="",$P2087=0),"",MOD(N($Q2087),$P2087)+1)</f>
        <v/>
      </c>
      <c r="S2087" s="15" t="n"/>
      <c r="T2087" s="25" t="n"/>
      <c r="U2087" s="26">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Builder'!$B$12="",N($S2087)&lt;='Assignment Builder'!$B$12)))</f>
        <v/>
      </c>
      <c r="V2087" s="23" t="n"/>
    </row>
    <row r="2088">
      <c r="A2088" s="23" t="n"/>
      <c r="B2088" s="23" t="n"/>
      <c r="C2088" s="24" t="n"/>
      <c r="D2088" s="15" t="n"/>
      <c r="E2088" s="23" t="n"/>
      <c r="F2088" s="15" t="n"/>
      <c r="G2088" s="23" t="n"/>
      <c r="H2088" s="25" t="n"/>
      <c r="I2088" s="15" t="n"/>
      <c r="J2088" s="26">
        <f>IF($A2088="","",LEN($C2088)-LEN(SUBSTITUTE($C2088,",",""))+1)</f>
        <v/>
      </c>
      <c r="K2088" s="26">
        <f>IF($A2088="","",SUMPRODUCT(--ISNUMBER(SEARCH('Category Dictionary'!$D$5:$D$135&amp;"",$C2088)),--('Category Dictionary'!$D$5:$D$135&lt;&gt;"")))</f>
        <v/>
      </c>
      <c r="L2088" s="27">
        <f>IF($A2088="","",TRIM(IF(ISERROR(FIND(",",$C2088)),$C2088,LEFT($C2088,FIND(",",$C2088)-1))))</f>
        <v/>
      </c>
      <c r="M2088" s="28">
        <f>IF($H2088="","",DATE(YEAR($H2088),MONTH($H2088),1))</f>
        <v/>
      </c>
      <c r="N2088" s="26">
        <f>IF($H2088="","",TODAY()-$H2088)</f>
        <v/>
      </c>
      <c r="O2088" s="15" t="n"/>
      <c r="P2088" s="26">
        <f>IF($A2088="","",COUNTIFS('Audit Versions'!$A$6:$A$605,$A2088,'Audit Versions'!$L$6:$L$605,"Active"))</f>
        <v/>
      </c>
      <c r="Q2088" s="15" t="n"/>
      <c r="R2088" s="26">
        <f>IF(OR($A2088="",$P2088=0),"",MOD(N($Q2088),$P2088)+1)</f>
        <v/>
      </c>
      <c r="S2088" s="15" t="n"/>
      <c r="T2088" s="25" t="n"/>
      <c r="U2088" s="26">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Builder'!$B$12="",N($S2088)&lt;='Assignment Builder'!$B$12)))</f>
        <v/>
      </c>
      <c r="V2088" s="23" t="n"/>
    </row>
    <row r="2089">
      <c r="A2089" s="23" t="n"/>
      <c r="B2089" s="23" t="n"/>
      <c r="C2089" s="24" t="n"/>
      <c r="D2089" s="15" t="n"/>
      <c r="E2089" s="23" t="n"/>
      <c r="F2089" s="15" t="n"/>
      <c r="G2089" s="23" t="n"/>
      <c r="H2089" s="25" t="n"/>
      <c r="I2089" s="15" t="n"/>
      <c r="J2089" s="26">
        <f>IF($A2089="","",LEN($C2089)-LEN(SUBSTITUTE($C2089,",",""))+1)</f>
        <v/>
      </c>
      <c r="K2089" s="26">
        <f>IF($A2089="","",SUMPRODUCT(--ISNUMBER(SEARCH('Category Dictionary'!$D$5:$D$135&amp;"",$C2089)),--('Category Dictionary'!$D$5:$D$135&lt;&gt;"")))</f>
        <v/>
      </c>
      <c r="L2089" s="27">
        <f>IF($A2089="","",TRIM(IF(ISERROR(FIND(",",$C2089)),$C2089,LEFT($C2089,FIND(",",$C2089)-1))))</f>
        <v/>
      </c>
      <c r="M2089" s="28">
        <f>IF($H2089="","",DATE(YEAR($H2089),MONTH($H2089),1))</f>
        <v/>
      </c>
      <c r="N2089" s="26">
        <f>IF($H2089="","",TODAY()-$H2089)</f>
        <v/>
      </c>
      <c r="O2089" s="15" t="n"/>
      <c r="P2089" s="26">
        <f>IF($A2089="","",COUNTIFS('Audit Versions'!$A$6:$A$605,$A2089,'Audit Versions'!$L$6:$L$605,"Active"))</f>
        <v/>
      </c>
      <c r="Q2089" s="15" t="n"/>
      <c r="R2089" s="26">
        <f>IF(OR($A2089="",$P2089=0),"",MOD(N($Q2089),$P2089)+1)</f>
        <v/>
      </c>
      <c r="S2089" s="15" t="n"/>
      <c r="T2089" s="25" t="n"/>
      <c r="U2089" s="26">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Builder'!$B$12="",N($S2089)&lt;='Assignment Builder'!$B$12)))</f>
        <v/>
      </c>
      <c r="V2089" s="23" t="n"/>
    </row>
    <row r="2090">
      <c r="A2090" s="23" t="n"/>
      <c r="B2090" s="23" t="n"/>
      <c r="C2090" s="24" t="n"/>
      <c r="D2090" s="15" t="n"/>
      <c r="E2090" s="23" t="n"/>
      <c r="F2090" s="15" t="n"/>
      <c r="G2090" s="23" t="n"/>
      <c r="H2090" s="25" t="n"/>
      <c r="I2090" s="15" t="n"/>
      <c r="J2090" s="26">
        <f>IF($A2090="","",LEN($C2090)-LEN(SUBSTITUTE($C2090,",",""))+1)</f>
        <v/>
      </c>
      <c r="K2090" s="26">
        <f>IF($A2090="","",SUMPRODUCT(--ISNUMBER(SEARCH('Category Dictionary'!$D$5:$D$135&amp;"",$C2090)),--('Category Dictionary'!$D$5:$D$135&lt;&gt;"")))</f>
        <v/>
      </c>
      <c r="L2090" s="27">
        <f>IF($A2090="","",TRIM(IF(ISERROR(FIND(",",$C2090)),$C2090,LEFT($C2090,FIND(",",$C2090)-1))))</f>
        <v/>
      </c>
      <c r="M2090" s="28">
        <f>IF($H2090="","",DATE(YEAR($H2090),MONTH($H2090),1))</f>
        <v/>
      </c>
      <c r="N2090" s="26">
        <f>IF($H2090="","",TODAY()-$H2090)</f>
        <v/>
      </c>
      <c r="O2090" s="15" t="n"/>
      <c r="P2090" s="26">
        <f>IF($A2090="","",COUNTIFS('Audit Versions'!$A$6:$A$605,$A2090,'Audit Versions'!$L$6:$L$605,"Active"))</f>
        <v/>
      </c>
      <c r="Q2090" s="15" t="n"/>
      <c r="R2090" s="26">
        <f>IF(OR($A2090="",$P2090=0),"",MOD(N($Q2090),$P2090)+1)</f>
        <v/>
      </c>
      <c r="S2090" s="15" t="n"/>
      <c r="T2090" s="25" t="n"/>
      <c r="U2090" s="26">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Builder'!$B$12="",N($S2090)&lt;='Assignment Builder'!$B$12)))</f>
        <v/>
      </c>
      <c r="V2090" s="23" t="n"/>
    </row>
    <row r="2091">
      <c r="A2091" s="23" t="n"/>
      <c r="B2091" s="23" t="n"/>
      <c r="C2091" s="24" t="n"/>
      <c r="D2091" s="15" t="n"/>
      <c r="E2091" s="23" t="n"/>
      <c r="F2091" s="15" t="n"/>
      <c r="G2091" s="23" t="n"/>
      <c r="H2091" s="25" t="n"/>
      <c r="I2091" s="15" t="n"/>
      <c r="J2091" s="26">
        <f>IF($A2091="","",LEN($C2091)-LEN(SUBSTITUTE($C2091,",",""))+1)</f>
        <v/>
      </c>
      <c r="K2091" s="26">
        <f>IF($A2091="","",SUMPRODUCT(--ISNUMBER(SEARCH('Category Dictionary'!$D$5:$D$135&amp;"",$C2091)),--('Category Dictionary'!$D$5:$D$135&lt;&gt;"")))</f>
        <v/>
      </c>
      <c r="L2091" s="27">
        <f>IF($A2091="","",TRIM(IF(ISERROR(FIND(",",$C2091)),$C2091,LEFT($C2091,FIND(",",$C2091)-1))))</f>
        <v/>
      </c>
      <c r="M2091" s="28">
        <f>IF($H2091="","",DATE(YEAR($H2091),MONTH($H2091),1))</f>
        <v/>
      </c>
      <c r="N2091" s="26">
        <f>IF($H2091="","",TODAY()-$H2091)</f>
        <v/>
      </c>
      <c r="O2091" s="15" t="n"/>
      <c r="P2091" s="26">
        <f>IF($A2091="","",COUNTIFS('Audit Versions'!$A$6:$A$605,$A2091,'Audit Versions'!$L$6:$L$605,"Active"))</f>
        <v/>
      </c>
      <c r="Q2091" s="15" t="n"/>
      <c r="R2091" s="26">
        <f>IF(OR($A2091="",$P2091=0),"",MOD(N($Q2091),$P2091)+1)</f>
        <v/>
      </c>
      <c r="S2091" s="15" t="n"/>
      <c r="T2091" s="25" t="n"/>
      <c r="U2091" s="26">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Builder'!$B$12="",N($S2091)&lt;='Assignment Builder'!$B$12)))</f>
        <v/>
      </c>
      <c r="V2091" s="23" t="n"/>
    </row>
    <row r="2092">
      <c r="A2092" s="23" t="n"/>
      <c r="B2092" s="23" t="n"/>
      <c r="C2092" s="24" t="n"/>
      <c r="D2092" s="15" t="n"/>
      <c r="E2092" s="23" t="n"/>
      <c r="F2092" s="15" t="n"/>
      <c r="G2092" s="23" t="n"/>
      <c r="H2092" s="25" t="n"/>
      <c r="I2092" s="15" t="n"/>
      <c r="J2092" s="26">
        <f>IF($A2092="","",LEN($C2092)-LEN(SUBSTITUTE($C2092,",",""))+1)</f>
        <v/>
      </c>
      <c r="K2092" s="26">
        <f>IF($A2092="","",SUMPRODUCT(--ISNUMBER(SEARCH('Category Dictionary'!$D$5:$D$135&amp;"",$C2092)),--('Category Dictionary'!$D$5:$D$135&lt;&gt;"")))</f>
        <v/>
      </c>
      <c r="L2092" s="27">
        <f>IF($A2092="","",TRIM(IF(ISERROR(FIND(",",$C2092)),$C2092,LEFT($C2092,FIND(",",$C2092)-1))))</f>
        <v/>
      </c>
      <c r="M2092" s="28">
        <f>IF($H2092="","",DATE(YEAR($H2092),MONTH($H2092),1))</f>
        <v/>
      </c>
      <c r="N2092" s="26">
        <f>IF($H2092="","",TODAY()-$H2092)</f>
        <v/>
      </c>
      <c r="O2092" s="15" t="n"/>
      <c r="P2092" s="26">
        <f>IF($A2092="","",COUNTIFS('Audit Versions'!$A$6:$A$605,$A2092,'Audit Versions'!$L$6:$L$605,"Active"))</f>
        <v/>
      </c>
      <c r="Q2092" s="15" t="n"/>
      <c r="R2092" s="26">
        <f>IF(OR($A2092="",$P2092=0),"",MOD(N($Q2092),$P2092)+1)</f>
        <v/>
      </c>
      <c r="S2092" s="15" t="n"/>
      <c r="T2092" s="25" t="n"/>
      <c r="U2092" s="26">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Builder'!$B$12="",N($S2092)&lt;='Assignment Builder'!$B$12)))</f>
        <v/>
      </c>
      <c r="V2092" s="23" t="n"/>
    </row>
    <row r="2093">
      <c r="A2093" s="23" t="n"/>
      <c r="B2093" s="23" t="n"/>
      <c r="C2093" s="24" t="n"/>
      <c r="D2093" s="15" t="n"/>
      <c r="E2093" s="23" t="n"/>
      <c r="F2093" s="15" t="n"/>
      <c r="G2093" s="23" t="n"/>
      <c r="H2093" s="25" t="n"/>
      <c r="I2093" s="15" t="n"/>
      <c r="J2093" s="26">
        <f>IF($A2093="","",LEN($C2093)-LEN(SUBSTITUTE($C2093,",",""))+1)</f>
        <v/>
      </c>
      <c r="K2093" s="26">
        <f>IF($A2093="","",SUMPRODUCT(--ISNUMBER(SEARCH('Category Dictionary'!$D$5:$D$135&amp;"",$C2093)),--('Category Dictionary'!$D$5:$D$135&lt;&gt;"")))</f>
        <v/>
      </c>
      <c r="L2093" s="27">
        <f>IF($A2093="","",TRIM(IF(ISERROR(FIND(",",$C2093)),$C2093,LEFT($C2093,FIND(",",$C2093)-1))))</f>
        <v/>
      </c>
      <c r="M2093" s="28">
        <f>IF($H2093="","",DATE(YEAR($H2093),MONTH($H2093),1))</f>
        <v/>
      </c>
      <c r="N2093" s="26">
        <f>IF($H2093="","",TODAY()-$H2093)</f>
        <v/>
      </c>
      <c r="O2093" s="15" t="n"/>
      <c r="P2093" s="26">
        <f>IF($A2093="","",COUNTIFS('Audit Versions'!$A$6:$A$605,$A2093,'Audit Versions'!$L$6:$L$605,"Active"))</f>
        <v/>
      </c>
      <c r="Q2093" s="15" t="n"/>
      <c r="R2093" s="26">
        <f>IF(OR($A2093="",$P2093=0),"",MOD(N($Q2093),$P2093)+1)</f>
        <v/>
      </c>
      <c r="S2093" s="15" t="n"/>
      <c r="T2093" s="25" t="n"/>
      <c r="U2093" s="26">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Builder'!$B$12="",N($S2093)&lt;='Assignment Builder'!$B$12)))</f>
        <v/>
      </c>
      <c r="V2093" s="23" t="n"/>
    </row>
    <row r="2094">
      <c r="A2094" s="23" t="n"/>
      <c r="B2094" s="23" t="n"/>
      <c r="C2094" s="24" t="n"/>
      <c r="D2094" s="15" t="n"/>
      <c r="E2094" s="23" t="n"/>
      <c r="F2094" s="15" t="n"/>
      <c r="G2094" s="23" t="n"/>
      <c r="H2094" s="25" t="n"/>
      <c r="I2094" s="15" t="n"/>
      <c r="J2094" s="26">
        <f>IF($A2094="","",LEN($C2094)-LEN(SUBSTITUTE($C2094,",",""))+1)</f>
        <v/>
      </c>
      <c r="K2094" s="26">
        <f>IF($A2094="","",SUMPRODUCT(--ISNUMBER(SEARCH('Category Dictionary'!$D$5:$D$135&amp;"",$C2094)),--('Category Dictionary'!$D$5:$D$135&lt;&gt;"")))</f>
        <v/>
      </c>
      <c r="L2094" s="27">
        <f>IF($A2094="","",TRIM(IF(ISERROR(FIND(",",$C2094)),$C2094,LEFT($C2094,FIND(",",$C2094)-1))))</f>
        <v/>
      </c>
      <c r="M2094" s="28">
        <f>IF($H2094="","",DATE(YEAR($H2094),MONTH($H2094),1))</f>
        <v/>
      </c>
      <c r="N2094" s="26">
        <f>IF($H2094="","",TODAY()-$H2094)</f>
        <v/>
      </c>
      <c r="O2094" s="15" t="n"/>
      <c r="P2094" s="26">
        <f>IF($A2094="","",COUNTIFS('Audit Versions'!$A$6:$A$605,$A2094,'Audit Versions'!$L$6:$L$605,"Active"))</f>
        <v/>
      </c>
      <c r="Q2094" s="15" t="n"/>
      <c r="R2094" s="26">
        <f>IF(OR($A2094="",$P2094=0),"",MOD(N($Q2094),$P2094)+1)</f>
        <v/>
      </c>
      <c r="S2094" s="15" t="n"/>
      <c r="T2094" s="25" t="n"/>
      <c r="U2094" s="26">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Builder'!$B$12="",N($S2094)&lt;='Assignment Builder'!$B$12)))</f>
        <v/>
      </c>
      <c r="V2094" s="23" t="n"/>
    </row>
    <row r="2095">
      <c r="A2095" s="23" t="n"/>
      <c r="B2095" s="23" t="n"/>
      <c r="C2095" s="24" t="n"/>
      <c r="D2095" s="15" t="n"/>
      <c r="E2095" s="23" t="n"/>
      <c r="F2095" s="15" t="n"/>
      <c r="G2095" s="23" t="n"/>
      <c r="H2095" s="25" t="n"/>
      <c r="I2095" s="15" t="n"/>
      <c r="J2095" s="26">
        <f>IF($A2095="","",LEN($C2095)-LEN(SUBSTITUTE($C2095,",",""))+1)</f>
        <v/>
      </c>
      <c r="K2095" s="26">
        <f>IF($A2095="","",SUMPRODUCT(--ISNUMBER(SEARCH('Category Dictionary'!$D$5:$D$135&amp;"",$C2095)),--('Category Dictionary'!$D$5:$D$135&lt;&gt;"")))</f>
        <v/>
      </c>
      <c r="L2095" s="27">
        <f>IF($A2095="","",TRIM(IF(ISERROR(FIND(",",$C2095)),$C2095,LEFT($C2095,FIND(",",$C2095)-1))))</f>
        <v/>
      </c>
      <c r="M2095" s="28">
        <f>IF($H2095="","",DATE(YEAR($H2095),MONTH($H2095),1))</f>
        <v/>
      </c>
      <c r="N2095" s="26">
        <f>IF($H2095="","",TODAY()-$H2095)</f>
        <v/>
      </c>
      <c r="O2095" s="15" t="n"/>
      <c r="P2095" s="26">
        <f>IF($A2095="","",COUNTIFS('Audit Versions'!$A$6:$A$605,$A2095,'Audit Versions'!$L$6:$L$605,"Active"))</f>
        <v/>
      </c>
      <c r="Q2095" s="15" t="n"/>
      <c r="R2095" s="26">
        <f>IF(OR($A2095="",$P2095=0),"",MOD(N($Q2095),$P2095)+1)</f>
        <v/>
      </c>
      <c r="S2095" s="15" t="n"/>
      <c r="T2095" s="25" t="n"/>
      <c r="U2095" s="26">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Builder'!$B$12="",N($S2095)&lt;='Assignment Builder'!$B$12)))</f>
        <v/>
      </c>
      <c r="V2095" s="23" t="n"/>
    </row>
    <row r="2096">
      <c r="A2096" s="23" t="n"/>
      <c r="B2096" s="23" t="n"/>
      <c r="C2096" s="24" t="n"/>
      <c r="D2096" s="15" t="n"/>
      <c r="E2096" s="23" t="n"/>
      <c r="F2096" s="15" t="n"/>
      <c r="G2096" s="23" t="n"/>
      <c r="H2096" s="25" t="n"/>
      <c r="I2096" s="15" t="n"/>
      <c r="J2096" s="26">
        <f>IF($A2096="","",LEN($C2096)-LEN(SUBSTITUTE($C2096,",",""))+1)</f>
        <v/>
      </c>
      <c r="K2096" s="26">
        <f>IF($A2096="","",SUMPRODUCT(--ISNUMBER(SEARCH('Category Dictionary'!$D$5:$D$135&amp;"",$C2096)),--('Category Dictionary'!$D$5:$D$135&lt;&gt;"")))</f>
        <v/>
      </c>
      <c r="L2096" s="27">
        <f>IF($A2096="","",TRIM(IF(ISERROR(FIND(",",$C2096)),$C2096,LEFT($C2096,FIND(",",$C2096)-1))))</f>
        <v/>
      </c>
      <c r="M2096" s="28">
        <f>IF($H2096="","",DATE(YEAR($H2096),MONTH($H2096),1))</f>
        <v/>
      </c>
      <c r="N2096" s="26">
        <f>IF($H2096="","",TODAY()-$H2096)</f>
        <v/>
      </c>
      <c r="O2096" s="15" t="n"/>
      <c r="P2096" s="26">
        <f>IF($A2096="","",COUNTIFS('Audit Versions'!$A$6:$A$605,$A2096,'Audit Versions'!$L$6:$L$605,"Active"))</f>
        <v/>
      </c>
      <c r="Q2096" s="15" t="n"/>
      <c r="R2096" s="26">
        <f>IF(OR($A2096="",$P2096=0),"",MOD(N($Q2096),$P2096)+1)</f>
        <v/>
      </c>
      <c r="S2096" s="15" t="n"/>
      <c r="T2096" s="25" t="n"/>
      <c r="U2096" s="26">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Builder'!$B$12="",N($S2096)&lt;='Assignment Builder'!$B$12)))</f>
        <v/>
      </c>
      <c r="V2096" s="23" t="n"/>
    </row>
    <row r="2097">
      <c r="A2097" s="23" t="n"/>
      <c r="B2097" s="23" t="n"/>
      <c r="C2097" s="24" t="n"/>
      <c r="D2097" s="15" t="n"/>
      <c r="E2097" s="23" t="n"/>
      <c r="F2097" s="15" t="n"/>
      <c r="G2097" s="23" t="n"/>
      <c r="H2097" s="25" t="n"/>
      <c r="I2097" s="15" t="n"/>
      <c r="J2097" s="26">
        <f>IF($A2097="","",LEN($C2097)-LEN(SUBSTITUTE($C2097,",",""))+1)</f>
        <v/>
      </c>
      <c r="K2097" s="26">
        <f>IF($A2097="","",SUMPRODUCT(--ISNUMBER(SEARCH('Category Dictionary'!$D$5:$D$135&amp;"",$C2097)),--('Category Dictionary'!$D$5:$D$135&lt;&gt;"")))</f>
        <v/>
      </c>
      <c r="L2097" s="27">
        <f>IF($A2097="","",TRIM(IF(ISERROR(FIND(",",$C2097)),$C2097,LEFT($C2097,FIND(",",$C2097)-1))))</f>
        <v/>
      </c>
      <c r="M2097" s="28">
        <f>IF($H2097="","",DATE(YEAR($H2097),MONTH($H2097),1))</f>
        <v/>
      </c>
      <c r="N2097" s="26">
        <f>IF($H2097="","",TODAY()-$H2097)</f>
        <v/>
      </c>
      <c r="O2097" s="15" t="n"/>
      <c r="P2097" s="26">
        <f>IF($A2097="","",COUNTIFS('Audit Versions'!$A$6:$A$605,$A2097,'Audit Versions'!$L$6:$L$605,"Active"))</f>
        <v/>
      </c>
      <c r="Q2097" s="15" t="n"/>
      <c r="R2097" s="26">
        <f>IF(OR($A2097="",$P2097=0),"",MOD(N($Q2097),$P2097)+1)</f>
        <v/>
      </c>
      <c r="S2097" s="15" t="n"/>
      <c r="T2097" s="25" t="n"/>
      <c r="U2097" s="26">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Builder'!$B$12="",N($S2097)&lt;='Assignment Builder'!$B$12)))</f>
        <v/>
      </c>
      <c r="V2097" s="23" t="n"/>
    </row>
    <row r="2098">
      <c r="A2098" s="23" t="n"/>
      <c r="B2098" s="23" t="n"/>
      <c r="C2098" s="24" t="n"/>
      <c r="D2098" s="15" t="n"/>
      <c r="E2098" s="23" t="n"/>
      <c r="F2098" s="15" t="n"/>
      <c r="G2098" s="23" t="n"/>
      <c r="H2098" s="25" t="n"/>
      <c r="I2098" s="15" t="n"/>
      <c r="J2098" s="26">
        <f>IF($A2098="","",LEN($C2098)-LEN(SUBSTITUTE($C2098,",",""))+1)</f>
        <v/>
      </c>
      <c r="K2098" s="26">
        <f>IF($A2098="","",SUMPRODUCT(--ISNUMBER(SEARCH('Category Dictionary'!$D$5:$D$135&amp;"",$C2098)),--('Category Dictionary'!$D$5:$D$135&lt;&gt;"")))</f>
        <v/>
      </c>
      <c r="L2098" s="27">
        <f>IF($A2098="","",TRIM(IF(ISERROR(FIND(",",$C2098)),$C2098,LEFT($C2098,FIND(",",$C2098)-1))))</f>
        <v/>
      </c>
      <c r="M2098" s="28">
        <f>IF($H2098="","",DATE(YEAR($H2098),MONTH($H2098),1))</f>
        <v/>
      </c>
      <c r="N2098" s="26">
        <f>IF($H2098="","",TODAY()-$H2098)</f>
        <v/>
      </c>
      <c r="O2098" s="15" t="n"/>
      <c r="P2098" s="26">
        <f>IF($A2098="","",COUNTIFS('Audit Versions'!$A$6:$A$605,$A2098,'Audit Versions'!$L$6:$L$605,"Active"))</f>
        <v/>
      </c>
      <c r="Q2098" s="15" t="n"/>
      <c r="R2098" s="26">
        <f>IF(OR($A2098="",$P2098=0),"",MOD(N($Q2098),$P2098)+1)</f>
        <v/>
      </c>
      <c r="S2098" s="15" t="n"/>
      <c r="T2098" s="25" t="n"/>
      <c r="U2098" s="26">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Builder'!$B$12="",N($S2098)&lt;='Assignment Builder'!$B$12)))</f>
        <v/>
      </c>
      <c r="V2098" s="23" t="n"/>
    </row>
    <row r="2099">
      <c r="A2099" s="23" t="n"/>
      <c r="B2099" s="23" t="n"/>
      <c r="C2099" s="24" t="n"/>
      <c r="D2099" s="15" t="n"/>
      <c r="E2099" s="23" t="n"/>
      <c r="F2099" s="15" t="n"/>
      <c r="G2099" s="23" t="n"/>
      <c r="H2099" s="25" t="n"/>
      <c r="I2099" s="15" t="n"/>
      <c r="J2099" s="26">
        <f>IF($A2099="","",LEN($C2099)-LEN(SUBSTITUTE($C2099,",",""))+1)</f>
        <v/>
      </c>
      <c r="K2099" s="26">
        <f>IF($A2099="","",SUMPRODUCT(--ISNUMBER(SEARCH('Category Dictionary'!$D$5:$D$135&amp;"",$C2099)),--('Category Dictionary'!$D$5:$D$135&lt;&gt;"")))</f>
        <v/>
      </c>
      <c r="L2099" s="27">
        <f>IF($A2099="","",TRIM(IF(ISERROR(FIND(",",$C2099)),$C2099,LEFT($C2099,FIND(",",$C2099)-1))))</f>
        <v/>
      </c>
      <c r="M2099" s="28">
        <f>IF($H2099="","",DATE(YEAR($H2099),MONTH($H2099),1))</f>
        <v/>
      </c>
      <c r="N2099" s="26">
        <f>IF($H2099="","",TODAY()-$H2099)</f>
        <v/>
      </c>
      <c r="O2099" s="15" t="n"/>
      <c r="P2099" s="26">
        <f>IF($A2099="","",COUNTIFS('Audit Versions'!$A$6:$A$605,$A2099,'Audit Versions'!$L$6:$L$605,"Active"))</f>
        <v/>
      </c>
      <c r="Q2099" s="15" t="n"/>
      <c r="R2099" s="26">
        <f>IF(OR($A2099="",$P2099=0),"",MOD(N($Q2099),$P2099)+1)</f>
        <v/>
      </c>
      <c r="S2099" s="15" t="n"/>
      <c r="T2099" s="25" t="n"/>
      <c r="U2099" s="26">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Builder'!$B$12="",N($S2099)&lt;='Assignment Builder'!$B$12)))</f>
        <v/>
      </c>
      <c r="V2099" s="23" t="n"/>
    </row>
    <row r="2100">
      <c r="A2100" s="23" t="n"/>
      <c r="B2100" s="23" t="n"/>
      <c r="C2100" s="24" t="n"/>
      <c r="D2100" s="15" t="n"/>
      <c r="E2100" s="23" t="n"/>
      <c r="F2100" s="15" t="n"/>
      <c r="G2100" s="23" t="n"/>
      <c r="H2100" s="25" t="n"/>
      <c r="I2100" s="15" t="n"/>
      <c r="J2100" s="26">
        <f>IF($A2100="","",LEN($C2100)-LEN(SUBSTITUTE($C2100,",",""))+1)</f>
        <v/>
      </c>
      <c r="K2100" s="26">
        <f>IF($A2100="","",SUMPRODUCT(--ISNUMBER(SEARCH('Category Dictionary'!$D$5:$D$135&amp;"",$C2100)),--('Category Dictionary'!$D$5:$D$135&lt;&gt;"")))</f>
        <v/>
      </c>
      <c r="L2100" s="27">
        <f>IF($A2100="","",TRIM(IF(ISERROR(FIND(",",$C2100)),$C2100,LEFT($C2100,FIND(",",$C2100)-1))))</f>
        <v/>
      </c>
      <c r="M2100" s="28">
        <f>IF($H2100="","",DATE(YEAR($H2100),MONTH($H2100),1))</f>
        <v/>
      </c>
      <c r="N2100" s="26">
        <f>IF($H2100="","",TODAY()-$H2100)</f>
        <v/>
      </c>
      <c r="O2100" s="15" t="n"/>
      <c r="P2100" s="26">
        <f>IF($A2100="","",COUNTIFS('Audit Versions'!$A$6:$A$605,$A2100,'Audit Versions'!$L$6:$L$605,"Active"))</f>
        <v/>
      </c>
      <c r="Q2100" s="15" t="n"/>
      <c r="R2100" s="26">
        <f>IF(OR($A2100="",$P2100=0),"",MOD(N($Q2100),$P2100)+1)</f>
        <v/>
      </c>
      <c r="S2100" s="15" t="n"/>
      <c r="T2100" s="25" t="n"/>
      <c r="U2100" s="26">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Builder'!$B$12="",N($S2100)&lt;='Assignment Builder'!$B$12)))</f>
        <v/>
      </c>
      <c r="V2100" s="23" t="n"/>
    </row>
    <row r="2101">
      <c r="A2101" s="23" t="n"/>
      <c r="B2101" s="23" t="n"/>
      <c r="C2101" s="24" t="n"/>
      <c r="D2101" s="15" t="n"/>
      <c r="E2101" s="23" t="n"/>
      <c r="F2101" s="15" t="n"/>
      <c r="G2101" s="23" t="n"/>
      <c r="H2101" s="25" t="n"/>
      <c r="I2101" s="15" t="n"/>
      <c r="J2101" s="26">
        <f>IF($A2101="","",LEN($C2101)-LEN(SUBSTITUTE($C2101,",",""))+1)</f>
        <v/>
      </c>
      <c r="K2101" s="26">
        <f>IF($A2101="","",SUMPRODUCT(--ISNUMBER(SEARCH('Category Dictionary'!$D$5:$D$135&amp;"",$C2101)),--('Category Dictionary'!$D$5:$D$135&lt;&gt;"")))</f>
        <v/>
      </c>
      <c r="L2101" s="27">
        <f>IF($A2101="","",TRIM(IF(ISERROR(FIND(",",$C2101)),$C2101,LEFT($C2101,FIND(",",$C2101)-1))))</f>
        <v/>
      </c>
      <c r="M2101" s="28">
        <f>IF($H2101="","",DATE(YEAR($H2101),MONTH($H2101),1))</f>
        <v/>
      </c>
      <c r="N2101" s="26">
        <f>IF($H2101="","",TODAY()-$H2101)</f>
        <v/>
      </c>
      <c r="O2101" s="15" t="n"/>
      <c r="P2101" s="26">
        <f>IF($A2101="","",COUNTIFS('Audit Versions'!$A$6:$A$605,$A2101,'Audit Versions'!$L$6:$L$605,"Active"))</f>
        <v/>
      </c>
      <c r="Q2101" s="15" t="n"/>
      <c r="R2101" s="26">
        <f>IF(OR($A2101="",$P2101=0),"",MOD(N($Q2101),$P2101)+1)</f>
        <v/>
      </c>
      <c r="S2101" s="15" t="n"/>
      <c r="T2101" s="25" t="n"/>
      <c r="U2101" s="26">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Builder'!$B$12="",N($S2101)&lt;='Assignment Builder'!$B$12)))</f>
        <v/>
      </c>
      <c r="V2101" s="23" t="n"/>
    </row>
    <row r="2102">
      <c r="A2102" s="23" t="n"/>
      <c r="B2102" s="23" t="n"/>
      <c r="C2102" s="24" t="n"/>
      <c r="D2102" s="15" t="n"/>
      <c r="E2102" s="23" t="n"/>
      <c r="F2102" s="15" t="n"/>
      <c r="G2102" s="23" t="n"/>
      <c r="H2102" s="25" t="n"/>
      <c r="I2102" s="15" t="n"/>
      <c r="J2102" s="26">
        <f>IF($A2102="","",LEN($C2102)-LEN(SUBSTITUTE($C2102,",",""))+1)</f>
        <v/>
      </c>
      <c r="K2102" s="26">
        <f>IF($A2102="","",SUMPRODUCT(--ISNUMBER(SEARCH('Category Dictionary'!$D$5:$D$135&amp;"",$C2102)),--('Category Dictionary'!$D$5:$D$135&lt;&gt;"")))</f>
        <v/>
      </c>
      <c r="L2102" s="27">
        <f>IF($A2102="","",TRIM(IF(ISERROR(FIND(",",$C2102)),$C2102,LEFT($C2102,FIND(",",$C2102)-1))))</f>
        <v/>
      </c>
      <c r="M2102" s="28">
        <f>IF($H2102="","",DATE(YEAR($H2102),MONTH($H2102),1))</f>
        <v/>
      </c>
      <c r="N2102" s="26">
        <f>IF($H2102="","",TODAY()-$H2102)</f>
        <v/>
      </c>
      <c r="O2102" s="15" t="n"/>
      <c r="P2102" s="26">
        <f>IF($A2102="","",COUNTIFS('Audit Versions'!$A$6:$A$605,$A2102,'Audit Versions'!$L$6:$L$605,"Active"))</f>
        <v/>
      </c>
      <c r="Q2102" s="15" t="n"/>
      <c r="R2102" s="26">
        <f>IF(OR($A2102="",$P2102=0),"",MOD(N($Q2102),$P2102)+1)</f>
        <v/>
      </c>
      <c r="S2102" s="15" t="n"/>
      <c r="T2102" s="25" t="n"/>
      <c r="U2102" s="26">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Builder'!$B$12="",N($S2102)&lt;='Assignment Builder'!$B$12)))</f>
        <v/>
      </c>
      <c r="V2102" s="23" t="n"/>
    </row>
    <row r="2103">
      <c r="A2103" s="23" t="n"/>
      <c r="B2103" s="23" t="n"/>
      <c r="C2103" s="24" t="n"/>
      <c r="D2103" s="15" t="n"/>
      <c r="E2103" s="23" t="n"/>
      <c r="F2103" s="15" t="n"/>
      <c r="G2103" s="23" t="n"/>
      <c r="H2103" s="25" t="n"/>
      <c r="I2103" s="15" t="n"/>
      <c r="J2103" s="26">
        <f>IF($A2103="","",LEN($C2103)-LEN(SUBSTITUTE($C2103,",",""))+1)</f>
        <v/>
      </c>
      <c r="K2103" s="26">
        <f>IF($A2103="","",SUMPRODUCT(--ISNUMBER(SEARCH('Category Dictionary'!$D$5:$D$135&amp;"",$C2103)),--('Category Dictionary'!$D$5:$D$135&lt;&gt;"")))</f>
        <v/>
      </c>
      <c r="L2103" s="27">
        <f>IF($A2103="","",TRIM(IF(ISERROR(FIND(",",$C2103)),$C2103,LEFT($C2103,FIND(",",$C2103)-1))))</f>
        <v/>
      </c>
      <c r="M2103" s="28">
        <f>IF($H2103="","",DATE(YEAR($H2103),MONTH($H2103),1))</f>
        <v/>
      </c>
      <c r="N2103" s="26">
        <f>IF($H2103="","",TODAY()-$H2103)</f>
        <v/>
      </c>
      <c r="O2103" s="15" t="n"/>
      <c r="P2103" s="26">
        <f>IF($A2103="","",COUNTIFS('Audit Versions'!$A$6:$A$605,$A2103,'Audit Versions'!$L$6:$L$605,"Active"))</f>
        <v/>
      </c>
      <c r="Q2103" s="15" t="n"/>
      <c r="R2103" s="26">
        <f>IF(OR($A2103="",$P2103=0),"",MOD(N($Q2103),$P2103)+1)</f>
        <v/>
      </c>
      <c r="S2103" s="15" t="n"/>
      <c r="T2103" s="25" t="n"/>
      <c r="U2103" s="26">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Builder'!$B$12="",N($S2103)&lt;='Assignment Builder'!$B$12)))</f>
        <v/>
      </c>
      <c r="V2103" s="23" t="n"/>
    </row>
    <row r="2104">
      <c r="A2104" s="23" t="n"/>
      <c r="B2104" s="23" t="n"/>
      <c r="C2104" s="24" t="n"/>
      <c r="D2104" s="15" t="n"/>
      <c r="E2104" s="23" t="n"/>
      <c r="F2104" s="15" t="n"/>
      <c r="G2104" s="23" t="n"/>
      <c r="H2104" s="25" t="n"/>
      <c r="I2104" s="15" t="n"/>
      <c r="J2104" s="26">
        <f>IF($A2104="","",LEN($C2104)-LEN(SUBSTITUTE($C2104,",",""))+1)</f>
        <v/>
      </c>
      <c r="K2104" s="26">
        <f>IF($A2104="","",SUMPRODUCT(--ISNUMBER(SEARCH('Category Dictionary'!$D$5:$D$135&amp;"",$C2104)),--('Category Dictionary'!$D$5:$D$135&lt;&gt;"")))</f>
        <v/>
      </c>
      <c r="L2104" s="27">
        <f>IF($A2104="","",TRIM(IF(ISERROR(FIND(",",$C2104)),$C2104,LEFT($C2104,FIND(",",$C2104)-1))))</f>
        <v/>
      </c>
      <c r="M2104" s="28">
        <f>IF($H2104="","",DATE(YEAR($H2104),MONTH($H2104),1))</f>
        <v/>
      </c>
      <c r="N2104" s="26">
        <f>IF($H2104="","",TODAY()-$H2104)</f>
        <v/>
      </c>
      <c r="O2104" s="15" t="n"/>
      <c r="P2104" s="26">
        <f>IF($A2104="","",COUNTIFS('Audit Versions'!$A$6:$A$605,$A2104,'Audit Versions'!$L$6:$L$605,"Active"))</f>
        <v/>
      </c>
      <c r="Q2104" s="15" t="n"/>
      <c r="R2104" s="26">
        <f>IF(OR($A2104="",$P2104=0),"",MOD(N($Q2104),$P2104)+1)</f>
        <v/>
      </c>
      <c r="S2104" s="15" t="n"/>
      <c r="T2104" s="25" t="n"/>
      <c r="U2104" s="26">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Builder'!$B$12="",N($S2104)&lt;='Assignment Builder'!$B$12)))</f>
        <v/>
      </c>
      <c r="V2104" s="23" t="n"/>
    </row>
    <row r="2105">
      <c r="A2105" s="23" t="n"/>
      <c r="B2105" s="23" t="n"/>
      <c r="C2105" s="24" t="n"/>
      <c r="D2105" s="15" t="n"/>
      <c r="E2105" s="23" t="n"/>
      <c r="F2105" s="15" t="n"/>
      <c r="G2105" s="23" t="n"/>
      <c r="H2105" s="25" t="n"/>
      <c r="I2105" s="15" t="n"/>
      <c r="J2105" s="26">
        <f>IF($A2105="","",LEN($C2105)-LEN(SUBSTITUTE($C2105,",",""))+1)</f>
        <v/>
      </c>
      <c r="K2105" s="26">
        <f>IF($A2105="","",SUMPRODUCT(--ISNUMBER(SEARCH('Category Dictionary'!$D$5:$D$135&amp;"",$C2105)),--('Category Dictionary'!$D$5:$D$135&lt;&gt;"")))</f>
        <v/>
      </c>
      <c r="L2105" s="27">
        <f>IF($A2105="","",TRIM(IF(ISERROR(FIND(",",$C2105)),$C2105,LEFT($C2105,FIND(",",$C2105)-1))))</f>
        <v/>
      </c>
      <c r="M2105" s="28">
        <f>IF($H2105="","",DATE(YEAR($H2105),MONTH($H2105),1))</f>
        <v/>
      </c>
      <c r="N2105" s="26">
        <f>IF($H2105="","",TODAY()-$H2105)</f>
        <v/>
      </c>
      <c r="O2105" s="15" t="n"/>
      <c r="P2105" s="26">
        <f>IF($A2105="","",COUNTIFS('Audit Versions'!$A$6:$A$605,$A2105,'Audit Versions'!$L$6:$L$605,"Active"))</f>
        <v/>
      </c>
      <c r="Q2105" s="15" t="n"/>
      <c r="R2105" s="26">
        <f>IF(OR($A2105="",$P2105=0),"",MOD(N($Q2105),$P2105)+1)</f>
        <v/>
      </c>
      <c r="S2105" s="15" t="n"/>
      <c r="T2105" s="25" t="n"/>
      <c r="U2105" s="26">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Builder'!$B$12="",N($S2105)&lt;='Assignment Builder'!$B$12)))</f>
        <v/>
      </c>
      <c r="V2105" s="23" t="n"/>
    </row>
    <row r="2106">
      <c r="A2106" s="23" t="n"/>
      <c r="B2106" s="23" t="n"/>
      <c r="C2106" s="24" t="n"/>
      <c r="D2106" s="15" t="n"/>
      <c r="E2106" s="23" t="n"/>
      <c r="F2106" s="15" t="n"/>
      <c r="G2106" s="23" t="n"/>
      <c r="H2106" s="25" t="n"/>
      <c r="I2106" s="15" t="n"/>
      <c r="J2106" s="26">
        <f>IF($A2106="","",LEN($C2106)-LEN(SUBSTITUTE($C2106,",",""))+1)</f>
        <v/>
      </c>
      <c r="K2106" s="26">
        <f>IF($A2106="","",SUMPRODUCT(--ISNUMBER(SEARCH('Category Dictionary'!$D$5:$D$135&amp;"",$C2106)),--('Category Dictionary'!$D$5:$D$135&lt;&gt;"")))</f>
        <v/>
      </c>
      <c r="L2106" s="27">
        <f>IF($A2106="","",TRIM(IF(ISERROR(FIND(",",$C2106)),$C2106,LEFT($C2106,FIND(",",$C2106)-1))))</f>
        <v/>
      </c>
      <c r="M2106" s="28">
        <f>IF($H2106="","",DATE(YEAR($H2106),MONTH($H2106),1))</f>
        <v/>
      </c>
      <c r="N2106" s="26">
        <f>IF($H2106="","",TODAY()-$H2106)</f>
        <v/>
      </c>
      <c r="O2106" s="15" t="n"/>
      <c r="P2106" s="26">
        <f>IF($A2106="","",COUNTIFS('Audit Versions'!$A$6:$A$605,$A2106,'Audit Versions'!$L$6:$L$605,"Active"))</f>
        <v/>
      </c>
      <c r="Q2106" s="15" t="n"/>
      <c r="R2106" s="26">
        <f>IF(OR($A2106="",$P2106=0),"",MOD(N($Q2106),$P2106)+1)</f>
        <v/>
      </c>
      <c r="S2106" s="15" t="n"/>
      <c r="T2106" s="25" t="n"/>
      <c r="U2106" s="26">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Builder'!$B$12="",N($S2106)&lt;='Assignment Builder'!$B$12)))</f>
        <v/>
      </c>
      <c r="V2106" s="23" t="n"/>
    </row>
    <row r="2107">
      <c r="A2107" s="23" t="n"/>
      <c r="B2107" s="23" t="n"/>
      <c r="C2107" s="24" t="n"/>
      <c r="D2107" s="15" t="n"/>
      <c r="E2107" s="23" t="n"/>
      <c r="F2107" s="15" t="n"/>
      <c r="G2107" s="23" t="n"/>
      <c r="H2107" s="25" t="n"/>
      <c r="I2107" s="15" t="n"/>
      <c r="J2107" s="26">
        <f>IF($A2107="","",LEN($C2107)-LEN(SUBSTITUTE($C2107,",",""))+1)</f>
        <v/>
      </c>
      <c r="K2107" s="26">
        <f>IF($A2107="","",SUMPRODUCT(--ISNUMBER(SEARCH('Category Dictionary'!$D$5:$D$135&amp;"",$C2107)),--('Category Dictionary'!$D$5:$D$135&lt;&gt;"")))</f>
        <v/>
      </c>
      <c r="L2107" s="27">
        <f>IF($A2107="","",TRIM(IF(ISERROR(FIND(",",$C2107)),$C2107,LEFT($C2107,FIND(",",$C2107)-1))))</f>
        <v/>
      </c>
      <c r="M2107" s="28">
        <f>IF($H2107="","",DATE(YEAR($H2107),MONTH($H2107),1))</f>
        <v/>
      </c>
      <c r="N2107" s="26">
        <f>IF($H2107="","",TODAY()-$H2107)</f>
        <v/>
      </c>
      <c r="O2107" s="15" t="n"/>
      <c r="P2107" s="26">
        <f>IF($A2107="","",COUNTIFS('Audit Versions'!$A$6:$A$605,$A2107,'Audit Versions'!$L$6:$L$605,"Active"))</f>
        <v/>
      </c>
      <c r="Q2107" s="15" t="n"/>
      <c r="R2107" s="26">
        <f>IF(OR($A2107="",$P2107=0),"",MOD(N($Q2107),$P2107)+1)</f>
        <v/>
      </c>
      <c r="S2107" s="15" t="n"/>
      <c r="T2107" s="25" t="n"/>
      <c r="U2107" s="26">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Builder'!$B$12="",N($S2107)&lt;='Assignment Builder'!$B$12)))</f>
        <v/>
      </c>
      <c r="V2107" s="23" t="n"/>
    </row>
    <row r="2108">
      <c r="A2108" s="23" t="n"/>
      <c r="B2108" s="23" t="n"/>
      <c r="C2108" s="24" t="n"/>
      <c r="D2108" s="15" t="n"/>
      <c r="E2108" s="23" t="n"/>
      <c r="F2108" s="15" t="n"/>
      <c r="G2108" s="23" t="n"/>
      <c r="H2108" s="25" t="n"/>
      <c r="I2108" s="15" t="n"/>
      <c r="J2108" s="26">
        <f>IF($A2108="","",LEN($C2108)-LEN(SUBSTITUTE($C2108,",",""))+1)</f>
        <v/>
      </c>
      <c r="K2108" s="26">
        <f>IF($A2108="","",SUMPRODUCT(--ISNUMBER(SEARCH('Category Dictionary'!$D$5:$D$135&amp;"",$C2108)),--('Category Dictionary'!$D$5:$D$135&lt;&gt;"")))</f>
        <v/>
      </c>
      <c r="L2108" s="27">
        <f>IF($A2108="","",TRIM(IF(ISERROR(FIND(",",$C2108)),$C2108,LEFT($C2108,FIND(",",$C2108)-1))))</f>
        <v/>
      </c>
      <c r="M2108" s="28">
        <f>IF($H2108="","",DATE(YEAR($H2108),MONTH($H2108),1))</f>
        <v/>
      </c>
      <c r="N2108" s="26">
        <f>IF($H2108="","",TODAY()-$H2108)</f>
        <v/>
      </c>
      <c r="O2108" s="15" t="n"/>
      <c r="P2108" s="26">
        <f>IF($A2108="","",COUNTIFS('Audit Versions'!$A$6:$A$605,$A2108,'Audit Versions'!$L$6:$L$605,"Active"))</f>
        <v/>
      </c>
      <c r="Q2108" s="15" t="n"/>
      <c r="R2108" s="26">
        <f>IF(OR($A2108="",$P2108=0),"",MOD(N($Q2108),$P2108)+1)</f>
        <v/>
      </c>
      <c r="S2108" s="15" t="n"/>
      <c r="T2108" s="25" t="n"/>
      <c r="U2108" s="26">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Builder'!$B$12="",N($S2108)&lt;='Assignment Builder'!$B$12)))</f>
        <v/>
      </c>
      <c r="V2108" s="23" t="n"/>
    </row>
    <row r="2109">
      <c r="A2109" s="23" t="n"/>
      <c r="B2109" s="23" t="n"/>
      <c r="C2109" s="24" t="n"/>
      <c r="D2109" s="15" t="n"/>
      <c r="E2109" s="23" t="n"/>
      <c r="F2109" s="15" t="n"/>
      <c r="G2109" s="23" t="n"/>
      <c r="H2109" s="25" t="n"/>
      <c r="I2109" s="15" t="n"/>
      <c r="J2109" s="26">
        <f>IF($A2109="","",LEN($C2109)-LEN(SUBSTITUTE($C2109,",",""))+1)</f>
        <v/>
      </c>
      <c r="K2109" s="26">
        <f>IF($A2109="","",SUMPRODUCT(--ISNUMBER(SEARCH('Category Dictionary'!$D$5:$D$135&amp;"",$C2109)),--('Category Dictionary'!$D$5:$D$135&lt;&gt;"")))</f>
        <v/>
      </c>
      <c r="L2109" s="27">
        <f>IF($A2109="","",TRIM(IF(ISERROR(FIND(",",$C2109)),$C2109,LEFT($C2109,FIND(",",$C2109)-1))))</f>
        <v/>
      </c>
      <c r="M2109" s="28">
        <f>IF($H2109="","",DATE(YEAR($H2109),MONTH($H2109),1))</f>
        <v/>
      </c>
      <c r="N2109" s="26">
        <f>IF($H2109="","",TODAY()-$H2109)</f>
        <v/>
      </c>
      <c r="O2109" s="15" t="n"/>
      <c r="P2109" s="26">
        <f>IF($A2109="","",COUNTIFS('Audit Versions'!$A$6:$A$605,$A2109,'Audit Versions'!$L$6:$L$605,"Active"))</f>
        <v/>
      </c>
      <c r="Q2109" s="15" t="n"/>
      <c r="R2109" s="26">
        <f>IF(OR($A2109="",$P2109=0),"",MOD(N($Q2109),$P2109)+1)</f>
        <v/>
      </c>
      <c r="S2109" s="15" t="n"/>
      <c r="T2109" s="25" t="n"/>
      <c r="U2109" s="26">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Builder'!$B$12="",N($S2109)&lt;='Assignment Builder'!$B$12)))</f>
        <v/>
      </c>
      <c r="V2109" s="23" t="n"/>
    </row>
    <row r="2110">
      <c r="A2110" s="23" t="n"/>
      <c r="B2110" s="23" t="n"/>
      <c r="C2110" s="24" t="n"/>
      <c r="D2110" s="15" t="n"/>
      <c r="E2110" s="23" t="n"/>
      <c r="F2110" s="15" t="n"/>
      <c r="G2110" s="23" t="n"/>
      <c r="H2110" s="25" t="n"/>
      <c r="I2110" s="15" t="n"/>
      <c r="J2110" s="26">
        <f>IF($A2110="","",LEN($C2110)-LEN(SUBSTITUTE($C2110,",",""))+1)</f>
        <v/>
      </c>
      <c r="K2110" s="26">
        <f>IF($A2110="","",SUMPRODUCT(--ISNUMBER(SEARCH('Category Dictionary'!$D$5:$D$135&amp;"",$C2110)),--('Category Dictionary'!$D$5:$D$135&lt;&gt;"")))</f>
        <v/>
      </c>
      <c r="L2110" s="27">
        <f>IF($A2110="","",TRIM(IF(ISERROR(FIND(",",$C2110)),$C2110,LEFT($C2110,FIND(",",$C2110)-1))))</f>
        <v/>
      </c>
      <c r="M2110" s="28">
        <f>IF($H2110="","",DATE(YEAR($H2110),MONTH($H2110),1))</f>
        <v/>
      </c>
      <c r="N2110" s="26">
        <f>IF($H2110="","",TODAY()-$H2110)</f>
        <v/>
      </c>
      <c r="O2110" s="15" t="n"/>
      <c r="P2110" s="26">
        <f>IF($A2110="","",COUNTIFS('Audit Versions'!$A$6:$A$605,$A2110,'Audit Versions'!$L$6:$L$605,"Active"))</f>
        <v/>
      </c>
      <c r="Q2110" s="15" t="n"/>
      <c r="R2110" s="26">
        <f>IF(OR($A2110="",$P2110=0),"",MOD(N($Q2110),$P2110)+1)</f>
        <v/>
      </c>
      <c r="S2110" s="15" t="n"/>
      <c r="T2110" s="25" t="n"/>
      <c r="U2110" s="26">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Builder'!$B$12="",N($S2110)&lt;='Assignment Builder'!$B$12)))</f>
        <v/>
      </c>
      <c r="V2110" s="23" t="n"/>
    </row>
    <row r="2111">
      <c r="A2111" s="23" t="n"/>
      <c r="B2111" s="23" t="n"/>
      <c r="C2111" s="24" t="n"/>
      <c r="D2111" s="15" t="n"/>
      <c r="E2111" s="23" t="n"/>
      <c r="F2111" s="15" t="n"/>
      <c r="G2111" s="23" t="n"/>
      <c r="H2111" s="25" t="n"/>
      <c r="I2111" s="15" t="n"/>
      <c r="J2111" s="26">
        <f>IF($A2111="","",LEN($C2111)-LEN(SUBSTITUTE($C2111,",",""))+1)</f>
        <v/>
      </c>
      <c r="K2111" s="26">
        <f>IF($A2111="","",SUMPRODUCT(--ISNUMBER(SEARCH('Category Dictionary'!$D$5:$D$135&amp;"",$C2111)),--('Category Dictionary'!$D$5:$D$135&lt;&gt;"")))</f>
        <v/>
      </c>
      <c r="L2111" s="27">
        <f>IF($A2111="","",TRIM(IF(ISERROR(FIND(",",$C2111)),$C2111,LEFT($C2111,FIND(",",$C2111)-1))))</f>
        <v/>
      </c>
      <c r="M2111" s="28">
        <f>IF($H2111="","",DATE(YEAR($H2111),MONTH($H2111),1))</f>
        <v/>
      </c>
      <c r="N2111" s="26">
        <f>IF($H2111="","",TODAY()-$H2111)</f>
        <v/>
      </c>
      <c r="O2111" s="15" t="n"/>
      <c r="P2111" s="26">
        <f>IF($A2111="","",COUNTIFS('Audit Versions'!$A$6:$A$605,$A2111,'Audit Versions'!$L$6:$L$605,"Active"))</f>
        <v/>
      </c>
      <c r="Q2111" s="15" t="n"/>
      <c r="R2111" s="26">
        <f>IF(OR($A2111="",$P2111=0),"",MOD(N($Q2111),$P2111)+1)</f>
        <v/>
      </c>
      <c r="S2111" s="15" t="n"/>
      <c r="T2111" s="25" t="n"/>
      <c r="U2111" s="26">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Builder'!$B$12="",N($S2111)&lt;='Assignment Builder'!$B$12)))</f>
        <v/>
      </c>
      <c r="V2111" s="23" t="n"/>
    </row>
    <row r="2112">
      <c r="A2112" s="23" t="n"/>
      <c r="B2112" s="23" t="n"/>
      <c r="C2112" s="24" t="n"/>
      <c r="D2112" s="15" t="n"/>
      <c r="E2112" s="23" t="n"/>
      <c r="F2112" s="15" t="n"/>
      <c r="G2112" s="23" t="n"/>
      <c r="H2112" s="25" t="n"/>
      <c r="I2112" s="15" t="n"/>
      <c r="J2112" s="26">
        <f>IF($A2112="","",LEN($C2112)-LEN(SUBSTITUTE($C2112,",",""))+1)</f>
        <v/>
      </c>
      <c r="K2112" s="26">
        <f>IF($A2112="","",SUMPRODUCT(--ISNUMBER(SEARCH('Category Dictionary'!$D$5:$D$135&amp;"",$C2112)),--('Category Dictionary'!$D$5:$D$135&lt;&gt;"")))</f>
        <v/>
      </c>
      <c r="L2112" s="27">
        <f>IF($A2112="","",TRIM(IF(ISERROR(FIND(",",$C2112)),$C2112,LEFT($C2112,FIND(",",$C2112)-1))))</f>
        <v/>
      </c>
      <c r="M2112" s="28">
        <f>IF($H2112="","",DATE(YEAR($H2112),MONTH($H2112),1))</f>
        <v/>
      </c>
      <c r="N2112" s="26">
        <f>IF($H2112="","",TODAY()-$H2112)</f>
        <v/>
      </c>
      <c r="O2112" s="15" t="n"/>
      <c r="P2112" s="26">
        <f>IF($A2112="","",COUNTIFS('Audit Versions'!$A$6:$A$605,$A2112,'Audit Versions'!$L$6:$L$605,"Active"))</f>
        <v/>
      </c>
      <c r="Q2112" s="15" t="n"/>
      <c r="R2112" s="26">
        <f>IF(OR($A2112="",$P2112=0),"",MOD(N($Q2112),$P2112)+1)</f>
        <v/>
      </c>
      <c r="S2112" s="15" t="n"/>
      <c r="T2112" s="25" t="n"/>
      <c r="U2112" s="26">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Builder'!$B$12="",N($S2112)&lt;='Assignment Builder'!$B$12)))</f>
        <v/>
      </c>
      <c r="V2112" s="23" t="n"/>
    </row>
    <row r="2113">
      <c r="A2113" s="23" t="n"/>
      <c r="B2113" s="23" t="n"/>
      <c r="C2113" s="24" t="n"/>
      <c r="D2113" s="15" t="n"/>
      <c r="E2113" s="23" t="n"/>
      <c r="F2113" s="15" t="n"/>
      <c r="G2113" s="23" t="n"/>
      <c r="H2113" s="25" t="n"/>
      <c r="I2113" s="15" t="n"/>
      <c r="J2113" s="26">
        <f>IF($A2113="","",LEN($C2113)-LEN(SUBSTITUTE($C2113,",",""))+1)</f>
        <v/>
      </c>
      <c r="K2113" s="26">
        <f>IF($A2113="","",SUMPRODUCT(--ISNUMBER(SEARCH('Category Dictionary'!$D$5:$D$135&amp;"",$C2113)),--('Category Dictionary'!$D$5:$D$135&lt;&gt;"")))</f>
        <v/>
      </c>
      <c r="L2113" s="27">
        <f>IF($A2113="","",TRIM(IF(ISERROR(FIND(",",$C2113)),$C2113,LEFT($C2113,FIND(",",$C2113)-1))))</f>
        <v/>
      </c>
      <c r="M2113" s="28">
        <f>IF($H2113="","",DATE(YEAR($H2113),MONTH($H2113),1))</f>
        <v/>
      </c>
      <c r="N2113" s="26">
        <f>IF($H2113="","",TODAY()-$H2113)</f>
        <v/>
      </c>
      <c r="O2113" s="15" t="n"/>
      <c r="P2113" s="26">
        <f>IF($A2113="","",COUNTIFS('Audit Versions'!$A$6:$A$605,$A2113,'Audit Versions'!$L$6:$L$605,"Active"))</f>
        <v/>
      </c>
      <c r="Q2113" s="15" t="n"/>
      <c r="R2113" s="26">
        <f>IF(OR($A2113="",$P2113=0),"",MOD(N($Q2113),$P2113)+1)</f>
        <v/>
      </c>
      <c r="S2113" s="15" t="n"/>
      <c r="T2113" s="25" t="n"/>
      <c r="U2113" s="26">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Builder'!$B$12="",N($S2113)&lt;='Assignment Builder'!$B$12)))</f>
        <v/>
      </c>
      <c r="V2113" s="23" t="n"/>
    </row>
    <row r="2114">
      <c r="A2114" s="23" t="n"/>
      <c r="B2114" s="23" t="n"/>
      <c r="C2114" s="24" t="n"/>
      <c r="D2114" s="15" t="n"/>
      <c r="E2114" s="23" t="n"/>
      <c r="F2114" s="15" t="n"/>
      <c r="G2114" s="23" t="n"/>
      <c r="H2114" s="25" t="n"/>
      <c r="I2114" s="15" t="n"/>
      <c r="J2114" s="26">
        <f>IF($A2114="","",LEN($C2114)-LEN(SUBSTITUTE($C2114,",",""))+1)</f>
        <v/>
      </c>
      <c r="K2114" s="26">
        <f>IF($A2114="","",SUMPRODUCT(--ISNUMBER(SEARCH('Category Dictionary'!$D$5:$D$135&amp;"",$C2114)),--('Category Dictionary'!$D$5:$D$135&lt;&gt;"")))</f>
        <v/>
      </c>
      <c r="L2114" s="27">
        <f>IF($A2114="","",TRIM(IF(ISERROR(FIND(",",$C2114)),$C2114,LEFT($C2114,FIND(",",$C2114)-1))))</f>
        <v/>
      </c>
      <c r="M2114" s="28">
        <f>IF($H2114="","",DATE(YEAR($H2114),MONTH($H2114),1))</f>
        <v/>
      </c>
      <c r="N2114" s="26">
        <f>IF($H2114="","",TODAY()-$H2114)</f>
        <v/>
      </c>
      <c r="O2114" s="15" t="n"/>
      <c r="P2114" s="26">
        <f>IF($A2114="","",COUNTIFS('Audit Versions'!$A$6:$A$605,$A2114,'Audit Versions'!$L$6:$L$605,"Active"))</f>
        <v/>
      </c>
      <c r="Q2114" s="15" t="n"/>
      <c r="R2114" s="26">
        <f>IF(OR($A2114="",$P2114=0),"",MOD(N($Q2114),$P2114)+1)</f>
        <v/>
      </c>
      <c r="S2114" s="15" t="n"/>
      <c r="T2114" s="25" t="n"/>
      <c r="U2114" s="26">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Builder'!$B$12="",N($S2114)&lt;='Assignment Builder'!$B$12)))</f>
        <v/>
      </c>
      <c r="V2114" s="23" t="n"/>
    </row>
    <row r="2115">
      <c r="A2115" s="23" t="n"/>
      <c r="B2115" s="23" t="n"/>
      <c r="C2115" s="24" t="n"/>
      <c r="D2115" s="15" t="n"/>
      <c r="E2115" s="23" t="n"/>
      <c r="F2115" s="15" t="n"/>
      <c r="G2115" s="23" t="n"/>
      <c r="H2115" s="25" t="n"/>
      <c r="I2115" s="15" t="n"/>
      <c r="J2115" s="26">
        <f>IF($A2115="","",LEN($C2115)-LEN(SUBSTITUTE($C2115,",",""))+1)</f>
        <v/>
      </c>
      <c r="K2115" s="26">
        <f>IF($A2115="","",SUMPRODUCT(--ISNUMBER(SEARCH('Category Dictionary'!$D$5:$D$135&amp;"",$C2115)),--('Category Dictionary'!$D$5:$D$135&lt;&gt;"")))</f>
        <v/>
      </c>
      <c r="L2115" s="27">
        <f>IF($A2115="","",TRIM(IF(ISERROR(FIND(",",$C2115)),$C2115,LEFT($C2115,FIND(",",$C2115)-1))))</f>
        <v/>
      </c>
      <c r="M2115" s="28">
        <f>IF($H2115="","",DATE(YEAR($H2115),MONTH($H2115),1))</f>
        <v/>
      </c>
      <c r="N2115" s="26">
        <f>IF($H2115="","",TODAY()-$H2115)</f>
        <v/>
      </c>
      <c r="O2115" s="15" t="n"/>
      <c r="P2115" s="26">
        <f>IF($A2115="","",COUNTIFS('Audit Versions'!$A$6:$A$605,$A2115,'Audit Versions'!$L$6:$L$605,"Active"))</f>
        <v/>
      </c>
      <c r="Q2115" s="15" t="n"/>
      <c r="R2115" s="26">
        <f>IF(OR($A2115="",$P2115=0),"",MOD(N($Q2115),$P2115)+1)</f>
        <v/>
      </c>
      <c r="S2115" s="15" t="n"/>
      <c r="T2115" s="25" t="n"/>
      <c r="U2115" s="26">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Builder'!$B$12="",N($S2115)&lt;='Assignment Builder'!$B$12)))</f>
        <v/>
      </c>
      <c r="V2115" s="23" t="n"/>
    </row>
    <row r="2116">
      <c r="A2116" s="23" t="n"/>
      <c r="B2116" s="23" t="n"/>
      <c r="C2116" s="24" t="n"/>
      <c r="D2116" s="15" t="n"/>
      <c r="E2116" s="23" t="n"/>
      <c r="F2116" s="15" t="n"/>
      <c r="G2116" s="23" t="n"/>
      <c r="H2116" s="25" t="n"/>
      <c r="I2116" s="15" t="n"/>
      <c r="J2116" s="26">
        <f>IF($A2116="","",LEN($C2116)-LEN(SUBSTITUTE($C2116,",",""))+1)</f>
        <v/>
      </c>
      <c r="K2116" s="26">
        <f>IF($A2116="","",SUMPRODUCT(--ISNUMBER(SEARCH('Category Dictionary'!$D$5:$D$135&amp;"",$C2116)),--('Category Dictionary'!$D$5:$D$135&lt;&gt;"")))</f>
        <v/>
      </c>
      <c r="L2116" s="27">
        <f>IF($A2116="","",TRIM(IF(ISERROR(FIND(",",$C2116)),$C2116,LEFT($C2116,FIND(",",$C2116)-1))))</f>
        <v/>
      </c>
      <c r="M2116" s="28">
        <f>IF($H2116="","",DATE(YEAR($H2116),MONTH($H2116),1))</f>
        <v/>
      </c>
      <c r="N2116" s="26">
        <f>IF($H2116="","",TODAY()-$H2116)</f>
        <v/>
      </c>
      <c r="O2116" s="15" t="n"/>
      <c r="P2116" s="26">
        <f>IF($A2116="","",COUNTIFS('Audit Versions'!$A$6:$A$605,$A2116,'Audit Versions'!$L$6:$L$605,"Active"))</f>
        <v/>
      </c>
      <c r="Q2116" s="15" t="n"/>
      <c r="R2116" s="26">
        <f>IF(OR($A2116="",$P2116=0),"",MOD(N($Q2116),$P2116)+1)</f>
        <v/>
      </c>
      <c r="S2116" s="15" t="n"/>
      <c r="T2116" s="25" t="n"/>
      <c r="U2116" s="26">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Builder'!$B$12="",N($S2116)&lt;='Assignment Builder'!$B$12)))</f>
        <v/>
      </c>
      <c r="V2116" s="23" t="n"/>
    </row>
    <row r="2117">
      <c r="A2117" s="23" t="n"/>
      <c r="B2117" s="23" t="n"/>
      <c r="C2117" s="24" t="n"/>
      <c r="D2117" s="15" t="n"/>
      <c r="E2117" s="23" t="n"/>
      <c r="F2117" s="15" t="n"/>
      <c r="G2117" s="23" t="n"/>
      <c r="H2117" s="25" t="n"/>
      <c r="I2117" s="15" t="n"/>
      <c r="J2117" s="26">
        <f>IF($A2117="","",LEN($C2117)-LEN(SUBSTITUTE($C2117,",",""))+1)</f>
        <v/>
      </c>
      <c r="K2117" s="26">
        <f>IF($A2117="","",SUMPRODUCT(--ISNUMBER(SEARCH('Category Dictionary'!$D$5:$D$135&amp;"",$C2117)),--('Category Dictionary'!$D$5:$D$135&lt;&gt;"")))</f>
        <v/>
      </c>
      <c r="L2117" s="27">
        <f>IF($A2117="","",TRIM(IF(ISERROR(FIND(",",$C2117)),$C2117,LEFT($C2117,FIND(",",$C2117)-1))))</f>
        <v/>
      </c>
      <c r="M2117" s="28">
        <f>IF($H2117="","",DATE(YEAR($H2117),MONTH($H2117),1))</f>
        <v/>
      </c>
      <c r="N2117" s="26">
        <f>IF($H2117="","",TODAY()-$H2117)</f>
        <v/>
      </c>
      <c r="O2117" s="15" t="n"/>
      <c r="P2117" s="26">
        <f>IF($A2117="","",COUNTIFS('Audit Versions'!$A$6:$A$605,$A2117,'Audit Versions'!$L$6:$L$605,"Active"))</f>
        <v/>
      </c>
      <c r="Q2117" s="15" t="n"/>
      <c r="R2117" s="26">
        <f>IF(OR($A2117="",$P2117=0),"",MOD(N($Q2117),$P2117)+1)</f>
        <v/>
      </c>
      <c r="S2117" s="15" t="n"/>
      <c r="T2117" s="25" t="n"/>
      <c r="U2117" s="26">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Builder'!$B$12="",N($S2117)&lt;='Assignment Builder'!$B$12)))</f>
        <v/>
      </c>
      <c r="V2117" s="23" t="n"/>
    </row>
    <row r="2118">
      <c r="A2118" s="23" t="n"/>
      <c r="B2118" s="23" t="n"/>
      <c r="C2118" s="24" t="n"/>
      <c r="D2118" s="15" t="n"/>
      <c r="E2118" s="23" t="n"/>
      <c r="F2118" s="15" t="n"/>
      <c r="G2118" s="23" t="n"/>
      <c r="H2118" s="25" t="n"/>
      <c r="I2118" s="15" t="n"/>
      <c r="J2118" s="26">
        <f>IF($A2118="","",LEN($C2118)-LEN(SUBSTITUTE($C2118,",",""))+1)</f>
        <v/>
      </c>
      <c r="K2118" s="26">
        <f>IF($A2118="","",SUMPRODUCT(--ISNUMBER(SEARCH('Category Dictionary'!$D$5:$D$135&amp;"",$C2118)),--('Category Dictionary'!$D$5:$D$135&lt;&gt;"")))</f>
        <v/>
      </c>
      <c r="L2118" s="27">
        <f>IF($A2118="","",TRIM(IF(ISERROR(FIND(",",$C2118)),$C2118,LEFT($C2118,FIND(",",$C2118)-1))))</f>
        <v/>
      </c>
      <c r="M2118" s="28">
        <f>IF($H2118="","",DATE(YEAR($H2118),MONTH($H2118),1))</f>
        <v/>
      </c>
      <c r="N2118" s="26">
        <f>IF($H2118="","",TODAY()-$H2118)</f>
        <v/>
      </c>
      <c r="O2118" s="15" t="n"/>
      <c r="P2118" s="26">
        <f>IF($A2118="","",COUNTIFS('Audit Versions'!$A$6:$A$605,$A2118,'Audit Versions'!$L$6:$L$605,"Active"))</f>
        <v/>
      </c>
      <c r="Q2118" s="15" t="n"/>
      <c r="R2118" s="26">
        <f>IF(OR($A2118="",$P2118=0),"",MOD(N($Q2118),$P2118)+1)</f>
        <v/>
      </c>
      <c r="S2118" s="15" t="n"/>
      <c r="T2118" s="25" t="n"/>
      <c r="U2118" s="26">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Builder'!$B$12="",N($S2118)&lt;='Assignment Builder'!$B$12)))</f>
        <v/>
      </c>
      <c r="V2118" s="23" t="n"/>
    </row>
    <row r="2119">
      <c r="A2119" s="23" t="n"/>
      <c r="B2119" s="23" t="n"/>
      <c r="C2119" s="24" t="n"/>
      <c r="D2119" s="15" t="n"/>
      <c r="E2119" s="23" t="n"/>
      <c r="F2119" s="15" t="n"/>
      <c r="G2119" s="23" t="n"/>
      <c r="H2119" s="25" t="n"/>
      <c r="I2119" s="15" t="n"/>
      <c r="J2119" s="26">
        <f>IF($A2119="","",LEN($C2119)-LEN(SUBSTITUTE($C2119,",",""))+1)</f>
        <v/>
      </c>
      <c r="K2119" s="26">
        <f>IF($A2119="","",SUMPRODUCT(--ISNUMBER(SEARCH('Category Dictionary'!$D$5:$D$135&amp;"",$C2119)),--('Category Dictionary'!$D$5:$D$135&lt;&gt;"")))</f>
        <v/>
      </c>
      <c r="L2119" s="27">
        <f>IF($A2119="","",TRIM(IF(ISERROR(FIND(",",$C2119)),$C2119,LEFT($C2119,FIND(",",$C2119)-1))))</f>
        <v/>
      </c>
      <c r="M2119" s="28">
        <f>IF($H2119="","",DATE(YEAR($H2119),MONTH($H2119),1))</f>
        <v/>
      </c>
      <c r="N2119" s="26">
        <f>IF($H2119="","",TODAY()-$H2119)</f>
        <v/>
      </c>
      <c r="O2119" s="15" t="n"/>
      <c r="P2119" s="26">
        <f>IF($A2119="","",COUNTIFS('Audit Versions'!$A$6:$A$605,$A2119,'Audit Versions'!$L$6:$L$605,"Active"))</f>
        <v/>
      </c>
      <c r="Q2119" s="15" t="n"/>
      <c r="R2119" s="26">
        <f>IF(OR($A2119="",$P2119=0),"",MOD(N($Q2119),$P2119)+1)</f>
        <v/>
      </c>
      <c r="S2119" s="15" t="n"/>
      <c r="T2119" s="25" t="n"/>
      <c r="U2119" s="26">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Builder'!$B$12="",N($S2119)&lt;='Assignment Builder'!$B$12)))</f>
        <v/>
      </c>
      <c r="V2119" s="23" t="n"/>
    </row>
    <row r="2120">
      <c r="A2120" s="23" t="n"/>
      <c r="B2120" s="23" t="n"/>
      <c r="C2120" s="24" t="n"/>
      <c r="D2120" s="15" t="n"/>
      <c r="E2120" s="23" t="n"/>
      <c r="F2120" s="15" t="n"/>
      <c r="G2120" s="23" t="n"/>
      <c r="H2120" s="25" t="n"/>
      <c r="I2120" s="15" t="n"/>
      <c r="J2120" s="26">
        <f>IF($A2120="","",LEN($C2120)-LEN(SUBSTITUTE($C2120,",",""))+1)</f>
        <v/>
      </c>
      <c r="K2120" s="26">
        <f>IF($A2120="","",SUMPRODUCT(--ISNUMBER(SEARCH('Category Dictionary'!$D$5:$D$135&amp;"",$C2120)),--('Category Dictionary'!$D$5:$D$135&lt;&gt;"")))</f>
        <v/>
      </c>
      <c r="L2120" s="27">
        <f>IF($A2120="","",TRIM(IF(ISERROR(FIND(",",$C2120)),$C2120,LEFT($C2120,FIND(",",$C2120)-1))))</f>
        <v/>
      </c>
      <c r="M2120" s="28">
        <f>IF($H2120="","",DATE(YEAR($H2120),MONTH($H2120),1))</f>
        <v/>
      </c>
      <c r="N2120" s="26">
        <f>IF($H2120="","",TODAY()-$H2120)</f>
        <v/>
      </c>
      <c r="O2120" s="15" t="n"/>
      <c r="P2120" s="26">
        <f>IF($A2120="","",COUNTIFS('Audit Versions'!$A$6:$A$605,$A2120,'Audit Versions'!$L$6:$L$605,"Active"))</f>
        <v/>
      </c>
      <c r="Q2120" s="15" t="n"/>
      <c r="R2120" s="26">
        <f>IF(OR($A2120="",$P2120=0),"",MOD(N($Q2120),$P2120)+1)</f>
        <v/>
      </c>
      <c r="S2120" s="15" t="n"/>
      <c r="T2120" s="25" t="n"/>
      <c r="U2120" s="26">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Builder'!$B$12="",N($S2120)&lt;='Assignment Builder'!$B$12)))</f>
        <v/>
      </c>
      <c r="V2120" s="23" t="n"/>
    </row>
    <row r="2121">
      <c r="A2121" s="23" t="n"/>
      <c r="B2121" s="23" t="n"/>
      <c r="C2121" s="24" t="n"/>
      <c r="D2121" s="15" t="n"/>
      <c r="E2121" s="23" t="n"/>
      <c r="F2121" s="15" t="n"/>
      <c r="G2121" s="23" t="n"/>
      <c r="H2121" s="25" t="n"/>
      <c r="I2121" s="15" t="n"/>
      <c r="J2121" s="26">
        <f>IF($A2121="","",LEN($C2121)-LEN(SUBSTITUTE($C2121,",",""))+1)</f>
        <v/>
      </c>
      <c r="K2121" s="26">
        <f>IF($A2121="","",SUMPRODUCT(--ISNUMBER(SEARCH('Category Dictionary'!$D$5:$D$135&amp;"",$C2121)),--('Category Dictionary'!$D$5:$D$135&lt;&gt;"")))</f>
        <v/>
      </c>
      <c r="L2121" s="27">
        <f>IF($A2121="","",TRIM(IF(ISERROR(FIND(",",$C2121)),$C2121,LEFT($C2121,FIND(",",$C2121)-1))))</f>
        <v/>
      </c>
      <c r="M2121" s="28">
        <f>IF($H2121="","",DATE(YEAR($H2121),MONTH($H2121),1))</f>
        <v/>
      </c>
      <c r="N2121" s="26">
        <f>IF($H2121="","",TODAY()-$H2121)</f>
        <v/>
      </c>
      <c r="O2121" s="15" t="n"/>
      <c r="P2121" s="26">
        <f>IF($A2121="","",COUNTIFS('Audit Versions'!$A$6:$A$605,$A2121,'Audit Versions'!$L$6:$L$605,"Active"))</f>
        <v/>
      </c>
      <c r="Q2121" s="15" t="n"/>
      <c r="R2121" s="26">
        <f>IF(OR($A2121="",$P2121=0),"",MOD(N($Q2121),$P2121)+1)</f>
        <v/>
      </c>
      <c r="S2121" s="15" t="n"/>
      <c r="T2121" s="25" t="n"/>
      <c r="U2121" s="26">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Builder'!$B$12="",N($S2121)&lt;='Assignment Builder'!$B$12)))</f>
        <v/>
      </c>
      <c r="V2121" s="23" t="n"/>
    </row>
    <row r="2122">
      <c r="A2122" s="23" t="n"/>
      <c r="B2122" s="23" t="n"/>
      <c r="C2122" s="24" t="n"/>
      <c r="D2122" s="15" t="n"/>
      <c r="E2122" s="23" t="n"/>
      <c r="F2122" s="15" t="n"/>
      <c r="G2122" s="23" t="n"/>
      <c r="H2122" s="25" t="n"/>
      <c r="I2122" s="15" t="n"/>
      <c r="J2122" s="26">
        <f>IF($A2122="","",LEN($C2122)-LEN(SUBSTITUTE($C2122,",",""))+1)</f>
        <v/>
      </c>
      <c r="K2122" s="26">
        <f>IF($A2122="","",SUMPRODUCT(--ISNUMBER(SEARCH('Category Dictionary'!$D$5:$D$135&amp;"",$C2122)),--('Category Dictionary'!$D$5:$D$135&lt;&gt;"")))</f>
        <v/>
      </c>
      <c r="L2122" s="27">
        <f>IF($A2122="","",TRIM(IF(ISERROR(FIND(",",$C2122)),$C2122,LEFT($C2122,FIND(",",$C2122)-1))))</f>
        <v/>
      </c>
      <c r="M2122" s="28">
        <f>IF($H2122="","",DATE(YEAR($H2122),MONTH($H2122),1))</f>
        <v/>
      </c>
      <c r="N2122" s="26">
        <f>IF($H2122="","",TODAY()-$H2122)</f>
        <v/>
      </c>
      <c r="O2122" s="15" t="n"/>
      <c r="P2122" s="26">
        <f>IF($A2122="","",COUNTIFS('Audit Versions'!$A$6:$A$605,$A2122,'Audit Versions'!$L$6:$L$605,"Active"))</f>
        <v/>
      </c>
      <c r="Q2122" s="15" t="n"/>
      <c r="R2122" s="26">
        <f>IF(OR($A2122="",$P2122=0),"",MOD(N($Q2122),$P2122)+1)</f>
        <v/>
      </c>
      <c r="S2122" s="15" t="n"/>
      <c r="T2122" s="25" t="n"/>
      <c r="U2122" s="26">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Builder'!$B$12="",N($S2122)&lt;='Assignment Builder'!$B$12)))</f>
        <v/>
      </c>
      <c r="V2122" s="23" t="n"/>
    </row>
    <row r="2123">
      <c r="A2123" s="23" t="n"/>
      <c r="B2123" s="23" t="n"/>
      <c r="C2123" s="24" t="n"/>
      <c r="D2123" s="15" t="n"/>
      <c r="E2123" s="23" t="n"/>
      <c r="F2123" s="15" t="n"/>
      <c r="G2123" s="23" t="n"/>
      <c r="H2123" s="25" t="n"/>
      <c r="I2123" s="15" t="n"/>
      <c r="J2123" s="26">
        <f>IF($A2123="","",LEN($C2123)-LEN(SUBSTITUTE($C2123,",",""))+1)</f>
        <v/>
      </c>
      <c r="K2123" s="26">
        <f>IF($A2123="","",SUMPRODUCT(--ISNUMBER(SEARCH('Category Dictionary'!$D$5:$D$135&amp;"",$C2123)),--('Category Dictionary'!$D$5:$D$135&lt;&gt;"")))</f>
        <v/>
      </c>
      <c r="L2123" s="27">
        <f>IF($A2123="","",TRIM(IF(ISERROR(FIND(",",$C2123)),$C2123,LEFT($C2123,FIND(",",$C2123)-1))))</f>
        <v/>
      </c>
      <c r="M2123" s="28">
        <f>IF($H2123="","",DATE(YEAR($H2123),MONTH($H2123),1))</f>
        <v/>
      </c>
      <c r="N2123" s="26">
        <f>IF($H2123="","",TODAY()-$H2123)</f>
        <v/>
      </c>
      <c r="O2123" s="15" t="n"/>
      <c r="P2123" s="26">
        <f>IF($A2123="","",COUNTIFS('Audit Versions'!$A$6:$A$605,$A2123,'Audit Versions'!$L$6:$L$605,"Active"))</f>
        <v/>
      </c>
      <c r="Q2123" s="15" t="n"/>
      <c r="R2123" s="26">
        <f>IF(OR($A2123="",$P2123=0),"",MOD(N($Q2123),$P2123)+1)</f>
        <v/>
      </c>
      <c r="S2123" s="15" t="n"/>
      <c r="T2123" s="25" t="n"/>
      <c r="U2123" s="26">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Builder'!$B$12="",N($S2123)&lt;='Assignment Builder'!$B$12)))</f>
        <v/>
      </c>
      <c r="V2123" s="23" t="n"/>
    </row>
    <row r="2124">
      <c r="A2124" s="23" t="n"/>
      <c r="B2124" s="23" t="n"/>
      <c r="C2124" s="24" t="n"/>
      <c r="D2124" s="15" t="n"/>
      <c r="E2124" s="23" t="n"/>
      <c r="F2124" s="15" t="n"/>
      <c r="G2124" s="23" t="n"/>
      <c r="H2124" s="25" t="n"/>
      <c r="I2124" s="15" t="n"/>
      <c r="J2124" s="26">
        <f>IF($A2124="","",LEN($C2124)-LEN(SUBSTITUTE($C2124,",",""))+1)</f>
        <v/>
      </c>
      <c r="K2124" s="26">
        <f>IF($A2124="","",SUMPRODUCT(--ISNUMBER(SEARCH('Category Dictionary'!$D$5:$D$135&amp;"",$C2124)),--('Category Dictionary'!$D$5:$D$135&lt;&gt;"")))</f>
        <v/>
      </c>
      <c r="L2124" s="27">
        <f>IF($A2124="","",TRIM(IF(ISERROR(FIND(",",$C2124)),$C2124,LEFT($C2124,FIND(",",$C2124)-1))))</f>
        <v/>
      </c>
      <c r="M2124" s="28">
        <f>IF($H2124="","",DATE(YEAR($H2124),MONTH($H2124),1))</f>
        <v/>
      </c>
      <c r="N2124" s="26">
        <f>IF($H2124="","",TODAY()-$H2124)</f>
        <v/>
      </c>
      <c r="O2124" s="15" t="n"/>
      <c r="P2124" s="26">
        <f>IF($A2124="","",COUNTIFS('Audit Versions'!$A$6:$A$605,$A2124,'Audit Versions'!$L$6:$L$605,"Active"))</f>
        <v/>
      </c>
      <c r="Q2124" s="15" t="n"/>
      <c r="R2124" s="26">
        <f>IF(OR($A2124="",$P2124=0),"",MOD(N($Q2124),$P2124)+1)</f>
        <v/>
      </c>
      <c r="S2124" s="15" t="n"/>
      <c r="T2124" s="25" t="n"/>
      <c r="U2124" s="26">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Builder'!$B$12="",N($S2124)&lt;='Assignment Builder'!$B$12)))</f>
        <v/>
      </c>
      <c r="V2124" s="23" t="n"/>
    </row>
    <row r="2125">
      <c r="A2125" s="23" t="n"/>
      <c r="B2125" s="23" t="n"/>
      <c r="C2125" s="24" t="n"/>
      <c r="D2125" s="15" t="n"/>
      <c r="E2125" s="23" t="n"/>
      <c r="F2125" s="15" t="n"/>
      <c r="G2125" s="23" t="n"/>
      <c r="H2125" s="25" t="n"/>
      <c r="I2125" s="15" t="n"/>
      <c r="J2125" s="26">
        <f>IF($A2125="","",LEN($C2125)-LEN(SUBSTITUTE($C2125,",",""))+1)</f>
        <v/>
      </c>
      <c r="K2125" s="26">
        <f>IF($A2125="","",SUMPRODUCT(--ISNUMBER(SEARCH('Category Dictionary'!$D$5:$D$135&amp;"",$C2125)),--('Category Dictionary'!$D$5:$D$135&lt;&gt;"")))</f>
        <v/>
      </c>
      <c r="L2125" s="27">
        <f>IF($A2125="","",TRIM(IF(ISERROR(FIND(",",$C2125)),$C2125,LEFT($C2125,FIND(",",$C2125)-1))))</f>
        <v/>
      </c>
      <c r="M2125" s="28">
        <f>IF($H2125="","",DATE(YEAR($H2125),MONTH($H2125),1))</f>
        <v/>
      </c>
      <c r="N2125" s="26">
        <f>IF($H2125="","",TODAY()-$H2125)</f>
        <v/>
      </c>
      <c r="O2125" s="15" t="n"/>
      <c r="P2125" s="26">
        <f>IF($A2125="","",COUNTIFS('Audit Versions'!$A$6:$A$605,$A2125,'Audit Versions'!$L$6:$L$605,"Active"))</f>
        <v/>
      </c>
      <c r="Q2125" s="15" t="n"/>
      <c r="R2125" s="26">
        <f>IF(OR($A2125="",$P2125=0),"",MOD(N($Q2125),$P2125)+1)</f>
        <v/>
      </c>
      <c r="S2125" s="15" t="n"/>
      <c r="T2125" s="25" t="n"/>
      <c r="U2125" s="26">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Builder'!$B$12="",N($S2125)&lt;='Assignment Builder'!$B$12)))</f>
        <v/>
      </c>
      <c r="V2125" s="23" t="n"/>
    </row>
    <row r="2126">
      <c r="A2126" s="23" t="n"/>
      <c r="B2126" s="23" t="n"/>
      <c r="C2126" s="24" t="n"/>
      <c r="D2126" s="15" t="n"/>
      <c r="E2126" s="23" t="n"/>
      <c r="F2126" s="15" t="n"/>
      <c r="G2126" s="23" t="n"/>
      <c r="H2126" s="25" t="n"/>
      <c r="I2126" s="15" t="n"/>
      <c r="J2126" s="26">
        <f>IF($A2126="","",LEN($C2126)-LEN(SUBSTITUTE($C2126,",",""))+1)</f>
        <v/>
      </c>
      <c r="K2126" s="26">
        <f>IF($A2126="","",SUMPRODUCT(--ISNUMBER(SEARCH('Category Dictionary'!$D$5:$D$135&amp;"",$C2126)),--('Category Dictionary'!$D$5:$D$135&lt;&gt;"")))</f>
        <v/>
      </c>
      <c r="L2126" s="27">
        <f>IF($A2126="","",TRIM(IF(ISERROR(FIND(",",$C2126)),$C2126,LEFT($C2126,FIND(",",$C2126)-1))))</f>
        <v/>
      </c>
      <c r="M2126" s="28">
        <f>IF($H2126="","",DATE(YEAR($H2126),MONTH($H2126),1))</f>
        <v/>
      </c>
      <c r="N2126" s="26">
        <f>IF($H2126="","",TODAY()-$H2126)</f>
        <v/>
      </c>
      <c r="O2126" s="15" t="n"/>
      <c r="P2126" s="26">
        <f>IF($A2126="","",COUNTIFS('Audit Versions'!$A$6:$A$605,$A2126,'Audit Versions'!$L$6:$L$605,"Active"))</f>
        <v/>
      </c>
      <c r="Q2126" s="15" t="n"/>
      <c r="R2126" s="26">
        <f>IF(OR($A2126="",$P2126=0),"",MOD(N($Q2126),$P2126)+1)</f>
        <v/>
      </c>
      <c r="S2126" s="15" t="n"/>
      <c r="T2126" s="25" t="n"/>
      <c r="U2126" s="26">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Builder'!$B$12="",N($S2126)&lt;='Assignment Builder'!$B$12)))</f>
        <v/>
      </c>
      <c r="V2126" s="23" t="n"/>
    </row>
    <row r="2127">
      <c r="A2127" s="23" t="n"/>
      <c r="B2127" s="23" t="n"/>
      <c r="C2127" s="24" t="n"/>
      <c r="D2127" s="15" t="n"/>
      <c r="E2127" s="23" t="n"/>
      <c r="F2127" s="15" t="n"/>
      <c r="G2127" s="23" t="n"/>
      <c r="H2127" s="25" t="n"/>
      <c r="I2127" s="15" t="n"/>
      <c r="J2127" s="26">
        <f>IF($A2127="","",LEN($C2127)-LEN(SUBSTITUTE($C2127,",",""))+1)</f>
        <v/>
      </c>
      <c r="K2127" s="26">
        <f>IF($A2127="","",SUMPRODUCT(--ISNUMBER(SEARCH('Category Dictionary'!$D$5:$D$135&amp;"",$C2127)),--('Category Dictionary'!$D$5:$D$135&lt;&gt;"")))</f>
        <v/>
      </c>
      <c r="L2127" s="27">
        <f>IF($A2127="","",TRIM(IF(ISERROR(FIND(",",$C2127)),$C2127,LEFT($C2127,FIND(",",$C2127)-1))))</f>
        <v/>
      </c>
      <c r="M2127" s="28">
        <f>IF($H2127="","",DATE(YEAR($H2127),MONTH($H2127),1))</f>
        <v/>
      </c>
      <c r="N2127" s="26">
        <f>IF($H2127="","",TODAY()-$H2127)</f>
        <v/>
      </c>
      <c r="O2127" s="15" t="n"/>
      <c r="P2127" s="26">
        <f>IF($A2127="","",COUNTIFS('Audit Versions'!$A$6:$A$605,$A2127,'Audit Versions'!$L$6:$L$605,"Active"))</f>
        <v/>
      </c>
      <c r="Q2127" s="15" t="n"/>
      <c r="R2127" s="26">
        <f>IF(OR($A2127="",$P2127=0),"",MOD(N($Q2127),$P2127)+1)</f>
        <v/>
      </c>
      <c r="S2127" s="15" t="n"/>
      <c r="T2127" s="25" t="n"/>
      <c r="U2127" s="26">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Builder'!$B$12="",N($S2127)&lt;='Assignment Builder'!$B$12)))</f>
        <v/>
      </c>
      <c r="V2127" s="23" t="n"/>
    </row>
    <row r="2128">
      <c r="A2128" s="23" t="n"/>
      <c r="B2128" s="23" t="n"/>
      <c r="C2128" s="24" t="n"/>
      <c r="D2128" s="15" t="n"/>
      <c r="E2128" s="23" t="n"/>
      <c r="F2128" s="15" t="n"/>
      <c r="G2128" s="23" t="n"/>
      <c r="H2128" s="25" t="n"/>
      <c r="I2128" s="15" t="n"/>
      <c r="J2128" s="26">
        <f>IF($A2128="","",LEN($C2128)-LEN(SUBSTITUTE($C2128,",",""))+1)</f>
        <v/>
      </c>
      <c r="K2128" s="26">
        <f>IF($A2128="","",SUMPRODUCT(--ISNUMBER(SEARCH('Category Dictionary'!$D$5:$D$135&amp;"",$C2128)),--('Category Dictionary'!$D$5:$D$135&lt;&gt;"")))</f>
        <v/>
      </c>
      <c r="L2128" s="27">
        <f>IF($A2128="","",TRIM(IF(ISERROR(FIND(",",$C2128)),$C2128,LEFT($C2128,FIND(",",$C2128)-1))))</f>
        <v/>
      </c>
      <c r="M2128" s="28">
        <f>IF($H2128="","",DATE(YEAR($H2128),MONTH($H2128),1))</f>
        <v/>
      </c>
      <c r="N2128" s="26">
        <f>IF($H2128="","",TODAY()-$H2128)</f>
        <v/>
      </c>
      <c r="O2128" s="15" t="n"/>
      <c r="P2128" s="26">
        <f>IF($A2128="","",COUNTIFS('Audit Versions'!$A$6:$A$605,$A2128,'Audit Versions'!$L$6:$L$605,"Active"))</f>
        <v/>
      </c>
      <c r="Q2128" s="15" t="n"/>
      <c r="R2128" s="26">
        <f>IF(OR($A2128="",$P2128=0),"",MOD(N($Q2128),$P2128)+1)</f>
        <v/>
      </c>
      <c r="S2128" s="15" t="n"/>
      <c r="T2128" s="25" t="n"/>
      <c r="U2128" s="26">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Builder'!$B$12="",N($S2128)&lt;='Assignment Builder'!$B$12)))</f>
        <v/>
      </c>
      <c r="V2128" s="23" t="n"/>
    </row>
    <row r="2129">
      <c r="A2129" s="23" t="n"/>
      <c r="B2129" s="23" t="n"/>
      <c r="C2129" s="24" t="n"/>
      <c r="D2129" s="15" t="n"/>
      <c r="E2129" s="23" t="n"/>
      <c r="F2129" s="15" t="n"/>
      <c r="G2129" s="23" t="n"/>
      <c r="H2129" s="25" t="n"/>
      <c r="I2129" s="15" t="n"/>
      <c r="J2129" s="26">
        <f>IF($A2129="","",LEN($C2129)-LEN(SUBSTITUTE($C2129,",",""))+1)</f>
        <v/>
      </c>
      <c r="K2129" s="26">
        <f>IF($A2129="","",SUMPRODUCT(--ISNUMBER(SEARCH('Category Dictionary'!$D$5:$D$135&amp;"",$C2129)),--('Category Dictionary'!$D$5:$D$135&lt;&gt;"")))</f>
        <v/>
      </c>
      <c r="L2129" s="27">
        <f>IF($A2129="","",TRIM(IF(ISERROR(FIND(",",$C2129)),$C2129,LEFT($C2129,FIND(",",$C2129)-1))))</f>
        <v/>
      </c>
      <c r="M2129" s="28">
        <f>IF($H2129="","",DATE(YEAR($H2129),MONTH($H2129),1))</f>
        <v/>
      </c>
      <c r="N2129" s="26">
        <f>IF($H2129="","",TODAY()-$H2129)</f>
        <v/>
      </c>
      <c r="O2129" s="15" t="n"/>
      <c r="P2129" s="26">
        <f>IF($A2129="","",COUNTIFS('Audit Versions'!$A$6:$A$605,$A2129,'Audit Versions'!$L$6:$L$605,"Active"))</f>
        <v/>
      </c>
      <c r="Q2129" s="15" t="n"/>
      <c r="R2129" s="26">
        <f>IF(OR($A2129="",$P2129=0),"",MOD(N($Q2129),$P2129)+1)</f>
        <v/>
      </c>
      <c r="S2129" s="15" t="n"/>
      <c r="T2129" s="25" t="n"/>
      <c r="U2129" s="26">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Builder'!$B$12="",N($S2129)&lt;='Assignment Builder'!$B$12)))</f>
        <v/>
      </c>
      <c r="V2129" s="23" t="n"/>
    </row>
    <row r="2130">
      <c r="A2130" s="23" t="n"/>
      <c r="B2130" s="23" t="n"/>
      <c r="C2130" s="24" t="n"/>
      <c r="D2130" s="15" t="n"/>
      <c r="E2130" s="23" t="n"/>
      <c r="F2130" s="15" t="n"/>
      <c r="G2130" s="23" t="n"/>
      <c r="H2130" s="25" t="n"/>
      <c r="I2130" s="15" t="n"/>
      <c r="J2130" s="26">
        <f>IF($A2130="","",LEN($C2130)-LEN(SUBSTITUTE($C2130,",",""))+1)</f>
        <v/>
      </c>
      <c r="K2130" s="26">
        <f>IF($A2130="","",SUMPRODUCT(--ISNUMBER(SEARCH('Category Dictionary'!$D$5:$D$135&amp;"",$C2130)),--('Category Dictionary'!$D$5:$D$135&lt;&gt;"")))</f>
        <v/>
      </c>
      <c r="L2130" s="27">
        <f>IF($A2130="","",TRIM(IF(ISERROR(FIND(",",$C2130)),$C2130,LEFT($C2130,FIND(",",$C2130)-1))))</f>
        <v/>
      </c>
      <c r="M2130" s="28">
        <f>IF($H2130="","",DATE(YEAR($H2130),MONTH($H2130),1))</f>
        <v/>
      </c>
      <c r="N2130" s="26">
        <f>IF($H2130="","",TODAY()-$H2130)</f>
        <v/>
      </c>
      <c r="O2130" s="15" t="n"/>
      <c r="P2130" s="26">
        <f>IF($A2130="","",COUNTIFS('Audit Versions'!$A$6:$A$605,$A2130,'Audit Versions'!$L$6:$L$605,"Active"))</f>
        <v/>
      </c>
      <c r="Q2130" s="15" t="n"/>
      <c r="R2130" s="26">
        <f>IF(OR($A2130="",$P2130=0),"",MOD(N($Q2130),$P2130)+1)</f>
        <v/>
      </c>
      <c r="S2130" s="15" t="n"/>
      <c r="T2130" s="25" t="n"/>
      <c r="U2130" s="26">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Builder'!$B$12="",N($S2130)&lt;='Assignment Builder'!$B$12)))</f>
        <v/>
      </c>
      <c r="V2130" s="23" t="n"/>
    </row>
    <row r="2131">
      <c r="A2131" s="23" t="n"/>
      <c r="B2131" s="23" t="n"/>
      <c r="C2131" s="24" t="n"/>
      <c r="D2131" s="15" t="n"/>
      <c r="E2131" s="23" t="n"/>
      <c r="F2131" s="15" t="n"/>
      <c r="G2131" s="23" t="n"/>
      <c r="H2131" s="25" t="n"/>
      <c r="I2131" s="15" t="n"/>
      <c r="J2131" s="26">
        <f>IF($A2131="","",LEN($C2131)-LEN(SUBSTITUTE($C2131,",",""))+1)</f>
        <v/>
      </c>
      <c r="K2131" s="26">
        <f>IF($A2131="","",SUMPRODUCT(--ISNUMBER(SEARCH('Category Dictionary'!$D$5:$D$135&amp;"",$C2131)),--('Category Dictionary'!$D$5:$D$135&lt;&gt;"")))</f>
        <v/>
      </c>
      <c r="L2131" s="27">
        <f>IF($A2131="","",TRIM(IF(ISERROR(FIND(",",$C2131)),$C2131,LEFT($C2131,FIND(",",$C2131)-1))))</f>
        <v/>
      </c>
      <c r="M2131" s="28">
        <f>IF($H2131="","",DATE(YEAR($H2131),MONTH($H2131),1))</f>
        <v/>
      </c>
      <c r="N2131" s="26">
        <f>IF($H2131="","",TODAY()-$H2131)</f>
        <v/>
      </c>
      <c r="O2131" s="15" t="n"/>
      <c r="P2131" s="26">
        <f>IF($A2131="","",COUNTIFS('Audit Versions'!$A$6:$A$605,$A2131,'Audit Versions'!$L$6:$L$605,"Active"))</f>
        <v/>
      </c>
      <c r="Q2131" s="15" t="n"/>
      <c r="R2131" s="26">
        <f>IF(OR($A2131="",$P2131=0),"",MOD(N($Q2131),$P2131)+1)</f>
        <v/>
      </c>
      <c r="S2131" s="15" t="n"/>
      <c r="T2131" s="25" t="n"/>
      <c r="U2131" s="26">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Builder'!$B$12="",N($S2131)&lt;='Assignment Builder'!$B$12)))</f>
        <v/>
      </c>
      <c r="V2131" s="23" t="n"/>
    </row>
    <row r="2132">
      <c r="A2132" s="23" t="n"/>
      <c r="B2132" s="23" t="n"/>
      <c r="C2132" s="24" t="n"/>
      <c r="D2132" s="15" t="n"/>
      <c r="E2132" s="23" t="n"/>
      <c r="F2132" s="15" t="n"/>
      <c r="G2132" s="23" t="n"/>
      <c r="H2132" s="25" t="n"/>
      <c r="I2132" s="15" t="n"/>
      <c r="J2132" s="26">
        <f>IF($A2132="","",LEN($C2132)-LEN(SUBSTITUTE($C2132,",",""))+1)</f>
        <v/>
      </c>
      <c r="K2132" s="26">
        <f>IF($A2132="","",SUMPRODUCT(--ISNUMBER(SEARCH('Category Dictionary'!$D$5:$D$135&amp;"",$C2132)),--('Category Dictionary'!$D$5:$D$135&lt;&gt;"")))</f>
        <v/>
      </c>
      <c r="L2132" s="27">
        <f>IF($A2132="","",TRIM(IF(ISERROR(FIND(",",$C2132)),$C2132,LEFT($C2132,FIND(",",$C2132)-1))))</f>
        <v/>
      </c>
      <c r="M2132" s="28">
        <f>IF($H2132="","",DATE(YEAR($H2132),MONTH($H2132),1))</f>
        <v/>
      </c>
      <c r="N2132" s="26">
        <f>IF($H2132="","",TODAY()-$H2132)</f>
        <v/>
      </c>
      <c r="O2132" s="15" t="n"/>
      <c r="P2132" s="26">
        <f>IF($A2132="","",COUNTIFS('Audit Versions'!$A$6:$A$605,$A2132,'Audit Versions'!$L$6:$L$605,"Active"))</f>
        <v/>
      </c>
      <c r="Q2132" s="15" t="n"/>
      <c r="R2132" s="26">
        <f>IF(OR($A2132="",$P2132=0),"",MOD(N($Q2132),$P2132)+1)</f>
        <v/>
      </c>
      <c r="S2132" s="15" t="n"/>
      <c r="T2132" s="25" t="n"/>
      <c r="U2132" s="26">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Builder'!$B$12="",N($S2132)&lt;='Assignment Builder'!$B$12)))</f>
        <v/>
      </c>
      <c r="V2132" s="23" t="n"/>
    </row>
    <row r="2133">
      <c r="A2133" s="23" t="n"/>
      <c r="B2133" s="23" t="n"/>
      <c r="C2133" s="24" t="n"/>
      <c r="D2133" s="15" t="n"/>
      <c r="E2133" s="23" t="n"/>
      <c r="F2133" s="15" t="n"/>
      <c r="G2133" s="23" t="n"/>
      <c r="H2133" s="25" t="n"/>
      <c r="I2133" s="15" t="n"/>
      <c r="J2133" s="26">
        <f>IF($A2133="","",LEN($C2133)-LEN(SUBSTITUTE($C2133,",",""))+1)</f>
        <v/>
      </c>
      <c r="K2133" s="26">
        <f>IF($A2133="","",SUMPRODUCT(--ISNUMBER(SEARCH('Category Dictionary'!$D$5:$D$135&amp;"",$C2133)),--('Category Dictionary'!$D$5:$D$135&lt;&gt;"")))</f>
        <v/>
      </c>
      <c r="L2133" s="27">
        <f>IF($A2133="","",TRIM(IF(ISERROR(FIND(",",$C2133)),$C2133,LEFT($C2133,FIND(",",$C2133)-1))))</f>
        <v/>
      </c>
      <c r="M2133" s="28">
        <f>IF($H2133="","",DATE(YEAR($H2133),MONTH($H2133),1))</f>
        <v/>
      </c>
      <c r="N2133" s="26">
        <f>IF($H2133="","",TODAY()-$H2133)</f>
        <v/>
      </c>
      <c r="O2133" s="15" t="n"/>
      <c r="P2133" s="26">
        <f>IF($A2133="","",COUNTIFS('Audit Versions'!$A$6:$A$605,$A2133,'Audit Versions'!$L$6:$L$605,"Active"))</f>
        <v/>
      </c>
      <c r="Q2133" s="15" t="n"/>
      <c r="R2133" s="26">
        <f>IF(OR($A2133="",$P2133=0),"",MOD(N($Q2133),$P2133)+1)</f>
        <v/>
      </c>
      <c r="S2133" s="15" t="n"/>
      <c r="T2133" s="25" t="n"/>
      <c r="U2133" s="26">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Builder'!$B$12="",N($S2133)&lt;='Assignment Builder'!$B$12)))</f>
        <v/>
      </c>
      <c r="V2133" s="23" t="n"/>
    </row>
    <row r="2134">
      <c r="A2134" s="23" t="n"/>
      <c r="B2134" s="23" t="n"/>
      <c r="C2134" s="24" t="n"/>
      <c r="D2134" s="15" t="n"/>
      <c r="E2134" s="23" t="n"/>
      <c r="F2134" s="15" t="n"/>
      <c r="G2134" s="23" t="n"/>
      <c r="H2134" s="25" t="n"/>
      <c r="I2134" s="15" t="n"/>
      <c r="J2134" s="26">
        <f>IF($A2134="","",LEN($C2134)-LEN(SUBSTITUTE($C2134,",",""))+1)</f>
        <v/>
      </c>
      <c r="K2134" s="26">
        <f>IF($A2134="","",SUMPRODUCT(--ISNUMBER(SEARCH('Category Dictionary'!$D$5:$D$135&amp;"",$C2134)),--('Category Dictionary'!$D$5:$D$135&lt;&gt;"")))</f>
        <v/>
      </c>
      <c r="L2134" s="27">
        <f>IF($A2134="","",TRIM(IF(ISERROR(FIND(",",$C2134)),$C2134,LEFT($C2134,FIND(",",$C2134)-1))))</f>
        <v/>
      </c>
      <c r="M2134" s="28">
        <f>IF($H2134="","",DATE(YEAR($H2134),MONTH($H2134),1))</f>
        <v/>
      </c>
      <c r="N2134" s="26">
        <f>IF($H2134="","",TODAY()-$H2134)</f>
        <v/>
      </c>
      <c r="O2134" s="15" t="n"/>
      <c r="P2134" s="26">
        <f>IF($A2134="","",COUNTIFS('Audit Versions'!$A$6:$A$605,$A2134,'Audit Versions'!$L$6:$L$605,"Active"))</f>
        <v/>
      </c>
      <c r="Q2134" s="15" t="n"/>
      <c r="R2134" s="26">
        <f>IF(OR($A2134="",$P2134=0),"",MOD(N($Q2134),$P2134)+1)</f>
        <v/>
      </c>
      <c r="S2134" s="15" t="n"/>
      <c r="T2134" s="25" t="n"/>
      <c r="U2134" s="26">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Builder'!$B$12="",N($S2134)&lt;='Assignment Builder'!$B$12)))</f>
        <v/>
      </c>
      <c r="V2134" s="23" t="n"/>
    </row>
    <row r="2135">
      <c r="A2135" s="23" t="n"/>
      <c r="B2135" s="23" t="n"/>
      <c r="C2135" s="24" t="n"/>
      <c r="D2135" s="15" t="n"/>
      <c r="E2135" s="23" t="n"/>
      <c r="F2135" s="15" t="n"/>
      <c r="G2135" s="23" t="n"/>
      <c r="H2135" s="25" t="n"/>
      <c r="I2135" s="15" t="n"/>
      <c r="J2135" s="26">
        <f>IF($A2135="","",LEN($C2135)-LEN(SUBSTITUTE($C2135,",",""))+1)</f>
        <v/>
      </c>
      <c r="K2135" s="26">
        <f>IF($A2135="","",SUMPRODUCT(--ISNUMBER(SEARCH('Category Dictionary'!$D$5:$D$135&amp;"",$C2135)),--('Category Dictionary'!$D$5:$D$135&lt;&gt;"")))</f>
        <v/>
      </c>
      <c r="L2135" s="27">
        <f>IF($A2135="","",TRIM(IF(ISERROR(FIND(",",$C2135)),$C2135,LEFT($C2135,FIND(",",$C2135)-1))))</f>
        <v/>
      </c>
      <c r="M2135" s="28">
        <f>IF($H2135="","",DATE(YEAR($H2135),MONTH($H2135),1))</f>
        <v/>
      </c>
      <c r="N2135" s="26">
        <f>IF($H2135="","",TODAY()-$H2135)</f>
        <v/>
      </c>
      <c r="O2135" s="15" t="n"/>
      <c r="P2135" s="26">
        <f>IF($A2135="","",COUNTIFS('Audit Versions'!$A$6:$A$605,$A2135,'Audit Versions'!$L$6:$L$605,"Active"))</f>
        <v/>
      </c>
      <c r="Q2135" s="15" t="n"/>
      <c r="R2135" s="26">
        <f>IF(OR($A2135="",$P2135=0),"",MOD(N($Q2135),$P2135)+1)</f>
        <v/>
      </c>
      <c r="S2135" s="15" t="n"/>
      <c r="T2135" s="25" t="n"/>
      <c r="U2135" s="26">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Builder'!$B$12="",N($S2135)&lt;='Assignment Builder'!$B$12)))</f>
        <v/>
      </c>
      <c r="V2135" s="23" t="n"/>
    </row>
    <row r="2136">
      <c r="A2136" s="23" t="n"/>
      <c r="B2136" s="23" t="n"/>
      <c r="C2136" s="24" t="n"/>
      <c r="D2136" s="15" t="n"/>
      <c r="E2136" s="23" t="n"/>
      <c r="F2136" s="15" t="n"/>
      <c r="G2136" s="23" t="n"/>
      <c r="H2136" s="25" t="n"/>
      <c r="I2136" s="15" t="n"/>
      <c r="J2136" s="26">
        <f>IF($A2136="","",LEN($C2136)-LEN(SUBSTITUTE($C2136,",",""))+1)</f>
        <v/>
      </c>
      <c r="K2136" s="26">
        <f>IF($A2136="","",SUMPRODUCT(--ISNUMBER(SEARCH('Category Dictionary'!$D$5:$D$135&amp;"",$C2136)),--('Category Dictionary'!$D$5:$D$135&lt;&gt;"")))</f>
        <v/>
      </c>
      <c r="L2136" s="27">
        <f>IF($A2136="","",TRIM(IF(ISERROR(FIND(",",$C2136)),$C2136,LEFT($C2136,FIND(",",$C2136)-1))))</f>
        <v/>
      </c>
      <c r="M2136" s="28">
        <f>IF($H2136="","",DATE(YEAR($H2136),MONTH($H2136),1))</f>
        <v/>
      </c>
      <c r="N2136" s="26">
        <f>IF($H2136="","",TODAY()-$H2136)</f>
        <v/>
      </c>
      <c r="O2136" s="15" t="n"/>
      <c r="P2136" s="26">
        <f>IF($A2136="","",COUNTIFS('Audit Versions'!$A$6:$A$605,$A2136,'Audit Versions'!$L$6:$L$605,"Active"))</f>
        <v/>
      </c>
      <c r="Q2136" s="15" t="n"/>
      <c r="R2136" s="26">
        <f>IF(OR($A2136="",$P2136=0),"",MOD(N($Q2136),$P2136)+1)</f>
        <v/>
      </c>
      <c r="S2136" s="15" t="n"/>
      <c r="T2136" s="25" t="n"/>
      <c r="U2136" s="26">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Builder'!$B$12="",N($S2136)&lt;='Assignment Builder'!$B$12)))</f>
        <v/>
      </c>
      <c r="V2136" s="23" t="n"/>
    </row>
    <row r="2137">
      <c r="A2137" s="23" t="n"/>
      <c r="B2137" s="23" t="n"/>
      <c r="C2137" s="24" t="n"/>
      <c r="D2137" s="15" t="n"/>
      <c r="E2137" s="23" t="n"/>
      <c r="F2137" s="15" t="n"/>
      <c r="G2137" s="23" t="n"/>
      <c r="H2137" s="25" t="n"/>
      <c r="I2137" s="15" t="n"/>
      <c r="J2137" s="26">
        <f>IF($A2137="","",LEN($C2137)-LEN(SUBSTITUTE($C2137,",",""))+1)</f>
        <v/>
      </c>
      <c r="K2137" s="26">
        <f>IF($A2137="","",SUMPRODUCT(--ISNUMBER(SEARCH('Category Dictionary'!$D$5:$D$135&amp;"",$C2137)),--('Category Dictionary'!$D$5:$D$135&lt;&gt;"")))</f>
        <v/>
      </c>
      <c r="L2137" s="27">
        <f>IF($A2137="","",TRIM(IF(ISERROR(FIND(",",$C2137)),$C2137,LEFT($C2137,FIND(",",$C2137)-1))))</f>
        <v/>
      </c>
      <c r="M2137" s="28">
        <f>IF($H2137="","",DATE(YEAR($H2137),MONTH($H2137),1))</f>
        <v/>
      </c>
      <c r="N2137" s="26">
        <f>IF($H2137="","",TODAY()-$H2137)</f>
        <v/>
      </c>
      <c r="O2137" s="15" t="n"/>
      <c r="P2137" s="26">
        <f>IF($A2137="","",COUNTIFS('Audit Versions'!$A$6:$A$605,$A2137,'Audit Versions'!$L$6:$L$605,"Active"))</f>
        <v/>
      </c>
      <c r="Q2137" s="15" t="n"/>
      <c r="R2137" s="26">
        <f>IF(OR($A2137="",$P2137=0),"",MOD(N($Q2137),$P2137)+1)</f>
        <v/>
      </c>
      <c r="S2137" s="15" t="n"/>
      <c r="T2137" s="25" t="n"/>
      <c r="U2137" s="26">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Builder'!$B$12="",N($S2137)&lt;='Assignment Builder'!$B$12)))</f>
        <v/>
      </c>
      <c r="V2137" s="23" t="n"/>
    </row>
    <row r="2138">
      <c r="A2138" s="23" t="n"/>
      <c r="B2138" s="23" t="n"/>
      <c r="C2138" s="24" t="n"/>
      <c r="D2138" s="15" t="n"/>
      <c r="E2138" s="23" t="n"/>
      <c r="F2138" s="15" t="n"/>
      <c r="G2138" s="23" t="n"/>
      <c r="H2138" s="25" t="n"/>
      <c r="I2138" s="15" t="n"/>
      <c r="J2138" s="26">
        <f>IF($A2138="","",LEN($C2138)-LEN(SUBSTITUTE($C2138,",",""))+1)</f>
        <v/>
      </c>
      <c r="K2138" s="26">
        <f>IF($A2138="","",SUMPRODUCT(--ISNUMBER(SEARCH('Category Dictionary'!$D$5:$D$135&amp;"",$C2138)),--('Category Dictionary'!$D$5:$D$135&lt;&gt;"")))</f>
        <v/>
      </c>
      <c r="L2138" s="27">
        <f>IF($A2138="","",TRIM(IF(ISERROR(FIND(",",$C2138)),$C2138,LEFT($C2138,FIND(",",$C2138)-1))))</f>
        <v/>
      </c>
      <c r="M2138" s="28">
        <f>IF($H2138="","",DATE(YEAR($H2138),MONTH($H2138),1))</f>
        <v/>
      </c>
      <c r="N2138" s="26">
        <f>IF($H2138="","",TODAY()-$H2138)</f>
        <v/>
      </c>
      <c r="O2138" s="15" t="n"/>
      <c r="P2138" s="26">
        <f>IF($A2138="","",COUNTIFS('Audit Versions'!$A$6:$A$605,$A2138,'Audit Versions'!$L$6:$L$605,"Active"))</f>
        <v/>
      </c>
      <c r="Q2138" s="15" t="n"/>
      <c r="R2138" s="26">
        <f>IF(OR($A2138="",$P2138=0),"",MOD(N($Q2138),$P2138)+1)</f>
        <v/>
      </c>
      <c r="S2138" s="15" t="n"/>
      <c r="T2138" s="25" t="n"/>
      <c r="U2138" s="26">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Builder'!$B$12="",N($S2138)&lt;='Assignment Builder'!$B$12)))</f>
        <v/>
      </c>
      <c r="V2138" s="23" t="n"/>
    </row>
    <row r="2139">
      <c r="A2139" s="23" t="n"/>
      <c r="B2139" s="23" t="n"/>
      <c r="C2139" s="24" t="n"/>
      <c r="D2139" s="15" t="n"/>
      <c r="E2139" s="23" t="n"/>
      <c r="F2139" s="15" t="n"/>
      <c r="G2139" s="23" t="n"/>
      <c r="H2139" s="25" t="n"/>
      <c r="I2139" s="15" t="n"/>
      <c r="J2139" s="26">
        <f>IF($A2139="","",LEN($C2139)-LEN(SUBSTITUTE($C2139,",",""))+1)</f>
        <v/>
      </c>
      <c r="K2139" s="26">
        <f>IF($A2139="","",SUMPRODUCT(--ISNUMBER(SEARCH('Category Dictionary'!$D$5:$D$135&amp;"",$C2139)),--('Category Dictionary'!$D$5:$D$135&lt;&gt;"")))</f>
        <v/>
      </c>
      <c r="L2139" s="27">
        <f>IF($A2139="","",TRIM(IF(ISERROR(FIND(",",$C2139)),$C2139,LEFT($C2139,FIND(",",$C2139)-1))))</f>
        <v/>
      </c>
      <c r="M2139" s="28">
        <f>IF($H2139="","",DATE(YEAR($H2139),MONTH($H2139),1))</f>
        <v/>
      </c>
      <c r="N2139" s="26">
        <f>IF($H2139="","",TODAY()-$H2139)</f>
        <v/>
      </c>
      <c r="O2139" s="15" t="n"/>
      <c r="P2139" s="26">
        <f>IF($A2139="","",COUNTIFS('Audit Versions'!$A$6:$A$605,$A2139,'Audit Versions'!$L$6:$L$605,"Active"))</f>
        <v/>
      </c>
      <c r="Q2139" s="15" t="n"/>
      <c r="R2139" s="26">
        <f>IF(OR($A2139="",$P2139=0),"",MOD(N($Q2139),$P2139)+1)</f>
        <v/>
      </c>
      <c r="S2139" s="15" t="n"/>
      <c r="T2139" s="25" t="n"/>
      <c r="U2139" s="26">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Builder'!$B$12="",N($S2139)&lt;='Assignment Builder'!$B$12)))</f>
        <v/>
      </c>
      <c r="V2139" s="23" t="n"/>
    </row>
    <row r="2140">
      <c r="A2140" s="23" t="n"/>
      <c r="B2140" s="23" t="n"/>
      <c r="C2140" s="24" t="n"/>
      <c r="D2140" s="15" t="n"/>
      <c r="E2140" s="23" t="n"/>
      <c r="F2140" s="15" t="n"/>
      <c r="G2140" s="23" t="n"/>
      <c r="H2140" s="25" t="n"/>
      <c r="I2140" s="15" t="n"/>
      <c r="J2140" s="26">
        <f>IF($A2140="","",LEN($C2140)-LEN(SUBSTITUTE($C2140,",",""))+1)</f>
        <v/>
      </c>
      <c r="K2140" s="26">
        <f>IF($A2140="","",SUMPRODUCT(--ISNUMBER(SEARCH('Category Dictionary'!$D$5:$D$135&amp;"",$C2140)),--('Category Dictionary'!$D$5:$D$135&lt;&gt;"")))</f>
        <v/>
      </c>
      <c r="L2140" s="27">
        <f>IF($A2140="","",TRIM(IF(ISERROR(FIND(",",$C2140)),$C2140,LEFT($C2140,FIND(",",$C2140)-1))))</f>
        <v/>
      </c>
      <c r="M2140" s="28">
        <f>IF($H2140="","",DATE(YEAR($H2140),MONTH($H2140),1))</f>
        <v/>
      </c>
      <c r="N2140" s="26">
        <f>IF($H2140="","",TODAY()-$H2140)</f>
        <v/>
      </c>
      <c r="O2140" s="15" t="n"/>
      <c r="P2140" s="26">
        <f>IF($A2140="","",COUNTIFS('Audit Versions'!$A$6:$A$605,$A2140,'Audit Versions'!$L$6:$L$605,"Active"))</f>
        <v/>
      </c>
      <c r="Q2140" s="15" t="n"/>
      <c r="R2140" s="26">
        <f>IF(OR($A2140="",$P2140=0),"",MOD(N($Q2140),$P2140)+1)</f>
        <v/>
      </c>
      <c r="S2140" s="15" t="n"/>
      <c r="T2140" s="25" t="n"/>
      <c r="U2140" s="26">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Builder'!$B$12="",N($S2140)&lt;='Assignment Builder'!$B$12)))</f>
        <v/>
      </c>
      <c r="V2140" s="23" t="n"/>
    </row>
    <row r="2141">
      <c r="A2141" s="23" t="n"/>
      <c r="B2141" s="23" t="n"/>
      <c r="C2141" s="24" t="n"/>
      <c r="D2141" s="15" t="n"/>
      <c r="E2141" s="23" t="n"/>
      <c r="F2141" s="15" t="n"/>
      <c r="G2141" s="23" t="n"/>
      <c r="H2141" s="25" t="n"/>
      <c r="I2141" s="15" t="n"/>
      <c r="J2141" s="26">
        <f>IF($A2141="","",LEN($C2141)-LEN(SUBSTITUTE($C2141,",",""))+1)</f>
        <v/>
      </c>
      <c r="K2141" s="26">
        <f>IF($A2141="","",SUMPRODUCT(--ISNUMBER(SEARCH('Category Dictionary'!$D$5:$D$135&amp;"",$C2141)),--('Category Dictionary'!$D$5:$D$135&lt;&gt;"")))</f>
        <v/>
      </c>
      <c r="L2141" s="27">
        <f>IF($A2141="","",TRIM(IF(ISERROR(FIND(",",$C2141)),$C2141,LEFT($C2141,FIND(",",$C2141)-1))))</f>
        <v/>
      </c>
      <c r="M2141" s="28">
        <f>IF($H2141="","",DATE(YEAR($H2141),MONTH($H2141),1))</f>
        <v/>
      </c>
      <c r="N2141" s="26">
        <f>IF($H2141="","",TODAY()-$H2141)</f>
        <v/>
      </c>
      <c r="O2141" s="15" t="n"/>
      <c r="P2141" s="26">
        <f>IF($A2141="","",COUNTIFS('Audit Versions'!$A$6:$A$605,$A2141,'Audit Versions'!$L$6:$L$605,"Active"))</f>
        <v/>
      </c>
      <c r="Q2141" s="15" t="n"/>
      <c r="R2141" s="26">
        <f>IF(OR($A2141="",$P2141=0),"",MOD(N($Q2141),$P2141)+1)</f>
        <v/>
      </c>
      <c r="S2141" s="15" t="n"/>
      <c r="T2141" s="25" t="n"/>
      <c r="U2141" s="26">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Builder'!$B$12="",N($S2141)&lt;='Assignment Builder'!$B$12)))</f>
        <v/>
      </c>
      <c r="V2141" s="23" t="n"/>
    </row>
    <row r="2142">
      <c r="A2142" s="23" t="n"/>
      <c r="B2142" s="23" t="n"/>
      <c r="C2142" s="24" t="n"/>
      <c r="D2142" s="15" t="n"/>
      <c r="E2142" s="23" t="n"/>
      <c r="F2142" s="15" t="n"/>
      <c r="G2142" s="23" t="n"/>
      <c r="H2142" s="25" t="n"/>
      <c r="I2142" s="15" t="n"/>
      <c r="J2142" s="26">
        <f>IF($A2142="","",LEN($C2142)-LEN(SUBSTITUTE($C2142,",",""))+1)</f>
        <v/>
      </c>
      <c r="K2142" s="26">
        <f>IF($A2142="","",SUMPRODUCT(--ISNUMBER(SEARCH('Category Dictionary'!$D$5:$D$135&amp;"",$C2142)),--('Category Dictionary'!$D$5:$D$135&lt;&gt;"")))</f>
        <v/>
      </c>
      <c r="L2142" s="27">
        <f>IF($A2142="","",TRIM(IF(ISERROR(FIND(",",$C2142)),$C2142,LEFT($C2142,FIND(",",$C2142)-1))))</f>
        <v/>
      </c>
      <c r="M2142" s="28">
        <f>IF($H2142="","",DATE(YEAR($H2142),MONTH($H2142),1))</f>
        <v/>
      </c>
      <c r="N2142" s="26">
        <f>IF($H2142="","",TODAY()-$H2142)</f>
        <v/>
      </c>
      <c r="O2142" s="15" t="n"/>
      <c r="P2142" s="26">
        <f>IF($A2142="","",COUNTIFS('Audit Versions'!$A$6:$A$605,$A2142,'Audit Versions'!$L$6:$L$605,"Active"))</f>
        <v/>
      </c>
      <c r="Q2142" s="15" t="n"/>
      <c r="R2142" s="26">
        <f>IF(OR($A2142="",$P2142=0),"",MOD(N($Q2142),$P2142)+1)</f>
        <v/>
      </c>
      <c r="S2142" s="15" t="n"/>
      <c r="T2142" s="25" t="n"/>
      <c r="U2142" s="26">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Builder'!$B$12="",N($S2142)&lt;='Assignment Builder'!$B$12)))</f>
        <v/>
      </c>
      <c r="V2142" s="23" t="n"/>
    </row>
    <row r="2143">
      <c r="A2143" s="23" t="n"/>
      <c r="B2143" s="23" t="n"/>
      <c r="C2143" s="24" t="n"/>
      <c r="D2143" s="15" t="n"/>
      <c r="E2143" s="23" t="n"/>
      <c r="F2143" s="15" t="n"/>
      <c r="G2143" s="23" t="n"/>
      <c r="H2143" s="25" t="n"/>
      <c r="I2143" s="15" t="n"/>
      <c r="J2143" s="26">
        <f>IF($A2143="","",LEN($C2143)-LEN(SUBSTITUTE($C2143,",",""))+1)</f>
        <v/>
      </c>
      <c r="K2143" s="26">
        <f>IF($A2143="","",SUMPRODUCT(--ISNUMBER(SEARCH('Category Dictionary'!$D$5:$D$135&amp;"",$C2143)),--('Category Dictionary'!$D$5:$D$135&lt;&gt;"")))</f>
        <v/>
      </c>
      <c r="L2143" s="27">
        <f>IF($A2143="","",TRIM(IF(ISERROR(FIND(",",$C2143)),$C2143,LEFT($C2143,FIND(",",$C2143)-1))))</f>
        <v/>
      </c>
      <c r="M2143" s="28">
        <f>IF($H2143="","",DATE(YEAR($H2143),MONTH($H2143),1))</f>
        <v/>
      </c>
      <c r="N2143" s="26">
        <f>IF($H2143="","",TODAY()-$H2143)</f>
        <v/>
      </c>
      <c r="O2143" s="15" t="n"/>
      <c r="P2143" s="26">
        <f>IF($A2143="","",COUNTIFS('Audit Versions'!$A$6:$A$605,$A2143,'Audit Versions'!$L$6:$L$605,"Active"))</f>
        <v/>
      </c>
      <c r="Q2143" s="15" t="n"/>
      <c r="R2143" s="26">
        <f>IF(OR($A2143="",$P2143=0),"",MOD(N($Q2143),$P2143)+1)</f>
        <v/>
      </c>
      <c r="S2143" s="15" t="n"/>
      <c r="T2143" s="25" t="n"/>
      <c r="U2143" s="26">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Builder'!$B$12="",N($S2143)&lt;='Assignment Builder'!$B$12)))</f>
        <v/>
      </c>
      <c r="V2143" s="23" t="n"/>
    </row>
    <row r="2144">
      <c r="A2144" s="23" t="n"/>
      <c r="B2144" s="23" t="n"/>
      <c r="C2144" s="24" t="n"/>
      <c r="D2144" s="15" t="n"/>
      <c r="E2144" s="23" t="n"/>
      <c r="F2144" s="15" t="n"/>
      <c r="G2144" s="23" t="n"/>
      <c r="H2144" s="25" t="n"/>
      <c r="I2144" s="15" t="n"/>
      <c r="J2144" s="26">
        <f>IF($A2144="","",LEN($C2144)-LEN(SUBSTITUTE($C2144,",",""))+1)</f>
        <v/>
      </c>
      <c r="K2144" s="26">
        <f>IF($A2144="","",SUMPRODUCT(--ISNUMBER(SEARCH('Category Dictionary'!$D$5:$D$135&amp;"",$C2144)),--('Category Dictionary'!$D$5:$D$135&lt;&gt;"")))</f>
        <v/>
      </c>
      <c r="L2144" s="27">
        <f>IF($A2144="","",TRIM(IF(ISERROR(FIND(",",$C2144)),$C2144,LEFT($C2144,FIND(",",$C2144)-1))))</f>
        <v/>
      </c>
      <c r="M2144" s="28">
        <f>IF($H2144="","",DATE(YEAR($H2144),MONTH($H2144),1))</f>
        <v/>
      </c>
      <c r="N2144" s="26">
        <f>IF($H2144="","",TODAY()-$H2144)</f>
        <v/>
      </c>
      <c r="O2144" s="15" t="n"/>
      <c r="P2144" s="26">
        <f>IF($A2144="","",COUNTIFS('Audit Versions'!$A$6:$A$605,$A2144,'Audit Versions'!$L$6:$L$605,"Active"))</f>
        <v/>
      </c>
      <c r="Q2144" s="15" t="n"/>
      <c r="R2144" s="26">
        <f>IF(OR($A2144="",$P2144=0),"",MOD(N($Q2144),$P2144)+1)</f>
        <v/>
      </c>
      <c r="S2144" s="15" t="n"/>
      <c r="T2144" s="25" t="n"/>
      <c r="U2144" s="26">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Builder'!$B$12="",N($S2144)&lt;='Assignment Builder'!$B$12)))</f>
        <v/>
      </c>
      <c r="V2144" s="23" t="n"/>
    </row>
    <row r="2145">
      <c r="A2145" s="23" t="n"/>
      <c r="B2145" s="23" t="n"/>
      <c r="C2145" s="24" t="n"/>
      <c r="D2145" s="15" t="n"/>
      <c r="E2145" s="23" t="n"/>
      <c r="F2145" s="15" t="n"/>
      <c r="G2145" s="23" t="n"/>
      <c r="H2145" s="25" t="n"/>
      <c r="I2145" s="15" t="n"/>
      <c r="J2145" s="26">
        <f>IF($A2145="","",LEN($C2145)-LEN(SUBSTITUTE($C2145,",",""))+1)</f>
        <v/>
      </c>
      <c r="K2145" s="26">
        <f>IF($A2145="","",SUMPRODUCT(--ISNUMBER(SEARCH('Category Dictionary'!$D$5:$D$135&amp;"",$C2145)),--('Category Dictionary'!$D$5:$D$135&lt;&gt;"")))</f>
        <v/>
      </c>
      <c r="L2145" s="27">
        <f>IF($A2145="","",TRIM(IF(ISERROR(FIND(",",$C2145)),$C2145,LEFT($C2145,FIND(",",$C2145)-1))))</f>
        <v/>
      </c>
      <c r="M2145" s="28">
        <f>IF($H2145="","",DATE(YEAR($H2145),MONTH($H2145),1))</f>
        <v/>
      </c>
      <c r="N2145" s="26">
        <f>IF($H2145="","",TODAY()-$H2145)</f>
        <v/>
      </c>
      <c r="O2145" s="15" t="n"/>
      <c r="P2145" s="26">
        <f>IF($A2145="","",COUNTIFS('Audit Versions'!$A$6:$A$605,$A2145,'Audit Versions'!$L$6:$L$605,"Active"))</f>
        <v/>
      </c>
      <c r="Q2145" s="15" t="n"/>
      <c r="R2145" s="26">
        <f>IF(OR($A2145="",$P2145=0),"",MOD(N($Q2145),$P2145)+1)</f>
        <v/>
      </c>
      <c r="S2145" s="15" t="n"/>
      <c r="T2145" s="25" t="n"/>
      <c r="U2145" s="26">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Builder'!$B$12="",N($S2145)&lt;='Assignment Builder'!$B$12)))</f>
        <v/>
      </c>
      <c r="V2145" s="23" t="n"/>
    </row>
    <row r="2146">
      <c r="A2146" s="23" t="n"/>
      <c r="B2146" s="23" t="n"/>
      <c r="C2146" s="24" t="n"/>
      <c r="D2146" s="15" t="n"/>
      <c r="E2146" s="23" t="n"/>
      <c r="F2146" s="15" t="n"/>
      <c r="G2146" s="23" t="n"/>
      <c r="H2146" s="25" t="n"/>
      <c r="I2146" s="15" t="n"/>
      <c r="J2146" s="26">
        <f>IF($A2146="","",LEN($C2146)-LEN(SUBSTITUTE($C2146,",",""))+1)</f>
        <v/>
      </c>
      <c r="K2146" s="26">
        <f>IF($A2146="","",SUMPRODUCT(--ISNUMBER(SEARCH('Category Dictionary'!$D$5:$D$135&amp;"",$C2146)),--('Category Dictionary'!$D$5:$D$135&lt;&gt;"")))</f>
        <v/>
      </c>
      <c r="L2146" s="27">
        <f>IF($A2146="","",TRIM(IF(ISERROR(FIND(",",$C2146)),$C2146,LEFT($C2146,FIND(",",$C2146)-1))))</f>
        <v/>
      </c>
      <c r="M2146" s="28">
        <f>IF($H2146="","",DATE(YEAR($H2146),MONTH($H2146),1))</f>
        <v/>
      </c>
      <c r="N2146" s="26">
        <f>IF($H2146="","",TODAY()-$H2146)</f>
        <v/>
      </c>
      <c r="O2146" s="15" t="n"/>
      <c r="P2146" s="26">
        <f>IF($A2146="","",COUNTIFS('Audit Versions'!$A$6:$A$605,$A2146,'Audit Versions'!$L$6:$L$605,"Active"))</f>
        <v/>
      </c>
      <c r="Q2146" s="15" t="n"/>
      <c r="R2146" s="26">
        <f>IF(OR($A2146="",$P2146=0),"",MOD(N($Q2146),$P2146)+1)</f>
        <v/>
      </c>
      <c r="S2146" s="15" t="n"/>
      <c r="T2146" s="25" t="n"/>
      <c r="U2146" s="26">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Builder'!$B$12="",N($S2146)&lt;='Assignment Builder'!$B$12)))</f>
        <v/>
      </c>
      <c r="V2146" s="23" t="n"/>
    </row>
    <row r="2147">
      <c r="A2147" s="23" t="n"/>
      <c r="B2147" s="23" t="n"/>
      <c r="C2147" s="24" t="n"/>
      <c r="D2147" s="15" t="n"/>
      <c r="E2147" s="23" t="n"/>
      <c r="F2147" s="15" t="n"/>
      <c r="G2147" s="23" t="n"/>
      <c r="H2147" s="25" t="n"/>
      <c r="I2147" s="15" t="n"/>
      <c r="J2147" s="26">
        <f>IF($A2147="","",LEN($C2147)-LEN(SUBSTITUTE($C2147,",",""))+1)</f>
        <v/>
      </c>
      <c r="K2147" s="26">
        <f>IF($A2147="","",SUMPRODUCT(--ISNUMBER(SEARCH('Category Dictionary'!$D$5:$D$135&amp;"",$C2147)),--('Category Dictionary'!$D$5:$D$135&lt;&gt;"")))</f>
        <v/>
      </c>
      <c r="L2147" s="27">
        <f>IF($A2147="","",TRIM(IF(ISERROR(FIND(",",$C2147)),$C2147,LEFT($C2147,FIND(",",$C2147)-1))))</f>
        <v/>
      </c>
      <c r="M2147" s="28">
        <f>IF($H2147="","",DATE(YEAR($H2147),MONTH($H2147),1))</f>
        <v/>
      </c>
      <c r="N2147" s="26">
        <f>IF($H2147="","",TODAY()-$H2147)</f>
        <v/>
      </c>
      <c r="O2147" s="15" t="n"/>
      <c r="P2147" s="26">
        <f>IF($A2147="","",COUNTIFS('Audit Versions'!$A$6:$A$605,$A2147,'Audit Versions'!$L$6:$L$605,"Active"))</f>
        <v/>
      </c>
      <c r="Q2147" s="15" t="n"/>
      <c r="R2147" s="26">
        <f>IF(OR($A2147="",$P2147=0),"",MOD(N($Q2147),$P2147)+1)</f>
        <v/>
      </c>
      <c r="S2147" s="15" t="n"/>
      <c r="T2147" s="25" t="n"/>
      <c r="U2147" s="26">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Builder'!$B$12="",N($S2147)&lt;='Assignment Builder'!$B$12)))</f>
        <v/>
      </c>
      <c r="V2147" s="23" t="n"/>
    </row>
    <row r="2148">
      <c r="A2148" s="23" t="n"/>
      <c r="B2148" s="23" t="n"/>
      <c r="C2148" s="24" t="n"/>
      <c r="D2148" s="15" t="n"/>
      <c r="E2148" s="23" t="n"/>
      <c r="F2148" s="15" t="n"/>
      <c r="G2148" s="23" t="n"/>
      <c r="H2148" s="25" t="n"/>
      <c r="I2148" s="15" t="n"/>
      <c r="J2148" s="26">
        <f>IF($A2148="","",LEN($C2148)-LEN(SUBSTITUTE($C2148,",",""))+1)</f>
        <v/>
      </c>
      <c r="K2148" s="26">
        <f>IF($A2148="","",SUMPRODUCT(--ISNUMBER(SEARCH('Category Dictionary'!$D$5:$D$135&amp;"",$C2148)),--('Category Dictionary'!$D$5:$D$135&lt;&gt;"")))</f>
        <v/>
      </c>
      <c r="L2148" s="27">
        <f>IF($A2148="","",TRIM(IF(ISERROR(FIND(",",$C2148)),$C2148,LEFT($C2148,FIND(",",$C2148)-1))))</f>
        <v/>
      </c>
      <c r="M2148" s="28">
        <f>IF($H2148="","",DATE(YEAR($H2148),MONTH($H2148),1))</f>
        <v/>
      </c>
      <c r="N2148" s="26">
        <f>IF($H2148="","",TODAY()-$H2148)</f>
        <v/>
      </c>
      <c r="O2148" s="15" t="n"/>
      <c r="P2148" s="26">
        <f>IF($A2148="","",COUNTIFS('Audit Versions'!$A$6:$A$605,$A2148,'Audit Versions'!$L$6:$L$605,"Active"))</f>
        <v/>
      </c>
      <c r="Q2148" s="15" t="n"/>
      <c r="R2148" s="26">
        <f>IF(OR($A2148="",$P2148=0),"",MOD(N($Q2148),$P2148)+1)</f>
        <v/>
      </c>
      <c r="S2148" s="15" t="n"/>
      <c r="T2148" s="25" t="n"/>
      <c r="U2148" s="26">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Builder'!$B$12="",N($S2148)&lt;='Assignment Builder'!$B$12)))</f>
        <v/>
      </c>
      <c r="V2148" s="23" t="n"/>
    </row>
    <row r="2149">
      <c r="A2149" s="23" t="n"/>
      <c r="B2149" s="23" t="n"/>
      <c r="C2149" s="24" t="n"/>
      <c r="D2149" s="15" t="n"/>
      <c r="E2149" s="23" t="n"/>
      <c r="F2149" s="15" t="n"/>
      <c r="G2149" s="23" t="n"/>
      <c r="H2149" s="25" t="n"/>
      <c r="I2149" s="15" t="n"/>
      <c r="J2149" s="26">
        <f>IF($A2149="","",LEN($C2149)-LEN(SUBSTITUTE($C2149,",",""))+1)</f>
        <v/>
      </c>
      <c r="K2149" s="26">
        <f>IF($A2149="","",SUMPRODUCT(--ISNUMBER(SEARCH('Category Dictionary'!$D$5:$D$135&amp;"",$C2149)),--('Category Dictionary'!$D$5:$D$135&lt;&gt;"")))</f>
        <v/>
      </c>
      <c r="L2149" s="27">
        <f>IF($A2149="","",TRIM(IF(ISERROR(FIND(",",$C2149)),$C2149,LEFT($C2149,FIND(",",$C2149)-1))))</f>
        <v/>
      </c>
      <c r="M2149" s="28">
        <f>IF($H2149="","",DATE(YEAR($H2149),MONTH($H2149),1))</f>
        <v/>
      </c>
      <c r="N2149" s="26">
        <f>IF($H2149="","",TODAY()-$H2149)</f>
        <v/>
      </c>
      <c r="O2149" s="15" t="n"/>
      <c r="P2149" s="26">
        <f>IF($A2149="","",COUNTIFS('Audit Versions'!$A$6:$A$605,$A2149,'Audit Versions'!$L$6:$L$605,"Active"))</f>
        <v/>
      </c>
      <c r="Q2149" s="15" t="n"/>
      <c r="R2149" s="26">
        <f>IF(OR($A2149="",$P2149=0),"",MOD(N($Q2149),$P2149)+1)</f>
        <v/>
      </c>
      <c r="S2149" s="15" t="n"/>
      <c r="T2149" s="25" t="n"/>
      <c r="U2149" s="26">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Builder'!$B$12="",N($S2149)&lt;='Assignment Builder'!$B$12)))</f>
        <v/>
      </c>
      <c r="V2149" s="23" t="n"/>
    </row>
    <row r="2150">
      <c r="A2150" s="23" t="n"/>
      <c r="B2150" s="23" t="n"/>
      <c r="C2150" s="24" t="n"/>
      <c r="D2150" s="15" t="n"/>
      <c r="E2150" s="23" t="n"/>
      <c r="F2150" s="15" t="n"/>
      <c r="G2150" s="23" t="n"/>
      <c r="H2150" s="25" t="n"/>
      <c r="I2150" s="15" t="n"/>
      <c r="J2150" s="26">
        <f>IF($A2150="","",LEN($C2150)-LEN(SUBSTITUTE($C2150,",",""))+1)</f>
        <v/>
      </c>
      <c r="K2150" s="26">
        <f>IF($A2150="","",SUMPRODUCT(--ISNUMBER(SEARCH('Category Dictionary'!$D$5:$D$135&amp;"",$C2150)),--('Category Dictionary'!$D$5:$D$135&lt;&gt;"")))</f>
        <v/>
      </c>
      <c r="L2150" s="27">
        <f>IF($A2150="","",TRIM(IF(ISERROR(FIND(",",$C2150)),$C2150,LEFT($C2150,FIND(",",$C2150)-1))))</f>
        <v/>
      </c>
      <c r="M2150" s="28">
        <f>IF($H2150="","",DATE(YEAR($H2150),MONTH($H2150),1))</f>
        <v/>
      </c>
      <c r="N2150" s="26">
        <f>IF($H2150="","",TODAY()-$H2150)</f>
        <v/>
      </c>
      <c r="O2150" s="15" t="n"/>
      <c r="P2150" s="26">
        <f>IF($A2150="","",COUNTIFS('Audit Versions'!$A$6:$A$605,$A2150,'Audit Versions'!$L$6:$L$605,"Active"))</f>
        <v/>
      </c>
      <c r="Q2150" s="15" t="n"/>
      <c r="R2150" s="26">
        <f>IF(OR($A2150="",$P2150=0),"",MOD(N($Q2150),$P2150)+1)</f>
        <v/>
      </c>
      <c r="S2150" s="15" t="n"/>
      <c r="T2150" s="25" t="n"/>
      <c r="U2150" s="26">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Builder'!$B$12="",N($S2150)&lt;='Assignment Builder'!$B$12)))</f>
        <v/>
      </c>
      <c r="V2150" s="23" t="n"/>
    </row>
    <row r="2151">
      <c r="A2151" s="23" t="n"/>
      <c r="B2151" s="23" t="n"/>
      <c r="C2151" s="24" t="n"/>
      <c r="D2151" s="15" t="n"/>
      <c r="E2151" s="23" t="n"/>
      <c r="F2151" s="15" t="n"/>
      <c r="G2151" s="23" t="n"/>
      <c r="H2151" s="25" t="n"/>
      <c r="I2151" s="15" t="n"/>
      <c r="J2151" s="26">
        <f>IF($A2151="","",LEN($C2151)-LEN(SUBSTITUTE($C2151,",",""))+1)</f>
        <v/>
      </c>
      <c r="K2151" s="26">
        <f>IF($A2151="","",SUMPRODUCT(--ISNUMBER(SEARCH('Category Dictionary'!$D$5:$D$135&amp;"",$C2151)),--('Category Dictionary'!$D$5:$D$135&lt;&gt;"")))</f>
        <v/>
      </c>
      <c r="L2151" s="27">
        <f>IF($A2151="","",TRIM(IF(ISERROR(FIND(",",$C2151)),$C2151,LEFT($C2151,FIND(",",$C2151)-1))))</f>
        <v/>
      </c>
      <c r="M2151" s="28">
        <f>IF($H2151="","",DATE(YEAR($H2151),MONTH($H2151),1))</f>
        <v/>
      </c>
      <c r="N2151" s="26">
        <f>IF($H2151="","",TODAY()-$H2151)</f>
        <v/>
      </c>
      <c r="O2151" s="15" t="n"/>
      <c r="P2151" s="26">
        <f>IF($A2151="","",COUNTIFS('Audit Versions'!$A$6:$A$605,$A2151,'Audit Versions'!$L$6:$L$605,"Active"))</f>
        <v/>
      </c>
      <c r="Q2151" s="15" t="n"/>
      <c r="R2151" s="26">
        <f>IF(OR($A2151="",$P2151=0),"",MOD(N($Q2151),$P2151)+1)</f>
        <v/>
      </c>
      <c r="S2151" s="15" t="n"/>
      <c r="T2151" s="25" t="n"/>
      <c r="U2151" s="26">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Builder'!$B$12="",N($S2151)&lt;='Assignment Builder'!$B$12)))</f>
        <v/>
      </c>
      <c r="V2151" s="23" t="n"/>
    </row>
    <row r="2152">
      <c r="A2152" s="23" t="n"/>
      <c r="B2152" s="23" t="n"/>
      <c r="C2152" s="24" t="n"/>
      <c r="D2152" s="15" t="n"/>
      <c r="E2152" s="23" t="n"/>
      <c r="F2152" s="15" t="n"/>
      <c r="G2152" s="23" t="n"/>
      <c r="H2152" s="25" t="n"/>
      <c r="I2152" s="15" t="n"/>
      <c r="J2152" s="26">
        <f>IF($A2152="","",LEN($C2152)-LEN(SUBSTITUTE($C2152,",",""))+1)</f>
        <v/>
      </c>
      <c r="K2152" s="26">
        <f>IF($A2152="","",SUMPRODUCT(--ISNUMBER(SEARCH('Category Dictionary'!$D$5:$D$135&amp;"",$C2152)),--('Category Dictionary'!$D$5:$D$135&lt;&gt;"")))</f>
        <v/>
      </c>
      <c r="L2152" s="27">
        <f>IF($A2152="","",TRIM(IF(ISERROR(FIND(",",$C2152)),$C2152,LEFT($C2152,FIND(",",$C2152)-1))))</f>
        <v/>
      </c>
      <c r="M2152" s="28">
        <f>IF($H2152="","",DATE(YEAR($H2152),MONTH($H2152),1))</f>
        <v/>
      </c>
      <c r="N2152" s="26">
        <f>IF($H2152="","",TODAY()-$H2152)</f>
        <v/>
      </c>
      <c r="O2152" s="15" t="n"/>
      <c r="P2152" s="26">
        <f>IF($A2152="","",COUNTIFS('Audit Versions'!$A$6:$A$605,$A2152,'Audit Versions'!$L$6:$L$605,"Active"))</f>
        <v/>
      </c>
      <c r="Q2152" s="15" t="n"/>
      <c r="R2152" s="26">
        <f>IF(OR($A2152="",$P2152=0),"",MOD(N($Q2152),$P2152)+1)</f>
        <v/>
      </c>
      <c r="S2152" s="15" t="n"/>
      <c r="T2152" s="25" t="n"/>
      <c r="U2152" s="26">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Builder'!$B$12="",N($S2152)&lt;='Assignment Builder'!$B$12)))</f>
        <v/>
      </c>
      <c r="V2152" s="23" t="n"/>
    </row>
    <row r="2153">
      <c r="A2153" s="23" t="n"/>
      <c r="B2153" s="23" t="n"/>
      <c r="C2153" s="24" t="n"/>
      <c r="D2153" s="15" t="n"/>
      <c r="E2153" s="23" t="n"/>
      <c r="F2153" s="15" t="n"/>
      <c r="G2153" s="23" t="n"/>
      <c r="H2153" s="25" t="n"/>
      <c r="I2153" s="15" t="n"/>
      <c r="J2153" s="26">
        <f>IF($A2153="","",LEN($C2153)-LEN(SUBSTITUTE($C2153,",",""))+1)</f>
        <v/>
      </c>
      <c r="K2153" s="26">
        <f>IF($A2153="","",SUMPRODUCT(--ISNUMBER(SEARCH('Category Dictionary'!$D$5:$D$135&amp;"",$C2153)),--('Category Dictionary'!$D$5:$D$135&lt;&gt;"")))</f>
        <v/>
      </c>
      <c r="L2153" s="27">
        <f>IF($A2153="","",TRIM(IF(ISERROR(FIND(",",$C2153)),$C2153,LEFT($C2153,FIND(",",$C2153)-1))))</f>
        <v/>
      </c>
      <c r="M2153" s="28">
        <f>IF($H2153="","",DATE(YEAR($H2153),MONTH($H2153),1))</f>
        <v/>
      </c>
      <c r="N2153" s="26">
        <f>IF($H2153="","",TODAY()-$H2153)</f>
        <v/>
      </c>
      <c r="O2153" s="15" t="n"/>
      <c r="P2153" s="26">
        <f>IF($A2153="","",COUNTIFS('Audit Versions'!$A$6:$A$605,$A2153,'Audit Versions'!$L$6:$L$605,"Active"))</f>
        <v/>
      </c>
      <c r="Q2153" s="15" t="n"/>
      <c r="R2153" s="26">
        <f>IF(OR($A2153="",$P2153=0),"",MOD(N($Q2153),$P2153)+1)</f>
        <v/>
      </c>
      <c r="S2153" s="15" t="n"/>
      <c r="T2153" s="25" t="n"/>
      <c r="U2153" s="26">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Builder'!$B$12="",N($S2153)&lt;='Assignment Builder'!$B$12)))</f>
        <v/>
      </c>
      <c r="V2153" s="23" t="n"/>
    </row>
    <row r="2154">
      <c r="A2154" s="23" t="n"/>
      <c r="B2154" s="23" t="n"/>
      <c r="C2154" s="24" t="n"/>
      <c r="D2154" s="15" t="n"/>
      <c r="E2154" s="23" t="n"/>
      <c r="F2154" s="15" t="n"/>
      <c r="G2154" s="23" t="n"/>
      <c r="H2154" s="25" t="n"/>
      <c r="I2154" s="15" t="n"/>
      <c r="J2154" s="26">
        <f>IF($A2154="","",LEN($C2154)-LEN(SUBSTITUTE($C2154,",",""))+1)</f>
        <v/>
      </c>
      <c r="K2154" s="26">
        <f>IF($A2154="","",SUMPRODUCT(--ISNUMBER(SEARCH('Category Dictionary'!$D$5:$D$135&amp;"",$C2154)),--('Category Dictionary'!$D$5:$D$135&lt;&gt;"")))</f>
        <v/>
      </c>
      <c r="L2154" s="27">
        <f>IF($A2154="","",TRIM(IF(ISERROR(FIND(",",$C2154)),$C2154,LEFT($C2154,FIND(",",$C2154)-1))))</f>
        <v/>
      </c>
      <c r="M2154" s="28">
        <f>IF($H2154="","",DATE(YEAR($H2154),MONTH($H2154),1))</f>
        <v/>
      </c>
      <c r="N2154" s="26">
        <f>IF($H2154="","",TODAY()-$H2154)</f>
        <v/>
      </c>
      <c r="O2154" s="15" t="n"/>
      <c r="P2154" s="26">
        <f>IF($A2154="","",COUNTIFS('Audit Versions'!$A$6:$A$605,$A2154,'Audit Versions'!$L$6:$L$605,"Active"))</f>
        <v/>
      </c>
      <c r="Q2154" s="15" t="n"/>
      <c r="R2154" s="26">
        <f>IF(OR($A2154="",$P2154=0),"",MOD(N($Q2154),$P2154)+1)</f>
        <v/>
      </c>
      <c r="S2154" s="15" t="n"/>
      <c r="T2154" s="25" t="n"/>
      <c r="U2154" s="26">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Builder'!$B$12="",N($S2154)&lt;='Assignment Builder'!$B$12)))</f>
        <v/>
      </c>
      <c r="V2154" s="23" t="n"/>
    </row>
    <row r="2155">
      <c r="A2155" s="23" t="n"/>
      <c r="B2155" s="23" t="n"/>
      <c r="C2155" s="24" t="n"/>
      <c r="D2155" s="15" t="n"/>
      <c r="E2155" s="23" t="n"/>
      <c r="F2155" s="15" t="n"/>
      <c r="G2155" s="23" t="n"/>
      <c r="H2155" s="25" t="n"/>
      <c r="I2155" s="15" t="n"/>
      <c r="J2155" s="26">
        <f>IF($A2155="","",LEN($C2155)-LEN(SUBSTITUTE($C2155,",",""))+1)</f>
        <v/>
      </c>
      <c r="K2155" s="26">
        <f>IF($A2155="","",SUMPRODUCT(--ISNUMBER(SEARCH('Category Dictionary'!$D$5:$D$135&amp;"",$C2155)),--('Category Dictionary'!$D$5:$D$135&lt;&gt;"")))</f>
        <v/>
      </c>
      <c r="L2155" s="27">
        <f>IF($A2155="","",TRIM(IF(ISERROR(FIND(",",$C2155)),$C2155,LEFT($C2155,FIND(",",$C2155)-1))))</f>
        <v/>
      </c>
      <c r="M2155" s="28">
        <f>IF($H2155="","",DATE(YEAR($H2155),MONTH($H2155),1))</f>
        <v/>
      </c>
      <c r="N2155" s="26">
        <f>IF($H2155="","",TODAY()-$H2155)</f>
        <v/>
      </c>
      <c r="O2155" s="15" t="n"/>
      <c r="P2155" s="26">
        <f>IF($A2155="","",COUNTIFS('Audit Versions'!$A$6:$A$605,$A2155,'Audit Versions'!$L$6:$L$605,"Active"))</f>
        <v/>
      </c>
      <c r="Q2155" s="15" t="n"/>
      <c r="R2155" s="26">
        <f>IF(OR($A2155="",$P2155=0),"",MOD(N($Q2155),$P2155)+1)</f>
        <v/>
      </c>
      <c r="S2155" s="15" t="n"/>
      <c r="T2155" s="25" t="n"/>
      <c r="U2155" s="26">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Builder'!$B$12="",N($S2155)&lt;='Assignment Builder'!$B$12)))</f>
        <v/>
      </c>
      <c r="V2155" s="23" t="n"/>
    </row>
    <row r="2156">
      <c r="A2156" s="23" t="n"/>
      <c r="B2156" s="23" t="n"/>
      <c r="C2156" s="24" t="n"/>
      <c r="D2156" s="15" t="n"/>
      <c r="E2156" s="23" t="n"/>
      <c r="F2156" s="15" t="n"/>
      <c r="G2156" s="23" t="n"/>
      <c r="H2156" s="25" t="n"/>
      <c r="I2156" s="15" t="n"/>
      <c r="J2156" s="26">
        <f>IF($A2156="","",LEN($C2156)-LEN(SUBSTITUTE($C2156,",",""))+1)</f>
        <v/>
      </c>
      <c r="K2156" s="26">
        <f>IF($A2156="","",SUMPRODUCT(--ISNUMBER(SEARCH('Category Dictionary'!$D$5:$D$135&amp;"",$C2156)),--('Category Dictionary'!$D$5:$D$135&lt;&gt;"")))</f>
        <v/>
      </c>
      <c r="L2156" s="27">
        <f>IF($A2156="","",TRIM(IF(ISERROR(FIND(",",$C2156)),$C2156,LEFT($C2156,FIND(",",$C2156)-1))))</f>
        <v/>
      </c>
      <c r="M2156" s="28">
        <f>IF($H2156="","",DATE(YEAR($H2156),MONTH($H2156),1))</f>
        <v/>
      </c>
      <c r="N2156" s="26">
        <f>IF($H2156="","",TODAY()-$H2156)</f>
        <v/>
      </c>
      <c r="O2156" s="15" t="n"/>
      <c r="P2156" s="26">
        <f>IF($A2156="","",COUNTIFS('Audit Versions'!$A$6:$A$605,$A2156,'Audit Versions'!$L$6:$L$605,"Active"))</f>
        <v/>
      </c>
      <c r="Q2156" s="15" t="n"/>
      <c r="R2156" s="26">
        <f>IF(OR($A2156="",$P2156=0),"",MOD(N($Q2156),$P2156)+1)</f>
        <v/>
      </c>
      <c r="S2156" s="15" t="n"/>
      <c r="T2156" s="25" t="n"/>
      <c r="U2156" s="26">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Builder'!$B$12="",N($S2156)&lt;='Assignment Builder'!$B$12)))</f>
        <v/>
      </c>
      <c r="V2156" s="23" t="n"/>
    </row>
    <row r="2157">
      <c r="A2157" s="23" t="n"/>
      <c r="B2157" s="23" t="n"/>
      <c r="C2157" s="24" t="n"/>
      <c r="D2157" s="15" t="n"/>
      <c r="E2157" s="23" t="n"/>
      <c r="F2157" s="15" t="n"/>
      <c r="G2157" s="23" t="n"/>
      <c r="H2157" s="25" t="n"/>
      <c r="I2157" s="15" t="n"/>
      <c r="J2157" s="26">
        <f>IF($A2157="","",LEN($C2157)-LEN(SUBSTITUTE($C2157,",",""))+1)</f>
        <v/>
      </c>
      <c r="K2157" s="26">
        <f>IF($A2157="","",SUMPRODUCT(--ISNUMBER(SEARCH('Category Dictionary'!$D$5:$D$135&amp;"",$C2157)),--('Category Dictionary'!$D$5:$D$135&lt;&gt;"")))</f>
        <v/>
      </c>
      <c r="L2157" s="27">
        <f>IF($A2157="","",TRIM(IF(ISERROR(FIND(",",$C2157)),$C2157,LEFT($C2157,FIND(",",$C2157)-1))))</f>
        <v/>
      </c>
      <c r="M2157" s="28">
        <f>IF($H2157="","",DATE(YEAR($H2157),MONTH($H2157),1))</f>
        <v/>
      </c>
      <c r="N2157" s="26">
        <f>IF($H2157="","",TODAY()-$H2157)</f>
        <v/>
      </c>
      <c r="O2157" s="15" t="n"/>
      <c r="P2157" s="26">
        <f>IF($A2157="","",COUNTIFS('Audit Versions'!$A$6:$A$605,$A2157,'Audit Versions'!$L$6:$L$605,"Active"))</f>
        <v/>
      </c>
      <c r="Q2157" s="15" t="n"/>
      <c r="R2157" s="26">
        <f>IF(OR($A2157="",$P2157=0),"",MOD(N($Q2157),$P2157)+1)</f>
        <v/>
      </c>
      <c r="S2157" s="15" t="n"/>
      <c r="T2157" s="25" t="n"/>
      <c r="U2157" s="26">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Builder'!$B$12="",N($S2157)&lt;='Assignment Builder'!$B$12)))</f>
        <v/>
      </c>
      <c r="V2157" s="23" t="n"/>
    </row>
    <row r="2158">
      <c r="A2158" s="23" t="n"/>
      <c r="B2158" s="23" t="n"/>
      <c r="C2158" s="24" t="n"/>
      <c r="D2158" s="15" t="n"/>
      <c r="E2158" s="23" t="n"/>
      <c r="F2158" s="15" t="n"/>
      <c r="G2158" s="23" t="n"/>
      <c r="H2158" s="25" t="n"/>
      <c r="I2158" s="15" t="n"/>
      <c r="J2158" s="26">
        <f>IF($A2158="","",LEN($C2158)-LEN(SUBSTITUTE($C2158,",",""))+1)</f>
        <v/>
      </c>
      <c r="K2158" s="26">
        <f>IF($A2158="","",SUMPRODUCT(--ISNUMBER(SEARCH('Category Dictionary'!$D$5:$D$135&amp;"",$C2158)),--('Category Dictionary'!$D$5:$D$135&lt;&gt;"")))</f>
        <v/>
      </c>
      <c r="L2158" s="27">
        <f>IF($A2158="","",TRIM(IF(ISERROR(FIND(",",$C2158)),$C2158,LEFT($C2158,FIND(",",$C2158)-1))))</f>
        <v/>
      </c>
      <c r="M2158" s="28">
        <f>IF($H2158="","",DATE(YEAR($H2158),MONTH($H2158),1))</f>
        <v/>
      </c>
      <c r="N2158" s="26">
        <f>IF($H2158="","",TODAY()-$H2158)</f>
        <v/>
      </c>
      <c r="O2158" s="15" t="n"/>
      <c r="P2158" s="26">
        <f>IF($A2158="","",COUNTIFS('Audit Versions'!$A$6:$A$605,$A2158,'Audit Versions'!$L$6:$L$605,"Active"))</f>
        <v/>
      </c>
      <c r="Q2158" s="15" t="n"/>
      <c r="R2158" s="26">
        <f>IF(OR($A2158="",$P2158=0),"",MOD(N($Q2158),$P2158)+1)</f>
        <v/>
      </c>
      <c r="S2158" s="15" t="n"/>
      <c r="T2158" s="25" t="n"/>
      <c r="U2158" s="26">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Builder'!$B$12="",N($S2158)&lt;='Assignment Builder'!$B$12)))</f>
        <v/>
      </c>
      <c r="V2158" s="23" t="n"/>
    </row>
    <row r="2159">
      <c r="A2159" s="23" t="n"/>
      <c r="B2159" s="23" t="n"/>
      <c r="C2159" s="24" t="n"/>
      <c r="D2159" s="15" t="n"/>
      <c r="E2159" s="23" t="n"/>
      <c r="F2159" s="15" t="n"/>
      <c r="G2159" s="23" t="n"/>
      <c r="H2159" s="25" t="n"/>
      <c r="I2159" s="15" t="n"/>
      <c r="J2159" s="26">
        <f>IF($A2159="","",LEN($C2159)-LEN(SUBSTITUTE($C2159,",",""))+1)</f>
        <v/>
      </c>
      <c r="K2159" s="26">
        <f>IF($A2159="","",SUMPRODUCT(--ISNUMBER(SEARCH('Category Dictionary'!$D$5:$D$135&amp;"",$C2159)),--('Category Dictionary'!$D$5:$D$135&lt;&gt;"")))</f>
        <v/>
      </c>
      <c r="L2159" s="27">
        <f>IF($A2159="","",TRIM(IF(ISERROR(FIND(",",$C2159)),$C2159,LEFT($C2159,FIND(",",$C2159)-1))))</f>
        <v/>
      </c>
      <c r="M2159" s="28">
        <f>IF($H2159="","",DATE(YEAR($H2159),MONTH($H2159),1))</f>
        <v/>
      </c>
      <c r="N2159" s="26">
        <f>IF($H2159="","",TODAY()-$H2159)</f>
        <v/>
      </c>
      <c r="O2159" s="15" t="n"/>
      <c r="P2159" s="26">
        <f>IF($A2159="","",COUNTIFS('Audit Versions'!$A$6:$A$605,$A2159,'Audit Versions'!$L$6:$L$605,"Active"))</f>
        <v/>
      </c>
      <c r="Q2159" s="15" t="n"/>
      <c r="R2159" s="26">
        <f>IF(OR($A2159="",$P2159=0),"",MOD(N($Q2159),$P2159)+1)</f>
        <v/>
      </c>
      <c r="S2159" s="15" t="n"/>
      <c r="T2159" s="25" t="n"/>
      <c r="U2159" s="26">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Builder'!$B$12="",N($S2159)&lt;='Assignment Builder'!$B$12)))</f>
        <v/>
      </c>
      <c r="V2159" s="23" t="n"/>
    </row>
    <row r="2160">
      <c r="A2160" s="23" t="n"/>
      <c r="B2160" s="23" t="n"/>
      <c r="C2160" s="24" t="n"/>
      <c r="D2160" s="15" t="n"/>
      <c r="E2160" s="23" t="n"/>
      <c r="F2160" s="15" t="n"/>
      <c r="G2160" s="23" t="n"/>
      <c r="H2160" s="25" t="n"/>
      <c r="I2160" s="15" t="n"/>
      <c r="J2160" s="26">
        <f>IF($A2160="","",LEN($C2160)-LEN(SUBSTITUTE($C2160,",",""))+1)</f>
        <v/>
      </c>
      <c r="K2160" s="26">
        <f>IF($A2160="","",SUMPRODUCT(--ISNUMBER(SEARCH('Category Dictionary'!$D$5:$D$135&amp;"",$C2160)),--('Category Dictionary'!$D$5:$D$135&lt;&gt;"")))</f>
        <v/>
      </c>
      <c r="L2160" s="27">
        <f>IF($A2160="","",TRIM(IF(ISERROR(FIND(",",$C2160)),$C2160,LEFT($C2160,FIND(",",$C2160)-1))))</f>
        <v/>
      </c>
      <c r="M2160" s="28">
        <f>IF($H2160="","",DATE(YEAR($H2160),MONTH($H2160),1))</f>
        <v/>
      </c>
      <c r="N2160" s="26">
        <f>IF($H2160="","",TODAY()-$H2160)</f>
        <v/>
      </c>
      <c r="O2160" s="15" t="n"/>
      <c r="P2160" s="26">
        <f>IF($A2160="","",COUNTIFS('Audit Versions'!$A$6:$A$605,$A2160,'Audit Versions'!$L$6:$L$605,"Active"))</f>
        <v/>
      </c>
      <c r="Q2160" s="15" t="n"/>
      <c r="R2160" s="26">
        <f>IF(OR($A2160="",$P2160=0),"",MOD(N($Q2160),$P2160)+1)</f>
        <v/>
      </c>
      <c r="S2160" s="15" t="n"/>
      <c r="T2160" s="25" t="n"/>
      <c r="U2160" s="26">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Builder'!$B$12="",N($S2160)&lt;='Assignment Builder'!$B$12)))</f>
        <v/>
      </c>
      <c r="V2160" s="23" t="n"/>
    </row>
    <row r="2161">
      <c r="A2161" s="23" t="n"/>
      <c r="B2161" s="23" t="n"/>
      <c r="C2161" s="24" t="n"/>
      <c r="D2161" s="15" t="n"/>
      <c r="E2161" s="23" t="n"/>
      <c r="F2161" s="15" t="n"/>
      <c r="G2161" s="23" t="n"/>
      <c r="H2161" s="25" t="n"/>
      <c r="I2161" s="15" t="n"/>
      <c r="J2161" s="26">
        <f>IF($A2161="","",LEN($C2161)-LEN(SUBSTITUTE($C2161,",",""))+1)</f>
        <v/>
      </c>
      <c r="K2161" s="26">
        <f>IF($A2161="","",SUMPRODUCT(--ISNUMBER(SEARCH('Category Dictionary'!$D$5:$D$135&amp;"",$C2161)),--('Category Dictionary'!$D$5:$D$135&lt;&gt;"")))</f>
        <v/>
      </c>
      <c r="L2161" s="27">
        <f>IF($A2161="","",TRIM(IF(ISERROR(FIND(",",$C2161)),$C2161,LEFT($C2161,FIND(",",$C2161)-1))))</f>
        <v/>
      </c>
      <c r="M2161" s="28">
        <f>IF($H2161="","",DATE(YEAR($H2161),MONTH($H2161),1))</f>
        <v/>
      </c>
      <c r="N2161" s="26">
        <f>IF($H2161="","",TODAY()-$H2161)</f>
        <v/>
      </c>
      <c r="O2161" s="15" t="n"/>
      <c r="P2161" s="26">
        <f>IF($A2161="","",COUNTIFS('Audit Versions'!$A$6:$A$605,$A2161,'Audit Versions'!$L$6:$L$605,"Active"))</f>
        <v/>
      </c>
      <c r="Q2161" s="15" t="n"/>
      <c r="R2161" s="26">
        <f>IF(OR($A2161="",$P2161=0),"",MOD(N($Q2161),$P2161)+1)</f>
        <v/>
      </c>
      <c r="S2161" s="15" t="n"/>
      <c r="T2161" s="25" t="n"/>
      <c r="U2161" s="26">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Builder'!$B$12="",N($S2161)&lt;='Assignment Builder'!$B$12)))</f>
        <v/>
      </c>
      <c r="V2161" s="23" t="n"/>
    </row>
    <row r="2162">
      <c r="A2162" s="23" t="n"/>
      <c r="B2162" s="23" t="n"/>
      <c r="C2162" s="24" t="n"/>
      <c r="D2162" s="15" t="n"/>
      <c r="E2162" s="23" t="n"/>
      <c r="F2162" s="15" t="n"/>
      <c r="G2162" s="23" t="n"/>
      <c r="H2162" s="25" t="n"/>
      <c r="I2162" s="15" t="n"/>
      <c r="J2162" s="26">
        <f>IF($A2162="","",LEN($C2162)-LEN(SUBSTITUTE($C2162,",",""))+1)</f>
        <v/>
      </c>
      <c r="K2162" s="26">
        <f>IF($A2162="","",SUMPRODUCT(--ISNUMBER(SEARCH('Category Dictionary'!$D$5:$D$135&amp;"",$C2162)),--('Category Dictionary'!$D$5:$D$135&lt;&gt;"")))</f>
        <v/>
      </c>
      <c r="L2162" s="27">
        <f>IF($A2162="","",TRIM(IF(ISERROR(FIND(",",$C2162)),$C2162,LEFT($C2162,FIND(",",$C2162)-1))))</f>
        <v/>
      </c>
      <c r="M2162" s="28">
        <f>IF($H2162="","",DATE(YEAR($H2162),MONTH($H2162),1))</f>
        <v/>
      </c>
      <c r="N2162" s="26">
        <f>IF($H2162="","",TODAY()-$H2162)</f>
        <v/>
      </c>
      <c r="O2162" s="15" t="n"/>
      <c r="P2162" s="26">
        <f>IF($A2162="","",COUNTIFS('Audit Versions'!$A$6:$A$605,$A2162,'Audit Versions'!$L$6:$L$605,"Active"))</f>
        <v/>
      </c>
      <c r="Q2162" s="15" t="n"/>
      <c r="R2162" s="26">
        <f>IF(OR($A2162="",$P2162=0),"",MOD(N($Q2162),$P2162)+1)</f>
        <v/>
      </c>
      <c r="S2162" s="15" t="n"/>
      <c r="T2162" s="25" t="n"/>
      <c r="U2162" s="26">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Builder'!$B$12="",N($S2162)&lt;='Assignment Builder'!$B$12)))</f>
        <v/>
      </c>
      <c r="V2162" s="23" t="n"/>
    </row>
    <row r="2163">
      <c r="A2163" s="23" t="n"/>
      <c r="B2163" s="23" t="n"/>
      <c r="C2163" s="24" t="n"/>
      <c r="D2163" s="15" t="n"/>
      <c r="E2163" s="23" t="n"/>
      <c r="F2163" s="15" t="n"/>
      <c r="G2163" s="23" t="n"/>
      <c r="H2163" s="25" t="n"/>
      <c r="I2163" s="15" t="n"/>
      <c r="J2163" s="26">
        <f>IF($A2163="","",LEN($C2163)-LEN(SUBSTITUTE($C2163,",",""))+1)</f>
        <v/>
      </c>
      <c r="K2163" s="26">
        <f>IF($A2163="","",SUMPRODUCT(--ISNUMBER(SEARCH('Category Dictionary'!$D$5:$D$135&amp;"",$C2163)),--('Category Dictionary'!$D$5:$D$135&lt;&gt;"")))</f>
        <v/>
      </c>
      <c r="L2163" s="27">
        <f>IF($A2163="","",TRIM(IF(ISERROR(FIND(",",$C2163)),$C2163,LEFT($C2163,FIND(",",$C2163)-1))))</f>
        <v/>
      </c>
      <c r="M2163" s="28">
        <f>IF($H2163="","",DATE(YEAR($H2163),MONTH($H2163),1))</f>
        <v/>
      </c>
      <c r="N2163" s="26">
        <f>IF($H2163="","",TODAY()-$H2163)</f>
        <v/>
      </c>
      <c r="O2163" s="15" t="n"/>
      <c r="P2163" s="26">
        <f>IF($A2163="","",COUNTIFS('Audit Versions'!$A$6:$A$605,$A2163,'Audit Versions'!$L$6:$L$605,"Active"))</f>
        <v/>
      </c>
      <c r="Q2163" s="15" t="n"/>
      <c r="R2163" s="26">
        <f>IF(OR($A2163="",$P2163=0),"",MOD(N($Q2163),$P2163)+1)</f>
        <v/>
      </c>
      <c r="S2163" s="15" t="n"/>
      <c r="T2163" s="25" t="n"/>
      <c r="U2163" s="26">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Builder'!$B$12="",N($S2163)&lt;='Assignment Builder'!$B$12)))</f>
        <v/>
      </c>
      <c r="V2163" s="23" t="n"/>
    </row>
    <row r="2164">
      <c r="A2164" s="23" t="n"/>
      <c r="B2164" s="23" t="n"/>
      <c r="C2164" s="24" t="n"/>
      <c r="D2164" s="15" t="n"/>
      <c r="E2164" s="23" t="n"/>
      <c r="F2164" s="15" t="n"/>
      <c r="G2164" s="23" t="n"/>
      <c r="H2164" s="25" t="n"/>
      <c r="I2164" s="15" t="n"/>
      <c r="J2164" s="26">
        <f>IF($A2164="","",LEN($C2164)-LEN(SUBSTITUTE($C2164,",",""))+1)</f>
        <v/>
      </c>
      <c r="K2164" s="26">
        <f>IF($A2164="","",SUMPRODUCT(--ISNUMBER(SEARCH('Category Dictionary'!$D$5:$D$135&amp;"",$C2164)),--('Category Dictionary'!$D$5:$D$135&lt;&gt;"")))</f>
        <v/>
      </c>
      <c r="L2164" s="27">
        <f>IF($A2164="","",TRIM(IF(ISERROR(FIND(",",$C2164)),$C2164,LEFT($C2164,FIND(",",$C2164)-1))))</f>
        <v/>
      </c>
      <c r="M2164" s="28">
        <f>IF($H2164="","",DATE(YEAR($H2164),MONTH($H2164),1))</f>
        <v/>
      </c>
      <c r="N2164" s="26">
        <f>IF($H2164="","",TODAY()-$H2164)</f>
        <v/>
      </c>
      <c r="O2164" s="15" t="n"/>
      <c r="P2164" s="26">
        <f>IF($A2164="","",COUNTIFS('Audit Versions'!$A$6:$A$605,$A2164,'Audit Versions'!$L$6:$L$605,"Active"))</f>
        <v/>
      </c>
      <c r="Q2164" s="15" t="n"/>
      <c r="R2164" s="26">
        <f>IF(OR($A2164="",$P2164=0),"",MOD(N($Q2164),$P2164)+1)</f>
        <v/>
      </c>
      <c r="S2164" s="15" t="n"/>
      <c r="T2164" s="25" t="n"/>
      <c r="U2164" s="26">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Builder'!$B$12="",N($S2164)&lt;='Assignment Builder'!$B$12)))</f>
        <v/>
      </c>
      <c r="V2164" s="23" t="n"/>
    </row>
    <row r="2165">
      <c r="A2165" s="23" t="n"/>
      <c r="B2165" s="23" t="n"/>
      <c r="C2165" s="24" t="n"/>
      <c r="D2165" s="15" t="n"/>
      <c r="E2165" s="23" t="n"/>
      <c r="F2165" s="15" t="n"/>
      <c r="G2165" s="23" t="n"/>
      <c r="H2165" s="25" t="n"/>
      <c r="I2165" s="15" t="n"/>
      <c r="J2165" s="26">
        <f>IF($A2165="","",LEN($C2165)-LEN(SUBSTITUTE($C2165,",",""))+1)</f>
        <v/>
      </c>
      <c r="K2165" s="26">
        <f>IF($A2165="","",SUMPRODUCT(--ISNUMBER(SEARCH('Category Dictionary'!$D$5:$D$135&amp;"",$C2165)),--('Category Dictionary'!$D$5:$D$135&lt;&gt;"")))</f>
        <v/>
      </c>
      <c r="L2165" s="27">
        <f>IF($A2165="","",TRIM(IF(ISERROR(FIND(",",$C2165)),$C2165,LEFT($C2165,FIND(",",$C2165)-1))))</f>
        <v/>
      </c>
      <c r="M2165" s="28">
        <f>IF($H2165="","",DATE(YEAR($H2165),MONTH($H2165),1))</f>
        <v/>
      </c>
      <c r="N2165" s="26">
        <f>IF($H2165="","",TODAY()-$H2165)</f>
        <v/>
      </c>
      <c r="O2165" s="15" t="n"/>
      <c r="P2165" s="26">
        <f>IF($A2165="","",COUNTIFS('Audit Versions'!$A$6:$A$605,$A2165,'Audit Versions'!$L$6:$L$605,"Active"))</f>
        <v/>
      </c>
      <c r="Q2165" s="15" t="n"/>
      <c r="R2165" s="26">
        <f>IF(OR($A2165="",$P2165=0),"",MOD(N($Q2165),$P2165)+1)</f>
        <v/>
      </c>
      <c r="S2165" s="15" t="n"/>
      <c r="T2165" s="25" t="n"/>
      <c r="U2165" s="26">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Builder'!$B$12="",N($S2165)&lt;='Assignment Builder'!$B$12)))</f>
        <v/>
      </c>
      <c r="V2165" s="23" t="n"/>
    </row>
    <row r="2166">
      <c r="A2166" s="23" t="n"/>
      <c r="B2166" s="23" t="n"/>
      <c r="C2166" s="24" t="n"/>
      <c r="D2166" s="15" t="n"/>
      <c r="E2166" s="23" t="n"/>
      <c r="F2166" s="15" t="n"/>
      <c r="G2166" s="23" t="n"/>
      <c r="H2166" s="25" t="n"/>
      <c r="I2166" s="15" t="n"/>
      <c r="J2166" s="26">
        <f>IF($A2166="","",LEN($C2166)-LEN(SUBSTITUTE($C2166,",",""))+1)</f>
        <v/>
      </c>
      <c r="K2166" s="26">
        <f>IF($A2166="","",SUMPRODUCT(--ISNUMBER(SEARCH('Category Dictionary'!$D$5:$D$135&amp;"",$C2166)),--('Category Dictionary'!$D$5:$D$135&lt;&gt;"")))</f>
        <v/>
      </c>
      <c r="L2166" s="27">
        <f>IF($A2166="","",TRIM(IF(ISERROR(FIND(",",$C2166)),$C2166,LEFT($C2166,FIND(",",$C2166)-1))))</f>
        <v/>
      </c>
      <c r="M2166" s="28">
        <f>IF($H2166="","",DATE(YEAR($H2166),MONTH($H2166),1))</f>
        <v/>
      </c>
      <c r="N2166" s="26">
        <f>IF($H2166="","",TODAY()-$H2166)</f>
        <v/>
      </c>
      <c r="O2166" s="15" t="n"/>
      <c r="P2166" s="26">
        <f>IF($A2166="","",COUNTIFS('Audit Versions'!$A$6:$A$605,$A2166,'Audit Versions'!$L$6:$L$605,"Active"))</f>
        <v/>
      </c>
      <c r="Q2166" s="15" t="n"/>
      <c r="R2166" s="26">
        <f>IF(OR($A2166="",$P2166=0),"",MOD(N($Q2166),$P2166)+1)</f>
        <v/>
      </c>
      <c r="S2166" s="15" t="n"/>
      <c r="T2166" s="25" t="n"/>
      <c r="U2166" s="26">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Builder'!$B$12="",N($S2166)&lt;='Assignment Builder'!$B$12)))</f>
        <v/>
      </c>
      <c r="V2166" s="23" t="n"/>
    </row>
    <row r="2167">
      <c r="A2167" s="23" t="n"/>
      <c r="B2167" s="23" t="n"/>
      <c r="C2167" s="24" t="n"/>
      <c r="D2167" s="15" t="n"/>
      <c r="E2167" s="23" t="n"/>
      <c r="F2167" s="15" t="n"/>
      <c r="G2167" s="23" t="n"/>
      <c r="H2167" s="25" t="n"/>
      <c r="I2167" s="15" t="n"/>
      <c r="J2167" s="26">
        <f>IF($A2167="","",LEN($C2167)-LEN(SUBSTITUTE($C2167,",",""))+1)</f>
        <v/>
      </c>
      <c r="K2167" s="26">
        <f>IF($A2167="","",SUMPRODUCT(--ISNUMBER(SEARCH('Category Dictionary'!$D$5:$D$135&amp;"",$C2167)),--('Category Dictionary'!$D$5:$D$135&lt;&gt;"")))</f>
        <v/>
      </c>
      <c r="L2167" s="27">
        <f>IF($A2167="","",TRIM(IF(ISERROR(FIND(",",$C2167)),$C2167,LEFT($C2167,FIND(",",$C2167)-1))))</f>
        <v/>
      </c>
      <c r="M2167" s="28">
        <f>IF($H2167="","",DATE(YEAR($H2167),MONTH($H2167),1))</f>
        <v/>
      </c>
      <c r="N2167" s="26">
        <f>IF($H2167="","",TODAY()-$H2167)</f>
        <v/>
      </c>
      <c r="O2167" s="15" t="n"/>
      <c r="P2167" s="26">
        <f>IF($A2167="","",COUNTIFS('Audit Versions'!$A$6:$A$605,$A2167,'Audit Versions'!$L$6:$L$605,"Active"))</f>
        <v/>
      </c>
      <c r="Q2167" s="15" t="n"/>
      <c r="R2167" s="26">
        <f>IF(OR($A2167="",$P2167=0),"",MOD(N($Q2167),$P2167)+1)</f>
        <v/>
      </c>
      <c r="S2167" s="15" t="n"/>
      <c r="T2167" s="25" t="n"/>
      <c r="U2167" s="26">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Builder'!$B$12="",N($S2167)&lt;='Assignment Builder'!$B$12)))</f>
        <v/>
      </c>
      <c r="V2167" s="23" t="n"/>
    </row>
    <row r="2168">
      <c r="A2168" s="23" t="n"/>
      <c r="B2168" s="23" t="n"/>
      <c r="C2168" s="24" t="n"/>
      <c r="D2168" s="15" t="n"/>
      <c r="E2168" s="23" t="n"/>
      <c r="F2168" s="15" t="n"/>
      <c r="G2168" s="23" t="n"/>
      <c r="H2168" s="25" t="n"/>
      <c r="I2168" s="15" t="n"/>
      <c r="J2168" s="26">
        <f>IF($A2168="","",LEN($C2168)-LEN(SUBSTITUTE($C2168,",",""))+1)</f>
        <v/>
      </c>
      <c r="K2168" s="26">
        <f>IF($A2168="","",SUMPRODUCT(--ISNUMBER(SEARCH('Category Dictionary'!$D$5:$D$135&amp;"",$C2168)),--('Category Dictionary'!$D$5:$D$135&lt;&gt;"")))</f>
        <v/>
      </c>
      <c r="L2168" s="27">
        <f>IF($A2168="","",TRIM(IF(ISERROR(FIND(",",$C2168)),$C2168,LEFT($C2168,FIND(",",$C2168)-1))))</f>
        <v/>
      </c>
      <c r="M2168" s="28">
        <f>IF($H2168="","",DATE(YEAR($H2168),MONTH($H2168),1))</f>
        <v/>
      </c>
      <c r="N2168" s="26">
        <f>IF($H2168="","",TODAY()-$H2168)</f>
        <v/>
      </c>
      <c r="O2168" s="15" t="n"/>
      <c r="P2168" s="26">
        <f>IF($A2168="","",COUNTIFS('Audit Versions'!$A$6:$A$605,$A2168,'Audit Versions'!$L$6:$L$605,"Active"))</f>
        <v/>
      </c>
      <c r="Q2168" s="15" t="n"/>
      <c r="R2168" s="26">
        <f>IF(OR($A2168="",$P2168=0),"",MOD(N($Q2168),$P2168)+1)</f>
        <v/>
      </c>
      <c r="S2168" s="15" t="n"/>
      <c r="T2168" s="25" t="n"/>
      <c r="U2168" s="26">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Builder'!$B$12="",N($S2168)&lt;='Assignment Builder'!$B$12)))</f>
        <v/>
      </c>
      <c r="V2168" s="23" t="n"/>
    </row>
    <row r="2169">
      <c r="A2169" s="23" t="n"/>
      <c r="B2169" s="23" t="n"/>
      <c r="C2169" s="24" t="n"/>
      <c r="D2169" s="15" t="n"/>
      <c r="E2169" s="23" t="n"/>
      <c r="F2169" s="15" t="n"/>
      <c r="G2169" s="23" t="n"/>
      <c r="H2169" s="25" t="n"/>
      <c r="I2169" s="15" t="n"/>
      <c r="J2169" s="26">
        <f>IF($A2169="","",LEN($C2169)-LEN(SUBSTITUTE($C2169,",",""))+1)</f>
        <v/>
      </c>
      <c r="K2169" s="26">
        <f>IF($A2169="","",SUMPRODUCT(--ISNUMBER(SEARCH('Category Dictionary'!$D$5:$D$135&amp;"",$C2169)),--('Category Dictionary'!$D$5:$D$135&lt;&gt;"")))</f>
        <v/>
      </c>
      <c r="L2169" s="27">
        <f>IF($A2169="","",TRIM(IF(ISERROR(FIND(",",$C2169)),$C2169,LEFT($C2169,FIND(",",$C2169)-1))))</f>
        <v/>
      </c>
      <c r="M2169" s="28">
        <f>IF($H2169="","",DATE(YEAR($H2169),MONTH($H2169),1))</f>
        <v/>
      </c>
      <c r="N2169" s="26">
        <f>IF($H2169="","",TODAY()-$H2169)</f>
        <v/>
      </c>
      <c r="O2169" s="15" t="n"/>
      <c r="P2169" s="26">
        <f>IF($A2169="","",COUNTIFS('Audit Versions'!$A$6:$A$605,$A2169,'Audit Versions'!$L$6:$L$605,"Active"))</f>
        <v/>
      </c>
      <c r="Q2169" s="15" t="n"/>
      <c r="R2169" s="26">
        <f>IF(OR($A2169="",$P2169=0),"",MOD(N($Q2169),$P2169)+1)</f>
        <v/>
      </c>
      <c r="S2169" s="15" t="n"/>
      <c r="T2169" s="25" t="n"/>
      <c r="U2169" s="26">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Builder'!$B$12="",N($S2169)&lt;='Assignment Builder'!$B$12)))</f>
        <v/>
      </c>
      <c r="V2169" s="23" t="n"/>
    </row>
    <row r="2170">
      <c r="A2170" s="23" t="n"/>
      <c r="B2170" s="23" t="n"/>
      <c r="C2170" s="24" t="n"/>
      <c r="D2170" s="15" t="n"/>
      <c r="E2170" s="23" t="n"/>
      <c r="F2170" s="15" t="n"/>
      <c r="G2170" s="23" t="n"/>
      <c r="H2170" s="25" t="n"/>
      <c r="I2170" s="15" t="n"/>
      <c r="J2170" s="26">
        <f>IF($A2170="","",LEN($C2170)-LEN(SUBSTITUTE($C2170,",",""))+1)</f>
        <v/>
      </c>
      <c r="K2170" s="26">
        <f>IF($A2170="","",SUMPRODUCT(--ISNUMBER(SEARCH('Category Dictionary'!$D$5:$D$135&amp;"",$C2170)),--('Category Dictionary'!$D$5:$D$135&lt;&gt;"")))</f>
        <v/>
      </c>
      <c r="L2170" s="27">
        <f>IF($A2170="","",TRIM(IF(ISERROR(FIND(",",$C2170)),$C2170,LEFT($C2170,FIND(",",$C2170)-1))))</f>
        <v/>
      </c>
      <c r="M2170" s="28">
        <f>IF($H2170="","",DATE(YEAR($H2170),MONTH($H2170),1))</f>
        <v/>
      </c>
      <c r="N2170" s="26">
        <f>IF($H2170="","",TODAY()-$H2170)</f>
        <v/>
      </c>
      <c r="O2170" s="15" t="n"/>
      <c r="P2170" s="26">
        <f>IF($A2170="","",COUNTIFS('Audit Versions'!$A$6:$A$605,$A2170,'Audit Versions'!$L$6:$L$605,"Active"))</f>
        <v/>
      </c>
      <c r="Q2170" s="15" t="n"/>
      <c r="R2170" s="26">
        <f>IF(OR($A2170="",$P2170=0),"",MOD(N($Q2170),$P2170)+1)</f>
        <v/>
      </c>
      <c r="S2170" s="15" t="n"/>
      <c r="T2170" s="25" t="n"/>
      <c r="U2170" s="26">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Builder'!$B$12="",N($S2170)&lt;='Assignment Builder'!$B$12)))</f>
        <v/>
      </c>
      <c r="V2170" s="23" t="n"/>
    </row>
    <row r="2171">
      <c r="A2171" s="23" t="n"/>
      <c r="B2171" s="23" t="n"/>
      <c r="C2171" s="24" t="n"/>
      <c r="D2171" s="15" t="n"/>
      <c r="E2171" s="23" t="n"/>
      <c r="F2171" s="15" t="n"/>
      <c r="G2171" s="23" t="n"/>
      <c r="H2171" s="25" t="n"/>
      <c r="I2171" s="15" t="n"/>
      <c r="J2171" s="26">
        <f>IF($A2171="","",LEN($C2171)-LEN(SUBSTITUTE($C2171,",",""))+1)</f>
        <v/>
      </c>
      <c r="K2171" s="26">
        <f>IF($A2171="","",SUMPRODUCT(--ISNUMBER(SEARCH('Category Dictionary'!$D$5:$D$135&amp;"",$C2171)),--('Category Dictionary'!$D$5:$D$135&lt;&gt;"")))</f>
        <v/>
      </c>
      <c r="L2171" s="27">
        <f>IF($A2171="","",TRIM(IF(ISERROR(FIND(",",$C2171)),$C2171,LEFT($C2171,FIND(",",$C2171)-1))))</f>
        <v/>
      </c>
      <c r="M2171" s="28">
        <f>IF($H2171="","",DATE(YEAR($H2171),MONTH($H2171),1))</f>
        <v/>
      </c>
      <c r="N2171" s="26">
        <f>IF($H2171="","",TODAY()-$H2171)</f>
        <v/>
      </c>
      <c r="O2171" s="15" t="n"/>
      <c r="P2171" s="26">
        <f>IF($A2171="","",COUNTIFS('Audit Versions'!$A$6:$A$605,$A2171,'Audit Versions'!$L$6:$L$605,"Active"))</f>
        <v/>
      </c>
      <c r="Q2171" s="15" t="n"/>
      <c r="R2171" s="26">
        <f>IF(OR($A2171="",$P2171=0),"",MOD(N($Q2171),$P2171)+1)</f>
        <v/>
      </c>
      <c r="S2171" s="15" t="n"/>
      <c r="T2171" s="25" t="n"/>
      <c r="U2171" s="26">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Builder'!$B$12="",N($S2171)&lt;='Assignment Builder'!$B$12)))</f>
        <v/>
      </c>
      <c r="V2171" s="23" t="n"/>
    </row>
    <row r="2172">
      <c r="A2172" s="23" t="n"/>
      <c r="B2172" s="23" t="n"/>
      <c r="C2172" s="24" t="n"/>
      <c r="D2172" s="15" t="n"/>
      <c r="E2172" s="23" t="n"/>
      <c r="F2172" s="15" t="n"/>
      <c r="G2172" s="23" t="n"/>
      <c r="H2172" s="25" t="n"/>
      <c r="I2172" s="15" t="n"/>
      <c r="J2172" s="26">
        <f>IF($A2172="","",LEN($C2172)-LEN(SUBSTITUTE($C2172,",",""))+1)</f>
        <v/>
      </c>
      <c r="K2172" s="26">
        <f>IF($A2172="","",SUMPRODUCT(--ISNUMBER(SEARCH('Category Dictionary'!$D$5:$D$135&amp;"",$C2172)),--('Category Dictionary'!$D$5:$D$135&lt;&gt;"")))</f>
        <v/>
      </c>
      <c r="L2172" s="27">
        <f>IF($A2172="","",TRIM(IF(ISERROR(FIND(",",$C2172)),$C2172,LEFT($C2172,FIND(",",$C2172)-1))))</f>
        <v/>
      </c>
      <c r="M2172" s="28">
        <f>IF($H2172="","",DATE(YEAR($H2172),MONTH($H2172),1))</f>
        <v/>
      </c>
      <c r="N2172" s="26">
        <f>IF($H2172="","",TODAY()-$H2172)</f>
        <v/>
      </c>
      <c r="O2172" s="15" t="n"/>
      <c r="P2172" s="26">
        <f>IF($A2172="","",COUNTIFS('Audit Versions'!$A$6:$A$605,$A2172,'Audit Versions'!$L$6:$L$605,"Active"))</f>
        <v/>
      </c>
      <c r="Q2172" s="15" t="n"/>
      <c r="R2172" s="26">
        <f>IF(OR($A2172="",$P2172=0),"",MOD(N($Q2172),$P2172)+1)</f>
        <v/>
      </c>
      <c r="S2172" s="15" t="n"/>
      <c r="T2172" s="25" t="n"/>
      <c r="U2172" s="26">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Builder'!$B$12="",N($S2172)&lt;='Assignment Builder'!$B$12)))</f>
        <v/>
      </c>
      <c r="V2172" s="23" t="n"/>
    </row>
    <row r="2173">
      <c r="A2173" s="23" t="n"/>
      <c r="B2173" s="23" t="n"/>
      <c r="C2173" s="24" t="n"/>
      <c r="D2173" s="15" t="n"/>
      <c r="E2173" s="23" t="n"/>
      <c r="F2173" s="15" t="n"/>
      <c r="G2173" s="23" t="n"/>
      <c r="H2173" s="25" t="n"/>
      <c r="I2173" s="15" t="n"/>
      <c r="J2173" s="26">
        <f>IF($A2173="","",LEN($C2173)-LEN(SUBSTITUTE($C2173,",",""))+1)</f>
        <v/>
      </c>
      <c r="K2173" s="26">
        <f>IF($A2173="","",SUMPRODUCT(--ISNUMBER(SEARCH('Category Dictionary'!$D$5:$D$135&amp;"",$C2173)),--('Category Dictionary'!$D$5:$D$135&lt;&gt;"")))</f>
        <v/>
      </c>
      <c r="L2173" s="27">
        <f>IF($A2173="","",TRIM(IF(ISERROR(FIND(",",$C2173)),$C2173,LEFT($C2173,FIND(",",$C2173)-1))))</f>
        <v/>
      </c>
      <c r="M2173" s="28">
        <f>IF($H2173="","",DATE(YEAR($H2173),MONTH($H2173),1))</f>
        <v/>
      </c>
      <c r="N2173" s="26">
        <f>IF($H2173="","",TODAY()-$H2173)</f>
        <v/>
      </c>
      <c r="O2173" s="15" t="n"/>
      <c r="P2173" s="26">
        <f>IF($A2173="","",COUNTIFS('Audit Versions'!$A$6:$A$605,$A2173,'Audit Versions'!$L$6:$L$605,"Active"))</f>
        <v/>
      </c>
      <c r="Q2173" s="15" t="n"/>
      <c r="R2173" s="26">
        <f>IF(OR($A2173="",$P2173=0),"",MOD(N($Q2173),$P2173)+1)</f>
        <v/>
      </c>
      <c r="S2173" s="15" t="n"/>
      <c r="T2173" s="25" t="n"/>
      <c r="U2173" s="26">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Builder'!$B$12="",N($S2173)&lt;='Assignment Builder'!$B$12)))</f>
        <v/>
      </c>
      <c r="V2173" s="23" t="n"/>
    </row>
    <row r="2174">
      <c r="A2174" s="23" t="n"/>
      <c r="B2174" s="23" t="n"/>
      <c r="C2174" s="24" t="n"/>
      <c r="D2174" s="15" t="n"/>
      <c r="E2174" s="23" t="n"/>
      <c r="F2174" s="15" t="n"/>
      <c r="G2174" s="23" t="n"/>
      <c r="H2174" s="25" t="n"/>
      <c r="I2174" s="15" t="n"/>
      <c r="J2174" s="26">
        <f>IF($A2174="","",LEN($C2174)-LEN(SUBSTITUTE($C2174,",",""))+1)</f>
        <v/>
      </c>
      <c r="K2174" s="26">
        <f>IF($A2174="","",SUMPRODUCT(--ISNUMBER(SEARCH('Category Dictionary'!$D$5:$D$135&amp;"",$C2174)),--('Category Dictionary'!$D$5:$D$135&lt;&gt;"")))</f>
        <v/>
      </c>
      <c r="L2174" s="27">
        <f>IF($A2174="","",TRIM(IF(ISERROR(FIND(",",$C2174)),$C2174,LEFT($C2174,FIND(",",$C2174)-1))))</f>
        <v/>
      </c>
      <c r="M2174" s="28">
        <f>IF($H2174="","",DATE(YEAR($H2174),MONTH($H2174),1))</f>
        <v/>
      </c>
      <c r="N2174" s="26">
        <f>IF($H2174="","",TODAY()-$H2174)</f>
        <v/>
      </c>
      <c r="O2174" s="15" t="n"/>
      <c r="P2174" s="26">
        <f>IF($A2174="","",COUNTIFS('Audit Versions'!$A$6:$A$605,$A2174,'Audit Versions'!$L$6:$L$605,"Active"))</f>
        <v/>
      </c>
      <c r="Q2174" s="15" t="n"/>
      <c r="R2174" s="26">
        <f>IF(OR($A2174="",$P2174=0),"",MOD(N($Q2174),$P2174)+1)</f>
        <v/>
      </c>
      <c r="S2174" s="15" t="n"/>
      <c r="T2174" s="25" t="n"/>
      <c r="U2174" s="26">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Builder'!$B$12="",N($S2174)&lt;='Assignment Builder'!$B$12)))</f>
        <v/>
      </c>
      <c r="V2174" s="23" t="n"/>
    </row>
    <row r="2175">
      <c r="A2175" s="23" t="n"/>
      <c r="B2175" s="23" t="n"/>
      <c r="C2175" s="24" t="n"/>
      <c r="D2175" s="15" t="n"/>
      <c r="E2175" s="23" t="n"/>
      <c r="F2175" s="15" t="n"/>
      <c r="G2175" s="23" t="n"/>
      <c r="H2175" s="25" t="n"/>
      <c r="I2175" s="15" t="n"/>
      <c r="J2175" s="26">
        <f>IF($A2175="","",LEN($C2175)-LEN(SUBSTITUTE($C2175,",",""))+1)</f>
        <v/>
      </c>
      <c r="K2175" s="26">
        <f>IF($A2175="","",SUMPRODUCT(--ISNUMBER(SEARCH('Category Dictionary'!$D$5:$D$135&amp;"",$C2175)),--('Category Dictionary'!$D$5:$D$135&lt;&gt;"")))</f>
        <v/>
      </c>
      <c r="L2175" s="27">
        <f>IF($A2175="","",TRIM(IF(ISERROR(FIND(",",$C2175)),$C2175,LEFT($C2175,FIND(",",$C2175)-1))))</f>
        <v/>
      </c>
      <c r="M2175" s="28">
        <f>IF($H2175="","",DATE(YEAR($H2175),MONTH($H2175),1))</f>
        <v/>
      </c>
      <c r="N2175" s="26">
        <f>IF($H2175="","",TODAY()-$H2175)</f>
        <v/>
      </c>
      <c r="O2175" s="15" t="n"/>
      <c r="P2175" s="26">
        <f>IF($A2175="","",COUNTIFS('Audit Versions'!$A$6:$A$605,$A2175,'Audit Versions'!$L$6:$L$605,"Active"))</f>
        <v/>
      </c>
      <c r="Q2175" s="15" t="n"/>
      <c r="R2175" s="26">
        <f>IF(OR($A2175="",$P2175=0),"",MOD(N($Q2175),$P2175)+1)</f>
        <v/>
      </c>
      <c r="S2175" s="15" t="n"/>
      <c r="T2175" s="25" t="n"/>
      <c r="U2175" s="26">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Builder'!$B$12="",N($S2175)&lt;='Assignment Builder'!$B$12)))</f>
        <v/>
      </c>
      <c r="V2175" s="23" t="n"/>
    </row>
    <row r="2176">
      <c r="A2176" s="23" t="n"/>
      <c r="B2176" s="23" t="n"/>
      <c r="C2176" s="24" t="n"/>
      <c r="D2176" s="15" t="n"/>
      <c r="E2176" s="23" t="n"/>
      <c r="F2176" s="15" t="n"/>
      <c r="G2176" s="23" t="n"/>
      <c r="H2176" s="25" t="n"/>
      <c r="I2176" s="15" t="n"/>
      <c r="J2176" s="26">
        <f>IF($A2176="","",LEN($C2176)-LEN(SUBSTITUTE($C2176,",",""))+1)</f>
        <v/>
      </c>
      <c r="K2176" s="26">
        <f>IF($A2176="","",SUMPRODUCT(--ISNUMBER(SEARCH('Category Dictionary'!$D$5:$D$135&amp;"",$C2176)),--('Category Dictionary'!$D$5:$D$135&lt;&gt;"")))</f>
        <v/>
      </c>
      <c r="L2176" s="27">
        <f>IF($A2176="","",TRIM(IF(ISERROR(FIND(",",$C2176)),$C2176,LEFT($C2176,FIND(",",$C2176)-1))))</f>
        <v/>
      </c>
      <c r="M2176" s="28">
        <f>IF($H2176="","",DATE(YEAR($H2176),MONTH($H2176),1))</f>
        <v/>
      </c>
      <c r="N2176" s="26">
        <f>IF($H2176="","",TODAY()-$H2176)</f>
        <v/>
      </c>
      <c r="O2176" s="15" t="n"/>
      <c r="P2176" s="26">
        <f>IF($A2176="","",COUNTIFS('Audit Versions'!$A$6:$A$605,$A2176,'Audit Versions'!$L$6:$L$605,"Active"))</f>
        <v/>
      </c>
      <c r="Q2176" s="15" t="n"/>
      <c r="R2176" s="26">
        <f>IF(OR($A2176="",$P2176=0),"",MOD(N($Q2176),$P2176)+1)</f>
        <v/>
      </c>
      <c r="S2176" s="15" t="n"/>
      <c r="T2176" s="25" t="n"/>
      <c r="U2176" s="26">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Builder'!$B$12="",N($S2176)&lt;='Assignment Builder'!$B$12)))</f>
        <v/>
      </c>
      <c r="V2176" s="23" t="n"/>
    </row>
    <row r="2177">
      <c r="A2177" s="23" t="n"/>
      <c r="B2177" s="23" t="n"/>
      <c r="C2177" s="24" t="n"/>
      <c r="D2177" s="15" t="n"/>
      <c r="E2177" s="23" t="n"/>
      <c r="F2177" s="15" t="n"/>
      <c r="G2177" s="23" t="n"/>
      <c r="H2177" s="25" t="n"/>
      <c r="I2177" s="15" t="n"/>
      <c r="J2177" s="26">
        <f>IF($A2177="","",LEN($C2177)-LEN(SUBSTITUTE($C2177,",",""))+1)</f>
        <v/>
      </c>
      <c r="K2177" s="26">
        <f>IF($A2177="","",SUMPRODUCT(--ISNUMBER(SEARCH('Category Dictionary'!$D$5:$D$135&amp;"",$C2177)),--('Category Dictionary'!$D$5:$D$135&lt;&gt;"")))</f>
        <v/>
      </c>
      <c r="L2177" s="27">
        <f>IF($A2177="","",TRIM(IF(ISERROR(FIND(",",$C2177)),$C2177,LEFT($C2177,FIND(",",$C2177)-1))))</f>
        <v/>
      </c>
      <c r="M2177" s="28">
        <f>IF($H2177="","",DATE(YEAR($H2177),MONTH($H2177),1))</f>
        <v/>
      </c>
      <c r="N2177" s="26">
        <f>IF($H2177="","",TODAY()-$H2177)</f>
        <v/>
      </c>
      <c r="O2177" s="15" t="n"/>
      <c r="P2177" s="26">
        <f>IF($A2177="","",COUNTIFS('Audit Versions'!$A$6:$A$605,$A2177,'Audit Versions'!$L$6:$L$605,"Active"))</f>
        <v/>
      </c>
      <c r="Q2177" s="15" t="n"/>
      <c r="R2177" s="26">
        <f>IF(OR($A2177="",$P2177=0),"",MOD(N($Q2177),$P2177)+1)</f>
        <v/>
      </c>
      <c r="S2177" s="15" t="n"/>
      <c r="T2177" s="25" t="n"/>
      <c r="U2177" s="26">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Builder'!$B$12="",N($S2177)&lt;='Assignment Builder'!$B$12)))</f>
        <v/>
      </c>
      <c r="V2177" s="23" t="n"/>
    </row>
    <row r="2178">
      <c r="A2178" s="23" t="n"/>
      <c r="B2178" s="23" t="n"/>
      <c r="C2178" s="24" t="n"/>
      <c r="D2178" s="15" t="n"/>
      <c r="E2178" s="23" t="n"/>
      <c r="F2178" s="15" t="n"/>
      <c r="G2178" s="23" t="n"/>
      <c r="H2178" s="25" t="n"/>
      <c r="I2178" s="15" t="n"/>
      <c r="J2178" s="26">
        <f>IF($A2178="","",LEN($C2178)-LEN(SUBSTITUTE($C2178,",",""))+1)</f>
        <v/>
      </c>
      <c r="K2178" s="26">
        <f>IF($A2178="","",SUMPRODUCT(--ISNUMBER(SEARCH('Category Dictionary'!$D$5:$D$135&amp;"",$C2178)),--('Category Dictionary'!$D$5:$D$135&lt;&gt;"")))</f>
        <v/>
      </c>
      <c r="L2178" s="27">
        <f>IF($A2178="","",TRIM(IF(ISERROR(FIND(",",$C2178)),$C2178,LEFT($C2178,FIND(",",$C2178)-1))))</f>
        <v/>
      </c>
      <c r="M2178" s="28">
        <f>IF($H2178="","",DATE(YEAR($H2178),MONTH($H2178),1))</f>
        <v/>
      </c>
      <c r="N2178" s="26">
        <f>IF($H2178="","",TODAY()-$H2178)</f>
        <v/>
      </c>
      <c r="O2178" s="15" t="n"/>
      <c r="P2178" s="26">
        <f>IF($A2178="","",COUNTIFS('Audit Versions'!$A$6:$A$605,$A2178,'Audit Versions'!$L$6:$L$605,"Active"))</f>
        <v/>
      </c>
      <c r="Q2178" s="15" t="n"/>
      <c r="R2178" s="26">
        <f>IF(OR($A2178="",$P2178=0),"",MOD(N($Q2178),$P2178)+1)</f>
        <v/>
      </c>
      <c r="S2178" s="15" t="n"/>
      <c r="T2178" s="25" t="n"/>
      <c r="U2178" s="26">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Builder'!$B$12="",N($S2178)&lt;='Assignment Builder'!$B$12)))</f>
        <v/>
      </c>
      <c r="V2178" s="23" t="n"/>
    </row>
    <row r="2179">
      <c r="A2179" s="23" t="n"/>
      <c r="B2179" s="23" t="n"/>
      <c r="C2179" s="24" t="n"/>
      <c r="D2179" s="15" t="n"/>
      <c r="E2179" s="23" t="n"/>
      <c r="F2179" s="15" t="n"/>
      <c r="G2179" s="23" t="n"/>
      <c r="H2179" s="25" t="n"/>
      <c r="I2179" s="15" t="n"/>
      <c r="J2179" s="26">
        <f>IF($A2179="","",LEN($C2179)-LEN(SUBSTITUTE($C2179,",",""))+1)</f>
        <v/>
      </c>
      <c r="K2179" s="26">
        <f>IF($A2179="","",SUMPRODUCT(--ISNUMBER(SEARCH('Category Dictionary'!$D$5:$D$135&amp;"",$C2179)),--('Category Dictionary'!$D$5:$D$135&lt;&gt;"")))</f>
        <v/>
      </c>
      <c r="L2179" s="27">
        <f>IF($A2179="","",TRIM(IF(ISERROR(FIND(",",$C2179)),$C2179,LEFT($C2179,FIND(",",$C2179)-1))))</f>
        <v/>
      </c>
      <c r="M2179" s="28">
        <f>IF($H2179="","",DATE(YEAR($H2179),MONTH($H2179),1))</f>
        <v/>
      </c>
      <c r="N2179" s="26">
        <f>IF($H2179="","",TODAY()-$H2179)</f>
        <v/>
      </c>
      <c r="O2179" s="15" t="n"/>
      <c r="P2179" s="26">
        <f>IF($A2179="","",COUNTIFS('Audit Versions'!$A$6:$A$605,$A2179,'Audit Versions'!$L$6:$L$605,"Active"))</f>
        <v/>
      </c>
      <c r="Q2179" s="15" t="n"/>
      <c r="R2179" s="26">
        <f>IF(OR($A2179="",$P2179=0),"",MOD(N($Q2179),$P2179)+1)</f>
        <v/>
      </c>
      <c r="S2179" s="15" t="n"/>
      <c r="T2179" s="25" t="n"/>
      <c r="U2179" s="26">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Builder'!$B$12="",N($S2179)&lt;='Assignment Builder'!$B$12)))</f>
        <v/>
      </c>
      <c r="V2179" s="23" t="n"/>
    </row>
    <row r="2180">
      <c r="A2180" s="23" t="n"/>
      <c r="B2180" s="23" t="n"/>
      <c r="C2180" s="24" t="n"/>
      <c r="D2180" s="15" t="n"/>
      <c r="E2180" s="23" t="n"/>
      <c r="F2180" s="15" t="n"/>
      <c r="G2180" s="23" t="n"/>
      <c r="H2180" s="25" t="n"/>
      <c r="I2180" s="15" t="n"/>
      <c r="J2180" s="26">
        <f>IF($A2180="","",LEN($C2180)-LEN(SUBSTITUTE($C2180,",",""))+1)</f>
        <v/>
      </c>
      <c r="K2180" s="26">
        <f>IF($A2180="","",SUMPRODUCT(--ISNUMBER(SEARCH('Category Dictionary'!$D$5:$D$135&amp;"",$C2180)),--('Category Dictionary'!$D$5:$D$135&lt;&gt;"")))</f>
        <v/>
      </c>
      <c r="L2180" s="27">
        <f>IF($A2180="","",TRIM(IF(ISERROR(FIND(",",$C2180)),$C2180,LEFT($C2180,FIND(",",$C2180)-1))))</f>
        <v/>
      </c>
      <c r="M2180" s="28">
        <f>IF($H2180="","",DATE(YEAR($H2180),MONTH($H2180),1))</f>
        <v/>
      </c>
      <c r="N2180" s="26">
        <f>IF($H2180="","",TODAY()-$H2180)</f>
        <v/>
      </c>
      <c r="O2180" s="15" t="n"/>
      <c r="P2180" s="26">
        <f>IF($A2180="","",COUNTIFS('Audit Versions'!$A$6:$A$605,$A2180,'Audit Versions'!$L$6:$L$605,"Active"))</f>
        <v/>
      </c>
      <c r="Q2180" s="15" t="n"/>
      <c r="R2180" s="26">
        <f>IF(OR($A2180="",$P2180=0),"",MOD(N($Q2180),$P2180)+1)</f>
        <v/>
      </c>
      <c r="S2180" s="15" t="n"/>
      <c r="T2180" s="25" t="n"/>
      <c r="U2180" s="26">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Builder'!$B$12="",N($S2180)&lt;='Assignment Builder'!$B$12)))</f>
        <v/>
      </c>
      <c r="V2180" s="23" t="n"/>
    </row>
    <row r="2181">
      <c r="A2181" s="23" t="n"/>
      <c r="B2181" s="23" t="n"/>
      <c r="C2181" s="24" t="n"/>
      <c r="D2181" s="15" t="n"/>
      <c r="E2181" s="23" t="n"/>
      <c r="F2181" s="15" t="n"/>
      <c r="G2181" s="23" t="n"/>
      <c r="H2181" s="25" t="n"/>
      <c r="I2181" s="15" t="n"/>
      <c r="J2181" s="26">
        <f>IF($A2181="","",LEN($C2181)-LEN(SUBSTITUTE($C2181,",",""))+1)</f>
        <v/>
      </c>
      <c r="K2181" s="26">
        <f>IF($A2181="","",SUMPRODUCT(--ISNUMBER(SEARCH('Category Dictionary'!$D$5:$D$135&amp;"",$C2181)),--('Category Dictionary'!$D$5:$D$135&lt;&gt;"")))</f>
        <v/>
      </c>
      <c r="L2181" s="27">
        <f>IF($A2181="","",TRIM(IF(ISERROR(FIND(",",$C2181)),$C2181,LEFT($C2181,FIND(",",$C2181)-1))))</f>
        <v/>
      </c>
      <c r="M2181" s="28">
        <f>IF($H2181="","",DATE(YEAR($H2181),MONTH($H2181),1))</f>
        <v/>
      </c>
      <c r="N2181" s="26">
        <f>IF($H2181="","",TODAY()-$H2181)</f>
        <v/>
      </c>
      <c r="O2181" s="15" t="n"/>
      <c r="P2181" s="26">
        <f>IF($A2181="","",COUNTIFS('Audit Versions'!$A$6:$A$605,$A2181,'Audit Versions'!$L$6:$L$605,"Active"))</f>
        <v/>
      </c>
      <c r="Q2181" s="15" t="n"/>
      <c r="R2181" s="26">
        <f>IF(OR($A2181="",$P2181=0),"",MOD(N($Q2181),$P2181)+1)</f>
        <v/>
      </c>
      <c r="S2181" s="15" t="n"/>
      <c r="T2181" s="25" t="n"/>
      <c r="U2181" s="26">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Builder'!$B$12="",N($S2181)&lt;='Assignment Builder'!$B$12)))</f>
        <v/>
      </c>
      <c r="V2181" s="23" t="n"/>
    </row>
    <row r="2182">
      <c r="A2182" s="23" t="n"/>
      <c r="B2182" s="23" t="n"/>
      <c r="C2182" s="24" t="n"/>
      <c r="D2182" s="15" t="n"/>
      <c r="E2182" s="23" t="n"/>
      <c r="F2182" s="15" t="n"/>
      <c r="G2182" s="23" t="n"/>
      <c r="H2182" s="25" t="n"/>
      <c r="I2182" s="15" t="n"/>
      <c r="J2182" s="26">
        <f>IF($A2182="","",LEN($C2182)-LEN(SUBSTITUTE($C2182,",",""))+1)</f>
        <v/>
      </c>
      <c r="K2182" s="26">
        <f>IF($A2182="","",SUMPRODUCT(--ISNUMBER(SEARCH('Category Dictionary'!$D$5:$D$135&amp;"",$C2182)),--('Category Dictionary'!$D$5:$D$135&lt;&gt;"")))</f>
        <v/>
      </c>
      <c r="L2182" s="27">
        <f>IF($A2182="","",TRIM(IF(ISERROR(FIND(",",$C2182)),$C2182,LEFT($C2182,FIND(",",$C2182)-1))))</f>
        <v/>
      </c>
      <c r="M2182" s="28">
        <f>IF($H2182="","",DATE(YEAR($H2182),MONTH($H2182),1))</f>
        <v/>
      </c>
      <c r="N2182" s="26">
        <f>IF($H2182="","",TODAY()-$H2182)</f>
        <v/>
      </c>
      <c r="O2182" s="15" t="n"/>
      <c r="P2182" s="26">
        <f>IF($A2182="","",COUNTIFS('Audit Versions'!$A$6:$A$605,$A2182,'Audit Versions'!$L$6:$L$605,"Active"))</f>
        <v/>
      </c>
      <c r="Q2182" s="15" t="n"/>
      <c r="R2182" s="26">
        <f>IF(OR($A2182="",$P2182=0),"",MOD(N($Q2182),$P2182)+1)</f>
        <v/>
      </c>
      <c r="S2182" s="15" t="n"/>
      <c r="T2182" s="25" t="n"/>
      <c r="U2182" s="26">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Builder'!$B$12="",N($S2182)&lt;='Assignment Builder'!$B$12)))</f>
        <v/>
      </c>
      <c r="V2182" s="23" t="n"/>
    </row>
    <row r="2183">
      <c r="A2183" s="23" t="n"/>
      <c r="B2183" s="23" t="n"/>
      <c r="C2183" s="24" t="n"/>
      <c r="D2183" s="15" t="n"/>
      <c r="E2183" s="23" t="n"/>
      <c r="F2183" s="15" t="n"/>
      <c r="G2183" s="23" t="n"/>
      <c r="H2183" s="25" t="n"/>
      <c r="I2183" s="15" t="n"/>
      <c r="J2183" s="26">
        <f>IF($A2183="","",LEN($C2183)-LEN(SUBSTITUTE($C2183,",",""))+1)</f>
        <v/>
      </c>
      <c r="K2183" s="26">
        <f>IF($A2183="","",SUMPRODUCT(--ISNUMBER(SEARCH('Category Dictionary'!$D$5:$D$135&amp;"",$C2183)),--('Category Dictionary'!$D$5:$D$135&lt;&gt;"")))</f>
        <v/>
      </c>
      <c r="L2183" s="27">
        <f>IF($A2183="","",TRIM(IF(ISERROR(FIND(",",$C2183)),$C2183,LEFT($C2183,FIND(",",$C2183)-1))))</f>
        <v/>
      </c>
      <c r="M2183" s="28">
        <f>IF($H2183="","",DATE(YEAR($H2183),MONTH($H2183),1))</f>
        <v/>
      </c>
      <c r="N2183" s="26">
        <f>IF($H2183="","",TODAY()-$H2183)</f>
        <v/>
      </c>
      <c r="O2183" s="15" t="n"/>
      <c r="P2183" s="26">
        <f>IF($A2183="","",COUNTIFS('Audit Versions'!$A$6:$A$605,$A2183,'Audit Versions'!$L$6:$L$605,"Active"))</f>
        <v/>
      </c>
      <c r="Q2183" s="15" t="n"/>
      <c r="R2183" s="26">
        <f>IF(OR($A2183="",$P2183=0),"",MOD(N($Q2183),$P2183)+1)</f>
        <v/>
      </c>
      <c r="S2183" s="15" t="n"/>
      <c r="T2183" s="25" t="n"/>
      <c r="U2183" s="26">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Builder'!$B$12="",N($S2183)&lt;='Assignment Builder'!$B$12)))</f>
        <v/>
      </c>
      <c r="V2183" s="23" t="n"/>
    </row>
    <row r="2184">
      <c r="A2184" s="23" t="n"/>
      <c r="B2184" s="23" t="n"/>
      <c r="C2184" s="24" t="n"/>
      <c r="D2184" s="15" t="n"/>
      <c r="E2184" s="23" t="n"/>
      <c r="F2184" s="15" t="n"/>
      <c r="G2184" s="23" t="n"/>
      <c r="H2184" s="25" t="n"/>
      <c r="I2184" s="15" t="n"/>
      <c r="J2184" s="26">
        <f>IF($A2184="","",LEN($C2184)-LEN(SUBSTITUTE($C2184,",",""))+1)</f>
        <v/>
      </c>
      <c r="K2184" s="26">
        <f>IF($A2184="","",SUMPRODUCT(--ISNUMBER(SEARCH('Category Dictionary'!$D$5:$D$135&amp;"",$C2184)),--('Category Dictionary'!$D$5:$D$135&lt;&gt;"")))</f>
        <v/>
      </c>
      <c r="L2184" s="27">
        <f>IF($A2184="","",TRIM(IF(ISERROR(FIND(",",$C2184)),$C2184,LEFT($C2184,FIND(",",$C2184)-1))))</f>
        <v/>
      </c>
      <c r="M2184" s="28">
        <f>IF($H2184="","",DATE(YEAR($H2184),MONTH($H2184),1))</f>
        <v/>
      </c>
      <c r="N2184" s="26">
        <f>IF($H2184="","",TODAY()-$H2184)</f>
        <v/>
      </c>
      <c r="O2184" s="15" t="n"/>
      <c r="P2184" s="26">
        <f>IF($A2184="","",COUNTIFS('Audit Versions'!$A$6:$A$605,$A2184,'Audit Versions'!$L$6:$L$605,"Active"))</f>
        <v/>
      </c>
      <c r="Q2184" s="15" t="n"/>
      <c r="R2184" s="26">
        <f>IF(OR($A2184="",$P2184=0),"",MOD(N($Q2184),$P2184)+1)</f>
        <v/>
      </c>
      <c r="S2184" s="15" t="n"/>
      <c r="T2184" s="25" t="n"/>
      <c r="U2184" s="26">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Builder'!$B$12="",N($S2184)&lt;='Assignment Builder'!$B$12)))</f>
        <v/>
      </c>
      <c r="V2184" s="23" t="n"/>
    </row>
    <row r="2185">
      <c r="A2185" s="23" t="n"/>
      <c r="B2185" s="23" t="n"/>
      <c r="C2185" s="24" t="n"/>
      <c r="D2185" s="15" t="n"/>
      <c r="E2185" s="23" t="n"/>
      <c r="F2185" s="15" t="n"/>
      <c r="G2185" s="23" t="n"/>
      <c r="H2185" s="25" t="n"/>
      <c r="I2185" s="15" t="n"/>
      <c r="J2185" s="26">
        <f>IF($A2185="","",LEN($C2185)-LEN(SUBSTITUTE($C2185,",",""))+1)</f>
        <v/>
      </c>
      <c r="K2185" s="26">
        <f>IF($A2185="","",SUMPRODUCT(--ISNUMBER(SEARCH('Category Dictionary'!$D$5:$D$135&amp;"",$C2185)),--('Category Dictionary'!$D$5:$D$135&lt;&gt;"")))</f>
        <v/>
      </c>
      <c r="L2185" s="27">
        <f>IF($A2185="","",TRIM(IF(ISERROR(FIND(",",$C2185)),$C2185,LEFT($C2185,FIND(",",$C2185)-1))))</f>
        <v/>
      </c>
      <c r="M2185" s="28">
        <f>IF($H2185="","",DATE(YEAR($H2185),MONTH($H2185),1))</f>
        <v/>
      </c>
      <c r="N2185" s="26">
        <f>IF($H2185="","",TODAY()-$H2185)</f>
        <v/>
      </c>
      <c r="O2185" s="15" t="n"/>
      <c r="P2185" s="26">
        <f>IF($A2185="","",COUNTIFS('Audit Versions'!$A$6:$A$605,$A2185,'Audit Versions'!$L$6:$L$605,"Active"))</f>
        <v/>
      </c>
      <c r="Q2185" s="15" t="n"/>
      <c r="R2185" s="26">
        <f>IF(OR($A2185="",$P2185=0),"",MOD(N($Q2185),$P2185)+1)</f>
        <v/>
      </c>
      <c r="S2185" s="15" t="n"/>
      <c r="T2185" s="25" t="n"/>
      <c r="U2185" s="26">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Builder'!$B$12="",N($S2185)&lt;='Assignment Builder'!$B$12)))</f>
        <v/>
      </c>
      <c r="V2185" s="23" t="n"/>
    </row>
    <row r="2186">
      <c r="A2186" s="23" t="n"/>
      <c r="B2186" s="23" t="n"/>
      <c r="C2186" s="24" t="n"/>
      <c r="D2186" s="15" t="n"/>
      <c r="E2186" s="23" t="n"/>
      <c r="F2186" s="15" t="n"/>
      <c r="G2186" s="23" t="n"/>
      <c r="H2186" s="25" t="n"/>
      <c r="I2186" s="15" t="n"/>
      <c r="J2186" s="26">
        <f>IF($A2186="","",LEN($C2186)-LEN(SUBSTITUTE($C2186,",",""))+1)</f>
        <v/>
      </c>
      <c r="K2186" s="26">
        <f>IF($A2186="","",SUMPRODUCT(--ISNUMBER(SEARCH('Category Dictionary'!$D$5:$D$135&amp;"",$C2186)),--('Category Dictionary'!$D$5:$D$135&lt;&gt;"")))</f>
        <v/>
      </c>
      <c r="L2186" s="27">
        <f>IF($A2186="","",TRIM(IF(ISERROR(FIND(",",$C2186)),$C2186,LEFT($C2186,FIND(",",$C2186)-1))))</f>
        <v/>
      </c>
      <c r="M2186" s="28">
        <f>IF($H2186="","",DATE(YEAR($H2186),MONTH($H2186),1))</f>
        <v/>
      </c>
      <c r="N2186" s="26">
        <f>IF($H2186="","",TODAY()-$H2186)</f>
        <v/>
      </c>
      <c r="O2186" s="15" t="n"/>
      <c r="P2186" s="26">
        <f>IF($A2186="","",COUNTIFS('Audit Versions'!$A$6:$A$605,$A2186,'Audit Versions'!$L$6:$L$605,"Active"))</f>
        <v/>
      </c>
      <c r="Q2186" s="15" t="n"/>
      <c r="R2186" s="26">
        <f>IF(OR($A2186="",$P2186=0),"",MOD(N($Q2186),$P2186)+1)</f>
        <v/>
      </c>
      <c r="S2186" s="15" t="n"/>
      <c r="T2186" s="25" t="n"/>
      <c r="U2186" s="26">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Builder'!$B$12="",N($S2186)&lt;='Assignment Builder'!$B$12)))</f>
        <v/>
      </c>
      <c r="V2186" s="23" t="n"/>
    </row>
    <row r="2187">
      <c r="A2187" s="23" t="n"/>
      <c r="B2187" s="23" t="n"/>
      <c r="C2187" s="24" t="n"/>
      <c r="D2187" s="15" t="n"/>
      <c r="E2187" s="23" t="n"/>
      <c r="F2187" s="15" t="n"/>
      <c r="G2187" s="23" t="n"/>
      <c r="H2187" s="25" t="n"/>
      <c r="I2187" s="15" t="n"/>
      <c r="J2187" s="26">
        <f>IF($A2187="","",LEN($C2187)-LEN(SUBSTITUTE($C2187,",",""))+1)</f>
        <v/>
      </c>
      <c r="K2187" s="26">
        <f>IF($A2187="","",SUMPRODUCT(--ISNUMBER(SEARCH('Category Dictionary'!$D$5:$D$135&amp;"",$C2187)),--('Category Dictionary'!$D$5:$D$135&lt;&gt;"")))</f>
        <v/>
      </c>
      <c r="L2187" s="27">
        <f>IF($A2187="","",TRIM(IF(ISERROR(FIND(",",$C2187)),$C2187,LEFT($C2187,FIND(",",$C2187)-1))))</f>
        <v/>
      </c>
      <c r="M2187" s="28">
        <f>IF($H2187="","",DATE(YEAR($H2187),MONTH($H2187),1))</f>
        <v/>
      </c>
      <c r="N2187" s="26">
        <f>IF($H2187="","",TODAY()-$H2187)</f>
        <v/>
      </c>
      <c r="O2187" s="15" t="n"/>
      <c r="P2187" s="26">
        <f>IF($A2187="","",COUNTIFS('Audit Versions'!$A$6:$A$605,$A2187,'Audit Versions'!$L$6:$L$605,"Active"))</f>
        <v/>
      </c>
      <c r="Q2187" s="15" t="n"/>
      <c r="R2187" s="26">
        <f>IF(OR($A2187="",$P2187=0),"",MOD(N($Q2187),$P2187)+1)</f>
        <v/>
      </c>
      <c r="S2187" s="15" t="n"/>
      <c r="T2187" s="25" t="n"/>
      <c r="U2187" s="26">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Builder'!$B$12="",N($S2187)&lt;='Assignment Builder'!$B$12)))</f>
        <v/>
      </c>
      <c r="V2187" s="23" t="n"/>
    </row>
    <row r="2188">
      <c r="A2188" s="23" t="n"/>
      <c r="B2188" s="23" t="n"/>
      <c r="C2188" s="24" t="n"/>
      <c r="D2188" s="15" t="n"/>
      <c r="E2188" s="23" t="n"/>
      <c r="F2188" s="15" t="n"/>
      <c r="G2188" s="23" t="n"/>
      <c r="H2188" s="25" t="n"/>
      <c r="I2188" s="15" t="n"/>
      <c r="J2188" s="26">
        <f>IF($A2188="","",LEN($C2188)-LEN(SUBSTITUTE($C2188,",",""))+1)</f>
        <v/>
      </c>
      <c r="K2188" s="26">
        <f>IF($A2188="","",SUMPRODUCT(--ISNUMBER(SEARCH('Category Dictionary'!$D$5:$D$135&amp;"",$C2188)),--('Category Dictionary'!$D$5:$D$135&lt;&gt;"")))</f>
        <v/>
      </c>
      <c r="L2188" s="27">
        <f>IF($A2188="","",TRIM(IF(ISERROR(FIND(",",$C2188)),$C2188,LEFT($C2188,FIND(",",$C2188)-1))))</f>
        <v/>
      </c>
      <c r="M2188" s="28">
        <f>IF($H2188="","",DATE(YEAR($H2188),MONTH($H2188),1))</f>
        <v/>
      </c>
      <c r="N2188" s="26">
        <f>IF($H2188="","",TODAY()-$H2188)</f>
        <v/>
      </c>
      <c r="O2188" s="15" t="n"/>
      <c r="P2188" s="26">
        <f>IF($A2188="","",COUNTIFS('Audit Versions'!$A$6:$A$605,$A2188,'Audit Versions'!$L$6:$L$605,"Active"))</f>
        <v/>
      </c>
      <c r="Q2188" s="15" t="n"/>
      <c r="R2188" s="26">
        <f>IF(OR($A2188="",$P2188=0),"",MOD(N($Q2188),$P2188)+1)</f>
        <v/>
      </c>
      <c r="S2188" s="15" t="n"/>
      <c r="T2188" s="25" t="n"/>
      <c r="U2188" s="26">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Builder'!$B$12="",N($S2188)&lt;='Assignment Builder'!$B$12)))</f>
        <v/>
      </c>
      <c r="V2188" s="23" t="n"/>
    </row>
    <row r="2189">
      <c r="A2189" s="23" t="n"/>
      <c r="B2189" s="23" t="n"/>
      <c r="C2189" s="24" t="n"/>
      <c r="D2189" s="15" t="n"/>
      <c r="E2189" s="23" t="n"/>
      <c r="F2189" s="15" t="n"/>
      <c r="G2189" s="23" t="n"/>
      <c r="H2189" s="25" t="n"/>
      <c r="I2189" s="15" t="n"/>
      <c r="J2189" s="26">
        <f>IF($A2189="","",LEN($C2189)-LEN(SUBSTITUTE($C2189,",",""))+1)</f>
        <v/>
      </c>
      <c r="K2189" s="26">
        <f>IF($A2189="","",SUMPRODUCT(--ISNUMBER(SEARCH('Category Dictionary'!$D$5:$D$135&amp;"",$C2189)),--('Category Dictionary'!$D$5:$D$135&lt;&gt;"")))</f>
        <v/>
      </c>
      <c r="L2189" s="27">
        <f>IF($A2189="","",TRIM(IF(ISERROR(FIND(",",$C2189)),$C2189,LEFT($C2189,FIND(",",$C2189)-1))))</f>
        <v/>
      </c>
      <c r="M2189" s="28">
        <f>IF($H2189="","",DATE(YEAR($H2189),MONTH($H2189),1))</f>
        <v/>
      </c>
      <c r="N2189" s="26">
        <f>IF($H2189="","",TODAY()-$H2189)</f>
        <v/>
      </c>
      <c r="O2189" s="15" t="n"/>
      <c r="P2189" s="26">
        <f>IF($A2189="","",COUNTIFS('Audit Versions'!$A$6:$A$605,$A2189,'Audit Versions'!$L$6:$L$605,"Active"))</f>
        <v/>
      </c>
      <c r="Q2189" s="15" t="n"/>
      <c r="R2189" s="26">
        <f>IF(OR($A2189="",$P2189=0),"",MOD(N($Q2189),$P2189)+1)</f>
        <v/>
      </c>
      <c r="S2189" s="15" t="n"/>
      <c r="T2189" s="25" t="n"/>
      <c r="U2189" s="26">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Builder'!$B$12="",N($S2189)&lt;='Assignment Builder'!$B$12)))</f>
        <v/>
      </c>
      <c r="V2189" s="23" t="n"/>
    </row>
    <row r="2190">
      <c r="A2190" s="23" t="n"/>
      <c r="B2190" s="23" t="n"/>
      <c r="C2190" s="24" t="n"/>
      <c r="D2190" s="15" t="n"/>
      <c r="E2190" s="23" t="n"/>
      <c r="F2190" s="15" t="n"/>
      <c r="G2190" s="23" t="n"/>
      <c r="H2190" s="25" t="n"/>
      <c r="I2190" s="15" t="n"/>
      <c r="J2190" s="26">
        <f>IF($A2190="","",LEN($C2190)-LEN(SUBSTITUTE($C2190,",",""))+1)</f>
        <v/>
      </c>
      <c r="K2190" s="26">
        <f>IF($A2190="","",SUMPRODUCT(--ISNUMBER(SEARCH('Category Dictionary'!$D$5:$D$135&amp;"",$C2190)),--('Category Dictionary'!$D$5:$D$135&lt;&gt;"")))</f>
        <v/>
      </c>
      <c r="L2190" s="27">
        <f>IF($A2190="","",TRIM(IF(ISERROR(FIND(",",$C2190)),$C2190,LEFT($C2190,FIND(",",$C2190)-1))))</f>
        <v/>
      </c>
      <c r="M2190" s="28">
        <f>IF($H2190="","",DATE(YEAR($H2190),MONTH($H2190),1))</f>
        <v/>
      </c>
      <c r="N2190" s="26">
        <f>IF($H2190="","",TODAY()-$H2190)</f>
        <v/>
      </c>
      <c r="O2190" s="15" t="n"/>
      <c r="P2190" s="26">
        <f>IF($A2190="","",COUNTIFS('Audit Versions'!$A$6:$A$605,$A2190,'Audit Versions'!$L$6:$L$605,"Active"))</f>
        <v/>
      </c>
      <c r="Q2190" s="15" t="n"/>
      <c r="R2190" s="26">
        <f>IF(OR($A2190="",$P2190=0),"",MOD(N($Q2190),$P2190)+1)</f>
        <v/>
      </c>
      <c r="S2190" s="15" t="n"/>
      <c r="T2190" s="25" t="n"/>
      <c r="U2190" s="26">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Builder'!$B$12="",N($S2190)&lt;='Assignment Builder'!$B$12)))</f>
        <v/>
      </c>
      <c r="V2190" s="23" t="n"/>
    </row>
    <row r="2191">
      <c r="A2191" s="23" t="n"/>
      <c r="B2191" s="23" t="n"/>
      <c r="C2191" s="24" t="n"/>
      <c r="D2191" s="15" t="n"/>
      <c r="E2191" s="23" t="n"/>
      <c r="F2191" s="15" t="n"/>
      <c r="G2191" s="23" t="n"/>
      <c r="H2191" s="25" t="n"/>
      <c r="I2191" s="15" t="n"/>
      <c r="J2191" s="26">
        <f>IF($A2191="","",LEN($C2191)-LEN(SUBSTITUTE($C2191,",",""))+1)</f>
        <v/>
      </c>
      <c r="K2191" s="26">
        <f>IF($A2191="","",SUMPRODUCT(--ISNUMBER(SEARCH('Category Dictionary'!$D$5:$D$135&amp;"",$C2191)),--('Category Dictionary'!$D$5:$D$135&lt;&gt;"")))</f>
        <v/>
      </c>
      <c r="L2191" s="27">
        <f>IF($A2191="","",TRIM(IF(ISERROR(FIND(",",$C2191)),$C2191,LEFT($C2191,FIND(",",$C2191)-1))))</f>
        <v/>
      </c>
      <c r="M2191" s="28">
        <f>IF($H2191="","",DATE(YEAR($H2191),MONTH($H2191),1))</f>
        <v/>
      </c>
      <c r="N2191" s="26">
        <f>IF($H2191="","",TODAY()-$H2191)</f>
        <v/>
      </c>
      <c r="O2191" s="15" t="n"/>
      <c r="P2191" s="26">
        <f>IF($A2191="","",COUNTIFS('Audit Versions'!$A$6:$A$605,$A2191,'Audit Versions'!$L$6:$L$605,"Active"))</f>
        <v/>
      </c>
      <c r="Q2191" s="15" t="n"/>
      <c r="R2191" s="26">
        <f>IF(OR($A2191="",$P2191=0),"",MOD(N($Q2191),$P2191)+1)</f>
        <v/>
      </c>
      <c r="S2191" s="15" t="n"/>
      <c r="T2191" s="25" t="n"/>
      <c r="U2191" s="26">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Builder'!$B$12="",N($S2191)&lt;='Assignment Builder'!$B$12)))</f>
        <v/>
      </c>
      <c r="V2191" s="23" t="n"/>
    </row>
    <row r="2192">
      <c r="A2192" s="23" t="n"/>
      <c r="B2192" s="23" t="n"/>
      <c r="C2192" s="24" t="n"/>
      <c r="D2192" s="15" t="n"/>
      <c r="E2192" s="23" t="n"/>
      <c r="F2192" s="15" t="n"/>
      <c r="G2192" s="23" t="n"/>
      <c r="H2192" s="25" t="n"/>
      <c r="I2192" s="15" t="n"/>
      <c r="J2192" s="26">
        <f>IF($A2192="","",LEN($C2192)-LEN(SUBSTITUTE($C2192,",",""))+1)</f>
        <v/>
      </c>
      <c r="K2192" s="26">
        <f>IF($A2192="","",SUMPRODUCT(--ISNUMBER(SEARCH('Category Dictionary'!$D$5:$D$135&amp;"",$C2192)),--('Category Dictionary'!$D$5:$D$135&lt;&gt;"")))</f>
        <v/>
      </c>
      <c r="L2192" s="27">
        <f>IF($A2192="","",TRIM(IF(ISERROR(FIND(",",$C2192)),$C2192,LEFT($C2192,FIND(",",$C2192)-1))))</f>
        <v/>
      </c>
      <c r="M2192" s="28">
        <f>IF($H2192="","",DATE(YEAR($H2192),MONTH($H2192),1))</f>
        <v/>
      </c>
      <c r="N2192" s="26">
        <f>IF($H2192="","",TODAY()-$H2192)</f>
        <v/>
      </c>
      <c r="O2192" s="15" t="n"/>
      <c r="P2192" s="26">
        <f>IF($A2192="","",COUNTIFS('Audit Versions'!$A$6:$A$605,$A2192,'Audit Versions'!$L$6:$L$605,"Active"))</f>
        <v/>
      </c>
      <c r="Q2192" s="15" t="n"/>
      <c r="R2192" s="26">
        <f>IF(OR($A2192="",$P2192=0),"",MOD(N($Q2192),$P2192)+1)</f>
        <v/>
      </c>
      <c r="S2192" s="15" t="n"/>
      <c r="T2192" s="25" t="n"/>
      <c r="U2192" s="26">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Builder'!$B$12="",N($S2192)&lt;='Assignment Builder'!$B$12)))</f>
        <v/>
      </c>
      <c r="V2192" s="23" t="n"/>
    </row>
    <row r="2193">
      <c r="A2193" s="23" t="n"/>
      <c r="B2193" s="23" t="n"/>
      <c r="C2193" s="24" t="n"/>
      <c r="D2193" s="15" t="n"/>
      <c r="E2193" s="23" t="n"/>
      <c r="F2193" s="15" t="n"/>
      <c r="G2193" s="23" t="n"/>
      <c r="H2193" s="25" t="n"/>
      <c r="I2193" s="15" t="n"/>
      <c r="J2193" s="26">
        <f>IF($A2193="","",LEN($C2193)-LEN(SUBSTITUTE($C2193,",",""))+1)</f>
        <v/>
      </c>
      <c r="K2193" s="26">
        <f>IF($A2193="","",SUMPRODUCT(--ISNUMBER(SEARCH('Category Dictionary'!$D$5:$D$135&amp;"",$C2193)),--('Category Dictionary'!$D$5:$D$135&lt;&gt;"")))</f>
        <v/>
      </c>
      <c r="L2193" s="27">
        <f>IF($A2193="","",TRIM(IF(ISERROR(FIND(",",$C2193)),$C2193,LEFT($C2193,FIND(",",$C2193)-1))))</f>
        <v/>
      </c>
      <c r="M2193" s="28">
        <f>IF($H2193="","",DATE(YEAR($H2193),MONTH($H2193),1))</f>
        <v/>
      </c>
      <c r="N2193" s="26">
        <f>IF($H2193="","",TODAY()-$H2193)</f>
        <v/>
      </c>
      <c r="O2193" s="15" t="n"/>
      <c r="P2193" s="26">
        <f>IF($A2193="","",COUNTIFS('Audit Versions'!$A$6:$A$605,$A2193,'Audit Versions'!$L$6:$L$605,"Active"))</f>
        <v/>
      </c>
      <c r="Q2193" s="15" t="n"/>
      <c r="R2193" s="26">
        <f>IF(OR($A2193="",$P2193=0),"",MOD(N($Q2193),$P2193)+1)</f>
        <v/>
      </c>
      <c r="S2193" s="15" t="n"/>
      <c r="T2193" s="25" t="n"/>
      <c r="U2193" s="26">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Builder'!$B$12="",N($S2193)&lt;='Assignment Builder'!$B$12)))</f>
        <v/>
      </c>
      <c r="V2193" s="23" t="n"/>
    </row>
    <row r="2194">
      <c r="A2194" s="23" t="n"/>
      <c r="B2194" s="23" t="n"/>
      <c r="C2194" s="24" t="n"/>
      <c r="D2194" s="15" t="n"/>
      <c r="E2194" s="23" t="n"/>
      <c r="F2194" s="15" t="n"/>
      <c r="G2194" s="23" t="n"/>
      <c r="H2194" s="25" t="n"/>
      <c r="I2194" s="15" t="n"/>
      <c r="J2194" s="26">
        <f>IF($A2194="","",LEN($C2194)-LEN(SUBSTITUTE($C2194,",",""))+1)</f>
        <v/>
      </c>
      <c r="K2194" s="26">
        <f>IF($A2194="","",SUMPRODUCT(--ISNUMBER(SEARCH('Category Dictionary'!$D$5:$D$135&amp;"",$C2194)),--('Category Dictionary'!$D$5:$D$135&lt;&gt;"")))</f>
        <v/>
      </c>
      <c r="L2194" s="27">
        <f>IF($A2194="","",TRIM(IF(ISERROR(FIND(",",$C2194)),$C2194,LEFT($C2194,FIND(",",$C2194)-1))))</f>
        <v/>
      </c>
      <c r="M2194" s="28">
        <f>IF($H2194="","",DATE(YEAR($H2194),MONTH($H2194),1))</f>
        <v/>
      </c>
      <c r="N2194" s="26">
        <f>IF($H2194="","",TODAY()-$H2194)</f>
        <v/>
      </c>
      <c r="O2194" s="15" t="n"/>
      <c r="P2194" s="26">
        <f>IF($A2194="","",COUNTIFS('Audit Versions'!$A$6:$A$605,$A2194,'Audit Versions'!$L$6:$L$605,"Active"))</f>
        <v/>
      </c>
      <c r="Q2194" s="15" t="n"/>
      <c r="R2194" s="26">
        <f>IF(OR($A2194="",$P2194=0),"",MOD(N($Q2194),$P2194)+1)</f>
        <v/>
      </c>
      <c r="S2194" s="15" t="n"/>
      <c r="T2194" s="25" t="n"/>
      <c r="U2194" s="26">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Builder'!$B$12="",N($S2194)&lt;='Assignment Builder'!$B$12)))</f>
        <v/>
      </c>
      <c r="V2194" s="23" t="n"/>
    </row>
    <row r="2195">
      <c r="A2195" s="23" t="n"/>
      <c r="B2195" s="23" t="n"/>
      <c r="C2195" s="24" t="n"/>
      <c r="D2195" s="15" t="n"/>
      <c r="E2195" s="23" t="n"/>
      <c r="F2195" s="15" t="n"/>
      <c r="G2195" s="23" t="n"/>
      <c r="H2195" s="25" t="n"/>
      <c r="I2195" s="15" t="n"/>
      <c r="J2195" s="26">
        <f>IF($A2195="","",LEN($C2195)-LEN(SUBSTITUTE($C2195,",",""))+1)</f>
        <v/>
      </c>
      <c r="K2195" s="26">
        <f>IF($A2195="","",SUMPRODUCT(--ISNUMBER(SEARCH('Category Dictionary'!$D$5:$D$135&amp;"",$C2195)),--('Category Dictionary'!$D$5:$D$135&lt;&gt;"")))</f>
        <v/>
      </c>
      <c r="L2195" s="27">
        <f>IF($A2195="","",TRIM(IF(ISERROR(FIND(",",$C2195)),$C2195,LEFT($C2195,FIND(",",$C2195)-1))))</f>
        <v/>
      </c>
      <c r="M2195" s="28">
        <f>IF($H2195="","",DATE(YEAR($H2195),MONTH($H2195),1))</f>
        <v/>
      </c>
      <c r="N2195" s="26">
        <f>IF($H2195="","",TODAY()-$H2195)</f>
        <v/>
      </c>
      <c r="O2195" s="15" t="n"/>
      <c r="P2195" s="26">
        <f>IF($A2195="","",COUNTIFS('Audit Versions'!$A$6:$A$605,$A2195,'Audit Versions'!$L$6:$L$605,"Active"))</f>
        <v/>
      </c>
      <c r="Q2195" s="15" t="n"/>
      <c r="R2195" s="26">
        <f>IF(OR($A2195="",$P2195=0),"",MOD(N($Q2195),$P2195)+1)</f>
        <v/>
      </c>
      <c r="S2195" s="15" t="n"/>
      <c r="T2195" s="25" t="n"/>
      <c r="U2195" s="26">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Builder'!$B$12="",N($S2195)&lt;='Assignment Builder'!$B$12)))</f>
        <v/>
      </c>
      <c r="V2195" s="23" t="n"/>
    </row>
    <row r="2196">
      <c r="A2196" s="23" t="n"/>
      <c r="B2196" s="23" t="n"/>
      <c r="C2196" s="24" t="n"/>
      <c r="D2196" s="15" t="n"/>
      <c r="E2196" s="23" t="n"/>
      <c r="F2196" s="15" t="n"/>
      <c r="G2196" s="23" t="n"/>
      <c r="H2196" s="25" t="n"/>
      <c r="I2196" s="15" t="n"/>
      <c r="J2196" s="26">
        <f>IF($A2196="","",LEN($C2196)-LEN(SUBSTITUTE($C2196,",",""))+1)</f>
        <v/>
      </c>
      <c r="K2196" s="26">
        <f>IF($A2196="","",SUMPRODUCT(--ISNUMBER(SEARCH('Category Dictionary'!$D$5:$D$135&amp;"",$C2196)),--('Category Dictionary'!$D$5:$D$135&lt;&gt;"")))</f>
        <v/>
      </c>
      <c r="L2196" s="27">
        <f>IF($A2196="","",TRIM(IF(ISERROR(FIND(",",$C2196)),$C2196,LEFT($C2196,FIND(",",$C2196)-1))))</f>
        <v/>
      </c>
      <c r="M2196" s="28">
        <f>IF($H2196="","",DATE(YEAR($H2196),MONTH($H2196),1))</f>
        <v/>
      </c>
      <c r="N2196" s="26">
        <f>IF($H2196="","",TODAY()-$H2196)</f>
        <v/>
      </c>
      <c r="O2196" s="15" t="n"/>
      <c r="P2196" s="26">
        <f>IF($A2196="","",COUNTIFS('Audit Versions'!$A$6:$A$605,$A2196,'Audit Versions'!$L$6:$L$605,"Active"))</f>
        <v/>
      </c>
      <c r="Q2196" s="15" t="n"/>
      <c r="R2196" s="26">
        <f>IF(OR($A2196="",$P2196=0),"",MOD(N($Q2196),$P2196)+1)</f>
        <v/>
      </c>
      <c r="S2196" s="15" t="n"/>
      <c r="T2196" s="25" t="n"/>
      <c r="U2196" s="26">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Builder'!$B$12="",N($S2196)&lt;='Assignment Builder'!$B$12)))</f>
        <v/>
      </c>
      <c r="V2196" s="23" t="n"/>
    </row>
    <row r="2197">
      <c r="A2197" s="23" t="n"/>
      <c r="B2197" s="23" t="n"/>
      <c r="C2197" s="24" t="n"/>
      <c r="D2197" s="15" t="n"/>
      <c r="E2197" s="23" t="n"/>
      <c r="F2197" s="15" t="n"/>
      <c r="G2197" s="23" t="n"/>
      <c r="H2197" s="25" t="n"/>
      <c r="I2197" s="15" t="n"/>
      <c r="J2197" s="26">
        <f>IF($A2197="","",LEN($C2197)-LEN(SUBSTITUTE($C2197,",",""))+1)</f>
        <v/>
      </c>
      <c r="K2197" s="26">
        <f>IF($A2197="","",SUMPRODUCT(--ISNUMBER(SEARCH('Category Dictionary'!$D$5:$D$135&amp;"",$C2197)),--('Category Dictionary'!$D$5:$D$135&lt;&gt;"")))</f>
        <v/>
      </c>
      <c r="L2197" s="27">
        <f>IF($A2197="","",TRIM(IF(ISERROR(FIND(",",$C2197)),$C2197,LEFT($C2197,FIND(",",$C2197)-1))))</f>
        <v/>
      </c>
      <c r="M2197" s="28">
        <f>IF($H2197="","",DATE(YEAR($H2197),MONTH($H2197),1))</f>
        <v/>
      </c>
      <c r="N2197" s="26">
        <f>IF($H2197="","",TODAY()-$H2197)</f>
        <v/>
      </c>
      <c r="O2197" s="15" t="n"/>
      <c r="P2197" s="26">
        <f>IF($A2197="","",COUNTIFS('Audit Versions'!$A$6:$A$605,$A2197,'Audit Versions'!$L$6:$L$605,"Active"))</f>
        <v/>
      </c>
      <c r="Q2197" s="15" t="n"/>
      <c r="R2197" s="26">
        <f>IF(OR($A2197="",$P2197=0),"",MOD(N($Q2197),$P2197)+1)</f>
        <v/>
      </c>
      <c r="S2197" s="15" t="n"/>
      <c r="T2197" s="25" t="n"/>
      <c r="U2197" s="26">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Builder'!$B$12="",N($S2197)&lt;='Assignment Builder'!$B$12)))</f>
        <v/>
      </c>
      <c r="V2197" s="23" t="n"/>
    </row>
    <row r="2198">
      <c r="A2198" s="23" t="n"/>
      <c r="B2198" s="23" t="n"/>
      <c r="C2198" s="24" t="n"/>
      <c r="D2198" s="15" t="n"/>
      <c r="E2198" s="23" t="n"/>
      <c r="F2198" s="15" t="n"/>
      <c r="G2198" s="23" t="n"/>
      <c r="H2198" s="25" t="n"/>
      <c r="I2198" s="15" t="n"/>
      <c r="J2198" s="26">
        <f>IF($A2198="","",LEN($C2198)-LEN(SUBSTITUTE($C2198,",",""))+1)</f>
        <v/>
      </c>
      <c r="K2198" s="26">
        <f>IF($A2198="","",SUMPRODUCT(--ISNUMBER(SEARCH('Category Dictionary'!$D$5:$D$135&amp;"",$C2198)),--('Category Dictionary'!$D$5:$D$135&lt;&gt;"")))</f>
        <v/>
      </c>
      <c r="L2198" s="27">
        <f>IF($A2198="","",TRIM(IF(ISERROR(FIND(",",$C2198)),$C2198,LEFT($C2198,FIND(",",$C2198)-1))))</f>
        <v/>
      </c>
      <c r="M2198" s="28">
        <f>IF($H2198="","",DATE(YEAR($H2198),MONTH($H2198),1))</f>
        <v/>
      </c>
      <c r="N2198" s="26">
        <f>IF($H2198="","",TODAY()-$H2198)</f>
        <v/>
      </c>
      <c r="O2198" s="15" t="n"/>
      <c r="P2198" s="26">
        <f>IF($A2198="","",COUNTIFS('Audit Versions'!$A$6:$A$605,$A2198,'Audit Versions'!$L$6:$L$605,"Active"))</f>
        <v/>
      </c>
      <c r="Q2198" s="15" t="n"/>
      <c r="R2198" s="26">
        <f>IF(OR($A2198="",$P2198=0),"",MOD(N($Q2198),$P2198)+1)</f>
        <v/>
      </c>
      <c r="S2198" s="15" t="n"/>
      <c r="T2198" s="25" t="n"/>
      <c r="U2198" s="26">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Builder'!$B$12="",N($S2198)&lt;='Assignment Builder'!$B$12)))</f>
        <v/>
      </c>
      <c r="V2198" s="23" t="n"/>
    </row>
    <row r="2199">
      <c r="A2199" s="23" t="n"/>
      <c r="B2199" s="23" t="n"/>
      <c r="C2199" s="24" t="n"/>
      <c r="D2199" s="15" t="n"/>
      <c r="E2199" s="23" t="n"/>
      <c r="F2199" s="15" t="n"/>
      <c r="G2199" s="23" t="n"/>
      <c r="H2199" s="25" t="n"/>
      <c r="I2199" s="15" t="n"/>
      <c r="J2199" s="26">
        <f>IF($A2199="","",LEN($C2199)-LEN(SUBSTITUTE($C2199,",",""))+1)</f>
        <v/>
      </c>
      <c r="K2199" s="26">
        <f>IF($A2199="","",SUMPRODUCT(--ISNUMBER(SEARCH('Category Dictionary'!$D$5:$D$135&amp;"",$C2199)),--('Category Dictionary'!$D$5:$D$135&lt;&gt;"")))</f>
        <v/>
      </c>
      <c r="L2199" s="27">
        <f>IF($A2199="","",TRIM(IF(ISERROR(FIND(",",$C2199)),$C2199,LEFT($C2199,FIND(",",$C2199)-1))))</f>
        <v/>
      </c>
      <c r="M2199" s="28">
        <f>IF($H2199="","",DATE(YEAR($H2199),MONTH($H2199),1))</f>
        <v/>
      </c>
      <c r="N2199" s="26">
        <f>IF($H2199="","",TODAY()-$H2199)</f>
        <v/>
      </c>
      <c r="O2199" s="15" t="n"/>
      <c r="P2199" s="26">
        <f>IF($A2199="","",COUNTIFS('Audit Versions'!$A$6:$A$605,$A2199,'Audit Versions'!$L$6:$L$605,"Active"))</f>
        <v/>
      </c>
      <c r="Q2199" s="15" t="n"/>
      <c r="R2199" s="26">
        <f>IF(OR($A2199="",$P2199=0),"",MOD(N($Q2199),$P2199)+1)</f>
        <v/>
      </c>
      <c r="S2199" s="15" t="n"/>
      <c r="T2199" s="25" t="n"/>
      <c r="U2199" s="26">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Builder'!$B$12="",N($S2199)&lt;='Assignment Builder'!$B$12)))</f>
        <v/>
      </c>
      <c r="V2199" s="23" t="n"/>
    </row>
    <row r="2200">
      <c r="A2200" s="23" t="n"/>
      <c r="B2200" s="23" t="n"/>
      <c r="C2200" s="24" t="n"/>
      <c r="D2200" s="15" t="n"/>
      <c r="E2200" s="23" t="n"/>
      <c r="F2200" s="15" t="n"/>
      <c r="G2200" s="23" t="n"/>
      <c r="H2200" s="25" t="n"/>
      <c r="I2200" s="15" t="n"/>
      <c r="J2200" s="26">
        <f>IF($A2200="","",LEN($C2200)-LEN(SUBSTITUTE($C2200,",",""))+1)</f>
        <v/>
      </c>
      <c r="K2200" s="26">
        <f>IF($A2200="","",SUMPRODUCT(--ISNUMBER(SEARCH('Category Dictionary'!$D$5:$D$135&amp;"",$C2200)),--('Category Dictionary'!$D$5:$D$135&lt;&gt;"")))</f>
        <v/>
      </c>
      <c r="L2200" s="27">
        <f>IF($A2200="","",TRIM(IF(ISERROR(FIND(",",$C2200)),$C2200,LEFT($C2200,FIND(",",$C2200)-1))))</f>
        <v/>
      </c>
      <c r="M2200" s="28">
        <f>IF($H2200="","",DATE(YEAR($H2200),MONTH($H2200),1))</f>
        <v/>
      </c>
      <c r="N2200" s="26">
        <f>IF($H2200="","",TODAY()-$H2200)</f>
        <v/>
      </c>
      <c r="O2200" s="15" t="n"/>
      <c r="P2200" s="26">
        <f>IF($A2200="","",COUNTIFS('Audit Versions'!$A$6:$A$605,$A2200,'Audit Versions'!$L$6:$L$605,"Active"))</f>
        <v/>
      </c>
      <c r="Q2200" s="15" t="n"/>
      <c r="R2200" s="26">
        <f>IF(OR($A2200="",$P2200=0),"",MOD(N($Q2200),$P2200)+1)</f>
        <v/>
      </c>
      <c r="S2200" s="15" t="n"/>
      <c r="T2200" s="25" t="n"/>
      <c r="U2200" s="26">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Builder'!$B$12="",N($S2200)&lt;='Assignment Builder'!$B$12)))</f>
        <v/>
      </c>
      <c r="V2200" s="23" t="n"/>
    </row>
    <row r="2201">
      <c r="A2201" s="23" t="n"/>
      <c r="B2201" s="23" t="n"/>
      <c r="C2201" s="24" t="n"/>
      <c r="D2201" s="15" t="n"/>
      <c r="E2201" s="23" t="n"/>
      <c r="F2201" s="15" t="n"/>
      <c r="G2201" s="23" t="n"/>
      <c r="H2201" s="25" t="n"/>
      <c r="I2201" s="15" t="n"/>
      <c r="J2201" s="26">
        <f>IF($A2201="","",LEN($C2201)-LEN(SUBSTITUTE($C2201,",",""))+1)</f>
        <v/>
      </c>
      <c r="K2201" s="26">
        <f>IF($A2201="","",SUMPRODUCT(--ISNUMBER(SEARCH('Category Dictionary'!$D$5:$D$135&amp;"",$C2201)),--('Category Dictionary'!$D$5:$D$135&lt;&gt;"")))</f>
        <v/>
      </c>
      <c r="L2201" s="27">
        <f>IF($A2201="","",TRIM(IF(ISERROR(FIND(",",$C2201)),$C2201,LEFT($C2201,FIND(",",$C2201)-1))))</f>
        <v/>
      </c>
      <c r="M2201" s="28">
        <f>IF($H2201="","",DATE(YEAR($H2201),MONTH($H2201),1))</f>
        <v/>
      </c>
      <c r="N2201" s="26">
        <f>IF($H2201="","",TODAY()-$H2201)</f>
        <v/>
      </c>
      <c r="O2201" s="15" t="n"/>
      <c r="P2201" s="26">
        <f>IF($A2201="","",COUNTIFS('Audit Versions'!$A$6:$A$605,$A2201,'Audit Versions'!$L$6:$L$605,"Active"))</f>
        <v/>
      </c>
      <c r="Q2201" s="15" t="n"/>
      <c r="R2201" s="26">
        <f>IF(OR($A2201="",$P2201=0),"",MOD(N($Q2201),$P2201)+1)</f>
        <v/>
      </c>
      <c r="S2201" s="15" t="n"/>
      <c r="T2201" s="25" t="n"/>
      <c r="U2201" s="26">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Builder'!$B$12="",N($S2201)&lt;='Assignment Builder'!$B$12)))</f>
        <v/>
      </c>
      <c r="V2201" s="23" t="n"/>
    </row>
    <row r="2202">
      <c r="A2202" s="23" t="n"/>
      <c r="B2202" s="23" t="n"/>
      <c r="C2202" s="24" t="n"/>
      <c r="D2202" s="15" t="n"/>
      <c r="E2202" s="23" t="n"/>
      <c r="F2202" s="15" t="n"/>
      <c r="G2202" s="23" t="n"/>
      <c r="H2202" s="25" t="n"/>
      <c r="I2202" s="15" t="n"/>
      <c r="J2202" s="26">
        <f>IF($A2202="","",LEN($C2202)-LEN(SUBSTITUTE($C2202,",",""))+1)</f>
        <v/>
      </c>
      <c r="K2202" s="26">
        <f>IF($A2202="","",SUMPRODUCT(--ISNUMBER(SEARCH('Category Dictionary'!$D$5:$D$135&amp;"",$C2202)),--('Category Dictionary'!$D$5:$D$135&lt;&gt;"")))</f>
        <v/>
      </c>
      <c r="L2202" s="27">
        <f>IF($A2202="","",TRIM(IF(ISERROR(FIND(",",$C2202)),$C2202,LEFT($C2202,FIND(",",$C2202)-1))))</f>
        <v/>
      </c>
      <c r="M2202" s="28">
        <f>IF($H2202="","",DATE(YEAR($H2202),MONTH($H2202),1))</f>
        <v/>
      </c>
      <c r="N2202" s="26">
        <f>IF($H2202="","",TODAY()-$H2202)</f>
        <v/>
      </c>
      <c r="O2202" s="15" t="n"/>
      <c r="P2202" s="26">
        <f>IF($A2202="","",COUNTIFS('Audit Versions'!$A$6:$A$605,$A2202,'Audit Versions'!$L$6:$L$605,"Active"))</f>
        <v/>
      </c>
      <c r="Q2202" s="15" t="n"/>
      <c r="R2202" s="26">
        <f>IF(OR($A2202="",$P2202=0),"",MOD(N($Q2202),$P2202)+1)</f>
        <v/>
      </c>
      <c r="S2202" s="15" t="n"/>
      <c r="T2202" s="25" t="n"/>
      <c r="U2202" s="26">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Builder'!$B$12="",N($S2202)&lt;='Assignment Builder'!$B$12)))</f>
        <v/>
      </c>
      <c r="V2202" s="23" t="n"/>
    </row>
    <row r="2203">
      <c r="A2203" s="23" t="n"/>
      <c r="B2203" s="23" t="n"/>
      <c r="C2203" s="24" t="n"/>
      <c r="D2203" s="15" t="n"/>
      <c r="E2203" s="23" t="n"/>
      <c r="F2203" s="15" t="n"/>
      <c r="G2203" s="23" t="n"/>
      <c r="H2203" s="25" t="n"/>
      <c r="I2203" s="15" t="n"/>
      <c r="J2203" s="26">
        <f>IF($A2203="","",LEN($C2203)-LEN(SUBSTITUTE($C2203,",",""))+1)</f>
        <v/>
      </c>
      <c r="K2203" s="26">
        <f>IF($A2203="","",SUMPRODUCT(--ISNUMBER(SEARCH('Category Dictionary'!$D$5:$D$135&amp;"",$C2203)),--('Category Dictionary'!$D$5:$D$135&lt;&gt;"")))</f>
        <v/>
      </c>
      <c r="L2203" s="27">
        <f>IF($A2203="","",TRIM(IF(ISERROR(FIND(",",$C2203)),$C2203,LEFT($C2203,FIND(",",$C2203)-1))))</f>
        <v/>
      </c>
      <c r="M2203" s="28">
        <f>IF($H2203="","",DATE(YEAR($H2203),MONTH($H2203),1))</f>
        <v/>
      </c>
      <c r="N2203" s="26">
        <f>IF($H2203="","",TODAY()-$H2203)</f>
        <v/>
      </c>
      <c r="O2203" s="15" t="n"/>
      <c r="P2203" s="26">
        <f>IF($A2203="","",COUNTIFS('Audit Versions'!$A$6:$A$605,$A2203,'Audit Versions'!$L$6:$L$605,"Active"))</f>
        <v/>
      </c>
      <c r="Q2203" s="15" t="n"/>
      <c r="R2203" s="26">
        <f>IF(OR($A2203="",$P2203=0),"",MOD(N($Q2203),$P2203)+1)</f>
        <v/>
      </c>
      <c r="S2203" s="15" t="n"/>
      <c r="T2203" s="25" t="n"/>
      <c r="U2203" s="26">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Builder'!$B$12="",N($S2203)&lt;='Assignment Builder'!$B$12)))</f>
        <v/>
      </c>
      <c r="V2203" s="23" t="n"/>
    </row>
    <row r="2204">
      <c r="A2204" s="23" t="n"/>
      <c r="B2204" s="23" t="n"/>
      <c r="C2204" s="24" t="n"/>
      <c r="D2204" s="15" t="n"/>
      <c r="E2204" s="23" t="n"/>
      <c r="F2204" s="15" t="n"/>
      <c r="G2204" s="23" t="n"/>
      <c r="H2204" s="25" t="n"/>
      <c r="I2204" s="15" t="n"/>
      <c r="J2204" s="26">
        <f>IF($A2204="","",LEN($C2204)-LEN(SUBSTITUTE($C2204,",",""))+1)</f>
        <v/>
      </c>
      <c r="K2204" s="26">
        <f>IF($A2204="","",SUMPRODUCT(--ISNUMBER(SEARCH('Category Dictionary'!$D$5:$D$135&amp;"",$C2204)),--('Category Dictionary'!$D$5:$D$135&lt;&gt;"")))</f>
        <v/>
      </c>
      <c r="L2204" s="27">
        <f>IF($A2204="","",TRIM(IF(ISERROR(FIND(",",$C2204)),$C2204,LEFT($C2204,FIND(",",$C2204)-1))))</f>
        <v/>
      </c>
      <c r="M2204" s="28">
        <f>IF($H2204="","",DATE(YEAR($H2204),MONTH($H2204),1))</f>
        <v/>
      </c>
      <c r="N2204" s="26">
        <f>IF($H2204="","",TODAY()-$H2204)</f>
        <v/>
      </c>
      <c r="O2204" s="15" t="n"/>
      <c r="P2204" s="26">
        <f>IF($A2204="","",COUNTIFS('Audit Versions'!$A$6:$A$605,$A2204,'Audit Versions'!$L$6:$L$605,"Active"))</f>
        <v/>
      </c>
      <c r="Q2204" s="15" t="n"/>
      <c r="R2204" s="26">
        <f>IF(OR($A2204="",$P2204=0),"",MOD(N($Q2204),$P2204)+1)</f>
        <v/>
      </c>
      <c r="S2204" s="15" t="n"/>
      <c r="T2204" s="25" t="n"/>
      <c r="U2204" s="26">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Builder'!$B$12="",N($S2204)&lt;='Assignment Builder'!$B$12)))</f>
        <v/>
      </c>
      <c r="V2204" s="23" t="n"/>
    </row>
    <row r="2205">
      <c r="A2205" s="23" t="n"/>
      <c r="B2205" s="23" t="n"/>
      <c r="C2205" s="24" t="n"/>
      <c r="D2205" s="15" t="n"/>
      <c r="E2205" s="23" t="n"/>
      <c r="F2205" s="15" t="n"/>
      <c r="G2205" s="23" t="n"/>
      <c r="H2205" s="25" t="n"/>
      <c r="I2205" s="15" t="n"/>
      <c r="J2205" s="26">
        <f>IF($A2205="","",LEN($C2205)-LEN(SUBSTITUTE($C2205,",",""))+1)</f>
        <v/>
      </c>
      <c r="K2205" s="26">
        <f>IF($A2205="","",SUMPRODUCT(--ISNUMBER(SEARCH('Category Dictionary'!$D$5:$D$135&amp;"",$C2205)),--('Category Dictionary'!$D$5:$D$135&lt;&gt;"")))</f>
        <v/>
      </c>
      <c r="L2205" s="27">
        <f>IF($A2205="","",TRIM(IF(ISERROR(FIND(",",$C2205)),$C2205,LEFT($C2205,FIND(",",$C2205)-1))))</f>
        <v/>
      </c>
      <c r="M2205" s="28">
        <f>IF($H2205="","",DATE(YEAR($H2205),MONTH($H2205),1))</f>
        <v/>
      </c>
      <c r="N2205" s="26">
        <f>IF($H2205="","",TODAY()-$H2205)</f>
        <v/>
      </c>
      <c r="O2205" s="15" t="n"/>
      <c r="P2205" s="26">
        <f>IF($A2205="","",COUNTIFS('Audit Versions'!$A$6:$A$605,$A2205,'Audit Versions'!$L$6:$L$605,"Active"))</f>
        <v/>
      </c>
      <c r="Q2205" s="15" t="n"/>
      <c r="R2205" s="26">
        <f>IF(OR($A2205="",$P2205=0),"",MOD(N($Q2205),$P2205)+1)</f>
        <v/>
      </c>
      <c r="S2205" s="15" t="n"/>
      <c r="T2205" s="25" t="n"/>
      <c r="U2205" s="26">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Builder'!$B$12="",N($S2205)&lt;='Assignment Builder'!$B$12)))</f>
        <v/>
      </c>
      <c r="V2205" s="23" t="n"/>
    </row>
    <row r="2206">
      <c r="A2206" s="23" t="n"/>
      <c r="B2206" s="23" t="n"/>
      <c r="C2206" s="24" t="n"/>
      <c r="D2206" s="15" t="n"/>
      <c r="E2206" s="23" t="n"/>
      <c r="F2206" s="15" t="n"/>
      <c r="G2206" s="23" t="n"/>
      <c r="H2206" s="25" t="n"/>
      <c r="I2206" s="15" t="n"/>
      <c r="J2206" s="26">
        <f>IF($A2206="","",LEN($C2206)-LEN(SUBSTITUTE($C2206,",",""))+1)</f>
        <v/>
      </c>
      <c r="K2206" s="26">
        <f>IF($A2206="","",SUMPRODUCT(--ISNUMBER(SEARCH('Category Dictionary'!$D$5:$D$135&amp;"",$C2206)),--('Category Dictionary'!$D$5:$D$135&lt;&gt;"")))</f>
        <v/>
      </c>
      <c r="L2206" s="27">
        <f>IF($A2206="","",TRIM(IF(ISERROR(FIND(",",$C2206)),$C2206,LEFT($C2206,FIND(",",$C2206)-1))))</f>
        <v/>
      </c>
      <c r="M2206" s="28">
        <f>IF($H2206="","",DATE(YEAR($H2206),MONTH($H2206),1))</f>
        <v/>
      </c>
      <c r="N2206" s="26">
        <f>IF($H2206="","",TODAY()-$H2206)</f>
        <v/>
      </c>
      <c r="O2206" s="15" t="n"/>
      <c r="P2206" s="26">
        <f>IF($A2206="","",COUNTIFS('Audit Versions'!$A$6:$A$605,$A2206,'Audit Versions'!$L$6:$L$605,"Active"))</f>
        <v/>
      </c>
      <c r="Q2206" s="15" t="n"/>
      <c r="R2206" s="26">
        <f>IF(OR($A2206="",$P2206=0),"",MOD(N($Q2206),$P2206)+1)</f>
        <v/>
      </c>
      <c r="S2206" s="15" t="n"/>
      <c r="T2206" s="25" t="n"/>
      <c r="U2206" s="26">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Builder'!$B$12="",N($S2206)&lt;='Assignment Builder'!$B$12)))</f>
        <v/>
      </c>
      <c r="V2206" s="23" t="n"/>
    </row>
    <row r="2207">
      <c r="A2207" s="23" t="n"/>
      <c r="B2207" s="23" t="n"/>
      <c r="C2207" s="24" t="n"/>
      <c r="D2207" s="15" t="n"/>
      <c r="E2207" s="23" t="n"/>
      <c r="F2207" s="15" t="n"/>
      <c r="G2207" s="23" t="n"/>
      <c r="H2207" s="25" t="n"/>
      <c r="I2207" s="15" t="n"/>
      <c r="J2207" s="26">
        <f>IF($A2207="","",LEN($C2207)-LEN(SUBSTITUTE($C2207,",",""))+1)</f>
        <v/>
      </c>
      <c r="K2207" s="26">
        <f>IF($A2207="","",SUMPRODUCT(--ISNUMBER(SEARCH('Category Dictionary'!$D$5:$D$135&amp;"",$C2207)),--('Category Dictionary'!$D$5:$D$135&lt;&gt;"")))</f>
        <v/>
      </c>
      <c r="L2207" s="27">
        <f>IF($A2207="","",TRIM(IF(ISERROR(FIND(",",$C2207)),$C2207,LEFT($C2207,FIND(",",$C2207)-1))))</f>
        <v/>
      </c>
      <c r="M2207" s="28">
        <f>IF($H2207="","",DATE(YEAR($H2207),MONTH($H2207),1))</f>
        <v/>
      </c>
      <c r="N2207" s="26">
        <f>IF($H2207="","",TODAY()-$H2207)</f>
        <v/>
      </c>
      <c r="O2207" s="15" t="n"/>
      <c r="P2207" s="26">
        <f>IF($A2207="","",COUNTIFS('Audit Versions'!$A$6:$A$605,$A2207,'Audit Versions'!$L$6:$L$605,"Active"))</f>
        <v/>
      </c>
      <c r="Q2207" s="15" t="n"/>
      <c r="R2207" s="26">
        <f>IF(OR($A2207="",$P2207=0),"",MOD(N($Q2207),$P2207)+1)</f>
        <v/>
      </c>
      <c r="S2207" s="15" t="n"/>
      <c r="T2207" s="25" t="n"/>
      <c r="U2207" s="26">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Builder'!$B$12="",N($S2207)&lt;='Assignment Builder'!$B$12)))</f>
        <v/>
      </c>
      <c r="V2207" s="23" t="n"/>
    </row>
    <row r="2208">
      <c r="A2208" s="23" t="n"/>
      <c r="B2208" s="23" t="n"/>
      <c r="C2208" s="24" t="n"/>
      <c r="D2208" s="15" t="n"/>
      <c r="E2208" s="23" t="n"/>
      <c r="F2208" s="15" t="n"/>
      <c r="G2208" s="23" t="n"/>
      <c r="H2208" s="25" t="n"/>
      <c r="I2208" s="15" t="n"/>
      <c r="J2208" s="26">
        <f>IF($A2208="","",LEN($C2208)-LEN(SUBSTITUTE($C2208,",",""))+1)</f>
        <v/>
      </c>
      <c r="K2208" s="26">
        <f>IF($A2208="","",SUMPRODUCT(--ISNUMBER(SEARCH('Category Dictionary'!$D$5:$D$135&amp;"",$C2208)),--('Category Dictionary'!$D$5:$D$135&lt;&gt;"")))</f>
        <v/>
      </c>
      <c r="L2208" s="27">
        <f>IF($A2208="","",TRIM(IF(ISERROR(FIND(",",$C2208)),$C2208,LEFT($C2208,FIND(",",$C2208)-1))))</f>
        <v/>
      </c>
      <c r="M2208" s="28">
        <f>IF($H2208="","",DATE(YEAR($H2208),MONTH($H2208),1))</f>
        <v/>
      </c>
      <c r="N2208" s="26">
        <f>IF($H2208="","",TODAY()-$H2208)</f>
        <v/>
      </c>
      <c r="O2208" s="15" t="n"/>
      <c r="P2208" s="26">
        <f>IF($A2208="","",COUNTIFS('Audit Versions'!$A$6:$A$605,$A2208,'Audit Versions'!$L$6:$L$605,"Active"))</f>
        <v/>
      </c>
      <c r="Q2208" s="15" t="n"/>
      <c r="R2208" s="26">
        <f>IF(OR($A2208="",$P2208=0),"",MOD(N($Q2208),$P2208)+1)</f>
        <v/>
      </c>
      <c r="S2208" s="15" t="n"/>
      <c r="T2208" s="25" t="n"/>
      <c r="U2208" s="26">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Builder'!$B$12="",N($S2208)&lt;='Assignment Builder'!$B$12)))</f>
        <v/>
      </c>
      <c r="V2208" s="23" t="n"/>
    </row>
    <row r="2209">
      <c r="A2209" s="23" t="n"/>
      <c r="B2209" s="23" t="n"/>
      <c r="C2209" s="24" t="n"/>
      <c r="D2209" s="15" t="n"/>
      <c r="E2209" s="23" t="n"/>
      <c r="F2209" s="15" t="n"/>
      <c r="G2209" s="23" t="n"/>
      <c r="H2209" s="25" t="n"/>
      <c r="I2209" s="15" t="n"/>
      <c r="J2209" s="26">
        <f>IF($A2209="","",LEN($C2209)-LEN(SUBSTITUTE($C2209,",",""))+1)</f>
        <v/>
      </c>
      <c r="K2209" s="26">
        <f>IF($A2209="","",SUMPRODUCT(--ISNUMBER(SEARCH('Category Dictionary'!$D$5:$D$135&amp;"",$C2209)),--('Category Dictionary'!$D$5:$D$135&lt;&gt;"")))</f>
        <v/>
      </c>
      <c r="L2209" s="27">
        <f>IF($A2209="","",TRIM(IF(ISERROR(FIND(",",$C2209)),$C2209,LEFT($C2209,FIND(",",$C2209)-1))))</f>
        <v/>
      </c>
      <c r="M2209" s="28">
        <f>IF($H2209="","",DATE(YEAR($H2209),MONTH($H2209),1))</f>
        <v/>
      </c>
      <c r="N2209" s="26">
        <f>IF($H2209="","",TODAY()-$H2209)</f>
        <v/>
      </c>
      <c r="O2209" s="15" t="n"/>
      <c r="P2209" s="26">
        <f>IF($A2209="","",COUNTIFS('Audit Versions'!$A$6:$A$605,$A2209,'Audit Versions'!$L$6:$L$605,"Active"))</f>
        <v/>
      </c>
      <c r="Q2209" s="15" t="n"/>
      <c r="R2209" s="26">
        <f>IF(OR($A2209="",$P2209=0),"",MOD(N($Q2209),$P2209)+1)</f>
        <v/>
      </c>
      <c r="S2209" s="15" t="n"/>
      <c r="T2209" s="25" t="n"/>
      <c r="U2209" s="26">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Builder'!$B$12="",N($S2209)&lt;='Assignment Builder'!$B$12)))</f>
        <v/>
      </c>
      <c r="V2209" s="23" t="n"/>
    </row>
    <row r="2210">
      <c r="A2210" s="23" t="n"/>
      <c r="B2210" s="23" t="n"/>
      <c r="C2210" s="24" t="n"/>
      <c r="D2210" s="15" t="n"/>
      <c r="E2210" s="23" t="n"/>
      <c r="F2210" s="15" t="n"/>
      <c r="G2210" s="23" t="n"/>
      <c r="H2210" s="25" t="n"/>
      <c r="I2210" s="15" t="n"/>
      <c r="J2210" s="26">
        <f>IF($A2210="","",LEN($C2210)-LEN(SUBSTITUTE($C2210,",",""))+1)</f>
        <v/>
      </c>
      <c r="K2210" s="26">
        <f>IF($A2210="","",SUMPRODUCT(--ISNUMBER(SEARCH('Category Dictionary'!$D$5:$D$135&amp;"",$C2210)),--('Category Dictionary'!$D$5:$D$135&lt;&gt;"")))</f>
        <v/>
      </c>
      <c r="L2210" s="27">
        <f>IF($A2210="","",TRIM(IF(ISERROR(FIND(",",$C2210)),$C2210,LEFT($C2210,FIND(",",$C2210)-1))))</f>
        <v/>
      </c>
      <c r="M2210" s="28">
        <f>IF($H2210="","",DATE(YEAR($H2210),MONTH($H2210),1))</f>
        <v/>
      </c>
      <c r="N2210" s="26">
        <f>IF($H2210="","",TODAY()-$H2210)</f>
        <v/>
      </c>
      <c r="O2210" s="15" t="n"/>
      <c r="P2210" s="26">
        <f>IF($A2210="","",COUNTIFS('Audit Versions'!$A$6:$A$605,$A2210,'Audit Versions'!$L$6:$L$605,"Active"))</f>
        <v/>
      </c>
      <c r="Q2210" s="15" t="n"/>
      <c r="R2210" s="26">
        <f>IF(OR($A2210="",$P2210=0),"",MOD(N($Q2210),$P2210)+1)</f>
        <v/>
      </c>
      <c r="S2210" s="15" t="n"/>
      <c r="T2210" s="25" t="n"/>
      <c r="U2210" s="26">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Builder'!$B$12="",N($S2210)&lt;='Assignment Builder'!$B$12)))</f>
        <v/>
      </c>
      <c r="V2210" s="23" t="n"/>
    </row>
    <row r="2211">
      <c r="A2211" s="23" t="n"/>
      <c r="B2211" s="23" t="n"/>
      <c r="C2211" s="24" t="n"/>
      <c r="D2211" s="15" t="n"/>
      <c r="E2211" s="23" t="n"/>
      <c r="F2211" s="15" t="n"/>
      <c r="G2211" s="23" t="n"/>
      <c r="H2211" s="25" t="n"/>
      <c r="I2211" s="15" t="n"/>
      <c r="J2211" s="26">
        <f>IF($A2211="","",LEN($C2211)-LEN(SUBSTITUTE($C2211,",",""))+1)</f>
        <v/>
      </c>
      <c r="K2211" s="26">
        <f>IF($A2211="","",SUMPRODUCT(--ISNUMBER(SEARCH('Category Dictionary'!$D$5:$D$135&amp;"",$C2211)),--('Category Dictionary'!$D$5:$D$135&lt;&gt;"")))</f>
        <v/>
      </c>
      <c r="L2211" s="27">
        <f>IF($A2211="","",TRIM(IF(ISERROR(FIND(",",$C2211)),$C2211,LEFT($C2211,FIND(",",$C2211)-1))))</f>
        <v/>
      </c>
      <c r="M2211" s="28">
        <f>IF($H2211="","",DATE(YEAR($H2211),MONTH($H2211),1))</f>
        <v/>
      </c>
      <c r="N2211" s="26">
        <f>IF($H2211="","",TODAY()-$H2211)</f>
        <v/>
      </c>
      <c r="O2211" s="15" t="n"/>
      <c r="P2211" s="26">
        <f>IF($A2211="","",COUNTIFS('Audit Versions'!$A$6:$A$605,$A2211,'Audit Versions'!$L$6:$L$605,"Active"))</f>
        <v/>
      </c>
      <c r="Q2211" s="15" t="n"/>
      <c r="R2211" s="26">
        <f>IF(OR($A2211="",$P2211=0),"",MOD(N($Q2211),$P2211)+1)</f>
        <v/>
      </c>
      <c r="S2211" s="15" t="n"/>
      <c r="T2211" s="25" t="n"/>
      <c r="U2211" s="26">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Builder'!$B$12="",N($S2211)&lt;='Assignment Builder'!$B$12)))</f>
        <v/>
      </c>
      <c r="V2211" s="23" t="n"/>
    </row>
    <row r="2212">
      <c r="A2212" s="23" t="n"/>
      <c r="B2212" s="23" t="n"/>
      <c r="C2212" s="24" t="n"/>
      <c r="D2212" s="15" t="n"/>
      <c r="E2212" s="23" t="n"/>
      <c r="F2212" s="15" t="n"/>
      <c r="G2212" s="23" t="n"/>
      <c r="H2212" s="25" t="n"/>
      <c r="I2212" s="15" t="n"/>
      <c r="J2212" s="26">
        <f>IF($A2212="","",LEN($C2212)-LEN(SUBSTITUTE($C2212,",",""))+1)</f>
        <v/>
      </c>
      <c r="K2212" s="26">
        <f>IF($A2212="","",SUMPRODUCT(--ISNUMBER(SEARCH('Category Dictionary'!$D$5:$D$135&amp;"",$C2212)),--('Category Dictionary'!$D$5:$D$135&lt;&gt;"")))</f>
        <v/>
      </c>
      <c r="L2212" s="27">
        <f>IF($A2212="","",TRIM(IF(ISERROR(FIND(",",$C2212)),$C2212,LEFT($C2212,FIND(",",$C2212)-1))))</f>
        <v/>
      </c>
      <c r="M2212" s="28">
        <f>IF($H2212="","",DATE(YEAR($H2212),MONTH($H2212),1))</f>
        <v/>
      </c>
      <c r="N2212" s="26">
        <f>IF($H2212="","",TODAY()-$H2212)</f>
        <v/>
      </c>
      <c r="O2212" s="15" t="n"/>
      <c r="P2212" s="26">
        <f>IF($A2212="","",COUNTIFS('Audit Versions'!$A$6:$A$605,$A2212,'Audit Versions'!$L$6:$L$605,"Active"))</f>
        <v/>
      </c>
      <c r="Q2212" s="15" t="n"/>
      <c r="R2212" s="26">
        <f>IF(OR($A2212="",$P2212=0),"",MOD(N($Q2212),$P2212)+1)</f>
        <v/>
      </c>
      <c r="S2212" s="15" t="n"/>
      <c r="T2212" s="25" t="n"/>
      <c r="U2212" s="26">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Builder'!$B$12="",N($S2212)&lt;='Assignment Builder'!$B$12)))</f>
        <v/>
      </c>
      <c r="V2212" s="23" t="n"/>
    </row>
    <row r="2213">
      <c r="A2213" s="23" t="n"/>
      <c r="B2213" s="23" t="n"/>
      <c r="C2213" s="24" t="n"/>
      <c r="D2213" s="15" t="n"/>
      <c r="E2213" s="23" t="n"/>
      <c r="F2213" s="15" t="n"/>
      <c r="G2213" s="23" t="n"/>
      <c r="H2213" s="25" t="n"/>
      <c r="I2213" s="15" t="n"/>
      <c r="J2213" s="26">
        <f>IF($A2213="","",LEN($C2213)-LEN(SUBSTITUTE($C2213,",",""))+1)</f>
        <v/>
      </c>
      <c r="K2213" s="26">
        <f>IF($A2213="","",SUMPRODUCT(--ISNUMBER(SEARCH('Category Dictionary'!$D$5:$D$135&amp;"",$C2213)),--('Category Dictionary'!$D$5:$D$135&lt;&gt;"")))</f>
        <v/>
      </c>
      <c r="L2213" s="27">
        <f>IF($A2213="","",TRIM(IF(ISERROR(FIND(",",$C2213)),$C2213,LEFT($C2213,FIND(",",$C2213)-1))))</f>
        <v/>
      </c>
      <c r="M2213" s="28">
        <f>IF($H2213="","",DATE(YEAR($H2213),MONTH($H2213),1))</f>
        <v/>
      </c>
      <c r="N2213" s="26">
        <f>IF($H2213="","",TODAY()-$H2213)</f>
        <v/>
      </c>
      <c r="O2213" s="15" t="n"/>
      <c r="P2213" s="26">
        <f>IF($A2213="","",COUNTIFS('Audit Versions'!$A$6:$A$605,$A2213,'Audit Versions'!$L$6:$L$605,"Active"))</f>
        <v/>
      </c>
      <c r="Q2213" s="15" t="n"/>
      <c r="R2213" s="26">
        <f>IF(OR($A2213="",$P2213=0),"",MOD(N($Q2213),$P2213)+1)</f>
        <v/>
      </c>
      <c r="S2213" s="15" t="n"/>
      <c r="T2213" s="25" t="n"/>
      <c r="U2213" s="26">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Builder'!$B$12="",N($S2213)&lt;='Assignment Builder'!$B$12)))</f>
        <v/>
      </c>
      <c r="V2213" s="23" t="n"/>
    </row>
    <row r="2214">
      <c r="A2214" s="23" t="n"/>
      <c r="B2214" s="23" t="n"/>
      <c r="C2214" s="24" t="n"/>
      <c r="D2214" s="15" t="n"/>
      <c r="E2214" s="23" t="n"/>
      <c r="F2214" s="15" t="n"/>
      <c r="G2214" s="23" t="n"/>
      <c r="H2214" s="25" t="n"/>
      <c r="I2214" s="15" t="n"/>
      <c r="J2214" s="26">
        <f>IF($A2214="","",LEN($C2214)-LEN(SUBSTITUTE($C2214,",",""))+1)</f>
        <v/>
      </c>
      <c r="K2214" s="26">
        <f>IF($A2214="","",SUMPRODUCT(--ISNUMBER(SEARCH('Category Dictionary'!$D$5:$D$135&amp;"",$C2214)),--('Category Dictionary'!$D$5:$D$135&lt;&gt;"")))</f>
        <v/>
      </c>
      <c r="L2214" s="27">
        <f>IF($A2214="","",TRIM(IF(ISERROR(FIND(",",$C2214)),$C2214,LEFT($C2214,FIND(",",$C2214)-1))))</f>
        <v/>
      </c>
      <c r="M2214" s="28">
        <f>IF($H2214="","",DATE(YEAR($H2214),MONTH($H2214),1))</f>
        <v/>
      </c>
      <c r="N2214" s="26">
        <f>IF($H2214="","",TODAY()-$H2214)</f>
        <v/>
      </c>
      <c r="O2214" s="15" t="n"/>
      <c r="P2214" s="26">
        <f>IF($A2214="","",COUNTIFS('Audit Versions'!$A$6:$A$605,$A2214,'Audit Versions'!$L$6:$L$605,"Active"))</f>
        <v/>
      </c>
      <c r="Q2214" s="15" t="n"/>
      <c r="R2214" s="26">
        <f>IF(OR($A2214="",$P2214=0),"",MOD(N($Q2214),$P2214)+1)</f>
        <v/>
      </c>
      <c r="S2214" s="15" t="n"/>
      <c r="T2214" s="25" t="n"/>
      <c r="U2214" s="26">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Builder'!$B$12="",N($S2214)&lt;='Assignment Builder'!$B$12)))</f>
        <v/>
      </c>
      <c r="V2214" s="23" t="n"/>
    </row>
    <row r="2215">
      <c r="A2215" s="23" t="n"/>
      <c r="B2215" s="23" t="n"/>
      <c r="C2215" s="24" t="n"/>
      <c r="D2215" s="15" t="n"/>
      <c r="E2215" s="23" t="n"/>
      <c r="F2215" s="15" t="n"/>
      <c r="G2215" s="23" t="n"/>
      <c r="H2215" s="25" t="n"/>
      <c r="I2215" s="15" t="n"/>
      <c r="J2215" s="26">
        <f>IF($A2215="","",LEN($C2215)-LEN(SUBSTITUTE($C2215,",",""))+1)</f>
        <v/>
      </c>
      <c r="K2215" s="26">
        <f>IF($A2215="","",SUMPRODUCT(--ISNUMBER(SEARCH('Category Dictionary'!$D$5:$D$135&amp;"",$C2215)),--('Category Dictionary'!$D$5:$D$135&lt;&gt;"")))</f>
        <v/>
      </c>
      <c r="L2215" s="27">
        <f>IF($A2215="","",TRIM(IF(ISERROR(FIND(",",$C2215)),$C2215,LEFT($C2215,FIND(",",$C2215)-1))))</f>
        <v/>
      </c>
      <c r="M2215" s="28">
        <f>IF($H2215="","",DATE(YEAR($H2215),MONTH($H2215),1))</f>
        <v/>
      </c>
      <c r="N2215" s="26">
        <f>IF($H2215="","",TODAY()-$H2215)</f>
        <v/>
      </c>
      <c r="O2215" s="15" t="n"/>
      <c r="P2215" s="26">
        <f>IF($A2215="","",COUNTIFS('Audit Versions'!$A$6:$A$605,$A2215,'Audit Versions'!$L$6:$L$605,"Active"))</f>
        <v/>
      </c>
      <c r="Q2215" s="15" t="n"/>
      <c r="R2215" s="26">
        <f>IF(OR($A2215="",$P2215=0),"",MOD(N($Q2215),$P2215)+1)</f>
        <v/>
      </c>
      <c r="S2215" s="15" t="n"/>
      <c r="T2215" s="25" t="n"/>
      <c r="U2215" s="26">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Builder'!$B$12="",N($S2215)&lt;='Assignment Builder'!$B$12)))</f>
        <v/>
      </c>
      <c r="V2215" s="23" t="n"/>
    </row>
    <row r="2216">
      <c r="A2216" s="23" t="n"/>
      <c r="B2216" s="23" t="n"/>
      <c r="C2216" s="24" t="n"/>
      <c r="D2216" s="15" t="n"/>
      <c r="E2216" s="23" t="n"/>
      <c r="F2216" s="15" t="n"/>
      <c r="G2216" s="23" t="n"/>
      <c r="H2216" s="25" t="n"/>
      <c r="I2216" s="15" t="n"/>
      <c r="J2216" s="26">
        <f>IF($A2216="","",LEN($C2216)-LEN(SUBSTITUTE($C2216,",",""))+1)</f>
        <v/>
      </c>
      <c r="K2216" s="26">
        <f>IF($A2216="","",SUMPRODUCT(--ISNUMBER(SEARCH('Category Dictionary'!$D$5:$D$135&amp;"",$C2216)),--('Category Dictionary'!$D$5:$D$135&lt;&gt;"")))</f>
        <v/>
      </c>
      <c r="L2216" s="27">
        <f>IF($A2216="","",TRIM(IF(ISERROR(FIND(",",$C2216)),$C2216,LEFT($C2216,FIND(",",$C2216)-1))))</f>
        <v/>
      </c>
      <c r="M2216" s="28">
        <f>IF($H2216="","",DATE(YEAR($H2216),MONTH($H2216),1))</f>
        <v/>
      </c>
      <c r="N2216" s="26">
        <f>IF($H2216="","",TODAY()-$H2216)</f>
        <v/>
      </c>
      <c r="O2216" s="15" t="n"/>
      <c r="P2216" s="26">
        <f>IF($A2216="","",COUNTIFS('Audit Versions'!$A$6:$A$605,$A2216,'Audit Versions'!$L$6:$L$605,"Active"))</f>
        <v/>
      </c>
      <c r="Q2216" s="15" t="n"/>
      <c r="R2216" s="26">
        <f>IF(OR($A2216="",$P2216=0),"",MOD(N($Q2216),$P2216)+1)</f>
        <v/>
      </c>
      <c r="S2216" s="15" t="n"/>
      <c r="T2216" s="25" t="n"/>
      <c r="U2216" s="26">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Builder'!$B$12="",N($S2216)&lt;='Assignment Builder'!$B$12)))</f>
        <v/>
      </c>
      <c r="V2216" s="23" t="n"/>
    </row>
    <row r="2217">
      <c r="A2217" s="23" t="n"/>
      <c r="B2217" s="23" t="n"/>
      <c r="C2217" s="24" t="n"/>
      <c r="D2217" s="15" t="n"/>
      <c r="E2217" s="23" t="n"/>
      <c r="F2217" s="15" t="n"/>
      <c r="G2217" s="23" t="n"/>
      <c r="H2217" s="25" t="n"/>
      <c r="I2217" s="15" t="n"/>
      <c r="J2217" s="26">
        <f>IF($A2217="","",LEN($C2217)-LEN(SUBSTITUTE($C2217,",",""))+1)</f>
        <v/>
      </c>
      <c r="K2217" s="26">
        <f>IF($A2217="","",SUMPRODUCT(--ISNUMBER(SEARCH('Category Dictionary'!$D$5:$D$135&amp;"",$C2217)),--('Category Dictionary'!$D$5:$D$135&lt;&gt;"")))</f>
        <v/>
      </c>
      <c r="L2217" s="27">
        <f>IF($A2217="","",TRIM(IF(ISERROR(FIND(",",$C2217)),$C2217,LEFT($C2217,FIND(",",$C2217)-1))))</f>
        <v/>
      </c>
      <c r="M2217" s="28">
        <f>IF($H2217="","",DATE(YEAR($H2217),MONTH($H2217),1))</f>
        <v/>
      </c>
      <c r="N2217" s="26">
        <f>IF($H2217="","",TODAY()-$H2217)</f>
        <v/>
      </c>
      <c r="O2217" s="15" t="n"/>
      <c r="P2217" s="26">
        <f>IF($A2217="","",COUNTIFS('Audit Versions'!$A$6:$A$605,$A2217,'Audit Versions'!$L$6:$L$605,"Active"))</f>
        <v/>
      </c>
      <c r="Q2217" s="15" t="n"/>
      <c r="R2217" s="26">
        <f>IF(OR($A2217="",$P2217=0),"",MOD(N($Q2217),$P2217)+1)</f>
        <v/>
      </c>
      <c r="S2217" s="15" t="n"/>
      <c r="T2217" s="25" t="n"/>
      <c r="U2217" s="26">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Builder'!$B$12="",N($S2217)&lt;='Assignment Builder'!$B$12)))</f>
        <v/>
      </c>
      <c r="V2217" s="23" t="n"/>
    </row>
    <row r="2218">
      <c r="A2218" s="23" t="n"/>
      <c r="B2218" s="23" t="n"/>
      <c r="C2218" s="24" t="n"/>
      <c r="D2218" s="15" t="n"/>
      <c r="E2218" s="23" t="n"/>
      <c r="F2218" s="15" t="n"/>
      <c r="G2218" s="23" t="n"/>
      <c r="H2218" s="25" t="n"/>
      <c r="I2218" s="15" t="n"/>
      <c r="J2218" s="26">
        <f>IF($A2218="","",LEN($C2218)-LEN(SUBSTITUTE($C2218,",",""))+1)</f>
        <v/>
      </c>
      <c r="K2218" s="26">
        <f>IF($A2218="","",SUMPRODUCT(--ISNUMBER(SEARCH('Category Dictionary'!$D$5:$D$135&amp;"",$C2218)),--('Category Dictionary'!$D$5:$D$135&lt;&gt;"")))</f>
        <v/>
      </c>
      <c r="L2218" s="27">
        <f>IF($A2218="","",TRIM(IF(ISERROR(FIND(",",$C2218)),$C2218,LEFT($C2218,FIND(",",$C2218)-1))))</f>
        <v/>
      </c>
      <c r="M2218" s="28">
        <f>IF($H2218="","",DATE(YEAR($H2218),MONTH($H2218),1))</f>
        <v/>
      </c>
      <c r="N2218" s="26">
        <f>IF($H2218="","",TODAY()-$H2218)</f>
        <v/>
      </c>
      <c r="O2218" s="15" t="n"/>
      <c r="P2218" s="26">
        <f>IF($A2218="","",COUNTIFS('Audit Versions'!$A$6:$A$605,$A2218,'Audit Versions'!$L$6:$L$605,"Active"))</f>
        <v/>
      </c>
      <c r="Q2218" s="15" t="n"/>
      <c r="R2218" s="26">
        <f>IF(OR($A2218="",$P2218=0),"",MOD(N($Q2218),$P2218)+1)</f>
        <v/>
      </c>
      <c r="S2218" s="15" t="n"/>
      <c r="T2218" s="25" t="n"/>
      <c r="U2218" s="26">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Builder'!$B$12="",N($S2218)&lt;='Assignment Builder'!$B$12)))</f>
        <v/>
      </c>
      <c r="V2218" s="23" t="n"/>
    </row>
    <row r="2219">
      <c r="A2219" s="23" t="n"/>
      <c r="B2219" s="23" t="n"/>
      <c r="C2219" s="24" t="n"/>
      <c r="D2219" s="15" t="n"/>
      <c r="E2219" s="23" t="n"/>
      <c r="F2219" s="15" t="n"/>
      <c r="G2219" s="23" t="n"/>
      <c r="H2219" s="25" t="n"/>
      <c r="I2219" s="15" t="n"/>
      <c r="J2219" s="26">
        <f>IF($A2219="","",LEN($C2219)-LEN(SUBSTITUTE($C2219,",",""))+1)</f>
        <v/>
      </c>
      <c r="K2219" s="26">
        <f>IF($A2219="","",SUMPRODUCT(--ISNUMBER(SEARCH('Category Dictionary'!$D$5:$D$135&amp;"",$C2219)),--('Category Dictionary'!$D$5:$D$135&lt;&gt;"")))</f>
        <v/>
      </c>
      <c r="L2219" s="27">
        <f>IF($A2219="","",TRIM(IF(ISERROR(FIND(",",$C2219)),$C2219,LEFT($C2219,FIND(",",$C2219)-1))))</f>
        <v/>
      </c>
      <c r="M2219" s="28">
        <f>IF($H2219="","",DATE(YEAR($H2219),MONTH($H2219),1))</f>
        <v/>
      </c>
      <c r="N2219" s="26">
        <f>IF($H2219="","",TODAY()-$H2219)</f>
        <v/>
      </c>
      <c r="O2219" s="15" t="n"/>
      <c r="P2219" s="26">
        <f>IF($A2219="","",COUNTIFS('Audit Versions'!$A$6:$A$605,$A2219,'Audit Versions'!$L$6:$L$605,"Active"))</f>
        <v/>
      </c>
      <c r="Q2219" s="15" t="n"/>
      <c r="R2219" s="26">
        <f>IF(OR($A2219="",$P2219=0),"",MOD(N($Q2219),$P2219)+1)</f>
        <v/>
      </c>
      <c r="S2219" s="15" t="n"/>
      <c r="T2219" s="25" t="n"/>
      <c r="U2219" s="26">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Builder'!$B$12="",N($S2219)&lt;='Assignment Builder'!$B$12)))</f>
        <v/>
      </c>
      <c r="V2219" s="23" t="n"/>
    </row>
    <row r="2220">
      <c r="A2220" s="23" t="n"/>
      <c r="B2220" s="23" t="n"/>
      <c r="C2220" s="24" t="n"/>
      <c r="D2220" s="15" t="n"/>
      <c r="E2220" s="23" t="n"/>
      <c r="F2220" s="15" t="n"/>
      <c r="G2220" s="23" t="n"/>
      <c r="H2220" s="25" t="n"/>
      <c r="I2220" s="15" t="n"/>
      <c r="J2220" s="26">
        <f>IF($A2220="","",LEN($C2220)-LEN(SUBSTITUTE($C2220,",",""))+1)</f>
        <v/>
      </c>
      <c r="K2220" s="26">
        <f>IF($A2220="","",SUMPRODUCT(--ISNUMBER(SEARCH('Category Dictionary'!$D$5:$D$135&amp;"",$C2220)),--('Category Dictionary'!$D$5:$D$135&lt;&gt;"")))</f>
        <v/>
      </c>
      <c r="L2220" s="27">
        <f>IF($A2220="","",TRIM(IF(ISERROR(FIND(",",$C2220)),$C2220,LEFT($C2220,FIND(",",$C2220)-1))))</f>
        <v/>
      </c>
      <c r="M2220" s="28">
        <f>IF($H2220="","",DATE(YEAR($H2220),MONTH($H2220),1))</f>
        <v/>
      </c>
      <c r="N2220" s="26">
        <f>IF($H2220="","",TODAY()-$H2220)</f>
        <v/>
      </c>
      <c r="O2220" s="15" t="n"/>
      <c r="P2220" s="26">
        <f>IF($A2220="","",COUNTIFS('Audit Versions'!$A$6:$A$605,$A2220,'Audit Versions'!$L$6:$L$605,"Active"))</f>
        <v/>
      </c>
      <c r="Q2220" s="15" t="n"/>
      <c r="R2220" s="26">
        <f>IF(OR($A2220="",$P2220=0),"",MOD(N($Q2220),$P2220)+1)</f>
        <v/>
      </c>
      <c r="S2220" s="15" t="n"/>
      <c r="T2220" s="25" t="n"/>
      <c r="U2220" s="26">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Builder'!$B$12="",N($S2220)&lt;='Assignment Builder'!$B$12)))</f>
        <v/>
      </c>
      <c r="V2220" s="23" t="n"/>
    </row>
    <row r="2221">
      <c r="A2221" s="23" t="n"/>
      <c r="B2221" s="23" t="n"/>
      <c r="C2221" s="24" t="n"/>
      <c r="D2221" s="15" t="n"/>
      <c r="E2221" s="23" t="n"/>
      <c r="F2221" s="15" t="n"/>
      <c r="G2221" s="23" t="n"/>
      <c r="H2221" s="25" t="n"/>
      <c r="I2221" s="15" t="n"/>
      <c r="J2221" s="26">
        <f>IF($A2221="","",LEN($C2221)-LEN(SUBSTITUTE($C2221,",",""))+1)</f>
        <v/>
      </c>
      <c r="K2221" s="26">
        <f>IF($A2221="","",SUMPRODUCT(--ISNUMBER(SEARCH('Category Dictionary'!$D$5:$D$135&amp;"",$C2221)),--('Category Dictionary'!$D$5:$D$135&lt;&gt;"")))</f>
        <v/>
      </c>
      <c r="L2221" s="27">
        <f>IF($A2221="","",TRIM(IF(ISERROR(FIND(",",$C2221)),$C2221,LEFT($C2221,FIND(",",$C2221)-1))))</f>
        <v/>
      </c>
      <c r="M2221" s="28">
        <f>IF($H2221="","",DATE(YEAR($H2221),MONTH($H2221),1))</f>
        <v/>
      </c>
      <c r="N2221" s="26">
        <f>IF($H2221="","",TODAY()-$H2221)</f>
        <v/>
      </c>
      <c r="O2221" s="15" t="n"/>
      <c r="P2221" s="26">
        <f>IF($A2221="","",COUNTIFS('Audit Versions'!$A$6:$A$605,$A2221,'Audit Versions'!$L$6:$L$605,"Active"))</f>
        <v/>
      </c>
      <c r="Q2221" s="15" t="n"/>
      <c r="R2221" s="26">
        <f>IF(OR($A2221="",$P2221=0),"",MOD(N($Q2221),$P2221)+1)</f>
        <v/>
      </c>
      <c r="S2221" s="15" t="n"/>
      <c r="T2221" s="25" t="n"/>
      <c r="U2221" s="26">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Builder'!$B$12="",N($S2221)&lt;='Assignment Builder'!$B$12)))</f>
        <v/>
      </c>
      <c r="V2221" s="23" t="n"/>
    </row>
    <row r="2222">
      <c r="A2222" s="23" t="n"/>
      <c r="B2222" s="23" t="n"/>
      <c r="C2222" s="24" t="n"/>
      <c r="D2222" s="15" t="n"/>
      <c r="E2222" s="23" t="n"/>
      <c r="F2222" s="15" t="n"/>
      <c r="G2222" s="23" t="n"/>
      <c r="H2222" s="25" t="n"/>
      <c r="I2222" s="15" t="n"/>
      <c r="J2222" s="26">
        <f>IF($A2222="","",LEN($C2222)-LEN(SUBSTITUTE($C2222,",",""))+1)</f>
        <v/>
      </c>
      <c r="K2222" s="26">
        <f>IF($A2222="","",SUMPRODUCT(--ISNUMBER(SEARCH('Category Dictionary'!$D$5:$D$135&amp;"",$C2222)),--('Category Dictionary'!$D$5:$D$135&lt;&gt;"")))</f>
        <v/>
      </c>
      <c r="L2222" s="27">
        <f>IF($A2222="","",TRIM(IF(ISERROR(FIND(",",$C2222)),$C2222,LEFT($C2222,FIND(",",$C2222)-1))))</f>
        <v/>
      </c>
      <c r="M2222" s="28">
        <f>IF($H2222="","",DATE(YEAR($H2222),MONTH($H2222),1))</f>
        <v/>
      </c>
      <c r="N2222" s="26">
        <f>IF($H2222="","",TODAY()-$H2222)</f>
        <v/>
      </c>
      <c r="O2222" s="15" t="n"/>
      <c r="P2222" s="26">
        <f>IF($A2222="","",COUNTIFS('Audit Versions'!$A$6:$A$605,$A2222,'Audit Versions'!$L$6:$L$605,"Active"))</f>
        <v/>
      </c>
      <c r="Q2222" s="15" t="n"/>
      <c r="R2222" s="26">
        <f>IF(OR($A2222="",$P2222=0),"",MOD(N($Q2222),$P2222)+1)</f>
        <v/>
      </c>
      <c r="S2222" s="15" t="n"/>
      <c r="T2222" s="25" t="n"/>
      <c r="U2222" s="26">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Builder'!$B$12="",N($S2222)&lt;='Assignment Builder'!$B$12)))</f>
        <v/>
      </c>
      <c r="V2222" s="23" t="n"/>
    </row>
    <row r="2223">
      <c r="A2223" s="23" t="n"/>
      <c r="B2223" s="23" t="n"/>
      <c r="C2223" s="24" t="n"/>
      <c r="D2223" s="15" t="n"/>
      <c r="E2223" s="23" t="n"/>
      <c r="F2223" s="15" t="n"/>
      <c r="G2223" s="23" t="n"/>
      <c r="H2223" s="25" t="n"/>
      <c r="I2223" s="15" t="n"/>
      <c r="J2223" s="26">
        <f>IF($A2223="","",LEN($C2223)-LEN(SUBSTITUTE($C2223,",",""))+1)</f>
        <v/>
      </c>
      <c r="K2223" s="26">
        <f>IF($A2223="","",SUMPRODUCT(--ISNUMBER(SEARCH('Category Dictionary'!$D$5:$D$135&amp;"",$C2223)),--('Category Dictionary'!$D$5:$D$135&lt;&gt;"")))</f>
        <v/>
      </c>
      <c r="L2223" s="27">
        <f>IF($A2223="","",TRIM(IF(ISERROR(FIND(",",$C2223)),$C2223,LEFT($C2223,FIND(",",$C2223)-1))))</f>
        <v/>
      </c>
      <c r="M2223" s="28">
        <f>IF($H2223="","",DATE(YEAR($H2223),MONTH($H2223),1))</f>
        <v/>
      </c>
      <c r="N2223" s="26">
        <f>IF($H2223="","",TODAY()-$H2223)</f>
        <v/>
      </c>
      <c r="O2223" s="15" t="n"/>
      <c r="P2223" s="26">
        <f>IF($A2223="","",COUNTIFS('Audit Versions'!$A$6:$A$605,$A2223,'Audit Versions'!$L$6:$L$605,"Active"))</f>
        <v/>
      </c>
      <c r="Q2223" s="15" t="n"/>
      <c r="R2223" s="26">
        <f>IF(OR($A2223="",$P2223=0),"",MOD(N($Q2223),$P2223)+1)</f>
        <v/>
      </c>
      <c r="S2223" s="15" t="n"/>
      <c r="T2223" s="25" t="n"/>
      <c r="U2223" s="26">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Builder'!$B$12="",N($S2223)&lt;='Assignment Builder'!$B$12)))</f>
        <v/>
      </c>
      <c r="V2223" s="23" t="n"/>
    </row>
    <row r="2224">
      <c r="A2224" s="23" t="n"/>
      <c r="B2224" s="23" t="n"/>
      <c r="C2224" s="24" t="n"/>
      <c r="D2224" s="15" t="n"/>
      <c r="E2224" s="23" t="n"/>
      <c r="F2224" s="15" t="n"/>
      <c r="G2224" s="23" t="n"/>
      <c r="H2224" s="25" t="n"/>
      <c r="I2224" s="15" t="n"/>
      <c r="J2224" s="26">
        <f>IF($A2224="","",LEN($C2224)-LEN(SUBSTITUTE($C2224,",",""))+1)</f>
        <v/>
      </c>
      <c r="K2224" s="26">
        <f>IF($A2224="","",SUMPRODUCT(--ISNUMBER(SEARCH('Category Dictionary'!$D$5:$D$135&amp;"",$C2224)),--('Category Dictionary'!$D$5:$D$135&lt;&gt;"")))</f>
        <v/>
      </c>
      <c r="L2224" s="27">
        <f>IF($A2224="","",TRIM(IF(ISERROR(FIND(",",$C2224)),$C2224,LEFT($C2224,FIND(",",$C2224)-1))))</f>
        <v/>
      </c>
      <c r="M2224" s="28">
        <f>IF($H2224="","",DATE(YEAR($H2224),MONTH($H2224),1))</f>
        <v/>
      </c>
      <c r="N2224" s="26">
        <f>IF($H2224="","",TODAY()-$H2224)</f>
        <v/>
      </c>
      <c r="O2224" s="15" t="n"/>
      <c r="P2224" s="26">
        <f>IF($A2224="","",COUNTIFS('Audit Versions'!$A$6:$A$605,$A2224,'Audit Versions'!$L$6:$L$605,"Active"))</f>
        <v/>
      </c>
      <c r="Q2224" s="15" t="n"/>
      <c r="R2224" s="26">
        <f>IF(OR($A2224="",$P2224=0),"",MOD(N($Q2224),$P2224)+1)</f>
        <v/>
      </c>
      <c r="S2224" s="15" t="n"/>
      <c r="T2224" s="25" t="n"/>
      <c r="U2224" s="26">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Builder'!$B$12="",N($S2224)&lt;='Assignment Builder'!$B$12)))</f>
        <v/>
      </c>
      <c r="V2224" s="23" t="n"/>
    </row>
    <row r="2225">
      <c r="A2225" s="23" t="n"/>
      <c r="B2225" s="23" t="n"/>
      <c r="C2225" s="24" t="n"/>
      <c r="D2225" s="15" t="n"/>
      <c r="E2225" s="23" t="n"/>
      <c r="F2225" s="15" t="n"/>
      <c r="G2225" s="23" t="n"/>
      <c r="H2225" s="25" t="n"/>
      <c r="I2225" s="15" t="n"/>
      <c r="J2225" s="26">
        <f>IF($A2225="","",LEN($C2225)-LEN(SUBSTITUTE($C2225,",",""))+1)</f>
        <v/>
      </c>
      <c r="K2225" s="26">
        <f>IF($A2225="","",SUMPRODUCT(--ISNUMBER(SEARCH('Category Dictionary'!$D$5:$D$135&amp;"",$C2225)),--('Category Dictionary'!$D$5:$D$135&lt;&gt;"")))</f>
        <v/>
      </c>
      <c r="L2225" s="27">
        <f>IF($A2225="","",TRIM(IF(ISERROR(FIND(",",$C2225)),$C2225,LEFT($C2225,FIND(",",$C2225)-1))))</f>
        <v/>
      </c>
      <c r="M2225" s="28">
        <f>IF($H2225="","",DATE(YEAR($H2225),MONTH($H2225),1))</f>
        <v/>
      </c>
      <c r="N2225" s="26">
        <f>IF($H2225="","",TODAY()-$H2225)</f>
        <v/>
      </c>
      <c r="O2225" s="15" t="n"/>
      <c r="P2225" s="26">
        <f>IF($A2225="","",COUNTIFS('Audit Versions'!$A$6:$A$605,$A2225,'Audit Versions'!$L$6:$L$605,"Active"))</f>
        <v/>
      </c>
      <c r="Q2225" s="15" t="n"/>
      <c r="R2225" s="26">
        <f>IF(OR($A2225="",$P2225=0),"",MOD(N($Q2225),$P2225)+1)</f>
        <v/>
      </c>
      <c r="S2225" s="15" t="n"/>
      <c r="T2225" s="25" t="n"/>
      <c r="U2225" s="26">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Builder'!$B$12="",N($S2225)&lt;='Assignment Builder'!$B$12)))</f>
        <v/>
      </c>
      <c r="V2225" s="23" t="n"/>
    </row>
    <row r="2226">
      <c r="A2226" s="23" t="n"/>
      <c r="B2226" s="23" t="n"/>
      <c r="C2226" s="24" t="n"/>
      <c r="D2226" s="15" t="n"/>
      <c r="E2226" s="23" t="n"/>
      <c r="F2226" s="15" t="n"/>
      <c r="G2226" s="23" t="n"/>
      <c r="H2226" s="25" t="n"/>
      <c r="I2226" s="15" t="n"/>
      <c r="J2226" s="26">
        <f>IF($A2226="","",LEN($C2226)-LEN(SUBSTITUTE($C2226,",",""))+1)</f>
        <v/>
      </c>
      <c r="K2226" s="26">
        <f>IF($A2226="","",SUMPRODUCT(--ISNUMBER(SEARCH('Category Dictionary'!$D$5:$D$135&amp;"",$C2226)),--('Category Dictionary'!$D$5:$D$135&lt;&gt;"")))</f>
        <v/>
      </c>
      <c r="L2226" s="27">
        <f>IF($A2226="","",TRIM(IF(ISERROR(FIND(",",$C2226)),$C2226,LEFT($C2226,FIND(",",$C2226)-1))))</f>
        <v/>
      </c>
      <c r="M2226" s="28">
        <f>IF($H2226="","",DATE(YEAR($H2226),MONTH($H2226),1))</f>
        <v/>
      </c>
      <c r="N2226" s="26">
        <f>IF($H2226="","",TODAY()-$H2226)</f>
        <v/>
      </c>
      <c r="O2226" s="15" t="n"/>
      <c r="P2226" s="26">
        <f>IF($A2226="","",COUNTIFS('Audit Versions'!$A$6:$A$605,$A2226,'Audit Versions'!$L$6:$L$605,"Active"))</f>
        <v/>
      </c>
      <c r="Q2226" s="15" t="n"/>
      <c r="R2226" s="26">
        <f>IF(OR($A2226="",$P2226=0),"",MOD(N($Q2226),$P2226)+1)</f>
        <v/>
      </c>
      <c r="S2226" s="15" t="n"/>
      <c r="T2226" s="25" t="n"/>
      <c r="U2226" s="26">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Builder'!$B$12="",N($S2226)&lt;='Assignment Builder'!$B$12)))</f>
        <v/>
      </c>
      <c r="V2226" s="23" t="n"/>
    </row>
    <row r="2227">
      <c r="A2227" s="23" t="n"/>
      <c r="B2227" s="23" t="n"/>
      <c r="C2227" s="24" t="n"/>
      <c r="D2227" s="15" t="n"/>
      <c r="E2227" s="23" t="n"/>
      <c r="F2227" s="15" t="n"/>
      <c r="G2227" s="23" t="n"/>
      <c r="H2227" s="25" t="n"/>
      <c r="I2227" s="15" t="n"/>
      <c r="J2227" s="26">
        <f>IF($A2227="","",LEN($C2227)-LEN(SUBSTITUTE($C2227,",",""))+1)</f>
        <v/>
      </c>
      <c r="K2227" s="26">
        <f>IF($A2227="","",SUMPRODUCT(--ISNUMBER(SEARCH('Category Dictionary'!$D$5:$D$135&amp;"",$C2227)),--('Category Dictionary'!$D$5:$D$135&lt;&gt;"")))</f>
        <v/>
      </c>
      <c r="L2227" s="27">
        <f>IF($A2227="","",TRIM(IF(ISERROR(FIND(",",$C2227)),$C2227,LEFT($C2227,FIND(",",$C2227)-1))))</f>
        <v/>
      </c>
      <c r="M2227" s="28">
        <f>IF($H2227="","",DATE(YEAR($H2227),MONTH($H2227),1))</f>
        <v/>
      </c>
      <c r="N2227" s="26">
        <f>IF($H2227="","",TODAY()-$H2227)</f>
        <v/>
      </c>
      <c r="O2227" s="15" t="n"/>
      <c r="P2227" s="26">
        <f>IF($A2227="","",COUNTIFS('Audit Versions'!$A$6:$A$605,$A2227,'Audit Versions'!$L$6:$L$605,"Active"))</f>
        <v/>
      </c>
      <c r="Q2227" s="15" t="n"/>
      <c r="R2227" s="26">
        <f>IF(OR($A2227="",$P2227=0),"",MOD(N($Q2227),$P2227)+1)</f>
        <v/>
      </c>
      <c r="S2227" s="15" t="n"/>
      <c r="T2227" s="25" t="n"/>
      <c r="U2227" s="26">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Builder'!$B$12="",N($S2227)&lt;='Assignment Builder'!$B$12)))</f>
        <v/>
      </c>
      <c r="V2227" s="23" t="n"/>
    </row>
    <row r="2228">
      <c r="A2228" s="23" t="n"/>
      <c r="B2228" s="23" t="n"/>
      <c r="C2228" s="24" t="n"/>
      <c r="D2228" s="15" t="n"/>
      <c r="E2228" s="23" t="n"/>
      <c r="F2228" s="15" t="n"/>
      <c r="G2228" s="23" t="n"/>
      <c r="H2228" s="25" t="n"/>
      <c r="I2228" s="15" t="n"/>
      <c r="J2228" s="26">
        <f>IF($A2228="","",LEN($C2228)-LEN(SUBSTITUTE($C2228,",",""))+1)</f>
        <v/>
      </c>
      <c r="K2228" s="26">
        <f>IF($A2228="","",SUMPRODUCT(--ISNUMBER(SEARCH('Category Dictionary'!$D$5:$D$135&amp;"",$C2228)),--('Category Dictionary'!$D$5:$D$135&lt;&gt;"")))</f>
        <v/>
      </c>
      <c r="L2228" s="27">
        <f>IF($A2228="","",TRIM(IF(ISERROR(FIND(",",$C2228)),$C2228,LEFT($C2228,FIND(",",$C2228)-1))))</f>
        <v/>
      </c>
      <c r="M2228" s="28">
        <f>IF($H2228="","",DATE(YEAR($H2228),MONTH($H2228),1))</f>
        <v/>
      </c>
      <c r="N2228" s="26">
        <f>IF($H2228="","",TODAY()-$H2228)</f>
        <v/>
      </c>
      <c r="O2228" s="15" t="n"/>
      <c r="P2228" s="26">
        <f>IF($A2228="","",COUNTIFS('Audit Versions'!$A$6:$A$605,$A2228,'Audit Versions'!$L$6:$L$605,"Active"))</f>
        <v/>
      </c>
      <c r="Q2228" s="15" t="n"/>
      <c r="R2228" s="26">
        <f>IF(OR($A2228="",$P2228=0),"",MOD(N($Q2228),$P2228)+1)</f>
        <v/>
      </c>
      <c r="S2228" s="15" t="n"/>
      <c r="T2228" s="25" t="n"/>
      <c r="U2228" s="26">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Builder'!$B$12="",N($S2228)&lt;='Assignment Builder'!$B$12)))</f>
        <v/>
      </c>
      <c r="V2228" s="23" t="n"/>
    </row>
    <row r="2229">
      <c r="A2229" s="23" t="n"/>
      <c r="B2229" s="23" t="n"/>
      <c r="C2229" s="24" t="n"/>
      <c r="D2229" s="15" t="n"/>
      <c r="E2229" s="23" t="n"/>
      <c r="F2229" s="15" t="n"/>
      <c r="G2229" s="23" t="n"/>
      <c r="H2229" s="25" t="n"/>
      <c r="I2229" s="15" t="n"/>
      <c r="J2229" s="26">
        <f>IF($A2229="","",LEN($C2229)-LEN(SUBSTITUTE($C2229,",",""))+1)</f>
        <v/>
      </c>
      <c r="K2229" s="26">
        <f>IF($A2229="","",SUMPRODUCT(--ISNUMBER(SEARCH('Category Dictionary'!$D$5:$D$135&amp;"",$C2229)),--('Category Dictionary'!$D$5:$D$135&lt;&gt;"")))</f>
        <v/>
      </c>
      <c r="L2229" s="27">
        <f>IF($A2229="","",TRIM(IF(ISERROR(FIND(",",$C2229)),$C2229,LEFT($C2229,FIND(",",$C2229)-1))))</f>
        <v/>
      </c>
      <c r="M2229" s="28">
        <f>IF($H2229="","",DATE(YEAR($H2229),MONTH($H2229),1))</f>
        <v/>
      </c>
      <c r="N2229" s="26">
        <f>IF($H2229="","",TODAY()-$H2229)</f>
        <v/>
      </c>
      <c r="O2229" s="15" t="n"/>
      <c r="P2229" s="26">
        <f>IF($A2229="","",COUNTIFS('Audit Versions'!$A$6:$A$605,$A2229,'Audit Versions'!$L$6:$L$605,"Active"))</f>
        <v/>
      </c>
      <c r="Q2229" s="15" t="n"/>
      <c r="R2229" s="26">
        <f>IF(OR($A2229="",$P2229=0),"",MOD(N($Q2229),$P2229)+1)</f>
        <v/>
      </c>
      <c r="S2229" s="15" t="n"/>
      <c r="T2229" s="25" t="n"/>
      <c r="U2229" s="26">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Builder'!$B$12="",N($S2229)&lt;='Assignment Builder'!$B$12)))</f>
        <v/>
      </c>
      <c r="V2229" s="23" t="n"/>
    </row>
    <row r="2230">
      <c r="A2230" s="23" t="n"/>
      <c r="B2230" s="23" t="n"/>
      <c r="C2230" s="24" t="n"/>
      <c r="D2230" s="15" t="n"/>
      <c r="E2230" s="23" t="n"/>
      <c r="F2230" s="15" t="n"/>
      <c r="G2230" s="23" t="n"/>
      <c r="H2230" s="25" t="n"/>
      <c r="I2230" s="15" t="n"/>
      <c r="J2230" s="26">
        <f>IF($A2230="","",LEN($C2230)-LEN(SUBSTITUTE($C2230,",",""))+1)</f>
        <v/>
      </c>
      <c r="K2230" s="26">
        <f>IF($A2230="","",SUMPRODUCT(--ISNUMBER(SEARCH('Category Dictionary'!$D$5:$D$135&amp;"",$C2230)),--('Category Dictionary'!$D$5:$D$135&lt;&gt;"")))</f>
        <v/>
      </c>
      <c r="L2230" s="27">
        <f>IF($A2230="","",TRIM(IF(ISERROR(FIND(",",$C2230)),$C2230,LEFT($C2230,FIND(",",$C2230)-1))))</f>
        <v/>
      </c>
      <c r="M2230" s="28">
        <f>IF($H2230="","",DATE(YEAR($H2230),MONTH($H2230),1))</f>
        <v/>
      </c>
      <c r="N2230" s="26">
        <f>IF($H2230="","",TODAY()-$H2230)</f>
        <v/>
      </c>
      <c r="O2230" s="15" t="n"/>
      <c r="P2230" s="26">
        <f>IF($A2230="","",COUNTIFS('Audit Versions'!$A$6:$A$605,$A2230,'Audit Versions'!$L$6:$L$605,"Active"))</f>
        <v/>
      </c>
      <c r="Q2230" s="15" t="n"/>
      <c r="R2230" s="26">
        <f>IF(OR($A2230="",$P2230=0),"",MOD(N($Q2230),$P2230)+1)</f>
        <v/>
      </c>
      <c r="S2230" s="15" t="n"/>
      <c r="T2230" s="25" t="n"/>
      <c r="U2230" s="26">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Builder'!$B$12="",N($S2230)&lt;='Assignment Builder'!$B$12)))</f>
        <v/>
      </c>
      <c r="V2230" s="23" t="n"/>
    </row>
    <row r="2231">
      <c r="A2231" s="23" t="n"/>
      <c r="B2231" s="23" t="n"/>
      <c r="C2231" s="24" t="n"/>
      <c r="D2231" s="15" t="n"/>
      <c r="E2231" s="23" t="n"/>
      <c r="F2231" s="15" t="n"/>
      <c r="G2231" s="23" t="n"/>
      <c r="H2231" s="25" t="n"/>
      <c r="I2231" s="15" t="n"/>
      <c r="J2231" s="26">
        <f>IF($A2231="","",LEN($C2231)-LEN(SUBSTITUTE($C2231,",",""))+1)</f>
        <v/>
      </c>
      <c r="K2231" s="26">
        <f>IF($A2231="","",SUMPRODUCT(--ISNUMBER(SEARCH('Category Dictionary'!$D$5:$D$135&amp;"",$C2231)),--('Category Dictionary'!$D$5:$D$135&lt;&gt;"")))</f>
        <v/>
      </c>
      <c r="L2231" s="27">
        <f>IF($A2231="","",TRIM(IF(ISERROR(FIND(",",$C2231)),$C2231,LEFT($C2231,FIND(",",$C2231)-1))))</f>
        <v/>
      </c>
      <c r="M2231" s="28">
        <f>IF($H2231="","",DATE(YEAR($H2231),MONTH($H2231),1))</f>
        <v/>
      </c>
      <c r="N2231" s="26">
        <f>IF($H2231="","",TODAY()-$H2231)</f>
        <v/>
      </c>
      <c r="O2231" s="15" t="n"/>
      <c r="P2231" s="26">
        <f>IF($A2231="","",COUNTIFS('Audit Versions'!$A$6:$A$605,$A2231,'Audit Versions'!$L$6:$L$605,"Active"))</f>
        <v/>
      </c>
      <c r="Q2231" s="15" t="n"/>
      <c r="R2231" s="26">
        <f>IF(OR($A2231="",$P2231=0),"",MOD(N($Q2231),$P2231)+1)</f>
        <v/>
      </c>
      <c r="S2231" s="15" t="n"/>
      <c r="T2231" s="25" t="n"/>
      <c r="U2231" s="26">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Builder'!$B$12="",N($S2231)&lt;='Assignment Builder'!$B$12)))</f>
        <v/>
      </c>
      <c r="V2231" s="23" t="n"/>
    </row>
    <row r="2232">
      <c r="A2232" s="23" t="n"/>
      <c r="B2232" s="23" t="n"/>
      <c r="C2232" s="24" t="n"/>
      <c r="D2232" s="15" t="n"/>
      <c r="E2232" s="23" t="n"/>
      <c r="F2232" s="15" t="n"/>
      <c r="G2232" s="23" t="n"/>
      <c r="H2232" s="25" t="n"/>
      <c r="I2232" s="15" t="n"/>
      <c r="J2232" s="26">
        <f>IF($A2232="","",LEN($C2232)-LEN(SUBSTITUTE($C2232,",",""))+1)</f>
        <v/>
      </c>
      <c r="K2232" s="26">
        <f>IF($A2232="","",SUMPRODUCT(--ISNUMBER(SEARCH('Category Dictionary'!$D$5:$D$135&amp;"",$C2232)),--('Category Dictionary'!$D$5:$D$135&lt;&gt;"")))</f>
        <v/>
      </c>
      <c r="L2232" s="27">
        <f>IF($A2232="","",TRIM(IF(ISERROR(FIND(",",$C2232)),$C2232,LEFT($C2232,FIND(",",$C2232)-1))))</f>
        <v/>
      </c>
      <c r="M2232" s="28">
        <f>IF($H2232="","",DATE(YEAR($H2232),MONTH($H2232),1))</f>
        <v/>
      </c>
      <c r="N2232" s="26">
        <f>IF($H2232="","",TODAY()-$H2232)</f>
        <v/>
      </c>
      <c r="O2232" s="15" t="n"/>
      <c r="P2232" s="26">
        <f>IF($A2232="","",COUNTIFS('Audit Versions'!$A$6:$A$605,$A2232,'Audit Versions'!$L$6:$L$605,"Active"))</f>
        <v/>
      </c>
      <c r="Q2232" s="15" t="n"/>
      <c r="R2232" s="26">
        <f>IF(OR($A2232="",$P2232=0),"",MOD(N($Q2232),$P2232)+1)</f>
        <v/>
      </c>
      <c r="S2232" s="15" t="n"/>
      <c r="T2232" s="25" t="n"/>
      <c r="U2232" s="26">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Builder'!$B$12="",N($S2232)&lt;='Assignment Builder'!$B$12)))</f>
        <v/>
      </c>
      <c r="V2232" s="23" t="n"/>
    </row>
    <row r="2233">
      <c r="A2233" s="23" t="n"/>
      <c r="B2233" s="23" t="n"/>
      <c r="C2233" s="24" t="n"/>
      <c r="D2233" s="15" t="n"/>
      <c r="E2233" s="23" t="n"/>
      <c r="F2233" s="15" t="n"/>
      <c r="G2233" s="23" t="n"/>
      <c r="H2233" s="25" t="n"/>
      <c r="I2233" s="15" t="n"/>
      <c r="J2233" s="26">
        <f>IF($A2233="","",LEN($C2233)-LEN(SUBSTITUTE($C2233,",",""))+1)</f>
        <v/>
      </c>
      <c r="K2233" s="26">
        <f>IF($A2233="","",SUMPRODUCT(--ISNUMBER(SEARCH('Category Dictionary'!$D$5:$D$135&amp;"",$C2233)),--('Category Dictionary'!$D$5:$D$135&lt;&gt;"")))</f>
        <v/>
      </c>
      <c r="L2233" s="27">
        <f>IF($A2233="","",TRIM(IF(ISERROR(FIND(",",$C2233)),$C2233,LEFT($C2233,FIND(",",$C2233)-1))))</f>
        <v/>
      </c>
      <c r="M2233" s="28">
        <f>IF($H2233="","",DATE(YEAR($H2233),MONTH($H2233),1))</f>
        <v/>
      </c>
      <c r="N2233" s="26">
        <f>IF($H2233="","",TODAY()-$H2233)</f>
        <v/>
      </c>
      <c r="O2233" s="15" t="n"/>
      <c r="P2233" s="26">
        <f>IF($A2233="","",COUNTIFS('Audit Versions'!$A$6:$A$605,$A2233,'Audit Versions'!$L$6:$L$605,"Active"))</f>
        <v/>
      </c>
      <c r="Q2233" s="15" t="n"/>
      <c r="R2233" s="26">
        <f>IF(OR($A2233="",$P2233=0),"",MOD(N($Q2233),$P2233)+1)</f>
        <v/>
      </c>
      <c r="S2233" s="15" t="n"/>
      <c r="T2233" s="25" t="n"/>
      <c r="U2233" s="26">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Builder'!$B$12="",N($S2233)&lt;='Assignment Builder'!$B$12)))</f>
        <v/>
      </c>
      <c r="V2233" s="23" t="n"/>
    </row>
    <row r="2234">
      <c r="A2234" s="23" t="n"/>
      <c r="B2234" s="23" t="n"/>
      <c r="C2234" s="24" t="n"/>
      <c r="D2234" s="15" t="n"/>
      <c r="E2234" s="23" t="n"/>
      <c r="F2234" s="15" t="n"/>
      <c r="G2234" s="23" t="n"/>
      <c r="H2234" s="25" t="n"/>
      <c r="I2234" s="15" t="n"/>
      <c r="J2234" s="26">
        <f>IF($A2234="","",LEN($C2234)-LEN(SUBSTITUTE($C2234,",",""))+1)</f>
        <v/>
      </c>
      <c r="K2234" s="26">
        <f>IF($A2234="","",SUMPRODUCT(--ISNUMBER(SEARCH('Category Dictionary'!$D$5:$D$135&amp;"",$C2234)),--('Category Dictionary'!$D$5:$D$135&lt;&gt;"")))</f>
        <v/>
      </c>
      <c r="L2234" s="27">
        <f>IF($A2234="","",TRIM(IF(ISERROR(FIND(",",$C2234)),$C2234,LEFT($C2234,FIND(",",$C2234)-1))))</f>
        <v/>
      </c>
      <c r="M2234" s="28">
        <f>IF($H2234="","",DATE(YEAR($H2234),MONTH($H2234),1))</f>
        <v/>
      </c>
      <c r="N2234" s="26">
        <f>IF($H2234="","",TODAY()-$H2234)</f>
        <v/>
      </c>
      <c r="O2234" s="15" t="n"/>
      <c r="P2234" s="26">
        <f>IF($A2234="","",COUNTIFS('Audit Versions'!$A$6:$A$605,$A2234,'Audit Versions'!$L$6:$L$605,"Active"))</f>
        <v/>
      </c>
      <c r="Q2234" s="15" t="n"/>
      <c r="R2234" s="26">
        <f>IF(OR($A2234="",$P2234=0),"",MOD(N($Q2234),$P2234)+1)</f>
        <v/>
      </c>
      <c r="S2234" s="15" t="n"/>
      <c r="T2234" s="25" t="n"/>
      <c r="U2234" s="26">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Builder'!$B$12="",N($S2234)&lt;='Assignment Builder'!$B$12)))</f>
        <v/>
      </c>
      <c r="V2234" s="23" t="n"/>
    </row>
    <row r="2235">
      <c r="A2235" s="23" t="n"/>
      <c r="B2235" s="23" t="n"/>
      <c r="C2235" s="24" t="n"/>
      <c r="D2235" s="15" t="n"/>
      <c r="E2235" s="23" t="n"/>
      <c r="F2235" s="15" t="n"/>
      <c r="G2235" s="23" t="n"/>
      <c r="H2235" s="25" t="n"/>
      <c r="I2235" s="15" t="n"/>
      <c r="J2235" s="26">
        <f>IF($A2235="","",LEN($C2235)-LEN(SUBSTITUTE($C2235,",",""))+1)</f>
        <v/>
      </c>
      <c r="K2235" s="26">
        <f>IF($A2235="","",SUMPRODUCT(--ISNUMBER(SEARCH('Category Dictionary'!$D$5:$D$135&amp;"",$C2235)),--('Category Dictionary'!$D$5:$D$135&lt;&gt;"")))</f>
        <v/>
      </c>
      <c r="L2235" s="27">
        <f>IF($A2235="","",TRIM(IF(ISERROR(FIND(",",$C2235)),$C2235,LEFT($C2235,FIND(",",$C2235)-1))))</f>
        <v/>
      </c>
      <c r="M2235" s="28">
        <f>IF($H2235="","",DATE(YEAR($H2235),MONTH($H2235),1))</f>
        <v/>
      </c>
      <c r="N2235" s="26">
        <f>IF($H2235="","",TODAY()-$H2235)</f>
        <v/>
      </c>
      <c r="O2235" s="15" t="n"/>
      <c r="P2235" s="26">
        <f>IF($A2235="","",COUNTIFS('Audit Versions'!$A$6:$A$605,$A2235,'Audit Versions'!$L$6:$L$605,"Active"))</f>
        <v/>
      </c>
      <c r="Q2235" s="15" t="n"/>
      <c r="R2235" s="26">
        <f>IF(OR($A2235="",$P2235=0),"",MOD(N($Q2235),$P2235)+1)</f>
        <v/>
      </c>
      <c r="S2235" s="15" t="n"/>
      <c r="T2235" s="25" t="n"/>
      <c r="U2235" s="26">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Builder'!$B$12="",N($S2235)&lt;='Assignment Builder'!$B$12)))</f>
        <v/>
      </c>
      <c r="V2235" s="23" t="n"/>
    </row>
    <row r="2236">
      <c r="A2236" s="23" t="n"/>
      <c r="B2236" s="23" t="n"/>
      <c r="C2236" s="24" t="n"/>
      <c r="D2236" s="15" t="n"/>
      <c r="E2236" s="23" t="n"/>
      <c r="F2236" s="15" t="n"/>
      <c r="G2236" s="23" t="n"/>
      <c r="H2236" s="25" t="n"/>
      <c r="I2236" s="15" t="n"/>
      <c r="J2236" s="26">
        <f>IF($A2236="","",LEN($C2236)-LEN(SUBSTITUTE($C2236,",",""))+1)</f>
        <v/>
      </c>
      <c r="K2236" s="26">
        <f>IF($A2236="","",SUMPRODUCT(--ISNUMBER(SEARCH('Category Dictionary'!$D$5:$D$135&amp;"",$C2236)),--('Category Dictionary'!$D$5:$D$135&lt;&gt;"")))</f>
        <v/>
      </c>
      <c r="L2236" s="27">
        <f>IF($A2236="","",TRIM(IF(ISERROR(FIND(",",$C2236)),$C2236,LEFT($C2236,FIND(",",$C2236)-1))))</f>
        <v/>
      </c>
      <c r="M2236" s="28">
        <f>IF($H2236="","",DATE(YEAR($H2236),MONTH($H2236),1))</f>
        <v/>
      </c>
      <c r="N2236" s="26">
        <f>IF($H2236="","",TODAY()-$H2236)</f>
        <v/>
      </c>
      <c r="O2236" s="15" t="n"/>
      <c r="P2236" s="26">
        <f>IF($A2236="","",COUNTIFS('Audit Versions'!$A$6:$A$605,$A2236,'Audit Versions'!$L$6:$L$605,"Active"))</f>
        <v/>
      </c>
      <c r="Q2236" s="15" t="n"/>
      <c r="R2236" s="26">
        <f>IF(OR($A2236="",$P2236=0),"",MOD(N($Q2236),$P2236)+1)</f>
        <v/>
      </c>
      <c r="S2236" s="15" t="n"/>
      <c r="T2236" s="25" t="n"/>
      <c r="U2236" s="26">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Builder'!$B$12="",N($S2236)&lt;='Assignment Builder'!$B$12)))</f>
        <v/>
      </c>
      <c r="V2236" s="23" t="n"/>
    </row>
    <row r="2237">
      <c r="A2237" s="23" t="n"/>
      <c r="B2237" s="23" t="n"/>
      <c r="C2237" s="24" t="n"/>
      <c r="D2237" s="15" t="n"/>
      <c r="E2237" s="23" t="n"/>
      <c r="F2237" s="15" t="n"/>
      <c r="G2237" s="23" t="n"/>
      <c r="H2237" s="25" t="n"/>
      <c r="I2237" s="15" t="n"/>
      <c r="J2237" s="26">
        <f>IF($A2237="","",LEN($C2237)-LEN(SUBSTITUTE($C2237,",",""))+1)</f>
        <v/>
      </c>
      <c r="K2237" s="26">
        <f>IF($A2237="","",SUMPRODUCT(--ISNUMBER(SEARCH('Category Dictionary'!$D$5:$D$135&amp;"",$C2237)),--('Category Dictionary'!$D$5:$D$135&lt;&gt;"")))</f>
        <v/>
      </c>
      <c r="L2237" s="27">
        <f>IF($A2237="","",TRIM(IF(ISERROR(FIND(",",$C2237)),$C2237,LEFT($C2237,FIND(",",$C2237)-1))))</f>
        <v/>
      </c>
      <c r="M2237" s="28">
        <f>IF($H2237="","",DATE(YEAR($H2237),MONTH($H2237),1))</f>
        <v/>
      </c>
      <c r="N2237" s="26">
        <f>IF($H2237="","",TODAY()-$H2237)</f>
        <v/>
      </c>
      <c r="O2237" s="15" t="n"/>
      <c r="P2237" s="26">
        <f>IF($A2237="","",COUNTIFS('Audit Versions'!$A$6:$A$605,$A2237,'Audit Versions'!$L$6:$L$605,"Active"))</f>
        <v/>
      </c>
      <c r="Q2237" s="15" t="n"/>
      <c r="R2237" s="26">
        <f>IF(OR($A2237="",$P2237=0),"",MOD(N($Q2237),$P2237)+1)</f>
        <v/>
      </c>
      <c r="S2237" s="15" t="n"/>
      <c r="T2237" s="25" t="n"/>
      <c r="U2237" s="26">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Builder'!$B$12="",N($S2237)&lt;='Assignment Builder'!$B$12)))</f>
        <v/>
      </c>
      <c r="V2237" s="23" t="n"/>
    </row>
    <row r="2238">
      <c r="A2238" s="23" t="n"/>
      <c r="B2238" s="23" t="n"/>
      <c r="C2238" s="24" t="n"/>
      <c r="D2238" s="15" t="n"/>
      <c r="E2238" s="23" t="n"/>
      <c r="F2238" s="15" t="n"/>
      <c r="G2238" s="23" t="n"/>
      <c r="H2238" s="25" t="n"/>
      <c r="I2238" s="15" t="n"/>
      <c r="J2238" s="26">
        <f>IF($A2238="","",LEN($C2238)-LEN(SUBSTITUTE($C2238,",",""))+1)</f>
        <v/>
      </c>
      <c r="K2238" s="26">
        <f>IF($A2238="","",SUMPRODUCT(--ISNUMBER(SEARCH('Category Dictionary'!$D$5:$D$135&amp;"",$C2238)),--('Category Dictionary'!$D$5:$D$135&lt;&gt;"")))</f>
        <v/>
      </c>
      <c r="L2238" s="27">
        <f>IF($A2238="","",TRIM(IF(ISERROR(FIND(",",$C2238)),$C2238,LEFT($C2238,FIND(",",$C2238)-1))))</f>
        <v/>
      </c>
      <c r="M2238" s="28">
        <f>IF($H2238="","",DATE(YEAR($H2238),MONTH($H2238),1))</f>
        <v/>
      </c>
      <c r="N2238" s="26">
        <f>IF($H2238="","",TODAY()-$H2238)</f>
        <v/>
      </c>
      <c r="O2238" s="15" t="n"/>
      <c r="P2238" s="26">
        <f>IF($A2238="","",COUNTIFS('Audit Versions'!$A$6:$A$605,$A2238,'Audit Versions'!$L$6:$L$605,"Active"))</f>
        <v/>
      </c>
      <c r="Q2238" s="15" t="n"/>
      <c r="R2238" s="26">
        <f>IF(OR($A2238="",$P2238=0),"",MOD(N($Q2238),$P2238)+1)</f>
        <v/>
      </c>
      <c r="S2238" s="15" t="n"/>
      <c r="T2238" s="25" t="n"/>
      <c r="U2238" s="26">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Builder'!$B$12="",N($S2238)&lt;='Assignment Builder'!$B$12)))</f>
        <v/>
      </c>
      <c r="V2238" s="23" t="n"/>
    </row>
    <row r="2239">
      <c r="A2239" s="23" t="n"/>
      <c r="B2239" s="23" t="n"/>
      <c r="C2239" s="24" t="n"/>
      <c r="D2239" s="15" t="n"/>
      <c r="E2239" s="23" t="n"/>
      <c r="F2239" s="15" t="n"/>
      <c r="G2239" s="23" t="n"/>
      <c r="H2239" s="25" t="n"/>
      <c r="I2239" s="15" t="n"/>
      <c r="J2239" s="26">
        <f>IF($A2239="","",LEN($C2239)-LEN(SUBSTITUTE($C2239,",",""))+1)</f>
        <v/>
      </c>
      <c r="K2239" s="26">
        <f>IF($A2239="","",SUMPRODUCT(--ISNUMBER(SEARCH('Category Dictionary'!$D$5:$D$135&amp;"",$C2239)),--('Category Dictionary'!$D$5:$D$135&lt;&gt;"")))</f>
        <v/>
      </c>
      <c r="L2239" s="27">
        <f>IF($A2239="","",TRIM(IF(ISERROR(FIND(",",$C2239)),$C2239,LEFT($C2239,FIND(",",$C2239)-1))))</f>
        <v/>
      </c>
      <c r="M2239" s="28">
        <f>IF($H2239="","",DATE(YEAR($H2239),MONTH($H2239),1))</f>
        <v/>
      </c>
      <c r="N2239" s="26">
        <f>IF($H2239="","",TODAY()-$H2239)</f>
        <v/>
      </c>
      <c r="O2239" s="15" t="n"/>
      <c r="P2239" s="26">
        <f>IF($A2239="","",COUNTIFS('Audit Versions'!$A$6:$A$605,$A2239,'Audit Versions'!$L$6:$L$605,"Active"))</f>
        <v/>
      </c>
      <c r="Q2239" s="15" t="n"/>
      <c r="R2239" s="26">
        <f>IF(OR($A2239="",$P2239=0),"",MOD(N($Q2239),$P2239)+1)</f>
        <v/>
      </c>
      <c r="S2239" s="15" t="n"/>
      <c r="T2239" s="25" t="n"/>
      <c r="U2239" s="26">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Builder'!$B$12="",N($S2239)&lt;='Assignment Builder'!$B$12)))</f>
        <v/>
      </c>
      <c r="V2239" s="23" t="n"/>
    </row>
    <row r="2240">
      <c r="A2240" s="23" t="n"/>
      <c r="B2240" s="23" t="n"/>
      <c r="C2240" s="24" t="n"/>
      <c r="D2240" s="15" t="n"/>
      <c r="E2240" s="23" t="n"/>
      <c r="F2240" s="15" t="n"/>
      <c r="G2240" s="23" t="n"/>
      <c r="H2240" s="25" t="n"/>
      <c r="I2240" s="15" t="n"/>
      <c r="J2240" s="26">
        <f>IF($A2240="","",LEN($C2240)-LEN(SUBSTITUTE($C2240,",",""))+1)</f>
        <v/>
      </c>
      <c r="K2240" s="26">
        <f>IF($A2240="","",SUMPRODUCT(--ISNUMBER(SEARCH('Category Dictionary'!$D$5:$D$135&amp;"",$C2240)),--('Category Dictionary'!$D$5:$D$135&lt;&gt;"")))</f>
        <v/>
      </c>
      <c r="L2240" s="27">
        <f>IF($A2240="","",TRIM(IF(ISERROR(FIND(",",$C2240)),$C2240,LEFT($C2240,FIND(",",$C2240)-1))))</f>
        <v/>
      </c>
      <c r="M2240" s="28">
        <f>IF($H2240="","",DATE(YEAR($H2240),MONTH($H2240),1))</f>
        <v/>
      </c>
      <c r="N2240" s="26">
        <f>IF($H2240="","",TODAY()-$H2240)</f>
        <v/>
      </c>
      <c r="O2240" s="15" t="n"/>
      <c r="P2240" s="26">
        <f>IF($A2240="","",COUNTIFS('Audit Versions'!$A$6:$A$605,$A2240,'Audit Versions'!$L$6:$L$605,"Active"))</f>
        <v/>
      </c>
      <c r="Q2240" s="15" t="n"/>
      <c r="R2240" s="26">
        <f>IF(OR($A2240="",$P2240=0),"",MOD(N($Q2240),$P2240)+1)</f>
        <v/>
      </c>
      <c r="S2240" s="15" t="n"/>
      <c r="T2240" s="25" t="n"/>
      <c r="U2240" s="26">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Builder'!$B$12="",N($S2240)&lt;='Assignment Builder'!$B$12)))</f>
        <v/>
      </c>
      <c r="V2240" s="23" t="n"/>
    </row>
    <row r="2241">
      <c r="A2241" s="23" t="n"/>
      <c r="B2241" s="23" t="n"/>
      <c r="C2241" s="24" t="n"/>
      <c r="D2241" s="15" t="n"/>
      <c r="E2241" s="23" t="n"/>
      <c r="F2241" s="15" t="n"/>
      <c r="G2241" s="23" t="n"/>
      <c r="H2241" s="25" t="n"/>
      <c r="I2241" s="15" t="n"/>
      <c r="J2241" s="26">
        <f>IF($A2241="","",LEN($C2241)-LEN(SUBSTITUTE($C2241,",",""))+1)</f>
        <v/>
      </c>
      <c r="K2241" s="26">
        <f>IF($A2241="","",SUMPRODUCT(--ISNUMBER(SEARCH('Category Dictionary'!$D$5:$D$135&amp;"",$C2241)),--('Category Dictionary'!$D$5:$D$135&lt;&gt;"")))</f>
        <v/>
      </c>
      <c r="L2241" s="27">
        <f>IF($A2241="","",TRIM(IF(ISERROR(FIND(",",$C2241)),$C2241,LEFT($C2241,FIND(",",$C2241)-1))))</f>
        <v/>
      </c>
      <c r="M2241" s="28">
        <f>IF($H2241="","",DATE(YEAR($H2241),MONTH($H2241),1))</f>
        <v/>
      </c>
      <c r="N2241" s="26">
        <f>IF($H2241="","",TODAY()-$H2241)</f>
        <v/>
      </c>
      <c r="O2241" s="15" t="n"/>
      <c r="P2241" s="26">
        <f>IF($A2241="","",COUNTIFS('Audit Versions'!$A$6:$A$605,$A2241,'Audit Versions'!$L$6:$L$605,"Active"))</f>
        <v/>
      </c>
      <c r="Q2241" s="15" t="n"/>
      <c r="R2241" s="26">
        <f>IF(OR($A2241="",$P2241=0),"",MOD(N($Q2241),$P2241)+1)</f>
        <v/>
      </c>
      <c r="S2241" s="15" t="n"/>
      <c r="T2241" s="25" t="n"/>
      <c r="U2241" s="26">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Builder'!$B$12="",N($S2241)&lt;='Assignment Builder'!$B$12)))</f>
        <v/>
      </c>
      <c r="V2241" s="23" t="n"/>
    </row>
    <row r="2242">
      <c r="A2242" s="23" t="n"/>
      <c r="B2242" s="23" t="n"/>
      <c r="C2242" s="24" t="n"/>
      <c r="D2242" s="15" t="n"/>
      <c r="E2242" s="23" t="n"/>
      <c r="F2242" s="15" t="n"/>
      <c r="G2242" s="23" t="n"/>
      <c r="H2242" s="25" t="n"/>
      <c r="I2242" s="15" t="n"/>
      <c r="J2242" s="26">
        <f>IF($A2242="","",LEN($C2242)-LEN(SUBSTITUTE($C2242,",",""))+1)</f>
        <v/>
      </c>
      <c r="K2242" s="26">
        <f>IF($A2242="","",SUMPRODUCT(--ISNUMBER(SEARCH('Category Dictionary'!$D$5:$D$135&amp;"",$C2242)),--('Category Dictionary'!$D$5:$D$135&lt;&gt;"")))</f>
        <v/>
      </c>
      <c r="L2242" s="27">
        <f>IF($A2242="","",TRIM(IF(ISERROR(FIND(",",$C2242)),$C2242,LEFT($C2242,FIND(",",$C2242)-1))))</f>
        <v/>
      </c>
      <c r="M2242" s="28">
        <f>IF($H2242="","",DATE(YEAR($H2242),MONTH($H2242),1))</f>
        <v/>
      </c>
      <c r="N2242" s="26">
        <f>IF($H2242="","",TODAY()-$H2242)</f>
        <v/>
      </c>
      <c r="O2242" s="15" t="n"/>
      <c r="P2242" s="26">
        <f>IF($A2242="","",COUNTIFS('Audit Versions'!$A$6:$A$605,$A2242,'Audit Versions'!$L$6:$L$605,"Active"))</f>
        <v/>
      </c>
      <c r="Q2242" s="15" t="n"/>
      <c r="R2242" s="26">
        <f>IF(OR($A2242="",$P2242=0),"",MOD(N($Q2242),$P2242)+1)</f>
        <v/>
      </c>
      <c r="S2242" s="15" t="n"/>
      <c r="T2242" s="25" t="n"/>
      <c r="U2242" s="26">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Builder'!$B$12="",N($S2242)&lt;='Assignment Builder'!$B$12)))</f>
        <v/>
      </c>
      <c r="V2242" s="23" t="n"/>
    </row>
    <row r="2243">
      <c r="A2243" s="23" t="n"/>
      <c r="B2243" s="23" t="n"/>
      <c r="C2243" s="24" t="n"/>
      <c r="D2243" s="15" t="n"/>
      <c r="E2243" s="23" t="n"/>
      <c r="F2243" s="15" t="n"/>
      <c r="G2243" s="23" t="n"/>
      <c r="H2243" s="25" t="n"/>
      <c r="I2243" s="15" t="n"/>
      <c r="J2243" s="26">
        <f>IF($A2243="","",LEN($C2243)-LEN(SUBSTITUTE($C2243,",",""))+1)</f>
        <v/>
      </c>
      <c r="K2243" s="26">
        <f>IF($A2243="","",SUMPRODUCT(--ISNUMBER(SEARCH('Category Dictionary'!$D$5:$D$135&amp;"",$C2243)),--('Category Dictionary'!$D$5:$D$135&lt;&gt;"")))</f>
        <v/>
      </c>
      <c r="L2243" s="27">
        <f>IF($A2243="","",TRIM(IF(ISERROR(FIND(",",$C2243)),$C2243,LEFT($C2243,FIND(",",$C2243)-1))))</f>
        <v/>
      </c>
      <c r="M2243" s="28">
        <f>IF($H2243="","",DATE(YEAR($H2243),MONTH($H2243),1))</f>
        <v/>
      </c>
      <c r="N2243" s="26">
        <f>IF($H2243="","",TODAY()-$H2243)</f>
        <v/>
      </c>
      <c r="O2243" s="15" t="n"/>
      <c r="P2243" s="26">
        <f>IF($A2243="","",COUNTIFS('Audit Versions'!$A$6:$A$605,$A2243,'Audit Versions'!$L$6:$L$605,"Active"))</f>
        <v/>
      </c>
      <c r="Q2243" s="15" t="n"/>
      <c r="R2243" s="26">
        <f>IF(OR($A2243="",$P2243=0),"",MOD(N($Q2243),$P2243)+1)</f>
        <v/>
      </c>
      <c r="S2243" s="15" t="n"/>
      <c r="T2243" s="25" t="n"/>
      <c r="U2243" s="26">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Builder'!$B$12="",N($S2243)&lt;='Assignment Builder'!$B$12)))</f>
        <v/>
      </c>
      <c r="V2243" s="23" t="n"/>
    </row>
    <row r="2244">
      <c r="A2244" s="23" t="n"/>
      <c r="B2244" s="23" t="n"/>
      <c r="C2244" s="24" t="n"/>
      <c r="D2244" s="15" t="n"/>
      <c r="E2244" s="23" t="n"/>
      <c r="F2244" s="15" t="n"/>
      <c r="G2244" s="23" t="n"/>
      <c r="H2244" s="25" t="n"/>
      <c r="I2244" s="15" t="n"/>
      <c r="J2244" s="26">
        <f>IF($A2244="","",LEN($C2244)-LEN(SUBSTITUTE($C2244,",",""))+1)</f>
        <v/>
      </c>
      <c r="K2244" s="26">
        <f>IF($A2244="","",SUMPRODUCT(--ISNUMBER(SEARCH('Category Dictionary'!$D$5:$D$135&amp;"",$C2244)),--('Category Dictionary'!$D$5:$D$135&lt;&gt;"")))</f>
        <v/>
      </c>
      <c r="L2244" s="27">
        <f>IF($A2244="","",TRIM(IF(ISERROR(FIND(",",$C2244)),$C2244,LEFT($C2244,FIND(",",$C2244)-1))))</f>
        <v/>
      </c>
      <c r="M2244" s="28">
        <f>IF($H2244="","",DATE(YEAR($H2244),MONTH($H2244),1))</f>
        <v/>
      </c>
      <c r="N2244" s="26">
        <f>IF($H2244="","",TODAY()-$H2244)</f>
        <v/>
      </c>
      <c r="O2244" s="15" t="n"/>
      <c r="P2244" s="26">
        <f>IF($A2244="","",COUNTIFS('Audit Versions'!$A$6:$A$605,$A2244,'Audit Versions'!$L$6:$L$605,"Active"))</f>
        <v/>
      </c>
      <c r="Q2244" s="15" t="n"/>
      <c r="R2244" s="26">
        <f>IF(OR($A2244="",$P2244=0),"",MOD(N($Q2244),$P2244)+1)</f>
        <v/>
      </c>
      <c r="S2244" s="15" t="n"/>
      <c r="T2244" s="25" t="n"/>
      <c r="U2244" s="26">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Builder'!$B$12="",N($S2244)&lt;='Assignment Builder'!$B$12)))</f>
        <v/>
      </c>
      <c r="V2244" s="23" t="n"/>
    </row>
    <row r="2245">
      <c r="A2245" s="23" t="n"/>
      <c r="B2245" s="23" t="n"/>
      <c r="C2245" s="24" t="n"/>
      <c r="D2245" s="15" t="n"/>
      <c r="E2245" s="23" t="n"/>
      <c r="F2245" s="15" t="n"/>
      <c r="G2245" s="23" t="n"/>
      <c r="H2245" s="25" t="n"/>
      <c r="I2245" s="15" t="n"/>
      <c r="J2245" s="26">
        <f>IF($A2245="","",LEN($C2245)-LEN(SUBSTITUTE($C2245,",",""))+1)</f>
        <v/>
      </c>
      <c r="K2245" s="26">
        <f>IF($A2245="","",SUMPRODUCT(--ISNUMBER(SEARCH('Category Dictionary'!$D$5:$D$135&amp;"",$C2245)),--('Category Dictionary'!$D$5:$D$135&lt;&gt;"")))</f>
        <v/>
      </c>
      <c r="L2245" s="27">
        <f>IF($A2245="","",TRIM(IF(ISERROR(FIND(",",$C2245)),$C2245,LEFT($C2245,FIND(",",$C2245)-1))))</f>
        <v/>
      </c>
      <c r="M2245" s="28">
        <f>IF($H2245="","",DATE(YEAR($H2245),MONTH($H2245),1))</f>
        <v/>
      </c>
      <c r="N2245" s="26">
        <f>IF($H2245="","",TODAY()-$H2245)</f>
        <v/>
      </c>
      <c r="O2245" s="15" t="n"/>
      <c r="P2245" s="26">
        <f>IF($A2245="","",COUNTIFS('Audit Versions'!$A$6:$A$605,$A2245,'Audit Versions'!$L$6:$L$605,"Active"))</f>
        <v/>
      </c>
      <c r="Q2245" s="15" t="n"/>
      <c r="R2245" s="26">
        <f>IF(OR($A2245="",$P2245=0),"",MOD(N($Q2245),$P2245)+1)</f>
        <v/>
      </c>
      <c r="S2245" s="15" t="n"/>
      <c r="T2245" s="25" t="n"/>
      <c r="U2245" s="26">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Builder'!$B$12="",N($S2245)&lt;='Assignment Builder'!$B$12)))</f>
        <v/>
      </c>
      <c r="V2245" s="23" t="n"/>
    </row>
    <row r="2246">
      <c r="A2246" s="23" t="n"/>
      <c r="B2246" s="23" t="n"/>
      <c r="C2246" s="24" t="n"/>
      <c r="D2246" s="15" t="n"/>
      <c r="E2246" s="23" t="n"/>
      <c r="F2246" s="15" t="n"/>
      <c r="G2246" s="23" t="n"/>
      <c r="H2246" s="25" t="n"/>
      <c r="I2246" s="15" t="n"/>
      <c r="J2246" s="26">
        <f>IF($A2246="","",LEN($C2246)-LEN(SUBSTITUTE($C2246,",",""))+1)</f>
        <v/>
      </c>
      <c r="K2246" s="26">
        <f>IF($A2246="","",SUMPRODUCT(--ISNUMBER(SEARCH('Category Dictionary'!$D$5:$D$135&amp;"",$C2246)),--('Category Dictionary'!$D$5:$D$135&lt;&gt;"")))</f>
        <v/>
      </c>
      <c r="L2246" s="27">
        <f>IF($A2246="","",TRIM(IF(ISERROR(FIND(",",$C2246)),$C2246,LEFT($C2246,FIND(",",$C2246)-1))))</f>
        <v/>
      </c>
      <c r="M2246" s="28">
        <f>IF($H2246="","",DATE(YEAR($H2246),MONTH($H2246),1))</f>
        <v/>
      </c>
      <c r="N2246" s="26">
        <f>IF($H2246="","",TODAY()-$H2246)</f>
        <v/>
      </c>
      <c r="O2246" s="15" t="n"/>
      <c r="P2246" s="26">
        <f>IF($A2246="","",COUNTIFS('Audit Versions'!$A$6:$A$605,$A2246,'Audit Versions'!$L$6:$L$605,"Active"))</f>
        <v/>
      </c>
      <c r="Q2246" s="15" t="n"/>
      <c r="R2246" s="26">
        <f>IF(OR($A2246="",$P2246=0),"",MOD(N($Q2246),$P2246)+1)</f>
        <v/>
      </c>
      <c r="S2246" s="15" t="n"/>
      <c r="T2246" s="25" t="n"/>
      <c r="U2246" s="26">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Builder'!$B$12="",N($S2246)&lt;='Assignment Builder'!$B$12)))</f>
        <v/>
      </c>
      <c r="V2246" s="23" t="n"/>
    </row>
    <row r="2247">
      <c r="A2247" s="23" t="n"/>
      <c r="B2247" s="23" t="n"/>
      <c r="C2247" s="24" t="n"/>
      <c r="D2247" s="15" t="n"/>
      <c r="E2247" s="23" t="n"/>
      <c r="F2247" s="15" t="n"/>
      <c r="G2247" s="23" t="n"/>
      <c r="H2247" s="25" t="n"/>
      <c r="I2247" s="15" t="n"/>
      <c r="J2247" s="26">
        <f>IF($A2247="","",LEN($C2247)-LEN(SUBSTITUTE($C2247,",",""))+1)</f>
        <v/>
      </c>
      <c r="K2247" s="26">
        <f>IF($A2247="","",SUMPRODUCT(--ISNUMBER(SEARCH('Category Dictionary'!$D$5:$D$135&amp;"",$C2247)),--('Category Dictionary'!$D$5:$D$135&lt;&gt;"")))</f>
        <v/>
      </c>
      <c r="L2247" s="27">
        <f>IF($A2247="","",TRIM(IF(ISERROR(FIND(",",$C2247)),$C2247,LEFT($C2247,FIND(",",$C2247)-1))))</f>
        <v/>
      </c>
      <c r="M2247" s="28">
        <f>IF($H2247="","",DATE(YEAR($H2247),MONTH($H2247),1))</f>
        <v/>
      </c>
      <c r="N2247" s="26">
        <f>IF($H2247="","",TODAY()-$H2247)</f>
        <v/>
      </c>
      <c r="O2247" s="15" t="n"/>
      <c r="P2247" s="26">
        <f>IF($A2247="","",COUNTIFS('Audit Versions'!$A$6:$A$605,$A2247,'Audit Versions'!$L$6:$L$605,"Active"))</f>
        <v/>
      </c>
      <c r="Q2247" s="15" t="n"/>
      <c r="R2247" s="26">
        <f>IF(OR($A2247="",$P2247=0),"",MOD(N($Q2247),$P2247)+1)</f>
        <v/>
      </c>
      <c r="S2247" s="15" t="n"/>
      <c r="T2247" s="25" t="n"/>
      <c r="U2247" s="26">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Builder'!$B$12="",N($S2247)&lt;='Assignment Builder'!$B$12)))</f>
        <v/>
      </c>
      <c r="V2247" s="23" t="n"/>
    </row>
    <row r="2248">
      <c r="A2248" s="23" t="n"/>
      <c r="B2248" s="23" t="n"/>
      <c r="C2248" s="24" t="n"/>
      <c r="D2248" s="15" t="n"/>
      <c r="E2248" s="23" t="n"/>
      <c r="F2248" s="15" t="n"/>
      <c r="G2248" s="23" t="n"/>
      <c r="H2248" s="25" t="n"/>
      <c r="I2248" s="15" t="n"/>
      <c r="J2248" s="26">
        <f>IF($A2248="","",LEN($C2248)-LEN(SUBSTITUTE($C2248,",",""))+1)</f>
        <v/>
      </c>
      <c r="K2248" s="26">
        <f>IF($A2248="","",SUMPRODUCT(--ISNUMBER(SEARCH('Category Dictionary'!$D$5:$D$135&amp;"",$C2248)),--('Category Dictionary'!$D$5:$D$135&lt;&gt;"")))</f>
        <v/>
      </c>
      <c r="L2248" s="27">
        <f>IF($A2248="","",TRIM(IF(ISERROR(FIND(",",$C2248)),$C2248,LEFT($C2248,FIND(",",$C2248)-1))))</f>
        <v/>
      </c>
      <c r="M2248" s="28">
        <f>IF($H2248="","",DATE(YEAR($H2248),MONTH($H2248),1))</f>
        <v/>
      </c>
      <c r="N2248" s="26">
        <f>IF($H2248="","",TODAY()-$H2248)</f>
        <v/>
      </c>
      <c r="O2248" s="15" t="n"/>
      <c r="P2248" s="26">
        <f>IF($A2248="","",COUNTIFS('Audit Versions'!$A$6:$A$605,$A2248,'Audit Versions'!$L$6:$L$605,"Active"))</f>
        <v/>
      </c>
      <c r="Q2248" s="15" t="n"/>
      <c r="R2248" s="26">
        <f>IF(OR($A2248="",$P2248=0),"",MOD(N($Q2248),$P2248)+1)</f>
        <v/>
      </c>
      <c r="S2248" s="15" t="n"/>
      <c r="T2248" s="25" t="n"/>
      <c r="U2248" s="26">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Builder'!$B$12="",N($S2248)&lt;='Assignment Builder'!$B$12)))</f>
        <v/>
      </c>
      <c r="V2248" s="23" t="n"/>
    </row>
    <row r="2249">
      <c r="A2249" s="23" t="n"/>
      <c r="B2249" s="23" t="n"/>
      <c r="C2249" s="24" t="n"/>
      <c r="D2249" s="15" t="n"/>
      <c r="E2249" s="23" t="n"/>
      <c r="F2249" s="15" t="n"/>
      <c r="G2249" s="23" t="n"/>
      <c r="H2249" s="25" t="n"/>
      <c r="I2249" s="15" t="n"/>
      <c r="J2249" s="26">
        <f>IF($A2249="","",LEN($C2249)-LEN(SUBSTITUTE($C2249,",",""))+1)</f>
        <v/>
      </c>
      <c r="K2249" s="26">
        <f>IF($A2249="","",SUMPRODUCT(--ISNUMBER(SEARCH('Category Dictionary'!$D$5:$D$135&amp;"",$C2249)),--('Category Dictionary'!$D$5:$D$135&lt;&gt;"")))</f>
        <v/>
      </c>
      <c r="L2249" s="27">
        <f>IF($A2249="","",TRIM(IF(ISERROR(FIND(",",$C2249)),$C2249,LEFT($C2249,FIND(",",$C2249)-1))))</f>
        <v/>
      </c>
      <c r="M2249" s="28">
        <f>IF($H2249="","",DATE(YEAR($H2249),MONTH($H2249),1))</f>
        <v/>
      </c>
      <c r="N2249" s="26">
        <f>IF($H2249="","",TODAY()-$H2249)</f>
        <v/>
      </c>
      <c r="O2249" s="15" t="n"/>
      <c r="P2249" s="26">
        <f>IF($A2249="","",COUNTIFS('Audit Versions'!$A$6:$A$605,$A2249,'Audit Versions'!$L$6:$L$605,"Active"))</f>
        <v/>
      </c>
      <c r="Q2249" s="15" t="n"/>
      <c r="R2249" s="26">
        <f>IF(OR($A2249="",$P2249=0),"",MOD(N($Q2249),$P2249)+1)</f>
        <v/>
      </c>
      <c r="S2249" s="15" t="n"/>
      <c r="T2249" s="25" t="n"/>
      <c r="U2249" s="26">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Builder'!$B$12="",N($S2249)&lt;='Assignment Builder'!$B$12)))</f>
        <v/>
      </c>
      <c r="V2249" s="23" t="n"/>
    </row>
    <row r="2250">
      <c r="A2250" s="23" t="n"/>
      <c r="B2250" s="23" t="n"/>
      <c r="C2250" s="24" t="n"/>
      <c r="D2250" s="15" t="n"/>
      <c r="E2250" s="23" t="n"/>
      <c r="F2250" s="15" t="n"/>
      <c r="G2250" s="23" t="n"/>
      <c r="H2250" s="25" t="n"/>
      <c r="I2250" s="15" t="n"/>
      <c r="J2250" s="26">
        <f>IF($A2250="","",LEN($C2250)-LEN(SUBSTITUTE($C2250,",",""))+1)</f>
        <v/>
      </c>
      <c r="K2250" s="26">
        <f>IF($A2250="","",SUMPRODUCT(--ISNUMBER(SEARCH('Category Dictionary'!$D$5:$D$135&amp;"",$C2250)),--('Category Dictionary'!$D$5:$D$135&lt;&gt;"")))</f>
        <v/>
      </c>
      <c r="L2250" s="27">
        <f>IF($A2250="","",TRIM(IF(ISERROR(FIND(",",$C2250)),$C2250,LEFT($C2250,FIND(",",$C2250)-1))))</f>
        <v/>
      </c>
      <c r="M2250" s="28">
        <f>IF($H2250="","",DATE(YEAR($H2250),MONTH($H2250),1))</f>
        <v/>
      </c>
      <c r="N2250" s="26">
        <f>IF($H2250="","",TODAY()-$H2250)</f>
        <v/>
      </c>
      <c r="O2250" s="15" t="n"/>
      <c r="P2250" s="26">
        <f>IF($A2250="","",COUNTIFS('Audit Versions'!$A$6:$A$605,$A2250,'Audit Versions'!$L$6:$L$605,"Active"))</f>
        <v/>
      </c>
      <c r="Q2250" s="15" t="n"/>
      <c r="R2250" s="26">
        <f>IF(OR($A2250="",$P2250=0),"",MOD(N($Q2250),$P2250)+1)</f>
        <v/>
      </c>
      <c r="S2250" s="15" t="n"/>
      <c r="T2250" s="25" t="n"/>
      <c r="U2250" s="26">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Builder'!$B$12="",N($S2250)&lt;='Assignment Builder'!$B$12)))</f>
        <v/>
      </c>
      <c r="V2250" s="23" t="n"/>
    </row>
    <row r="2251">
      <c r="A2251" s="23" t="n"/>
      <c r="B2251" s="23" t="n"/>
      <c r="C2251" s="24" t="n"/>
      <c r="D2251" s="15" t="n"/>
      <c r="E2251" s="23" t="n"/>
      <c r="F2251" s="15" t="n"/>
      <c r="G2251" s="23" t="n"/>
      <c r="H2251" s="25" t="n"/>
      <c r="I2251" s="15" t="n"/>
      <c r="J2251" s="26">
        <f>IF($A2251="","",LEN($C2251)-LEN(SUBSTITUTE($C2251,",",""))+1)</f>
        <v/>
      </c>
      <c r="K2251" s="26">
        <f>IF($A2251="","",SUMPRODUCT(--ISNUMBER(SEARCH('Category Dictionary'!$D$5:$D$135&amp;"",$C2251)),--('Category Dictionary'!$D$5:$D$135&lt;&gt;"")))</f>
        <v/>
      </c>
      <c r="L2251" s="27">
        <f>IF($A2251="","",TRIM(IF(ISERROR(FIND(",",$C2251)),$C2251,LEFT($C2251,FIND(",",$C2251)-1))))</f>
        <v/>
      </c>
      <c r="M2251" s="28">
        <f>IF($H2251="","",DATE(YEAR($H2251),MONTH($H2251),1))</f>
        <v/>
      </c>
      <c r="N2251" s="26">
        <f>IF($H2251="","",TODAY()-$H2251)</f>
        <v/>
      </c>
      <c r="O2251" s="15" t="n"/>
      <c r="P2251" s="26">
        <f>IF($A2251="","",COUNTIFS('Audit Versions'!$A$6:$A$605,$A2251,'Audit Versions'!$L$6:$L$605,"Active"))</f>
        <v/>
      </c>
      <c r="Q2251" s="15" t="n"/>
      <c r="R2251" s="26">
        <f>IF(OR($A2251="",$P2251=0),"",MOD(N($Q2251),$P2251)+1)</f>
        <v/>
      </c>
      <c r="S2251" s="15" t="n"/>
      <c r="T2251" s="25" t="n"/>
      <c r="U2251" s="26">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Builder'!$B$12="",N($S2251)&lt;='Assignment Builder'!$B$12)))</f>
        <v/>
      </c>
      <c r="V2251" s="23" t="n"/>
    </row>
    <row r="2252">
      <c r="A2252" s="23" t="n"/>
      <c r="B2252" s="23" t="n"/>
      <c r="C2252" s="24" t="n"/>
      <c r="D2252" s="15" t="n"/>
      <c r="E2252" s="23" t="n"/>
      <c r="F2252" s="15" t="n"/>
      <c r="G2252" s="23" t="n"/>
      <c r="H2252" s="25" t="n"/>
      <c r="I2252" s="15" t="n"/>
      <c r="J2252" s="26">
        <f>IF($A2252="","",LEN($C2252)-LEN(SUBSTITUTE($C2252,",",""))+1)</f>
        <v/>
      </c>
      <c r="K2252" s="26">
        <f>IF($A2252="","",SUMPRODUCT(--ISNUMBER(SEARCH('Category Dictionary'!$D$5:$D$135&amp;"",$C2252)),--('Category Dictionary'!$D$5:$D$135&lt;&gt;"")))</f>
        <v/>
      </c>
      <c r="L2252" s="27">
        <f>IF($A2252="","",TRIM(IF(ISERROR(FIND(",",$C2252)),$C2252,LEFT($C2252,FIND(",",$C2252)-1))))</f>
        <v/>
      </c>
      <c r="M2252" s="28">
        <f>IF($H2252="","",DATE(YEAR($H2252),MONTH($H2252),1))</f>
        <v/>
      </c>
      <c r="N2252" s="26">
        <f>IF($H2252="","",TODAY()-$H2252)</f>
        <v/>
      </c>
      <c r="O2252" s="15" t="n"/>
      <c r="P2252" s="26">
        <f>IF($A2252="","",COUNTIFS('Audit Versions'!$A$6:$A$605,$A2252,'Audit Versions'!$L$6:$L$605,"Active"))</f>
        <v/>
      </c>
      <c r="Q2252" s="15" t="n"/>
      <c r="R2252" s="26">
        <f>IF(OR($A2252="",$P2252=0),"",MOD(N($Q2252),$P2252)+1)</f>
        <v/>
      </c>
      <c r="S2252" s="15" t="n"/>
      <c r="T2252" s="25" t="n"/>
      <c r="U2252" s="26">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Builder'!$B$12="",N($S2252)&lt;='Assignment Builder'!$B$12)))</f>
        <v/>
      </c>
      <c r="V2252" s="23" t="n"/>
    </row>
    <row r="2253">
      <c r="A2253" s="23" t="n"/>
      <c r="B2253" s="23" t="n"/>
      <c r="C2253" s="24" t="n"/>
      <c r="D2253" s="15" t="n"/>
      <c r="E2253" s="23" t="n"/>
      <c r="F2253" s="15" t="n"/>
      <c r="G2253" s="23" t="n"/>
      <c r="H2253" s="25" t="n"/>
      <c r="I2253" s="15" t="n"/>
      <c r="J2253" s="26">
        <f>IF($A2253="","",LEN($C2253)-LEN(SUBSTITUTE($C2253,",",""))+1)</f>
        <v/>
      </c>
      <c r="K2253" s="26">
        <f>IF($A2253="","",SUMPRODUCT(--ISNUMBER(SEARCH('Category Dictionary'!$D$5:$D$135&amp;"",$C2253)),--('Category Dictionary'!$D$5:$D$135&lt;&gt;"")))</f>
        <v/>
      </c>
      <c r="L2253" s="27">
        <f>IF($A2253="","",TRIM(IF(ISERROR(FIND(",",$C2253)),$C2253,LEFT($C2253,FIND(",",$C2253)-1))))</f>
        <v/>
      </c>
      <c r="M2253" s="28">
        <f>IF($H2253="","",DATE(YEAR($H2253),MONTH($H2253),1))</f>
        <v/>
      </c>
      <c r="N2253" s="26">
        <f>IF($H2253="","",TODAY()-$H2253)</f>
        <v/>
      </c>
      <c r="O2253" s="15" t="n"/>
      <c r="P2253" s="26">
        <f>IF($A2253="","",COUNTIFS('Audit Versions'!$A$6:$A$605,$A2253,'Audit Versions'!$L$6:$L$605,"Active"))</f>
        <v/>
      </c>
      <c r="Q2253" s="15" t="n"/>
      <c r="R2253" s="26">
        <f>IF(OR($A2253="",$P2253=0),"",MOD(N($Q2253),$P2253)+1)</f>
        <v/>
      </c>
      <c r="S2253" s="15" t="n"/>
      <c r="T2253" s="25" t="n"/>
      <c r="U2253" s="26">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Builder'!$B$12="",N($S2253)&lt;='Assignment Builder'!$B$12)))</f>
        <v/>
      </c>
      <c r="V2253" s="23" t="n"/>
    </row>
    <row r="2254">
      <c r="A2254" s="23" t="n"/>
      <c r="B2254" s="23" t="n"/>
      <c r="C2254" s="24" t="n"/>
      <c r="D2254" s="15" t="n"/>
      <c r="E2254" s="23" t="n"/>
      <c r="F2254" s="15" t="n"/>
      <c r="G2254" s="23" t="n"/>
      <c r="H2254" s="25" t="n"/>
      <c r="I2254" s="15" t="n"/>
      <c r="J2254" s="26">
        <f>IF($A2254="","",LEN($C2254)-LEN(SUBSTITUTE($C2254,",",""))+1)</f>
        <v/>
      </c>
      <c r="K2254" s="26">
        <f>IF($A2254="","",SUMPRODUCT(--ISNUMBER(SEARCH('Category Dictionary'!$D$5:$D$135&amp;"",$C2254)),--('Category Dictionary'!$D$5:$D$135&lt;&gt;"")))</f>
        <v/>
      </c>
      <c r="L2254" s="27">
        <f>IF($A2254="","",TRIM(IF(ISERROR(FIND(",",$C2254)),$C2254,LEFT($C2254,FIND(",",$C2254)-1))))</f>
        <v/>
      </c>
      <c r="M2254" s="28">
        <f>IF($H2254="","",DATE(YEAR($H2254),MONTH($H2254),1))</f>
        <v/>
      </c>
      <c r="N2254" s="26">
        <f>IF($H2254="","",TODAY()-$H2254)</f>
        <v/>
      </c>
      <c r="O2254" s="15" t="n"/>
      <c r="P2254" s="26">
        <f>IF($A2254="","",COUNTIFS('Audit Versions'!$A$6:$A$605,$A2254,'Audit Versions'!$L$6:$L$605,"Active"))</f>
        <v/>
      </c>
      <c r="Q2254" s="15" t="n"/>
      <c r="R2254" s="26">
        <f>IF(OR($A2254="",$P2254=0),"",MOD(N($Q2254),$P2254)+1)</f>
        <v/>
      </c>
      <c r="S2254" s="15" t="n"/>
      <c r="T2254" s="25" t="n"/>
      <c r="U2254" s="26">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Builder'!$B$12="",N($S2254)&lt;='Assignment Builder'!$B$12)))</f>
        <v/>
      </c>
      <c r="V2254" s="23" t="n"/>
    </row>
    <row r="2255">
      <c r="A2255" s="23" t="n"/>
      <c r="B2255" s="23" t="n"/>
      <c r="C2255" s="24" t="n"/>
      <c r="D2255" s="15" t="n"/>
      <c r="E2255" s="23" t="n"/>
      <c r="F2255" s="15" t="n"/>
      <c r="G2255" s="23" t="n"/>
      <c r="H2255" s="25" t="n"/>
      <c r="I2255" s="15" t="n"/>
      <c r="J2255" s="26">
        <f>IF($A2255="","",LEN($C2255)-LEN(SUBSTITUTE($C2255,",",""))+1)</f>
        <v/>
      </c>
      <c r="K2255" s="26">
        <f>IF($A2255="","",SUMPRODUCT(--ISNUMBER(SEARCH('Category Dictionary'!$D$5:$D$135&amp;"",$C2255)),--('Category Dictionary'!$D$5:$D$135&lt;&gt;"")))</f>
        <v/>
      </c>
      <c r="L2255" s="27">
        <f>IF($A2255="","",TRIM(IF(ISERROR(FIND(",",$C2255)),$C2255,LEFT($C2255,FIND(",",$C2255)-1))))</f>
        <v/>
      </c>
      <c r="M2255" s="28">
        <f>IF($H2255="","",DATE(YEAR($H2255),MONTH($H2255),1))</f>
        <v/>
      </c>
      <c r="N2255" s="26">
        <f>IF($H2255="","",TODAY()-$H2255)</f>
        <v/>
      </c>
      <c r="O2255" s="15" t="n"/>
      <c r="P2255" s="26">
        <f>IF($A2255="","",COUNTIFS('Audit Versions'!$A$6:$A$605,$A2255,'Audit Versions'!$L$6:$L$605,"Active"))</f>
        <v/>
      </c>
      <c r="Q2255" s="15" t="n"/>
      <c r="R2255" s="26">
        <f>IF(OR($A2255="",$P2255=0),"",MOD(N($Q2255),$P2255)+1)</f>
        <v/>
      </c>
      <c r="S2255" s="15" t="n"/>
      <c r="T2255" s="25" t="n"/>
      <c r="U2255" s="26">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Builder'!$B$12="",N($S2255)&lt;='Assignment Builder'!$B$12)))</f>
        <v/>
      </c>
      <c r="V2255" s="23" t="n"/>
    </row>
    <row r="2256">
      <c r="A2256" s="23" t="n"/>
      <c r="B2256" s="23" t="n"/>
      <c r="C2256" s="24" t="n"/>
      <c r="D2256" s="15" t="n"/>
      <c r="E2256" s="23" t="n"/>
      <c r="F2256" s="15" t="n"/>
      <c r="G2256" s="23" t="n"/>
      <c r="H2256" s="25" t="n"/>
      <c r="I2256" s="15" t="n"/>
      <c r="J2256" s="26">
        <f>IF($A2256="","",LEN($C2256)-LEN(SUBSTITUTE($C2256,",",""))+1)</f>
        <v/>
      </c>
      <c r="K2256" s="26">
        <f>IF($A2256="","",SUMPRODUCT(--ISNUMBER(SEARCH('Category Dictionary'!$D$5:$D$135&amp;"",$C2256)),--('Category Dictionary'!$D$5:$D$135&lt;&gt;"")))</f>
        <v/>
      </c>
      <c r="L2256" s="27">
        <f>IF($A2256="","",TRIM(IF(ISERROR(FIND(",",$C2256)),$C2256,LEFT($C2256,FIND(",",$C2256)-1))))</f>
        <v/>
      </c>
      <c r="M2256" s="28">
        <f>IF($H2256="","",DATE(YEAR($H2256),MONTH($H2256),1))</f>
        <v/>
      </c>
      <c r="N2256" s="26">
        <f>IF($H2256="","",TODAY()-$H2256)</f>
        <v/>
      </c>
      <c r="O2256" s="15" t="n"/>
      <c r="P2256" s="26">
        <f>IF($A2256="","",COUNTIFS('Audit Versions'!$A$6:$A$605,$A2256,'Audit Versions'!$L$6:$L$605,"Active"))</f>
        <v/>
      </c>
      <c r="Q2256" s="15" t="n"/>
      <c r="R2256" s="26">
        <f>IF(OR($A2256="",$P2256=0),"",MOD(N($Q2256),$P2256)+1)</f>
        <v/>
      </c>
      <c r="S2256" s="15" t="n"/>
      <c r="T2256" s="25" t="n"/>
      <c r="U2256" s="26">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Builder'!$B$12="",N($S2256)&lt;='Assignment Builder'!$B$12)))</f>
        <v/>
      </c>
      <c r="V2256" s="23" t="n"/>
    </row>
    <row r="2257">
      <c r="A2257" s="23" t="n"/>
      <c r="B2257" s="23" t="n"/>
      <c r="C2257" s="24" t="n"/>
      <c r="D2257" s="15" t="n"/>
      <c r="E2257" s="23" t="n"/>
      <c r="F2257" s="15" t="n"/>
      <c r="G2257" s="23" t="n"/>
      <c r="H2257" s="25" t="n"/>
      <c r="I2257" s="15" t="n"/>
      <c r="J2257" s="26">
        <f>IF($A2257="","",LEN($C2257)-LEN(SUBSTITUTE($C2257,",",""))+1)</f>
        <v/>
      </c>
      <c r="K2257" s="26">
        <f>IF($A2257="","",SUMPRODUCT(--ISNUMBER(SEARCH('Category Dictionary'!$D$5:$D$135&amp;"",$C2257)),--('Category Dictionary'!$D$5:$D$135&lt;&gt;"")))</f>
        <v/>
      </c>
      <c r="L2257" s="27">
        <f>IF($A2257="","",TRIM(IF(ISERROR(FIND(",",$C2257)),$C2257,LEFT($C2257,FIND(",",$C2257)-1))))</f>
        <v/>
      </c>
      <c r="M2257" s="28">
        <f>IF($H2257="","",DATE(YEAR($H2257),MONTH($H2257),1))</f>
        <v/>
      </c>
      <c r="N2257" s="26">
        <f>IF($H2257="","",TODAY()-$H2257)</f>
        <v/>
      </c>
      <c r="O2257" s="15" t="n"/>
      <c r="P2257" s="26">
        <f>IF($A2257="","",COUNTIFS('Audit Versions'!$A$6:$A$605,$A2257,'Audit Versions'!$L$6:$L$605,"Active"))</f>
        <v/>
      </c>
      <c r="Q2257" s="15" t="n"/>
      <c r="R2257" s="26">
        <f>IF(OR($A2257="",$P2257=0),"",MOD(N($Q2257),$P2257)+1)</f>
        <v/>
      </c>
      <c r="S2257" s="15" t="n"/>
      <c r="T2257" s="25" t="n"/>
      <c r="U2257" s="26">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Builder'!$B$12="",N($S2257)&lt;='Assignment Builder'!$B$12)))</f>
        <v/>
      </c>
      <c r="V2257" s="23" t="n"/>
    </row>
    <row r="2258">
      <c r="A2258" s="23" t="n"/>
      <c r="B2258" s="23" t="n"/>
      <c r="C2258" s="24" t="n"/>
      <c r="D2258" s="15" t="n"/>
      <c r="E2258" s="23" t="n"/>
      <c r="F2258" s="15" t="n"/>
      <c r="G2258" s="23" t="n"/>
      <c r="H2258" s="25" t="n"/>
      <c r="I2258" s="15" t="n"/>
      <c r="J2258" s="26">
        <f>IF($A2258="","",LEN($C2258)-LEN(SUBSTITUTE($C2258,",",""))+1)</f>
        <v/>
      </c>
      <c r="K2258" s="26">
        <f>IF($A2258="","",SUMPRODUCT(--ISNUMBER(SEARCH('Category Dictionary'!$D$5:$D$135&amp;"",$C2258)),--('Category Dictionary'!$D$5:$D$135&lt;&gt;"")))</f>
        <v/>
      </c>
      <c r="L2258" s="27">
        <f>IF($A2258="","",TRIM(IF(ISERROR(FIND(",",$C2258)),$C2258,LEFT($C2258,FIND(",",$C2258)-1))))</f>
        <v/>
      </c>
      <c r="M2258" s="28">
        <f>IF($H2258="","",DATE(YEAR($H2258),MONTH($H2258),1))</f>
        <v/>
      </c>
      <c r="N2258" s="26">
        <f>IF($H2258="","",TODAY()-$H2258)</f>
        <v/>
      </c>
      <c r="O2258" s="15" t="n"/>
      <c r="P2258" s="26">
        <f>IF($A2258="","",COUNTIFS('Audit Versions'!$A$6:$A$605,$A2258,'Audit Versions'!$L$6:$L$605,"Active"))</f>
        <v/>
      </c>
      <c r="Q2258" s="15" t="n"/>
      <c r="R2258" s="26">
        <f>IF(OR($A2258="",$P2258=0),"",MOD(N($Q2258),$P2258)+1)</f>
        <v/>
      </c>
      <c r="S2258" s="15" t="n"/>
      <c r="T2258" s="25" t="n"/>
      <c r="U2258" s="26">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Builder'!$B$12="",N($S2258)&lt;='Assignment Builder'!$B$12)))</f>
        <v/>
      </c>
      <c r="V2258" s="23" t="n"/>
    </row>
    <row r="2259">
      <c r="A2259" s="23" t="n"/>
      <c r="B2259" s="23" t="n"/>
      <c r="C2259" s="24" t="n"/>
      <c r="D2259" s="15" t="n"/>
      <c r="E2259" s="23" t="n"/>
      <c r="F2259" s="15" t="n"/>
      <c r="G2259" s="23" t="n"/>
      <c r="H2259" s="25" t="n"/>
      <c r="I2259" s="15" t="n"/>
      <c r="J2259" s="26">
        <f>IF($A2259="","",LEN($C2259)-LEN(SUBSTITUTE($C2259,",",""))+1)</f>
        <v/>
      </c>
      <c r="K2259" s="26">
        <f>IF($A2259="","",SUMPRODUCT(--ISNUMBER(SEARCH('Category Dictionary'!$D$5:$D$135&amp;"",$C2259)),--('Category Dictionary'!$D$5:$D$135&lt;&gt;"")))</f>
        <v/>
      </c>
      <c r="L2259" s="27">
        <f>IF($A2259="","",TRIM(IF(ISERROR(FIND(",",$C2259)),$C2259,LEFT($C2259,FIND(",",$C2259)-1))))</f>
        <v/>
      </c>
      <c r="M2259" s="28">
        <f>IF($H2259="","",DATE(YEAR($H2259),MONTH($H2259),1))</f>
        <v/>
      </c>
      <c r="N2259" s="26">
        <f>IF($H2259="","",TODAY()-$H2259)</f>
        <v/>
      </c>
      <c r="O2259" s="15" t="n"/>
      <c r="P2259" s="26">
        <f>IF($A2259="","",COUNTIFS('Audit Versions'!$A$6:$A$605,$A2259,'Audit Versions'!$L$6:$L$605,"Active"))</f>
        <v/>
      </c>
      <c r="Q2259" s="15" t="n"/>
      <c r="R2259" s="26">
        <f>IF(OR($A2259="",$P2259=0),"",MOD(N($Q2259),$P2259)+1)</f>
        <v/>
      </c>
      <c r="S2259" s="15" t="n"/>
      <c r="T2259" s="25" t="n"/>
      <c r="U2259" s="26">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Builder'!$B$12="",N($S2259)&lt;='Assignment Builder'!$B$12)))</f>
        <v/>
      </c>
      <c r="V2259" s="23" t="n"/>
    </row>
    <row r="2260">
      <c r="A2260" s="23" t="n"/>
      <c r="B2260" s="23" t="n"/>
      <c r="C2260" s="24" t="n"/>
      <c r="D2260" s="15" t="n"/>
      <c r="E2260" s="23" t="n"/>
      <c r="F2260" s="15" t="n"/>
      <c r="G2260" s="23" t="n"/>
      <c r="H2260" s="25" t="n"/>
      <c r="I2260" s="15" t="n"/>
      <c r="J2260" s="26">
        <f>IF($A2260="","",LEN($C2260)-LEN(SUBSTITUTE($C2260,",",""))+1)</f>
        <v/>
      </c>
      <c r="K2260" s="26">
        <f>IF($A2260="","",SUMPRODUCT(--ISNUMBER(SEARCH('Category Dictionary'!$D$5:$D$135&amp;"",$C2260)),--('Category Dictionary'!$D$5:$D$135&lt;&gt;"")))</f>
        <v/>
      </c>
      <c r="L2260" s="27">
        <f>IF($A2260="","",TRIM(IF(ISERROR(FIND(",",$C2260)),$C2260,LEFT($C2260,FIND(",",$C2260)-1))))</f>
        <v/>
      </c>
      <c r="M2260" s="28">
        <f>IF($H2260="","",DATE(YEAR($H2260),MONTH($H2260),1))</f>
        <v/>
      </c>
      <c r="N2260" s="26">
        <f>IF($H2260="","",TODAY()-$H2260)</f>
        <v/>
      </c>
      <c r="O2260" s="15" t="n"/>
      <c r="P2260" s="26">
        <f>IF($A2260="","",COUNTIFS('Audit Versions'!$A$6:$A$605,$A2260,'Audit Versions'!$L$6:$L$605,"Active"))</f>
        <v/>
      </c>
      <c r="Q2260" s="15" t="n"/>
      <c r="R2260" s="26">
        <f>IF(OR($A2260="",$P2260=0),"",MOD(N($Q2260),$P2260)+1)</f>
        <v/>
      </c>
      <c r="S2260" s="15" t="n"/>
      <c r="T2260" s="25" t="n"/>
      <c r="U2260" s="26">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Builder'!$B$12="",N($S2260)&lt;='Assignment Builder'!$B$12)))</f>
        <v/>
      </c>
      <c r="V2260" s="23" t="n"/>
    </row>
    <row r="2261">
      <c r="A2261" s="23" t="n"/>
      <c r="B2261" s="23" t="n"/>
      <c r="C2261" s="24" t="n"/>
      <c r="D2261" s="15" t="n"/>
      <c r="E2261" s="23" t="n"/>
      <c r="F2261" s="15" t="n"/>
      <c r="G2261" s="23" t="n"/>
      <c r="H2261" s="25" t="n"/>
      <c r="I2261" s="15" t="n"/>
      <c r="J2261" s="26">
        <f>IF($A2261="","",LEN($C2261)-LEN(SUBSTITUTE($C2261,",",""))+1)</f>
        <v/>
      </c>
      <c r="K2261" s="26">
        <f>IF($A2261="","",SUMPRODUCT(--ISNUMBER(SEARCH('Category Dictionary'!$D$5:$D$135&amp;"",$C2261)),--('Category Dictionary'!$D$5:$D$135&lt;&gt;"")))</f>
        <v/>
      </c>
      <c r="L2261" s="27">
        <f>IF($A2261="","",TRIM(IF(ISERROR(FIND(",",$C2261)),$C2261,LEFT($C2261,FIND(",",$C2261)-1))))</f>
        <v/>
      </c>
      <c r="M2261" s="28">
        <f>IF($H2261="","",DATE(YEAR($H2261),MONTH($H2261),1))</f>
        <v/>
      </c>
      <c r="N2261" s="26">
        <f>IF($H2261="","",TODAY()-$H2261)</f>
        <v/>
      </c>
      <c r="O2261" s="15" t="n"/>
      <c r="P2261" s="26">
        <f>IF($A2261="","",COUNTIFS('Audit Versions'!$A$6:$A$605,$A2261,'Audit Versions'!$L$6:$L$605,"Active"))</f>
        <v/>
      </c>
      <c r="Q2261" s="15" t="n"/>
      <c r="R2261" s="26">
        <f>IF(OR($A2261="",$P2261=0),"",MOD(N($Q2261),$P2261)+1)</f>
        <v/>
      </c>
      <c r="S2261" s="15" t="n"/>
      <c r="T2261" s="25" t="n"/>
      <c r="U2261" s="26">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Builder'!$B$12="",N($S2261)&lt;='Assignment Builder'!$B$12)))</f>
        <v/>
      </c>
      <c r="V2261" s="23" t="n"/>
    </row>
    <row r="2262">
      <c r="A2262" s="23" t="n"/>
      <c r="B2262" s="23" t="n"/>
      <c r="C2262" s="24" t="n"/>
      <c r="D2262" s="15" t="n"/>
      <c r="E2262" s="23" t="n"/>
      <c r="F2262" s="15" t="n"/>
      <c r="G2262" s="23" t="n"/>
      <c r="H2262" s="25" t="n"/>
      <c r="I2262" s="15" t="n"/>
      <c r="J2262" s="26">
        <f>IF($A2262="","",LEN($C2262)-LEN(SUBSTITUTE($C2262,",",""))+1)</f>
        <v/>
      </c>
      <c r="K2262" s="26">
        <f>IF($A2262="","",SUMPRODUCT(--ISNUMBER(SEARCH('Category Dictionary'!$D$5:$D$135&amp;"",$C2262)),--('Category Dictionary'!$D$5:$D$135&lt;&gt;"")))</f>
        <v/>
      </c>
      <c r="L2262" s="27">
        <f>IF($A2262="","",TRIM(IF(ISERROR(FIND(",",$C2262)),$C2262,LEFT($C2262,FIND(",",$C2262)-1))))</f>
        <v/>
      </c>
      <c r="M2262" s="28">
        <f>IF($H2262="","",DATE(YEAR($H2262),MONTH($H2262),1))</f>
        <v/>
      </c>
      <c r="N2262" s="26">
        <f>IF($H2262="","",TODAY()-$H2262)</f>
        <v/>
      </c>
      <c r="O2262" s="15" t="n"/>
      <c r="P2262" s="26">
        <f>IF($A2262="","",COUNTIFS('Audit Versions'!$A$6:$A$605,$A2262,'Audit Versions'!$L$6:$L$605,"Active"))</f>
        <v/>
      </c>
      <c r="Q2262" s="15" t="n"/>
      <c r="R2262" s="26">
        <f>IF(OR($A2262="",$P2262=0),"",MOD(N($Q2262),$P2262)+1)</f>
        <v/>
      </c>
      <c r="S2262" s="15" t="n"/>
      <c r="T2262" s="25" t="n"/>
      <c r="U2262" s="26">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Builder'!$B$12="",N($S2262)&lt;='Assignment Builder'!$B$12)))</f>
        <v/>
      </c>
      <c r="V2262" s="23" t="n"/>
    </row>
    <row r="2263">
      <c r="A2263" s="23" t="n"/>
      <c r="B2263" s="23" t="n"/>
      <c r="C2263" s="24" t="n"/>
      <c r="D2263" s="15" t="n"/>
      <c r="E2263" s="23" t="n"/>
      <c r="F2263" s="15" t="n"/>
      <c r="G2263" s="23" t="n"/>
      <c r="H2263" s="25" t="n"/>
      <c r="I2263" s="15" t="n"/>
      <c r="J2263" s="26">
        <f>IF($A2263="","",LEN($C2263)-LEN(SUBSTITUTE($C2263,",",""))+1)</f>
        <v/>
      </c>
      <c r="K2263" s="26">
        <f>IF($A2263="","",SUMPRODUCT(--ISNUMBER(SEARCH('Category Dictionary'!$D$5:$D$135&amp;"",$C2263)),--('Category Dictionary'!$D$5:$D$135&lt;&gt;"")))</f>
        <v/>
      </c>
      <c r="L2263" s="27">
        <f>IF($A2263="","",TRIM(IF(ISERROR(FIND(",",$C2263)),$C2263,LEFT($C2263,FIND(",",$C2263)-1))))</f>
        <v/>
      </c>
      <c r="M2263" s="28">
        <f>IF($H2263="","",DATE(YEAR($H2263),MONTH($H2263),1))</f>
        <v/>
      </c>
      <c r="N2263" s="26">
        <f>IF($H2263="","",TODAY()-$H2263)</f>
        <v/>
      </c>
      <c r="O2263" s="15" t="n"/>
      <c r="P2263" s="26">
        <f>IF($A2263="","",COUNTIFS('Audit Versions'!$A$6:$A$605,$A2263,'Audit Versions'!$L$6:$L$605,"Active"))</f>
        <v/>
      </c>
      <c r="Q2263" s="15" t="n"/>
      <c r="R2263" s="26">
        <f>IF(OR($A2263="",$P2263=0),"",MOD(N($Q2263),$P2263)+1)</f>
        <v/>
      </c>
      <c r="S2263" s="15" t="n"/>
      <c r="T2263" s="25" t="n"/>
      <c r="U2263" s="26">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Builder'!$B$12="",N($S2263)&lt;='Assignment Builder'!$B$12)))</f>
        <v/>
      </c>
      <c r="V2263" s="23" t="n"/>
    </row>
    <row r="2264">
      <c r="A2264" s="23" t="n"/>
      <c r="B2264" s="23" t="n"/>
      <c r="C2264" s="24" t="n"/>
      <c r="D2264" s="15" t="n"/>
      <c r="E2264" s="23" t="n"/>
      <c r="F2264" s="15" t="n"/>
      <c r="G2264" s="23" t="n"/>
      <c r="H2264" s="25" t="n"/>
      <c r="I2264" s="15" t="n"/>
      <c r="J2264" s="26">
        <f>IF($A2264="","",LEN($C2264)-LEN(SUBSTITUTE($C2264,",",""))+1)</f>
        <v/>
      </c>
      <c r="K2264" s="26">
        <f>IF($A2264="","",SUMPRODUCT(--ISNUMBER(SEARCH('Category Dictionary'!$D$5:$D$135&amp;"",$C2264)),--('Category Dictionary'!$D$5:$D$135&lt;&gt;"")))</f>
        <v/>
      </c>
      <c r="L2264" s="27">
        <f>IF($A2264="","",TRIM(IF(ISERROR(FIND(",",$C2264)),$C2264,LEFT($C2264,FIND(",",$C2264)-1))))</f>
        <v/>
      </c>
      <c r="M2264" s="28">
        <f>IF($H2264="","",DATE(YEAR($H2264),MONTH($H2264),1))</f>
        <v/>
      </c>
      <c r="N2264" s="26">
        <f>IF($H2264="","",TODAY()-$H2264)</f>
        <v/>
      </c>
      <c r="O2264" s="15" t="n"/>
      <c r="P2264" s="26">
        <f>IF($A2264="","",COUNTIFS('Audit Versions'!$A$6:$A$605,$A2264,'Audit Versions'!$L$6:$L$605,"Active"))</f>
        <v/>
      </c>
      <c r="Q2264" s="15" t="n"/>
      <c r="R2264" s="26">
        <f>IF(OR($A2264="",$P2264=0),"",MOD(N($Q2264),$P2264)+1)</f>
        <v/>
      </c>
      <c r="S2264" s="15" t="n"/>
      <c r="T2264" s="25" t="n"/>
      <c r="U2264" s="26">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Builder'!$B$12="",N($S2264)&lt;='Assignment Builder'!$B$12)))</f>
        <v/>
      </c>
      <c r="V2264" s="23" t="n"/>
    </row>
    <row r="2265">
      <c r="A2265" s="23" t="n"/>
      <c r="B2265" s="23" t="n"/>
      <c r="C2265" s="24" t="n"/>
      <c r="D2265" s="15" t="n"/>
      <c r="E2265" s="23" t="n"/>
      <c r="F2265" s="15" t="n"/>
      <c r="G2265" s="23" t="n"/>
      <c r="H2265" s="25" t="n"/>
      <c r="I2265" s="15" t="n"/>
      <c r="J2265" s="26">
        <f>IF($A2265="","",LEN($C2265)-LEN(SUBSTITUTE($C2265,",",""))+1)</f>
        <v/>
      </c>
      <c r="K2265" s="26">
        <f>IF($A2265="","",SUMPRODUCT(--ISNUMBER(SEARCH('Category Dictionary'!$D$5:$D$135&amp;"",$C2265)),--('Category Dictionary'!$D$5:$D$135&lt;&gt;"")))</f>
        <v/>
      </c>
      <c r="L2265" s="27">
        <f>IF($A2265="","",TRIM(IF(ISERROR(FIND(",",$C2265)),$C2265,LEFT($C2265,FIND(",",$C2265)-1))))</f>
        <v/>
      </c>
      <c r="M2265" s="28">
        <f>IF($H2265="","",DATE(YEAR($H2265),MONTH($H2265),1))</f>
        <v/>
      </c>
      <c r="N2265" s="26">
        <f>IF($H2265="","",TODAY()-$H2265)</f>
        <v/>
      </c>
      <c r="O2265" s="15" t="n"/>
      <c r="P2265" s="26">
        <f>IF($A2265="","",COUNTIFS('Audit Versions'!$A$6:$A$605,$A2265,'Audit Versions'!$L$6:$L$605,"Active"))</f>
        <v/>
      </c>
      <c r="Q2265" s="15" t="n"/>
      <c r="R2265" s="26">
        <f>IF(OR($A2265="",$P2265=0),"",MOD(N($Q2265),$P2265)+1)</f>
        <v/>
      </c>
      <c r="S2265" s="15" t="n"/>
      <c r="T2265" s="25" t="n"/>
      <c r="U2265" s="26">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Builder'!$B$12="",N($S2265)&lt;='Assignment Builder'!$B$12)))</f>
        <v/>
      </c>
      <c r="V2265" s="23" t="n"/>
    </row>
    <row r="2266">
      <c r="A2266" s="23" t="n"/>
      <c r="B2266" s="23" t="n"/>
      <c r="C2266" s="24" t="n"/>
      <c r="D2266" s="15" t="n"/>
      <c r="E2266" s="23" t="n"/>
      <c r="F2266" s="15" t="n"/>
      <c r="G2266" s="23" t="n"/>
      <c r="H2266" s="25" t="n"/>
      <c r="I2266" s="15" t="n"/>
      <c r="J2266" s="26">
        <f>IF($A2266="","",LEN($C2266)-LEN(SUBSTITUTE($C2266,",",""))+1)</f>
        <v/>
      </c>
      <c r="K2266" s="26">
        <f>IF($A2266="","",SUMPRODUCT(--ISNUMBER(SEARCH('Category Dictionary'!$D$5:$D$135&amp;"",$C2266)),--('Category Dictionary'!$D$5:$D$135&lt;&gt;"")))</f>
        <v/>
      </c>
      <c r="L2266" s="27">
        <f>IF($A2266="","",TRIM(IF(ISERROR(FIND(",",$C2266)),$C2266,LEFT($C2266,FIND(",",$C2266)-1))))</f>
        <v/>
      </c>
      <c r="M2266" s="28">
        <f>IF($H2266="","",DATE(YEAR($H2266),MONTH($H2266),1))</f>
        <v/>
      </c>
      <c r="N2266" s="26">
        <f>IF($H2266="","",TODAY()-$H2266)</f>
        <v/>
      </c>
      <c r="O2266" s="15" t="n"/>
      <c r="P2266" s="26">
        <f>IF($A2266="","",COUNTIFS('Audit Versions'!$A$6:$A$605,$A2266,'Audit Versions'!$L$6:$L$605,"Active"))</f>
        <v/>
      </c>
      <c r="Q2266" s="15" t="n"/>
      <c r="R2266" s="26">
        <f>IF(OR($A2266="",$P2266=0),"",MOD(N($Q2266),$P2266)+1)</f>
        <v/>
      </c>
      <c r="S2266" s="15" t="n"/>
      <c r="T2266" s="25" t="n"/>
      <c r="U2266" s="26">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Builder'!$B$12="",N($S2266)&lt;='Assignment Builder'!$B$12)))</f>
        <v/>
      </c>
      <c r="V2266" s="23" t="n"/>
    </row>
    <row r="2267">
      <c r="A2267" s="23" t="n"/>
      <c r="B2267" s="23" t="n"/>
      <c r="C2267" s="24" t="n"/>
      <c r="D2267" s="15" t="n"/>
      <c r="E2267" s="23" t="n"/>
      <c r="F2267" s="15" t="n"/>
      <c r="G2267" s="23" t="n"/>
      <c r="H2267" s="25" t="n"/>
      <c r="I2267" s="15" t="n"/>
      <c r="J2267" s="26">
        <f>IF($A2267="","",LEN($C2267)-LEN(SUBSTITUTE($C2267,",",""))+1)</f>
        <v/>
      </c>
      <c r="K2267" s="26">
        <f>IF($A2267="","",SUMPRODUCT(--ISNUMBER(SEARCH('Category Dictionary'!$D$5:$D$135&amp;"",$C2267)),--('Category Dictionary'!$D$5:$D$135&lt;&gt;"")))</f>
        <v/>
      </c>
      <c r="L2267" s="27">
        <f>IF($A2267="","",TRIM(IF(ISERROR(FIND(",",$C2267)),$C2267,LEFT($C2267,FIND(",",$C2267)-1))))</f>
        <v/>
      </c>
      <c r="M2267" s="28">
        <f>IF($H2267="","",DATE(YEAR($H2267),MONTH($H2267),1))</f>
        <v/>
      </c>
      <c r="N2267" s="26">
        <f>IF($H2267="","",TODAY()-$H2267)</f>
        <v/>
      </c>
      <c r="O2267" s="15" t="n"/>
      <c r="P2267" s="26">
        <f>IF($A2267="","",COUNTIFS('Audit Versions'!$A$6:$A$605,$A2267,'Audit Versions'!$L$6:$L$605,"Active"))</f>
        <v/>
      </c>
      <c r="Q2267" s="15" t="n"/>
      <c r="R2267" s="26">
        <f>IF(OR($A2267="",$P2267=0),"",MOD(N($Q2267),$P2267)+1)</f>
        <v/>
      </c>
      <c r="S2267" s="15" t="n"/>
      <c r="T2267" s="25" t="n"/>
      <c r="U2267" s="26">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Builder'!$B$12="",N($S2267)&lt;='Assignment Builder'!$B$12)))</f>
        <v/>
      </c>
      <c r="V2267" s="23" t="n"/>
    </row>
    <row r="2268">
      <c r="A2268" s="23" t="n"/>
      <c r="B2268" s="23" t="n"/>
      <c r="C2268" s="24" t="n"/>
      <c r="D2268" s="15" t="n"/>
      <c r="E2268" s="23" t="n"/>
      <c r="F2268" s="15" t="n"/>
      <c r="G2268" s="23" t="n"/>
      <c r="H2268" s="25" t="n"/>
      <c r="I2268" s="15" t="n"/>
      <c r="J2268" s="26">
        <f>IF($A2268="","",LEN($C2268)-LEN(SUBSTITUTE($C2268,",",""))+1)</f>
        <v/>
      </c>
      <c r="K2268" s="26">
        <f>IF($A2268="","",SUMPRODUCT(--ISNUMBER(SEARCH('Category Dictionary'!$D$5:$D$135&amp;"",$C2268)),--('Category Dictionary'!$D$5:$D$135&lt;&gt;"")))</f>
        <v/>
      </c>
      <c r="L2268" s="27">
        <f>IF($A2268="","",TRIM(IF(ISERROR(FIND(",",$C2268)),$C2268,LEFT($C2268,FIND(",",$C2268)-1))))</f>
        <v/>
      </c>
      <c r="M2268" s="28">
        <f>IF($H2268="","",DATE(YEAR($H2268),MONTH($H2268),1))</f>
        <v/>
      </c>
      <c r="N2268" s="26">
        <f>IF($H2268="","",TODAY()-$H2268)</f>
        <v/>
      </c>
      <c r="O2268" s="15" t="n"/>
      <c r="P2268" s="26">
        <f>IF($A2268="","",COUNTIFS('Audit Versions'!$A$6:$A$605,$A2268,'Audit Versions'!$L$6:$L$605,"Active"))</f>
        <v/>
      </c>
      <c r="Q2268" s="15" t="n"/>
      <c r="R2268" s="26">
        <f>IF(OR($A2268="",$P2268=0),"",MOD(N($Q2268),$P2268)+1)</f>
        <v/>
      </c>
      <c r="S2268" s="15" t="n"/>
      <c r="T2268" s="25" t="n"/>
      <c r="U2268" s="26">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Builder'!$B$12="",N($S2268)&lt;='Assignment Builder'!$B$12)))</f>
        <v/>
      </c>
      <c r="V2268" s="23" t="n"/>
    </row>
    <row r="2269">
      <c r="A2269" s="23" t="n"/>
      <c r="B2269" s="23" t="n"/>
      <c r="C2269" s="24" t="n"/>
      <c r="D2269" s="15" t="n"/>
      <c r="E2269" s="23" t="n"/>
      <c r="F2269" s="15" t="n"/>
      <c r="G2269" s="23" t="n"/>
      <c r="H2269" s="25" t="n"/>
      <c r="I2269" s="15" t="n"/>
      <c r="J2269" s="26">
        <f>IF($A2269="","",LEN($C2269)-LEN(SUBSTITUTE($C2269,",",""))+1)</f>
        <v/>
      </c>
      <c r="K2269" s="26">
        <f>IF($A2269="","",SUMPRODUCT(--ISNUMBER(SEARCH('Category Dictionary'!$D$5:$D$135&amp;"",$C2269)),--('Category Dictionary'!$D$5:$D$135&lt;&gt;"")))</f>
        <v/>
      </c>
      <c r="L2269" s="27">
        <f>IF($A2269="","",TRIM(IF(ISERROR(FIND(",",$C2269)),$C2269,LEFT($C2269,FIND(",",$C2269)-1))))</f>
        <v/>
      </c>
      <c r="M2269" s="28">
        <f>IF($H2269="","",DATE(YEAR($H2269),MONTH($H2269),1))</f>
        <v/>
      </c>
      <c r="N2269" s="26">
        <f>IF($H2269="","",TODAY()-$H2269)</f>
        <v/>
      </c>
      <c r="O2269" s="15" t="n"/>
      <c r="P2269" s="26">
        <f>IF($A2269="","",COUNTIFS('Audit Versions'!$A$6:$A$605,$A2269,'Audit Versions'!$L$6:$L$605,"Active"))</f>
        <v/>
      </c>
      <c r="Q2269" s="15" t="n"/>
      <c r="R2269" s="26">
        <f>IF(OR($A2269="",$P2269=0),"",MOD(N($Q2269),$P2269)+1)</f>
        <v/>
      </c>
      <c r="S2269" s="15" t="n"/>
      <c r="T2269" s="25" t="n"/>
      <c r="U2269" s="26">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Builder'!$B$12="",N($S2269)&lt;='Assignment Builder'!$B$12)))</f>
        <v/>
      </c>
      <c r="V2269" s="23" t="n"/>
    </row>
    <row r="2270">
      <c r="A2270" s="23" t="n"/>
      <c r="B2270" s="23" t="n"/>
      <c r="C2270" s="24" t="n"/>
      <c r="D2270" s="15" t="n"/>
      <c r="E2270" s="23" t="n"/>
      <c r="F2270" s="15" t="n"/>
      <c r="G2270" s="23" t="n"/>
      <c r="H2270" s="25" t="n"/>
      <c r="I2270" s="15" t="n"/>
      <c r="J2270" s="26">
        <f>IF($A2270="","",LEN($C2270)-LEN(SUBSTITUTE($C2270,",",""))+1)</f>
        <v/>
      </c>
      <c r="K2270" s="26">
        <f>IF($A2270="","",SUMPRODUCT(--ISNUMBER(SEARCH('Category Dictionary'!$D$5:$D$135&amp;"",$C2270)),--('Category Dictionary'!$D$5:$D$135&lt;&gt;"")))</f>
        <v/>
      </c>
      <c r="L2270" s="27">
        <f>IF($A2270="","",TRIM(IF(ISERROR(FIND(",",$C2270)),$C2270,LEFT($C2270,FIND(",",$C2270)-1))))</f>
        <v/>
      </c>
      <c r="M2270" s="28">
        <f>IF($H2270="","",DATE(YEAR($H2270),MONTH($H2270),1))</f>
        <v/>
      </c>
      <c r="N2270" s="26">
        <f>IF($H2270="","",TODAY()-$H2270)</f>
        <v/>
      </c>
      <c r="O2270" s="15" t="n"/>
      <c r="P2270" s="26">
        <f>IF($A2270="","",COUNTIFS('Audit Versions'!$A$6:$A$605,$A2270,'Audit Versions'!$L$6:$L$605,"Active"))</f>
        <v/>
      </c>
      <c r="Q2270" s="15" t="n"/>
      <c r="R2270" s="26">
        <f>IF(OR($A2270="",$P2270=0),"",MOD(N($Q2270),$P2270)+1)</f>
        <v/>
      </c>
      <c r="S2270" s="15" t="n"/>
      <c r="T2270" s="25" t="n"/>
      <c r="U2270" s="26">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Builder'!$B$12="",N($S2270)&lt;='Assignment Builder'!$B$12)))</f>
        <v/>
      </c>
      <c r="V2270" s="23" t="n"/>
    </row>
    <row r="2271">
      <c r="A2271" s="23" t="n"/>
      <c r="B2271" s="23" t="n"/>
      <c r="C2271" s="24" t="n"/>
      <c r="D2271" s="15" t="n"/>
      <c r="E2271" s="23" t="n"/>
      <c r="F2271" s="15" t="n"/>
      <c r="G2271" s="23" t="n"/>
      <c r="H2271" s="25" t="n"/>
      <c r="I2271" s="15" t="n"/>
      <c r="J2271" s="26">
        <f>IF($A2271="","",LEN($C2271)-LEN(SUBSTITUTE($C2271,",",""))+1)</f>
        <v/>
      </c>
      <c r="K2271" s="26">
        <f>IF($A2271="","",SUMPRODUCT(--ISNUMBER(SEARCH('Category Dictionary'!$D$5:$D$135&amp;"",$C2271)),--('Category Dictionary'!$D$5:$D$135&lt;&gt;"")))</f>
        <v/>
      </c>
      <c r="L2271" s="27">
        <f>IF($A2271="","",TRIM(IF(ISERROR(FIND(",",$C2271)),$C2271,LEFT($C2271,FIND(",",$C2271)-1))))</f>
        <v/>
      </c>
      <c r="M2271" s="28">
        <f>IF($H2271="","",DATE(YEAR($H2271),MONTH($H2271),1))</f>
        <v/>
      </c>
      <c r="N2271" s="26">
        <f>IF($H2271="","",TODAY()-$H2271)</f>
        <v/>
      </c>
      <c r="O2271" s="15" t="n"/>
      <c r="P2271" s="26">
        <f>IF($A2271="","",COUNTIFS('Audit Versions'!$A$6:$A$605,$A2271,'Audit Versions'!$L$6:$L$605,"Active"))</f>
        <v/>
      </c>
      <c r="Q2271" s="15" t="n"/>
      <c r="R2271" s="26">
        <f>IF(OR($A2271="",$P2271=0),"",MOD(N($Q2271),$P2271)+1)</f>
        <v/>
      </c>
      <c r="S2271" s="15" t="n"/>
      <c r="T2271" s="25" t="n"/>
      <c r="U2271" s="26">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Builder'!$B$12="",N($S2271)&lt;='Assignment Builder'!$B$12)))</f>
        <v/>
      </c>
      <c r="V2271" s="23" t="n"/>
    </row>
    <row r="2272">
      <c r="A2272" s="23" t="n"/>
      <c r="B2272" s="23" t="n"/>
      <c r="C2272" s="24" t="n"/>
      <c r="D2272" s="15" t="n"/>
      <c r="E2272" s="23" t="n"/>
      <c r="F2272" s="15" t="n"/>
      <c r="G2272" s="23" t="n"/>
      <c r="H2272" s="25" t="n"/>
      <c r="I2272" s="15" t="n"/>
      <c r="J2272" s="26">
        <f>IF($A2272="","",LEN($C2272)-LEN(SUBSTITUTE($C2272,",",""))+1)</f>
        <v/>
      </c>
      <c r="K2272" s="26">
        <f>IF($A2272="","",SUMPRODUCT(--ISNUMBER(SEARCH('Category Dictionary'!$D$5:$D$135&amp;"",$C2272)),--('Category Dictionary'!$D$5:$D$135&lt;&gt;"")))</f>
        <v/>
      </c>
      <c r="L2272" s="27">
        <f>IF($A2272="","",TRIM(IF(ISERROR(FIND(",",$C2272)),$C2272,LEFT($C2272,FIND(",",$C2272)-1))))</f>
        <v/>
      </c>
      <c r="M2272" s="28">
        <f>IF($H2272="","",DATE(YEAR($H2272),MONTH($H2272),1))</f>
        <v/>
      </c>
      <c r="N2272" s="26">
        <f>IF($H2272="","",TODAY()-$H2272)</f>
        <v/>
      </c>
      <c r="O2272" s="15" t="n"/>
      <c r="P2272" s="26">
        <f>IF($A2272="","",COUNTIFS('Audit Versions'!$A$6:$A$605,$A2272,'Audit Versions'!$L$6:$L$605,"Active"))</f>
        <v/>
      </c>
      <c r="Q2272" s="15" t="n"/>
      <c r="R2272" s="26">
        <f>IF(OR($A2272="",$P2272=0),"",MOD(N($Q2272),$P2272)+1)</f>
        <v/>
      </c>
      <c r="S2272" s="15" t="n"/>
      <c r="T2272" s="25" t="n"/>
      <c r="U2272" s="26">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Builder'!$B$12="",N($S2272)&lt;='Assignment Builder'!$B$12)))</f>
        <v/>
      </c>
      <c r="V2272" s="23" t="n"/>
    </row>
    <row r="2273">
      <c r="A2273" s="23" t="n"/>
      <c r="B2273" s="23" t="n"/>
      <c r="C2273" s="24" t="n"/>
      <c r="D2273" s="15" t="n"/>
      <c r="E2273" s="23" t="n"/>
      <c r="F2273" s="15" t="n"/>
      <c r="G2273" s="23" t="n"/>
      <c r="H2273" s="25" t="n"/>
      <c r="I2273" s="15" t="n"/>
      <c r="J2273" s="26">
        <f>IF($A2273="","",LEN($C2273)-LEN(SUBSTITUTE($C2273,",",""))+1)</f>
        <v/>
      </c>
      <c r="K2273" s="26">
        <f>IF($A2273="","",SUMPRODUCT(--ISNUMBER(SEARCH('Category Dictionary'!$D$5:$D$135&amp;"",$C2273)),--('Category Dictionary'!$D$5:$D$135&lt;&gt;"")))</f>
        <v/>
      </c>
      <c r="L2273" s="27">
        <f>IF($A2273="","",TRIM(IF(ISERROR(FIND(",",$C2273)),$C2273,LEFT($C2273,FIND(",",$C2273)-1))))</f>
        <v/>
      </c>
      <c r="M2273" s="28">
        <f>IF($H2273="","",DATE(YEAR($H2273),MONTH($H2273),1))</f>
        <v/>
      </c>
      <c r="N2273" s="26">
        <f>IF($H2273="","",TODAY()-$H2273)</f>
        <v/>
      </c>
      <c r="O2273" s="15" t="n"/>
      <c r="P2273" s="26">
        <f>IF($A2273="","",COUNTIFS('Audit Versions'!$A$6:$A$605,$A2273,'Audit Versions'!$L$6:$L$605,"Active"))</f>
        <v/>
      </c>
      <c r="Q2273" s="15" t="n"/>
      <c r="R2273" s="26">
        <f>IF(OR($A2273="",$P2273=0),"",MOD(N($Q2273),$P2273)+1)</f>
        <v/>
      </c>
      <c r="S2273" s="15" t="n"/>
      <c r="T2273" s="25" t="n"/>
      <c r="U2273" s="26">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Builder'!$B$12="",N($S2273)&lt;='Assignment Builder'!$B$12)))</f>
        <v/>
      </c>
      <c r="V2273" s="23" t="n"/>
    </row>
    <row r="2274">
      <c r="A2274" s="23" t="n"/>
      <c r="B2274" s="23" t="n"/>
      <c r="C2274" s="24" t="n"/>
      <c r="D2274" s="15" t="n"/>
      <c r="E2274" s="23" t="n"/>
      <c r="F2274" s="15" t="n"/>
      <c r="G2274" s="23" t="n"/>
      <c r="H2274" s="25" t="n"/>
      <c r="I2274" s="15" t="n"/>
      <c r="J2274" s="26">
        <f>IF($A2274="","",LEN($C2274)-LEN(SUBSTITUTE($C2274,",",""))+1)</f>
        <v/>
      </c>
      <c r="K2274" s="26">
        <f>IF($A2274="","",SUMPRODUCT(--ISNUMBER(SEARCH('Category Dictionary'!$D$5:$D$135&amp;"",$C2274)),--('Category Dictionary'!$D$5:$D$135&lt;&gt;"")))</f>
        <v/>
      </c>
      <c r="L2274" s="27">
        <f>IF($A2274="","",TRIM(IF(ISERROR(FIND(",",$C2274)),$C2274,LEFT($C2274,FIND(",",$C2274)-1))))</f>
        <v/>
      </c>
      <c r="M2274" s="28">
        <f>IF($H2274="","",DATE(YEAR($H2274),MONTH($H2274),1))</f>
        <v/>
      </c>
      <c r="N2274" s="26">
        <f>IF($H2274="","",TODAY()-$H2274)</f>
        <v/>
      </c>
      <c r="O2274" s="15" t="n"/>
      <c r="P2274" s="26">
        <f>IF($A2274="","",COUNTIFS('Audit Versions'!$A$6:$A$605,$A2274,'Audit Versions'!$L$6:$L$605,"Active"))</f>
        <v/>
      </c>
      <c r="Q2274" s="15" t="n"/>
      <c r="R2274" s="26">
        <f>IF(OR($A2274="",$P2274=0),"",MOD(N($Q2274),$P2274)+1)</f>
        <v/>
      </c>
      <c r="S2274" s="15" t="n"/>
      <c r="T2274" s="25" t="n"/>
      <c r="U2274" s="26">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Builder'!$B$12="",N($S2274)&lt;='Assignment Builder'!$B$12)))</f>
        <v/>
      </c>
      <c r="V2274" s="23" t="n"/>
    </row>
    <row r="2275">
      <c r="A2275" s="23" t="n"/>
      <c r="B2275" s="23" t="n"/>
      <c r="C2275" s="24" t="n"/>
      <c r="D2275" s="15" t="n"/>
      <c r="E2275" s="23" t="n"/>
      <c r="F2275" s="15" t="n"/>
      <c r="G2275" s="23" t="n"/>
      <c r="H2275" s="25" t="n"/>
      <c r="I2275" s="15" t="n"/>
      <c r="J2275" s="26">
        <f>IF($A2275="","",LEN($C2275)-LEN(SUBSTITUTE($C2275,",",""))+1)</f>
        <v/>
      </c>
      <c r="K2275" s="26">
        <f>IF($A2275="","",SUMPRODUCT(--ISNUMBER(SEARCH('Category Dictionary'!$D$5:$D$135&amp;"",$C2275)),--('Category Dictionary'!$D$5:$D$135&lt;&gt;"")))</f>
        <v/>
      </c>
      <c r="L2275" s="27">
        <f>IF($A2275="","",TRIM(IF(ISERROR(FIND(",",$C2275)),$C2275,LEFT($C2275,FIND(",",$C2275)-1))))</f>
        <v/>
      </c>
      <c r="M2275" s="28">
        <f>IF($H2275="","",DATE(YEAR($H2275),MONTH($H2275),1))</f>
        <v/>
      </c>
      <c r="N2275" s="26">
        <f>IF($H2275="","",TODAY()-$H2275)</f>
        <v/>
      </c>
      <c r="O2275" s="15" t="n"/>
      <c r="P2275" s="26">
        <f>IF($A2275="","",COUNTIFS('Audit Versions'!$A$6:$A$605,$A2275,'Audit Versions'!$L$6:$L$605,"Active"))</f>
        <v/>
      </c>
      <c r="Q2275" s="15" t="n"/>
      <c r="R2275" s="26">
        <f>IF(OR($A2275="",$P2275=0),"",MOD(N($Q2275),$P2275)+1)</f>
        <v/>
      </c>
      <c r="S2275" s="15" t="n"/>
      <c r="T2275" s="25" t="n"/>
      <c r="U2275" s="26">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Builder'!$B$12="",N($S2275)&lt;='Assignment Builder'!$B$12)))</f>
        <v/>
      </c>
      <c r="V2275" s="23" t="n"/>
    </row>
    <row r="2276">
      <c r="A2276" s="23" t="n"/>
      <c r="B2276" s="23" t="n"/>
      <c r="C2276" s="24" t="n"/>
      <c r="D2276" s="15" t="n"/>
      <c r="E2276" s="23" t="n"/>
      <c r="F2276" s="15" t="n"/>
      <c r="G2276" s="23" t="n"/>
      <c r="H2276" s="25" t="n"/>
      <c r="I2276" s="15" t="n"/>
      <c r="J2276" s="26">
        <f>IF($A2276="","",LEN($C2276)-LEN(SUBSTITUTE($C2276,",",""))+1)</f>
        <v/>
      </c>
      <c r="K2276" s="26">
        <f>IF($A2276="","",SUMPRODUCT(--ISNUMBER(SEARCH('Category Dictionary'!$D$5:$D$135&amp;"",$C2276)),--('Category Dictionary'!$D$5:$D$135&lt;&gt;"")))</f>
        <v/>
      </c>
      <c r="L2276" s="27">
        <f>IF($A2276="","",TRIM(IF(ISERROR(FIND(",",$C2276)),$C2276,LEFT($C2276,FIND(",",$C2276)-1))))</f>
        <v/>
      </c>
      <c r="M2276" s="28">
        <f>IF($H2276="","",DATE(YEAR($H2276),MONTH($H2276),1))</f>
        <v/>
      </c>
      <c r="N2276" s="26">
        <f>IF($H2276="","",TODAY()-$H2276)</f>
        <v/>
      </c>
      <c r="O2276" s="15" t="n"/>
      <c r="P2276" s="26">
        <f>IF($A2276="","",COUNTIFS('Audit Versions'!$A$6:$A$605,$A2276,'Audit Versions'!$L$6:$L$605,"Active"))</f>
        <v/>
      </c>
      <c r="Q2276" s="15" t="n"/>
      <c r="R2276" s="26">
        <f>IF(OR($A2276="",$P2276=0),"",MOD(N($Q2276),$P2276)+1)</f>
        <v/>
      </c>
      <c r="S2276" s="15" t="n"/>
      <c r="T2276" s="25" t="n"/>
      <c r="U2276" s="26">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Builder'!$B$12="",N($S2276)&lt;='Assignment Builder'!$B$12)))</f>
        <v/>
      </c>
      <c r="V2276" s="23" t="n"/>
    </row>
    <row r="2277">
      <c r="A2277" s="23" t="n"/>
      <c r="B2277" s="23" t="n"/>
      <c r="C2277" s="24" t="n"/>
      <c r="D2277" s="15" t="n"/>
      <c r="E2277" s="23" t="n"/>
      <c r="F2277" s="15" t="n"/>
      <c r="G2277" s="23" t="n"/>
      <c r="H2277" s="25" t="n"/>
      <c r="I2277" s="15" t="n"/>
      <c r="J2277" s="26">
        <f>IF($A2277="","",LEN($C2277)-LEN(SUBSTITUTE($C2277,",",""))+1)</f>
        <v/>
      </c>
      <c r="K2277" s="26">
        <f>IF($A2277="","",SUMPRODUCT(--ISNUMBER(SEARCH('Category Dictionary'!$D$5:$D$135&amp;"",$C2277)),--('Category Dictionary'!$D$5:$D$135&lt;&gt;"")))</f>
        <v/>
      </c>
      <c r="L2277" s="27">
        <f>IF($A2277="","",TRIM(IF(ISERROR(FIND(",",$C2277)),$C2277,LEFT($C2277,FIND(",",$C2277)-1))))</f>
        <v/>
      </c>
      <c r="M2277" s="28">
        <f>IF($H2277="","",DATE(YEAR($H2277),MONTH($H2277),1))</f>
        <v/>
      </c>
      <c r="N2277" s="26">
        <f>IF($H2277="","",TODAY()-$H2277)</f>
        <v/>
      </c>
      <c r="O2277" s="15" t="n"/>
      <c r="P2277" s="26">
        <f>IF($A2277="","",COUNTIFS('Audit Versions'!$A$6:$A$605,$A2277,'Audit Versions'!$L$6:$L$605,"Active"))</f>
        <v/>
      </c>
      <c r="Q2277" s="15" t="n"/>
      <c r="R2277" s="26">
        <f>IF(OR($A2277="",$P2277=0),"",MOD(N($Q2277),$P2277)+1)</f>
        <v/>
      </c>
      <c r="S2277" s="15" t="n"/>
      <c r="T2277" s="25" t="n"/>
      <c r="U2277" s="26">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Builder'!$B$12="",N($S2277)&lt;='Assignment Builder'!$B$12)))</f>
        <v/>
      </c>
      <c r="V2277" s="23" t="n"/>
    </row>
    <row r="2278">
      <c r="A2278" s="23" t="n"/>
      <c r="B2278" s="23" t="n"/>
      <c r="C2278" s="24" t="n"/>
      <c r="D2278" s="15" t="n"/>
      <c r="E2278" s="23" t="n"/>
      <c r="F2278" s="15" t="n"/>
      <c r="G2278" s="23" t="n"/>
      <c r="H2278" s="25" t="n"/>
      <c r="I2278" s="15" t="n"/>
      <c r="J2278" s="26">
        <f>IF($A2278="","",LEN($C2278)-LEN(SUBSTITUTE($C2278,",",""))+1)</f>
        <v/>
      </c>
      <c r="K2278" s="26">
        <f>IF($A2278="","",SUMPRODUCT(--ISNUMBER(SEARCH('Category Dictionary'!$D$5:$D$135&amp;"",$C2278)),--('Category Dictionary'!$D$5:$D$135&lt;&gt;"")))</f>
        <v/>
      </c>
      <c r="L2278" s="27">
        <f>IF($A2278="","",TRIM(IF(ISERROR(FIND(",",$C2278)),$C2278,LEFT($C2278,FIND(",",$C2278)-1))))</f>
        <v/>
      </c>
      <c r="M2278" s="28">
        <f>IF($H2278="","",DATE(YEAR($H2278),MONTH($H2278),1))</f>
        <v/>
      </c>
      <c r="N2278" s="26">
        <f>IF($H2278="","",TODAY()-$H2278)</f>
        <v/>
      </c>
      <c r="O2278" s="15" t="n"/>
      <c r="P2278" s="26">
        <f>IF($A2278="","",COUNTIFS('Audit Versions'!$A$6:$A$605,$A2278,'Audit Versions'!$L$6:$L$605,"Active"))</f>
        <v/>
      </c>
      <c r="Q2278" s="15" t="n"/>
      <c r="R2278" s="26">
        <f>IF(OR($A2278="",$P2278=0),"",MOD(N($Q2278),$P2278)+1)</f>
        <v/>
      </c>
      <c r="S2278" s="15" t="n"/>
      <c r="T2278" s="25" t="n"/>
      <c r="U2278" s="26">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Builder'!$B$12="",N($S2278)&lt;='Assignment Builder'!$B$12)))</f>
        <v/>
      </c>
      <c r="V2278" s="23" t="n"/>
    </row>
    <row r="2279">
      <c r="A2279" s="23" t="n"/>
      <c r="B2279" s="23" t="n"/>
      <c r="C2279" s="24" t="n"/>
      <c r="D2279" s="15" t="n"/>
      <c r="E2279" s="23" t="n"/>
      <c r="F2279" s="15" t="n"/>
      <c r="G2279" s="23" t="n"/>
      <c r="H2279" s="25" t="n"/>
      <c r="I2279" s="15" t="n"/>
      <c r="J2279" s="26">
        <f>IF($A2279="","",LEN($C2279)-LEN(SUBSTITUTE($C2279,",",""))+1)</f>
        <v/>
      </c>
      <c r="K2279" s="26">
        <f>IF($A2279="","",SUMPRODUCT(--ISNUMBER(SEARCH('Category Dictionary'!$D$5:$D$135&amp;"",$C2279)),--('Category Dictionary'!$D$5:$D$135&lt;&gt;"")))</f>
        <v/>
      </c>
      <c r="L2279" s="27">
        <f>IF($A2279="","",TRIM(IF(ISERROR(FIND(",",$C2279)),$C2279,LEFT($C2279,FIND(",",$C2279)-1))))</f>
        <v/>
      </c>
      <c r="M2279" s="28">
        <f>IF($H2279="","",DATE(YEAR($H2279),MONTH($H2279),1))</f>
        <v/>
      </c>
      <c r="N2279" s="26">
        <f>IF($H2279="","",TODAY()-$H2279)</f>
        <v/>
      </c>
      <c r="O2279" s="15" t="n"/>
      <c r="P2279" s="26">
        <f>IF($A2279="","",COUNTIFS('Audit Versions'!$A$6:$A$605,$A2279,'Audit Versions'!$L$6:$L$605,"Active"))</f>
        <v/>
      </c>
      <c r="Q2279" s="15" t="n"/>
      <c r="R2279" s="26">
        <f>IF(OR($A2279="",$P2279=0),"",MOD(N($Q2279),$P2279)+1)</f>
        <v/>
      </c>
      <c r="S2279" s="15" t="n"/>
      <c r="T2279" s="25" t="n"/>
      <c r="U2279" s="26">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Builder'!$B$12="",N($S2279)&lt;='Assignment Builder'!$B$12)))</f>
        <v/>
      </c>
      <c r="V2279" s="23" t="n"/>
    </row>
    <row r="2280">
      <c r="A2280" s="23" t="n"/>
      <c r="B2280" s="23" t="n"/>
      <c r="C2280" s="24" t="n"/>
      <c r="D2280" s="15" t="n"/>
      <c r="E2280" s="23" t="n"/>
      <c r="F2280" s="15" t="n"/>
      <c r="G2280" s="23" t="n"/>
      <c r="H2280" s="25" t="n"/>
      <c r="I2280" s="15" t="n"/>
      <c r="J2280" s="26">
        <f>IF($A2280="","",LEN($C2280)-LEN(SUBSTITUTE($C2280,",",""))+1)</f>
        <v/>
      </c>
      <c r="K2280" s="26">
        <f>IF($A2280="","",SUMPRODUCT(--ISNUMBER(SEARCH('Category Dictionary'!$D$5:$D$135&amp;"",$C2280)),--('Category Dictionary'!$D$5:$D$135&lt;&gt;"")))</f>
        <v/>
      </c>
      <c r="L2280" s="27">
        <f>IF($A2280="","",TRIM(IF(ISERROR(FIND(",",$C2280)),$C2280,LEFT($C2280,FIND(",",$C2280)-1))))</f>
        <v/>
      </c>
      <c r="M2280" s="28">
        <f>IF($H2280="","",DATE(YEAR($H2280),MONTH($H2280),1))</f>
        <v/>
      </c>
      <c r="N2280" s="26">
        <f>IF($H2280="","",TODAY()-$H2280)</f>
        <v/>
      </c>
      <c r="O2280" s="15" t="n"/>
      <c r="P2280" s="26">
        <f>IF($A2280="","",COUNTIFS('Audit Versions'!$A$6:$A$605,$A2280,'Audit Versions'!$L$6:$L$605,"Active"))</f>
        <v/>
      </c>
      <c r="Q2280" s="15" t="n"/>
      <c r="R2280" s="26">
        <f>IF(OR($A2280="",$P2280=0),"",MOD(N($Q2280),$P2280)+1)</f>
        <v/>
      </c>
      <c r="S2280" s="15" t="n"/>
      <c r="T2280" s="25" t="n"/>
      <c r="U2280" s="26">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Builder'!$B$12="",N($S2280)&lt;='Assignment Builder'!$B$12)))</f>
        <v/>
      </c>
      <c r="V2280" s="23" t="n"/>
    </row>
    <row r="2281">
      <c r="A2281" s="23" t="n"/>
      <c r="B2281" s="23" t="n"/>
      <c r="C2281" s="24" t="n"/>
      <c r="D2281" s="15" t="n"/>
      <c r="E2281" s="23" t="n"/>
      <c r="F2281" s="15" t="n"/>
      <c r="G2281" s="23" t="n"/>
      <c r="H2281" s="25" t="n"/>
      <c r="I2281" s="15" t="n"/>
      <c r="J2281" s="26">
        <f>IF($A2281="","",LEN($C2281)-LEN(SUBSTITUTE($C2281,",",""))+1)</f>
        <v/>
      </c>
      <c r="K2281" s="26">
        <f>IF($A2281="","",SUMPRODUCT(--ISNUMBER(SEARCH('Category Dictionary'!$D$5:$D$135&amp;"",$C2281)),--('Category Dictionary'!$D$5:$D$135&lt;&gt;"")))</f>
        <v/>
      </c>
      <c r="L2281" s="27">
        <f>IF($A2281="","",TRIM(IF(ISERROR(FIND(",",$C2281)),$C2281,LEFT($C2281,FIND(",",$C2281)-1))))</f>
        <v/>
      </c>
      <c r="M2281" s="28">
        <f>IF($H2281="","",DATE(YEAR($H2281),MONTH($H2281),1))</f>
        <v/>
      </c>
      <c r="N2281" s="26">
        <f>IF($H2281="","",TODAY()-$H2281)</f>
        <v/>
      </c>
      <c r="O2281" s="15" t="n"/>
      <c r="P2281" s="26">
        <f>IF($A2281="","",COUNTIFS('Audit Versions'!$A$6:$A$605,$A2281,'Audit Versions'!$L$6:$L$605,"Active"))</f>
        <v/>
      </c>
      <c r="Q2281" s="15" t="n"/>
      <c r="R2281" s="26">
        <f>IF(OR($A2281="",$P2281=0),"",MOD(N($Q2281),$P2281)+1)</f>
        <v/>
      </c>
      <c r="S2281" s="15" t="n"/>
      <c r="T2281" s="25" t="n"/>
      <c r="U2281" s="26">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Builder'!$B$12="",N($S2281)&lt;='Assignment Builder'!$B$12)))</f>
        <v/>
      </c>
      <c r="V2281" s="23" t="n"/>
    </row>
    <row r="2282">
      <c r="A2282" s="23" t="n"/>
      <c r="B2282" s="23" t="n"/>
      <c r="C2282" s="24" t="n"/>
      <c r="D2282" s="15" t="n"/>
      <c r="E2282" s="23" t="n"/>
      <c r="F2282" s="15" t="n"/>
      <c r="G2282" s="23" t="n"/>
      <c r="H2282" s="25" t="n"/>
      <c r="I2282" s="15" t="n"/>
      <c r="J2282" s="26">
        <f>IF($A2282="","",LEN($C2282)-LEN(SUBSTITUTE($C2282,",",""))+1)</f>
        <v/>
      </c>
      <c r="K2282" s="26">
        <f>IF($A2282="","",SUMPRODUCT(--ISNUMBER(SEARCH('Category Dictionary'!$D$5:$D$135&amp;"",$C2282)),--('Category Dictionary'!$D$5:$D$135&lt;&gt;"")))</f>
        <v/>
      </c>
      <c r="L2282" s="27">
        <f>IF($A2282="","",TRIM(IF(ISERROR(FIND(",",$C2282)),$C2282,LEFT($C2282,FIND(",",$C2282)-1))))</f>
        <v/>
      </c>
      <c r="M2282" s="28">
        <f>IF($H2282="","",DATE(YEAR($H2282),MONTH($H2282),1))</f>
        <v/>
      </c>
      <c r="N2282" s="26">
        <f>IF($H2282="","",TODAY()-$H2282)</f>
        <v/>
      </c>
      <c r="O2282" s="15" t="n"/>
      <c r="P2282" s="26">
        <f>IF($A2282="","",COUNTIFS('Audit Versions'!$A$6:$A$605,$A2282,'Audit Versions'!$L$6:$L$605,"Active"))</f>
        <v/>
      </c>
      <c r="Q2282" s="15" t="n"/>
      <c r="R2282" s="26">
        <f>IF(OR($A2282="",$P2282=0),"",MOD(N($Q2282),$P2282)+1)</f>
        <v/>
      </c>
      <c r="S2282" s="15" t="n"/>
      <c r="T2282" s="25" t="n"/>
      <c r="U2282" s="26">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Builder'!$B$12="",N($S2282)&lt;='Assignment Builder'!$B$12)))</f>
        <v/>
      </c>
      <c r="V2282" s="23" t="n"/>
    </row>
    <row r="2283">
      <c r="A2283" s="23" t="n"/>
      <c r="B2283" s="23" t="n"/>
      <c r="C2283" s="24" t="n"/>
      <c r="D2283" s="15" t="n"/>
      <c r="E2283" s="23" t="n"/>
      <c r="F2283" s="15" t="n"/>
      <c r="G2283" s="23" t="n"/>
      <c r="H2283" s="25" t="n"/>
      <c r="I2283" s="15" t="n"/>
      <c r="J2283" s="26">
        <f>IF($A2283="","",LEN($C2283)-LEN(SUBSTITUTE($C2283,",",""))+1)</f>
        <v/>
      </c>
      <c r="K2283" s="26">
        <f>IF($A2283="","",SUMPRODUCT(--ISNUMBER(SEARCH('Category Dictionary'!$D$5:$D$135&amp;"",$C2283)),--('Category Dictionary'!$D$5:$D$135&lt;&gt;"")))</f>
        <v/>
      </c>
      <c r="L2283" s="27">
        <f>IF($A2283="","",TRIM(IF(ISERROR(FIND(",",$C2283)),$C2283,LEFT($C2283,FIND(",",$C2283)-1))))</f>
        <v/>
      </c>
      <c r="M2283" s="28">
        <f>IF($H2283="","",DATE(YEAR($H2283),MONTH($H2283),1))</f>
        <v/>
      </c>
      <c r="N2283" s="26">
        <f>IF($H2283="","",TODAY()-$H2283)</f>
        <v/>
      </c>
      <c r="O2283" s="15" t="n"/>
      <c r="P2283" s="26">
        <f>IF($A2283="","",COUNTIFS('Audit Versions'!$A$6:$A$605,$A2283,'Audit Versions'!$L$6:$L$605,"Active"))</f>
        <v/>
      </c>
      <c r="Q2283" s="15" t="n"/>
      <c r="R2283" s="26">
        <f>IF(OR($A2283="",$P2283=0),"",MOD(N($Q2283),$P2283)+1)</f>
        <v/>
      </c>
      <c r="S2283" s="15" t="n"/>
      <c r="T2283" s="25" t="n"/>
      <c r="U2283" s="26">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Builder'!$B$12="",N($S2283)&lt;='Assignment Builder'!$B$12)))</f>
        <v/>
      </c>
      <c r="V2283" s="23" t="n"/>
    </row>
    <row r="2284">
      <c r="A2284" s="23" t="n"/>
      <c r="B2284" s="23" t="n"/>
      <c r="C2284" s="24" t="n"/>
      <c r="D2284" s="15" t="n"/>
      <c r="E2284" s="23" t="n"/>
      <c r="F2284" s="15" t="n"/>
      <c r="G2284" s="23" t="n"/>
      <c r="H2284" s="25" t="n"/>
      <c r="I2284" s="15" t="n"/>
      <c r="J2284" s="26">
        <f>IF($A2284="","",LEN($C2284)-LEN(SUBSTITUTE($C2284,",",""))+1)</f>
        <v/>
      </c>
      <c r="K2284" s="26">
        <f>IF($A2284="","",SUMPRODUCT(--ISNUMBER(SEARCH('Category Dictionary'!$D$5:$D$135&amp;"",$C2284)),--('Category Dictionary'!$D$5:$D$135&lt;&gt;"")))</f>
        <v/>
      </c>
      <c r="L2284" s="27">
        <f>IF($A2284="","",TRIM(IF(ISERROR(FIND(",",$C2284)),$C2284,LEFT($C2284,FIND(",",$C2284)-1))))</f>
        <v/>
      </c>
      <c r="M2284" s="28">
        <f>IF($H2284="","",DATE(YEAR($H2284),MONTH($H2284),1))</f>
        <v/>
      </c>
      <c r="N2284" s="26">
        <f>IF($H2284="","",TODAY()-$H2284)</f>
        <v/>
      </c>
      <c r="O2284" s="15" t="n"/>
      <c r="P2284" s="26">
        <f>IF($A2284="","",COUNTIFS('Audit Versions'!$A$6:$A$605,$A2284,'Audit Versions'!$L$6:$L$605,"Active"))</f>
        <v/>
      </c>
      <c r="Q2284" s="15" t="n"/>
      <c r="R2284" s="26">
        <f>IF(OR($A2284="",$P2284=0),"",MOD(N($Q2284),$P2284)+1)</f>
        <v/>
      </c>
      <c r="S2284" s="15" t="n"/>
      <c r="T2284" s="25" t="n"/>
      <c r="U2284" s="26">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Builder'!$B$12="",N($S2284)&lt;='Assignment Builder'!$B$12)))</f>
        <v/>
      </c>
      <c r="V2284" s="23" t="n"/>
    </row>
    <row r="2285">
      <c r="A2285" s="23" t="n"/>
      <c r="B2285" s="23" t="n"/>
      <c r="C2285" s="24" t="n"/>
      <c r="D2285" s="15" t="n"/>
      <c r="E2285" s="23" t="n"/>
      <c r="F2285" s="15" t="n"/>
      <c r="G2285" s="23" t="n"/>
      <c r="H2285" s="25" t="n"/>
      <c r="I2285" s="15" t="n"/>
      <c r="J2285" s="26">
        <f>IF($A2285="","",LEN($C2285)-LEN(SUBSTITUTE($C2285,",",""))+1)</f>
        <v/>
      </c>
      <c r="K2285" s="26">
        <f>IF($A2285="","",SUMPRODUCT(--ISNUMBER(SEARCH('Category Dictionary'!$D$5:$D$135&amp;"",$C2285)),--('Category Dictionary'!$D$5:$D$135&lt;&gt;"")))</f>
        <v/>
      </c>
      <c r="L2285" s="27">
        <f>IF($A2285="","",TRIM(IF(ISERROR(FIND(",",$C2285)),$C2285,LEFT($C2285,FIND(",",$C2285)-1))))</f>
        <v/>
      </c>
      <c r="M2285" s="28">
        <f>IF($H2285="","",DATE(YEAR($H2285),MONTH($H2285),1))</f>
        <v/>
      </c>
      <c r="N2285" s="26">
        <f>IF($H2285="","",TODAY()-$H2285)</f>
        <v/>
      </c>
      <c r="O2285" s="15" t="n"/>
      <c r="P2285" s="26">
        <f>IF($A2285="","",COUNTIFS('Audit Versions'!$A$6:$A$605,$A2285,'Audit Versions'!$L$6:$L$605,"Active"))</f>
        <v/>
      </c>
      <c r="Q2285" s="15" t="n"/>
      <c r="R2285" s="26">
        <f>IF(OR($A2285="",$P2285=0),"",MOD(N($Q2285),$P2285)+1)</f>
        <v/>
      </c>
      <c r="S2285" s="15" t="n"/>
      <c r="T2285" s="25" t="n"/>
      <c r="U2285" s="26">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Builder'!$B$12="",N($S2285)&lt;='Assignment Builder'!$B$12)))</f>
        <v/>
      </c>
      <c r="V2285" s="23" t="n"/>
    </row>
    <row r="2286">
      <c r="A2286" s="23" t="n"/>
      <c r="B2286" s="23" t="n"/>
      <c r="C2286" s="24" t="n"/>
      <c r="D2286" s="15" t="n"/>
      <c r="E2286" s="23" t="n"/>
      <c r="F2286" s="15" t="n"/>
      <c r="G2286" s="23" t="n"/>
      <c r="H2286" s="25" t="n"/>
      <c r="I2286" s="15" t="n"/>
      <c r="J2286" s="26">
        <f>IF($A2286="","",LEN($C2286)-LEN(SUBSTITUTE($C2286,",",""))+1)</f>
        <v/>
      </c>
      <c r="K2286" s="26">
        <f>IF($A2286="","",SUMPRODUCT(--ISNUMBER(SEARCH('Category Dictionary'!$D$5:$D$135&amp;"",$C2286)),--('Category Dictionary'!$D$5:$D$135&lt;&gt;"")))</f>
        <v/>
      </c>
      <c r="L2286" s="27">
        <f>IF($A2286="","",TRIM(IF(ISERROR(FIND(",",$C2286)),$C2286,LEFT($C2286,FIND(",",$C2286)-1))))</f>
        <v/>
      </c>
      <c r="M2286" s="28">
        <f>IF($H2286="","",DATE(YEAR($H2286),MONTH($H2286),1))</f>
        <v/>
      </c>
      <c r="N2286" s="26">
        <f>IF($H2286="","",TODAY()-$H2286)</f>
        <v/>
      </c>
      <c r="O2286" s="15" t="n"/>
      <c r="P2286" s="26">
        <f>IF($A2286="","",COUNTIFS('Audit Versions'!$A$6:$A$605,$A2286,'Audit Versions'!$L$6:$L$605,"Active"))</f>
        <v/>
      </c>
      <c r="Q2286" s="15" t="n"/>
      <c r="R2286" s="26">
        <f>IF(OR($A2286="",$P2286=0),"",MOD(N($Q2286),$P2286)+1)</f>
        <v/>
      </c>
      <c r="S2286" s="15" t="n"/>
      <c r="T2286" s="25" t="n"/>
      <c r="U2286" s="26">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Builder'!$B$12="",N($S2286)&lt;='Assignment Builder'!$B$12)))</f>
        <v/>
      </c>
      <c r="V2286" s="23" t="n"/>
    </row>
    <row r="2287">
      <c r="A2287" s="23" t="n"/>
      <c r="B2287" s="23" t="n"/>
      <c r="C2287" s="24" t="n"/>
      <c r="D2287" s="15" t="n"/>
      <c r="E2287" s="23" t="n"/>
      <c r="F2287" s="15" t="n"/>
      <c r="G2287" s="23" t="n"/>
      <c r="H2287" s="25" t="n"/>
      <c r="I2287" s="15" t="n"/>
      <c r="J2287" s="26">
        <f>IF($A2287="","",LEN($C2287)-LEN(SUBSTITUTE($C2287,",",""))+1)</f>
        <v/>
      </c>
      <c r="K2287" s="26">
        <f>IF($A2287="","",SUMPRODUCT(--ISNUMBER(SEARCH('Category Dictionary'!$D$5:$D$135&amp;"",$C2287)),--('Category Dictionary'!$D$5:$D$135&lt;&gt;"")))</f>
        <v/>
      </c>
      <c r="L2287" s="27">
        <f>IF($A2287="","",TRIM(IF(ISERROR(FIND(",",$C2287)),$C2287,LEFT($C2287,FIND(",",$C2287)-1))))</f>
        <v/>
      </c>
      <c r="M2287" s="28">
        <f>IF($H2287="","",DATE(YEAR($H2287),MONTH($H2287),1))</f>
        <v/>
      </c>
      <c r="N2287" s="26">
        <f>IF($H2287="","",TODAY()-$H2287)</f>
        <v/>
      </c>
      <c r="O2287" s="15" t="n"/>
      <c r="P2287" s="26">
        <f>IF($A2287="","",COUNTIFS('Audit Versions'!$A$6:$A$605,$A2287,'Audit Versions'!$L$6:$L$605,"Active"))</f>
        <v/>
      </c>
      <c r="Q2287" s="15" t="n"/>
      <c r="R2287" s="26">
        <f>IF(OR($A2287="",$P2287=0),"",MOD(N($Q2287),$P2287)+1)</f>
        <v/>
      </c>
      <c r="S2287" s="15" t="n"/>
      <c r="T2287" s="25" t="n"/>
      <c r="U2287" s="26">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Builder'!$B$12="",N($S2287)&lt;='Assignment Builder'!$B$12)))</f>
        <v/>
      </c>
      <c r="V2287" s="23" t="n"/>
    </row>
    <row r="2288">
      <c r="A2288" s="23" t="n"/>
      <c r="B2288" s="23" t="n"/>
      <c r="C2288" s="24" t="n"/>
      <c r="D2288" s="15" t="n"/>
      <c r="E2288" s="23" t="n"/>
      <c r="F2288" s="15" t="n"/>
      <c r="G2288" s="23" t="n"/>
      <c r="H2288" s="25" t="n"/>
      <c r="I2288" s="15" t="n"/>
      <c r="J2288" s="26">
        <f>IF($A2288="","",LEN($C2288)-LEN(SUBSTITUTE($C2288,",",""))+1)</f>
        <v/>
      </c>
      <c r="K2288" s="26">
        <f>IF($A2288="","",SUMPRODUCT(--ISNUMBER(SEARCH('Category Dictionary'!$D$5:$D$135&amp;"",$C2288)),--('Category Dictionary'!$D$5:$D$135&lt;&gt;"")))</f>
        <v/>
      </c>
      <c r="L2288" s="27">
        <f>IF($A2288="","",TRIM(IF(ISERROR(FIND(",",$C2288)),$C2288,LEFT($C2288,FIND(",",$C2288)-1))))</f>
        <v/>
      </c>
      <c r="M2288" s="28">
        <f>IF($H2288="","",DATE(YEAR($H2288),MONTH($H2288),1))</f>
        <v/>
      </c>
      <c r="N2288" s="26">
        <f>IF($H2288="","",TODAY()-$H2288)</f>
        <v/>
      </c>
      <c r="O2288" s="15" t="n"/>
      <c r="P2288" s="26">
        <f>IF($A2288="","",COUNTIFS('Audit Versions'!$A$6:$A$605,$A2288,'Audit Versions'!$L$6:$L$605,"Active"))</f>
        <v/>
      </c>
      <c r="Q2288" s="15" t="n"/>
      <c r="R2288" s="26">
        <f>IF(OR($A2288="",$P2288=0),"",MOD(N($Q2288),$P2288)+1)</f>
        <v/>
      </c>
      <c r="S2288" s="15" t="n"/>
      <c r="T2288" s="25" t="n"/>
      <c r="U2288" s="26">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Builder'!$B$12="",N($S2288)&lt;='Assignment Builder'!$B$12)))</f>
        <v/>
      </c>
      <c r="V2288" s="23" t="n"/>
    </row>
    <row r="2289">
      <c r="A2289" s="23" t="n"/>
      <c r="B2289" s="23" t="n"/>
      <c r="C2289" s="24" t="n"/>
      <c r="D2289" s="15" t="n"/>
      <c r="E2289" s="23" t="n"/>
      <c r="F2289" s="15" t="n"/>
      <c r="G2289" s="23" t="n"/>
      <c r="H2289" s="25" t="n"/>
      <c r="I2289" s="15" t="n"/>
      <c r="J2289" s="26">
        <f>IF($A2289="","",LEN($C2289)-LEN(SUBSTITUTE($C2289,",",""))+1)</f>
        <v/>
      </c>
      <c r="K2289" s="26">
        <f>IF($A2289="","",SUMPRODUCT(--ISNUMBER(SEARCH('Category Dictionary'!$D$5:$D$135&amp;"",$C2289)),--('Category Dictionary'!$D$5:$D$135&lt;&gt;"")))</f>
        <v/>
      </c>
      <c r="L2289" s="27">
        <f>IF($A2289="","",TRIM(IF(ISERROR(FIND(",",$C2289)),$C2289,LEFT($C2289,FIND(",",$C2289)-1))))</f>
        <v/>
      </c>
      <c r="M2289" s="28">
        <f>IF($H2289="","",DATE(YEAR($H2289),MONTH($H2289),1))</f>
        <v/>
      </c>
      <c r="N2289" s="26">
        <f>IF($H2289="","",TODAY()-$H2289)</f>
        <v/>
      </c>
      <c r="O2289" s="15" t="n"/>
      <c r="P2289" s="26">
        <f>IF($A2289="","",COUNTIFS('Audit Versions'!$A$6:$A$605,$A2289,'Audit Versions'!$L$6:$L$605,"Active"))</f>
        <v/>
      </c>
      <c r="Q2289" s="15" t="n"/>
      <c r="R2289" s="26">
        <f>IF(OR($A2289="",$P2289=0),"",MOD(N($Q2289),$P2289)+1)</f>
        <v/>
      </c>
      <c r="S2289" s="15" t="n"/>
      <c r="T2289" s="25" t="n"/>
      <c r="U2289" s="26">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Builder'!$B$12="",N($S2289)&lt;='Assignment Builder'!$B$12)))</f>
        <v/>
      </c>
      <c r="V2289" s="23" t="n"/>
    </row>
    <row r="2290">
      <c r="A2290" s="23" t="n"/>
      <c r="B2290" s="23" t="n"/>
      <c r="C2290" s="24" t="n"/>
      <c r="D2290" s="15" t="n"/>
      <c r="E2290" s="23" t="n"/>
      <c r="F2290" s="15" t="n"/>
      <c r="G2290" s="23" t="n"/>
      <c r="H2290" s="25" t="n"/>
      <c r="I2290" s="15" t="n"/>
      <c r="J2290" s="26">
        <f>IF($A2290="","",LEN($C2290)-LEN(SUBSTITUTE($C2290,",",""))+1)</f>
        <v/>
      </c>
      <c r="K2290" s="26">
        <f>IF($A2290="","",SUMPRODUCT(--ISNUMBER(SEARCH('Category Dictionary'!$D$5:$D$135&amp;"",$C2290)),--('Category Dictionary'!$D$5:$D$135&lt;&gt;"")))</f>
        <v/>
      </c>
      <c r="L2290" s="27">
        <f>IF($A2290="","",TRIM(IF(ISERROR(FIND(",",$C2290)),$C2290,LEFT($C2290,FIND(",",$C2290)-1))))</f>
        <v/>
      </c>
      <c r="M2290" s="28">
        <f>IF($H2290="","",DATE(YEAR($H2290),MONTH($H2290),1))</f>
        <v/>
      </c>
      <c r="N2290" s="26">
        <f>IF($H2290="","",TODAY()-$H2290)</f>
        <v/>
      </c>
      <c r="O2290" s="15" t="n"/>
      <c r="P2290" s="26">
        <f>IF($A2290="","",COUNTIFS('Audit Versions'!$A$6:$A$605,$A2290,'Audit Versions'!$L$6:$L$605,"Active"))</f>
        <v/>
      </c>
      <c r="Q2290" s="15" t="n"/>
      <c r="R2290" s="26">
        <f>IF(OR($A2290="",$P2290=0),"",MOD(N($Q2290),$P2290)+1)</f>
        <v/>
      </c>
      <c r="S2290" s="15" t="n"/>
      <c r="T2290" s="25" t="n"/>
      <c r="U2290" s="26">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Builder'!$B$12="",N($S2290)&lt;='Assignment Builder'!$B$12)))</f>
        <v/>
      </c>
      <c r="V2290" s="23" t="n"/>
    </row>
    <row r="2291">
      <c r="A2291" s="23" t="n"/>
      <c r="B2291" s="23" t="n"/>
      <c r="C2291" s="24" t="n"/>
      <c r="D2291" s="15" t="n"/>
      <c r="E2291" s="23" t="n"/>
      <c r="F2291" s="15" t="n"/>
      <c r="G2291" s="23" t="n"/>
      <c r="H2291" s="25" t="n"/>
      <c r="I2291" s="15" t="n"/>
      <c r="J2291" s="26">
        <f>IF($A2291="","",LEN($C2291)-LEN(SUBSTITUTE($C2291,",",""))+1)</f>
        <v/>
      </c>
      <c r="K2291" s="26">
        <f>IF($A2291="","",SUMPRODUCT(--ISNUMBER(SEARCH('Category Dictionary'!$D$5:$D$135&amp;"",$C2291)),--('Category Dictionary'!$D$5:$D$135&lt;&gt;"")))</f>
        <v/>
      </c>
      <c r="L2291" s="27">
        <f>IF($A2291="","",TRIM(IF(ISERROR(FIND(",",$C2291)),$C2291,LEFT($C2291,FIND(",",$C2291)-1))))</f>
        <v/>
      </c>
      <c r="M2291" s="28">
        <f>IF($H2291="","",DATE(YEAR($H2291),MONTH($H2291),1))</f>
        <v/>
      </c>
      <c r="N2291" s="26">
        <f>IF($H2291="","",TODAY()-$H2291)</f>
        <v/>
      </c>
      <c r="O2291" s="15" t="n"/>
      <c r="P2291" s="26">
        <f>IF($A2291="","",COUNTIFS('Audit Versions'!$A$6:$A$605,$A2291,'Audit Versions'!$L$6:$L$605,"Active"))</f>
        <v/>
      </c>
      <c r="Q2291" s="15" t="n"/>
      <c r="R2291" s="26">
        <f>IF(OR($A2291="",$P2291=0),"",MOD(N($Q2291),$P2291)+1)</f>
        <v/>
      </c>
      <c r="S2291" s="15" t="n"/>
      <c r="T2291" s="25" t="n"/>
      <c r="U2291" s="26">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Builder'!$B$12="",N($S2291)&lt;='Assignment Builder'!$B$12)))</f>
        <v/>
      </c>
      <c r="V2291" s="23" t="n"/>
    </row>
    <row r="2292">
      <c r="A2292" s="23" t="n"/>
      <c r="B2292" s="23" t="n"/>
      <c r="C2292" s="24" t="n"/>
      <c r="D2292" s="15" t="n"/>
      <c r="E2292" s="23" t="n"/>
      <c r="F2292" s="15" t="n"/>
      <c r="G2292" s="23" t="n"/>
      <c r="H2292" s="25" t="n"/>
      <c r="I2292" s="15" t="n"/>
      <c r="J2292" s="26">
        <f>IF($A2292="","",LEN($C2292)-LEN(SUBSTITUTE($C2292,",",""))+1)</f>
        <v/>
      </c>
      <c r="K2292" s="26">
        <f>IF($A2292="","",SUMPRODUCT(--ISNUMBER(SEARCH('Category Dictionary'!$D$5:$D$135&amp;"",$C2292)),--('Category Dictionary'!$D$5:$D$135&lt;&gt;"")))</f>
        <v/>
      </c>
      <c r="L2292" s="27">
        <f>IF($A2292="","",TRIM(IF(ISERROR(FIND(",",$C2292)),$C2292,LEFT($C2292,FIND(",",$C2292)-1))))</f>
        <v/>
      </c>
      <c r="M2292" s="28">
        <f>IF($H2292="","",DATE(YEAR($H2292),MONTH($H2292),1))</f>
        <v/>
      </c>
      <c r="N2292" s="26">
        <f>IF($H2292="","",TODAY()-$H2292)</f>
        <v/>
      </c>
      <c r="O2292" s="15" t="n"/>
      <c r="P2292" s="26">
        <f>IF($A2292="","",COUNTIFS('Audit Versions'!$A$6:$A$605,$A2292,'Audit Versions'!$L$6:$L$605,"Active"))</f>
        <v/>
      </c>
      <c r="Q2292" s="15" t="n"/>
      <c r="R2292" s="26">
        <f>IF(OR($A2292="",$P2292=0),"",MOD(N($Q2292),$P2292)+1)</f>
        <v/>
      </c>
      <c r="S2292" s="15" t="n"/>
      <c r="T2292" s="25" t="n"/>
      <c r="U2292" s="26">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Builder'!$B$12="",N($S2292)&lt;='Assignment Builder'!$B$12)))</f>
        <v/>
      </c>
      <c r="V2292" s="23" t="n"/>
    </row>
    <row r="2293">
      <c r="A2293" s="23" t="n"/>
      <c r="B2293" s="23" t="n"/>
      <c r="C2293" s="24" t="n"/>
      <c r="D2293" s="15" t="n"/>
      <c r="E2293" s="23" t="n"/>
      <c r="F2293" s="15" t="n"/>
      <c r="G2293" s="23" t="n"/>
      <c r="H2293" s="25" t="n"/>
      <c r="I2293" s="15" t="n"/>
      <c r="J2293" s="26">
        <f>IF($A2293="","",LEN($C2293)-LEN(SUBSTITUTE($C2293,",",""))+1)</f>
        <v/>
      </c>
      <c r="K2293" s="26">
        <f>IF($A2293="","",SUMPRODUCT(--ISNUMBER(SEARCH('Category Dictionary'!$D$5:$D$135&amp;"",$C2293)),--('Category Dictionary'!$D$5:$D$135&lt;&gt;"")))</f>
        <v/>
      </c>
      <c r="L2293" s="27">
        <f>IF($A2293="","",TRIM(IF(ISERROR(FIND(",",$C2293)),$C2293,LEFT($C2293,FIND(",",$C2293)-1))))</f>
        <v/>
      </c>
      <c r="M2293" s="28">
        <f>IF($H2293="","",DATE(YEAR($H2293),MONTH($H2293),1))</f>
        <v/>
      </c>
      <c r="N2293" s="26">
        <f>IF($H2293="","",TODAY()-$H2293)</f>
        <v/>
      </c>
      <c r="O2293" s="15" t="n"/>
      <c r="P2293" s="26">
        <f>IF($A2293="","",COUNTIFS('Audit Versions'!$A$6:$A$605,$A2293,'Audit Versions'!$L$6:$L$605,"Active"))</f>
        <v/>
      </c>
      <c r="Q2293" s="15" t="n"/>
      <c r="R2293" s="26">
        <f>IF(OR($A2293="",$P2293=0),"",MOD(N($Q2293),$P2293)+1)</f>
        <v/>
      </c>
      <c r="S2293" s="15" t="n"/>
      <c r="T2293" s="25" t="n"/>
      <c r="U2293" s="26">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Builder'!$B$12="",N($S2293)&lt;='Assignment Builder'!$B$12)))</f>
        <v/>
      </c>
      <c r="V2293" s="23" t="n"/>
    </row>
    <row r="2294">
      <c r="A2294" s="23" t="n"/>
      <c r="B2294" s="23" t="n"/>
      <c r="C2294" s="24" t="n"/>
      <c r="D2294" s="15" t="n"/>
      <c r="E2294" s="23" t="n"/>
      <c r="F2294" s="15" t="n"/>
      <c r="G2294" s="23" t="n"/>
      <c r="H2294" s="25" t="n"/>
      <c r="I2294" s="15" t="n"/>
      <c r="J2294" s="26">
        <f>IF($A2294="","",LEN($C2294)-LEN(SUBSTITUTE($C2294,",",""))+1)</f>
        <v/>
      </c>
      <c r="K2294" s="26">
        <f>IF($A2294="","",SUMPRODUCT(--ISNUMBER(SEARCH('Category Dictionary'!$D$5:$D$135&amp;"",$C2294)),--('Category Dictionary'!$D$5:$D$135&lt;&gt;"")))</f>
        <v/>
      </c>
      <c r="L2294" s="27">
        <f>IF($A2294="","",TRIM(IF(ISERROR(FIND(",",$C2294)),$C2294,LEFT($C2294,FIND(",",$C2294)-1))))</f>
        <v/>
      </c>
      <c r="M2294" s="28">
        <f>IF($H2294="","",DATE(YEAR($H2294),MONTH($H2294),1))</f>
        <v/>
      </c>
      <c r="N2294" s="26">
        <f>IF($H2294="","",TODAY()-$H2294)</f>
        <v/>
      </c>
      <c r="O2294" s="15" t="n"/>
      <c r="P2294" s="26">
        <f>IF($A2294="","",COUNTIFS('Audit Versions'!$A$6:$A$605,$A2294,'Audit Versions'!$L$6:$L$605,"Active"))</f>
        <v/>
      </c>
      <c r="Q2294" s="15" t="n"/>
      <c r="R2294" s="26">
        <f>IF(OR($A2294="",$P2294=0),"",MOD(N($Q2294),$P2294)+1)</f>
        <v/>
      </c>
      <c r="S2294" s="15" t="n"/>
      <c r="T2294" s="25" t="n"/>
      <c r="U2294" s="26">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Builder'!$B$12="",N($S2294)&lt;='Assignment Builder'!$B$12)))</f>
        <v/>
      </c>
      <c r="V2294" s="23" t="n"/>
    </row>
    <row r="2295">
      <c r="A2295" s="23" t="n"/>
      <c r="B2295" s="23" t="n"/>
      <c r="C2295" s="24" t="n"/>
      <c r="D2295" s="15" t="n"/>
      <c r="E2295" s="23" t="n"/>
      <c r="F2295" s="15" t="n"/>
      <c r="G2295" s="23" t="n"/>
      <c r="H2295" s="25" t="n"/>
      <c r="I2295" s="15" t="n"/>
      <c r="J2295" s="26">
        <f>IF($A2295="","",LEN($C2295)-LEN(SUBSTITUTE($C2295,",",""))+1)</f>
        <v/>
      </c>
      <c r="K2295" s="26">
        <f>IF($A2295="","",SUMPRODUCT(--ISNUMBER(SEARCH('Category Dictionary'!$D$5:$D$135&amp;"",$C2295)),--('Category Dictionary'!$D$5:$D$135&lt;&gt;"")))</f>
        <v/>
      </c>
      <c r="L2295" s="27">
        <f>IF($A2295="","",TRIM(IF(ISERROR(FIND(",",$C2295)),$C2295,LEFT($C2295,FIND(",",$C2295)-1))))</f>
        <v/>
      </c>
      <c r="M2295" s="28">
        <f>IF($H2295="","",DATE(YEAR($H2295),MONTH($H2295),1))</f>
        <v/>
      </c>
      <c r="N2295" s="26">
        <f>IF($H2295="","",TODAY()-$H2295)</f>
        <v/>
      </c>
      <c r="O2295" s="15" t="n"/>
      <c r="P2295" s="26">
        <f>IF($A2295="","",COUNTIFS('Audit Versions'!$A$6:$A$605,$A2295,'Audit Versions'!$L$6:$L$605,"Active"))</f>
        <v/>
      </c>
      <c r="Q2295" s="15" t="n"/>
      <c r="R2295" s="26">
        <f>IF(OR($A2295="",$P2295=0),"",MOD(N($Q2295),$P2295)+1)</f>
        <v/>
      </c>
      <c r="S2295" s="15" t="n"/>
      <c r="T2295" s="25" t="n"/>
      <c r="U2295" s="26">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Builder'!$B$12="",N($S2295)&lt;='Assignment Builder'!$B$12)))</f>
        <v/>
      </c>
      <c r="V2295" s="23" t="n"/>
    </row>
    <row r="2296">
      <c r="A2296" s="23" t="n"/>
      <c r="B2296" s="23" t="n"/>
      <c r="C2296" s="24" t="n"/>
      <c r="D2296" s="15" t="n"/>
      <c r="E2296" s="23" t="n"/>
      <c r="F2296" s="15" t="n"/>
      <c r="G2296" s="23" t="n"/>
      <c r="H2296" s="25" t="n"/>
      <c r="I2296" s="15" t="n"/>
      <c r="J2296" s="26">
        <f>IF($A2296="","",LEN($C2296)-LEN(SUBSTITUTE($C2296,",",""))+1)</f>
        <v/>
      </c>
      <c r="K2296" s="26">
        <f>IF($A2296="","",SUMPRODUCT(--ISNUMBER(SEARCH('Category Dictionary'!$D$5:$D$135&amp;"",$C2296)),--('Category Dictionary'!$D$5:$D$135&lt;&gt;"")))</f>
        <v/>
      </c>
      <c r="L2296" s="27">
        <f>IF($A2296="","",TRIM(IF(ISERROR(FIND(",",$C2296)),$C2296,LEFT($C2296,FIND(",",$C2296)-1))))</f>
        <v/>
      </c>
      <c r="M2296" s="28">
        <f>IF($H2296="","",DATE(YEAR($H2296),MONTH($H2296),1))</f>
        <v/>
      </c>
      <c r="N2296" s="26">
        <f>IF($H2296="","",TODAY()-$H2296)</f>
        <v/>
      </c>
      <c r="O2296" s="15" t="n"/>
      <c r="P2296" s="26">
        <f>IF($A2296="","",COUNTIFS('Audit Versions'!$A$6:$A$605,$A2296,'Audit Versions'!$L$6:$L$605,"Active"))</f>
        <v/>
      </c>
      <c r="Q2296" s="15" t="n"/>
      <c r="R2296" s="26">
        <f>IF(OR($A2296="",$P2296=0),"",MOD(N($Q2296),$P2296)+1)</f>
        <v/>
      </c>
      <c r="S2296" s="15" t="n"/>
      <c r="T2296" s="25" t="n"/>
      <c r="U2296" s="26">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Builder'!$B$12="",N($S2296)&lt;='Assignment Builder'!$B$12)))</f>
        <v/>
      </c>
      <c r="V2296" s="23" t="n"/>
    </row>
    <row r="2297">
      <c r="A2297" s="23" t="n"/>
      <c r="B2297" s="23" t="n"/>
      <c r="C2297" s="24" t="n"/>
      <c r="D2297" s="15" t="n"/>
      <c r="E2297" s="23" t="n"/>
      <c r="F2297" s="15" t="n"/>
      <c r="G2297" s="23" t="n"/>
      <c r="H2297" s="25" t="n"/>
      <c r="I2297" s="15" t="n"/>
      <c r="J2297" s="26">
        <f>IF($A2297="","",LEN($C2297)-LEN(SUBSTITUTE($C2297,",",""))+1)</f>
        <v/>
      </c>
      <c r="K2297" s="26">
        <f>IF($A2297="","",SUMPRODUCT(--ISNUMBER(SEARCH('Category Dictionary'!$D$5:$D$135&amp;"",$C2297)),--('Category Dictionary'!$D$5:$D$135&lt;&gt;"")))</f>
        <v/>
      </c>
      <c r="L2297" s="27">
        <f>IF($A2297="","",TRIM(IF(ISERROR(FIND(",",$C2297)),$C2297,LEFT($C2297,FIND(",",$C2297)-1))))</f>
        <v/>
      </c>
      <c r="M2297" s="28">
        <f>IF($H2297="","",DATE(YEAR($H2297),MONTH($H2297),1))</f>
        <v/>
      </c>
      <c r="N2297" s="26">
        <f>IF($H2297="","",TODAY()-$H2297)</f>
        <v/>
      </c>
      <c r="O2297" s="15" t="n"/>
      <c r="P2297" s="26">
        <f>IF($A2297="","",COUNTIFS('Audit Versions'!$A$6:$A$605,$A2297,'Audit Versions'!$L$6:$L$605,"Active"))</f>
        <v/>
      </c>
      <c r="Q2297" s="15" t="n"/>
      <c r="R2297" s="26">
        <f>IF(OR($A2297="",$P2297=0),"",MOD(N($Q2297),$P2297)+1)</f>
        <v/>
      </c>
      <c r="S2297" s="15" t="n"/>
      <c r="T2297" s="25" t="n"/>
      <c r="U2297" s="26">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Builder'!$B$12="",N($S2297)&lt;='Assignment Builder'!$B$12)))</f>
        <v/>
      </c>
      <c r="V2297" s="23" t="n"/>
    </row>
    <row r="2298">
      <c r="A2298" s="23" t="n"/>
      <c r="B2298" s="23" t="n"/>
      <c r="C2298" s="24" t="n"/>
      <c r="D2298" s="15" t="n"/>
      <c r="E2298" s="23" t="n"/>
      <c r="F2298" s="15" t="n"/>
      <c r="G2298" s="23" t="n"/>
      <c r="H2298" s="25" t="n"/>
      <c r="I2298" s="15" t="n"/>
      <c r="J2298" s="26">
        <f>IF($A2298="","",LEN($C2298)-LEN(SUBSTITUTE($C2298,",",""))+1)</f>
        <v/>
      </c>
      <c r="K2298" s="26">
        <f>IF($A2298="","",SUMPRODUCT(--ISNUMBER(SEARCH('Category Dictionary'!$D$5:$D$135&amp;"",$C2298)),--('Category Dictionary'!$D$5:$D$135&lt;&gt;"")))</f>
        <v/>
      </c>
      <c r="L2298" s="27">
        <f>IF($A2298="","",TRIM(IF(ISERROR(FIND(",",$C2298)),$C2298,LEFT($C2298,FIND(",",$C2298)-1))))</f>
        <v/>
      </c>
      <c r="M2298" s="28">
        <f>IF($H2298="","",DATE(YEAR($H2298),MONTH($H2298),1))</f>
        <v/>
      </c>
      <c r="N2298" s="26">
        <f>IF($H2298="","",TODAY()-$H2298)</f>
        <v/>
      </c>
      <c r="O2298" s="15" t="n"/>
      <c r="P2298" s="26">
        <f>IF($A2298="","",COUNTIFS('Audit Versions'!$A$6:$A$605,$A2298,'Audit Versions'!$L$6:$L$605,"Active"))</f>
        <v/>
      </c>
      <c r="Q2298" s="15" t="n"/>
      <c r="R2298" s="26">
        <f>IF(OR($A2298="",$P2298=0),"",MOD(N($Q2298),$P2298)+1)</f>
        <v/>
      </c>
      <c r="S2298" s="15" t="n"/>
      <c r="T2298" s="25" t="n"/>
      <c r="U2298" s="26">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Builder'!$B$12="",N($S2298)&lt;='Assignment Builder'!$B$12)))</f>
        <v/>
      </c>
      <c r="V2298" s="23" t="n"/>
    </row>
    <row r="2299">
      <c r="A2299" s="23" t="n"/>
      <c r="B2299" s="23" t="n"/>
      <c r="C2299" s="24" t="n"/>
      <c r="D2299" s="15" t="n"/>
      <c r="E2299" s="23" t="n"/>
      <c r="F2299" s="15" t="n"/>
      <c r="G2299" s="23" t="n"/>
      <c r="H2299" s="25" t="n"/>
      <c r="I2299" s="15" t="n"/>
      <c r="J2299" s="26">
        <f>IF($A2299="","",LEN($C2299)-LEN(SUBSTITUTE($C2299,",",""))+1)</f>
        <v/>
      </c>
      <c r="K2299" s="26">
        <f>IF($A2299="","",SUMPRODUCT(--ISNUMBER(SEARCH('Category Dictionary'!$D$5:$D$135&amp;"",$C2299)),--('Category Dictionary'!$D$5:$D$135&lt;&gt;"")))</f>
        <v/>
      </c>
      <c r="L2299" s="27">
        <f>IF($A2299="","",TRIM(IF(ISERROR(FIND(",",$C2299)),$C2299,LEFT($C2299,FIND(",",$C2299)-1))))</f>
        <v/>
      </c>
      <c r="M2299" s="28">
        <f>IF($H2299="","",DATE(YEAR($H2299),MONTH($H2299),1))</f>
        <v/>
      </c>
      <c r="N2299" s="26">
        <f>IF($H2299="","",TODAY()-$H2299)</f>
        <v/>
      </c>
      <c r="O2299" s="15" t="n"/>
      <c r="P2299" s="26">
        <f>IF($A2299="","",COUNTIFS('Audit Versions'!$A$6:$A$605,$A2299,'Audit Versions'!$L$6:$L$605,"Active"))</f>
        <v/>
      </c>
      <c r="Q2299" s="15" t="n"/>
      <c r="R2299" s="26">
        <f>IF(OR($A2299="",$P2299=0),"",MOD(N($Q2299),$P2299)+1)</f>
        <v/>
      </c>
      <c r="S2299" s="15" t="n"/>
      <c r="T2299" s="25" t="n"/>
      <c r="U2299" s="26">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Builder'!$B$12="",N($S2299)&lt;='Assignment Builder'!$B$12)))</f>
        <v/>
      </c>
      <c r="V2299" s="23" t="n"/>
    </row>
    <row r="2300">
      <c r="A2300" s="23" t="n"/>
      <c r="B2300" s="23" t="n"/>
      <c r="C2300" s="24" t="n"/>
      <c r="D2300" s="15" t="n"/>
      <c r="E2300" s="23" t="n"/>
      <c r="F2300" s="15" t="n"/>
      <c r="G2300" s="23" t="n"/>
      <c r="H2300" s="25" t="n"/>
      <c r="I2300" s="15" t="n"/>
      <c r="J2300" s="26">
        <f>IF($A2300="","",LEN($C2300)-LEN(SUBSTITUTE($C2300,",",""))+1)</f>
        <v/>
      </c>
      <c r="K2300" s="26">
        <f>IF($A2300="","",SUMPRODUCT(--ISNUMBER(SEARCH('Category Dictionary'!$D$5:$D$135&amp;"",$C2300)),--('Category Dictionary'!$D$5:$D$135&lt;&gt;"")))</f>
        <v/>
      </c>
      <c r="L2300" s="27">
        <f>IF($A2300="","",TRIM(IF(ISERROR(FIND(",",$C2300)),$C2300,LEFT($C2300,FIND(",",$C2300)-1))))</f>
        <v/>
      </c>
      <c r="M2300" s="28">
        <f>IF($H2300="","",DATE(YEAR($H2300),MONTH($H2300),1))</f>
        <v/>
      </c>
      <c r="N2300" s="26">
        <f>IF($H2300="","",TODAY()-$H2300)</f>
        <v/>
      </c>
      <c r="O2300" s="15" t="n"/>
      <c r="P2300" s="26">
        <f>IF($A2300="","",COUNTIFS('Audit Versions'!$A$6:$A$605,$A2300,'Audit Versions'!$L$6:$L$605,"Active"))</f>
        <v/>
      </c>
      <c r="Q2300" s="15" t="n"/>
      <c r="R2300" s="26">
        <f>IF(OR($A2300="",$P2300=0),"",MOD(N($Q2300),$P2300)+1)</f>
        <v/>
      </c>
      <c r="S2300" s="15" t="n"/>
      <c r="T2300" s="25" t="n"/>
      <c r="U2300" s="26">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Builder'!$B$12="",N($S2300)&lt;='Assignment Builder'!$B$12)))</f>
        <v/>
      </c>
      <c r="V2300" s="23" t="n"/>
    </row>
    <row r="2301">
      <c r="A2301" s="23" t="n"/>
      <c r="B2301" s="23" t="n"/>
      <c r="C2301" s="24" t="n"/>
      <c r="D2301" s="15" t="n"/>
      <c r="E2301" s="23" t="n"/>
      <c r="F2301" s="15" t="n"/>
      <c r="G2301" s="23" t="n"/>
      <c r="H2301" s="25" t="n"/>
      <c r="I2301" s="15" t="n"/>
      <c r="J2301" s="26">
        <f>IF($A2301="","",LEN($C2301)-LEN(SUBSTITUTE($C2301,",",""))+1)</f>
        <v/>
      </c>
      <c r="K2301" s="26">
        <f>IF($A2301="","",SUMPRODUCT(--ISNUMBER(SEARCH('Category Dictionary'!$D$5:$D$135&amp;"",$C2301)),--('Category Dictionary'!$D$5:$D$135&lt;&gt;"")))</f>
        <v/>
      </c>
      <c r="L2301" s="27">
        <f>IF($A2301="","",TRIM(IF(ISERROR(FIND(",",$C2301)),$C2301,LEFT($C2301,FIND(",",$C2301)-1))))</f>
        <v/>
      </c>
      <c r="M2301" s="28">
        <f>IF($H2301="","",DATE(YEAR($H2301),MONTH($H2301),1))</f>
        <v/>
      </c>
      <c r="N2301" s="26">
        <f>IF($H2301="","",TODAY()-$H2301)</f>
        <v/>
      </c>
      <c r="O2301" s="15" t="n"/>
      <c r="P2301" s="26">
        <f>IF($A2301="","",COUNTIFS('Audit Versions'!$A$6:$A$605,$A2301,'Audit Versions'!$L$6:$L$605,"Active"))</f>
        <v/>
      </c>
      <c r="Q2301" s="15" t="n"/>
      <c r="R2301" s="26">
        <f>IF(OR($A2301="",$P2301=0),"",MOD(N($Q2301),$P2301)+1)</f>
        <v/>
      </c>
      <c r="S2301" s="15" t="n"/>
      <c r="T2301" s="25" t="n"/>
      <c r="U2301" s="26">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Builder'!$B$12="",N($S2301)&lt;='Assignment Builder'!$B$12)))</f>
        <v/>
      </c>
      <c r="V2301" s="23" t="n"/>
    </row>
    <row r="2302">
      <c r="A2302" s="23" t="n"/>
      <c r="B2302" s="23" t="n"/>
      <c r="C2302" s="24" t="n"/>
      <c r="D2302" s="15" t="n"/>
      <c r="E2302" s="23" t="n"/>
      <c r="F2302" s="15" t="n"/>
      <c r="G2302" s="23" t="n"/>
      <c r="H2302" s="25" t="n"/>
      <c r="I2302" s="15" t="n"/>
      <c r="J2302" s="26">
        <f>IF($A2302="","",LEN($C2302)-LEN(SUBSTITUTE($C2302,",",""))+1)</f>
        <v/>
      </c>
      <c r="K2302" s="26">
        <f>IF($A2302="","",SUMPRODUCT(--ISNUMBER(SEARCH('Category Dictionary'!$D$5:$D$135&amp;"",$C2302)),--('Category Dictionary'!$D$5:$D$135&lt;&gt;"")))</f>
        <v/>
      </c>
      <c r="L2302" s="27">
        <f>IF($A2302="","",TRIM(IF(ISERROR(FIND(",",$C2302)),$C2302,LEFT($C2302,FIND(",",$C2302)-1))))</f>
        <v/>
      </c>
      <c r="M2302" s="28">
        <f>IF($H2302="","",DATE(YEAR($H2302),MONTH($H2302),1))</f>
        <v/>
      </c>
      <c r="N2302" s="26">
        <f>IF($H2302="","",TODAY()-$H2302)</f>
        <v/>
      </c>
      <c r="O2302" s="15" t="n"/>
      <c r="P2302" s="26">
        <f>IF($A2302="","",COUNTIFS('Audit Versions'!$A$6:$A$605,$A2302,'Audit Versions'!$L$6:$L$605,"Active"))</f>
        <v/>
      </c>
      <c r="Q2302" s="15" t="n"/>
      <c r="R2302" s="26">
        <f>IF(OR($A2302="",$P2302=0),"",MOD(N($Q2302),$P2302)+1)</f>
        <v/>
      </c>
      <c r="S2302" s="15" t="n"/>
      <c r="T2302" s="25" t="n"/>
      <c r="U2302" s="26">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Builder'!$B$12="",N($S2302)&lt;='Assignment Builder'!$B$12)))</f>
        <v/>
      </c>
      <c r="V2302" s="23" t="n"/>
    </row>
    <row r="2303">
      <c r="A2303" s="23" t="n"/>
      <c r="B2303" s="23" t="n"/>
      <c r="C2303" s="24" t="n"/>
      <c r="D2303" s="15" t="n"/>
      <c r="E2303" s="23" t="n"/>
      <c r="F2303" s="15" t="n"/>
      <c r="G2303" s="23" t="n"/>
      <c r="H2303" s="25" t="n"/>
      <c r="I2303" s="15" t="n"/>
      <c r="J2303" s="26">
        <f>IF($A2303="","",LEN($C2303)-LEN(SUBSTITUTE($C2303,",",""))+1)</f>
        <v/>
      </c>
      <c r="K2303" s="26">
        <f>IF($A2303="","",SUMPRODUCT(--ISNUMBER(SEARCH('Category Dictionary'!$D$5:$D$135&amp;"",$C2303)),--('Category Dictionary'!$D$5:$D$135&lt;&gt;"")))</f>
        <v/>
      </c>
      <c r="L2303" s="27">
        <f>IF($A2303="","",TRIM(IF(ISERROR(FIND(",",$C2303)),$C2303,LEFT($C2303,FIND(",",$C2303)-1))))</f>
        <v/>
      </c>
      <c r="M2303" s="28">
        <f>IF($H2303="","",DATE(YEAR($H2303),MONTH($H2303),1))</f>
        <v/>
      </c>
      <c r="N2303" s="26">
        <f>IF($H2303="","",TODAY()-$H2303)</f>
        <v/>
      </c>
      <c r="O2303" s="15" t="n"/>
      <c r="P2303" s="26">
        <f>IF($A2303="","",COUNTIFS('Audit Versions'!$A$6:$A$605,$A2303,'Audit Versions'!$L$6:$L$605,"Active"))</f>
        <v/>
      </c>
      <c r="Q2303" s="15" t="n"/>
      <c r="R2303" s="26">
        <f>IF(OR($A2303="",$P2303=0),"",MOD(N($Q2303),$P2303)+1)</f>
        <v/>
      </c>
      <c r="S2303" s="15" t="n"/>
      <c r="T2303" s="25" t="n"/>
      <c r="U2303" s="26">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Builder'!$B$12="",N($S2303)&lt;='Assignment Builder'!$B$12)))</f>
        <v/>
      </c>
      <c r="V2303" s="23" t="n"/>
    </row>
    <row r="2304">
      <c r="A2304" s="23" t="n"/>
      <c r="B2304" s="23" t="n"/>
      <c r="C2304" s="24" t="n"/>
      <c r="D2304" s="15" t="n"/>
      <c r="E2304" s="23" t="n"/>
      <c r="F2304" s="15" t="n"/>
      <c r="G2304" s="23" t="n"/>
      <c r="H2304" s="25" t="n"/>
      <c r="I2304" s="15" t="n"/>
      <c r="J2304" s="26">
        <f>IF($A2304="","",LEN($C2304)-LEN(SUBSTITUTE($C2304,",",""))+1)</f>
        <v/>
      </c>
      <c r="K2304" s="26">
        <f>IF($A2304="","",SUMPRODUCT(--ISNUMBER(SEARCH('Category Dictionary'!$D$5:$D$135&amp;"",$C2304)),--('Category Dictionary'!$D$5:$D$135&lt;&gt;"")))</f>
        <v/>
      </c>
      <c r="L2304" s="27">
        <f>IF($A2304="","",TRIM(IF(ISERROR(FIND(",",$C2304)),$C2304,LEFT($C2304,FIND(",",$C2304)-1))))</f>
        <v/>
      </c>
      <c r="M2304" s="28">
        <f>IF($H2304="","",DATE(YEAR($H2304),MONTH($H2304),1))</f>
        <v/>
      </c>
      <c r="N2304" s="26">
        <f>IF($H2304="","",TODAY()-$H2304)</f>
        <v/>
      </c>
      <c r="O2304" s="15" t="n"/>
      <c r="P2304" s="26">
        <f>IF($A2304="","",COUNTIFS('Audit Versions'!$A$6:$A$605,$A2304,'Audit Versions'!$L$6:$L$605,"Active"))</f>
        <v/>
      </c>
      <c r="Q2304" s="15" t="n"/>
      <c r="R2304" s="26">
        <f>IF(OR($A2304="",$P2304=0),"",MOD(N($Q2304),$P2304)+1)</f>
        <v/>
      </c>
      <c r="S2304" s="15" t="n"/>
      <c r="T2304" s="25" t="n"/>
      <c r="U2304" s="26">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Builder'!$B$12="",N($S2304)&lt;='Assignment Builder'!$B$12)))</f>
        <v/>
      </c>
      <c r="V2304" s="23" t="n"/>
    </row>
    <row r="2305">
      <c r="A2305" s="23" t="n"/>
      <c r="B2305" s="23" t="n"/>
      <c r="C2305" s="24" t="n"/>
      <c r="D2305" s="15" t="n"/>
      <c r="E2305" s="23" t="n"/>
      <c r="F2305" s="15" t="n"/>
      <c r="G2305" s="23" t="n"/>
      <c r="H2305" s="25" t="n"/>
      <c r="I2305" s="15" t="n"/>
      <c r="J2305" s="26">
        <f>IF($A2305="","",LEN($C2305)-LEN(SUBSTITUTE($C2305,",",""))+1)</f>
        <v/>
      </c>
      <c r="K2305" s="26">
        <f>IF($A2305="","",SUMPRODUCT(--ISNUMBER(SEARCH('Category Dictionary'!$D$5:$D$135&amp;"",$C2305)),--('Category Dictionary'!$D$5:$D$135&lt;&gt;"")))</f>
        <v/>
      </c>
      <c r="L2305" s="27">
        <f>IF($A2305="","",TRIM(IF(ISERROR(FIND(",",$C2305)),$C2305,LEFT($C2305,FIND(",",$C2305)-1))))</f>
        <v/>
      </c>
      <c r="M2305" s="28">
        <f>IF($H2305="","",DATE(YEAR($H2305),MONTH($H2305),1))</f>
        <v/>
      </c>
      <c r="N2305" s="26">
        <f>IF($H2305="","",TODAY()-$H2305)</f>
        <v/>
      </c>
      <c r="O2305" s="15" t="n"/>
      <c r="P2305" s="26">
        <f>IF($A2305="","",COUNTIFS('Audit Versions'!$A$6:$A$605,$A2305,'Audit Versions'!$L$6:$L$605,"Active"))</f>
        <v/>
      </c>
      <c r="Q2305" s="15" t="n"/>
      <c r="R2305" s="26">
        <f>IF(OR($A2305="",$P2305=0),"",MOD(N($Q2305),$P2305)+1)</f>
        <v/>
      </c>
      <c r="S2305" s="15" t="n"/>
      <c r="T2305" s="25" t="n"/>
      <c r="U2305" s="26">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Builder'!$B$12="",N($S2305)&lt;='Assignment Builder'!$B$12)))</f>
        <v/>
      </c>
      <c r="V2305" s="23" t="n"/>
    </row>
    <row r="2306">
      <c r="A2306" s="23" t="n"/>
      <c r="B2306" s="23" t="n"/>
      <c r="C2306" s="24" t="n"/>
      <c r="D2306" s="15" t="n"/>
      <c r="E2306" s="23" t="n"/>
      <c r="F2306" s="15" t="n"/>
      <c r="G2306" s="23" t="n"/>
      <c r="H2306" s="25" t="n"/>
      <c r="I2306" s="15" t="n"/>
      <c r="J2306" s="26">
        <f>IF($A2306="","",LEN($C2306)-LEN(SUBSTITUTE($C2306,",",""))+1)</f>
        <v/>
      </c>
      <c r="K2306" s="26">
        <f>IF($A2306="","",SUMPRODUCT(--ISNUMBER(SEARCH('Category Dictionary'!$D$5:$D$135&amp;"",$C2306)),--('Category Dictionary'!$D$5:$D$135&lt;&gt;"")))</f>
        <v/>
      </c>
      <c r="L2306" s="27">
        <f>IF($A2306="","",TRIM(IF(ISERROR(FIND(",",$C2306)),$C2306,LEFT($C2306,FIND(",",$C2306)-1))))</f>
        <v/>
      </c>
      <c r="M2306" s="28">
        <f>IF($H2306="","",DATE(YEAR($H2306),MONTH($H2306),1))</f>
        <v/>
      </c>
      <c r="N2306" s="26">
        <f>IF($H2306="","",TODAY()-$H2306)</f>
        <v/>
      </c>
      <c r="O2306" s="15" t="n"/>
      <c r="P2306" s="26">
        <f>IF($A2306="","",COUNTIFS('Audit Versions'!$A$6:$A$605,$A2306,'Audit Versions'!$L$6:$L$605,"Active"))</f>
        <v/>
      </c>
      <c r="Q2306" s="15" t="n"/>
      <c r="R2306" s="26">
        <f>IF(OR($A2306="",$P2306=0),"",MOD(N($Q2306),$P2306)+1)</f>
        <v/>
      </c>
      <c r="S2306" s="15" t="n"/>
      <c r="T2306" s="25" t="n"/>
      <c r="U2306" s="26">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Builder'!$B$12="",N($S2306)&lt;='Assignment Builder'!$B$12)))</f>
        <v/>
      </c>
      <c r="V2306" s="23" t="n"/>
    </row>
    <row r="2307">
      <c r="A2307" s="23" t="n"/>
      <c r="B2307" s="23" t="n"/>
      <c r="C2307" s="24" t="n"/>
      <c r="D2307" s="15" t="n"/>
      <c r="E2307" s="23" t="n"/>
      <c r="F2307" s="15" t="n"/>
      <c r="G2307" s="23" t="n"/>
      <c r="H2307" s="25" t="n"/>
      <c r="I2307" s="15" t="n"/>
      <c r="J2307" s="26">
        <f>IF($A2307="","",LEN($C2307)-LEN(SUBSTITUTE($C2307,",",""))+1)</f>
        <v/>
      </c>
      <c r="K2307" s="26">
        <f>IF($A2307="","",SUMPRODUCT(--ISNUMBER(SEARCH('Category Dictionary'!$D$5:$D$135&amp;"",$C2307)),--('Category Dictionary'!$D$5:$D$135&lt;&gt;"")))</f>
        <v/>
      </c>
      <c r="L2307" s="27">
        <f>IF($A2307="","",TRIM(IF(ISERROR(FIND(",",$C2307)),$C2307,LEFT($C2307,FIND(",",$C2307)-1))))</f>
        <v/>
      </c>
      <c r="M2307" s="28">
        <f>IF($H2307="","",DATE(YEAR($H2307),MONTH($H2307),1))</f>
        <v/>
      </c>
      <c r="N2307" s="26">
        <f>IF($H2307="","",TODAY()-$H2307)</f>
        <v/>
      </c>
      <c r="O2307" s="15" t="n"/>
      <c r="P2307" s="26">
        <f>IF($A2307="","",COUNTIFS('Audit Versions'!$A$6:$A$605,$A2307,'Audit Versions'!$L$6:$L$605,"Active"))</f>
        <v/>
      </c>
      <c r="Q2307" s="15" t="n"/>
      <c r="R2307" s="26">
        <f>IF(OR($A2307="",$P2307=0),"",MOD(N($Q2307),$P2307)+1)</f>
        <v/>
      </c>
      <c r="S2307" s="15" t="n"/>
      <c r="T2307" s="25" t="n"/>
      <c r="U2307" s="26">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Builder'!$B$12="",N($S2307)&lt;='Assignment Builder'!$B$12)))</f>
        <v/>
      </c>
      <c r="V2307" s="23" t="n"/>
    </row>
    <row r="2308">
      <c r="A2308" s="23" t="n"/>
      <c r="B2308" s="23" t="n"/>
      <c r="C2308" s="24" t="n"/>
      <c r="D2308" s="15" t="n"/>
      <c r="E2308" s="23" t="n"/>
      <c r="F2308" s="15" t="n"/>
      <c r="G2308" s="23" t="n"/>
      <c r="H2308" s="25" t="n"/>
      <c r="I2308" s="15" t="n"/>
      <c r="J2308" s="26">
        <f>IF($A2308="","",LEN($C2308)-LEN(SUBSTITUTE($C2308,",",""))+1)</f>
        <v/>
      </c>
      <c r="K2308" s="26">
        <f>IF($A2308="","",SUMPRODUCT(--ISNUMBER(SEARCH('Category Dictionary'!$D$5:$D$135&amp;"",$C2308)),--('Category Dictionary'!$D$5:$D$135&lt;&gt;"")))</f>
        <v/>
      </c>
      <c r="L2308" s="27">
        <f>IF($A2308="","",TRIM(IF(ISERROR(FIND(",",$C2308)),$C2308,LEFT($C2308,FIND(",",$C2308)-1))))</f>
        <v/>
      </c>
      <c r="M2308" s="28">
        <f>IF($H2308="","",DATE(YEAR($H2308),MONTH($H2308),1))</f>
        <v/>
      </c>
      <c r="N2308" s="26">
        <f>IF($H2308="","",TODAY()-$H2308)</f>
        <v/>
      </c>
      <c r="O2308" s="15" t="n"/>
      <c r="P2308" s="26">
        <f>IF($A2308="","",COUNTIFS('Audit Versions'!$A$6:$A$605,$A2308,'Audit Versions'!$L$6:$L$605,"Active"))</f>
        <v/>
      </c>
      <c r="Q2308" s="15" t="n"/>
      <c r="R2308" s="26">
        <f>IF(OR($A2308="",$P2308=0),"",MOD(N($Q2308),$P2308)+1)</f>
        <v/>
      </c>
      <c r="S2308" s="15" t="n"/>
      <c r="T2308" s="25" t="n"/>
      <c r="U2308" s="26">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Builder'!$B$12="",N($S2308)&lt;='Assignment Builder'!$B$12)))</f>
        <v/>
      </c>
      <c r="V2308" s="23" t="n"/>
    </row>
    <row r="2309">
      <c r="A2309" s="23" t="n"/>
      <c r="B2309" s="23" t="n"/>
      <c r="C2309" s="24" t="n"/>
      <c r="D2309" s="15" t="n"/>
      <c r="E2309" s="23" t="n"/>
      <c r="F2309" s="15" t="n"/>
      <c r="G2309" s="23" t="n"/>
      <c r="H2309" s="25" t="n"/>
      <c r="I2309" s="15" t="n"/>
      <c r="J2309" s="26">
        <f>IF($A2309="","",LEN($C2309)-LEN(SUBSTITUTE($C2309,",",""))+1)</f>
        <v/>
      </c>
      <c r="K2309" s="26">
        <f>IF($A2309="","",SUMPRODUCT(--ISNUMBER(SEARCH('Category Dictionary'!$D$5:$D$135&amp;"",$C2309)),--('Category Dictionary'!$D$5:$D$135&lt;&gt;"")))</f>
        <v/>
      </c>
      <c r="L2309" s="27">
        <f>IF($A2309="","",TRIM(IF(ISERROR(FIND(",",$C2309)),$C2309,LEFT($C2309,FIND(",",$C2309)-1))))</f>
        <v/>
      </c>
      <c r="M2309" s="28">
        <f>IF($H2309="","",DATE(YEAR($H2309),MONTH($H2309),1))</f>
        <v/>
      </c>
      <c r="N2309" s="26">
        <f>IF($H2309="","",TODAY()-$H2309)</f>
        <v/>
      </c>
      <c r="O2309" s="15" t="n"/>
      <c r="P2309" s="26">
        <f>IF($A2309="","",COUNTIFS('Audit Versions'!$A$6:$A$605,$A2309,'Audit Versions'!$L$6:$L$605,"Active"))</f>
        <v/>
      </c>
      <c r="Q2309" s="15" t="n"/>
      <c r="R2309" s="26">
        <f>IF(OR($A2309="",$P2309=0),"",MOD(N($Q2309),$P2309)+1)</f>
        <v/>
      </c>
      <c r="S2309" s="15" t="n"/>
      <c r="T2309" s="25" t="n"/>
      <c r="U2309" s="26">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Builder'!$B$12="",N($S2309)&lt;='Assignment Builder'!$B$12)))</f>
        <v/>
      </c>
      <c r="V2309" s="23" t="n"/>
    </row>
    <row r="2310">
      <c r="A2310" s="23" t="n"/>
      <c r="B2310" s="23" t="n"/>
      <c r="C2310" s="24" t="n"/>
      <c r="D2310" s="15" t="n"/>
      <c r="E2310" s="23" t="n"/>
      <c r="F2310" s="15" t="n"/>
      <c r="G2310" s="23" t="n"/>
      <c r="H2310" s="25" t="n"/>
      <c r="I2310" s="15" t="n"/>
      <c r="J2310" s="26">
        <f>IF($A2310="","",LEN($C2310)-LEN(SUBSTITUTE($C2310,",",""))+1)</f>
        <v/>
      </c>
      <c r="K2310" s="26">
        <f>IF($A2310="","",SUMPRODUCT(--ISNUMBER(SEARCH('Category Dictionary'!$D$5:$D$135&amp;"",$C2310)),--('Category Dictionary'!$D$5:$D$135&lt;&gt;"")))</f>
        <v/>
      </c>
      <c r="L2310" s="27">
        <f>IF($A2310="","",TRIM(IF(ISERROR(FIND(",",$C2310)),$C2310,LEFT($C2310,FIND(",",$C2310)-1))))</f>
        <v/>
      </c>
      <c r="M2310" s="28">
        <f>IF($H2310="","",DATE(YEAR($H2310),MONTH($H2310),1))</f>
        <v/>
      </c>
      <c r="N2310" s="26">
        <f>IF($H2310="","",TODAY()-$H2310)</f>
        <v/>
      </c>
      <c r="O2310" s="15" t="n"/>
      <c r="P2310" s="26">
        <f>IF($A2310="","",COUNTIFS('Audit Versions'!$A$6:$A$605,$A2310,'Audit Versions'!$L$6:$L$605,"Active"))</f>
        <v/>
      </c>
      <c r="Q2310" s="15" t="n"/>
      <c r="R2310" s="26">
        <f>IF(OR($A2310="",$P2310=0),"",MOD(N($Q2310),$P2310)+1)</f>
        <v/>
      </c>
      <c r="S2310" s="15" t="n"/>
      <c r="T2310" s="25" t="n"/>
      <c r="U2310" s="26">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Builder'!$B$12="",N($S2310)&lt;='Assignment Builder'!$B$12)))</f>
        <v/>
      </c>
      <c r="V2310" s="23" t="n"/>
    </row>
    <row r="2311">
      <c r="A2311" s="23" t="n"/>
      <c r="B2311" s="23" t="n"/>
      <c r="C2311" s="24" t="n"/>
      <c r="D2311" s="15" t="n"/>
      <c r="E2311" s="23" t="n"/>
      <c r="F2311" s="15" t="n"/>
      <c r="G2311" s="23" t="n"/>
      <c r="H2311" s="25" t="n"/>
      <c r="I2311" s="15" t="n"/>
      <c r="J2311" s="26">
        <f>IF($A2311="","",LEN($C2311)-LEN(SUBSTITUTE($C2311,",",""))+1)</f>
        <v/>
      </c>
      <c r="K2311" s="26">
        <f>IF($A2311="","",SUMPRODUCT(--ISNUMBER(SEARCH('Category Dictionary'!$D$5:$D$135&amp;"",$C2311)),--('Category Dictionary'!$D$5:$D$135&lt;&gt;"")))</f>
        <v/>
      </c>
      <c r="L2311" s="27">
        <f>IF($A2311="","",TRIM(IF(ISERROR(FIND(",",$C2311)),$C2311,LEFT($C2311,FIND(",",$C2311)-1))))</f>
        <v/>
      </c>
      <c r="M2311" s="28">
        <f>IF($H2311="","",DATE(YEAR($H2311),MONTH($H2311),1))</f>
        <v/>
      </c>
      <c r="N2311" s="26">
        <f>IF($H2311="","",TODAY()-$H2311)</f>
        <v/>
      </c>
      <c r="O2311" s="15" t="n"/>
      <c r="P2311" s="26">
        <f>IF($A2311="","",COUNTIFS('Audit Versions'!$A$6:$A$605,$A2311,'Audit Versions'!$L$6:$L$605,"Active"))</f>
        <v/>
      </c>
      <c r="Q2311" s="15" t="n"/>
      <c r="R2311" s="26">
        <f>IF(OR($A2311="",$P2311=0),"",MOD(N($Q2311),$P2311)+1)</f>
        <v/>
      </c>
      <c r="S2311" s="15" t="n"/>
      <c r="T2311" s="25" t="n"/>
      <c r="U2311" s="26">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Builder'!$B$12="",N($S2311)&lt;='Assignment Builder'!$B$12)))</f>
        <v/>
      </c>
      <c r="V2311" s="23" t="n"/>
    </row>
    <row r="2312">
      <c r="A2312" s="23" t="n"/>
      <c r="B2312" s="23" t="n"/>
      <c r="C2312" s="24" t="n"/>
      <c r="D2312" s="15" t="n"/>
      <c r="E2312" s="23" t="n"/>
      <c r="F2312" s="15" t="n"/>
      <c r="G2312" s="23" t="n"/>
      <c r="H2312" s="25" t="n"/>
      <c r="I2312" s="15" t="n"/>
      <c r="J2312" s="26">
        <f>IF($A2312="","",LEN($C2312)-LEN(SUBSTITUTE($C2312,",",""))+1)</f>
        <v/>
      </c>
      <c r="K2312" s="26">
        <f>IF($A2312="","",SUMPRODUCT(--ISNUMBER(SEARCH('Category Dictionary'!$D$5:$D$135&amp;"",$C2312)),--('Category Dictionary'!$D$5:$D$135&lt;&gt;"")))</f>
        <v/>
      </c>
      <c r="L2312" s="27">
        <f>IF($A2312="","",TRIM(IF(ISERROR(FIND(",",$C2312)),$C2312,LEFT($C2312,FIND(",",$C2312)-1))))</f>
        <v/>
      </c>
      <c r="M2312" s="28">
        <f>IF($H2312="","",DATE(YEAR($H2312),MONTH($H2312),1))</f>
        <v/>
      </c>
      <c r="N2312" s="26">
        <f>IF($H2312="","",TODAY()-$H2312)</f>
        <v/>
      </c>
      <c r="O2312" s="15" t="n"/>
      <c r="P2312" s="26">
        <f>IF($A2312="","",COUNTIFS('Audit Versions'!$A$6:$A$605,$A2312,'Audit Versions'!$L$6:$L$605,"Active"))</f>
        <v/>
      </c>
      <c r="Q2312" s="15" t="n"/>
      <c r="R2312" s="26">
        <f>IF(OR($A2312="",$P2312=0),"",MOD(N($Q2312),$P2312)+1)</f>
        <v/>
      </c>
      <c r="S2312" s="15" t="n"/>
      <c r="T2312" s="25" t="n"/>
      <c r="U2312" s="26">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Builder'!$B$12="",N($S2312)&lt;='Assignment Builder'!$B$12)))</f>
        <v/>
      </c>
      <c r="V2312" s="23" t="n"/>
    </row>
    <row r="2313">
      <c r="A2313" s="23" t="n"/>
      <c r="B2313" s="23" t="n"/>
      <c r="C2313" s="24" t="n"/>
      <c r="D2313" s="15" t="n"/>
      <c r="E2313" s="23" t="n"/>
      <c r="F2313" s="15" t="n"/>
      <c r="G2313" s="23" t="n"/>
      <c r="H2313" s="25" t="n"/>
      <c r="I2313" s="15" t="n"/>
      <c r="J2313" s="26">
        <f>IF($A2313="","",LEN($C2313)-LEN(SUBSTITUTE($C2313,",",""))+1)</f>
        <v/>
      </c>
      <c r="K2313" s="26">
        <f>IF($A2313="","",SUMPRODUCT(--ISNUMBER(SEARCH('Category Dictionary'!$D$5:$D$135&amp;"",$C2313)),--('Category Dictionary'!$D$5:$D$135&lt;&gt;"")))</f>
        <v/>
      </c>
      <c r="L2313" s="27">
        <f>IF($A2313="","",TRIM(IF(ISERROR(FIND(",",$C2313)),$C2313,LEFT($C2313,FIND(",",$C2313)-1))))</f>
        <v/>
      </c>
      <c r="M2313" s="28">
        <f>IF($H2313="","",DATE(YEAR($H2313),MONTH($H2313),1))</f>
        <v/>
      </c>
      <c r="N2313" s="26">
        <f>IF($H2313="","",TODAY()-$H2313)</f>
        <v/>
      </c>
      <c r="O2313" s="15" t="n"/>
      <c r="P2313" s="26">
        <f>IF($A2313="","",COUNTIFS('Audit Versions'!$A$6:$A$605,$A2313,'Audit Versions'!$L$6:$L$605,"Active"))</f>
        <v/>
      </c>
      <c r="Q2313" s="15" t="n"/>
      <c r="R2313" s="26">
        <f>IF(OR($A2313="",$P2313=0),"",MOD(N($Q2313),$P2313)+1)</f>
        <v/>
      </c>
      <c r="S2313" s="15" t="n"/>
      <c r="T2313" s="25" t="n"/>
      <c r="U2313" s="26">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Builder'!$B$12="",N($S2313)&lt;='Assignment Builder'!$B$12)))</f>
        <v/>
      </c>
      <c r="V2313" s="23" t="n"/>
    </row>
    <row r="2314">
      <c r="A2314" s="23" t="n"/>
      <c r="B2314" s="23" t="n"/>
      <c r="C2314" s="24" t="n"/>
      <c r="D2314" s="15" t="n"/>
      <c r="E2314" s="23" t="n"/>
      <c r="F2314" s="15" t="n"/>
      <c r="G2314" s="23" t="n"/>
      <c r="H2314" s="25" t="n"/>
      <c r="I2314" s="15" t="n"/>
      <c r="J2314" s="26">
        <f>IF($A2314="","",LEN($C2314)-LEN(SUBSTITUTE($C2314,",",""))+1)</f>
        <v/>
      </c>
      <c r="K2314" s="26">
        <f>IF($A2314="","",SUMPRODUCT(--ISNUMBER(SEARCH('Category Dictionary'!$D$5:$D$135&amp;"",$C2314)),--('Category Dictionary'!$D$5:$D$135&lt;&gt;"")))</f>
        <v/>
      </c>
      <c r="L2314" s="27">
        <f>IF($A2314="","",TRIM(IF(ISERROR(FIND(",",$C2314)),$C2314,LEFT($C2314,FIND(",",$C2314)-1))))</f>
        <v/>
      </c>
      <c r="M2314" s="28">
        <f>IF($H2314="","",DATE(YEAR($H2314),MONTH($H2314),1))</f>
        <v/>
      </c>
      <c r="N2314" s="26">
        <f>IF($H2314="","",TODAY()-$H2314)</f>
        <v/>
      </c>
      <c r="O2314" s="15" t="n"/>
      <c r="P2314" s="26">
        <f>IF($A2314="","",COUNTIFS('Audit Versions'!$A$6:$A$605,$A2314,'Audit Versions'!$L$6:$L$605,"Active"))</f>
        <v/>
      </c>
      <c r="Q2314" s="15" t="n"/>
      <c r="R2314" s="26">
        <f>IF(OR($A2314="",$P2314=0),"",MOD(N($Q2314),$P2314)+1)</f>
        <v/>
      </c>
      <c r="S2314" s="15" t="n"/>
      <c r="T2314" s="25" t="n"/>
      <c r="U2314" s="26">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Builder'!$B$12="",N($S2314)&lt;='Assignment Builder'!$B$12)))</f>
        <v/>
      </c>
      <c r="V2314" s="23" t="n"/>
    </row>
    <row r="2315">
      <c r="A2315" s="23" t="n"/>
      <c r="B2315" s="23" t="n"/>
      <c r="C2315" s="24" t="n"/>
      <c r="D2315" s="15" t="n"/>
      <c r="E2315" s="23" t="n"/>
      <c r="F2315" s="15" t="n"/>
      <c r="G2315" s="23" t="n"/>
      <c r="H2315" s="25" t="n"/>
      <c r="I2315" s="15" t="n"/>
      <c r="J2315" s="26">
        <f>IF($A2315="","",LEN($C2315)-LEN(SUBSTITUTE($C2315,",",""))+1)</f>
        <v/>
      </c>
      <c r="K2315" s="26">
        <f>IF($A2315="","",SUMPRODUCT(--ISNUMBER(SEARCH('Category Dictionary'!$D$5:$D$135&amp;"",$C2315)),--('Category Dictionary'!$D$5:$D$135&lt;&gt;"")))</f>
        <v/>
      </c>
      <c r="L2315" s="27">
        <f>IF($A2315="","",TRIM(IF(ISERROR(FIND(",",$C2315)),$C2315,LEFT($C2315,FIND(",",$C2315)-1))))</f>
        <v/>
      </c>
      <c r="M2315" s="28">
        <f>IF($H2315="","",DATE(YEAR($H2315),MONTH($H2315),1))</f>
        <v/>
      </c>
      <c r="N2315" s="26">
        <f>IF($H2315="","",TODAY()-$H2315)</f>
        <v/>
      </c>
      <c r="O2315" s="15" t="n"/>
      <c r="P2315" s="26">
        <f>IF($A2315="","",COUNTIFS('Audit Versions'!$A$6:$A$605,$A2315,'Audit Versions'!$L$6:$L$605,"Active"))</f>
        <v/>
      </c>
      <c r="Q2315" s="15" t="n"/>
      <c r="R2315" s="26">
        <f>IF(OR($A2315="",$P2315=0),"",MOD(N($Q2315),$P2315)+1)</f>
        <v/>
      </c>
      <c r="S2315" s="15" t="n"/>
      <c r="T2315" s="25" t="n"/>
      <c r="U2315" s="26">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Builder'!$B$12="",N($S2315)&lt;='Assignment Builder'!$B$12)))</f>
        <v/>
      </c>
      <c r="V2315" s="23" t="n"/>
    </row>
    <row r="2316">
      <c r="A2316" s="23" t="n"/>
      <c r="B2316" s="23" t="n"/>
      <c r="C2316" s="24" t="n"/>
      <c r="D2316" s="15" t="n"/>
      <c r="E2316" s="23" t="n"/>
      <c r="F2316" s="15" t="n"/>
      <c r="G2316" s="23" t="n"/>
      <c r="H2316" s="25" t="n"/>
      <c r="I2316" s="15" t="n"/>
      <c r="J2316" s="26">
        <f>IF($A2316="","",LEN($C2316)-LEN(SUBSTITUTE($C2316,",",""))+1)</f>
        <v/>
      </c>
      <c r="K2316" s="26">
        <f>IF($A2316="","",SUMPRODUCT(--ISNUMBER(SEARCH('Category Dictionary'!$D$5:$D$135&amp;"",$C2316)),--('Category Dictionary'!$D$5:$D$135&lt;&gt;"")))</f>
        <v/>
      </c>
      <c r="L2316" s="27">
        <f>IF($A2316="","",TRIM(IF(ISERROR(FIND(",",$C2316)),$C2316,LEFT($C2316,FIND(",",$C2316)-1))))</f>
        <v/>
      </c>
      <c r="M2316" s="28">
        <f>IF($H2316="","",DATE(YEAR($H2316),MONTH($H2316),1))</f>
        <v/>
      </c>
      <c r="N2316" s="26">
        <f>IF($H2316="","",TODAY()-$H2316)</f>
        <v/>
      </c>
      <c r="O2316" s="15" t="n"/>
      <c r="P2316" s="26">
        <f>IF($A2316="","",COUNTIFS('Audit Versions'!$A$6:$A$605,$A2316,'Audit Versions'!$L$6:$L$605,"Active"))</f>
        <v/>
      </c>
      <c r="Q2316" s="15" t="n"/>
      <c r="R2316" s="26">
        <f>IF(OR($A2316="",$P2316=0),"",MOD(N($Q2316),$P2316)+1)</f>
        <v/>
      </c>
      <c r="S2316" s="15" t="n"/>
      <c r="T2316" s="25" t="n"/>
      <c r="U2316" s="26">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Builder'!$B$12="",N($S2316)&lt;='Assignment Builder'!$B$12)))</f>
        <v/>
      </c>
      <c r="V2316" s="23" t="n"/>
    </row>
    <row r="2317">
      <c r="A2317" s="23" t="n"/>
      <c r="B2317" s="23" t="n"/>
      <c r="C2317" s="24" t="n"/>
      <c r="D2317" s="15" t="n"/>
      <c r="E2317" s="23" t="n"/>
      <c r="F2317" s="15" t="n"/>
      <c r="G2317" s="23" t="n"/>
      <c r="H2317" s="25" t="n"/>
      <c r="I2317" s="15" t="n"/>
      <c r="J2317" s="26">
        <f>IF($A2317="","",LEN($C2317)-LEN(SUBSTITUTE($C2317,",",""))+1)</f>
        <v/>
      </c>
      <c r="K2317" s="26">
        <f>IF($A2317="","",SUMPRODUCT(--ISNUMBER(SEARCH('Category Dictionary'!$D$5:$D$135&amp;"",$C2317)),--('Category Dictionary'!$D$5:$D$135&lt;&gt;"")))</f>
        <v/>
      </c>
      <c r="L2317" s="27">
        <f>IF($A2317="","",TRIM(IF(ISERROR(FIND(",",$C2317)),$C2317,LEFT($C2317,FIND(",",$C2317)-1))))</f>
        <v/>
      </c>
      <c r="M2317" s="28">
        <f>IF($H2317="","",DATE(YEAR($H2317),MONTH($H2317),1))</f>
        <v/>
      </c>
      <c r="N2317" s="26">
        <f>IF($H2317="","",TODAY()-$H2317)</f>
        <v/>
      </c>
      <c r="O2317" s="15" t="n"/>
      <c r="P2317" s="26">
        <f>IF($A2317="","",COUNTIFS('Audit Versions'!$A$6:$A$605,$A2317,'Audit Versions'!$L$6:$L$605,"Active"))</f>
        <v/>
      </c>
      <c r="Q2317" s="15" t="n"/>
      <c r="R2317" s="26">
        <f>IF(OR($A2317="",$P2317=0),"",MOD(N($Q2317),$P2317)+1)</f>
        <v/>
      </c>
      <c r="S2317" s="15" t="n"/>
      <c r="T2317" s="25" t="n"/>
      <c r="U2317" s="26">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Builder'!$B$12="",N($S2317)&lt;='Assignment Builder'!$B$12)))</f>
        <v/>
      </c>
      <c r="V2317" s="23" t="n"/>
    </row>
    <row r="2318">
      <c r="A2318" s="23" t="n"/>
      <c r="B2318" s="23" t="n"/>
      <c r="C2318" s="24" t="n"/>
      <c r="D2318" s="15" t="n"/>
      <c r="E2318" s="23" t="n"/>
      <c r="F2318" s="15" t="n"/>
      <c r="G2318" s="23" t="n"/>
      <c r="H2318" s="25" t="n"/>
      <c r="I2318" s="15" t="n"/>
      <c r="J2318" s="26">
        <f>IF($A2318="","",LEN($C2318)-LEN(SUBSTITUTE($C2318,",",""))+1)</f>
        <v/>
      </c>
      <c r="K2318" s="26">
        <f>IF($A2318="","",SUMPRODUCT(--ISNUMBER(SEARCH('Category Dictionary'!$D$5:$D$135&amp;"",$C2318)),--('Category Dictionary'!$D$5:$D$135&lt;&gt;"")))</f>
        <v/>
      </c>
      <c r="L2318" s="27">
        <f>IF($A2318="","",TRIM(IF(ISERROR(FIND(",",$C2318)),$C2318,LEFT($C2318,FIND(",",$C2318)-1))))</f>
        <v/>
      </c>
      <c r="M2318" s="28">
        <f>IF($H2318="","",DATE(YEAR($H2318),MONTH($H2318),1))</f>
        <v/>
      </c>
      <c r="N2318" s="26">
        <f>IF($H2318="","",TODAY()-$H2318)</f>
        <v/>
      </c>
      <c r="O2318" s="15" t="n"/>
      <c r="P2318" s="26">
        <f>IF($A2318="","",COUNTIFS('Audit Versions'!$A$6:$A$605,$A2318,'Audit Versions'!$L$6:$L$605,"Active"))</f>
        <v/>
      </c>
      <c r="Q2318" s="15" t="n"/>
      <c r="R2318" s="26">
        <f>IF(OR($A2318="",$P2318=0),"",MOD(N($Q2318),$P2318)+1)</f>
        <v/>
      </c>
      <c r="S2318" s="15" t="n"/>
      <c r="T2318" s="25" t="n"/>
      <c r="U2318" s="26">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Builder'!$B$12="",N($S2318)&lt;='Assignment Builder'!$B$12)))</f>
        <v/>
      </c>
      <c r="V2318" s="23" t="n"/>
    </row>
    <row r="2319">
      <c r="A2319" s="23" t="n"/>
      <c r="B2319" s="23" t="n"/>
      <c r="C2319" s="24" t="n"/>
      <c r="D2319" s="15" t="n"/>
      <c r="E2319" s="23" t="n"/>
      <c r="F2319" s="15" t="n"/>
      <c r="G2319" s="23" t="n"/>
      <c r="H2319" s="25" t="n"/>
      <c r="I2319" s="15" t="n"/>
      <c r="J2319" s="26">
        <f>IF($A2319="","",LEN($C2319)-LEN(SUBSTITUTE($C2319,",",""))+1)</f>
        <v/>
      </c>
      <c r="K2319" s="26">
        <f>IF($A2319="","",SUMPRODUCT(--ISNUMBER(SEARCH('Category Dictionary'!$D$5:$D$135&amp;"",$C2319)),--('Category Dictionary'!$D$5:$D$135&lt;&gt;"")))</f>
        <v/>
      </c>
      <c r="L2319" s="27">
        <f>IF($A2319="","",TRIM(IF(ISERROR(FIND(",",$C2319)),$C2319,LEFT($C2319,FIND(",",$C2319)-1))))</f>
        <v/>
      </c>
      <c r="M2319" s="28">
        <f>IF($H2319="","",DATE(YEAR($H2319),MONTH($H2319),1))</f>
        <v/>
      </c>
      <c r="N2319" s="26">
        <f>IF($H2319="","",TODAY()-$H2319)</f>
        <v/>
      </c>
      <c r="O2319" s="15" t="n"/>
      <c r="P2319" s="26">
        <f>IF($A2319="","",COUNTIFS('Audit Versions'!$A$6:$A$605,$A2319,'Audit Versions'!$L$6:$L$605,"Active"))</f>
        <v/>
      </c>
      <c r="Q2319" s="15" t="n"/>
      <c r="R2319" s="26">
        <f>IF(OR($A2319="",$P2319=0),"",MOD(N($Q2319),$P2319)+1)</f>
        <v/>
      </c>
      <c r="S2319" s="15" t="n"/>
      <c r="T2319" s="25" t="n"/>
      <c r="U2319" s="26">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Builder'!$B$12="",N($S2319)&lt;='Assignment Builder'!$B$12)))</f>
        <v/>
      </c>
      <c r="V2319" s="23" t="n"/>
    </row>
    <row r="2320">
      <c r="A2320" s="23" t="n"/>
      <c r="B2320" s="23" t="n"/>
      <c r="C2320" s="24" t="n"/>
      <c r="D2320" s="15" t="n"/>
      <c r="E2320" s="23" t="n"/>
      <c r="F2320" s="15" t="n"/>
      <c r="G2320" s="23" t="n"/>
      <c r="H2320" s="25" t="n"/>
      <c r="I2320" s="15" t="n"/>
      <c r="J2320" s="26">
        <f>IF($A2320="","",LEN($C2320)-LEN(SUBSTITUTE($C2320,",",""))+1)</f>
        <v/>
      </c>
      <c r="K2320" s="26">
        <f>IF($A2320="","",SUMPRODUCT(--ISNUMBER(SEARCH('Category Dictionary'!$D$5:$D$135&amp;"",$C2320)),--('Category Dictionary'!$D$5:$D$135&lt;&gt;"")))</f>
        <v/>
      </c>
      <c r="L2320" s="27">
        <f>IF($A2320="","",TRIM(IF(ISERROR(FIND(",",$C2320)),$C2320,LEFT($C2320,FIND(",",$C2320)-1))))</f>
        <v/>
      </c>
      <c r="M2320" s="28">
        <f>IF($H2320="","",DATE(YEAR($H2320),MONTH($H2320),1))</f>
        <v/>
      </c>
      <c r="N2320" s="26">
        <f>IF($H2320="","",TODAY()-$H2320)</f>
        <v/>
      </c>
      <c r="O2320" s="15" t="n"/>
      <c r="P2320" s="26">
        <f>IF($A2320="","",COUNTIFS('Audit Versions'!$A$6:$A$605,$A2320,'Audit Versions'!$L$6:$L$605,"Active"))</f>
        <v/>
      </c>
      <c r="Q2320" s="15" t="n"/>
      <c r="R2320" s="26">
        <f>IF(OR($A2320="",$P2320=0),"",MOD(N($Q2320),$P2320)+1)</f>
        <v/>
      </c>
      <c r="S2320" s="15" t="n"/>
      <c r="T2320" s="25" t="n"/>
      <c r="U2320" s="26">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Builder'!$B$12="",N($S2320)&lt;='Assignment Builder'!$B$12)))</f>
        <v/>
      </c>
      <c r="V2320" s="23" t="n"/>
    </row>
    <row r="2321">
      <c r="A2321" s="23" t="n"/>
      <c r="B2321" s="23" t="n"/>
      <c r="C2321" s="24" t="n"/>
      <c r="D2321" s="15" t="n"/>
      <c r="E2321" s="23" t="n"/>
      <c r="F2321" s="15" t="n"/>
      <c r="G2321" s="23" t="n"/>
      <c r="H2321" s="25" t="n"/>
      <c r="I2321" s="15" t="n"/>
      <c r="J2321" s="26">
        <f>IF($A2321="","",LEN($C2321)-LEN(SUBSTITUTE($C2321,",",""))+1)</f>
        <v/>
      </c>
      <c r="K2321" s="26">
        <f>IF($A2321="","",SUMPRODUCT(--ISNUMBER(SEARCH('Category Dictionary'!$D$5:$D$135&amp;"",$C2321)),--('Category Dictionary'!$D$5:$D$135&lt;&gt;"")))</f>
        <v/>
      </c>
      <c r="L2321" s="27">
        <f>IF($A2321="","",TRIM(IF(ISERROR(FIND(",",$C2321)),$C2321,LEFT($C2321,FIND(",",$C2321)-1))))</f>
        <v/>
      </c>
      <c r="M2321" s="28">
        <f>IF($H2321="","",DATE(YEAR($H2321),MONTH($H2321),1))</f>
        <v/>
      </c>
      <c r="N2321" s="26">
        <f>IF($H2321="","",TODAY()-$H2321)</f>
        <v/>
      </c>
      <c r="O2321" s="15" t="n"/>
      <c r="P2321" s="26">
        <f>IF($A2321="","",COUNTIFS('Audit Versions'!$A$6:$A$605,$A2321,'Audit Versions'!$L$6:$L$605,"Active"))</f>
        <v/>
      </c>
      <c r="Q2321" s="15" t="n"/>
      <c r="R2321" s="26">
        <f>IF(OR($A2321="",$P2321=0),"",MOD(N($Q2321),$P2321)+1)</f>
        <v/>
      </c>
      <c r="S2321" s="15" t="n"/>
      <c r="T2321" s="25" t="n"/>
      <c r="U2321" s="26">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Builder'!$B$12="",N($S2321)&lt;='Assignment Builder'!$B$12)))</f>
        <v/>
      </c>
      <c r="V2321" s="23" t="n"/>
    </row>
    <row r="2322">
      <c r="A2322" s="23" t="n"/>
      <c r="B2322" s="23" t="n"/>
      <c r="C2322" s="24" t="n"/>
      <c r="D2322" s="15" t="n"/>
      <c r="E2322" s="23" t="n"/>
      <c r="F2322" s="15" t="n"/>
      <c r="G2322" s="23" t="n"/>
      <c r="H2322" s="25" t="n"/>
      <c r="I2322" s="15" t="n"/>
      <c r="J2322" s="26">
        <f>IF($A2322="","",LEN($C2322)-LEN(SUBSTITUTE($C2322,",",""))+1)</f>
        <v/>
      </c>
      <c r="K2322" s="26">
        <f>IF($A2322="","",SUMPRODUCT(--ISNUMBER(SEARCH('Category Dictionary'!$D$5:$D$135&amp;"",$C2322)),--('Category Dictionary'!$D$5:$D$135&lt;&gt;"")))</f>
        <v/>
      </c>
      <c r="L2322" s="27">
        <f>IF($A2322="","",TRIM(IF(ISERROR(FIND(",",$C2322)),$C2322,LEFT($C2322,FIND(",",$C2322)-1))))</f>
        <v/>
      </c>
      <c r="M2322" s="28">
        <f>IF($H2322="","",DATE(YEAR($H2322),MONTH($H2322),1))</f>
        <v/>
      </c>
      <c r="N2322" s="26">
        <f>IF($H2322="","",TODAY()-$H2322)</f>
        <v/>
      </c>
      <c r="O2322" s="15" t="n"/>
      <c r="P2322" s="26">
        <f>IF($A2322="","",COUNTIFS('Audit Versions'!$A$6:$A$605,$A2322,'Audit Versions'!$L$6:$L$605,"Active"))</f>
        <v/>
      </c>
      <c r="Q2322" s="15" t="n"/>
      <c r="R2322" s="26">
        <f>IF(OR($A2322="",$P2322=0),"",MOD(N($Q2322),$P2322)+1)</f>
        <v/>
      </c>
      <c r="S2322" s="15" t="n"/>
      <c r="T2322" s="25" t="n"/>
      <c r="U2322" s="26">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Builder'!$B$12="",N($S2322)&lt;='Assignment Builder'!$B$12)))</f>
        <v/>
      </c>
      <c r="V2322" s="23" t="n"/>
    </row>
    <row r="2323">
      <c r="A2323" s="23" t="n"/>
      <c r="B2323" s="23" t="n"/>
      <c r="C2323" s="24" t="n"/>
      <c r="D2323" s="15" t="n"/>
      <c r="E2323" s="23" t="n"/>
      <c r="F2323" s="15" t="n"/>
      <c r="G2323" s="23" t="n"/>
      <c r="H2323" s="25" t="n"/>
      <c r="I2323" s="15" t="n"/>
      <c r="J2323" s="26">
        <f>IF($A2323="","",LEN($C2323)-LEN(SUBSTITUTE($C2323,",",""))+1)</f>
        <v/>
      </c>
      <c r="K2323" s="26">
        <f>IF($A2323="","",SUMPRODUCT(--ISNUMBER(SEARCH('Category Dictionary'!$D$5:$D$135&amp;"",$C2323)),--('Category Dictionary'!$D$5:$D$135&lt;&gt;"")))</f>
        <v/>
      </c>
      <c r="L2323" s="27">
        <f>IF($A2323="","",TRIM(IF(ISERROR(FIND(",",$C2323)),$C2323,LEFT($C2323,FIND(",",$C2323)-1))))</f>
        <v/>
      </c>
      <c r="M2323" s="28">
        <f>IF($H2323="","",DATE(YEAR($H2323),MONTH($H2323),1))</f>
        <v/>
      </c>
      <c r="N2323" s="26">
        <f>IF($H2323="","",TODAY()-$H2323)</f>
        <v/>
      </c>
      <c r="O2323" s="15" t="n"/>
      <c r="P2323" s="26">
        <f>IF($A2323="","",COUNTIFS('Audit Versions'!$A$6:$A$605,$A2323,'Audit Versions'!$L$6:$L$605,"Active"))</f>
        <v/>
      </c>
      <c r="Q2323" s="15" t="n"/>
      <c r="R2323" s="26">
        <f>IF(OR($A2323="",$P2323=0),"",MOD(N($Q2323),$P2323)+1)</f>
        <v/>
      </c>
      <c r="S2323" s="15" t="n"/>
      <c r="T2323" s="25" t="n"/>
      <c r="U2323" s="26">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Builder'!$B$12="",N($S2323)&lt;='Assignment Builder'!$B$12)))</f>
        <v/>
      </c>
      <c r="V2323" s="23" t="n"/>
    </row>
    <row r="2324">
      <c r="A2324" s="23" t="n"/>
      <c r="B2324" s="23" t="n"/>
      <c r="C2324" s="24" t="n"/>
      <c r="D2324" s="15" t="n"/>
      <c r="E2324" s="23" t="n"/>
      <c r="F2324" s="15" t="n"/>
      <c r="G2324" s="23" t="n"/>
      <c r="H2324" s="25" t="n"/>
      <c r="I2324" s="15" t="n"/>
      <c r="J2324" s="26">
        <f>IF($A2324="","",LEN($C2324)-LEN(SUBSTITUTE($C2324,",",""))+1)</f>
        <v/>
      </c>
      <c r="K2324" s="26">
        <f>IF($A2324="","",SUMPRODUCT(--ISNUMBER(SEARCH('Category Dictionary'!$D$5:$D$135&amp;"",$C2324)),--('Category Dictionary'!$D$5:$D$135&lt;&gt;"")))</f>
        <v/>
      </c>
      <c r="L2324" s="27">
        <f>IF($A2324="","",TRIM(IF(ISERROR(FIND(",",$C2324)),$C2324,LEFT($C2324,FIND(",",$C2324)-1))))</f>
        <v/>
      </c>
      <c r="M2324" s="28">
        <f>IF($H2324="","",DATE(YEAR($H2324),MONTH($H2324),1))</f>
        <v/>
      </c>
      <c r="N2324" s="26">
        <f>IF($H2324="","",TODAY()-$H2324)</f>
        <v/>
      </c>
      <c r="O2324" s="15" t="n"/>
      <c r="P2324" s="26">
        <f>IF($A2324="","",COUNTIFS('Audit Versions'!$A$6:$A$605,$A2324,'Audit Versions'!$L$6:$L$605,"Active"))</f>
        <v/>
      </c>
      <c r="Q2324" s="15" t="n"/>
      <c r="R2324" s="26">
        <f>IF(OR($A2324="",$P2324=0),"",MOD(N($Q2324),$P2324)+1)</f>
        <v/>
      </c>
      <c r="S2324" s="15" t="n"/>
      <c r="T2324" s="25" t="n"/>
      <c r="U2324" s="26">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Builder'!$B$12="",N($S2324)&lt;='Assignment Builder'!$B$12)))</f>
        <v/>
      </c>
      <c r="V2324" s="23" t="n"/>
    </row>
    <row r="2325">
      <c r="A2325" s="23" t="n"/>
      <c r="B2325" s="23" t="n"/>
      <c r="C2325" s="24" t="n"/>
      <c r="D2325" s="15" t="n"/>
      <c r="E2325" s="23" t="n"/>
      <c r="F2325" s="15" t="n"/>
      <c r="G2325" s="23" t="n"/>
      <c r="H2325" s="25" t="n"/>
      <c r="I2325" s="15" t="n"/>
      <c r="J2325" s="26">
        <f>IF($A2325="","",LEN($C2325)-LEN(SUBSTITUTE($C2325,",",""))+1)</f>
        <v/>
      </c>
      <c r="K2325" s="26">
        <f>IF($A2325="","",SUMPRODUCT(--ISNUMBER(SEARCH('Category Dictionary'!$D$5:$D$135&amp;"",$C2325)),--('Category Dictionary'!$D$5:$D$135&lt;&gt;"")))</f>
        <v/>
      </c>
      <c r="L2325" s="27">
        <f>IF($A2325="","",TRIM(IF(ISERROR(FIND(",",$C2325)),$C2325,LEFT($C2325,FIND(",",$C2325)-1))))</f>
        <v/>
      </c>
      <c r="M2325" s="28">
        <f>IF($H2325="","",DATE(YEAR($H2325),MONTH($H2325),1))</f>
        <v/>
      </c>
      <c r="N2325" s="26">
        <f>IF($H2325="","",TODAY()-$H2325)</f>
        <v/>
      </c>
      <c r="O2325" s="15" t="n"/>
      <c r="P2325" s="26">
        <f>IF($A2325="","",COUNTIFS('Audit Versions'!$A$6:$A$605,$A2325,'Audit Versions'!$L$6:$L$605,"Active"))</f>
        <v/>
      </c>
      <c r="Q2325" s="15" t="n"/>
      <c r="R2325" s="26">
        <f>IF(OR($A2325="",$P2325=0),"",MOD(N($Q2325),$P2325)+1)</f>
        <v/>
      </c>
      <c r="S2325" s="15" t="n"/>
      <c r="T2325" s="25" t="n"/>
      <c r="U2325" s="26">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Builder'!$B$12="",N($S2325)&lt;='Assignment Builder'!$B$12)))</f>
        <v/>
      </c>
      <c r="V2325" s="23" t="n"/>
    </row>
    <row r="2326">
      <c r="A2326" s="23" t="n"/>
      <c r="B2326" s="23" t="n"/>
      <c r="C2326" s="24" t="n"/>
      <c r="D2326" s="15" t="n"/>
      <c r="E2326" s="23" t="n"/>
      <c r="F2326" s="15" t="n"/>
      <c r="G2326" s="23" t="n"/>
      <c r="H2326" s="25" t="n"/>
      <c r="I2326" s="15" t="n"/>
      <c r="J2326" s="26">
        <f>IF($A2326="","",LEN($C2326)-LEN(SUBSTITUTE($C2326,",",""))+1)</f>
        <v/>
      </c>
      <c r="K2326" s="26">
        <f>IF($A2326="","",SUMPRODUCT(--ISNUMBER(SEARCH('Category Dictionary'!$D$5:$D$135&amp;"",$C2326)),--('Category Dictionary'!$D$5:$D$135&lt;&gt;"")))</f>
        <v/>
      </c>
      <c r="L2326" s="27">
        <f>IF($A2326="","",TRIM(IF(ISERROR(FIND(",",$C2326)),$C2326,LEFT($C2326,FIND(",",$C2326)-1))))</f>
        <v/>
      </c>
      <c r="M2326" s="28">
        <f>IF($H2326="","",DATE(YEAR($H2326),MONTH($H2326),1))</f>
        <v/>
      </c>
      <c r="N2326" s="26">
        <f>IF($H2326="","",TODAY()-$H2326)</f>
        <v/>
      </c>
      <c r="O2326" s="15" t="n"/>
      <c r="P2326" s="26">
        <f>IF($A2326="","",COUNTIFS('Audit Versions'!$A$6:$A$605,$A2326,'Audit Versions'!$L$6:$L$605,"Active"))</f>
        <v/>
      </c>
      <c r="Q2326" s="15" t="n"/>
      <c r="R2326" s="26">
        <f>IF(OR($A2326="",$P2326=0),"",MOD(N($Q2326),$P2326)+1)</f>
        <v/>
      </c>
      <c r="S2326" s="15" t="n"/>
      <c r="T2326" s="25" t="n"/>
      <c r="U2326" s="26">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Builder'!$B$12="",N($S2326)&lt;='Assignment Builder'!$B$12)))</f>
        <v/>
      </c>
      <c r="V2326" s="23" t="n"/>
    </row>
    <row r="2327">
      <c r="A2327" s="23" t="n"/>
      <c r="B2327" s="23" t="n"/>
      <c r="C2327" s="24" t="n"/>
      <c r="D2327" s="15" t="n"/>
      <c r="E2327" s="23" t="n"/>
      <c r="F2327" s="15" t="n"/>
      <c r="G2327" s="23" t="n"/>
      <c r="H2327" s="25" t="n"/>
      <c r="I2327" s="15" t="n"/>
      <c r="J2327" s="26">
        <f>IF($A2327="","",LEN($C2327)-LEN(SUBSTITUTE($C2327,",",""))+1)</f>
        <v/>
      </c>
      <c r="K2327" s="26">
        <f>IF($A2327="","",SUMPRODUCT(--ISNUMBER(SEARCH('Category Dictionary'!$D$5:$D$135&amp;"",$C2327)),--('Category Dictionary'!$D$5:$D$135&lt;&gt;"")))</f>
        <v/>
      </c>
      <c r="L2327" s="27">
        <f>IF($A2327="","",TRIM(IF(ISERROR(FIND(",",$C2327)),$C2327,LEFT($C2327,FIND(",",$C2327)-1))))</f>
        <v/>
      </c>
      <c r="M2327" s="28">
        <f>IF($H2327="","",DATE(YEAR($H2327),MONTH($H2327),1))</f>
        <v/>
      </c>
      <c r="N2327" s="26">
        <f>IF($H2327="","",TODAY()-$H2327)</f>
        <v/>
      </c>
      <c r="O2327" s="15" t="n"/>
      <c r="P2327" s="26">
        <f>IF($A2327="","",COUNTIFS('Audit Versions'!$A$6:$A$605,$A2327,'Audit Versions'!$L$6:$L$605,"Active"))</f>
        <v/>
      </c>
      <c r="Q2327" s="15" t="n"/>
      <c r="R2327" s="26">
        <f>IF(OR($A2327="",$P2327=0),"",MOD(N($Q2327),$P2327)+1)</f>
        <v/>
      </c>
      <c r="S2327" s="15" t="n"/>
      <c r="T2327" s="25" t="n"/>
      <c r="U2327" s="26">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Builder'!$B$12="",N($S2327)&lt;='Assignment Builder'!$B$12)))</f>
        <v/>
      </c>
      <c r="V2327" s="23" t="n"/>
    </row>
    <row r="2328">
      <c r="A2328" s="23" t="n"/>
      <c r="B2328" s="23" t="n"/>
      <c r="C2328" s="24" t="n"/>
      <c r="D2328" s="15" t="n"/>
      <c r="E2328" s="23" t="n"/>
      <c r="F2328" s="15" t="n"/>
      <c r="G2328" s="23" t="n"/>
      <c r="H2328" s="25" t="n"/>
      <c r="I2328" s="15" t="n"/>
      <c r="J2328" s="26">
        <f>IF($A2328="","",LEN($C2328)-LEN(SUBSTITUTE($C2328,",",""))+1)</f>
        <v/>
      </c>
      <c r="K2328" s="26">
        <f>IF($A2328="","",SUMPRODUCT(--ISNUMBER(SEARCH('Category Dictionary'!$D$5:$D$135&amp;"",$C2328)),--('Category Dictionary'!$D$5:$D$135&lt;&gt;"")))</f>
        <v/>
      </c>
      <c r="L2328" s="27">
        <f>IF($A2328="","",TRIM(IF(ISERROR(FIND(",",$C2328)),$C2328,LEFT($C2328,FIND(",",$C2328)-1))))</f>
        <v/>
      </c>
      <c r="M2328" s="28">
        <f>IF($H2328="","",DATE(YEAR($H2328),MONTH($H2328),1))</f>
        <v/>
      </c>
      <c r="N2328" s="26">
        <f>IF($H2328="","",TODAY()-$H2328)</f>
        <v/>
      </c>
      <c r="O2328" s="15" t="n"/>
      <c r="P2328" s="26">
        <f>IF($A2328="","",COUNTIFS('Audit Versions'!$A$6:$A$605,$A2328,'Audit Versions'!$L$6:$L$605,"Active"))</f>
        <v/>
      </c>
      <c r="Q2328" s="15" t="n"/>
      <c r="R2328" s="26">
        <f>IF(OR($A2328="",$P2328=0),"",MOD(N($Q2328),$P2328)+1)</f>
        <v/>
      </c>
      <c r="S2328" s="15" t="n"/>
      <c r="T2328" s="25" t="n"/>
      <c r="U2328" s="26">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Builder'!$B$12="",N($S2328)&lt;='Assignment Builder'!$B$12)))</f>
        <v/>
      </c>
      <c r="V2328" s="23" t="n"/>
    </row>
    <row r="2329">
      <c r="A2329" s="23" t="n"/>
      <c r="B2329" s="23" t="n"/>
      <c r="C2329" s="24" t="n"/>
      <c r="D2329" s="15" t="n"/>
      <c r="E2329" s="23" t="n"/>
      <c r="F2329" s="15" t="n"/>
      <c r="G2329" s="23" t="n"/>
      <c r="H2329" s="25" t="n"/>
      <c r="I2329" s="15" t="n"/>
      <c r="J2329" s="26">
        <f>IF($A2329="","",LEN($C2329)-LEN(SUBSTITUTE($C2329,",",""))+1)</f>
        <v/>
      </c>
      <c r="K2329" s="26">
        <f>IF($A2329="","",SUMPRODUCT(--ISNUMBER(SEARCH('Category Dictionary'!$D$5:$D$135&amp;"",$C2329)),--('Category Dictionary'!$D$5:$D$135&lt;&gt;"")))</f>
        <v/>
      </c>
      <c r="L2329" s="27">
        <f>IF($A2329="","",TRIM(IF(ISERROR(FIND(",",$C2329)),$C2329,LEFT($C2329,FIND(",",$C2329)-1))))</f>
        <v/>
      </c>
      <c r="M2329" s="28">
        <f>IF($H2329="","",DATE(YEAR($H2329),MONTH($H2329),1))</f>
        <v/>
      </c>
      <c r="N2329" s="26">
        <f>IF($H2329="","",TODAY()-$H2329)</f>
        <v/>
      </c>
      <c r="O2329" s="15" t="n"/>
      <c r="P2329" s="26">
        <f>IF($A2329="","",COUNTIFS('Audit Versions'!$A$6:$A$605,$A2329,'Audit Versions'!$L$6:$L$605,"Active"))</f>
        <v/>
      </c>
      <c r="Q2329" s="15" t="n"/>
      <c r="R2329" s="26">
        <f>IF(OR($A2329="",$P2329=0),"",MOD(N($Q2329),$P2329)+1)</f>
        <v/>
      </c>
      <c r="S2329" s="15" t="n"/>
      <c r="T2329" s="25" t="n"/>
      <c r="U2329" s="26">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Builder'!$B$12="",N($S2329)&lt;='Assignment Builder'!$B$12)))</f>
        <v/>
      </c>
      <c r="V2329" s="23" t="n"/>
    </row>
    <row r="2330">
      <c r="A2330" s="23" t="n"/>
      <c r="B2330" s="23" t="n"/>
      <c r="C2330" s="24" t="n"/>
      <c r="D2330" s="15" t="n"/>
      <c r="E2330" s="23" t="n"/>
      <c r="F2330" s="15" t="n"/>
      <c r="G2330" s="23" t="n"/>
      <c r="H2330" s="25" t="n"/>
      <c r="I2330" s="15" t="n"/>
      <c r="J2330" s="26">
        <f>IF($A2330="","",LEN($C2330)-LEN(SUBSTITUTE($C2330,",",""))+1)</f>
        <v/>
      </c>
      <c r="K2330" s="26">
        <f>IF($A2330="","",SUMPRODUCT(--ISNUMBER(SEARCH('Category Dictionary'!$D$5:$D$135&amp;"",$C2330)),--('Category Dictionary'!$D$5:$D$135&lt;&gt;"")))</f>
        <v/>
      </c>
      <c r="L2330" s="27">
        <f>IF($A2330="","",TRIM(IF(ISERROR(FIND(",",$C2330)),$C2330,LEFT($C2330,FIND(",",$C2330)-1))))</f>
        <v/>
      </c>
      <c r="M2330" s="28">
        <f>IF($H2330="","",DATE(YEAR($H2330),MONTH($H2330),1))</f>
        <v/>
      </c>
      <c r="N2330" s="26">
        <f>IF($H2330="","",TODAY()-$H2330)</f>
        <v/>
      </c>
      <c r="O2330" s="15" t="n"/>
      <c r="P2330" s="26">
        <f>IF($A2330="","",COUNTIFS('Audit Versions'!$A$6:$A$605,$A2330,'Audit Versions'!$L$6:$L$605,"Active"))</f>
        <v/>
      </c>
      <c r="Q2330" s="15" t="n"/>
      <c r="R2330" s="26">
        <f>IF(OR($A2330="",$P2330=0),"",MOD(N($Q2330),$P2330)+1)</f>
        <v/>
      </c>
      <c r="S2330" s="15" t="n"/>
      <c r="T2330" s="25" t="n"/>
      <c r="U2330" s="26">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Builder'!$B$12="",N($S2330)&lt;='Assignment Builder'!$B$12)))</f>
        <v/>
      </c>
      <c r="V2330" s="23" t="n"/>
    </row>
    <row r="2331">
      <c r="A2331" s="23" t="n"/>
      <c r="B2331" s="23" t="n"/>
      <c r="C2331" s="24" t="n"/>
      <c r="D2331" s="15" t="n"/>
      <c r="E2331" s="23" t="n"/>
      <c r="F2331" s="15" t="n"/>
      <c r="G2331" s="23" t="n"/>
      <c r="H2331" s="25" t="n"/>
      <c r="I2331" s="15" t="n"/>
      <c r="J2331" s="26">
        <f>IF($A2331="","",LEN($C2331)-LEN(SUBSTITUTE($C2331,",",""))+1)</f>
        <v/>
      </c>
      <c r="K2331" s="26">
        <f>IF($A2331="","",SUMPRODUCT(--ISNUMBER(SEARCH('Category Dictionary'!$D$5:$D$135&amp;"",$C2331)),--('Category Dictionary'!$D$5:$D$135&lt;&gt;"")))</f>
        <v/>
      </c>
      <c r="L2331" s="27">
        <f>IF($A2331="","",TRIM(IF(ISERROR(FIND(",",$C2331)),$C2331,LEFT($C2331,FIND(",",$C2331)-1))))</f>
        <v/>
      </c>
      <c r="M2331" s="28">
        <f>IF($H2331="","",DATE(YEAR($H2331),MONTH($H2331),1))</f>
        <v/>
      </c>
      <c r="N2331" s="26">
        <f>IF($H2331="","",TODAY()-$H2331)</f>
        <v/>
      </c>
      <c r="O2331" s="15" t="n"/>
      <c r="P2331" s="26">
        <f>IF($A2331="","",COUNTIFS('Audit Versions'!$A$6:$A$605,$A2331,'Audit Versions'!$L$6:$L$605,"Active"))</f>
        <v/>
      </c>
      <c r="Q2331" s="15" t="n"/>
      <c r="R2331" s="26">
        <f>IF(OR($A2331="",$P2331=0),"",MOD(N($Q2331),$P2331)+1)</f>
        <v/>
      </c>
      <c r="S2331" s="15" t="n"/>
      <c r="T2331" s="25" t="n"/>
      <c r="U2331" s="26">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Builder'!$B$12="",N($S2331)&lt;='Assignment Builder'!$B$12)))</f>
        <v/>
      </c>
      <c r="V2331" s="23" t="n"/>
    </row>
    <row r="2332">
      <c r="A2332" s="23" t="n"/>
      <c r="B2332" s="23" t="n"/>
      <c r="C2332" s="24" t="n"/>
      <c r="D2332" s="15" t="n"/>
      <c r="E2332" s="23" t="n"/>
      <c r="F2332" s="15" t="n"/>
      <c r="G2332" s="23" t="n"/>
      <c r="H2332" s="25" t="n"/>
      <c r="I2332" s="15" t="n"/>
      <c r="J2332" s="26">
        <f>IF($A2332="","",LEN($C2332)-LEN(SUBSTITUTE($C2332,",",""))+1)</f>
        <v/>
      </c>
      <c r="K2332" s="26">
        <f>IF($A2332="","",SUMPRODUCT(--ISNUMBER(SEARCH('Category Dictionary'!$D$5:$D$135&amp;"",$C2332)),--('Category Dictionary'!$D$5:$D$135&lt;&gt;"")))</f>
        <v/>
      </c>
      <c r="L2332" s="27">
        <f>IF($A2332="","",TRIM(IF(ISERROR(FIND(",",$C2332)),$C2332,LEFT($C2332,FIND(",",$C2332)-1))))</f>
        <v/>
      </c>
      <c r="M2332" s="28">
        <f>IF($H2332="","",DATE(YEAR($H2332),MONTH($H2332),1))</f>
        <v/>
      </c>
      <c r="N2332" s="26">
        <f>IF($H2332="","",TODAY()-$H2332)</f>
        <v/>
      </c>
      <c r="O2332" s="15" t="n"/>
      <c r="P2332" s="26">
        <f>IF($A2332="","",COUNTIFS('Audit Versions'!$A$6:$A$605,$A2332,'Audit Versions'!$L$6:$L$605,"Active"))</f>
        <v/>
      </c>
      <c r="Q2332" s="15" t="n"/>
      <c r="R2332" s="26">
        <f>IF(OR($A2332="",$P2332=0),"",MOD(N($Q2332),$P2332)+1)</f>
        <v/>
      </c>
      <c r="S2332" s="15" t="n"/>
      <c r="T2332" s="25" t="n"/>
      <c r="U2332" s="26">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Builder'!$B$12="",N($S2332)&lt;='Assignment Builder'!$B$12)))</f>
        <v/>
      </c>
      <c r="V2332" s="23" t="n"/>
    </row>
    <row r="2333">
      <c r="A2333" s="23" t="n"/>
      <c r="B2333" s="23" t="n"/>
      <c r="C2333" s="24" t="n"/>
      <c r="D2333" s="15" t="n"/>
      <c r="E2333" s="23" t="n"/>
      <c r="F2333" s="15" t="n"/>
      <c r="G2333" s="23" t="n"/>
      <c r="H2333" s="25" t="n"/>
      <c r="I2333" s="15" t="n"/>
      <c r="J2333" s="26">
        <f>IF($A2333="","",LEN($C2333)-LEN(SUBSTITUTE($C2333,",",""))+1)</f>
        <v/>
      </c>
      <c r="K2333" s="26">
        <f>IF($A2333="","",SUMPRODUCT(--ISNUMBER(SEARCH('Category Dictionary'!$D$5:$D$135&amp;"",$C2333)),--('Category Dictionary'!$D$5:$D$135&lt;&gt;"")))</f>
        <v/>
      </c>
      <c r="L2333" s="27">
        <f>IF($A2333="","",TRIM(IF(ISERROR(FIND(",",$C2333)),$C2333,LEFT($C2333,FIND(",",$C2333)-1))))</f>
        <v/>
      </c>
      <c r="M2333" s="28">
        <f>IF($H2333="","",DATE(YEAR($H2333),MONTH($H2333),1))</f>
        <v/>
      </c>
      <c r="N2333" s="26">
        <f>IF($H2333="","",TODAY()-$H2333)</f>
        <v/>
      </c>
      <c r="O2333" s="15" t="n"/>
      <c r="P2333" s="26">
        <f>IF($A2333="","",COUNTIFS('Audit Versions'!$A$6:$A$605,$A2333,'Audit Versions'!$L$6:$L$605,"Active"))</f>
        <v/>
      </c>
      <c r="Q2333" s="15" t="n"/>
      <c r="R2333" s="26">
        <f>IF(OR($A2333="",$P2333=0),"",MOD(N($Q2333),$P2333)+1)</f>
        <v/>
      </c>
      <c r="S2333" s="15" t="n"/>
      <c r="T2333" s="25" t="n"/>
      <c r="U2333" s="26">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Builder'!$B$12="",N($S2333)&lt;='Assignment Builder'!$B$12)))</f>
        <v/>
      </c>
      <c r="V2333" s="23" t="n"/>
    </row>
    <row r="2334">
      <c r="A2334" s="23" t="n"/>
      <c r="B2334" s="23" t="n"/>
      <c r="C2334" s="24" t="n"/>
      <c r="D2334" s="15" t="n"/>
      <c r="E2334" s="23" t="n"/>
      <c r="F2334" s="15" t="n"/>
      <c r="G2334" s="23" t="n"/>
      <c r="H2334" s="25" t="n"/>
      <c r="I2334" s="15" t="n"/>
      <c r="J2334" s="26">
        <f>IF($A2334="","",LEN($C2334)-LEN(SUBSTITUTE($C2334,",",""))+1)</f>
        <v/>
      </c>
      <c r="K2334" s="26">
        <f>IF($A2334="","",SUMPRODUCT(--ISNUMBER(SEARCH('Category Dictionary'!$D$5:$D$135&amp;"",$C2334)),--('Category Dictionary'!$D$5:$D$135&lt;&gt;"")))</f>
        <v/>
      </c>
      <c r="L2334" s="27">
        <f>IF($A2334="","",TRIM(IF(ISERROR(FIND(",",$C2334)),$C2334,LEFT($C2334,FIND(",",$C2334)-1))))</f>
        <v/>
      </c>
      <c r="M2334" s="28">
        <f>IF($H2334="","",DATE(YEAR($H2334),MONTH($H2334),1))</f>
        <v/>
      </c>
      <c r="N2334" s="26">
        <f>IF($H2334="","",TODAY()-$H2334)</f>
        <v/>
      </c>
      <c r="O2334" s="15" t="n"/>
      <c r="P2334" s="26">
        <f>IF($A2334="","",COUNTIFS('Audit Versions'!$A$6:$A$605,$A2334,'Audit Versions'!$L$6:$L$605,"Active"))</f>
        <v/>
      </c>
      <c r="Q2334" s="15" t="n"/>
      <c r="R2334" s="26">
        <f>IF(OR($A2334="",$P2334=0),"",MOD(N($Q2334),$P2334)+1)</f>
        <v/>
      </c>
      <c r="S2334" s="15" t="n"/>
      <c r="T2334" s="25" t="n"/>
      <c r="U2334" s="26">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Builder'!$B$12="",N($S2334)&lt;='Assignment Builder'!$B$12)))</f>
        <v/>
      </c>
      <c r="V2334" s="23" t="n"/>
    </row>
    <row r="2335">
      <c r="A2335" s="23" t="n"/>
      <c r="B2335" s="23" t="n"/>
      <c r="C2335" s="24" t="n"/>
      <c r="D2335" s="15" t="n"/>
      <c r="E2335" s="23" t="n"/>
      <c r="F2335" s="15" t="n"/>
      <c r="G2335" s="23" t="n"/>
      <c r="H2335" s="25" t="n"/>
      <c r="I2335" s="15" t="n"/>
      <c r="J2335" s="26">
        <f>IF($A2335="","",LEN($C2335)-LEN(SUBSTITUTE($C2335,",",""))+1)</f>
        <v/>
      </c>
      <c r="K2335" s="26">
        <f>IF($A2335="","",SUMPRODUCT(--ISNUMBER(SEARCH('Category Dictionary'!$D$5:$D$135&amp;"",$C2335)),--('Category Dictionary'!$D$5:$D$135&lt;&gt;"")))</f>
        <v/>
      </c>
      <c r="L2335" s="27">
        <f>IF($A2335="","",TRIM(IF(ISERROR(FIND(",",$C2335)),$C2335,LEFT($C2335,FIND(",",$C2335)-1))))</f>
        <v/>
      </c>
      <c r="M2335" s="28">
        <f>IF($H2335="","",DATE(YEAR($H2335),MONTH($H2335),1))</f>
        <v/>
      </c>
      <c r="N2335" s="26">
        <f>IF($H2335="","",TODAY()-$H2335)</f>
        <v/>
      </c>
      <c r="O2335" s="15" t="n"/>
      <c r="P2335" s="26">
        <f>IF($A2335="","",COUNTIFS('Audit Versions'!$A$6:$A$605,$A2335,'Audit Versions'!$L$6:$L$605,"Active"))</f>
        <v/>
      </c>
      <c r="Q2335" s="15" t="n"/>
      <c r="R2335" s="26">
        <f>IF(OR($A2335="",$P2335=0),"",MOD(N($Q2335),$P2335)+1)</f>
        <v/>
      </c>
      <c r="S2335" s="15" t="n"/>
      <c r="T2335" s="25" t="n"/>
      <c r="U2335" s="26">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Builder'!$B$12="",N($S2335)&lt;='Assignment Builder'!$B$12)))</f>
        <v/>
      </c>
      <c r="V2335" s="23" t="n"/>
    </row>
    <row r="2336">
      <c r="A2336" s="23" t="n"/>
      <c r="B2336" s="23" t="n"/>
      <c r="C2336" s="24" t="n"/>
      <c r="D2336" s="15" t="n"/>
      <c r="E2336" s="23" t="n"/>
      <c r="F2336" s="15" t="n"/>
      <c r="G2336" s="23" t="n"/>
      <c r="H2336" s="25" t="n"/>
      <c r="I2336" s="15" t="n"/>
      <c r="J2336" s="26">
        <f>IF($A2336="","",LEN($C2336)-LEN(SUBSTITUTE($C2336,",",""))+1)</f>
        <v/>
      </c>
      <c r="K2336" s="26">
        <f>IF($A2336="","",SUMPRODUCT(--ISNUMBER(SEARCH('Category Dictionary'!$D$5:$D$135&amp;"",$C2336)),--('Category Dictionary'!$D$5:$D$135&lt;&gt;"")))</f>
        <v/>
      </c>
      <c r="L2336" s="27">
        <f>IF($A2336="","",TRIM(IF(ISERROR(FIND(",",$C2336)),$C2336,LEFT($C2336,FIND(",",$C2336)-1))))</f>
        <v/>
      </c>
      <c r="M2336" s="28">
        <f>IF($H2336="","",DATE(YEAR($H2336),MONTH($H2336),1))</f>
        <v/>
      </c>
      <c r="N2336" s="26">
        <f>IF($H2336="","",TODAY()-$H2336)</f>
        <v/>
      </c>
      <c r="O2336" s="15" t="n"/>
      <c r="P2336" s="26">
        <f>IF($A2336="","",COUNTIFS('Audit Versions'!$A$6:$A$605,$A2336,'Audit Versions'!$L$6:$L$605,"Active"))</f>
        <v/>
      </c>
      <c r="Q2336" s="15" t="n"/>
      <c r="R2336" s="26">
        <f>IF(OR($A2336="",$P2336=0),"",MOD(N($Q2336),$P2336)+1)</f>
        <v/>
      </c>
      <c r="S2336" s="15" t="n"/>
      <c r="T2336" s="25" t="n"/>
      <c r="U2336" s="26">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Builder'!$B$12="",N($S2336)&lt;='Assignment Builder'!$B$12)))</f>
        <v/>
      </c>
      <c r="V2336" s="23" t="n"/>
    </row>
    <row r="2337">
      <c r="A2337" s="23" t="n"/>
      <c r="B2337" s="23" t="n"/>
      <c r="C2337" s="24" t="n"/>
      <c r="D2337" s="15" t="n"/>
      <c r="E2337" s="23" t="n"/>
      <c r="F2337" s="15" t="n"/>
      <c r="G2337" s="23" t="n"/>
      <c r="H2337" s="25" t="n"/>
      <c r="I2337" s="15" t="n"/>
      <c r="J2337" s="26">
        <f>IF($A2337="","",LEN($C2337)-LEN(SUBSTITUTE($C2337,",",""))+1)</f>
        <v/>
      </c>
      <c r="K2337" s="26">
        <f>IF($A2337="","",SUMPRODUCT(--ISNUMBER(SEARCH('Category Dictionary'!$D$5:$D$135&amp;"",$C2337)),--('Category Dictionary'!$D$5:$D$135&lt;&gt;"")))</f>
        <v/>
      </c>
      <c r="L2337" s="27">
        <f>IF($A2337="","",TRIM(IF(ISERROR(FIND(",",$C2337)),$C2337,LEFT($C2337,FIND(",",$C2337)-1))))</f>
        <v/>
      </c>
      <c r="M2337" s="28">
        <f>IF($H2337="","",DATE(YEAR($H2337),MONTH($H2337),1))</f>
        <v/>
      </c>
      <c r="N2337" s="26">
        <f>IF($H2337="","",TODAY()-$H2337)</f>
        <v/>
      </c>
      <c r="O2337" s="15" t="n"/>
      <c r="P2337" s="26">
        <f>IF($A2337="","",COUNTIFS('Audit Versions'!$A$6:$A$605,$A2337,'Audit Versions'!$L$6:$L$605,"Active"))</f>
        <v/>
      </c>
      <c r="Q2337" s="15" t="n"/>
      <c r="R2337" s="26">
        <f>IF(OR($A2337="",$P2337=0),"",MOD(N($Q2337),$P2337)+1)</f>
        <v/>
      </c>
      <c r="S2337" s="15" t="n"/>
      <c r="T2337" s="25" t="n"/>
      <c r="U2337" s="26">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Builder'!$B$12="",N($S2337)&lt;='Assignment Builder'!$B$12)))</f>
        <v/>
      </c>
      <c r="V2337" s="23" t="n"/>
    </row>
    <row r="2338">
      <c r="A2338" s="23" t="n"/>
      <c r="B2338" s="23" t="n"/>
      <c r="C2338" s="24" t="n"/>
      <c r="D2338" s="15" t="n"/>
      <c r="E2338" s="23" t="n"/>
      <c r="F2338" s="15" t="n"/>
      <c r="G2338" s="23" t="n"/>
      <c r="H2338" s="25" t="n"/>
      <c r="I2338" s="15" t="n"/>
      <c r="J2338" s="26">
        <f>IF($A2338="","",LEN($C2338)-LEN(SUBSTITUTE($C2338,",",""))+1)</f>
        <v/>
      </c>
      <c r="K2338" s="26">
        <f>IF($A2338="","",SUMPRODUCT(--ISNUMBER(SEARCH('Category Dictionary'!$D$5:$D$135&amp;"",$C2338)),--('Category Dictionary'!$D$5:$D$135&lt;&gt;"")))</f>
        <v/>
      </c>
      <c r="L2338" s="27">
        <f>IF($A2338="","",TRIM(IF(ISERROR(FIND(",",$C2338)),$C2338,LEFT($C2338,FIND(",",$C2338)-1))))</f>
        <v/>
      </c>
      <c r="M2338" s="28">
        <f>IF($H2338="","",DATE(YEAR($H2338),MONTH($H2338),1))</f>
        <v/>
      </c>
      <c r="N2338" s="26">
        <f>IF($H2338="","",TODAY()-$H2338)</f>
        <v/>
      </c>
      <c r="O2338" s="15" t="n"/>
      <c r="P2338" s="26">
        <f>IF($A2338="","",COUNTIFS('Audit Versions'!$A$6:$A$605,$A2338,'Audit Versions'!$L$6:$L$605,"Active"))</f>
        <v/>
      </c>
      <c r="Q2338" s="15" t="n"/>
      <c r="R2338" s="26">
        <f>IF(OR($A2338="",$P2338=0),"",MOD(N($Q2338),$P2338)+1)</f>
        <v/>
      </c>
      <c r="S2338" s="15" t="n"/>
      <c r="T2338" s="25" t="n"/>
      <c r="U2338" s="26">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Builder'!$B$12="",N($S2338)&lt;='Assignment Builder'!$B$12)))</f>
        <v/>
      </c>
      <c r="V2338" s="23" t="n"/>
    </row>
    <row r="2339">
      <c r="A2339" s="23" t="n"/>
      <c r="B2339" s="23" t="n"/>
      <c r="C2339" s="24" t="n"/>
      <c r="D2339" s="15" t="n"/>
      <c r="E2339" s="23" t="n"/>
      <c r="F2339" s="15" t="n"/>
      <c r="G2339" s="23" t="n"/>
      <c r="H2339" s="25" t="n"/>
      <c r="I2339" s="15" t="n"/>
      <c r="J2339" s="26">
        <f>IF($A2339="","",LEN($C2339)-LEN(SUBSTITUTE($C2339,",",""))+1)</f>
        <v/>
      </c>
      <c r="K2339" s="26">
        <f>IF($A2339="","",SUMPRODUCT(--ISNUMBER(SEARCH('Category Dictionary'!$D$5:$D$135&amp;"",$C2339)),--('Category Dictionary'!$D$5:$D$135&lt;&gt;"")))</f>
        <v/>
      </c>
      <c r="L2339" s="27">
        <f>IF($A2339="","",TRIM(IF(ISERROR(FIND(",",$C2339)),$C2339,LEFT($C2339,FIND(",",$C2339)-1))))</f>
        <v/>
      </c>
      <c r="M2339" s="28">
        <f>IF($H2339="","",DATE(YEAR($H2339),MONTH($H2339),1))</f>
        <v/>
      </c>
      <c r="N2339" s="26">
        <f>IF($H2339="","",TODAY()-$H2339)</f>
        <v/>
      </c>
      <c r="O2339" s="15" t="n"/>
      <c r="P2339" s="26">
        <f>IF($A2339="","",COUNTIFS('Audit Versions'!$A$6:$A$605,$A2339,'Audit Versions'!$L$6:$L$605,"Active"))</f>
        <v/>
      </c>
      <c r="Q2339" s="15" t="n"/>
      <c r="R2339" s="26">
        <f>IF(OR($A2339="",$P2339=0),"",MOD(N($Q2339),$P2339)+1)</f>
        <v/>
      </c>
      <c r="S2339" s="15" t="n"/>
      <c r="T2339" s="25" t="n"/>
      <c r="U2339" s="26">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Builder'!$B$12="",N($S2339)&lt;='Assignment Builder'!$B$12)))</f>
        <v/>
      </c>
      <c r="V2339" s="23" t="n"/>
    </row>
    <row r="2340">
      <c r="A2340" s="23" t="n"/>
      <c r="B2340" s="23" t="n"/>
      <c r="C2340" s="24" t="n"/>
      <c r="D2340" s="15" t="n"/>
      <c r="E2340" s="23" t="n"/>
      <c r="F2340" s="15" t="n"/>
      <c r="G2340" s="23" t="n"/>
      <c r="H2340" s="25" t="n"/>
      <c r="I2340" s="15" t="n"/>
      <c r="J2340" s="26">
        <f>IF($A2340="","",LEN($C2340)-LEN(SUBSTITUTE($C2340,",",""))+1)</f>
        <v/>
      </c>
      <c r="K2340" s="26">
        <f>IF($A2340="","",SUMPRODUCT(--ISNUMBER(SEARCH('Category Dictionary'!$D$5:$D$135&amp;"",$C2340)),--('Category Dictionary'!$D$5:$D$135&lt;&gt;"")))</f>
        <v/>
      </c>
      <c r="L2340" s="27">
        <f>IF($A2340="","",TRIM(IF(ISERROR(FIND(",",$C2340)),$C2340,LEFT($C2340,FIND(",",$C2340)-1))))</f>
        <v/>
      </c>
      <c r="M2340" s="28">
        <f>IF($H2340="","",DATE(YEAR($H2340),MONTH($H2340),1))</f>
        <v/>
      </c>
      <c r="N2340" s="26">
        <f>IF($H2340="","",TODAY()-$H2340)</f>
        <v/>
      </c>
      <c r="O2340" s="15" t="n"/>
      <c r="P2340" s="26">
        <f>IF($A2340="","",COUNTIFS('Audit Versions'!$A$6:$A$605,$A2340,'Audit Versions'!$L$6:$L$605,"Active"))</f>
        <v/>
      </c>
      <c r="Q2340" s="15" t="n"/>
      <c r="R2340" s="26">
        <f>IF(OR($A2340="",$P2340=0),"",MOD(N($Q2340),$P2340)+1)</f>
        <v/>
      </c>
      <c r="S2340" s="15" t="n"/>
      <c r="T2340" s="25" t="n"/>
      <c r="U2340" s="26">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Builder'!$B$12="",N($S2340)&lt;='Assignment Builder'!$B$12)))</f>
        <v/>
      </c>
      <c r="V2340" s="23" t="n"/>
    </row>
    <row r="2341">
      <c r="A2341" s="23" t="n"/>
      <c r="B2341" s="23" t="n"/>
      <c r="C2341" s="24" t="n"/>
      <c r="D2341" s="15" t="n"/>
      <c r="E2341" s="23" t="n"/>
      <c r="F2341" s="15" t="n"/>
      <c r="G2341" s="23" t="n"/>
      <c r="H2341" s="25" t="n"/>
      <c r="I2341" s="15" t="n"/>
      <c r="J2341" s="26">
        <f>IF($A2341="","",LEN($C2341)-LEN(SUBSTITUTE($C2341,",",""))+1)</f>
        <v/>
      </c>
      <c r="K2341" s="26">
        <f>IF($A2341="","",SUMPRODUCT(--ISNUMBER(SEARCH('Category Dictionary'!$D$5:$D$135&amp;"",$C2341)),--('Category Dictionary'!$D$5:$D$135&lt;&gt;"")))</f>
        <v/>
      </c>
      <c r="L2341" s="27">
        <f>IF($A2341="","",TRIM(IF(ISERROR(FIND(",",$C2341)),$C2341,LEFT($C2341,FIND(",",$C2341)-1))))</f>
        <v/>
      </c>
      <c r="M2341" s="28">
        <f>IF($H2341="","",DATE(YEAR($H2341),MONTH($H2341),1))</f>
        <v/>
      </c>
      <c r="N2341" s="26">
        <f>IF($H2341="","",TODAY()-$H2341)</f>
        <v/>
      </c>
      <c r="O2341" s="15" t="n"/>
      <c r="P2341" s="26">
        <f>IF($A2341="","",COUNTIFS('Audit Versions'!$A$6:$A$605,$A2341,'Audit Versions'!$L$6:$L$605,"Active"))</f>
        <v/>
      </c>
      <c r="Q2341" s="15" t="n"/>
      <c r="R2341" s="26">
        <f>IF(OR($A2341="",$P2341=0),"",MOD(N($Q2341),$P2341)+1)</f>
        <v/>
      </c>
      <c r="S2341" s="15" t="n"/>
      <c r="T2341" s="25" t="n"/>
      <c r="U2341" s="26">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Builder'!$B$12="",N($S2341)&lt;='Assignment Builder'!$B$12)))</f>
        <v/>
      </c>
      <c r="V2341" s="23" t="n"/>
    </row>
    <row r="2342">
      <c r="A2342" s="23" t="n"/>
      <c r="B2342" s="23" t="n"/>
      <c r="C2342" s="24" t="n"/>
      <c r="D2342" s="15" t="n"/>
      <c r="E2342" s="23" t="n"/>
      <c r="F2342" s="15" t="n"/>
      <c r="G2342" s="23" t="n"/>
      <c r="H2342" s="25" t="n"/>
      <c r="I2342" s="15" t="n"/>
      <c r="J2342" s="26">
        <f>IF($A2342="","",LEN($C2342)-LEN(SUBSTITUTE($C2342,",",""))+1)</f>
        <v/>
      </c>
      <c r="K2342" s="26">
        <f>IF($A2342="","",SUMPRODUCT(--ISNUMBER(SEARCH('Category Dictionary'!$D$5:$D$135&amp;"",$C2342)),--('Category Dictionary'!$D$5:$D$135&lt;&gt;"")))</f>
        <v/>
      </c>
      <c r="L2342" s="27">
        <f>IF($A2342="","",TRIM(IF(ISERROR(FIND(",",$C2342)),$C2342,LEFT($C2342,FIND(",",$C2342)-1))))</f>
        <v/>
      </c>
      <c r="M2342" s="28">
        <f>IF($H2342="","",DATE(YEAR($H2342),MONTH($H2342),1))</f>
        <v/>
      </c>
      <c r="N2342" s="26">
        <f>IF($H2342="","",TODAY()-$H2342)</f>
        <v/>
      </c>
      <c r="O2342" s="15" t="n"/>
      <c r="P2342" s="26">
        <f>IF($A2342="","",COUNTIFS('Audit Versions'!$A$6:$A$605,$A2342,'Audit Versions'!$L$6:$L$605,"Active"))</f>
        <v/>
      </c>
      <c r="Q2342" s="15" t="n"/>
      <c r="R2342" s="26">
        <f>IF(OR($A2342="",$P2342=0),"",MOD(N($Q2342),$P2342)+1)</f>
        <v/>
      </c>
      <c r="S2342" s="15" t="n"/>
      <c r="T2342" s="25" t="n"/>
      <c r="U2342" s="26">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Builder'!$B$12="",N($S2342)&lt;='Assignment Builder'!$B$12)))</f>
        <v/>
      </c>
      <c r="V2342" s="23" t="n"/>
    </row>
    <row r="2343">
      <c r="A2343" s="23" t="n"/>
      <c r="B2343" s="23" t="n"/>
      <c r="C2343" s="24" t="n"/>
      <c r="D2343" s="15" t="n"/>
      <c r="E2343" s="23" t="n"/>
      <c r="F2343" s="15" t="n"/>
      <c r="G2343" s="23" t="n"/>
      <c r="H2343" s="25" t="n"/>
      <c r="I2343" s="15" t="n"/>
      <c r="J2343" s="26">
        <f>IF($A2343="","",LEN($C2343)-LEN(SUBSTITUTE($C2343,",",""))+1)</f>
        <v/>
      </c>
      <c r="K2343" s="26">
        <f>IF($A2343="","",SUMPRODUCT(--ISNUMBER(SEARCH('Category Dictionary'!$D$5:$D$135&amp;"",$C2343)),--('Category Dictionary'!$D$5:$D$135&lt;&gt;"")))</f>
        <v/>
      </c>
      <c r="L2343" s="27">
        <f>IF($A2343="","",TRIM(IF(ISERROR(FIND(",",$C2343)),$C2343,LEFT($C2343,FIND(",",$C2343)-1))))</f>
        <v/>
      </c>
      <c r="M2343" s="28">
        <f>IF($H2343="","",DATE(YEAR($H2343),MONTH($H2343),1))</f>
        <v/>
      </c>
      <c r="N2343" s="26">
        <f>IF($H2343="","",TODAY()-$H2343)</f>
        <v/>
      </c>
      <c r="O2343" s="15" t="n"/>
      <c r="P2343" s="26">
        <f>IF($A2343="","",COUNTIFS('Audit Versions'!$A$6:$A$605,$A2343,'Audit Versions'!$L$6:$L$605,"Active"))</f>
        <v/>
      </c>
      <c r="Q2343" s="15" t="n"/>
      <c r="R2343" s="26">
        <f>IF(OR($A2343="",$P2343=0),"",MOD(N($Q2343),$P2343)+1)</f>
        <v/>
      </c>
      <c r="S2343" s="15" t="n"/>
      <c r="T2343" s="25" t="n"/>
      <c r="U2343" s="26">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Builder'!$B$12="",N($S2343)&lt;='Assignment Builder'!$B$12)))</f>
        <v/>
      </c>
      <c r="V2343" s="23" t="n"/>
    </row>
    <row r="2344">
      <c r="A2344" s="23" t="n"/>
      <c r="B2344" s="23" t="n"/>
      <c r="C2344" s="24" t="n"/>
      <c r="D2344" s="15" t="n"/>
      <c r="E2344" s="23" t="n"/>
      <c r="F2344" s="15" t="n"/>
      <c r="G2344" s="23" t="n"/>
      <c r="H2344" s="25" t="n"/>
      <c r="I2344" s="15" t="n"/>
      <c r="J2344" s="26">
        <f>IF($A2344="","",LEN($C2344)-LEN(SUBSTITUTE($C2344,",",""))+1)</f>
        <v/>
      </c>
      <c r="K2344" s="26">
        <f>IF($A2344="","",SUMPRODUCT(--ISNUMBER(SEARCH('Category Dictionary'!$D$5:$D$135&amp;"",$C2344)),--('Category Dictionary'!$D$5:$D$135&lt;&gt;"")))</f>
        <v/>
      </c>
      <c r="L2344" s="27">
        <f>IF($A2344="","",TRIM(IF(ISERROR(FIND(",",$C2344)),$C2344,LEFT($C2344,FIND(",",$C2344)-1))))</f>
        <v/>
      </c>
      <c r="M2344" s="28">
        <f>IF($H2344="","",DATE(YEAR($H2344),MONTH($H2344),1))</f>
        <v/>
      </c>
      <c r="N2344" s="26">
        <f>IF($H2344="","",TODAY()-$H2344)</f>
        <v/>
      </c>
      <c r="O2344" s="15" t="n"/>
      <c r="P2344" s="26">
        <f>IF($A2344="","",COUNTIFS('Audit Versions'!$A$6:$A$605,$A2344,'Audit Versions'!$L$6:$L$605,"Active"))</f>
        <v/>
      </c>
      <c r="Q2344" s="15" t="n"/>
      <c r="R2344" s="26">
        <f>IF(OR($A2344="",$P2344=0),"",MOD(N($Q2344),$P2344)+1)</f>
        <v/>
      </c>
      <c r="S2344" s="15" t="n"/>
      <c r="T2344" s="25" t="n"/>
      <c r="U2344" s="26">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Builder'!$B$12="",N($S2344)&lt;='Assignment Builder'!$B$12)))</f>
        <v/>
      </c>
      <c r="V2344" s="23" t="n"/>
    </row>
    <row r="2345">
      <c r="A2345" s="23" t="n"/>
      <c r="B2345" s="23" t="n"/>
      <c r="C2345" s="24" t="n"/>
      <c r="D2345" s="15" t="n"/>
      <c r="E2345" s="23" t="n"/>
      <c r="F2345" s="15" t="n"/>
      <c r="G2345" s="23" t="n"/>
      <c r="H2345" s="25" t="n"/>
      <c r="I2345" s="15" t="n"/>
      <c r="J2345" s="26">
        <f>IF($A2345="","",LEN($C2345)-LEN(SUBSTITUTE($C2345,",",""))+1)</f>
        <v/>
      </c>
      <c r="K2345" s="26">
        <f>IF($A2345="","",SUMPRODUCT(--ISNUMBER(SEARCH('Category Dictionary'!$D$5:$D$135&amp;"",$C2345)),--('Category Dictionary'!$D$5:$D$135&lt;&gt;"")))</f>
        <v/>
      </c>
      <c r="L2345" s="27">
        <f>IF($A2345="","",TRIM(IF(ISERROR(FIND(",",$C2345)),$C2345,LEFT($C2345,FIND(",",$C2345)-1))))</f>
        <v/>
      </c>
      <c r="M2345" s="28">
        <f>IF($H2345="","",DATE(YEAR($H2345),MONTH($H2345),1))</f>
        <v/>
      </c>
      <c r="N2345" s="26">
        <f>IF($H2345="","",TODAY()-$H2345)</f>
        <v/>
      </c>
      <c r="O2345" s="15" t="n"/>
      <c r="P2345" s="26">
        <f>IF($A2345="","",COUNTIFS('Audit Versions'!$A$6:$A$605,$A2345,'Audit Versions'!$L$6:$L$605,"Active"))</f>
        <v/>
      </c>
      <c r="Q2345" s="15" t="n"/>
      <c r="R2345" s="26">
        <f>IF(OR($A2345="",$P2345=0),"",MOD(N($Q2345),$P2345)+1)</f>
        <v/>
      </c>
      <c r="S2345" s="15" t="n"/>
      <c r="T2345" s="25" t="n"/>
      <c r="U2345" s="26">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Builder'!$B$12="",N($S2345)&lt;='Assignment Builder'!$B$12)))</f>
        <v/>
      </c>
      <c r="V2345" s="23" t="n"/>
    </row>
    <row r="2346">
      <c r="A2346" s="23" t="n"/>
      <c r="B2346" s="23" t="n"/>
      <c r="C2346" s="24" t="n"/>
      <c r="D2346" s="15" t="n"/>
      <c r="E2346" s="23" t="n"/>
      <c r="F2346" s="15" t="n"/>
      <c r="G2346" s="23" t="n"/>
      <c r="H2346" s="25" t="n"/>
      <c r="I2346" s="15" t="n"/>
      <c r="J2346" s="26">
        <f>IF($A2346="","",LEN($C2346)-LEN(SUBSTITUTE($C2346,",",""))+1)</f>
        <v/>
      </c>
      <c r="K2346" s="26">
        <f>IF($A2346="","",SUMPRODUCT(--ISNUMBER(SEARCH('Category Dictionary'!$D$5:$D$135&amp;"",$C2346)),--('Category Dictionary'!$D$5:$D$135&lt;&gt;"")))</f>
        <v/>
      </c>
      <c r="L2346" s="27">
        <f>IF($A2346="","",TRIM(IF(ISERROR(FIND(",",$C2346)),$C2346,LEFT($C2346,FIND(",",$C2346)-1))))</f>
        <v/>
      </c>
      <c r="M2346" s="28">
        <f>IF($H2346="","",DATE(YEAR($H2346),MONTH($H2346),1))</f>
        <v/>
      </c>
      <c r="N2346" s="26">
        <f>IF($H2346="","",TODAY()-$H2346)</f>
        <v/>
      </c>
      <c r="O2346" s="15" t="n"/>
      <c r="P2346" s="26">
        <f>IF($A2346="","",COUNTIFS('Audit Versions'!$A$6:$A$605,$A2346,'Audit Versions'!$L$6:$L$605,"Active"))</f>
        <v/>
      </c>
      <c r="Q2346" s="15" t="n"/>
      <c r="R2346" s="26">
        <f>IF(OR($A2346="",$P2346=0),"",MOD(N($Q2346),$P2346)+1)</f>
        <v/>
      </c>
      <c r="S2346" s="15" t="n"/>
      <c r="T2346" s="25" t="n"/>
      <c r="U2346" s="26">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Builder'!$B$12="",N($S2346)&lt;='Assignment Builder'!$B$12)))</f>
        <v/>
      </c>
      <c r="V2346" s="23" t="n"/>
    </row>
    <row r="2347">
      <c r="A2347" s="23" t="n"/>
      <c r="B2347" s="23" t="n"/>
      <c r="C2347" s="24" t="n"/>
      <c r="D2347" s="15" t="n"/>
      <c r="E2347" s="23" t="n"/>
      <c r="F2347" s="15" t="n"/>
      <c r="G2347" s="23" t="n"/>
      <c r="H2347" s="25" t="n"/>
      <c r="I2347" s="15" t="n"/>
      <c r="J2347" s="26">
        <f>IF($A2347="","",LEN($C2347)-LEN(SUBSTITUTE($C2347,",",""))+1)</f>
        <v/>
      </c>
      <c r="K2347" s="26">
        <f>IF($A2347="","",SUMPRODUCT(--ISNUMBER(SEARCH('Category Dictionary'!$D$5:$D$135&amp;"",$C2347)),--('Category Dictionary'!$D$5:$D$135&lt;&gt;"")))</f>
        <v/>
      </c>
      <c r="L2347" s="27">
        <f>IF($A2347="","",TRIM(IF(ISERROR(FIND(",",$C2347)),$C2347,LEFT($C2347,FIND(",",$C2347)-1))))</f>
        <v/>
      </c>
      <c r="M2347" s="28">
        <f>IF($H2347="","",DATE(YEAR($H2347),MONTH($H2347),1))</f>
        <v/>
      </c>
      <c r="N2347" s="26">
        <f>IF($H2347="","",TODAY()-$H2347)</f>
        <v/>
      </c>
      <c r="O2347" s="15" t="n"/>
      <c r="P2347" s="26">
        <f>IF($A2347="","",COUNTIFS('Audit Versions'!$A$6:$A$605,$A2347,'Audit Versions'!$L$6:$L$605,"Active"))</f>
        <v/>
      </c>
      <c r="Q2347" s="15" t="n"/>
      <c r="R2347" s="26">
        <f>IF(OR($A2347="",$P2347=0),"",MOD(N($Q2347),$P2347)+1)</f>
        <v/>
      </c>
      <c r="S2347" s="15" t="n"/>
      <c r="T2347" s="25" t="n"/>
      <c r="U2347" s="26">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Builder'!$B$12="",N($S2347)&lt;='Assignment Builder'!$B$12)))</f>
        <v/>
      </c>
      <c r="V2347" s="23" t="n"/>
    </row>
    <row r="2348">
      <c r="A2348" s="23" t="n"/>
      <c r="B2348" s="23" t="n"/>
      <c r="C2348" s="24" t="n"/>
      <c r="D2348" s="15" t="n"/>
      <c r="E2348" s="23" t="n"/>
      <c r="F2348" s="15" t="n"/>
      <c r="G2348" s="23" t="n"/>
      <c r="H2348" s="25" t="n"/>
      <c r="I2348" s="15" t="n"/>
      <c r="J2348" s="26">
        <f>IF($A2348="","",LEN($C2348)-LEN(SUBSTITUTE($C2348,",",""))+1)</f>
        <v/>
      </c>
      <c r="K2348" s="26">
        <f>IF($A2348="","",SUMPRODUCT(--ISNUMBER(SEARCH('Category Dictionary'!$D$5:$D$135&amp;"",$C2348)),--('Category Dictionary'!$D$5:$D$135&lt;&gt;"")))</f>
        <v/>
      </c>
      <c r="L2348" s="27">
        <f>IF($A2348="","",TRIM(IF(ISERROR(FIND(",",$C2348)),$C2348,LEFT($C2348,FIND(",",$C2348)-1))))</f>
        <v/>
      </c>
      <c r="M2348" s="28">
        <f>IF($H2348="","",DATE(YEAR($H2348),MONTH($H2348),1))</f>
        <v/>
      </c>
      <c r="N2348" s="26">
        <f>IF($H2348="","",TODAY()-$H2348)</f>
        <v/>
      </c>
      <c r="O2348" s="15" t="n"/>
      <c r="P2348" s="26">
        <f>IF($A2348="","",COUNTIFS('Audit Versions'!$A$6:$A$605,$A2348,'Audit Versions'!$L$6:$L$605,"Active"))</f>
        <v/>
      </c>
      <c r="Q2348" s="15" t="n"/>
      <c r="R2348" s="26">
        <f>IF(OR($A2348="",$P2348=0),"",MOD(N($Q2348),$P2348)+1)</f>
        <v/>
      </c>
      <c r="S2348" s="15" t="n"/>
      <c r="T2348" s="25" t="n"/>
      <c r="U2348" s="26">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Builder'!$B$12="",N($S2348)&lt;='Assignment Builder'!$B$12)))</f>
        <v/>
      </c>
      <c r="V2348" s="23" t="n"/>
    </row>
    <row r="2349">
      <c r="A2349" s="23" t="n"/>
      <c r="B2349" s="23" t="n"/>
      <c r="C2349" s="24" t="n"/>
      <c r="D2349" s="15" t="n"/>
      <c r="E2349" s="23" t="n"/>
      <c r="F2349" s="15" t="n"/>
      <c r="G2349" s="23" t="n"/>
      <c r="H2349" s="25" t="n"/>
      <c r="I2349" s="15" t="n"/>
      <c r="J2349" s="26">
        <f>IF($A2349="","",LEN($C2349)-LEN(SUBSTITUTE($C2349,",",""))+1)</f>
        <v/>
      </c>
      <c r="K2349" s="26">
        <f>IF($A2349="","",SUMPRODUCT(--ISNUMBER(SEARCH('Category Dictionary'!$D$5:$D$135&amp;"",$C2349)),--('Category Dictionary'!$D$5:$D$135&lt;&gt;"")))</f>
        <v/>
      </c>
      <c r="L2349" s="27">
        <f>IF($A2349="","",TRIM(IF(ISERROR(FIND(",",$C2349)),$C2349,LEFT($C2349,FIND(",",$C2349)-1))))</f>
        <v/>
      </c>
      <c r="M2349" s="28">
        <f>IF($H2349="","",DATE(YEAR($H2349),MONTH($H2349),1))</f>
        <v/>
      </c>
      <c r="N2349" s="26">
        <f>IF($H2349="","",TODAY()-$H2349)</f>
        <v/>
      </c>
      <c r="O2349" s="15" t="n"/>
      <c r="P2349" s="26">
        <f>IF($A2349="","",COUNTIFS('Audit Versions'!$A$6:$A$605,$A2349,'Audit Versions'!$L$6:$L$605,"Active"))</f>
        <v/>
      </c>
      <c r="Q2349" s="15" t="n"/>
      <c r="R2349" s="26">
        <f>IF(OR($A2349="",$P2349=0),"",MOD(N($Q2349),$P2349)+1)</f>
        <v/>
      </c>
      <c r="S2349" s="15" t="n"/>
      <c r="T2349" s="25" t="n"/>
      <c r="U2349" s="26">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Builder'!$B$12="",N($S2349)&lt;='Assignment Builder'!$B$12)))</f>
        <v/>
      </c>
      <c r="V2349" s="23" t="n"/>
    </row>
    <row r="2350">
      <c r="A2350" s="23" t="n"/>
      <c r="B2350" s="23" t="n"/>
      <c r="C2350" s="24" t="n"/>
      <c r="D2350" s="15" t="n"/>
      <c r="E2350" s="23" t="n"/>
      <c r="F2350" s="15" t="n"/>
      <c r="G2350" s="23" t="n"/>
      <c r="H2350" s="25" t="n"/>
      <c r="I2350" s="15" t="n"/>
      <c r="J2350" s="26">
        <f>IF($A2350="","",LEN($C2350)-LEN(SUBSTITUTE($C2350,",",""))+1)</f>
        <v/>
      </c>
      <c r="K2350" s="26">
        <f>IF($A2350="","",SUMPRODUCT(--ISNUMBER(SEARCH('Category Dictionary'!$D$5:$D$135&amp;"",$C2350)),--('Category Dictionary'!$D$5:$D$135&lt;&gt;"")))</f>
        <v/>
      </c>
      <c r="L2350" s="27">
        <f>IF($A2350="","",TRIM(IF(ISERROR(FIND(",",$C2350)),$C2350,LEFT($C2350,FIND(",",$C2350)-1))))</f>
        <v/>
      </c>
      <c r="M2350" s="28">
        <f>IF($H2350="","",DATE(YEAR($H2350),MONTH($H2350),1))</f>
        <v/>
      </c>
      <c r="N2350" s="26">
        <f>IF($H2350="","",TODAY()-$H2350)</f>
        <v/>
      </c>
      <c r="O2350" s="15" t="n"/>
      <c r="P2350" s="26">
        <f>IF($A2350="","",COUNTIFS('Audit Versions'!$A$6:$A$605,$A2350,'Audit Versions'!$L$6:$L$605,"Active"))</f>
        <v/>
      </c>
      <c r="Q2350" s="15" t="n"/>
      <c r="R2350" s="26">
        <f>IF(OR($A2350="",$P2350=0),"",MOD(N($Q2350),$P2350)+1)</f>
        <v/>
      </c>
      <c r="S2350" s="15" t="n"/>
      <c r="T2350" s="25" t="n"/>
      <c r="U2350" s="26">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Builder'!$B$12="",N($S2350)&lt;='Assignment Builder'!$B$12)))</f>
        <v/>
      </c>
      <c r="V2350" s="23" t="n"/>
    </row>
    <row r="2351">
      <c r="A2351" s="23" t="n"/>
      <c r="B2351" s="23" t="n"/>
      <c r="C2351" s="24" t="n"/>
      <c r="D2351" s="15" t="n"/>
      <c r="E2351" s="23" t="n"/>
      <c r="F2351" s="15" t="n"/>
      <c r="G2351" s="23" t="n"/>
      <c r="H2351" s="25" t="n"/>
      <c r="I2351" s="15" t="n"/>
      <c r="J2351" s="26">
        <f>IF($A2351="","",LEN($C2351)-LEN(SUBSTITUTE($C2351,",",""))+1)</f>
        <v/>
      </c>
      <c r="K2351" s="26">
        <f>IF($A2351="","",SUMPRODUCT(--ISNUMBER(SEARCH('Category Dictionary'!$D$5:$D$135&amp;"",$C2351)),--('Category Dictionary'!$D$5:$D$135&lt;&gt;"")))</f>
        <v/>
      </c>
      <c r="L2351" s="27">
        <f>IF($A2351="","",TRIM(IF(ISERROR(FIND(",",$C2351)),$C2351,LEFT($C2351,FIND(",",$C2351)-1))))</f>
        <v/>
      </c>
      <c r="M2351" s="28">
        <f>IF($H2351="","",DATE(YEAR($H2351),MONTH($H2351),1))</f>
        <v/>
      </c>
      <c r="N2351" s="26">
        <f>IF($H2351="","",TODAY()-$H2351)</f>
        <v/>
      </c>
      <c r="O2351" s="15" t="n"/>
      <c r="P2351" s="26">
        <f>IF($A2351="","",COUNTIFS('Audit Versions'!$A$6:$A$605,$A2351,'Audit Versions'!$L$6:$L$605,"Active"))</f>
        <v/>
      </c>
      <c r="Q2351" s="15" t="n"/>
      <c r="R2351" s="26">
        <f>IF(OR($A2351="",$P2351=0),"",MOD(N($Q2351),$P2351)+1)</f>
        <v/>
      </c>
      <c r="S2351" s="15" t="n"/>
      <c r="T2351" s="25" t="n"/>
      <c r="U2351" s="26">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Builder'!$B$12="",N($S2351)&lt;='Assignment Builder'!$B$12)))</f>
        <v/>
      </c>
      <c r="V2351" s="23" t="n"/>
    </row>
    <row r="2352">
      <c r="A2352" s="23" t="n"/>
      <c r="B2352" s="23" t="n"/>
      <c r="C2352" s="24" t="n"/>
      <c r="D2352" s="15" t="n"/>
      <c r="E2352" s="23" t="n"/>
      <c r="F2352" s="15" t="n"/>
      <c r="G2352" s="23" t="n"/>
      <c r="H2352" s="25" t="n"/>
      <c r="I2352" s="15" t="n"/>
      <c r="J2352" s="26">
        <f>IF($A2352="","",LEN($C2352)-LEN(SUBSTITUTE($C2352,",",""))+1)</f>
        <v/>
      </c>
      <c r="K2352" s="26">
        <f>IF($A2352="","",SUMPRODUCT(--ISNUMBER(SEARCH('Category Dictionary'!$D$5:$D$135&amp;"",$C2352)),--('Category Dictionary'!$D$5:$D$135&lt;&gt;"")))</f>
        <v/>
      </c>
      <c r="L2352" s="27">
        <f>IF($A2352="","",TRIM(IF(ISERROR(FIND(",",$C2352)),$C2352,LEFT($C2352,FIND(",",$C2352)-1))))</f>
        <v/>
      </c>
      <c r="M2352" s="28">
        <f>IF($H2352="","",DATE(YEAR($H2352),MONTH($H2352),1))</f>
        <v/>
      </c>
      <c r="N2352" s="26">
        <f>IF($H2352="","",TODAY()-$H2352)</f>
        <v/>
      </c>
      <c r="O2352" s="15" t="n"/>
      <c r="P2352" s="26">
        <f>IF($A2352="","",COUNTIFS('Audit Versions'!$A$6:$A$605,$A2352,'Audit Versions'!$L$6:$L$605,"Active"))</f>
        <v/>
      </c>
      <c r="Q2352" s="15" t="n"/>
      <c r="R2352" s="26">
        <f>IF(OR($A2352="",$P2352=0),"",MOD(N($Q2352),$P2352)+1)</f>
        <v/>
      </c>
      <c r="S2352" s="15" t="n"/>
      <c r="T2352" s="25" t="n"/>
      <c r="U2352" s="26">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Builder'!$B$12="",N($S2352)&lt;='Assignment Builder'!$B$12)))</f>
        <v/>
      </c>
      <c r="V2352" s="23" t="n"/>
    </row>
    <row r="2353">
      <c r="A2353" s="23" t="n"/>
      <c r="B2353" s="23" t="n"/>
      <c r="C2353" s="24" t="n"/>
      <c r="D2353" s="15" t="n"/>
      <c r="E2353" s="23" t="n"/>
      <c r="F2353" s="15" t="n"/>
      <c r="G2353" s="23" t="n"/>
      <c r="H2353" s="25" t="n"/>
      <c r="I2353" s="15" t="n"/>
      <c r="J2353" s="26">
        <f>IF($A2353="","",LEN($C2353)-LEN(SUBSTITUTE($C2353,",",""))+1)</f>
        <v/>
      </c>
      <c r="K2353" s="26">
        <f>IF($A2353="","",SUMPRODUCT(--ISNUMBER(SEARCH('Category Dictionary'!$D$5:$D$135&amp;"",$C2353)),--('Category Dictionary'!$D$5:$D$135&lt;&gt;"")))</f>
        <v/>
      </c>
      <c r="L2353" s="27">
        <f>IF($A2353="","",TRIM(IF(ISERROR(FIND(",",$C2353)),$C2353,LEFT($C2353,FIND(",",$C2353)-1))))</f>
        <v/>
      </c>
      <c r="M2353" s="28">
        <f>IF($H2353="","",DATE(YEAR($H2353),MONTH($H2353),1))</f>
        <v/>
      </c>
      <c r="N2353" s="26">
        <f>IF($H2353="","",TODAY()-$H2353)</f>
        <v/>
      </c>
      <c r="O2353" s="15" t="n"/>
      <c r="P2353" s="26">
        <f>IF($A2353="","",COUNTIFS('Audit Versions'!$A$6:$A$605,$A2353,'Audit Versions'!$L$6:$L$605,"Active"))</f>
        <v/>
      </c>
      <c r="Q2353" s="15" t="n"/>
      <c r="R2353" s="26">
        <f>IF(OR($A2353="",$P2353=0),"",MOD(N($Q2353),$P2353)+1)</f>
        <v/>
      </c>
      <c r="S2353" s="15" t="n"/>
      <c r="T2353" s="25" t="n"/>
      <c r="U2353" s="26">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Builder'!$B$12="",N($S2353)&lt;='Assignment Builder'!$B$12)))</f>
        <v/>
      </c>
      <c r="V2353" s="23" t="n"/>
    </row>
    <row r="2354">
      <c r="A2354" s="23" t="n"/>
      <c r="B2354" s="23" t="n"/>
      <c r="C2354" s="24" t="n"/>
      <c r="D2354" s="15" t="n"/>
      <c r="E2354" s="23" t="n"/>
      <c r="F2354" s="15" t="n"/>
      <c r="G2354" s="23" t="n"/>
      <c r="H2354" s="25" t="n"/>
      <c r="I2354" s="15" t="n"/>
      <c r="J2354" s="26">
        <f>IF($A2354="","",LEN($C2354)-LEN(SUBSTITUTE($C2354,",",""))+1)</f>
        <v/>
      </c>
      <c r="K2354" s="26">
        <f>IF($A2354="","",SUMPRODUCT(--ISNUMBER(SEARCH('Category Dictionary'!$D$5:$D$135&amp;"",$C2354)),--('Category Dictionary'!$D$5:$D$135&lt;&gt;"")))</f>
        <v/>
      </c>
      <c r="L2354" s="27">
        <f>IF($A2354="","",TRIM(IF(ISERROR(FIND(",",$C2354)),$C2354,LEFT($C2354,FIND(",",$C2354)-1))))</f>
        <v/>
      </c>
      <c r="M2354" s="28">
        <f>IF($H2354="","",DATE(YEAR($H2354),MONTH($H2354),1))</f>
        <v/>
      </c>
      <c r="N2354" s="26">
        <f>IF($H2354="","",TODAY()-$H2354)</f>
        <v/>
      </c>
      <c r="O2354" s="15" t="n"/>
      <c r="P2354" s="26">
        <f>IF($A2354="","",COUNTIFS('Audit Versions'!$A$6:$A$605,$A2354,'Audit Versions'!$L$6:$L$605,"Active"))</f>
        <v/>
      </c>
      <c r="Q2354" s="15" t="n"/>
      <c r="R2354" s="26">
        <f>IF(OR($A2354="",$P2354=0),"",MOD(N($Q2354),$P2354)+1)</f>
        <v/>
      </c>
      <c r="S2354" s="15" t="n"/>
      <c r="T2354" s="25" t="n"/>
      <c r="U2354" s="26">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Builder'!$B$12="",N($S2354)&lt;='Assignment Builder'!$B$12)))</f>
        <v/>
      </c>
      <c r="V2354" s="23" t="n"/>
    </row>
    <row r="2355">
      <c r="A2355" s="23" t="n"/>
      <c r="B2355" s="23" t="n"/>
      <c r="C2355" s="24" t="n"/>
      <c r="D2355" s="15" t="n"/>
      <c r="E2355" s="23" t="n"/>
      <c r="F2355" s="15" t="n"/>
      <c r="G2355" s="23" t="n"/>
      <c r="H2355" s="25" t="n"/>
      <c r="I2355" s="15" t="n"/>
      <c r="J2355" s="26">
        <f>IF($A2355="","",LEN($C2355)-LEN(SUBSTITUTE($C2355,",",""))+1)</f>
        <v/>
      </c>
      <c r="K2355" s="26">
        <f>IF($A2355="","",SUMPRODUCT(--ISNUMBER(SEARCH('Category Dictionary'!$D$5:$D$135&amp;"",$C2355)),--('Category Dictionary'!$D$5:$D$135&lt;&gt;"")))</f>
        <v/>
      </c>
      <c r="L2355" s="27">
        <f>IF($A2355="","",TRIM(IF(ISERROR(FIND(",",$C2355)),$C2355,LEFT($C2355,FIND(",",$C2355)-1))))</f>
        <v/>
      </c>
      <c r="M2355" s="28">
        <f>IF($H2355="","",DATE(YEAR($H2355),MONTH($H2355),1))</f>
        <v/>
      </c>
      <c r="N2355" s="26">
        <f>IF($H2355="","",TODAY()-$H2355)</f>
        <v/>
      </c>
      <c r="O2355" s="15" t="n"/>
      <c r="P2355" s="26">
        <f>IF($A2355="","",COUNTIFS('Audit Versions'!$A$6:$A$605,$A2355,'Audit Versions'!$L$6:$L$605,"Active"))</f>
        <v/>
      </c>
      <c r="Q2355" s="15" t="n"/>
      <c r="R2355" s="26">
        <f>IF(OR($A2355="",$P2355=0),"",MOD(N($Q2355),$P2355)+1)</f>
        <v/>
      </c>
      <c r="S2355" s="15" t="n"/>
      <c r="T2355" s="25" t="n"/>
      <c r="U2355" s="26">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Builder'!$B$12="",N($S2355)&lt;='Assignment Builder'!$B$12)))</f>
        <v/>
      </c>
      <c r="V2355" s="23" t="n"/>
    </row>
    <row r="2356">
      <c r="A2356" s="23" t="n"/>
      <c r="B2356" s="23" t="n"/>
      <c r="C2356" s="24" t="n"/>
      <c r="D2356" s="15" t="n"/>
      <c r="E2356" s="23" t="n"/>
      <c r="F2356" s="15" t="n"/>
      <c r="G2356" s="23" t="n"/>
      <c r="H2356" s="25" t="n"/>
      <c r="I2356" s="15" t="n"/>
      <c r="J2356" s="26">
        <f>IF($A2356="","",LEN($C2356)-LEN(SUBSTITUTE($C2356,",",""))+1)</f>
        <v/>
      </c>
      <c r="K2356" s="26">
        <f>IF($A2356="","",SUMPRODUCT(--ISNUMBER(SEARCH('Category Dictionary'!$D$5:$D$135&amp;"",$C2356)),--('Category Dictionary'!$D$5:$D$135&lt;&gt;"")))</f>
        <v/>
      </c>
      <c r="L2356" s="27">
        <f>IF($A2356="","",TRIM(IF(ISERROR(FIND(",",$C2356)),$C2356,LEFT($C2356,FIND(",",$C2356)-1))))</f>
        <v/>
      </c>
      <c r="M2356" s="28">
        <f>IF($H2356="","",DATE(YEAR($H2356),MONTH($H2356),1))</f>
        <v/>
      </c>
      <c r="N2356" s="26">
        <f>IF($H2356="","",TODAY()-$H2356)</f>
        <v/>
      </c>
      <c r="O2356" s="15" t="n"/>
      <c r="P2356" s="26">
        <f>IF($A2356="","",COUNTIFS('Audit Versions'!$A$6:$A$605,$A2356,'Audit Versions'!$L$6:$L$605,"Active"))</f>
        <v/>
      </c>
      <c r="Q2356" s="15" t="n"/>
      <c r="R2356" s="26">
        <f>IF(OR($A2356="",$P2356=0),"",MOD(N($Q2356),$P2356)+1)</f>
        <v/>
      </c>
      <c r="S2356" s="15" t="n"/>
      <c r="T2356" s="25" t="n"/>
      <c r="U2356" s="26">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Builder'!$B$12="",N($S2356)&lt;='Assignment Builder'!$B$12)))</f>
        <v/>
      </c>
      <c r="V2356" s="23" t="n"/>
    </row>
    <row r="2357">
      <c r="A2357" s="23" t="n"/>
      <c r="B2357" s="23" t="n"/>
      <c r="C2357" s="24" t="n"/>
      <c r="D2357" s="15" t="n"/>
      <c r="E2357" s="23" t="n"/>
      <c r="F2357" s="15" t="n"/>
      <c r="G2357" s="23" t="n"/>
      <c r="H2357" s="25" t="n"/>
      <c r="I2357" s="15" t="n"/>
      <c r="J2357" s="26">
        <f>IF($A2357="","",LEN($C2357)-LEN(SUBSTITUTE($C2357,",",""))+1)</f>
        <v/>
      </c>
      <c r="K2357" s="26">
        <f>IF($A2357="","",SUMPRODUCT(--ISNUMBER(SEARCH('Category Dictionary'!$D$5:$D$135&amp;"",$C2357)),--('Category Dictionary'!$D$5:$D$135&lt;&gt;"")))</f>
        <v/>
      </c>
      <c r="L2357" s="27">
        <f>IF($A2357="","",TRIM(IF(ISERROR(FIND(",",$C2357)),$C2357,LEFT($C2357,FIND(",",$C2357)-1))))</f>
        <v/>
      </c>
      <c r="M2357" s="28">
        <f>IF($H2357="","",DATE(YEAR($H2357),MONTH($H2357),1))</f>
        <v/>
      </c>
      <c r="N2357" s="26">
        <f>IF($H2357="","",TODAY()-$H2357)</f>
        <v/>
      </c>
      <c r="O2357" s="15" t="n"/>
      <c r="P2357" s="26">
        <f>IF($A2357="","",COUNTIFS('Audit Versions'!$A$6:$A$605,$A2357,'Audit Versions'!$L$6:$L$605,"Active"))</f>
        <v/>
      </c>
      <c r="Q2357" s="15" t="n"/>
      <c r="R2357" s="26">
        <f>IF(OR($A2357="",$P2357=0),"",MOD(N($Q2357),$P2357)+1)</f>
        <v/>
      </c>
      <c r="S2357" s="15" t="n"/>
      <c r="T2357" s="25" t="n"/>
      <c r="U2357" s="26">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Builder'!$B$12="",N($S2357)&lt;='Assignment Builder'!$B$12)))</f>
        <v/>
      </c>
      <c r="V2357" s="23" t="n"/>
    </row>
    <row r="2358">
      <c r="A2358" s="23" t="n"/>
      <c r="B2358" s="23" t="n"/>
      <c r="C2358" s="24" t="n"/>
      <c r="D2358" s="15" t="n"/>
      <c r="E2358" s="23" t="n"/>
      <c r="F2358" s="15" t="n"/>
      <c r="G2358" s="23" t="n"/>
      <c r="H2358" s="25" t="n"/>
      <c r="I2358" s="15" t="n"/>
      <c r="J2358" s="26">
        <f>IF($A2358="","",LEN($C2358)-LEN(SUBSTITUTE($C2358,",",""))+1)</f>
        <v/>
      </c>
      <c r="K2358" s="26">
        <f>IF($A2358="","",SUMPRODUCT(--ISNUMBER(SEARCH('Category Dictionary'!$D$5:$D$135&amp;"",$C2358)),--('Category Dictionary'!$D$5:$D$135&lt;&gt;"")))</f>
        <v/>
      </c>
      <c r="L2358" s="27">
        <f>IF($A2358="","",TRIM(IF(ISERROR(FIND(",",$C2358)),$C2358,LEFT($C2358,FIND(",",$C2358)-1))))</f>
        <v/>
      </c>
      <c r="M2358" s="28">
        <f>IF($H2358="","",DATE(YEAR($H2358),MONTH($H2358),1))</f>
        <v/>
      </c>
      <c r="N2358" s="26">
        <f>IF($H2358="","",TODAY()-$H2358)</f>
        <v/>
      </c>
      <c r="O2358" s="15" t="n"/>
      <c r="P2358" s="26">
        <f>IF($A2358="","",COUNTIFS('Audit Versions'!$A$6:$A$605,$A2358,'Audit Versions'!$L$6:$L$605,"Active"))</f>
        <v/>
      </c>
      <c r="Q2358" s="15" t="n"/>
      <c r="R2358" s="26">
        <f>IF(OR($A2358="",$P2358=0),"",MOD(N($Q2358),$P2358)+1)</f>
        <v/>
      </c>
      <c r="S2358" s="15" t="n"/>
      <c r="T2358" s="25" t="n"/>
      <c r="U2358" s="26">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Builder'!$B$12="",N($S2358)&lt;='Assignment Builder'!$B$12)))</f>
        <v/>
      </c>
      <c r="V2358" s="23" t="n"/>
    </row>
    <row r="2359">
      <c r="A2359" s="23" t="n"/>
      <c r="B2359" s="23" t="n"/>
      <c r="C2359" s="24" t="n"/>
      <c r="D2359" s="15" t="n"/>
      <c r="E2359" s="23" t="n"/>
      <c r="F2359" s="15" t="n"/>
      <c r="G2359" s="23" t="n"/>
      <c r="H2359" s="25" t="n"/>
      <c r="I2359" s="15" t="n"/>
      <c r="J2359" s="26">
        <f>IF($A2359="","",LEN($C2359)-LEN(SUBSTITUTE($C2359,",",""))+1)</f>
        <v/>
      </c>
      <c r="K2359" s="26">
        <f>IF($A2359="","",SUMPRODUCT(--ISNUMBER(SEARCH('Category Dictionary'!$D$5:$D$135&amp;"",$C2359)),--('Category Dictionary'!$D$5:$D$135&lt;&gt;"")))</f>
        <v/>
      </c>
      <c r="L2359" s="27">
        <f>IF($A2359="","",TRIM(IF(ISERROR(FIND(",",$C2359)),$C2359,LEFT($C2359,FIND(",",$C2359)-1))))</f>
        <v/>
      </c>
      <c r="M2359" s="28">
        <f>IF($H2359="","",DATE(YEAR($H2359),MONTH($H2359),1))</f>
        <v/>
      </c>
      <c r="N2359" s="26">
        <f>IF($H2359="","",TODAY()-$H2359)</f>
        <v/>
      </c>
      <c r="O2359" s="15" t="n"/>
      <c r="P2359" s="26">
        <f>IF($A2359="","",COUNTIFS('Audit Versions'!$A$6:$A$605,$A2359,'Audit Versions'!$L$6:$L$605,"Active"))</f>
        <v/>
      </c>
      <c r="Q2359" s="15" t="n"/>
      <c r="R2359" s="26">
        <f>IF(OR($A2359="",$P2359=0),"",MOD(N($Q2359),$P2359)+1)</f>
        <v/>
      </c>
      <c r="S2359" s="15" t="n"/>
      <c r="T2359" s="25" t="n"/>
      <c r="U2359" s="26">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Builder'!$B$12="",N($S2359)&lt;='Assignment Builder'!$B$12)))</f>
        <v/>
      </c>
      <c r="V2359" s="23" t="n"/>
    </row>
    <row r="2360">
      <c r="A2360" s="23" t="n"/>
      <c r="B2360" s="23" t="n"/>
      <c r="C2360" s="24" t="n"/>
      <c r="D2360" s="15" t="n"/>
      <c r="E2360" s="23" t="n"/>
      <c r="F2360" s="15" t="n"/>
      <c r="G2360" s="23" t="n"/>
      <c r="H2360" s="25" t="n"/>
      <c r="I2360" s="15" t="n"/>
      <c r="J2360" s="26">
        <f>IF($A2360="","",LEN($C2360)-LEN(SUBSTITUTE($C2360,",",""))+1)</f>
        <v/>
      </c>
      <c r="K2360" s="26">
        <f>IF($A2360="","",SUMPRODUCT(--ISNUMBER(SEARCH('Category Dictionary'!$D$5:$D$135&amp;"",$C2360)),--('Category Dictionary'!$D$5:$D$135&lt;&gt;"")))</f>
        <v/>
      </c>
      <c r="L2360" s="27">
        <f>IF($A2360="","",TRIM(IF(ISERROR(FIND(",",$C2360)),$C2360,LEFT($C2360,FIND(",",$C2360)-1))))</f>
        <v/>
      </c>
      <c r="M2360" s="28">
        <f>IF($H2360="","",DATE(YEAR($H2360),MONTH($H2360),1))</f>
        <v/>
      </c>
      <c r="N2360" s="26">
        <f>IF($H2360="","",TODAY()-$H2360)</f>
        <v/>
      </c>
      <c r="O2360" s="15" t="n"/>
      <c r="P2360" s="26">
        <f>IF($A2360="","",COUNTIFS('Audit Versions'!$A$6:$A$605,$A2360,'Audit Versions'!$L$6:$L$605,"Active"))</f>
        <v/>
      </c>
      <c r="Q2360" s="15" t="n"/>
      <c r="R2360" s="26">
        <f>IF(OR($A2360="",$P2360=0),"",MOD(N($Q2360),$P2360)+1)</f>
        <v/>
      </c>
      <c r="S2360" s="15" t="n"/>
      <c r="T2360" s="25" t="n"/>
      <c r="U2360" s="26">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Builder'!$B$12="",N($S2360)&lt;='Assignment Builder'!$B$12)))</f>
        <v/>
      </c>
      <c r="V2360" s="23" t="n"/>
    </row>
    <row r="2361">
      <c r="A2361" s="23" t="n"/>
      <c r="B2361" s="23" t="n"/>
      <c r="C2361" s="24" t="n"/>
      <c r="D2361" s="15" t="n"/>
      <c r="E2361" s="23" t="n"/>
      <c r="F2361" s="15" t="n"/>
      <c r="G2361" s="23" t="n"/>
      <c r="H2361" s="25" t="n"/>
      <c r="I2361" s="15" t="n"/>
      <c r="J2361" s="26">
        <f>IF($A2361="","",LEN($C2361)-LEN(SUBSTITUTE($C2361,",",""))+1)</f>
        <v/>
      </c>
      <c r="K2361" s="26">
        <f>IF($A2361="","",SUMPRODUCT(--ISNUMBER(SEARCH('Category Dictionary'!$D$5:$D$135&amp;"",$C2361)),--('Category Dictionary'!$D$5:$D$135&lt;&gt;"")))</f>
        <v/>
      </c>
      <c r="L2361" s="27">
        <f>IF($A2361="","",TRIM(IF(ISERROR(FIND(",",$C2361)),$C2361,LEFT($C2361,FIND(",",$C2361)-1))))</f>
        <v/>
      </c>
      <c r="M2361" s="28">
        <f>IF($H2361="","",DATE(YEAR($H2361),MONTH($H2361),1))</f>
        <v/>
      </c>
      <c r="N2361" s="26">
        <f>IF($H2361="","",TODAY()-$H2361)</f>
        <v/>
      </c>
      <c r="O2361" s="15" t="n"/>
      <c r="P2361" s="26">
        <f>IF($A2361="","",COUNTIFS('Audit Versions'!$A$6:$A$605,$A2361,'Audit Versions'!$L$6:$L$605,"Active"))</f>
        <v/>
      </c>
      <c r="Q2361" s="15" t="n"/>
      <c r="R2361" s="26">
        <f>IF(OR($A2361="",$P2361=0),"",MOD(N($Q2361),$P2361)+1)</f>
        <v/>
      </c>
      <c r="S2361" s="15" t="n"/>
      <c r="T2361" s="25" t="n"/>
      <c r="U2361" s="26">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Builder'!$B$12="",N($S2361)&lt;='Assignment Builder'!$B$12)))</f>
        <v/>
      </c>
      <c r="V2361" s="23" t="n"/>
    </row>
    <row r="2362">
      <c r="A2362" s="23" t="n"/>
      <c r="B2362" s="23" t="n"/>
      <c r="C2362" s="24" t="n"/>
      <c r="D2362" s="15" t="n"/>
      <c r="E2362" s="23" t="n"/>
      <c r="F2362" s="15" t="n"/>
      <c r="G2362" s="23" t="n"/>
      <c r="H2362" s="25" t="n"/>
      <c r="I2362" s="15" t="n"/>
      <c r="J2362" s="26">
        <f>IF($A2362="","",LEN($C2362)-LEN(SUBSTITUTE($C2362,",",""))+1)</f>
        <v/>
      </c>
      <c r="K2362" s="26">
        <f>IF($A2362="","",SUMPRODUCT(--ISNUMBER(SEARCH('Category Dictionary'!$D$5:$D$135&amp;"",$C2362)),--('Category Dictionary'!$D$5:$D$135&lt;&gt;"")))</f>
        <v/>
      </c>
      <c r="L2362" s="27">
        <f>IF($A2362="","",TRIM(IF(ISERROR(FIND(",",$C2362)),$C2362,LEFT($C2362,FIND(",",$C2362)-1))))</f>
        <v/>
      </c>
      <c r="M2362" s="28">
        <f>IF($H2362="","",DATE(YEAR($H2362),MONTH($H2362),1))</f>
        <v/>
      </c>
      <c r="N2362" s="26">
        <f>IF($H2362="","",TODAY()-$H2362)</f>
        <v/>
      </c>
      <c r="O2362" s="15" t="n"/>
      <c r="P2362" s="26">
        <f>IF($A2362="","",COUNTIFS('Audit Versions'!$A$6:$A$605,$A2362,'Audit Versions'!$L$6:$L$605,"Active"))</f>
        <v/>
      </c>
      <c r="Q2362" s="15" t="n"/>
      <c r="R2362" s="26">
        <f>IF(OR($A2362="",$P2362=0),"",MOD(N($Q2362),$P2362)+1)</f>
        <v/>
      </c>
      <c r="S2362" s="15" t="n"/>
      <c r="T2362" s="25" t="n"/>
      <c r="U2362" s="26">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Builder'!$B$12="",N($S2362)&lt;='Assignment Builder'!$B$12)))</f>
        <v/>
      </c>
      <c r="V2362" s="23" t="n"/>
    </row>
    <row r="2363">
      <c r="A2363" s="23" t="n"/>
      <c r="B2363" s="23" t="n"/>
      <c r="C2363" s="24" t="n"/>
      <c r="D2363" s="15" t="n"/>
      <c r="E2363" s="23" t="n"/>
      <c r="F2363" s="15" t="n"/>
      <c r="G2363" s="23" t="n"/>
      <c r="H2363" s="25" t="n"/>
      <c r="I2363" s="15" t="n"/>
      <c r="J2363" s="26">
        <f>IF($A2363="","",LEN($C2363)-LEN(SUBSTITUTE($C2363,",",""))+1)</f>
        <v/>
      </c>
      <c r="K2363" s="26">
        <f>IF($A2363="","",SUMPRODUCT(--ISNUMBER(SEARCH('Category Dictionary'!$D$5:$D$135&amp;"",$C2363)),--('Category Dictionary'!$D$5:$D$135&lt;&gt;"")))</f>
        <v/>
      </c>
      <c r="L2363" s="27">
        <f>IF($A2363="","",TRIM(IF(ISERROR(FIND(",",$C2363)),$C2363,LEFT($C2363,FIND(",",$C2363)-1))))</f>
        <v/>
      </c>
      <c r="M2363" s="28">
        <f>IF($H2363="","",DATE(YEAR($H2363),MONTH($H2363),1))</f>
        <v/>
      </c>
      <c r="N2363" s="26">
        <f>IF($H2363="","",TODAY()-$H2363)</f>
        <v/>
      </c>
      <c r="O2363" s="15" t="n"/>
      <c r="P2363" s="26">
        <f>IF($A2363="","",COUNTIFS('Audit Versions'!$A$6:$A$605,$A2363,'Audit Versions'!$L$6:$L$605,"Active"))</f>
        <v/>
      </c>
      <c r="Q2363" s="15" t="n"/>
      <c r="R2363" s="26">
        <f>IF(OR($A2363="",$P2363=0),"",MOD(N($Q2363),$P2363)+1)</f>
        <v/>
      </c>
      <c r="S2363" s="15" t="n"/>
      <c r="T2363" s="25" t="n"/>
      <c r="U2363" s="26">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Builder'!$B$12="",N($S2363)&lt;='Assignment Builder'!$B$12)))</f>
        <v/>
      </c>
      <c r="V2363" s="23" t="n"/>
    </row>
    <row r="2364">
      <c r="A2364" s="23" t="n"/>
      <c r="B2364" s="23" t="n"/>
      <c r="C2364" s="24" t="n"/>
      <c r="D2364" s="15" t="n"/>
      <c r="E2364" s="23" t="n"/>
      <c r="F2364" s="15" t="n"/>
      <c r="G2364" s="23" t="n"/>
      <c r="H2364" s="25" t="n"/>
      <c r="I2364" s="15" t="n"/>
      <c r="J2364" s="26">
        <f>IF($A2364="","",LEN($C2364)-LEN(SUBSTITUTE($C2364,",",""))+1)</f>
        <v/>
      </c>
      <c r="K2364" s="26">
        <f>IF($A2364="","",SUMPRODUCT(--ISNUMBER(SEARCH('Category Dictionary'!$D$5:$D$135&amp;"",$C2364)),--('Category Dictionary'!$D$5:$D$135&lt;&gt;"")))</f>
        <v/>
      </c>
      <c r="L2364" s="27">
        <f>IF($A2364="","",TRIM(IF(ISERROR(FIND(",",$C2364)),$C2364,LEFT($C2364,FIND(",",$C2364)-1))))</f>
        <v/>
      </c>
      <c r="M2364" s="28">
        <f>IF($H2364="","",DATE(YEAR($H2364),MONTH($H2364),1))</f>
        <v/>
      </c>
      <c r="N2364" s="26">
        <f>IF($H2364="","",TODAY()-$H2364)</f>
        <v/>
      </c>
      <c r="O2364" s="15" t="n"/>
      <c r="P2364" s="26">
        <f>IF($A2364="","",COUNTIFS('Audit Versions'!$A$6:$A$605,$A2364,'Audit Versions'!$L$6:$L$605,"Active"))</f>
        <v/>
      </c>
      <c r="Q2364" s="15" t="n"/>
      <c r="R2364" s="26">
        <f>IF(OR($A2364="",$P2364=0),"",MOD(N($Q2364),$P2364)+1)</f>
        <v/>
      </c>
      <c r="S2364" s="15" t="n"/>
      <c r="T2364" s="25" t="n"/>
      <c r="U2364" s="26">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Builder'!$B$12="",N($S2364)&lt;='Assignment Builder'!$B$12)))</f>
        <v/>
      </c>
      <c r="V2364" s="23" t="n"/>
    </row>
    <row r="2365">
      <c r="A2365" s="23" t="n"/>
      <c r="B2365" s="23" t="n"/>
      <c r="C2365" s="24" t="n"/>
      <c r="D2365" s="15" t="n"/>
      <c r="E2365" s="23" t="n"/>
      <c r="F2365" s="15" t="n"/>
      <c r="G2365" s="23" t="n"/>
      <c r="H2365" s="25" t="n"/>
      <c r="I2365" s="15" t="n"/>
      <c r="J2365" s="26">
        <f>IF($A2365="","",LEN($C2365)-LEN(SUBSTITUTE($C2365,",",""))+1)</f>
        <v/>
      </c>
      <c r="K2365" s="26">
        <f>IF($A2365="","",SUMPRODUCT(--ISNUMBER(SEARCH('Category Dictionary'!$D$5:$D$135&amp;"",$C2365)),--('Category Dictionary'!$D$5:$D$135&lt;&gt;"")))</f>
        <v/>
      </c>
      <c r="L2365" s="27">
        <f>IF($A2365="","",TRIM(IF(ISERROR(FIND(",",$C2365)),$C2365,LEFT($C2365,FIND(",",$C2365)-1))))</f>
        <v/>
      </c>
      <c r="M2365" s="28">
        <f>IF($H2365="","",DATE(YEAR($H2365),MONTH($H2365),1))</f>
        <v/>
      </c>
      <c r="N2365" s="26">
        <f>IF($H2365="","",TODAY()-$H2365)</f>
        <v/>
      </c>
      <c r="O2365" s="15" t="n"/>
      <c r="P2365" s="26">
        <f>IF($A2365="","",COUNTIFS('Audit Versions'!$A$6:$A$605,$A2365,'Audit Versions'!$L$6:$L$605,"Active"))</f>
        <v/>
      </c>
      <c r="Q2365" s="15" t="n"/>
      <c r="R2365" s="26">
        <f>IF(OR($A2365="",$P2365=0),"",MOD(N($Q2365),$P2365)+1)</f>
        <v/>
      </c>
      <c r="S2365" s="15" t="n"/>
      <c r="T2365" s="25" t="n"/>
      <c r="U2365" s="26">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Builder'!$B$12="",N($S2365)&lt;='Assignment Builder'!$B$12)))</f>
        <v/>
      </c>
      <c r="V2365" s="23" t="n"/>
    </row>
    <row r="2366">
      <c r="A2366" s="23" t="n"/>
      <c r="B2366" s="23" t="n"/>
      <c r="C2366" s="24" t="n"/>
      <c r="D2366" s="15" t="n"/>
      <c r="E2366" s="23" t="n"/>
      <c r="F2366" s="15" t="n"/>
      <c r="G2366" s="23" t="n"/>
      <c r="H2366" s="25" t="n"/>
      <c r="I2366" s="15" t="n"/>
      <c r="J2366" s="26">
        <f>IF($A2366="","",LEN($C2366)-LEN(SUBSTITUTE($C2366,",",""))+1)</f>
        <v/>
      </c>
      <c r="K2366" s="26">
        <f>IF($A2366="","",SUMPRODUCT(--ISNUMBER(SEARCH('Category Dictionary'!$D$5:$D$135&amp;"",$C2366)),--('Category Dictionary'!$D$5:$D$135&lt;&gt;"")))</f>
        <v/>
      </c>
      <c r="L2366" s="27">
        <f>IF($A2366="","",TRIM(IF(ISERROR(FIND(",",$C2366)),$C2366,LEFT($C2366,FIND(",",$C2366)-1))))</f>
        <v/>
      </c>
      <c r="M2366" s="28">
        <f>IF($H2366="","",DATE(YEAR($H2366),MONTH($H2366),1))</f>
        <v/>
      </c>
      <c r="N2366" s="26">
        <f>IF($H2366="","",TODAY()-$H2366)</f>
        <v/>
      </c>
      <c r="O2366" s="15" t="n"/>
      <c r="P2366" s="26">
        <f>IF($A2366="","",COUNTIFS('Audit Versions'!$A$6:$A$605,$A2366,'Audit Versions'!$L$6:$L$605,"Active"))</f>
        <v/>
      </c>
      <c r="Q2366" s="15" t="n"/>
      <c r="R2366" s="26">
        <f>IF(OR($A2366="",$P2366=0),"",MOD(N($Q2366),$P2366)+1)</f>
        <v/>
      </c>
      <c r="S2366" s="15" t="n"/>
      <c r="T2366" s="25" t="n"/>
      <c r="U2366" s="26">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Builder'!$B$12="",N($S2366)&lt;='Assignment Builder'!$B$12)))</f>
        <v/>
      </c>
      <c r="V2366" s="23" t="n"/>
    </row>
    <row r="2367">
      <c r="A2367" s="23" t="n"/>
      <c r="B2367" s="23" t="n"/>
      <c r="C2367" s="24" t="n"/>
      <c r="D2367" s="15" t="n"/>
      <c r="E2367" s="23" t="n"/>
      <c r="F2367" s="15" t="n"/>
      <c r="G2367" s="23" t="n"/>
      <c r="H2367" s="25" t="n"/>
      <c r="I2367" s="15" t="n"/>
      <c r="J2367" s="26">
        <f>IF($A2367="","",LEN($C2367)-LEN(SUBSTITUTE($C2367,",",""))+1)</f>
        <v/>
      </c>
      <c r="K2367" s="26">
        <f>IF($A2367="","",SUMPRODUCT(--ISNUMBER(SEARCH('Category Dictionary'!$D$5:$D$135&amp;"",$C2367)),--('Category Dictionary'!$D$5:$D$135&lt;&gt;"")))</f>
        <v/>
      </c>
      <c r="L2367" s="27">
        <f>IF($A2367="","",TRIM(IF(ISERROR(FIND(",",$C2367)),$C2367,LEFT($C2367,FIND(",",$C2367)-1))))</f>
        <v/>
      </c>
      <c r="M2367" s="28">
        <f>IF($H2367="","",DATE(YEAR($H2367),MONTH($H2367),1))</f>
        <v/>
      </c>
      <c r="N2367" s="26">
        <f>IF($H2367="","",TODAY()-$H2367)</f>
        <v/>
      </c>
      <c r="O2367" s="15" t="n"/>
      <c r="P2367" s="26">
        <f>IF($A2367="","",COUNTIFS('Audit Versions'!$A$6:$A$605,$A2367,'Audit Versions'!$L$6:$L$605,"Active"))</f>
        <v/>
      </c>
      <c r="Q2367" s="15" t="n"/>
      <c r="R2367" s="26">
        <f>IF(OR($A2367="",$P2367=0),"",MOD(N($Q2367),$P2367)+1)</f>
        <v/>
      </c>
      <c r="S2367" s="15" t="n"/>
      <c r="T2367" s="25" t="n"/>
      <c r="U2367" s="26">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Builder'!$B$12="",N($S2367)&lt;='Assignment Builder'!$B$12)))</f>
        <v/>
      </c>
      <c r="V2367" s="23" t="n"/>
    </row>
    <row r="2368">
      <c r="A2368" s="23" t="n"/>
      <c r="B2368" s="23" t="n"/>
      <c r="C2368" s="24" t="n"/>
      <c r="D2368" s="15" t="n"/>
      <c r="E2368" s="23" t="n"/>
      <c r="F2368" s="15" t="n"/>
      <c r="G2368" s="23" t="n"/>
      <c r="H2368" s="25" t="n"/>
      <c r="I2368" s="15" t="n"/>
      <c r="J2368" s="26">
        <f>IF($A2368="","",LEN($C2368)-LEN(SUBSTITUTE($C2368,",",""))+1)</f>
        <v/>
      </c>
      <c r="K2368" s="26">
        <f>IF($A2368="","",SUMPRODUCT(--ISNUMBER(SEARCH('Category Dictionary'!$D$5:$D$135&amp;"",$C2368)),--('Category Dictionary'!$D$5:$D$135&lt;&gt;"")))</f>
        <v/>
      </c>
      <c r="L2368" s="27">
        <f>IF($A2368="","",TRIM(IF(ISERROR(FIND(",",$C2368)),$C2368,LEFT($C2368,FIND(",",$C2368)-1))))</f>
        <v/>
      </c>
      <c r="M2368" s="28">
        <f>IF($H2368="","",DATE(YEAR($H2368),MONTH($H2368),1))</f>
        <v/>
      </c>
      <c r="N2368" s="26">
        <f>IF($H2368="","",TODAY()-$H2368)</f>
        <v/>
      </c>
      <c r="O2368" s="15" t="n"/>
      <c r="P2368" s="26">
        <f>IF($A2368="","",COUNTIFS('Audit Versions'!$A$6:$A$605,$A2368,'Audit Versions'!$L$6:$L$605,"Active"))</f>
        <v/>
      </c>
      <c r="Q2368" s="15" t="n"/>
      <c r="R2368" s="26">
        <f>IF(OR($A2368="",$P2368=0),"",MOD(N($Q2368),$P2368)+1)</f>
        <v/>
      </c>
      <c r="S2368" s="15" t="n"/>
      <c r="T2368" s="25" t="n"/>
      <c r="U2368" s="26">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Builder'!$B$12="",N($S2368)&lt;='Assignment Builder'!$B$12)))</f>
        <v/>
      </c>
      <c r="V2368" s="23" t="n"/>
    </row>
    <row r="2369">
      <c r="A2369" s="23" t="n"/>
      <c r="B2369" s="23" t="n"/>
      <c r="C2369" s="24" t="n"/>
      <c r="D2369" s="15" t="n"/>
      <c r="E2369" s="23" t="n"/>
      <c r="F2369" s="15" t="n"/>
      <c r="G2369" s="23" t="n"/>
      <c r="H2369" s="25" t="n"/>
      <c r="I2369" s="15" t="n"/>
      <c r="J2369" s="26">
        <f>IF($A2369="","",LEN($C2369)-LEN(SUBSTITUTE($C2369,",",""))+1)</f>
        <v/>
      </c>
      <c r="K2369" s="26">
        <f>IF($A2369="","",SUMPRODUCT(--ISNUMBER(SEARCH('Category Dictionary'!$D$5:$D$135&amp;"",$C2369)),--('Category Dictionary'!$D$5:$D$135&lt;&gt;"")))</f>
        <v/>
      </c>
      <c r="L2369" s="27">
        <f>IF($A2369="","",TRIM(IF(ISERROR(FIND(",",$C2369)),$C2369,LEFT($C2369,FIND(",",$C2369)-1))))</f>
        <v/>
      </c>
      <c r="M2369" s="28">
        <f>IF($H2369="","",DATE(YEAR($H2369),MONTH($H2369),1))</f>
        <v/>
      </c>
      <c r="N2369" s="26">
        <f>IF($H2369="","",TODAY()-$H2369)</f>
        <v/>
      </c>
      <c r="O2369" s="15" t="n"/>
      <c r="P2369" s="26">
        <f>IF($A2369="","",COUNTIFS('Audit Versions'!$A$6:$A$605,$A2369,'Audit Versions'!$L$6:$L$605,"Active"))</f>
        <v/>
      </c>
      <c r="Q2369" s="15" t="n"/>
      <c r="R2369" s="26">
        <f>IF(OR($A2369="",$P2369=0),"",MOD(N($Q2369),$P2369)+1)</f>
        <v/>
      </c>
      <c r="S2369" s="15" t="n"/>
      <c r="T2369" s="25" t="n"/>
      <c r="U2369" s="26">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Builder'!$B$12="",N($S2369)&lt;='Assignment Builder'!$B$12)))</f>
        <v/>
      </c>
      <c r="V2369" s="23" t="n"/>
    </row>
    <row r="2370">
      <c r="A2370" s="23" t="n"/>
      <c r="B2370" s="23" t="n"/>
      <c r="C2370" s="24" t="n"/>
      <c r="D2370" s="15" t="n"/>
      <c r="E2370" s="23" t="n"/>
      <c r="F2370" s="15" t="n"/>
      <c r="G2370" s="23" t="n"/>
      <c r="H2370" s="25" t="n"/>
      <c r="I2370" s="15" t="n"/>
      <c r="J2370" s="26">
        <f>IF($A2370="","",LEN($C2370)-LEN(SUBSTITUTE($C2370,",",""))+1)</f>
        <v/>
      </c>
      <c r="K2370" s="26">
        <f>IF($A2370="","",SUMPRODUCT(--ISNUMBER(SEARCH('Category Dictionary'!$D$5:$D$135&amp;"",$C2370)),--('Category Dictionary'!$D$5:$D$135&lt;&gt;"")))</f>
        <v/>
      </c>
      <c r="L2370" s="27">
        <f>IF($A2370="","",TRIM(IF(ISERROR(FIND(",",$C2370)),$C2370,LEFT($C2370,FIND(",",$C2370)-1))))</f>
        <v/>
      </c>
      <c r="M2370" s="28">
        <f>IF($H2370="","",DATE(YEAR($H2370),MONTH($H2370),1))</f>
        <v/>
      </c>
      <c r="N2370" s="26">
        <f>IF($H2370="","",TODAY()-$H2370)</f>
        <v/>
      </c>
      <c r="O2370" s="15" t="n"/>
      <c r="P2370" s="26">
        <f>IF($A2370="","",COUNTIFS('Audit Versions'!$A$6:$A$605,$A2370,'Audit Versions'!$L$6:$L$605,"Active"))</f>
        <v/>
      </c>
      <c r="Q2370" s="15" t="n"/>
      <c r="R2370" s="26">
        <f>IF(OR($A2370="",$P2370=0),"",MOD(N($Q2370),$P2370)+1)</f>
        <v/>
      </c>
      <c r="S2370" s="15" t="n"/>
      <c r="T2370" s="25" t="n"/>
      <c r="U2370" s="26">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Builder'!$B$12="",N($S2370)&lt;='Assignment Builder'!$B$12)))</f>
        <v/>
      </c>
      <c r="V2370" s="23" t="n"/>
    </row>
    <row r="2371">
      <c r="A2371" s="23" t="n"/>
      <c r="B2371" s="23" t="n"/>
      <c r="C2371" s="24" t="n"/>
      <c r="D2371" s="15" t="n"/>
      <c r="E2371" s="23" t="n"/>
      <c r="F2371" s="15" t="n"/>
      <c r="G2371" s="23" t="n"/>
      <c r="H2371" s="25" t="n"/>
      <c r="I2371" s="15" t="n"/>
      <c r="J2371" s="26">
        <f>IF($A2371="","",LEN($C2371)-LEN(SUBSTITUTE($C2371,",",""))+1)</f>
        <v/>
      </c>
      <c r="K2371" s="26">
        <f>IF($A2371="","",SUMPRODUCT(--ISNUMBER(SEARCH('Category Dictionary'!$D$5:$D$135&amp;"",$C2371)),--('Category Dictionary'!$D$5:$D$135&lt;&gt;"")))</f>
        <v/>
      </c>
      <c r="L2371" s="27">
        <f>IF($A2371="","",TRIM(IF(ISERROR(FIND(",",$C2371)),$C2371,LEFT($C2371,FIND(",",$C2371)-1))))</f>
        <v/>
      </c>
      <c r="M2371" s="28">
        <f>IF($H2371="","",DATE(YEAR($H2371),MONTH($H2371),1))</f>
        <v/>
      </c>
      <c r="N2371" s="26">
        <f>IF($H2371="","",TODAY()-$H2371)</f>
        <v/>
      </c>
      <c r="O2371" s="15" t="n"/>
      <c r="P2371" s="26">
        <f>IF($A2371="","",COUNTIFS('Audit Versions'!$A$6:$A$605,$A2371,'Audit Versions'!$L$6:$L$605,"Active"))</f>
        <v/>
      </c>
      <c r="Q2371" s="15" t="n"/>
      <c r="R2371" s="26">
        <f>IF(OR($A2371="",$P2371=0),"",MOD(N($Q2371),$P2371)+1)</f>
        <v/>
      </c>
      <c r="S2371" s="15" t="n"/>
      <c r="T2371" s="25" t="n"/>
      <c r="U2371" s="26">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Builder'!$B$12="",N($S2371)&lt;='Assignment Builder'!$B$12)))</f>
        <v/>
      </c>
      <c r="V2371" s="23" t="n"/>
    </row>
    <row r="2372">
      <c r="A2372" s="23" t="n"/>
      <c r="B2372" s="23" t="n"/>
      <c r="C2372" s="24" t="n"/>
      <c r="D2372" s="15" t="n"/>
      <c r="E2372" s="23" t="n"/>
      <c r="F2372" s="15" t="n"/>
      <c r="G2372" s="23" t="n"/>
      <c r="H2372" s="25" t="n"/>
      <c r="I2372" s="15" t="n"/>
      <c r="J2372" s="26">
        <f>IF($A2372="","",LEN($C2372)-LEN(SUBSTITUTE($C2372,",",""))+1)</f>
        <v/>
      </c>
      <c r="K2372" s="26">
        <f>IF($A2372="","",SUMPRODUCT(--ISNUMBER(SEARCH('Category Dictionary'!$D$5:$D$135&amp;"",$C2372)),--('Category Dictionary'!$D$5:$D$135&lt;&gt;"")))</f>
        <v/>
      </c>
      <c r="L2372" s="27">
        <f>IF($A2372="","",TRIM(IF(ISERROR(FIND(",",$C2372)),$C2372,LEFT($C2372,FIND(",",$C2372)-1))))</f>
        <v/>
      </c>
      <c r="M2372" s="28">
        <f>IF($H2372="","",DATE(YEAR($H2372),MONTH($H2372),1))</f>
        <v/>
      </c>
      <c r="N2372" s="26">
        <f>IF($H2372="","",TODAY()-$H2372)</f>
        <v/>
      </c>
      <c r="O2372" s="15" t="n"/>
      <c r="P2372" s="26">
        <f>IF($A2372="","",COUNTIFS('Audit Versions'!$A$6:$A$605,$A2372,'Audit Versions'!$L$6:$L$605,"Active"))</f>
        <v/>
      </c>
      <c r="Q2372" s="15" t="n"/>
      <c r="R2372" s="26">
        <f>IF(OR($A2372="",$P2372=0),"",MOD(N($Q2372),$P2372)+1)</f>
        <v/>
      </c>
      <c r="S2372" s="15" t="n"/>
      <c r="T2372" s="25" t="n"/>
      <c r="U2372" s="26">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Builder'!$B$12="",N($S2372)&lt;='Assignment Builder'!$B$12)))</f>
        <v/>
      </c>
      <c r="V2372" s="23" t="n"/>
    </row>
    <row r="2373">
      <c r="A2373" s="23" t="n"/>
      <c r="B2373" s="23" t="n"/>
      <c r="C2373" s="24" t="n"/>
      <c r="D2373" s="15" t="n"/>
      <c r="E2373" s="23" t="n"/>
      <c r="F2373" s="15" t="n"/>
      <c r="G2373" s="23" t="n"/>
      <c r="H2373" s="25" t="n"/>
      <c r="I2373" s="15" t="n"/>
      <c r="J2373" s="26">
        <f>IF($A2373="","",LEN($C2373)-LEN(SUBSTITUTE($C2373,",",""))+1)</f>
        <v/>
      </c>
      <c r="K2373" s="26">
        <f>IF($A2373="","",SUMPRODUCT(--ISNUMBER(SEARCH('Category Dictionary'!$D$5:$D$135&amp;"",$C2373)),--('Category Dictionary'!$D$5:$D$135&lt;&gt;"")))</f>
        <v/>
      </c>
      <c r="L2373" s="27">
        <f>IF($A2373="","",TRIM(IF(ISERROR(FIND(",",$C2373)),$C2373,LEFT($C2373,FIND(",",$C2373)-1))))</f>
        <v/>
      </c>
      <c r="M2373" s="28">
        <f>IF($H2373="","",DATE(YEAR($H2373),MONTH($H2373),1))</f>
        <v/>
      </c>
      <c r="N2373" s="26">
        <f>IF($H2373="","",TODAY()-$H2373)</f>
        <v/>
      </c>
      <c r="O2373" s="15" t="n"/>
      <c r="P2373" s="26">
        <f>IF($A2373="","",COUNTIFS('Audit Versions'!$A$6:$A$605,$A2373,'Audit Versions'!$L$6:$L$605,"Active"))</f>
        <v/>
      </c>
      <c r="Q2373" s="15" t="n"/>
      <c r="R2373" s="26">
        <f>IF(OR($A2373="",$P2373=0),"",MOD(N($Q2373),$P2373)+1)</f>
        <v/>
      </c>
      <c r="S2373" s="15" t="n"/>
      <c r="T2373" s="25" t="n"/>
      <c r="U2373" s="26">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Builder'!$B$12="",N($S2373)&lt;='Assignment Builder'!$B$12)))</f>
        <v/>
      </c>
      <c r="V2373" s="23" t="n"/>
    </row>
    <row r="2374">
      <c r="A2374" s="23" t="n"/>
      <c r="B2374" s="23" t="n"/>
      <c r="C2374" s="24" t="n"/>
      <c r="D2374" s="15" t="n"/>
      <c r="E2374" s="23" t="n"/>
      <c r="F2374" s="15" t="n"/>
      <c r="G2374" s="23" t="n"/>
      <c r="H2374" s="25" t="n"/>
      <c r="I2374" s="15" t="n"/>
      <c r="J2374" s="26">
        <f>IF($A2374="","",LEN($C2374)-LEN(SUBSTITUTE($C2374,",",""))+1)</f>
        <v/>
      </c>
      <c r="K2374" s="26">
        <f>IF($A2374="","",SUMPRODUCT(--ISNUMBER(SEARCH('Category Dictionary'!$D$5:$D$135&amp;"",$C2374)),--('Category Dictionary'!$D$5:$D$135&lt;&gt;"")))</f>
        <v/>
      </c>
      <c r="L2374" s="27">
        <f>IF($A2374="","",TRIM(IF(ISERROR(FIND(",",$C2374)),$C2374,LEFT($C2374,FIND(",",$C2374)-1))))</f>
        <v/>
      </c>
      <c r="M2374" s="28">
        <f>IF($H2374="","",DATE(YEAR($H2374),MONTH($H2374),1))</f>
        <v/>
      </c>
      <c r="N2374" s="26">
        <f>IF($H2374="","",TODAY()-$H2374)</f>
        <v/>
      </c>
      <c r="O2374" s="15" t="n"/>
      <c r="P2374" s="26">
        <f>IF($A2374="","",COUNTIFS('Audit Versions'!$A$6:$A$605,$A2374,'Audit Versions'!$L$6:$L$605,"Active"))</f>
        <v/>
      </c>
      <c r="Q2374" s="15" t="n"/>
      <c r="R2374" s="26">
        <f>IF(OR($A2374="",$P2374=0),"",MOD(N($Q2374),$P2374)+1)</f>
        <v/>
      </c>
      <c r="S2374" s="15" t="n"/>
      <c r="T2374" s="25" t="n"/>
      <c r="U2374" s="26">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Builder'!$B$12="",N($S2374)&lt;='Assignment Builder'!$B$12)))</f>
        <v/>
      </c>
      <c r="V2374" s="23" t="n"/>
    </row>
    <row r="2375">
      <c r="A2375" s="23" t="n"/>
      <c r="B2375" s="23" t="n"/>
      <c r="C2375" s="24" t="n"/>
      <c r="D2375" s="15" t="n"/>
      <c r="E2375" s="23" t="n"/>
      <c r="F2375" s="15" t="n"/>
      <c r="G2375" s="23" t="n"/>
      <c r="H2375" s="25" t="n"/>
      <c r="I2375" s="15" t="n"/>
      <c r="J2375" s="26">
        <f>IF($A2375="","",LEN($C2375)-LEN(SUBSTITUTE($C2375,",",""))+1)</f>
        <v/>
      </c>
      <c r="K2375" s="26">
        <f>IF($A2375="","",SUMPRODUCT(--ISNUMBER(SEARCH('Category Dictionary'!$D$5:$D$135&amp;"",$C2375)),--('Category Dictionary'!$D$5:$D$135&lt;&gt;"")))</f>
        <v/>
      </c>
      <c r="L2375" s="27">
        <f>IF($A2375="","",TRIM(IF(ISERROR(FIND(",",$C2375)),$C2375,LEFT($C2375,FIND(",",$C2375)-1))))</f>
        <v/>
      </c>
      <c r="M2375" s="28">
        <f>IF($H2375="","",DATE(YEAR($H2375),MONTH($H2375),1))</f>
        <v/>
      </c>
      <c r="N2375" s="26">
        <f>IF($H2375="","",TODAY()-$H2375)</f>
        <v/>
      </c>
      <c r="O2375" s="15" t="n"/>
      <c r="P2375" s="26">
        <f>IF($A2375="","",COUNTIFS('Audit Versions'!$A$6:$A$605,$A2375,'Audit Versions'!$L$6:$L$605,"Active"))</f>
        <v/>
      </c>
      <c r="Q2375" s="15" t="n"/>
      <c r="R2375" s="26">
        <f>IF(OR($A2375="",$P2375=0),"",MOD(N($Q2375),$P2375)+1)</f>
        <v/>
      </c>
      <c r="S2375" s="15" t="n"/>
      <c r="T2375" s="25" t="n"/>
      <c r="U2375" s="26">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Builder'!$B$12="",N($S2375)&lt;='Assignment Builder'!$B$12)))</f>
        <v/>
      </c>
      <c r="V2375" s="23" t="n"/>
    </row>
    <row r="2376">
      <c r="A2376" s="23" t="n"/>
      <c r="B2376" s="23" t="n"/>
      <c r="C2376" s="24" t="n"/>
      <c r="D2376" s="15" t="n"/>
      <c r="E2376" s="23" t="n"/>
      <c r="F2376" s="15" t="n"/>
      <c r="G2376" s="23" t="n"/>
      <c r="H2376" s="25" t="n"/>
      <c r="I2376" s="15" t="n"/>
      <c r="J2376" s="26">
        <f>IF($A2376="","",LEN($C2376)-LEN(SUBSTITUTE($C2376,",",""))+1)</f>
        <v/>
      </c>
      <c r="K2376" s="26">
        <f>IF($A2376="","",SUMPRODUCT(--ISNUMBER(SEARCH('Category Dictionary'!$D$5:$D$135&amp;"",$C2376)),--('Category Dictionary'!$D$5:$D$135&lt;&gt;"")))</f>
        <v/>
      </c>
      <c r="L2376" s="27">
        <f>IF($A2376="","",TRIM(IF(ISERROR(FIND(",",$C2376)),$C2376,LEFT($C2376,FIND(",",$C2376)-1))))</f>
        <v/>
      </c>
      <c r="M2376" s="28">
        <f>IF($H2376="","",DATE(YEAR($H2376),MONTH($H2376),1))</f>
        <v/>
      </c>
      <c r="N2376" s="26">
        <f>IF($H2376="","",TODAY()-$H2376)</f>
        <v/>
      </c>
      <c r="O2376" s="15" t="n"/>
      <c r="P2376" s="26">
        <f>IF($A2376="","",COUNTIFS('Audit Versions'!$A$6:$A$605,$A2376,'Audit Versions'!$L$6:$L$605,"Active"))</f>
        <v/>
      </c>
      <c r="Q2376" s="15" t="n"/>
      <c r="R2376" s="26">
        <f>IF(OR($A2376="",$P2376=0),"",MOD(N($Q2376),$P2376)+1)</f>
        <v/>
      </c>
      <c r="S2376" s="15" t="n"/>
      <c r="T2376" s="25" t="n"/>
      <c r="U2376" s="26">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Builder'!$B$12="",N($S2376)&lt;='Assignment Builder'!$B$12)))</f>
        <v/>
      </c>
      <c r="V2376" s="23" t="n"/>
    </row>
    <row r="2377">
      <c r="A2377" s="23" t="n"/>
      <c r="B2377" s="23" t="n"/>
      <c r="C2377" s="24" t="n"/>
      <c r="D2377" s="15" t="n"/>
      <c r="E2377" s="23" t="n"/>
      <c r="F2377" s="15" t="n"/>
      <c r="G2377" s="23" t="n"/>
      <c r="H2377" s="25" t="n"/>
      <c r="I2377" s="15" t="n"/>
      <c r="J2377" s="26">
        <f>IF($A2377="","",LEN($C2377)-LEN(SUBSTITUTE($C2377,",",""))+1)</f>
        <v/>
      </c>
      <c r="K2377" s="26">
        <f>IF($A2377="","",SUMPRODUCT(--ISNUMBER(SEARCH('Category Dictionary'!$D$5:$D$135&amp;"",$C2377)),--('Category Dictionary'!$D$5:$D$135&lt;&gt;"")))</f>
        <v/>
      </c>
      <c r="L2377" s="27">
        <f>IF($A2377="","",TRIM(IF(ISERROR(FIND(",",$C2377)),$C2377,LEFT($C2377,FIND(",",$C2377)-1))))</f>
        <v/>
      </c>
      <c r="M2377" s="28">
        <f>IF($H2377="","",DATE(YEAR($H2377),MONTH($H2377),1))</f>
        <v/>
      </c>
      <c r="N2377" s="26">
        <f>IF($H2377="","",TODAY()-$H2377)</f>
        <v/>
      </c>
      <c r="O2377" s="15" t="n"/>
      <c r="P2377" s="26">
        <f>IF($A2377="","",COUNTIFS('Audit Versions'!$A$6:$A$605,$A2377,'Audit Versions'!$L$6:$L$605,"Active"))</f>
        <v/>
      </c>
      <c r="Q2377" s="15" t="n"/>
      <c r="R2377" s="26">
        <f>IF(OR($A2377="",$P2377=0),"",MOD(N($Q2377),$P2377)+1)</f>
        <v/>
      </c>
      <c r="S2377" s="15" t="n"/>
      <c r="T2377" s="25" t="n"/>
      <c r="U2377" s="26">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Builder'!$B$12="",N($S2377)&lt;='Assignment Builder'!$B$12)))</f>
        <v/>
      </c>
      <c r="V2377" s="23" t="n"/>
    </row>
    <row r="2378">
      <c r="A2378" s="23" t="n"/>
      <c r="B2378" s="23" t="n"/>
      <c r="C2378" s="24" t="n"/>
      <c r="D2378" s="15" t="n"/>
      <c r="E2378" s="23" t="n"/>
      <c r="F2378" s="15" t="n"/>
      <c r="G2378" s="23" t="n"/>
      <c r="H2378" s="25" t="n"/>
      <c r="I2378" s="15" t="n"/>
      <c r="J2378" s="26">
        <f>IF($A2378="","",LEN($C2378)-LEN(SUBSTITUTE($C2378,",",""))+1)</f>
        <v/>
      </c>
      <c r="K2378" s="26">
        <f>IF($A2378="","",SUMPRODUCT(--ISNUMBER(SEARCH('Category Dictionary'!$D$5:$D$135&amp;"",$C2378)),--('Category Dictionary'!$D$5:$D$135&lt;&gt;"")))</f>
        <v/>
      </c>
      <c r="L2378" s="27">
        <f>IF($A2378="","",TRIM(IF(ISERROR(FIND(",",$C2378)),$C2378,LEFT($C2378,FIND(",",$C2378)-1))))</f>
        <v/>
      </c>
      <c r="M2378" s="28">
        <f>IF($H2378="","",DATE(YEAR($H2378),MONTH($H2378),1))</f>
        <v/>
      </c>
      <c r="N2378" s="26">
        <f>IF($H2378="","",TODAY()-$H2378)</f>
        <v/>
      </c>
      <c r="O2378" s="15" t="n"/>
      <c r="P2378" s="26">
        <f>IF($A2378="","",COUNTIFS('Audit Versions'!$A$6:$A$605,$A2378,'Audit Versions'!$L$6:$L$605,"Active"))</f>
        <v/>
      </c>
      <c r="Q2378" s="15" t="n"/>
      <c r="R2378" s="26">
        <f>IF(OR($A2378="",$P2378=0),"",MOD(N($Q2378),$P2378)+1)</f>
        <v/>
      </c>
      <c r="S2378" s="15" t="n"/>
      <c r="T2378" s="25" t="n"/>
      <c r="U2378" s="26">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Builder'!$B$12="",N($S2378)&lt;='Assignment Builder'!$B$12)))</f>
        <v/>
      </c>
      <c r="V2378" s="23" t="n"/>
    </row>
    <row r="2379">
      <c r="A2379" s="23" t="n"/>
      <c r="B2379" s="23" t="n"/>
      <c r="C2379" s="24" t="n"/>
      <c r="D2379" s="15" t="n"/>
      <c r="E2379" s="23" t="n"/>
      <c r="F2379" s="15" t="n"/>
      <c r="G2379" s="23" t="n"/>
      <c r="H2379" s="25" t="n"/>
      <c r="I2379" s="15" t="n"/>
      <c r="J2379" s="26">
        <f>IF($A2379="","",LEN($C2379)-LEN(SUBSTITUTE($C2379,",",""))+1)</f>
        <v/>
      </c>
      <c r="K2379" s="26">
        <f>IF($A2379="","",SUMPRODUCT(--ISNUMBER(SEARCH('Category Dictionary'!$D$5:$D$135&amp;"",$C2379)),--('Category Dictionary'!$D$5:$D$135&lt;&gt;"")))</f>
        <v/>
      </c>
      <c r="L2379" s="27">
        <f>IF($A2379="","",TRIM(IF(ISERROR(FIND(",",$C2379)),$C2379,LEFT($C2379,FIND(",",$C2379)-1))))</f>
        <v/>
      </c>
      <c r="M2379" s="28">
        <f>IF($H2379="","",DATE(YEAR($H2379),MONTH($H2379),1))</f>
        <v/>
      </c>
      <c r="N2379" s="26">
        <f>IF($H2379="","",TODAY()-$H2379)</f>
        <v/>
      </c>
      <c r="O2379" s="15" t="n"/>
      <c r="P2379" s="26">
        <f>IF($A2379="","",COUNTIFS('Audit Versions'!$A$6:$A$605,$A2379,'Audit Versions'!$L$6:$L$605,"Active"))</f>
        <v/>
      </c>
      <c r="Q2379" s="15" t="n"/>
      <c r="R2379" s="26">
        <f>IF(OR($A2379="",$P2379=0),"",MOD(N($Q2379),$P2379)+1)</f>
        <v/>
      </c>
      <c r="S2379" s="15" t="n"/>
      <c r="T2379" s="25" t="n"/>
      <c r="U2379" s="26">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Builder'!$B$12="",N($S2379)&lt;='Assignment Builder'!$B$12)))</f>
        <v/>
      </c>
      <c r="V2379" s="23" t="n"/>
    </row>
    <row r="2380">
      <c r="A2380" s="23" t="n"/>
      <c r="B2380" s="23" t="n"/>
      <c r="C2380" s="24" t="n"/>
      <c r="D2380" s="15" t="n"/>
      <c r="E2380" s="23" t="n"/>
      <c r="F2380" s="15" t="n"/>
      <c r="G2380" s="23" t="n"/>
      <c r="H2380" s="25" t="n"/>
      <c r="I2380" s="15" t="n"/>
      <c r="J2380" s="26">
        <f>IF($A2380="","",LEN($C2380)-LEN(SUBSTITUTE($C2380,",",""))+1)</f>
        <v/>
      </c>
      <c r="K2380" s="26">
        <f>IF($A2380="","",SUMPRODUCT(--ISNUMBER(SEARCH('Category Dictionary'!$D$5:$D$135&amp;"",$C2380)),--('Category Dictionary'!$D$5:$D$135&lt;&gt;"")))</f>
        <v/>
      </c>
      <c r="L2380" s="27">
        <f>IF($A2380="","",TRIM(IF(ISERROR(FIND(",",$C2380)),$C2380,LEFT($C2380,FIND(",",$C2380)-1))))</f>
        <v/>
      </c>
      <c r="M2380" s="28">
        <f>IF($H2380="","",DATE(YEAR($H2380),MONTH($H2380),1))</f>
        <v/>
      </c>
      <c r="N2380" s="26">
        <f>IF($H2380="","",TODAY()-$H2380)</f>
        <v/>
      </c>
      <c r="O2380" s="15" t="n"/>
      <c r="P2380" s="26">
        <f>IF($A2380="","",COUNTIFS('Audit Versions'!$A$6:$A$605,$A2380,'Audit Versions'!$L$6:$L$605,"Active"))</f>
        <v/>
      </c>
      <c r="Q2380" s="15" t="n"/>
      <c r="R2380" s="26">
        <f>IF(OR($A2380="",$P2380=0),"",MOD(N($Q2380),$P2380)+1)</f>
        <v/>
      </c>
      <c r="S2380" s="15" t="n"/>
      <c r="T2380" s="25" t="n"/>
      <c r="U2380" s="26">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Builder'!$B$12="",N($S2380)&lt;='Assignment Builder'!$B$12)))</f>
        <v/>
      </c>
      <c r="V2380" s="23" t="n"/>
    </row>
    <row r="2381">
      <c r="A2381" s="23" t="n"/>
      <c r="B2381" s="23" t="n"/>
      <c r="C2381" s="24" t="n"/>
      <c r="D2381" s="15" t="n"/>
      <c r="E2381" s="23" t="n"/>
      <c r="F2381" s="15" t="n"/>
      <c r="G2381" s="23" t="n"/>
      <c r="H2381" s="25" t="n"/>
      <c r="I2381" s="15" t="n"/>
      <c r="J2381" s="26">
        <f>IF($A2381="","",LEN($C2381)-LEN(SUBSTITUTE($C2381,",",""))+1)</f>
        <v/>
      </c>
      <c r="K2381" s="26">
        <f>IF($A2381="","",SUMPRODUCT(--ISNUMBER(SEARCH('Category Dictionary'!$D$5:$D$135&amp;"",$C2381)),--('Category Dictionary'!$D$5:$D$135&lt;&gt;"")))</f>
        <v/>
      </c>
      <c r="L2381" s="27">
        <f>IF($A2381="","",TRIM(IF(ISERROR(FIND(",",$C2381)),$C2381,LEFT($C2381,FIND(",",$C2381)-1))))</f>
        <v/>
      </c>
      <c r="M2381" s="28">
        <f>IF($H2381="","",DATE(YEAR($H2381),MONTH($H2381),1))</f>
        <v/>
      </c>
      <c r="N2381" s="26">
        <f>IF($H2381="","",TODAY()-$H2381)</f>
        <v/>
      </c>
      <c r="O2381" s="15" t="n"/>
      <c r="P2381" s="26">
        <f>IF($A2381="","",COUNTIFS('Audit Versions'!$A$6:$A$605,$A2381,'Audit Versions'!$L$6:$L$605,"Active"))</f>
        <v/>
      </c>
      <c r="Q2381" s="15" t="n"/>
      <c r="R2381" s="26">
        <f>IF(OR($A2381="",$P2381=0),"",MOD(N($Q2381),$P2381)+1)</f>
        <v/>
      </c>
      <c r="S2381" s="15" t="n"/>
      <c r="T2381" s="25" t="n"/>
      <c r="U2381" s="26">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Builder'!$B$12="",N($S2381)&lt;='Assignment Builder'!$B$12)))</f>
        <v/>
      </c>
      <c r="V2381" s="23" t="n"/>
    </row>
    <row r="2382">
      <c r="A2382" s="23" t="n"/>
      <c r="B2382" s="23" t="n"/>
      <c r="C2382" s="24" t="n"/>
      <c r="D2382" s="15" t="n"/>
      <c r="E2382" s="23" t="n"/>
      <c r="F2382" s="15" t="n"/>
      <c r="G2382" s="23" t="n"/>
      <c r="H2382" s="25" t="n"/>
      <c r="I2382" s="15" t="n"/>
      <c r="J2382" s="26">
        <f>IF($A2382="","",LEN($C2382)-LEN(SUBSTITUTE($C2382,",",""))+1)</f>
        <v/>
      </c>
      <c r="K2382" s="26">
        <f>IF($A2382="","",SUMPRODUCT(--ISNUMBER(SEARCH('Category Dictionary'!$D$5:$D$135&amp;"",$C2382)),--('Category Dictionary'!$D$5:$D$135&lt;&gt;"")))</f>
        <v/>
      </c>
      <c r="L2382" s="27">
        <f>IF($A2382="","",TRIM(IF(ISERROR(FIND(",",$C2382)),$C2382,LEFT($C2382,FIND(",",$C2382)-1))))</f>
        <v/>
      </c>
      <c r="M2382" s="28">
        <f>IF($H2382="","",DATE(YEAR($H2382),MONTH($H2382),1))</f>
        <v/>
      </c>
      <c r="N2382" s="26">
        <f>IF($H2382="","",TODAY()-$H2382)</f>
        <v/>
      </c>
      <c r="O2382" s="15" t="n"/>
      <c r="P2382" s="26">
        <f>IF($A2382="","",COUNTIFS('Audit Versions'!$A$6:$A$605,$A2382,'Audit Versions'!$L$6:$L$605,"Active"))</f>
        <v/>
      </c>
      <c r="Q2382" s="15" t="n"/>
      <c r="R2382" s="26">
        <f>IF(OR($A2382="",$P2382=0),"",MOD(N($Q2382),$P2382)+1)</f>
        <v/>
      </c>
      <c r="S2382" s="15" t="n"/>
      <c r="T2382" s="25" t="n"/>
      <c r="U2382" s="26">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Builder'!$B$12="",N($S2382)&lt;='Assignment Builder'!$B$12)))</f>
        <v/>
      </c>
      <c r="V2382" s="23" t="n"/>
    </row>
    <row r="2383">
      <c r="A2383" s="23" t="n"/>
      <c r="B2383" s="23" t="n"/>
      <c r="C2383" s="24" t="n"/>
      <c r="D2383" s="15" t="n"/>
      <c r="E2383" s="23" t="n"/>
      <c r="F2383" s="15" t="n"/>
      <c r="G2383" s="23" t="n"/>
      <c r="H2383" s="25" t="n"/>
      <c r="I2383" s="15" t="n"/>
      <c r="J2383" s="26">
        <f>IF($A2383="","",LEN($C2383)-LEN(SUBSTITUTE($C2383,",",""))+1)</f>
        <v/>
      </c>
      <c r="K2383" s="26">
        <f>IF($A2383="","",SUMPRODUCT(--ISNUMBER(SEARCH('Category Dictionary'!$D$5:$D$135&amp;"",$C2383)),--('Category Dictionary'!$D$5:$D$135&lt;&gt;"")))</f>
        <v/>
      </c>
      <c r="L2383" s="27">
        <f>IF($A2383="","",TRIM(IF(ISERROR(FIND(",",$C2383)),$C2383,LEFT($C2383,FIND(",",$C2383)-1))))</f>
        <v/>
      </c>
      <c r="M2383" s="28">
        <f>IF($H2383="","",DATE(YEAR($H2383),MONTH($H2383),1))</f>
        <v/>
      </c>
      <c r="N2383" s="26">
        <f>IF($H2383="","",TODAY()-$H2383)</f>
        <v/>
      </c>
      <c r="O2383" s="15" t="n"/>
      <c r="P2383" s="26">
        <f>IF($A2383="","",COUNTIFS('Audit Versions'!$A$6:$A$605,$A2383,'Audit Versions'!$L$6:$L$605,"Active"))</f>
        <v/>
      </c>
      <c r="Q2383" s="15" t="n"/>
      <c r="R2383" s="26">
        <f>IF(OR($A2383="",$P2383=0),"",MOD(N($Q2383),$P2383)+1)</f>
        <v/>
      </c>
      <c r="S2383" s="15" t="n"/>
      <c r="T2383" s="25" t="n"/>
      <c r="U2383" s="26">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Builder'!$B$12="",N($S2383)&lt;='Assignment Builder'!$B$12)))</f>
        <v/>
      </c>
      <c r="V2383" s="23" t="n"/>
    </row>
    <row r="2384">
      <c r="A2384" s="23" t="n"/>
      <c r="B2384" s="23" t="n"/>
      <c r="C2384" s="24" t="n"/>
      <c r="D2384" s="15" t="n"/>
      <c r="E2384" s="23" t="n"/>
      <c r="F2384" s="15" t="n"/>
      <c r="G2384" s="23" t="n"/>
      <c r="H2384" s="25" t="n"/>
      <c r="I2384" s="15" t="n"/>
      <c r="J2384" s="26">
        <f>IF($A2384="","",LEN($C2384)-LEN(SUBSTITUTE($C2384,",",""))+1)</f>
        <v/>
      </c>
      <c r="K2384" s="26">
        <f>IF($A2384="","",SUMPRODUCT(--ISNUMBER(SEARCH('Category Dictionary'!$D$5:$D$135&amp;"",$C2384)),--('Category Dictionary'!$D$5:$D$135&lt;&gt;"")))</f>
        <v/>
      </c>
      <c r="L2384" s="27">
        <f>IF($A2384="","",TRIM(IF(ISERROR(FIND(",",$C2384)),$C2384,LEFT($C2384,FIND(",",$C2384)-1))))</f>
        <v/>
      </c>
      <c r="M2384" s="28">
        <f>IF($H2384="","",DATE(YEAR($H2384),MONTH($H2384),1))</f>
        <v/>
      </c>
      <c r="N2384" s="26">
        <f>IF($H2384="","",TODAY()-$H2384)</f>
        <v/>
      </c>
      <c r="O2384" s="15" t="n"/>
      <c r="P2384" s="26">
        <f>IF($A2384="","",COUNTIFS('Audit Versions'!$A$6:$A$605,$A2384,'Audit Versions'!$L$6:$L$605,"Active"))</f>
        <v/>
      </c>
      <c r="Q2384" s="15" t="n"/>
      <c r="R2384" s="26">
        <f>IF(OR($A2384="",$P2384=0),"",MOD(N($Q2384),$P2384)+1)</f>
        <v/>
      </c>
      <c r="S2384" s="15" t="n"/>
      <c r="T2384" s="25" t="n"/>
      <c r="U2384" s="26">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Builder'!$B$12="",N($S2384)&lt;='Assignment Builder'!$B$12)))</f>
        <v/>
      </c>
      <c r="V2384" s="23" t="n"/>
    </row>
    <row r="2385">
      <c r="A2385" s="23" t="n"/>
      <c r="B2385" s="23" t="n"/>
      <c r="C2385" s="24" t="n"/>
      <c r="D2385" s="15" t="n"/>
      <c r="E2385" s="23" t="n"/>
      <c r="F2385" s="15" t="n"/>
      <c r="G2385" s="23" t="n"/>
      <c r="H2385" s="25" t="n"/>
      <c r="I2385" s="15" t="n"/>
      <c r="J2385" s="26">
        <f>IF($A2385="","",LEN($C2385)-LEN(SUBSTITUTE($C2385,",",""))+1)</f>
        <v/>
      </c>
      <c r="K2385" s="26">
        <f>IF($A2385="","",SUMPRODUCT(--ISNUMBER(SEARCH('Category Dictionary'!$D$5:$D$135&amp;"",$C2385)),--('Category Dictionary'!$D$5:$D$135&lt;&gt;"")))</f>
        <v/>
      </c>
      <c r="L2385" s="27">
        <f>IF($A2385="","",TRIM(IF(ISERROR(FIND(",",$C2385)),$C2385,LEFT($C2385,FIND(",",$C2385)-1))))</f>
        <v/>
      </c>
      <c r="M2385" s="28">
        <f>IF($H2385="","",DATE(YEAR($H2385),MONTH($H2385),1))</f>
        <v/>
      </c>
      <c r="N2385" s="26">
        <f>IF($H2385="","",TODAY()-$H2385)</f>
        <v/>
      </c>
      <c r="O2385" s="15" t="n"/>
      <c r="P2385" s="26">
        <f>IF($A2385="","",COUNTIFS('Audit Versions'!$A$6:$A$605,$A2385,'Audit Versions'!$L$6:$L$605,"Active"))</f>
        <v/>
      </c>
      <c r="Q2385" s="15" t="n"/>
      <c r="R2385" s="26">
        <f>IF(OR($A2385="",$P2385=0),"",MOD(N($Q2385),$P2385)+1)</f>
        <v/>
      </c>
      <c r="S2385" s="15" t="n"/>
      <c r="T2385" s="25" t="n"/>
      <c r="U2385" s="26">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Builder'!$B$12="",N($S2385)&lt;='Assignment Builder'!$B$12)))</f>
        <v/>
      </c>
      <c r="V2385" s="23" t="n"/>
    </row>
    <row r="2386">
      <c r="A2386" s="23" t="n"/>
      <c r="B2386" s="23" t="n"/>
      <c r="C2386" s="24" t="n"/>
      <c r="D2386" s="15" t="n"/>
      <c r="E2386" s="23" t="n"/>
      <c r="F2386" s="15" t="n"/>
      <c r="G2386" s="23" t="n"/>
      <c r="H2386" s="25" t="n"/>
      <c r="I2386" s="15" t="n"/>
      <c r="J2386" s="26">
        <f>IF($A2386="","",LEN($C2386)-LEN(SUBSTITUTE($C2386,",",""))+1)</f>
        <v/>
      </c>
      <c r="K2386" s="26">
        <f>IF($A2386="","",SUMPRODUCT(--ISNUMBER(SEARCH('Category Dictionary'!$D$5:$D$135&amp;"",$C2386)),--('Category Dictionary'!$D$5:$D$135&lt;&gt;"")))</f>
        <v/>
      </c>
      <c r="L2386" s="27">
        <f>IF($A2386="","",TRIM(IF(ISERROR(FIND(",",$C2386)),$C2386,LEFT($C2386,FIND(",",$C2386)-1))))</f>
        <v/>
      </c>
      <c r="M2386" s="28">
        <f>IF($H2386="","",DATE(YEAR($H2386),MONTH($H2386),1))</f>
        <v/>
      </c>
      <c r="N2386" s="26">
        <f>IF($H2386="","",TODAY()-$H2386)</f>
        <v/>
      </c>
      <c r="O2386" s="15" t="n"/>
      <c r="P2386" s="26">
        <f>IF($A2386="","",COUNTIFS('Audit Versions'!$A$6:$A$605,$A2386,'Audit Versions'!$L$6:$L$605,"Active"))</f>
        <v/>
      </c>
      <c r="Q2386" s="15" t="n"/>
      <c r="R2386" s="26">
        <f>IF(OR($A2386="",$P2386=0),"",MOD(N($Q2386),$P2386)+1)</f>
        <v/>
      </c>
      <c r="S2386" s="15" t="n"/>
      <c r="T2386" s="25" t="n"/>
      <c r="U2386" s="26">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Builder'!$B$12="",N($S2386)&lt;='Assignment Builder'!$B$12)))</f>
        <v/>
      </c>
      <c r="V2386" s="23" t="n"/>
    </row>
    <row r="2387">
      <c r="A2387" s="23" t="n"/>
      <c r="B2387" s="23" t="n"/>
      <c r="C2387" s="24" t="n"/>
      <c r="D2387" s="15" t="n"/>
      <c r="E2387" s="23" t="n"/>
      <c r="F2387" s="15" t="n"/>
      <c r="G2387" s="23" t="n"/>
      <c r="H2387" s="25" t="n"/>
      <c r="I2387" s="15" t="n"/>
      <c r="J2387" s="26">
        <f>IF($A2387="","",LEN($C2387)-LEN(SUBSTITUTE($C2387,",",""))+1)</f>
        <v/>
      </c>
      <c r="K2387" s="26">
        <f>IF($A2387="","",SUMPRODUCT(--ISNUMBER(SEARCH('Category Dictionary'!$D$5:$D$135&amp;"",$C2387)),--('Category Dictionary'!$D$5:$D$135&lt;&gt;"")))</f>
        <v/>
      </c>
      <c r="L2387" s="27">
        <f>IF($A2387="","",TRIM(IF(ISERROR(FIND(",",$C2387)),$C2387,LEFT($C2387,FIND(",",$C2387)-1))))</f>
        <v/>
      </c>
      <c r="M2387" s="28">
        <f>IF($H2387="","",DATE(YEAR($H2387),MONTH($H2387),1))</f>
        <v/>
      </c>
      <c r="N2387" s="26">
        <f>IF($H2387="","",TODAY()-$H2387)</f>
        <v/>
      </c>
      <c r="O2387" s="15" t="n"/>
      <c r="P2387" s="26">
        <f>IF($A2387="","",COUNTIFS('Audit Versions'!$A$6:$A$605,$A2387,'Audit Versions'!$L$6:$L$605,"Active"))</f>
        <v/>
      </c>
      <c r="Q2387" s="15" t="n"/>
      <c r="R2387" s="26">
        <f>IF(OR($A2387="",$P2387=0),"",MOD(N($Q2387),$P2387)+1)</f>
        <v/>
      </c>
      <c r="S2387" s="15" t="n"/>
      <c r="T2387" s="25" t="n"/>
      <c r="U2387" s="26">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Builder'!$B$12="",N($S2387)&lt;='Assignment Builder'!$B$12)))</f>
        <v/>
      </c>
      <c r="V2387" s="23" t="n"/>
    </row>
    <row r="2388">
      <c r="A2388" s="23" t="n"/>
      <c r="B2388" s="23" t="n"/>
      <c r="C2388" s="24" t="n"/>
      <c r="D2388" s="15" t="n"/>
      <c r="E2388" s="23" t="n"/>
      <c r="F2388" s="15" t="n"/>
      <c r="G2388" s="23" t="n"/>
      <c r="H2388" s="25" t="n"/>
      <c r="I2388" s="15" t="n"/>
      <c r="J2388" s="26">
        <f>IF($A2388="","",LEN($C2388)-LEN(SUBSTITUTE($C2388,",",""))+1)</f>
        <v/>
      </c>
      <c r="K2388" s="26">
        <f>IF($A2388="","",SUMPRODUCT(--ISNUMBER(SEARCH('Category Dictionary'!$D$5:$D$135&amp;"",$C2388)),--('Category Dictionary'!$D$5:$D$135&lt;&gt;"")))</f>
        <v/>
      </c>
      <c r="L2388" s="27">
        <f>IF($A2388="","",TRIM(IF(ISERROR(FIND(",",$C2388)),$C2388,LEFT($C2388,FIND(",",$C2388)-1))))</f>
        <v/>
      </c>
      <c r="M2388" s="28">
        <f>IF($H2388="","",DATE(YEAR($H2388),MONTH($H2388),1))</f>
        <v/>
      </c>
      <c r="N2388" s="26">
        <f>IF($H2388="","",TODAY()-$H2388)</f>
        <v/>
      </c>
      <c r="O2388" s="15" t="n"/>
      <c r="P2388" s="26">
        <f>IF($A2388="","",COUNTIFS('Audit Versions'!$A$6:$A$605,$A2388,'Audit Versions'!$L$6:$L$605,"Active"))</f>
        <v/>
      </c>
      <c r="Q2388" s="15" t="n"/>
      <c r="R2388" s="26">
        <f>IF(OR($A2388="",$P2388=0),"",MOD(N($Q2388),$P2388)+1)</f>
        <v/>
      </c>
      <c r="S2388" s="15" t="n"/>
      <c r="T2388" s="25" t="n"/>
      <c r="U2388" s="26">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Builder'!$B$12="",N($S2388)&lt;='Assignment Builder'!$B$12)))</f>
        <v/>
      </c>
      <c r="V2388" s="23" t="n"/>
    </row>
    <row r="2389">
      <c r="A2389" s="23" t="n"/>
      <c r="B2389" s="23" t="n"/>
      <c r="C2389" s="24" t="n"/>
      <c r="D2389" s="15" t="n"/>
      <c r="E2389" s="23" t="n"/>
      <c r="F2389" s="15" t="n"/>
      <c r="G2389" s="23" t="n"/>
      <c r="H2389" s="25" t="n"/>
      <c r="I2389" s="15" t="n"/>
      <c r="J2389" s="26">
        <f>IF($A2389="","",LEN($C2389)-LEN(SUBSTITUTE($C2389,",",""))+1)</f>
        <v/>
      </c>
      <c r="K2389" s="26">
        <f>IF($A2389="","",SUMPRODUCT(--ISNUMBER(SEARCH('Category Dictionary'!$D$5:$D$135&amp;"",$C2389)),--('Category Dictionary'!$D$5:$D$135&lt;&gt;"")))</f>
        <v/>
      </c>
      <c r="L2389" s="27">
        <f>IF($A2389="","",TRIM(IF(ISERROR(FIND(",",$C2389)),$C2389,LEFT($C2389,FIND(",",$C2389)-1))))</f>
        <v/>
      </c>
      <c r="M2389" s="28">
        <f>IF($H2389="","",DATE(YEAR($H2389),MONTH($H2389),1))</f>
        <v/>
      </c>
      <c r="N2389" s="26">
        <f>IF($H2389="","",TODAY()-$H2389)</f>
        <v/>
      </c>
      <c r="O2389" s="15" t="n"/>
      <c r="P2389" s="26">
        <f>IF($A2389="","",COUNTIFS('Audit Versions'!$A$6:$A$605,$A2389,'Audit Versions'!$L$6:$L$605,"Active"))</f>
        <v/>
      </c>
      <c r="Q2389" s="15" t="n"/>
      <c r="R2389" s="26">
        <f>IF(OR($A2389="",$P2389=0),"",MOD(N($Q2389),$P2389)+1)</f>
        <v/>
      </c>
      <c r="S2389" s="15" t="n"/>
      <c r="T2389" s="25" t="n"/>
      <c r="U2389" s="26">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Builder'!$B$12="",N($S2389)&lt;='Assignment Builder'!$B$12)))</f>
        <v/>
      </c>
      <c r="V2389" s="23" t="n"/>
    </row>
    <row r="2390">
      <c r="A2390" s="23" t="n"/>
      <c r="B2390" s="23" t="n"/>
      <c r="C2390" s="24" t="n"/>
      <c r="D2390" s="15" t="n"/>
      <c r="E2390" s="23" t="n"/>
      <c r="F2390" s="15" t="n"/>
      <c r="G2390" s="23" t="n"/>
      <c r="H2390" s="25" t="n"/>
      <c r="I2390" s="15" t="n"/>
      <c r="J2390" s="26">
        <f>IF($A2390="","",LEN($C2390)-LEN(SUBSTITUTE($C2390,",",""))+1)</f>
        <v/>
      </c>
      <c r="K2390" s="26">
        <f>IF($A2390="","",SUMPRODUCT(--ISNUMBER(SEARCH('Category Dictionary'!$D$5:$D$135&amp;"",$C2390)),--('Category Dictionary'!$D$5:$D$135&lt;&gt;"")))</f>
        <v/>
      </c>
      <c r="L2390" s="27">
        <f>IF($A2390="","",TRIM(IF(ISERROR(FIND(",",$C2390)),$C2390,LEFT($C2390,FIND(",",$C2390)-1))))</f>
        <v/>
      </c>
      <c r="M2390" s="28">
        <f>IF($H2390="","",DATE(YEAR($H2390),MONTH($H2390),1))</f>
        <v/>
      </c>
      <c r="N2390" s="26">
        <f>IF($H2390="","",TODAY()-$H2390)</f>
        <v/>
      </c>
      <c r="O2390" s="15" t="n"/>
      <c r="P2390" s="26">
        <f>IF($A2390="","",COUNTIFS('Audit Versions'!$A$6:$A$605,$A2390,'Audit Versions'!$L$6:$L$605,"Active"))</f>
        <v/>
      </c>
      <c r="Q2390" s="15" t="n"/>
      <c r="R2390" s="26">
        <f>IF(OR($A2390="",$P2390=0),"",MOD(N($Q2390),$P2390)+1)</f>
        <v/>
      </c>
      <c r="S2390" s="15" t="n"/>
      <c r="T2390" s="25" t="n"/>
      <c r="U2390" s="26">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Builder'!$B$12="",N($S2390)&lt;='Assignment Builder'!$B$12)))</f>
        <v/>
      </c>
      <c r="V2390" s="23" t="n"/>
    </row>
    <row r="2391">
      <c r="A2391" s="23" t="n"/>
      <c r="B2391" s="23" t="n"/>
      <c r="C2391" s="24" t="n"/>
      <c r="D2391" s="15" t="n"/>
      <c r="E2391" s="23" t="n"/>
      <c r="F2391" s="15" t="n"/>
      <c r="G2391" s="23" t="n"/>
      <c r="H2391" s="25" t="n"/>
      <c r="I2391" s="15" t="n"/>
      <c r="J2391" s="26">
        <f>IF($A2391="","",LEN($C2391)-LEN(SUBSTITUTE($C2391,",",""))+1)</f>
        <v/>
      </c>
      <c r="K2391" s="26">
        <f>IF($A2391="","",SUMPRODUCT(--ISNUMBER(SEARCH('Category Dictionary'!$D$5:$D$135&amp;"",$C2391)),--('Category Dictionary'!$D$5:$D$135&lt;&gt;"")))</f>
        <v/>
      </c>
      <c r="L2391" s="27">
        <f>IF($A2391="","",TRIM(IF(ISERROR(FIND(",",$C2391)),$C2391,LEFT($C2391,FIND(",",$C2391)-1))))</f>
        <v/>
      </c>
      <c r="M2391" s="28">
        <f>IF($H2391="","",DATE(YEAR($H2391),MONTH($H2391),1))</f>
        <v/>
      </c>
      <c r="N2391" s="26">
        <f>IF($H2391="","",TODAY()-$H2391)</f>
        <v/>
      </c>
      <c r="O2391" s="15" t="n"/>
      <c r="P2391" s="26">
        <f>IF($A2391="","",COUNTIFS('Audit Versions'!$A$6:$A$605,$A2391,'Audit Versions'!$L$6:$L$605,"Active"))</f>
        <v/>
      </c>
      <c r="Q2391" s="15" t="n"/>
      <c r="R2391" s="26">
        <f>IF(OR($A2391="",$P2391=0),"",MOD(N($Q2391),$P2391)+1)</f>
        <v/>
      </c>
      <c r="S2391" s="15" t="n"/>
      <c r="T2391" s="25" t="n"/>
      <c r="U2391" s="26">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Builder'!$B$12="",N($S2391)&lt;='Assignment Builder'!$B$12)))</f>
        <v/>
      </c>
      <c r="V2391" s="23" t="n"/>
    </row>
    <row r="2392">
      <c r="A2392" s="23" t="n"/>
      <c r="B2392" s="23" t="n"/>
      <c r="C2392" s="24" t="n"/>
      <c r="D2392" s="15" t="n"/>
      <c r="E2392" s="23" t="n"/>
      <c r="F2392" s="15" t="n"/>
      <c r="G2392" s="23" t="n"/>
      <c r="H2392" s="25" t="n"/>
      <c r="I2392" s="15" t="n"/>
      <c r="J2392" s="26">
        <f>IF($A2392="","",LEN($C2392)-LEN(SUBSTITUTE($C2392,",",""))+1)</f>
        <v/>
      </c>
      <c r="K2392" s="26">
        <f>IF($A2392="","",SUMPRODUCT(--ISNUMBER(SEARCH('Category Dictionary'!$D$5:$D$135&amp;"",$C2392)),--('Category Dictionary'!$D$5:$D$135&lt;&gt;"")))</f>
        <v/>
      </c>
      <c r="L2392" s="27">
        <f>IF($A2392="","",TRIM(IF(ISERROR(FIND(",",$C2392)),$C2392,LEFT($C2392,FIND(",",$C2392)-1))))</f>
        <v/>
      </c>
      <c r="M2392" s="28">
        <f>IF($H2392="","",DATE(YEAR($H2392),MONTH($H2392),1))</f>
        <v/>
      </c>
      <c r="N2392" s="26">
        <f>IF($H2392="","",TODAY()-$H2392)</f>
        <v/>
      </c>
      <c r="O2392" s="15" t="n"/>
      <c r="P2392" s="26">
        <f>IF($A2392="","",COUNTIFS('Audit Versions'!$A$6:$A$605,$A2392,'Audit Versions'!$L$6:$L$605,"Active"))</f>
        <v/>
      </c>
      <c r="Q2392" s="15" t="n"/>
      <c r="R2392" s="26">
        <f>IF(OR($A2392="",$P2392=0),"",MOD(N($Q2392),$P2392)+1)</f>
        <v/>
      </c>
      <c r="S2392" s="15" t="n"/>
      <c r="T2392" s="25" t="n"/>
      <c r="U2392" s="26">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Builder'!$B$12="",N($S2392)&lt;='Assignment Builder'!$B$12)))</f>
        <v/>
      </c>
      <c r="V2392" s="23" t="n"/>
    </row>
    <row r="2393">
      <c r="A2393" s="23" t="n"/>
      <c r="B2393" s="23" t="n"/>
      <c r="C2393" s="24" t="n"/>
      <c r="D2393" s="15" t="n"/>
      <c r="E2393" s="23" t="n"/>
      <c r="F2393" s="15" t="n"/>
      <c r="G2393" s="23" t="n"/>
      <c r="H2393" s="25" t="n"/>
      <c r="I2393" s="15" t="n"/>
      <c r="J2393" s="26">
        <f>IF($A2393="","",LEN($C2393)-LEN(SUBSTITUTE($C2393,",",""))+1)</f>
        <v/>
      </c>
      <c r="K2393" s="26">
        <f>IF($A2393="","",SUMPRODUCT(--ISNUMBER(SEARCH('Category Dictionary'!$D$5:$D$135&amp;"",$C2393)),--('Category Dictionary'!$D$5:$D$135&lt;&gt;"")))</f>
        <v/>
      </c>
      <c r="L2393" s="27">
        <f>IF($A2393="","",TRIM(IF(ISERROR(FIND(",",$C2393)),$C2393,LEFT($C2393,FIND(",",$C2393)-1))))</f>
        <v/>
      </c>
      <c r="M2393" s="28">
        <f>IF($H2393="","",DATE(YEAR($H2393),MONTH($H2393),1))</f>
        <v/>
      </c>
      <c r="N2393" s="26">
        <f>IF($H2393="","",TODAY()-$H2393)</f>
        <v/>
      </c>
      <c r="O2393" s="15" t="n"/>
      <c r="P2393" s="26">
        <f>IF($A2393="","",COUNTIFS('Audit Versions'!$A$6:$A$605,$A2393,'Audit Versions'!$L$6:$L$605,"Active"))</f>
        <v/>
      </c>
      <c r="Q2393" s="15" t="n"/>
      <c r="R2393" s="26">
        <f>IF(OR($A2393="",$P2393=0),"",MOD(N($Q2393),$P2393)+1)</f>
        <v/>
      </c>
      <c r="S2393" s="15" t="n"/>
      <c r="T2393" s="25" t="n"/>
      <c r="U2393" s="26">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Builder'!$B$12="",N($S2393)&lt;='Assignment Builder'!$B$12)))</f>
        <v/>
      </c>
      <c r="V2393" s="23" t="n"/>
    </row>
    <row r="2394">
      <c r="A2394" s="23" t="n"/>
      <c r="B2394" s="23" t="n"/>
      <c r="C2394" s="24" t="n"/>
      <c r="D2394" s="15" t="n"/>
      <c r="E2394" s="23" t="n"/>
      <c r="F2394" s="15" t="n"/>
      <c r="G2394" s="23" t="n"/>
      <c r="H2394" s="25" t="n"/>
      <c r="I2394" s="15" t="n"/>
      <c r="J2394" s="26">
        <f>IF($A2394="","",LEN($C2394)-LEN(SUBSTITUTE($C2394,",",""))+1)</f>
        <v/>
      </c>
      <c r="K2394" s="26">
        <f>IF($A2394="","",SUMPRODUCT(--ISNUMBER(SEARCH('Category Dictionary'!$D$5:$D$135&amp;"",$C2394)),--('Category Dictionary'!$D$5:$D$135&lt;&gt;"")))</f>
        <v/>
      </c>
      <c r="L2394" s="27">
        <f>IF($A2394="","",TRIM(IF(ISERROR(FIND(",",$C2394)),$C2394,LEFT($C2394,FIND(",",$C2394)-1))))</f>
        <v/>
      </c>
      <c r="M2394" s="28">
        <f>IF($H2394="","",DATE(YEAR($H2394),MONTH($H2394),1))</f>
        <v/>
      </c>
      <c r="N2394" s="26">
        <f>IF($H2394="","",TODAY()-$H2394)</f>
        <v/>
      </c>
      <c r="O2394" s="15" t="n"/>
      <c r="P2394" s="26">
        <f>IF($A2394="","",COUNTIFS('Audit Versions'!$A$6:$A$605,$A2394,'Audit Versions'!$L$6:$L$605,"Active"))</f>
        <v/>
      </c>
      <c r="Q2394" s="15" t="n"/>
      <c r="R2394" s="26">
        <f>IF(OR($A2394="",$P2394=0),"",MOD(N($Q2394),$P2394)+1)</f>
        <v/>
      </c>
      <c r="S2394" s="15" t="n"/>
      <c r="T2394" s="25" t="n"/>
      <c r="U2394" s="26">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Builder'!$B$12="",N($S2394)&lt;='Assignment Builder'!$B$12)))</f>
        <v/>
      </c>
      <c r="V2394" s="23" t="n"/>
    </row>
    <row r="2395">
      <c r="A2395" s="23" t="n"/>
      <c r="B2395" s="23" t="n"/>
      <c r="C2395" s="24" t="n"/>
      <c r="D2395" s="15" t="n"/>
      <c r="E2395" s="23" t="n"/>
      <c r="F2395" s="15" t="n"/>
      <c r="G2395" s="23" t="n"/>
      <c r="H2395" s="25" t="n"/>
      <c r="I2395" s="15" t="n"/>
      <c r="J2395" s="26">
        <f>IF($A2395="","",LEN($C2395)-LEN(SUBSTITUTE($C2395,",",""))+1)</f>
        <v/>
      </c>
      <c r="K2395" s="26">
        <f>IF($A2395="","",SUMPRODUCT(--ISNUMBER(SEARCH('Category Dictionary'!$D$5:$D$135&amp;"",$C2395)),--('Category Dictionary'!$D$5:$D$135&lt;&gt;"")))</f>
        <v/>
      </c>
      <c r="L2395" s="27">
        <f>IF($A2395="","",TRIM(IF(ISERROR(FIND(",",$C2395)),$C2395,LEFT($C2395,FIND(",",$C2395)-1))))</f>
        <v/>
      </c>
      <c r="M2395" s="28">
        <f>IF($H2395="","",DATE(YEAR($H2395),MONTH($H2395),1))</f>
        <v/>
      </c>
      <c r="N2395" s="26">
        <f>IF($H2395="","",TODAY()-$H2395)</f>
        <v/>
      </c>
      <c r="O2395" s="15" t="n"/>
      <c r="P2395" s="26">
        <f>IF($A2395="","",COUNTIFS('Audit Versions'!$A$6:$A$605,$A2395,'Audit Versions'!$L$6:$L$605,"Active"))</f>
        <v/>
      </c>
      <c r="Q2395" s="15" t="n"/>
      <c r="R2395" s="26">
        <f>IF(OR($A2395="",$P2395=0),"",MOD(N($Q2395),$P2395)+1)</f>
        <v/>
      </c>
      <c r="S2395" s="15" t="n"/>
      <c r="T2395" s="25" t="n"/>
      <c r="U2395" s="26">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Builder'!$B$12="",N($S2395)&lt;='Assignment Builder'!$B$12)))</f>
        <v/>
      </c>
      <c r="V2395" s="23" t="n"/>
    </row>
    <row r="2396">
      <c r="A2396" s="23" t="n"/>
      <c r="B2396" s="23" t="n"/>
      <c r="C2396" s="24" t="n"/>
      <c r="D2396" s="15" t="n"/>
      <c r="E2396" s="23" t="n"/>
      <c r="F2396" s="15" t="n"/>
      <c r="G2396" s="23" t="n"/>
      <c r="H2396" s="25" t="n"/>
      <c r="I2396" s="15" t="n"/>
      <c r="J2396" s="26">
        <f>IF($A2396="","",LEN($C2396)-LEN(SUBSTITUTE($C2396,",",""))+1)</f>
        <v/>
      </c>
      <c r="K2396" s="26">
        <f>IF($A2396="","",SUMPRODUCT(--ISNUMBER(SEARCH('Category Dictionary'!$D$5:$D$135&amp;"",$C2396)),--('Category Dictionary'!$D$5:$D$135&lt;&gt;"")))</f>
        <v/>
      </c>
      <c r="L2396" s="27">
        <f>IF($A2396="","",TRIM(IF(ISERROR(FIND(",",$C2396)),$C2396,LEFT($C2396,FIND(",",$C2396)-1))))</f>
        <v/>
      </c>
      <c r="M2396" s="28">
        <f>IF($H2396="","",DATE(YEAR($H2396),MONTH($H2396),1))</f>
        <v/>
      </c>
      <c r="N2396" s="26">
        <f>IF($H2396="","",TODAY()-$H2396)</f>
        <v/>
      </c>
      <c r="O2396" s="15" t="n"/>
      <c r="P2396" s="26">
        <f>IF($A2396="","",COUNTIFS('Audit Versions'!$A$6:$A$605,$A2396,'Audit Versions'!$L$6:$L$605,"Active"))</f>
        <v/>
      </c>
      <c r="Q2396" s="15" t="n"/>
      <c r="R2396" s="26">
        <f>IF(OR($A2396="",$P2396=0),"",MOD(N($Q2396),$P2396)+1)</f>
        <v/>
      </c>
      <c r="S2396" s="15" t="n"/>
      <c r="T2396" s="25" t="n"/>
      <c r="U2396" s="26">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Builder'!$B$12="",N($S2396)&lt;='Assignment Builder'!$B$12)))</f>
        <v/>
      </c>
      <c r="V2396" s="23" t="n"/>
    </row>
    <row r="2397">
      <c r="A2397" s="23" t="n"/>
      <c r="B2397" s="23" t="n"/>
      <c r="C2397" s="24" t="n"/>
      <c r="D2397" s="15" t="n"/>
      <c r="E2397" s="23" t="n"/>
      <c r="F2397" s="15" t="n"/>
      <c r="G2397" s="23" t="n"/>
      <c r="H2397" s="25" t="n"/>
      <c r="I2397" s="15" t="n"/>
      <c r="J2397" s="26">
        <f>IF($A2397="","",LEN($C2397)-LEN(SUBSTITUTE($C2397,",",""))+1)</f>
        <v/>
      </c>
      <c r="K2397" s="26">
        <f>IF($A2397="","",SUMPRODUCT(--ISNUMBER(SEARCH('Category Dictionary'!$D$5:$D$135&amp;"",$C2397)),--('Category Dictionary'!$D$5:$D$135&lt;&gt;"")))</f>
        <v/>
      </c>
      <c r="L2397" s="27">
        <f>IF($A2397="","",TRIM(IF(ISERROR(FIND(",",$C2397)),$C2397,LEFT($C2397,FIND(",",$C2397)-1))))</f>
        <v/>
      </c>
      <c r="M2397" s="28">
        <f>IF($H2397="","",DATE(YEAR($H2397),MONTH($H2397),1))</f>
        <v/>
      </c>
      <c r="N2397" s="26">
        <f>IF($H2397="","",TODAY()-$H2397)</f>
        <v/>
      </c>
      <c r="O2397" s="15" t="n"/>
      <c r="P2397" s="26">
        <f>IF($A2397="","",COUNTIFS('Audit Versions'!$A$6:$A$605,$A2397,'Audit Versions'!$L$6:$L$605,"Active"))</f>
        <v/>
      </c>
      <c r="Q2397" s="15" t="n"/>
      <c r="R2397" s="26">
        <f>IF(OR($A2397="",$P2397=0),"",MOD(N($Q2397),$P2397)+1)</f>
        <v/>
      </c>
      <c r="S2397" s="15" t="n"/>
      <c r="T2397" s="25" t="n"/>
      <c r="U2397" s="26">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Builder'!$B$12="",N($S2397)&lt;='Assignment Builder'!$B$12)))</f>
        <v/>
      </c>
      <c r="V2397" s="23" t="n"/>
    </row>
    <row r="2398">
      <c r="A2398" s="23" t="n"/>
      <c r="B2398" s="23" t="n"/>
      <c r="C2398" s="24" t="n"/>
      <c r="D2398" s="15" t="n"/>
      <c r="E2398" s="23" t="n"/>
      <c r="F2398" s="15" t="n"/>
      <c r="G2398" s="23" t="n"/>
      <c r="H2398" s="25" t="n"/>
      <c r="I2398" s="15" t="n"/>
      <c r="J2398" s="26">
        <f>IF($A2398="","",LEN($C2398)-LEN(SUBSTITUTE($C2398,",",""))+1)</f>
        <v/>
      </c>
      <c r="K2398" s="26">
        <f>IF($A2398="","",SUMPRODUCT(--ISNUMBER(SEARCH('Category Dictionary'!$D$5:$D$135&amp;"",$C2398)),--('Category Dictionary'!$D$5:$D$135&lt;&gt;"")))</f>
        <v/>
      </c>
      <c r="L2398" s="27">
        <f>IF($A2398="","",TRIM(IF(ISERROR(FIND(",",$C2398)),$C2398,LEFT($C2398,FIND(",",$C2398)-1))))</f>
        <v/>
      </c>
      <c r="M2398" s="28">
        <f>IF($H2398="","",DATE(YEAR($H2398),MONTH($H2398),1))</f>
        <v/>
      </c>
      <c r="N2398" s="26">
        <f>IF($H2398="","",TODAY()-$H2398)</f>
        <v/>
      </c>
      <c r="O2398" s="15" t="n"/>
      <c r="P2398" s="26">
        <f>IF($A2398="","",COUNTIFS('Audit Versions'!$A$6:$A$605,$A2398,'Audit Versions'!$L$6:$L$605,"Active"))</f>
        <v/>
      </c>
      <c r="Q2398" s="15" t="n"/>
      <c r="R2398" s="26">
        <f>IF(OR($A2398="",$P2398=0),"",MOD(N($Q2398),$P2398)+1)</f>
        <v/>
      </c>
      <c r="S2398" s="15" t="n"/>
      <c r="T2398" s="25" t="n"/>
      <c r="U2398" s="26">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Builder'!$B$12="",N($S2398)&lt;='Assignment Builder'!$B$12)))</f>
        <v/>
      </c>
      <c r="V2398" s="23" t="n"/>
    </row>
    <row r="2399">
      <c r="A2399" s="23" t="n"/>
      <c r="B2399" s="23" t="n"/>
      <c r="C2399" s="24" t="n"/>
      <c r="D2399" s="15" t="n"/>
      <c r="E2399" s="23" t="n"/>
      <c r="F2399" s="15" t="n"/>
      <c r="G2399" s="23" t="n"/>
      <c r="H2399" s="25" t="n"/>
      <c r="I2399" s="15" t="n"/>
      <c r="J2399" s="26">
        <f>IF($A2399="","",LEN($C2399)-LEN(SUBSTITUTE($C2399,",",""))+1)</f>
        <v/>
      </c>
      <c r="K2399" s="26">
        <f>IF($A2399="","",SUMPRODUCT(--ISNUMBER(SEARCH('Category Dictionary'!$D$5:$D$135&amp;"",$C2399)),--('Category Dictionary'!$D$5:$D$135&lt;&gt;"")))</f>
        <v/>
      </c>
      <c r="L2399" s="27">
        <f>IF($A2399="","",TRIM(IF(ISERROR(FIND(",",$C2399)),$C2399,LEFT($C2399,FIND(",",$C2399)-1))))</f>
        <v/>
      </c>
      <c r="M2399" s="28">
        <f>IF($H2399="","",DATE(YEAR($H2399),MONTH($H2399),1))</f>
        <v/>
      </c>
      <c r="N2399" s="26">
        <f>IF($H2399="","",TODAY()-$H2399)</f>
        <v/>
      </c>
      <c r="O2399" s="15" t="n"/>
      <c r="P2399" s="26">
        <f>IF($A2399="","",COUNTIFS('Audit Versions'!$A$6:$A$605,$A2399,'Audit Versions'!$L$6:$L$605,"Active"))</f>
        <v/>
      </c>
      <c r="Q2399" s="15" t="n"/>
      <c r="R2399" s="26">
        <f>IF(OR($A2399="",$P2399=0),"",MOD(N($Q2399),$P2399)+1)</f>
        <v/>
      </c>
      <c r="S2399" s="15" t="n"/>
      <c r="T2399" s="25" t="n"/>
      <c r="U2399" s="26">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Builder'!$B$12="",N($S2399)&lt;='Assignment Builder'!$B$12)))</f>
        <v/>
      </c>
      <c r="V2399" s="23" t="n"/>
    </row>
    <row r="2400">
      <c r="A2400" s="23" t="n"/>
      <c r="B2400" s="23" t="n"/>
      <c r="C2400" s="24" t="n"/>
      <c r="D2400" s="15" t="n"/>
      <c r="E2400" s="23" t="n"/>
      <c r="F2400" s="15" t="n"/>
      <c r="G2400" s="23" t="n"/>
      <c r="H2400" s="25" t="n"/>
      <c r="I2400" s="15" t="n"/>
      <c r="J2400" s="26">
        <f>IF($A2400="","",LEN($C2400)-LEN(SUBSTITUTE($C2400,",",""))+1)</f>
        <v/>
      </c>
      <c r="K2400" s="26">
        <f>IF($A2400="","",SUMPRODUCT(--ISNUMBER(SEARCH('Category Dictionary'!$D$5:$D$135&amp;"",$C2400)),--('Category Dictionary'!$D$5:$D$135&lt;&gt;"")))</f>
        <v/>
      </c>
      <c r="L2400" s="27">
        <f>IF($A2400="","",TRIM(IF(ISERROR(FIND(",",$C2400)),$C2400,LEFT($C2400,FIND(",",$C2400)-1))))</f>
        <v/>
      </c>
      <c r="M2400" s="28">
        <f>IF($H2400="","",DATE(YEAR($H2400),MONTH($H2400),1))</f>
        <v/>
      </c>
      <c r="N2400" s="26">
        <f>IF($H2400="","",TODAY()-$H2400)</f>
        <v/>
      </c>
      <c r="O2400" s="15" t="n"/>
      <c r="P2400" s="26">
        <f>IF($A2400="","",COUNTIFS('Audit Versions'!$A$6:$A$605,$A2400,'Audit Versions'!$L$6:$L$605,"Active"))</f>
        <v/>
      </c>
      <c r="Q2400" s="15" t="n"/>
      <c r="R2400" s="26">
        <f>IF(OR($A2400="",$P2400=0),"",MOD(N($Q2400),$P2400)+1)</f>
        <v/>
      </c>
      <c r="S2400" s="15" t="n"/>
      <c r="T2400" s="25" t="n"/>
      <c r="U2400" s="26">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Builder'!$B$12="",N($S2400)&lt;='Assignment Builder'!$B$12)))</f>
        <v/>
      </c>
      <c r="V2400" s="23" t="n"/>
    </row>
    <row r="2401">
      <c r="A2401" s="23" t="n"/>
      <c r="B2401" s="23" t="n"/>
      <c r="C2401" s="24" t="n"/>
      <c r="D2401" s="15" t="n"/>
      <c r="E2401" s="23" t="n"/>
      <c r="F2401" s="15" t="n"/>
      <c r="G2401" s="23" t="n"/>
      <c r="H2401" s="25" t="n"/>
      <c r="I2401" s="15" t="n"/>
      <c r="J2401" s="26">
        <f>IF($A2401="","",LEN($C2401)-LEN(SUBSTITUTE($C2401,",",""))+1)</f>
        <v/>
      </c>
      <c r="K2401" s="26">
        <f>IF($A2401="","",SUMPRODUCT(--ISNUMBER(SEARCH('Category Dictionary'!$D$5:$D$135&amp;"",$C2401)),--('Category Dictionary'!$D$5:$D$135&lt;&gt;"")))</f>
        <v/>
      </c>
      <c r="L2401" s="27">
        <f>IF($A2401="","",TRIM(IF(ISERROR(FIND(",",$C2401)),$C2401,LEFT($C2401,FIND(",",$C2401)-1))))</f>
        <v/>
      </c>
      <c r="M2401" s="28">
        <f>IF($H2401="","",DATE(YEAR($H2401),MONTH($H2401),1))</f>
        <v/>
      </c>
      <c r="N2401" s="26">
        <f>IF($H2401="","",TODAY()-$H2401)</f>
        <v/>
      </c>
      <c r="O2401" s="15" t="n"/>
      <c r="P2401" s="26">
        <f>IF($A2401="","",COUNTIFS('Audit Versions'!$A$6:$A$605,$A2401,'Audit Versions'!$L$6:$L$605,"Active"))</f>
        <v/>
      </c>
      <c r="Q2401" s="15" t="n"/>
      <c r="R2401" s="26">
        <f>IF(OR($A2401="",$P2401=0),"",MOD(N($Q2401),$P2401)+1)</f>
        <v/>
      </c>
      <c r="S2401" s="15" t="n"/>
      <c r="T2401" s="25" t="n"/>
      <c r="U2401" s="26">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Builder'!$B$12="",N($S2401)&lt;='Assignment Builder'!$B$12)))</f>
        <v/>
      </c>
      <c r="V2401" s="23" t="n"/>
    </row>
    <row r="2402">
      <c r="A2402" s="23" t="n"/>
      <c r="B2402" s="23" t="n"/>
      <c r="C2402" s="24" t="n"/>
      <c r="D2402" s="15" t="n"/>
      <c r="E2402" s="23" t="n"/>
      <c r="F2402" s="15" t="n"/>
      <c r="G2402" s="23" t="n"/>
      <c r="H2402" s="25" t="n"/>
      <c r="I2402" s="15" t="n"/>
      <c r="J2402" s="26">
        <f>IF($A2402="","",LEN($C2402)-LEN(SUBSTITUTE($C2402,",",""))+1)</f>
        <v/>
      </c>
      <c r="K2402" s="26">
        <f>IF($A2402="","",SUMPRODUCT(--ISNUMBER(SEARCH('Category Dictionary'!$D$5:$D$135&amp;"",$C2402)),--('Category Dictionary'!$D$5:$D$135&lt;&gt;"")))</f>
        <v/>
      </c>
      <c r="L2402" s="27">
        <f>IF($A2402="","",TRIM(IF(ISERROR(FIND(",",$C2402)),$C2402,LEFT($C2402,FIND(",",$C2402)-1))))</f>
        <v/>
      </c>
      <c r="M2402" s="28">
        <f>IF($H2402="","",DATE(YEAR($H2402),MONTH($H2402),1))</f>
        <v/>
      </c>
      <c r="N2402" s="26">
        <f>IF($H2402="","",TODAY()-$H2402)</f>
        <v/>
      </c>
      <c r="O2402" s="15" t="n"/>
      <c r="P2402" s="26">
        <f>IF($A2402="","",COUNTIFS('Audit Versions'!$A$6:$A$605,$A2402,'Audit Versions'!$L$6:$L$605,"Active"))</f>
        <v/>
      </c>
      <c r="Q2402" s="15" t="n"/>
      <c r="R2402" s="26">
        <f>IF(OR($A2402="",$P2402=0),"",MOD(N($Q2402),$P2402)+1)</f>
        <v/>
      </c>
      <c r="S2402" s="15" t="n"/>
      <c r="T2402" s="25" t="n"/>
      <c r="U2402" s="26">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Builder'!$B$12="",N($S2402)&lt;='Assignment Builder'!$B$12)))</f>
        <v/>
      </c>
      <c r="V2402" s="23" t="n"/>
    </row>
    <row r="2403">
      <c r="A2403" s="23" t="n"/>
      <c r="B2403" s="23" t="n"/>
      <c r="C2403" s="24" t="n"/>
      <c r="D2403" s="15" t="n"/>
      <c r="E2403" s="23" t="n"/>
      <c r="F2403" s="15" t="n"/>
      <c r="G2403" s="23" t="n"/>
      <c r="H2403" s="25" t="n"/>
      <c r="I2403" s="15" t="n"/>
      <c r="J2403" s="26">
        <f>IF($A2403="","",LEN($C2403)-LEN(SUBSTITUTE($C2403,",",""))+1)</f>
        <v/>
      </c>
      <c r="K2403" s="26">
        <f>IF($A2403="","",SUMPRODUCT(--ISNUMBER(SEARCH('Category Dictionary'!$D$5:$D$135&amp;"",$C2403)),--('Category Dictionary'!$D$5:$D$135&lt;&gt;"")))</f>
        <v/>
      </c>
      <c r="L2403" s="27">
        <f>IF($A2403="","",TRIM(IF(ISERROR(FIND(",",$C2403)),$C2403,LEFT($C2403,FIND(",",$C2403)-1))))</f>
        <v/>
      </c>
      <c r="M2403" s="28">
        <f>IF($H2403="","",DATE(YEAR($H2403),MONTH($H2403),1))</f>
        <v/>
      </c>
      <c r="N2403" s="26">
        <f>IF($H2403="","",TODAY()-$H2403)</f>
        <v/>
      </c>
      <c r="O2403" s="15" t="n"/>
      <c r="P2403" s="26">
        <f>IF($A2403="","",COUNTIFS('Audit Versions'!$A$6:$A$605,$A2403,'Audit Versions'!$L$6:$L$605,"Active"))</f>
        <v/>
      </c>
      <c r="Q2403" s="15" t="n"/>
      <c r="R2403" s="26">
        <f>IF(OR($A2403="",$P2403=0),"",MOD(N($Q2403),$P2403)+1)</f>
        <v/>
      </c>
      <c r="S2403" s="15" t="n"/>
      <c r="T2403" s="25" t="n"/>
      <c r="U2403" s="26">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Builder'!$B$12="",N($S2403)&lt;='Assignment Builder'!$B$12)))</f>
        <v/>
      </c>
      <c r="V2403" s="23" t="n"/>
    </row>
    <row r="2404">
      <c r="A2404" s="23" t="n"/>
      <c r="B2404" s="23" t="n"/>
      <c r="C2404" s="24" t="n"/>
      <c r="D2404" s="15" t="n"/>
      <c r="E2404" s="23" t="n"/>
      <c r="F2404" s="15" t="n"/>
      <c r="G2404" s="23" t="n"/>
      <c r="H2404" s="25" t="n"/>
      <c r="I2404" s="15" t="n"/>
      <c r="J2404" s="26">
        <f>IF($A2404="","",LEN($C2404)-LEN(SUBSTITUTE($C2404,",",""))+1)</f>
        <v/>
      </c>
      <c r="K2404" s="26">
        <f>IF($A2404="","",SUMPRODUCT(--ISNUMBER(SEARCH('Category Dictionary'!$D$5:$D$135&amp;"",$C2404)),--('Category Dictionary'!$D$5:$D$135&lt;&gt;"")))</f>
        <v/>
      </c>
      <c r="L2404" s="27">
        <f>IF($A2404="","",TRIM(IF(ISERROR(FIND(",",$C2404)),$C2404,LEFT($C2404,FIND(",",$C2404)-1))))</f>
        <v/>
      </c>
      <c r="M2404" s="28">
        <f>IF($H2404="","",DATE(YEAR($H2404),MONTH($H2404),1))</f>
        <v/>
      </c>
      <c r="N2404" s="26">
        <f>IF($H2404="","",TODAY()-$H2404)</f>
        <v/>
      </c>
      <c r="O2404" s="15" t="n"/>
      <c r="P2404" s="26">
        <f>IF($A2404="","",COUNTIFS('Audit Versions'!$A$6:$A$605,$A2404,'Audit Versions'!$L$6:$L$605,"Active"))</f>
        <v/>
      </c>
      <c r="Q2404" s="15" t="n"/>
      <c r="R2404" s="26">
        <f>IF(OR($A2404="",$P2404=0),"",MOD(N($Q2404),$P2404)+1)</f>
        <v/>
      </c>
      <c r="S2404" s="15" t="n"/>
      <c r="T2404" s="25" t="n"/>
      <c r="U2404" s="26">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Builder'!$B$12="",N($S2404)&lt;='Assignment Builder'!$B$12)))</f>
        <v/>
      </c>
      <c r="V2404" s="23" t="n"/>
    </row>
    <row r="2405">
      <c r="A2405" s="23" t="n"/>
      <c r="B2405" s="23" t="n"/>
      <c r="C2405" s="24" t="n"/>
      <c r="D2405" s="15" t="n"/>
      <c r="E2405" s="23" t="n"/>
      <c r="F2405" s="15" t="n"/>
      <c r="G2405" s="23" t="n"/>
      <c r="H2405" s="25" t="n"/>
      <c r="I2405" s="15" t="n"/>
      <c r="J2405" s="26">
        <f>IF($A2405="","",LEN($C2405)-LEN(SUBSTITUTE($C2405,",",""))+1)</f>
        <v/>
      </c>
      <c r="K2405" s="26">
        <f>IF($A2405="","",SUMPRODUCT(--ISNUMBER(SEARCH('Category Dictionary'!$D$5:$D$135&amp;"",$C2405)),--('Category Dictionary'!$D$5:$D$135&lt;&gt;"")))</f>
        <v/>
      </c>
      <c r="L2405" s="27">
        <f>IF($A2405="","",TRIM(IF(ISERROR(FIND(",",$C2405)),$C2405,LEFT($C2405,FIND(",",$C2405)-1))))</f>
        <v/>
      </c>
      <c r="M2405" s="28">
        <f>IF($H2405="","",DATE(YEAR($H2405),MONTH($H2405),1))</f>
        <v/>
      </c>
      <c r="N2405" s="26">
        <f>IF($H2405="","",TODAY()-$H2405)</f>
        <v/>
      </c>
      <c r="O2405" s="15" t="n"/>
      <c r="P2405" s="26">
        <f>IF($A2405="","",COUNTIFS('Audit Versions'!$A$6:$A$605,$A2405,'Audit Versions'!$L$6:$L$605,"Active"))</f>
        <v/>
      </c>
      <c r="Q2405" s="15" t="n"/>
      <c r="R2405" s="26">
        <f>IF(OR($A2405="",$P2405=0),"",MOD(N($Q2405),$P2405)+1)</f>
        <v/>
      </c>
      <c r="S2405" s="15" t="n"/>
      <c r="T2405" s="25" t="n"/>
      <c r="U2405" s="26">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Builder'!$B$12="",N($S2405)&lt;='Assignment Builder'!$B$12)))</f>
        <v/>
      </c>
      <c r="V2405" s="23" t="n"/>
    </row>
    <row r="2406">
      <c r="A2406" s="23" t="n"/>
      <c r="B2406" s="23" t="n"/>
      <c r="C2406" s="24" t="n"/>
      <c r="D2406" s="15" t="n"/>
      <c r="E2406" s="23" t="n"/>
      <c r="F2406" s="15" t="n"/>
      <c r="G2406" s="23" t="n"/>
      <c r="H2406" s="25" t="n"/>
      <c r="I2406" s="15" t="n"/>
      <c r="J2406" s="26">
        <f>IF($A2406="","",LEN($C2406)-LEN(SUBSTITUTE($C2406,",",""))+1)</f>
        <v/>
      </c>
      <c r="K2406" s="26">
        <f>IF($A2406="","",SUMPRODUCT(--ISNUMBER(SEARCH('Category Dictionary'!$D$5:$D$135&amp;"",$C2406)),--('Category Dictionary'!$D$5:$D$135&lt;&gt;"")))</f>
        <v/>
      </c>
      <c r="L2406" s="27">
        <f>IF($A2406="","",TRIM(IF(ISERROR(FIND(",",$C2406)),$C2406,LEFT($C2406,FIND(",",$C2406)-1))))</f>
        <v/>
      </c>
      <c r="M2406" s="28">
        <f>IF($H2406="","",DATE(YEAR($H2406),MONTH($H2406),1))</f>
        <v/>
      </c>
      <c r="N2406" s="26">
        <f>IF($H2406="","",TODAY()-$H2406)</f>
        <v/>
      </c>
      <c r="O2406" s="15" t="n"/>
      <c r="P2406" s="26">
        <f>IF($A2406="","",COUNTIFS('Audit Versions'!$A$6:$A$605,$A2406,'Audit Versions'!$L$6:$L$605,"Active"))</f>
        <v/>
      </c>
      <c r="Q2406" s="15" t="n"/>
      <c r="R2406" s="26">
        <f>IF(OR($A2406="",$P2406=0),"",MOD(N($Q2406),$P2406)+1)</f>
        <v/>
      </c>
      <c r="S2406" s="15" t="n"/>
      <c r="T2406" s="25" t="n"/>
      <c r="U2406" s="26">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Builder'!$B$12="",N($S2406)&lt;='Assignment Builder'!$B$12)))</f>
        <v/>
      </c>
      <c r="V2406" s="23" t="n"/>
    </row>
    <row r="2407">
      <c r="A2407" s="23" t="n"/>
      <c r="B2407" s="23" t="n"/>
      <c r="C2407" s="24" t="n"/>
      <c r="D2407" s="15" t="n"/>
      <c r="E2407" s="23" t="n"/>
      <c r="F2407" s="15" t="n"/>
      <c r="G2407" s="23" t="n"/>
      <c r="H2407" s="25" t="n"/>
      <c r="I2407" s="15" t="n"/>
      <c r="J2407" s="26">
        <f>IF($A2407="","",LEN($C2407)-LEN(SUBSTITUTE($C2407,",",""))+1)</f>
        <v/>
      </c>
      <c r="K2407" s="26">
        <f>IF($A2407="","",SUMPRODUCT(--ISNUMBER(SEARCH('Category Dictionary'!$D$5:$D$135&amp;"",$C2407)),--('Category Dictionary'!$D$5:$D$135&lt;&gt;"")))</f>
        <v/>
      </c>
      <c r="L2407" s="27">
        <f>IF($A2407="","",TRIM(IF(ISERROR(FIND(",",$C2407)),$C2407,LEFT($C2407,FIND(",",$C2407)-1))))</f>
        <v/>
      </c>
      <c r="M2407" s="28">
        <f>IF($H2407="","",DATE(YEAR($H2407),MONTH($H2407),1))</f>
        <v/>
      </c>
      <c r="N2407" s="26">
        <f>IF($H2407="","",TODAY()-$H2407)</f>
        <v/>
      </c>
      <c r="O2407" s="15" t="n"/>
      <c r="P2407" s="26">
        <f>IF($A2407="","",COUNTIFS('Audit Versions'!$A$6:$A$605,$A2407,'Audit Versions'!$L$6:$L$605,"Active"))</f>
        <v/>
      </c>
      <c r="Q2407" s="15" t="n"/>
      <c r="R2407" s="26">
        <f>IF(OR($A2407="",$P2407=0),"",MOD(N($Q2407),$P2407)+1)</f>
        <v/>
      </c>
      <c r="S2407" s="15" t="n"/>
      <c r="T2407" s="25" t="n"/>
      <c r="U2407" s="26">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Builder'!$B$12="",N($S2407)&lt;='Assignment Builder'!$B$12)))</f>
        <v/>
      </c>
      <c r="V2407" s="23" t="n"/>
    </row>
    <row r="2408">
      <c r="A2408" s="23" t="n"/>
      <c r="B2408" s="23" t="n"/>
      <c r="C2408" s="24" t="n"/>
      <c r="D2408" s="15" t="n"/>
      <c r="E2408" s="23" t="n"/>
      <c r="F2408" s="15" t="n"/>
      <c r="G2408" s="23" t="n"/>
      <c r="H2408" s="25" t="n"/>
      <c r="I2408" s="15" t="n"/>
      <c r="J2408" s="26">
        <f>IF($A2408="","",LEN($C2408)-LEN(SUBSTITUTE($C2408,",",""))+1)</f>
        <v/>
      </c>
      <c r="K2408" s="26">
        <f>IF($A2408="","",SUMPRODUCT(--ISNUMBER(SEARCH('Category Dictionary'!$D$5:$D$135&amp;"",$C2408)),--('Category Dictionary'!$D$5:$D$135&lt;&gt;"")))</f>
        <v/>
      </c>
      <c r="L2408" s="27">
        <f>IF($A2408="","",TRIM(IF(ISERROR(FIND(",",$C2408)),$C2408,LEFT($C2408,FIND(",",$C2408)-1))))</f>
        <v/>
      </c>
      <c r="M2408" s="28">
        <f>IF($H2408="","",DATE(YEAR($H2408),MONTH($H2408),1))</f>
        <v/>
      </c>
      <c r="N2408" s="26">
        <f>IF($H2408="","",TODAY()-$H2408)</f>
        <v/>
      </c>
      <c r="O2408" s="15" t="n"/>
      <c r="P2408" s="26">
        <f>IF($A2408="","",COUNTIFS('Audit Versions'!$A$6:$A$605,$A2408,'Audit Versions'!$L$6:$L$605,"Active"))</f>
        <v/>
      </c>
      <c r="Q2408" s="15" t="n"/>
      <c r="R2408" s="26">
        <f>IF(OR($A2408="",$P2408=0),"",MOD(N($Q2408),$P2408)+1)</f>
        <v/>
      </c>
      <c r="S2408" s="15" t="n"/>
      <c r="T2408" s="25" t="n"/>
      <c r="U2408" s="26">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Builder'!$B$12="",N($S2408)&lt;='Assignment Builder'!$B$12)))</f>
        <v/>
      </c>
      <c r="V2408" s="23" t="n"/>
    </row>
    <row r="2409">
      <c r="A2409" s="23" t="n"/>
      <c r="B2409" s="23" t="n"/>
      <c r="C2409" s="24" t="n"/>
      <c r="D2409" s="15" t="n"/>
      <c r="E2409" s="23" t="n"/>
      <c r="F2409" s="15" t="n"/>
      <c r="G2409" s="23" t="n"/>
      <c r="H2409" s="25" t="n"/>
      <c r="I2409" s="15" t="n"/>
      <c r="J2409" s="26">
        <f>IF($A2409="","",LEN($C2409)-LEN(SUBSTITUTE($C2409,",",""))+1)</f>
        <v/>
      </c>
      <c r="K2409" s="26">
        <f>IF($A2409="","",SUMPRODUCT(--ISNUMBER(SEARCH('Category Dictionary'!$D$5:$D$135&amp;"",$C2409)),--('Category Dictionary'!$D$5:$D$135&lt;&gt;"")))</f>
        <v/>
      </c>
      <c r="L2409" s="27">
        <f>IF($A2409="","",TRIM(IF(ISERROR(FIND(",",$C2409)),$C2409,LEFT($C2409,FIND(",",$C2409)-1))))</f>
        <v/>
      </c>
      <c r="M2409" s="28">
        <f>IF($H2409="","",DATE(YEAR($H2409),MONTH($H2409),1))</f>
        <v/>
      </c>
      <c r="N2409" s="26">
        <f>IF($H2409="","",TODAY()-$H2409)</f>
        <v/>
      </c>
      <c r="O2409" s="15" t="n"/>
      <c r="P2409" s="26">
        <f>IF($A2409="","",COUNTIFS('Audit Versions'!$A$6:$A$605,$A2409,'Audit Versions'!$L$6:$L$605,"Active"))</f>
        <v/>
      </c>
      <c r="Q2409" s="15" t="n"/>
      <c r="R2409" s="26">
        <f>IF(OR($A2409="",$P2409=0),"",MOD(N($Q2409),$P2409)+1)</f>
        <v/>
      </c>
      <c r="S2409" s="15" t="n"/>
      <c r="T2409" s="25" t="n"/>
      <c r="U2409" s="26">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Builder'!$B$12="",N($S2409)&lt;='Assignment Builder'!$B$12)))</f>
        <v/>
      </c>
      <c r="V2409" s="23" t="n"/>
    </row>
    <row r="2410">
      <c r="A2410" s="23" t="n"/>
      <c r="B2410" s="23" t="n"/>
      <c r="C2410" s="24" t="n"/>
      <c r="D2410" s="15" t="n"/>
      <c r="E2410" s="23" t="n"/>
      <c r="F2410" s="15" t="n"/>
      <c r="G2410" s="23" t="n"/>
      <c r="H2410" s="25" t="n"/>
      <c r="I2410" s="15" t="n"/>
      <c r="J2410" s="26">
        <f>IF($A2410="","",LEN($C2410)-LEN(SUBSTITUTE($C2410,",",""))+1)</f>
        <v/>
      </c>
      <c r="K2410" s="26">
        <f>IF($A2410="","",SUMPRODUCT(--ISNUMBER(SEARCH('Category Dictionary'!$D$5:$D$135&amp;"",$C2410)),--('Category Dictionary'!$D$5:$D$135&lt;&gt;"")))</f>
        <v/>
      </c>
      <c r="L2410" s="27">
        <f>IF($A2410="","",TRIM(IF(ISERROR(FIND(",",$C2410)),$C2410,LEFT($C2410,FIND(",",$C2410)-1))))</f>
        <v/>
      </c>
      <c r="M2410" s="28">
        <f>IF($H2410="","",DATE(YEAR($H2410),MONTH($H2410),1))</f>
        <v/>
      </c>
      <c r="N2410" s="26">
        <f>IF($H2410="","",TODAY()-$H2410)</f>
        <v/>
      </c>
      <c r="O2410" s="15" t="n"/>
      <c r="P2410" s="26">
        <f>IF($A2410="","",COUNTIFS('Audit Versions'!$A$6:$A$605,$A2410,'Audit Versions'!$L$6:$L$605,"Active"))</f>
        <v/>
      </c>
      <c r="Q2410" s="15" t="n"/>
      <c r="R2410" s="26">
        <f>IF(OR($A2410="",$P2410=0),"",MOD(N($Q2410),$P2410)+1)</f>
        <v/>
      </c>
      <c r="S2410" s="15" t="n"/>
      <c r="T2410" s="25" t="n"/>
      <c r="U2410" s="26">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Builder'!$B$12="",N($S2410)&lt;='Assignment Builder'!$B$12)))</f>
        <v/>
      </c>
      <c r="V2410" s="23" t="n"/>
    </row>
    <row r="2411">
      <c r="A2411" s="23" t="n"/>
      <c r="B2411" s="23" t="n"/>
      <c r="C2411" s="24" t="n"/>
      <c r="D2411" s="15" t="n"/>
      <c r="E2411" s="23" t="n"/>
      <c r="F2411" s="15" t="n"/>
      <c r="G2411" s="23" t="n"/>
      <c r="H2411" s="25" t="n"/>
      <c r="I2411" s="15" t="n"/>
      <c r="J2411" s="26">
        <f>IF($A2411="","",LEN($C2411)-LEN(SUBSTITUTE($C2411,",",""))+1)</f>
        <v/>
      </c>
      <c r="K2411" s="26">
        <f>IF($A2411="","",SUMPRODUCT(--ISNUMBER(SEARCH('Category Dictionary'!$D$5:$D$135&amp;"",$C2411)),--('Category Dictionary'!$D$5:$D$135&lt;&gt;"")))</f>
        <v/>
      </c>
      <c r="L2411" s="27">
        <f>IF($A2411="","",TRIM(IF(ISERROR(FIND(",",$C2411)),$C2411,LEFT($C2411,FIND(",",$C2411)-1))))</f>
        <v/>
      </c>
      <c r="M2411" s="28">
        <f>IF($H2411="","",DATE(YEAR($H2411),MONTH($H2411),1))</f>
        <v/>
      </c>
      <c r="N2411" s="26">
        <f>IF($H2411="","",TODAY()-$H2411)</f>
        <v/>
      </c>
      <c r="O2411" s="15" t="n"/>
      <c r="P2411" s="26">
        <f>IF($A2411="","",COUNTIFS('Audit Versions'!$A$6:$A$605,$A2411,'Audit Versions'!$L$6:$L$605,"Active"))</f>
        <v/>
      </c>
      <c r="Q2411" s="15" t="n"/>
      <c r="R2411" s="26">
        <f>IF(OR($A2411="",$P2411=0),"",MOD(N($Q2411),$P2411)+1)</f>
        <v/>
      </c>
      <c r="S2411" s="15" t="n"/>
      <c r="T2411" s="25" t="n"/>
      <c r="U2411" s="26">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Builder'!$B$12="",N($S2411)&lt;='Assignment Builder'!$B$12)))</f>
        <v/>
      </c>
      <c r="V2411" s="23" t="n"/>
    </row>
    <row r="2412">
      <c r="A2412" s="23" t="n"/>
      <c r="B2412" s="23" t="n"/>
      <c r="C2412" s="24" t="n"/>
      <c r="D2412" s="15" t="n"/>
      <c r="E2412" s="23" t="n"/>
      <c r="F2412" s="15" t="n"/>
      <c r="G2412" s="23" t="n"/>
      <c r="H2412" s="25" t="n"/>
      <c r="I2412" s="15" t="n"/>
      <c r="J2412" s="26">
        <f>IF($A2412="","",LEN($C2412)-LEN(SUBSTITUTE($C2412,",",""))+1)</f>
        <v/>
      </c>
      <c r="K2412" s="26">
        <f>IF($A2412="","",SUMPRODUCT(--ISNUMBER(SEARCH('Category Dictionary'!$D$5:$D$135&amp;"",$C2412)),--('Category Dictionary'!$D$5:$D$135&lt;&gt;"")))</f>
        <v/>
      </c>
      <c r="L2412" s="27">
        <f>IF($A2412="","",TRIM(IF(ISERROR(FIND(",",$C2412)),$C2412,LEFT($C2412,FIND(",",$C2412)-1))))</f>
        <v/>
      </c>
      <c r="M2412" s="28">
        <f>IF($H2412="","",DATE(YEAR($H2412),MONTH($H2412),1))</f>
        <v/>
      </c>
      <c r="N2412" s="26">
        <f>IF($H2412="","",TODAY()-$H2412)</f>
        <v/>
      </c>
      <c r="O2412" s="15" t="n"/>
      <c r="P2412" s="26">
        <f>IF($A2412="","",COUNTIFS('Audit Versions'!$A$6:$A$605,$A2412,'Audit Versions'!$L$6:$L$605,"Active"))</f>
        <v/>
      </c>
      <c r="Q2412" s="15" t="n"/>
      <c r="R2412" s="26">
        <f>IF(OR($A2412="",$P2412=0),"",MOD(N($Q2412),$P2412)+1)</f>
        <v/>
      </c>
      <c r="S2412" s="15" t="n"/>
      <c r="T2412" s="25" t="n"/>
      <c r="U2412" s="26">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Builder'!$B$12="",N($S2412)&lt;='Assignment Builder'!$B$12)))</f>
        <v/>
      </c>
      <c r="V2412" s="23" t="n"/>
    </row>
    <row r="2413">
      <c r="A2413" s="23" t="n"/>
      <c r="B2413" s="23" t="n"/>
      <c r="C2413" s="24" t="n"/>
      <c r="D2413" s="15" t="n"/>
      <c r="E2413" s="23" t="n"/>
      <c r="F2413" s="15" t="n"/>
      <c r="G2413" s="23" t="n"/>
      <c r="H2413" s="25" t="n"/>
      <c r="I2413" s="15" t="n"/>
      <c r="J2413" s="26">
        <f>IF($A2413="","",LEN($C2413)-LEN(SUBSTITUTE($C2413,",",""))+1)</f>
        <v/>
      </c>
      <c r="K2413" s="26">
        <f>IF($A2413="","",SUMPRODUCT(--ISNUMBER(SEARCH('Category Dictionary'!$D$5:$D$135&amp;"",$C2413)),--('Category Dictionary'!$D$5:$D$135&lt;&gt;"")))</f>
        <v/>
      </c>
      <c r="L2413" s="27">
        <f>IF($A2413="","",TRIM(IF(ISERROR(FIND(",",$C2413)),$C2413,LEFT($C2413,FIND(",",$C2413)-1))))</f>
        <v/>
      </c>
      <c r="M2413" s="28">
        <f>IF($H2413="","",DATE(YEAR($H2413),MONTH($H2413),1))</f>
        <v/>
      </c>
      <c r="N2413" s="26">
        <f>IF($H2413="","",TODAY()-$H2413)</f>
        <v/>
      </c>
      <c r="O2413" s="15" t="n"/>
      <c r="P2413" s="26">
        <f>IF($A2413="","",COUNTIFS('Audit Versions'!$A$6:$A$605,$A2413,'Audit Versions'!$L$6:$L$605,"Active"))</f>
        <v/>
      </c>
      <c r="Q2413" s="15" t="n"/>
      <c r="R2413" s="26">
        <f>IF(OR($A2413="",$P2413=0),"",MOD(N($Q2413),$P2413)+1)</f>
        <v/>
      </c>
      <c r="S2413" s="15" t="n"/>
      <c r="T2413" s="25" t="n"/>
      <c r="U2413" s="26">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Builder'!$B$12="",N($S2413)&lt;='Assignment Builder'!$B$12)))</f>
        <v/>
      </c>
      <c r="V2413" s="23" t="n"/>
    </row>
    <row r="2414">
      <c r="A2414" s="23" t="n"/>
      <c r="B2414" s="23" t="n"/>
      <c r="C2414" s="24" t="n"/>
      <c r="D2414" s="15" t="n"/>
      <c r="E2414" s="23" t="n"/>
      <c r="F2414" s="15" t="n"/>
      <c r="G2414" s="23" t="n"/>
      <c r="H2414" s="25" t="n"/>
      <c r="I2414" s="15" t="n"/>
      <c r="J2414" s="26">
        <f>IF($A2414="","",LEN($C2414)-LEN(SUBSTITUTE($C2414,",",""))+1)</f>
        <v/>
      </c>
      <c r="K2414" s="26">
        <f>IF($A2414="","",SUMPRODUCT(--ISNUMBER(SEARCH('Category Dictionary'!$D$5:$D$135&amp;"",$C2414)),--('Category Dictionary'!$D$5:$D$135&lt;&gt;"")))</f>
        <v/>
      </c>
      <c r="L2414" s="27">
        <f>IF($A2414="","",TRIM(IF(ISERROR(FIND(",",$C2414)),$C2414,LEFT($C2414,FIND(",",$C2414)-1))))</f>
        <v/>
      </c>
      <c r="M2414" s="28">
        <f>IF($H2414="","",DATE(YEAR($H2414),MONTH($H2414),1))</f>
        <v/>
      </c>
      <c r="N2414" s="26">
        <f>IF($H2414="","",TODAY()-$H2414)</f>
        <v/>
      </c>
      <c r="O2414" s="15" t="n"/>
      <c r="P2414" s="26">
        <f>IF($A2414="","",COUNTIFS('Audit Versions'!$A$6:$A$605,$A2414,'Audit Versions'!$L$6:$L$605,"Active"))</f>
        <v/>
      </c>
      <c r="Q2414" s="15" t="n"/>
      <c r="R2414" s="26">
        <f>IF(OR($A2414="",$P2414=0),"",MOD(N($Q2414),$P2414)+1)</f>
        <v/>
      </c>
      <c r="S2414" s="15" t="n"/>
      <c r="T2414" s="25" t="n"/>
      <c r="U2414" s="26">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Builder'!$B$12="",N($S2414)&lt;='Assignment Builder'!$B$12)))</f>
        <v/>
      </c>
      <c r="V2414" s="23" t="n"/>
    </row>
    <row r="2415">
      <c r="A2415" s="23" t="n"/>
      <c r="B2415" s="23" t="n"/>
      <c r="C2415" s="24" t="n"/>
      <c r="D2415" s="15" t="n"/>
      <c r="E2415" s="23" t="n"/>
      <c r="F2415" s="15" t="n"/>
      <c r="G2415" s="23" t="n"/>
      <c r="H2415" s="25" t="n"/>
      <c r="I2415" s="15" t="n"/>
      <c r="J2415" s="26">
        <f>IF($A2415="","",LEN($C2415)-LEN(SUBSTITUTE($C2415,",",""))+1)</f>
        <v/>
      </c>
      <c r="K2415" s="26">
        <f>IF($A2415="","",SUMPRODUCT(--ISNUMBER(SEARCH('Category Dictionary'!$D$5:$D$135&amp;"",$C2415)),--('Category Dictionary'!$D$5:$D$135&lt;&gt;"")))</f>
        <v/>
      </c>
      <c r="L2415" s="27">
        <f>IF($A2415="","",TRIM(IF(ISERROR(FIND(",",$C2415)),$C2415,LEFT($C2415,FIND(",",$C2415)-1))))</f>
        <v/>
      </c>
      <c r="M2415" s="28">
        <f>IF($H2415="","",DATE(YEAR($H2415),MONTH($H2415),1))</f>
        <v/>
      </c>
      <c r="N2415" s="26">
        <f>IF($H2415="","",TODAY()-$H2415)</f>
        <v/>
      </c>
      <c r="O2415" s="15" t="n"/>
      <c r="P2415" s="26">
        <f>IF($A2415="","",COUNTIFS('Audit Versions'!$A$6:$A$605,$A2415,'Audit Versions'!$L$6:$L$605,"Active"))</f>
        <v/>
      </c>
      <c r="Q2415" s="15" t="n"/>
      <c r="R2415" s="26">
        <f>IF(OR($A2415="",$P2415=0),"",MOD(N($Q2415),$P2415)+1)</f>
        <v/>
      </c>
      <c r="S2415" s="15" t="n"/>
      <c r="T2415" s="25" t="n"/>
      <c r="U2415" s="26">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Builder'!$B$12="",N($S2415)&lt;='Assignment Builder'!$B$12)))</f>
        <v/>
      </c>
      <c r="V2415" s="23" t="n"/>
    </row>
    <row r="2416">
      <c r="A2416" s="23" t="n"/>
      <c r="B2416" s="23" t="n"/>
      <c r="C2416" s="24" t="n"/>
      <c r="D2416" s="15" t="n"/>
      <c r="E2416" s="23" t="n"/>
      <c r="F2416" s="15" t="n"/>
      <c r="G2416" s="23" t="n"/>
      <c r="H2416" s="25" t="n"/>
      <c r="I2416" s="15" t="n"/>
      <c r="J2416" s="26">
        <f>IF($A2416="","",LEN($C2416)-LEN(SUBSTITUTE($C2416,",",""))+1)</f>
        <v/>
      </c>
      <c r="K2416" s="26">
        <f>IF($A2416="","",SUMPRODUCT(--ISNUMBER(SEARCH('Category Dictionary'!$D$5:$D$135&amp;"",$C2416)),--('Category Dictionary'!$D$5:$D$135&lt;&gt;"")))</f>
        <v/>
      </c>
      <c r="L2416" s="27">
        <f>IF($A2416="","",TRIM(IF(ISERROR(FIND(",",$C2416)),$C2416,LEFT($C2416,FIND(",",$C2416)-1))))</f>
        <v/>
      </c>
      <c r="M2416" s="28">
        <f>IF($H2416="","",DATE(YEAR($H2416),MONTH($H2416),1))</f>
        <v/>
      </c>
      <c r="N2416" s="26">
        <f>IF($H2416="","",TODAY()-$H2416)</f>
        <v/>
      </c>
      <c r="O2416" s="15" t="n"/>
      <c r="P2416" s="26">
        <f>IF($A2416="","",COUNTIFS('Audit Versions'!$A$6:$A$605,$A2416,'Audit Versions'!$L$6:$L$605,"Active"))</f>
        <v/>
      </c>
      <c r="Q2416" s="15" t="n"/>
      <c r="R2416" s="26">
        <f>IF(OR($A2416="",$P2416=0),"",MOD(N($Q2416),$P2416)+1)</f>
        <v/>
      </c>
      <c r="S2416" s="15" t="n"/>
      <c r="T2416" s="25" t="n"/>
      <c r="U2416" s="26">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Builder'!$B$12="",N($S2416)&lt;='Assignment Builder'!$B$12)))</f>
        <v/>
      </c>
      <c r="V2416" s="23" t="n"/>
    </row>
    <row r="2417">
      <c r="A2417" s="23" t="n"/>
      <c r="B2417" s="23" t="n"/>
      <c r="C2417" s="24" t="n"/>
      <c r="D2417" s="15" t="n"/>
      <c r="E2417" s="23" t="n"/>
      <c r="F2417" s="15" t="n"/>
      <c r="G2417" s="23" t="n"/>
      <c r="H2417" s="25" t="n"/>
      <c r="I2417" s="15" t="n"/>
      <c r="J2417" s="26">
        <f>IF($A2417="","",LEN($C2417)-LEN(SUBSTITUTE($C2417,",",""))+1)</f>
        <v/>
      </c>
      <c r="K2417" s="26">
        <f>IF($A2417="","",SUMPRODUCT(--ISNUMBER(SEARCH('Category Dictionary'!$D$5:$D$135&amp;"",$C2417)),--('Category Dictionary'!$D$5:$D$135&lt;&gt;"")))</f>
        <v/>
      </c>
      <c r="L2417" s="27">
        <f>IF($A2417="","",TRIM(IF(ISERROR(FIND(",",$C2417)),$C2417,LEFT($C2417,FIND(",",$C2417)-1))))</f>
        <v/>
      </c>
      <c r="M2417" s="28">
        <f>IF($H2417="","",DATE(YEAR($H2417),MONTH($H2417),1))</f>
        <v/>
      </c>
      <c r="N2417" s="26">
        <f>IF($H2417="","",TODAY()-$H2417)</f>
        <v/>
      </c>
      <c r="O2417" s="15" t="n"/>
      <c r="P2417" s="26">
        <f>IF($A2417="","",COUNTIFS('Audit Versions'!$A$6:$A$605,$A2417,'Audit Versions'!$L$6:$L$605,"Active"))</f>
        <v/>
      </c>
      <c r="Q2417" s="15" t="n"/>
      <c r="R2417" s="26">
        <f>IF(OR($A2417="",$P2417=0),"",MOD(N($Q2417),$P2417)+1)</f>
        <v/>
      </c>
      <c r="S2417" s="15" t="n"/>
      <c r="T2417" s="25" t="n"/>
      <c r="U2417" s="26">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Builder'!$B$12="",N($S2417)&lt;='Assignment Builder'!$B$12)))</f>
        <v/>
      </c>
      <c r="V2417" s="23" t="n"/>
    </row>
    <row r="2418">
      <c r="A2418" s="23" t="n"/>
      <c r="B2418" s="23" t="n"/>
      <c r="C2418" s="24" t="n"/>
      <c r="D2418" s="15" t="n"/>
      <c r="E2418" s="23" t="n"/>
      <c r="F2418" s="15" t="n"/>
      <c r="G2418" s="23" t="n"/>
      <c r="H2418" s="25" t="n"/>
      <c r="I2418" s="15" t="n"/>
      <c r="J2418" s="26">
        <f>IF($A2418="","",LEN($C2418)-LEN(SUBSTITUTE($C2418,",",""))+1)</f>
        <v/>
      </c>
      <c r="K2418" s="26">
        <f>IF($A2418="","",SUMPRODUCT(--ISNUMBER(SEARCH('Category Dictionary'!$D$5:$D$135&amp;"",$C2418)),--('Category Dictionary'!$D$5:$D$135&lt;&gt;"")))</f>
        <v/>
      </c>
      <c r="L2418" s="27">
        <f>IF($A2418="","",TRIM(IF(ISERROR(FIND(",",$C2418)),$C2418,LEFT($C2418,FIND(",",$C2418)-1))))</f>
        <v/>
      </c>
      <c r="M2418" s="28">
        <f>IF($H2418="","",DATE(YEAR($H2418),MONTH($H2418),1))</f>
        <v/>
      </c>
      <c r="N2418" s="26">
        <f>IF($H2418="","",TODAY()-$H2418)</f>
        <v/>
      </c>
      <c r="O2418" s="15" t="n"/>
      <c r="P2418" s="26">
        <f>IF($A2418="","",COUNTIFS('Audit Versions'!$A$6:$A$605,$A2418,'Audit Versions'!$L$6:$L$605,"Active"))</f>
        <v/>
      </c>
      <c r="Q2418" s="15" t="n"/>
      <c r="R2418" s="26">
        <f>IF(OR($A2418="",$P2418=0),"",MOD(N($Q2418),$P2418)+1)</f>
        <v/>
      </c>
      <c r="S2418" s="15" t="n"/>
      <c r="T2418" s="25" t="n"/>
      <c r="U2418" s="26">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Builder'!$B$12="",N($S2418)&lt;='Assignment Builder'!$B$12)))</f>
        <v/>
      </c>
      <c r="V2418" s="23" t="n"/>
    </row>
    <row r="2419">
      <c r="A2419" s="23" t="n"/>
      <c r="B2419" s="23" t="n"/>
      <c r="C2419" s="24" t="n"/>
      <c r="D2419" s="15" t="n"/>
      <c r="E2419" s="23" t="n"/>
      <c r="F2419" s="15" t="n"/>
      <c r="G2419" s="23" t="n"/>
      <c r="H2419" s="25" t="n"/>
      <c r="I2419" s="15" t="n"/>
      <c r="J2419" s="26">
        <f>IF($A2419="","",LEN($C2419)-LEN(SUBSTITUTE($C2419,",",""))+1)</f>
        <v/>
      </c>
      <c r="K2419" s="26">
        <f>IF($A2419="","",SUMPRODUCT(--ISNUMBER(SEARCH('Category Dictionary'!$D$5:$D$135&amp;"",$C2419)),--('Category Dictionary'!$D$5:$D$135&lt;&gt;"")))</f>
        <v/>
      </c>
      <c r="L2419" s="27">
        <f>IF($A2419="","",TRIM(IF(ISERROR(FIND(",",$C2419)),$C2419,LEFT($C2419,FIND(",",$C2419)-1))))</f>
        <v/>
      </c>
      <c r="M2419" s="28">
        <f>IF($H2419="","",DATE(YEAR($H2419),MONTH($H2419),1))</f>
        <v/>
      </c>
      <c r="N2419" s="26">
        <f>IF($H2419="","",TODAY()-$H2419)</f>
        <v/>
      </c>
      <c r="O2419" s="15" t="n"/>
      <c r="P2419" s="26">
        <f>IF($A2419="","",COUNTIFS('Audit Versions'!$A$6:$A$605,$A2419,'Audit Versions'!$L$6:$L$605,"Active"))</f>
        <v/>
      </c>
      <c r="Q2419" s="15" t="n"/>
      <c r="R2419" s="26">
        <f>IF(OR($A2419="",$P2419=0),"",MOD(N($Q2419),$P2419)+1)</f>
        <v/>
      </c>
      <c r="S2419" s="15" t="n"/>
      <c r="T2419" s="25" t="n"/>
      <c r="U2419" s="26">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Builder'!$B$12="",N($S2419)&lt;='Assignment Builder'!$B$12)))</f>
        <v/>
      </c>
      <c r="V2419" s="23" t="n"/>
    </row>
    <row r="2420">
      <c r="A2420" s="23" t="n"/>
      <c r="B2420" s="23" t="n"/>
      <c r="C2420" s="24" t="n"/>
      <c r="D2420" s="15" t="n"/>
      <c r="E2420" s="23" t="n"/>
      <c r="F2420" s="15" t="n"/>
      <c r="G2420" s="23" t="n"/>
      <c r="H2420" s="25" t="n"/>
      <c r="I2420" s="15" t="n"/>
      <c r="J2420" s="26">
        <f>IF($A2420="","",LEN($C2420)-LEN(SUBSTITUTE($C2420,",",""))+1)</f>
        <v/>
      </c>
      <c r="K2420" s="26">
        <f>IF($A2420="","",SUMPRODUCT(--ISNUMBER(SEARCH('Category Dictionary'!$D$5:$D$135&amp;"",$C2420)),--('Category Dictionary'!$D$5:$D$135&lt;&gt;"")))</f>
        <v/>
      </c>
      <c r="L2420" s="27">
        <f>IF($A2420="","",TRIM(IF(ISERROR(FIND(",",$C2420)),$C2420,LEFT($C2420,FIND(",",$C2420)-1))))</f>
        <v/>
      </c>
      <c r="M2420" s="28">
        <f>IF($H2420="","",DATE(YEAR($H2420),MONTH($H2420),1))</f>
        <v/>
      </c>
      <c r="N2420" s="26">
        <f>IF($H2420="","",TODAY()-$H2420)</f>
        <v/>
      </c>
      <c r="O2420" s="15" t="n"/>
      <c r="P2420" s="26">
        <f>IF($A2420="","",COUNTIFS('Audit Versions'!$A$6:$A$605,$A2420,'Audit Versions'!$L$6:$L$605,"Active"))</f>
        <v/>
      </c>
      <c r="Q2420" s="15" t="n"/>
      <c r="R2420" s="26">
        <f>IF(OR($A2420="",$P2420=0),"",MOD(N($Q2420),$P2420)+1)</f>
        <v/>
      </c>
      <c r="S2420" s="15" t="n"/>
      <c r="T2420" s="25" t="n"/>
      <c r="U2420" s="26">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Builder'!$B$12="",N($S2420)&lt;='Assignment Builder'!$B$12)))</f>
        <v/>
      </c>
      <c r="V2420" s="23" t="n"/>
    </row>
    <row r="2421">
      <c r="A2421" s="23" t="n"/>
      <c r="B2421" s="23" t="n"/>
      <c r="C2421" s="24" t="n"/>
      <c r="D2421" s="15" t="n"/>
      <c r="E2421" s="23" t="n"/>
      <c r="F2421" s="15" t="n"/>
      <c r="G2421" s="23" t="n"/>
      <c r="H2421" s="25" t="n"/>
      <c r="I2421" s="15" t="n"/>
      <c r="J2421" s="26">
        <f>IF($A2421="","",LEN($C2421)-LEN(SUBSTITUTE($C2421,",",""))+1)</f>
        <v/>
      </c>
      <c r="K2421" s="26">
        <f>IF($A2421="","",SUMPRODUCT(--ISNUMBER(SEARCH('Category Dictionary'!$D$5:$D$135&amp;"",$C2421)),--('Category Dictionary'!$D$5:$D$135&lt;&gt;"")))</f>
        <v/>
      </c>
      <c r="L2421" s="27">
        <f>IF($A2421="","",TRIM(IF(ISERROR(FIND(",",$C2421)),$C2421,LEFT($C2421,FIND(",",$C2421)-1))))</f>
        <v/>
      </c>
      <c r="M2421" s="28">
        <f>IF($H2421="","",DATE(YEAR($H2421),MONTH($H2421),1))</f>
        <v/>
      </c>
      <c r="N2421" s="26">
        <f>IF($H2421="","",TODAY()-$H2421)</f>
        <v/>
      </c>
      <c r="O2421" s="15" t="n"/>
      <c r="P2421" s="26">
        <f>IF($A2421="","",COUNTIFS('Audit Versions'!$A$6:$A$605,$A2421,'Audit Versions'!$L$6:$L$605,"Active"))</f>
        <v/>
      </c>
      <c r="Q2421" s="15" t="n"/>
      <c r="R2421" s="26">
        <f>IF(OR($A2421="",$P2421=0),"",MOD(N($Q2421),$P2421)+1)</f>
        <v/>
      </c>
      <c r="S2421" s="15" t="n"/>
      <c r="T2421" s="25" t="n"/>
      <c r="U2421" s="26">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Builder'!$B$12="",N($S2421)&lt;='Assignment Builder'!$B$12)))</f>
        <v/>
      </c>
      <c r="V2421" s="23" t="n"/>
    </row>
    <row r="2422">
      <c r="A2422" s="23" t="n"/>
      <c r="B2422" s="23" t="n"/>
      <c r="C2422" s="24" t="n"/>
      <c r="D2422" s="15" t="n"/>
      <c r="E2422" s="23" t="n"/>
      <c r="F2422" s="15" t="n"/>
      <c r="G2422" s="23" t="n"/>
      <c r="H2422" s="25" t="n"/>
      <c r="I2422" s="15" t="n"/>
      <c r="J2422" s="26">
        <f>IF($A2422="","",LEN($C2422)-LEN(SUBSTITUTE($C2422,",",""))+1)</f>
        <v/>
      </c>
      <c r="K2422" s="26">
        <f>IF($A2422="","",SUMPRODUCT(--ISNUMBER(SEARCH('Category Dictionary'!$D$5:$D$135&amp;"",$C2422)),--('Category Dictionary'!$D$5:$D$135&lt;&gt;"")))</f>
        <v/>
      </c>
      <c r="L2422" s="27">
        <f>IF($A2422="","",TRIM(IF(ISERROR(FIND(",",$C2422)),$C2422,LEFT($C2422,FIND(",",$C2422)-1))))</f>
        <v/>
      </c>
      <c r="M2422" s="28">
        <f>IF($H2422="","",DATE(YEAR($H2422),MONTH($H2422),1))</f>
        <v/>
      </c>
      <c r="N2422" s="26">
        <f>IF($H2422="","",TODAY()-$H2422)</f>
        <v/>
      </c>
      <c r="O2422" s="15" t="n"/>
      <c r="P2422" s="26">
        <f>IF($A2422="","",COUNTIFS('Audit Versions'!$A$6:$A$605,$A2422,'Audit Versions'!$L$6:$L$605,"Active"))</f>
        <v/>
      </c>
      <c r="Q2422" s="15" t="n"/>
      <c r="R2422" s="26">
        <f>IF(OR($A2422="",$P2422=0),"",MOD(N($Q2422),$P2422)+1)</f>
        <v/>
      </c>
      <c r="S2422" s="15" t="n"/>
      <c r="T2422" s="25" t="n"/>
      <c r="U2422" s="26">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Builder'!$B$12="",N($S2422)&lt;='Assignment Builder'!$B$12)))</f>
        <v/>
      </c>
      <c r="V2422" s="23" t="n"/>
    </row>
    <row r="2423">
      <c r="A2423" s="23" t="n"/>
      <c r="B2423" s="23" t="n"/>
      <c r="C2423" s="24" t="n"/>
      <c r="D2423" s="15" t="n"/>
      <c r="E2423" s="23" t="n"/>
      <c r="F2423" s="15" t="n"/>
      <c r="G2423" s="23" t="n"/>
      <c r="H2423" s="25" t="n"/>
      <c r="I2423" s="15" t="n"/>
      <c r="J2423" s="26">
        <f>IF($A2423="","",LEN($C2423)-LEN(SUBSTITUTE($C2423,",",""))+1)</f>
        <v/>
      </c>
      <c r="K2423" s="26">
        <f>IF($A2423="","",SUMPRODUCT(--ISNUMBER(SEARCH('Category Dictionary'!$D$5:$D$135&amp;"",$C2423)),--('Category Dictionary'!$D$5:$D$135&lt;&gt;"")))</f>
        <v/>
      </c>
      <c r="L2423" s="27">
        <f>IF($A2423="","",TRIM(IF(ISERROR(FIND(",",$C2423)),$C2423,LEFT($C2423,FIND(",",$C2423)-1))))</f>
        <v/>
      </c>
      <c r="M2423" s="28">
        <f>IF($H2423="","",DATE(YEAR($H2423),MONTH($H2423),1))</f>
        <v/>
      </c>
      <c r="N2423" s="26">
        <f>IF($H2423="","",TODAY()-$H2423)</f>
        <v/>
      </c>
      <c r="O2423" s="15" t="n"/>
      <c r="P2423" s="26">
        <f>IF($A2423="","",COUNTIFS('Audit Versions'!$A$6:$A$605,$A2423,'Audit Versions'!$L$6:$L$605,"Active"))</f>
        <v/>
      </c>
      <c r="Q2423" s="15" t="n"/>
      <c r="R2423" s="26">
        <f>IF(OR($A2423="",$P2423=0),"",MOD(N($Q2423),$P2423)+1)</f>
        <v/>
      </c>
      <c r="S2423" s="15" t="n"/>
      <c r="T2423" s="25" t="n"/>
      <c r="U2423" s="26">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Builder'!$B$12="",N($S2423)&lt;='Assignment Builder'!$B$12)))</f>
        <v/>
      </c>
      <c r="V2423" s="23" t="n"/>
    </row>
    <row r="2424">
      <c r="A2424" s="23" t="n"/>
      <c r="B2424" s="23" t="n"/>
      <c r="C2424" s="24" t="n"/>
      <c r="D2424" s="15" t="n"/>
      <c r="E2424" s="23" t="n"/>
      <c r="F2424" s="15" t="n"/>
      <c r="G2424" s="23" t="n"/>
      <c r="H2424" s="25" t="n"/>
      <c r="I2424" s="15" t="n"/>
      <c r="J2424" s="26">
        <f>IF($A2424="","",LEN($C2424)-LEN(SUBSTITUTE($C2424,",",""))+1)</f>
        <v/>
      </c>
      <c r="K2424" s="26">
        <f>IF($A2424="","",SUMPRODUCT(--ISNUMBER(SEARCH('Category Dictionary'!$D$5:$D$135&amp;"",$C2424)),--('Category Dictionary'!$D$5:$D$135&lt;&gt;"")))</f>
        <v/>
      </c>
      <c r="L2424" s="27">
        <f>IF($A2424="","",TRIM(IF(ISERROR(FIND(",",$C2424)),$C2424,LEFT($C2424,FIND(",",$C2424)-1))))</f>
        <v/>
      </c>
      <c r="M2424" s="28">
        <f>IF($H2424="","",DATE(YEAR($H2424),MONTH($H2424),1))</f>
        <v/>
      </c>
      <c r="N2424" s="26">
        <f>IF($H2424="","",TODAY()-$H2424)</f>
        <v/>
      </c>
      <c r="O2424" s="15" t="n"/>
      <c r="P2424" s="26">
        <f>IF($A2424="","",COUNTIFS('Audit Versions'!$A$6:$A$605,$A2424,'Audit Versions'!$L$6:$L$605,"Active"))</f>
        <v/>
      </c>
      <c r="Q2424" s="15" t="n"/>
      <c r="R2424" s="26">
        <f>IF(OR($A2424="",$P2424=0),"",MOD(N($Q2424),$P2424)+1)</f>
        <v/>
      </c>
      <c r="S2424" s="15" t="n"/>
      <c r="T2424" s="25" t="n"/>
      <c r="U2424" s="26">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Builder'!$B$12="",N($S2424)&lt;='Assignment Builder'!$B$12)))</f>
        <v/>
      </c>
      <c r="V2424" s="23" t="n"/>
    </row>
    <row r="2425">
      <c r="A2425" s="23" t="n"/>
      <c r="B2425" s="23" t="n"/>
      <c r="C2425" s="24" t="n"/>
      <c r="D2425" s="15" t="n"/>
      <c r="E2425" s="23" t="n"/>
      <c r="F2425" s="15" t="n"/>
      <c r="G2425" s="23" t="n"/>
      <c r="H2425" s="25" t="n"/>
      <c r="I2425" s="15" t="n"/>
      <c r="J2425" s="26">
        <f>IF($A2425="","",LEN($C2425)-LEN(SUBSTITUTE($C2425,",",""))+1)</f>
        <v/>
      </c>
      <c r="K2425" s="26">
        <f>IF($A2425="","",SUMPRODUCT(--ISNUMBER(SEARCH('Category Dictionary'!$D$5:$D$135&amp;"",$C2425)),--('Category Dictionary'!$D$5:$D$135&lt;&gt;"")))</f>
        <v/>
      </c>
      <c r="L2425" s="27">
        <f>IF($A2425="","",TRIM(IF(ISERROR(FIND(",",$C2425)),$C2425,LEFT($C2425,FIND(",",$C2425)-1))))</f>
        <v/>
      </c>
      <c r="M2425" s="28">
        <f>IF($H2425="","",DATE(YEAR($H2425),MONTH($H2425),1))</f>
        <v/>
      </c>
      <c r="N2425" s="26">
        <f>IF($H2425="","",TODAY()-$H2425)</f>
        <v/>
      </c>
      <c r="O2425" s="15" t="n"/>
      <c r="P2425" s="26">
        <f>IF($A2425="","",COUNTIFS('Audit Versions'!$A$6:$A$605,$A2425,'Audit Versions'!$L$6:$L$605,"Active"))</f>
        <v/>
      </c>
      <c r="Q2425" s="15" t="n"/>
      <c r="R2425" s="26">
        <f>IF(OR($A2425="",$P2425=0),"",MOD(N($Q2425),$P2425)+1)</f>
        <v/>
      </c>
      <c r="S2425" s="15" t="n"/>
      <c r="T2425" s="25" t="n"/>
      <c r="U2425" s="26">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Builder'!$B$12="",N($S2425)&lt;='Assignment Builder'!$B$12)))</f>
        <v/>
      </c>
      <c r="V2425" s="23" t="n"/>
    </row>
    <row r="2426">
      <c r="A2426" s="23" t="n"/>
      <c r="B2426" s="23" t="n"/>
      <c r="C2426" s="24" t="n"/>
      <c r="D2426" s="15" t="n"/>
      <c r="E2426" s="23" t="n"/>
      <c r="F2426" s="15" t="n"/>
      <c r="G2426" s="23" t="n"/>
      <c r="H2426" s="25" t="n"/>
      <c r="I2426" s="15" t="n"/>
      <c r="J2426" s="26">
        <f>IF($A2426="","",LEN($C2426)-LEN(SUBSTITUTE($C2426,",",""))+1)</f>
        <v/>
      </c>
      <c r="K2426" s="26">
        <f>IF($A2426="","",SUMPRODUCT(--ISNUMBER(SEARCH('Category Dictionary'!$D$5:$D$135&amp;"",$C2426)),--('Category Dictionary'!$D$5:$D$135&lt;&gt;"")))</f>
        <v/>
      </c>
      <c r="L2426" s="27">
        <f>IF($A2426="","",TRIM(IF(ISERROR(FIND(",",$C2426)),$C2426,LEFT($C2426,FIND(",",$C2426)-1))))</f>
        <v/>
      </c>
      <c r="M2426" s="28">
        <f>IF($H2426="","",DATE(YEAR($H2426),MONTH($H2426),1))</f>
        <v/>
      </c>
      <c r="N2426" s="26">
        <f>IF($H2426="","",TODAY()-$H2426)</f>
        <v/>
      </c>
      <c r="O2426" s="15" t="n"/>
      <c r="P2426" s="26">
        <f>IF($A2426="","",COUNTIFS('Audit Versions'!$A$6:$A$605,$A2426,'Audit Versions'!$L$6:$L$605,"Active"))</f>
        <v/>
      </c>
      <c r="Q2426" s="15" t="n"/>
      <c r="R2426" s="26">
        <f>IF(OR($A2426="",$P2426=0),"",MOD(N($Q2426),$P2426)+1)</f>
        <v/>
      </c>
      <c r="S2426" s="15" t="n"/>
      <c r="T2426" s="25" t="n"/>
      <c r="U2426" s="26">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Builder'!$B$12="",N($S2426)&lt;='Assignment Builder'!$B$12)))</f>
        <v/>
      </c>
      <c r="V2426" s="23" t="n"/>
    </row>
    <row r="2427">
      <c r="A2427" s="23" t="n"/>
      <c r="B2427" s="23" t="n"/>
      <c r="C2427" s="24" t="n"/>
      <c r="D2427" s="15" t="n"/>
      <c r="E2427" s="23" t="n"/>
      <c r="F2427" s="15" t="n"/>
      <c r="G2427" s="23" t="n"/>
      <c r="H2427" s="25" t="n"/>
      <c r="I2427" s="15" t="n"/>
      <c r="J2427" s="26">
        <f>IF($A2427="","",LEN($C2427)-LEN(SUBSTITUTE($C2427,",",""))+1)</f>
        <v/>
      </c>
      <c r="K2427" s="26">
        <f>IF($A2427="","",SUMPRODUCT(--ISNUMBER(SEARCH('Category Dictionary'!$D$5:$D$135&amp;"",$C2427)),--('Category Dictionary'!$D$5:$D$135&lt;&gt;"")))</f>
        <v/>
      </c>
      <c r="L2427" s="27">
        <f>IF($A2427="","",TRIM(IF(ISERROR(FIND(",",$C2427)),$C2427,LEFT($C2427,FIND(",",$C2427)-1))))</f>
        <v/>
      </c>
      <c r="M2427" s="28">
        <f>IF($H2427="","",DATE(YEAR($H2427),MONTH($H2427),1))</f>
        <v/>
      </c>
      <c r="N2427" s="26">
        <f>IF($H2427="","",TODAY()-$H2427)</f>
        <v/>
      </c>
      <c r="O2427" s="15" t="n"/>
      <c r="P2427" s="26">
        <f>IF($A2427="","",COUNTIFS('Audit Versions'!$A$6:$A$605,$A2427,'Audit Versions'!$L$6:$L$605,"Active"))</f>
        <v/>
      </c>
      <c r="Q2427" s="15" t="n"/>
      <c r="R2427" s="26">
        <f>IF(OR($A2427="",$P2427=0),"",MOD(N($Q2427),$P2427)+1)</f>
        <v/>
      </c>
      <c r="S2427" s="15" t="n"/>
      <c r="T2427" s="25" t="n"/>
      <c r="U2427" s="26">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Builder'!$B$12="",N($S2427)&lt;='Assignment Builder'!$B$12)))</f>
        <v/>
      </c>
      <c r="V2427" s="23" t="n"/>
    </row>
    <row r="2428">
      <c r="A2428" s="23" t="n"/>
      <c r="B2428" s="23" t="n"/>
      <c r="C2428" s="24" t="n"/>
      <c r="D2428" s="15" t="n"/>
      <c r="E2428" s="23" t="n"/>
      <c r="F2428" s="15" t="n"/>
      <c r="G2428" s="23" t="n"/>
      <c r="H2428" s="25" t="n"/>
      <c r="I2428" s="15" t="n"/>
      <c r="J2428" s="26">
        <f>IF($A2428="","",LEN($C2428)-LEN(SUBSTITUTE($C2428,",",""))+1)</f>
        <v/>
      </c>
      <c r="K2428" s="26">
        <f>IF($A2428="","",SUMPRODUCT(--ISNUMBER(SEARCH('Category Dictionary'!$D$5:$D$135&amp;"",$C2428)),--('Category Dictionary'!$D$5:$D$135&lt;&gt;"")))</f>
        <v/>
      </c>
      <c r="L2428" s="27">
        <f>IF($A2428="","",TRIM(IF(ISERROR(FIND(",",$C2428)),$C2428,LEFT($C2428,FIND(",",$C2428)-1))))</f>
        <v/>
      </c>
      <c r="M2428" s="28">
        <f>IF($H2428="","",DATE(YEAR($H2428),MONTH($H2428),1))</f>
        <v/>
      </c>
      <c r="N2428" s="26">
        <f>IF($H2428="","",TODAY()-$H2428)</f>
        <v/>
      </c>
      <c r="O2428" s="15" t="n"/>
      <c r="P2428" s="26">
        <f>IF($A2428="","",COUNTIFS('Audit Versions'!$A$6:$A$605,$A2428,'Audit Versions'!$L$6:$L$605,"Active"))</f>
        <v/>
      </c>
      <c r="Q2428" s="15" t="n"/>
      <c r="R2428" s="26">
        <f>IF(OR($A2428="",$P2428=0),"",MOD(N($Q2428),$P2428)+1)</f>
        <v/>
      </c>
      <c r="S2428" s="15" t="n"/>
      <c r="T2428" s="25" t="n"/>
      <c r="U2428" s="26">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Builder'!$B$12="",N($S2428)&lt;='Assignment Builder'!$B$12)))</f>
        <v/>
      </c>
      <c r="V2428" s="23" t="n"/>
    </row>
    <row r="2429">
      <c r="A2429" s="23" t="n"/>
      <c r="B2429" s="23" t="n"/>
      <c r="C2429" s="24" t="n"/>
      <c r="D2429" s="15" t="n"/>
      <c r="E2429" s="23" t="n"/>
      <c r="F2429" s="15" t="n"/>
      <c r="G2429" s="23" t="n"/>
      <c r="H2429" s="25" t="n"/>
      <c r="I2429" s="15" t="n"/>
      <c r="J2429" s="26">
        <f>IF($A2429="","",LEN($C2429)-LEN(SUBSTITUTE($C2429,",",""))+1)</f>
        <v/>
      </c>
      <c r="K2429" s="26">
        <f>IF($A2429="","",SUMPRODUCT(--ISNUMBER(SEARCH('Category Dictionary'!$D$5:$D$135&amp;"",$C2429)),--('Category Dictionary'!$D$5:$D$135&lt;&gt;"")))</f>
        <v/>
      </c>
      <c r="L2429" s="27">
        <f>IF($A2429="","",TRIM(IF(ISERROR(FIND(",",$C2429)),$C2429,LEFT($C2429,FIND(",",$C2429)-1))))</f>
        <v/>
      </c>
      <c r="M2429" s="28">
        <f>IF($H2429="","",DATE(YEAR($H2429),MONTH($H2429),1))</f>
        <v/>
      </c>
      <c r="N2429" s="26">
        <f>IF($H2429="","",TODAY()-$H2429)</f>
        <v/>
      </c>
      <c r="O2429" s="15" t="n"/>
      <c r="P2429" s="26">
        <f>IF($A2429="","",COUNTIFS('Audit Versions'!$A$6:$A$605,$A2429,'Audit Versions'!$L$6:$L$605,"Active"))</f>
        <v/>
      </c>
      <c r="Q2429" s="15" t="n"/>
      <c r="R2429" s="26">
        <f>IF(OR($A2429="",$P2429=0),"",MOD(N($Q2429),$P2429)+1)</f>
        <v/>
      </c>
      <c r="S2429" s="15" t="n"/>
      <c r="T2429" s="25" t="n"/>
      <c r="U2429" s="26">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Builder'!$B$12="",N($S2429)&lt;='Assignment Builder'!$B$12)))</f>
        <v/>
      </c>
      <c r="V2429" s="23" t="n"/>
    </row>
    <row r="2430">
      <c r="A2430" s="23" t="n"/>
      <c r="B2430" s="23" t="n"/>
      <c r="C2430" s="24" t="n"/>
      <c r="D2430" s="15" t="n"/>
      <c r="E2430" s="23" t="n"/>
      <c r="F2430" s="15" t="n"/>
      <c r="G2430" s="23" t="n"/>
      <c r="H2430" s="25" t="n"/>
      <c r="I2430" s="15" t="n"/>
      <c r="J2430" s="26">
        <f>IF($A2430="","",LEN($C2430)-LEN(SUBSTITUTE($C2430,",",""))+1)</f>
        <v/>
      </c>
      <c r="K2430" s="26">
        <f>IF($A2430="","",SUMPRODUCT(--ISNUMBER(SEARCH('Category Dictionary'!$D$5:$D$135&amp;"",$C2430)),--('Category Dictionary'!$D$5:$D$135&lt;&gt;"")))</f>
        <v/>
      </c>
      <c r="L2430" s="27">
        <f>IF($A2430="","",TRIM(IF(ISERROR(FIND(",",$C2430)),$C2430,LEFT($C2430,FIND(",",$C2430)-1))))</f>
        <v/>
      </c>
      <c r="M2430" s="28">
        <f>IF($H2430="","",DATE(YEAR($H2430),MONTH($H2430),1))</f>
        <v/>
      </c>
      <c r="N2430" s="26">
        <f>IF($H2430="","",TODAY()-$H2430)</f>
        <v/>
      </c>
      <c r="O2430" s="15" t="n"/>
      <c r="P2430" s="26">
        <f>IF($A2430="","",COUNTIFS('Audit Versions'!$A$6:$A$605,$A2430,'Audit Versions'!$L$6:$L$605,"Active"))</f>
        <v/>
      </c>
      <c r="Q2430" s="15" t="n"/>
      <c r="R2430" s="26">
        <f>IF(OR($A2430="",$P2430=0),"",MOD(N($Q2430),$P2430)+1)</f>
        <v/>
      </c>
      <c r="S2430" s="15" t="n"/>
      <c r="T2430" s="25" t="n"/>
      <c r="U2430" s="26">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Builder'!$B$12="",N($S2430)&lt;='Assignment Builder'!$B$12)))</f>
        <v/>
      </c>
      <c r="V2430" s="23" t="n"/>
    </row>
    <row r="2431">
      <c r="A2431" s="23" t="n"/>
      <c r="B2431" s="23" t="n"/>
      <c r="C2431" s="24" t="n"/>
      <c r="D2431" s="15" t="n"/>
      <c r="E2431" s="23" t="n"/>
      <c r="F2431" s="15" t="n"/>
      <c r="G2431" s="23" t="n"/>
      <c r="H2431" s="25" t="n"/>
      <c r="I2431" s="15" t="n"/>
      <c r="J2431" s="26">
        <f>IF($A2431="","",LEN($C2431)-LEN(SUBSTITUTE($C2431,",",""))+1)</f>
        <v/>
      </c>
      <c r="K2431" s="26">
        <f>IF($A2431="","",SUMPRODUCT(--ISNUMBER(SEARCH('Category Dictionary'!$D$5:$D$135&amp;"",$C2431)),--('Category Dictionary'!$D$5:$D$135&lt;&gt;"")))</f>
        <v/>
      </c>
      <c r="L2431" s="27">
        <f>IF($A2431="","",TRIM(IF(ISERROR(FIND(",",$C2431)),$C2431,LEFT($C2431,FIND(",",$C2431)-1))))</f>
        <v/>
      </c>
      <c r="M2431" s="28">
        <f>IF($H2431="","",DATE(YEAR($H2431),MONTH($H2431),1))</f>
        <v/>
      </c>
      <c r="N2431" s="26">
        <f>IF($H2431="","",TODAY()-$H2431)</f>
        <v/>
      </c>
      <c r="O2431" s="15" t="n"/>
      <c r="P2431" s="26">
        <f>IF($A2431="","",COUNTIFS('Audit Versions'!$A$6:$A$605,$A2431,'Audit Versions'!$L$6:$L$605,"Active"))</f>
        <v/>
      </c>
      <c r="Q2431" s="15" t="n"/>
      <c r="R2431" s="26">
        <f>IF(OR($A2431="",$P2431=0),"",MOD(N($Q2431),$P2431)+1)</f>
        <v/>
      </c>
      <c r="S2431" s="15" t="n"/>
      <c r="T2431" s="25" t="n"/>
      <c r="U2431" s="26">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Builder'!$B$12="",N($S2431)&lt;='Assignment Builder'!$B$12)))</f>
        <v/>
      </c>
      <c r="V2431" s="23" t="n"/>
    </row>
    <row r="2432">
      <c r="A2432" s="23" t="n"/>
      <c r="B2432" s="23" t="n"/>
      <c r="C2432" s="24" t="n"/>
      <c r="D2432" s="15" t="n"/>
      <c r="E2432" s="23" t="n"/>
      <c r="F2432" s="15" t="n"/>
      <c r="G2432" s="23" t="n"/>
      <c r="H2432" s="25" t="n"/>
      <c r="I2432" s="15" t="n"/>
      <c r="J2432" s="26">
        <f>IF($A2432="","",LEN($C2432)-LEN(SUBSTITUTE($C2432,",",""))+1)</f>
        <v/>
      </c>
      <c r="K2432" s="26">
        <f>IF($A2432="","",SUMPRODUCT(--ISNUMBER(SEARCH('Category Dictionary'!$D$5:$D$135&amp;"",$C2432)),--('Category Dictionary'!$D$5:$D$135&lt;&gt;"")))</f>
        <v/>
      </c>
      <c r="L2432" s="27">
        <f>IF($A2432="","",TRIM(IF(ISERROR(FIND(",",$C2432)),$C2432,LEFT($C2432,FIND(",",$C2432)-1))))</f>
        <v/>
      </c>
      <c r="M2432" s="28">
        <f>IF($H2432="","",DATE(YEAR($H2432),MONTH($H2432),1))</f>
        <v/>
      </c>
      <c r="N2432" s="26">
        <f>IF($H2432="","",TODAY()-$H2432)</f>
        <v/>
      </c>
      <c r="O2432" s="15" t="n"/>
      <c r="P2432" s="26">
        <f>IF($A2432="","",COUNTIFS('Audit Versions'!$A$6:$A$605,$A2432,'Audit Versions'!$L$6:$L$605,"Active"))</f>
        <v/>
      </c>
      <c r="Q2432" s="15" t="n"/>
      <c r="R2432" s="26">
        <f>IF(OR($A2432="",$P2432=0),"",MOD(N($Q2432),$P2432)+1)</f>
        <v/>
      </c>
      <c r="S2432" s="15" t="n"/>
      <c r="T2432" s="25" t="n"/>
      <c r="U2432" s="26">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Builder'!$B$12="",N($S2432)&lt;='Assignment Builder'!$B$12)))</f>
        <v/>
      </c>
      <c r="V2432" s="23" t="n"/>
    </row>
    <row r="2433">
      <c r="A2433" s="23" t="n"/>
      <c r="B2433" s="23" t="n"/>
      <c r="C2433" s="24" t="n"/>
      <c r="D2433" s="15" t="n"/>
      <c r="E2433" s="23" t="n"/>
      <c r="F2433" s="15" t="n"/>
      <c r="G2433" s="23" t="n"/>
      <c r="H2433" s="25" t="n"/>
      <c r="I2433" s="15" t="n"/>
      <c r="J2433" s="26">
        <f>IF($A2433="","",LEN($C2433)-LEN(SUBSTITUTE($C2433,",",""))+1)</f>
        <v/>
      </c>
      <c r="K2433" s="26">
        <f>IF($A2433="","",SUMPRODUCT(--ISNUMBER(SEARCH('Category Dictionary'!$D$5:$D$135&amp;"",$C2433)),--('Category Dictionary'!$D$5:$D$135&lt;&gt;"")))</f>
        <v/>
      </c>
      <c r="L2433" s="27">
        <f>IF($A2433="","",TRIM(IF(ISERROR(FIND(",",$C2433)),$C2433,LEFT($C2433,FIND(",",$C2433)-1))))</f>
        <v/>
      </c>
      <c r="M2433" s="28">
        <f>IF($H2433="","",DATE(YEAR($H2433),MONTH($H2433),1))</f>
        <v/>
      </c>
      <c r="N2433" s="26">
        <f>IF($H2433="","",TODAY()-$H2433)</f>
        <v/>
      </c>
      <c r="O2433" s="15" t="n"/>
      <c r="P2433" s="26">
        <f>IF($A2433="","",COUNTIFS('Audit Versions'!$A$6:$A$605,$A2433,'Audit Versions'!$L$6:$L$605,"Active"))</f>
        <v/>
      </c>
      <c r="Q2433" s="15" t="n"/>
      <c r="R2433" s="26">
        <f>IF(OR($A2433="",$P2433=0),"",MOD(N($Q2433),$P2433)+1)</f>
        <v/>
      </c>
      <c r="S2433" s="15" t="n"/>
      <c r="T2433" s="25" t="n"/>
      <c r="U2433" s="26">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Builder'!$B$12="",N($S2433)&lt;='Assignment Builder'!$B$12)))</f>
        <v/>
      </c>
      <c r="V2433" s="23" t="n"/>
    </row>
    <row r="2434">
      <c r="A2434" s="23" t="n"/>
      <c r="B2434" s="23" t="n"/>
      <c r="C2434" s="24" t="n"/>
      <c r="D2434" s="15" t="n"/>
      <c r="E2434" s="23" t="n"/>
      <c r="F2434" s="15" t="n"/>
      <c r="G2434" s="23" t="n"/>
      <c r="H2434" s="25" t="n"/>
      <c r="I2434" s="15" t="n"/>
      <c r="J2434" s="26">
        <f>IF($A2434="","",LEN($C2434)-LEN(SUBSTITUTE($C2434,",",""))+1)</f>
        <v/>
      </c>
      <c r="K2434" s="26">
        <f>IF($A2434="","",SUMPRODUCT(--ISNUMBER(SEARCH('Category Dictionary'!$D$5:$D$135&amp;"",$C2434)),--('Category Dictionary'!$D$5:$D$135&lt;&gt;"")))</f>
        <v/>
      </c>
      <c r="L2434" s="27">
        <f>IF($A2434="","",TRIM(IF(ISERROR(FIND(",",$C2434)),$C2434,LEFT($C2434,FIND(",",$C2434)-1))))</f>
        <v/>
      </c>
      <c r="M2434" s="28">
        <f>IF($H2434="","",DATE(YEAR($H2434),MONTH($H2434),1))</f>
        <v/>
      </c>
      <c r="N2434" s="26">
        <f>IF($H2434="","",TODAY()-$H2434)</f>
        <v/>
      </c>
      <c r="O2434" s="15" t="n"/>
      <c r="P2434" s="26">
        <f>IF($A2434="","",COUNTIFS('Audit Versions'!$A$6:$A$605,$A2434,'Audit Versions'!$L$6:$L$605,"Active"))</f>
        <v/>
      </c>
      <c r="Q2434" s="15" t="n"/>
      <c r="R2434" s="26">
        <f>IF(OR($A2434="",$P2434=0),"",MOD(N($Q2434),$P2434)+1)</f>
        <v/>
      </c>
      <c r="S2434" s="15" t="n"/>
      <c r="T2434" s="25" t="n"/>
      <c r="U2434" s="26">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Builder'!$B$12="",N($S2434)&lt;='Assignment Builder'!$B$12)))</f>
        <v/>
      </c>
      <c r="V2434" s="23" t="n"/>
    </row>
    <row r="2435">
      <c r="A2435" s="23" t="n"/>
      <c r="B2435" s="23" t="n"/>
      <c r="C2435" s="24" t="n"/>
      <c r="D2435" s="15" t="n"/>
      <c r="E2435" s="23" t="n"/>
      <c r="F2435" s="15" t="n"/>
      <c r="G2435" s="23" t="n"/>
      <c r="H2435" s="25" t="n"/>
      <c r="I2435" s="15" t="n"/>
      <c r="J2435" s="26">
        <f>IF($A2435="","",LEN($C2435)-LEN(SUBSTITUTE($C2435,",",""))+1)</f>
        <v/>
      </c>
      <c r="K2435" s="26">
        <f>IF($A2435="","",SUMPRODUCT(--ISNUMBER(SEARCH('Category Dictionary'!$D$5:$D$135&amp;"",$C2435)),--('Category Dictionary'!$D$5:$D$135&lt;&gt;"")))</f>
        <v/>
      </c>
      <c r="L2435" s="27">
        <f>IF($A2435="","",TRIM(IF(ISERROR(FIND(",",$C2435)),$C2435,LEFT($C2435,FIND(",",$C2435)-1))))</f>
        <v/>
      </c>
      <c r="M2435" s="28">
        <f>IF($H2435="","",DATE(YEAR($H2435),MONTH($H2435),1))</f>
        <v/>
      </c>
      <c r="N2435" s="26">
        <f>IF($H2435="","",TODAY()-$H2435)</f>
        <v/>
      </c>
      <c r="O2435" s="15" t="n"/>
      <c r="P2435" s="26">
        <f>IF($A2435="","",COUNTIFS('Audit Versions'!$A$6:$A$605,$A2435,'Audit Versions'!$L$6:$L$605,"Active"))</f>
        <v/>
      </c>
      <c r="Q2435" s="15" t="n"/>
      <c r="R2435" s="26">
        <f>IF(OR($A2435="",$P2435=0),"",MOD(N($Q2435),$P2435)+1)</f>
        <v/>
      </c>
      <c r="S2435" s="15" t="n"/>
      <c r="T2435" s="25" t="n"/>
      <c r="U2435" s="26">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Builder'!$B$12="",N($S2435)&lt;='Assignment Builder'!$B$12)))</f>
        <v/>
      </c>
      <c r="V2435" s="23" t="n"/>
    </row>
    <row r="2436">
      <c r="A2436" s="23" t="n"/>
      <c r="B2436" s="23" t="n"/>
      <c r="C2436" s="24" t="n"/>
      <c r="D2436" s="15" t="n"/>
      <c r="E2436" s="23" t="n"/>
      <c r="F2436" s="15" t="n"/>
      <c r="G2436" s="23" t="n"/>
      <c r="H2436" s="25" t="n"/>
      <c r="I2436" s="15" t="n"/>
      <c r="J2436" s="26">
        <f>IF($A2436="","",LEN($C2436)-LEN(SUBSTITUTE($C2436,",",""))+1)</f>
        <v/>
      </c>
      <c r="K2436" s="26">
        <f>IF($A2436="","",SUMPRODUCT(--ISNUMBER(SEARCH('Category Dictionary'!$D$5:$D$135&amp;"",$C2436)),--('Category Dictionary'!$D$5:$D$135&lt;&gt;"")))</f>
        <v/>
      </c>
      <c r="L2436" s="27">
        <f>IF($A2436="","",TRIM(IF(ISERROR(FIND(",",$C2436)),$C2436,LEFT($C2436,FIND(",",$C2436)-1))))</f>
        <v/>
      </c>
      <c r="M2436" s="28">
        <f>IF($H2436="","",DATE(YEAR($H2436),MONTH($H2436),1))</f>
        <v/>
      </c>
      <c r="N2436" s="26">
        <f>IF($H2436="","",TODAY()-$H2436)</f>
        <v/>
      </c>
      <c r="O2436" s="15" t="n"/>
      <c r="P2436" s="26">
        <f>IF($A2436="","",COUNTIFS('Audit Versions'!$A$6:$A$605,$A2436,'Audit Versions'!$L$6:$L$605,"Active"))</f>
        <v/>
      </c>
      <c r="Q2436" s="15" t="n"/>
      <c r="R2436" s="26">
        <f>IF(OR($A2436="",$P2436=0),"",MOD(N($Q2436),$P2436)+1)</f>
        <v/>
      </c>
      <c r="S2436" s="15" t="n"/>
      <c r="T2436" s="25" t="n"/>
      <c r="U2436" s="26">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Builder'!$B$12="",N($S2436)&lt;='Assignment Builder'!$B$12)))</f>
        <v/>
      </c>
      <c r="V2436" s="23" t="n"/>
    </row>
    <row r="2437">
      <c r="A2437" s="23" t="n"/>
      <c r="B2437" s="23" t="n"/>
      <c r="C2437" s="24" t="n"/>
      <c r="D2437" s="15" t="n"/>
      <c r="E2437" s="23" t="n"/>
      <c r="F2437" s="15" t="n"/>
      <c r="G2437" s="23" t="n"/>
      <c r="H2437" s="25" t="n"/>
      <c r="I2437" s="15" t="n"/>
      <c r="J2437" s="26">
        <f>IF($A2437="","",LEN($C2437)-LEN(SUBSTITUTE($C2437,",",""))+1)</f>
        <v/>
      </c>
      <c r="K2437" s="26">
        <f>IF($A2437="","",SUMPRODUCT(--ISNUMBER(SEARCH('Category Dictionary'!$D$5:$D$135&amp;"",$C2437)),--('Category Dictionary'!$D$5:$D$135&lt;&gt;"")))</f>
        <v/>
      </c>
      <c r="L2437" s="27">
        <f>IF($A2437="","",TRIM(IF(ISERROR(FIND(",",$C2437)),$C2437,LEFT($C2437,FIND(",",$C2437)-1))))</f>
        <v/>
      </c>
      <c r="M2437" s="28">
        <f>IF($H2437="","",DATE(YEAR($H2437),MONTH($H2437),1))</f>
        <v/>
      </c>
      <c r="N2437" s="26">
        <f>IF($H2437="","",TODAY()-$H2437)</f>
        <v/>
      </c>
      <c r="O2437" s="15" t="n"/>
      <c r="P2437" s="26">
        <f>IF($A2437="","",COUNTIFS('Audit Versions'!$A$6:$A$605,$A2437,'Audit Versions'!$L$6:$L$605,"Active"))</f>
        <v/>
      </c>
      <c r="Q2437" s="15" t="n"/>
      <c r="R2437" s="26">
        <f>IF(OR($A2437="",$P2437=0),"",MOD(N($Q2437),$P2437)+1)</f>
        <v/>
      </c>
      <c r="S2437" s="15" t="n"/>
      <c r="T2437" s="25" t="n"/>
      <c r="U2437" s="26">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Builder'!$B$12="",N($S2437)&lt;='Assignment Builder'!$B$12)))</f>
        <v/>
      </c>
      <c r="V2437" s="23" t="n"/>
    </row>
    <row r="2438">
      <c r="A2438" s="23" t="n"/>
      <c r="B2438" s="23" t="n"/>
      <c r="C2438" s="24" t="n"/>
      <c r="D2438" s="15" t="n"/>
      <c r="E2438" s="23" t="n"/>
      <c r="F2438" s="15" t="n"/>
      <c r="G2438" s="23" t="n"/>
      <c r="H2438" s="25" t="n"/>
      <c r="I2438" s="15" t="n"/>
      <c r="J2438" s="26">
        <f>IF($A2438="","",LEN($C2438)-LEN(SUBSTITUTE($C2438,",",""))+1)</f>
        <v/>
      </c>
      <c r="K2438" s="26">
        <f>IF($A2438="","",SUMPRODUCT(--ISNUMBER(SEARCH('Category Dictionary'!$D$5:$D$135&amp;"",$C2438)),--('Category Dictionary'!$D$5:$D$135&lt;&gt;"")))</f>
        <v/>
      </c>
      <c r="L2438" s="27">
        <f>IF($A2438="","",TRIM(IF(ISERROR(FIND(",",$C2438)),$C2438,LEFT($C2438,FIND(",",$C2438)-1))))</f>
        <v/>
      </c>
      <c r="M2438" s="28">
        <f>IF($H2438="","",DATE(YEAR($H2438),MONTH($H2438),1))</f>
        <v/>
      </c>
      <c r="N2438" s="26">
        <f>IF($H2438="","",TODAY()-$H2438)</f>
        <v/>
      </c>
      <c r="O2438" s="15" t="n"/>
      <c r="P2438" s="26">
        <f>IF($A2438="","",COUNTIFS('Audit Versions'!$A$6:$A$605,$A2438,'Audit Versions'!$L$6:$L$605,"Active"))</f>
        <v/>
      </c>
      <c r="Q2438" s="15" t="n"/>
      <c r="R2438" s="26">
        <f>IF(OR($A2438="",$P2438=0),"",MOD(N($Q2438),$P2438)+1)</f>
        <v/>
      </c>
      <c r="S2438" s="15" t="n"/>
      <c r="T2438" s="25" t="n"/>
      <c r="U2438" s="26">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Builder'!$B$12="",N($S2438)&lt;='Assignment Builder'!$B$12)))</f>
        <v/>
      </c>
      <c r="V2438" s="23" t="n"/>
    </row>
    <row r="2439">
      <c r="A2439" s="23" t="n"/>
      <c r="B2439" s="23" t="n"/>
      <c r="C2439" s="24" t="n"/>
      <c r="D2439" s="15" t="n"/>
      <c r="E2439" s="23" t="n"/>
      <c r="F2439" s="15" t="n"/>
      <c r="G2439" s="23" t="n"/>
      <c r="H2439" s="25" t="n"/>
      <c r="I2439" s="15" t="n"/>
      <c r="J2439" s="26">
        <f>IF($A2439="","",LEN($C2439)-LEN(SUBSTITUTE($C2439,",",""))+1)</f>
        <v/>
      </c>
      <c r="K2439" s="26">
        <f>IF($A2439="","",SUMPRODUCT(--ISNUMBER(SEARCH('Category Dictionary'!$D$5:$D$135&amp;"",$C2439)),--('Category Dictionary'!$D$5:$D$135&lt;&gt;"")))</f>
        <v/>
      </c>
      <c r="L2439" s="27">
        <f>IF($A2439="","",TRIM(IF(ISERROR(FIND(",",$C2439)),$C2439,LEFT($C2439,FIND(",",$C2439)-1))))</f>
        <v/>
      </c>
      <c r="M2439" s="28">
        <f>IF($H2439="","",DATE(YEAR($H2439),MONTH($H2439),1))</f>
        <v/>
      </c>
      <c r="N2439" s="26">
        <f>IF($H2439="","",TODAY()-$H2439)</f>
        <v/>
      </c>
      <c r="O2439" s="15" t="n"/>
      <c r="P2439" s="26">
        <f>IF($A2439="","",COUNTIFS('Audit Versions'!$A$6:$A$605,$A2439,'Audit Versions'!$L$6:$L$605,"Active"))</f>
        <v/>
      </c>
      <c r="Q2439" s="15" t="n"/>
      <c r="R2439" s="26">
        <f>IF(OR($A2439="",$P2439=0),"",MOD(N($Q2439),$P2439)+1)</f>
        <v/>
      </c>
      <c r="S2439" s="15" t="n"/>
      <c r="T2439" s="25" t="n"/>
      <c r="U2439" s="26">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Builder'!$B$12="",N($S2439)&lt;='Assignment Builder'!$B$12)))</f>
        <v/>
      </c>
      <c r="V2439" s="23" t="n"/>
    </row>
    <row r="2440">
      <c r="A2440" s="23" t="n"/>
      <c r="B2440" s="23" t="n"/>
      <c r="C2440" s="24" t="n"/>
      <c r="D2440" s="15" t="n"/>
      <c r="E2440" s="23" t="n"/>
      <c r="F2440" s="15" t="n"/>
      <c r="G2440" s="23" t="n"/>
      <c r="H2440" s="25" t="n"/>
      <c r="I2440" s="15" t="n"/>
      <c r="J2440" s="26">
        <f>IF($A2440="","",LEN($C2440)-LEN(SUBSTITUTE($C2440,",",""))+1)</f>
        <v/>
      </c>
      <c r="K2440" s="26">
        <f>IF($A2440="","",SUMPRODUCT(--ISNUMBER(SEARCH('Category Dictionary'!$D$5:$D$135&amp;"",$C2440)),--('Category Dictionary'!$D$5:$D$135&lt;&gt;"")))</f>
        <v/>
      </c>
      <c r="L2440" s="27">
        <f>IF($A2440="","",TRIM(IF(ISERROR(FIND(",",$C2440)),$C2440,LEFT($C2440,FIND(",",$C2440)-1))))</f>
        <v/>
      </c>
      <c r="M2440" s="28">
        <f>IF($H2440="","",DATE(YEAR($H2440),MONTH($H2440),1))</f>
        <v/>
      </c>
      <c r="N2440" s="26">
        <f>IF($H2440="","",TODAY()-$H2440)</f>
        <v/>
      </c>
      <c r="O2440" s="15" t="n"/>
      <c r="P2440" s="26">
        <f>IF($A2440="","",COUNTIFS('Audit Versions'!$A$6:$A$605,$A2440,'Audit Versions'!$L$6:$L$605,"Active"))</f>
        <v/>
      </c>
      <c r="Q2440" s="15" t="n"/>
      <c r="R2440" s="26">
        <f>IF(OR($A2440="",$P2440=0),"",MOD(N($Q2440),$P2440)+1)</f>
        <v/>
      </c>
      <c r="S2440" s="15" t="n"/>
      <c r="T2440" s="25" t="n"/>
      <c r="U2440" s="26">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Builder'!$B$12="",N($S2440)&lt;='Assignment Builder'!$B$12)))</f>
        <v/>
      </c>
      <c r="V2440" s="23" t="n"/>
    </row>
    <row r="2441">
      <c r="A2441" s="23" t="n"/>
      <c r="B2441" s="23" t="n"/>
      <c r="C2441" s="24" t="n"/>
      <c r="D2441" s="15" t="n"/>
      <c r="E2441" s="23" t="n"/>
      <c r="F2441" s="15" t="n"/>
      <c r="G2441" s="23" t="n"/>
      <c r="H2441" s="25" t="n"/>
      <c r="I2441" s="15" t="n"/>
      <c r="J2441" s="26">
        <f>IF($A2441="","",LEN($C2441)-LEN(SUBSTITUTE($C2441,",",""))+1)</f>
        <v/>
      </c>
      <c r="K2441" s="26">
        <f>IF($A2441="","",SUMPRODUCT(--ISNUMBER(SEARCH('Category Dictionary'!$D$5:$D$135&amp;"",$C2441)),--('Category Dictionary'!$D$5:$D$135&lt;&gt;"")))</f>
        <v/>
      </c>
      <c r="L2441" s="27">
        <f>IF($A2441="","",TRIM(IF(ISERROR(FIND(",",$C2441)),$C2441,LEFT($C2441,FIND(",",$C2441)-1))))</f>
        <v/>
      </c>
      <c r="M2441" s="28">
        <f>IF($H2441="","",DATE(YEAR($H2441),MONTH($H2441),1))</f>
        <v/>
      </c>
      <c r="N2441" s="26">
        <f>IF($H2441="","",TODAY()-$H2441)</f>
        <v/>
      </c>
      <c r="O2441" s="15" t="n"/>
      <c r="P2441" s="26">
        <f>IF($A2441="","",COUNTIFS('Audit Versions'!$A$6:$A$605,$A2441,'Audit Versions'!$L$6:$L$605,"Active"))</f>
        <v/>
      </c>
      <c r="Q2441" s="15" t="n"/>
      <c r="R2441" s="26">
        <f>IF(OR($A2441="",$P2441=0),"",MOD(N($Q2441),$P2441)+1)</f>
        <v/>
      </c>
      <c r="S2441" s="15" t="n"/>
      <c r="T2441" s="25" t="n"/>
      <c r="U2441" s="26">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Builder'!$B$12="",N($S2441)&lt;='Assignment Builder'!$B$12)))</f>
        <v/>
      </c>
      <c r="V2441" s="23" t="n"/>
    </row>
    <row r="2442">
      <c r="A2442" s="23" t="n"/>
      <c r="B2442" s="23" t="n"/>
      <c r="C2442" s="24" t="n"/>
      <c r="D2442" s="15" t="n"/>
      <c r="E2442" s="23" t="n"/>
      <c r="F2442" s="15" t="n"/>
      <c r="G2442" s="23" t="n"/>
      <c r="H2442" s="25" t="n"/>
      <c r="I2442" s="15" t="n"/>
      <c r="J2442" s="26">
        <f>IF($A2442="","",LEN($C2442)-LEN(SUBSTITUTE($C2442,",",""))+1)</f>
        <v/>
      </c>
      <c r="K2442" s="26">
        <f>IF($A2442="","",SUMPRODUCT(--ISNUMBER(SEARCH('Category Dictionary'!$D$5:$D$135&amp;"",$C2442)),--('Category Dictionary'!$D$5:$D$135&lt;&gt;"")))</f>
        <v/>
      </c>
      <c r="L2442" s="27">
        <f>IF($A2442="","",TRIM(IF(ISERROR(FIND(",",$C2442)),$C2442,LEFT($C2442,FIND(",",$C2442)-1))))</f>
        <v/>
      </c>
      <c r="M2442" s="28">
        <f>IF($H2442="","",DATE(YEAR($H2442),MONTH($H2442),1))</f>
        <v/>
      </c>
      <c r="N2442" s="26">
        <f>IF($H2442="","",TODAY()-$H2442)</f>
        <v/>
      </c>
      <c r="O2442" s="15" t="n"/>
      <c r="P2442" s="26">
        <f>IF($A2442="","",COUNTIFS('Audit Versions'!$A$6:$A$605,$A2442,'Audit Versions'!$L$6:$L$605,"Active"))</f>
        <v/>
      </c>
      <c r="Q2442" s="15" t="n"/>
      <c r="R2442" s="26">
        <f>IF(OR($A2442="",$P2442=0),"",MOD(N($Q2442),$P2442)+1)</f>
        <v/>
      </c>
      <c r="S2442" s="15" t="n"/>
      <c r="T2442" s="25" t="n"/>
      <c r="U2442" s="26">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Builder'!$B$12="",N($S2442)&lt;='Assignment Builder'!$B$12)))</f>
        <v/>
      </c>
      <c r="V2442" s="23" t="n"/>
    </row>
    <row r="2443">
      <c r="A2443" s="23" t="n"/>
      <c r="B2443" s="23" t="n"/>
      <c r="C2443" s="24" t="n"/>
      <c r="D2443" s="15" t="n"/>
      <c r="E2443" s="23" t="n"/>
      <c r="F2443" s="15" t="n"/>
      <c r="G2443" s="23" t="n"/>
      <c r="H2443" s="25" t="n"/>
      <c r="I2443" s="15" t="n"/>
      <c r="J2443" s="26">
        <f>IF($A2443="","",LEN($C2443)-LEN(SUBSTITUTE($C2443,",",""))+1)</f>
        <v/>
      </c>
      <c r="K2443" s="26">
        <f>IF($A2443="","",SUMPRODUCT(--ISNUMBER(SEARCH('Category Dictionary'!$D$5:$D$135&amp;"",$C2443)),--('Category Dictionary'!$D$5:$D$135&lt;&gt;"")))</f>
        <v/>
      </c>
      <c r="L2443" s="27">
        <f>IF($A2443="","",TRIM(IF(ISERROR(FIND(",",$C2443)),$C2443,LEFT($C2443,FIND(",",$C2443)-1))))</f>
        <v/>
      </c>
      <c r="M2443" s="28">
        <f>IF($H2443="","",DATE(YEAR($H2443),MONTH($H2443),1))</f>
        <v/>
      </c>
      <c r="N2443" s="26">
        <f>IF($H2443="","",TODAY()-$H2443)</f>
        <v/>
      </c>
      <c r="O2443" s="15" t="n"/>
      <c r="P2443" s="26">
        <f>IF($A2443="","",COUNTIFS('Audit Versions'!$A$6:$A$605,$A2443,'Audit Versions'!$L$6:$L$605,"Active"))</f>
        <v/>
      </c>
      <c r="Q2443" s="15" t="n"/>
      <c r="R2443" s="26">
        <f>IF(OR($A2443="",$P2443=0),"",MOD(N($Q2443),$P2443)+1)</f>
        <v/>
      </c>
      <c r="S2443" s="15" t="n"/>
      <c r="T2443" s="25" t="n"/>
      <c r="U2443" s="26">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Builder'!$B$12="",N($S2443)&lt;='Assignment Builder'!$B$12)))</f>
        <v/>
      </c>
      <c r="V2443" s="23" t="n"/>
    </row>
    <row r="2444">
      <c r="A2444" s="23" t="n"/>
      <c r="B2444" s="23" t="n"/>
      <c r="C2444" s="24" t="n"/>
      <c r="D2444" s="15" t="n"/>
      <c r="E2444" s="23" t="n"/>
      <c r="F2444" s="15" t="n"/>
      <c r="G2444" s="23" t="n"/>
      <c r="H2444" s="25" t="n"/>
      <c r="I2444" s="15" t="n"/>
      <c r="J2444" s="26">
        <f>IF($A2444="","",LEN($C2444)-LEN(SUBSTITUTE($C2444,",",""))+1)</f>
        <v/>
      </c>
      <c r="K2444" s="26">
        <f>IF($A2444="","",SUMPRODUCT(--ISNUMBER(SEARCH('Category Dictionary'!$D$5:$D$135&amp;"",$C2444)),--('Category Dictionary'!$D$5:$D$135&lt;&gt;"")))</f>
        <v/>
      </c>
      <c r="L2444" s="27">
        <f>IF($A2444="","",TRIM(IF(ISERROR(FIND(",",$C2444)),$C2444,LEFT($C2444,FIND(",",$C2444)-1))))</f>
        <v/>
      </c>
      <c r="M2444" s="28">
        <f>IF($H2444="","",DATE(YEAR($H2444),MONTH($H2444),1))</f>
        <v/>
      </c>
      <c r="N2444" s="26">
        <f>IF($H2444="","",TODAY()-$H2444)</f>
        <v/>
      </c>
      <c r="O2444" s="15" t="n"/>
      <c r="P2444" s="26">
        <f>IF($A2444="","",COUNTIFS('Audit Versions'!$A$6:$A$605,$A2444,'Audit Versions'!$L$6:$L$605,"Active"))</f>
        <v/>
      </c>
      <c r="Q2444" s="15" t="n"/>
      <c r="R2444" s="26">
        <f>IF(OR($A2444="",$P2444=0),"",MOD(N($Q2444),$P2444)+1)</f>
        <v/>
      </c>
      <c r="S2444" s="15" t="n"/>
      <c r="T2444" s="25" t="n"/>
      <c r="U2444" s="26">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Builder'!$B$12="",N($S2444)&lt;='Assignment Builder'!$B$12)))</f>
        <v/>
      </c>
      <c r="V2444" s="23" t="n"/>
    </row>
    <row r="2445">
      <c r="A2445" s="23" t="n"/>
      <c r="B2445" s="23" t="n"/>
      <c r="C2445" s="24" t="n"/>
      <c r="D2445" s="15" t="n"/>
      <c r="E2445" s="23" t="n"/>
      <c r="F2445" s="15" t="n"/>
      <c r="G2445" s="23" t="n"/>
      <c r="H2445" s="25" t="n"/>
      <c r="I2445" s="15" t="n"/>
      <c r="J2445" s="26">
        <f>IF($A2445="","",LEN($C2445)-LEN(SUBSTITUTE($C2445,",",""))+1)</f>
        <v/>
      </c>
      <c r="K2445" s="26">
        <f>IF($A2445="","",SUMPRODUCT(--ISNUMBER(SEARCH('Category Dictionary'!$D$5:$D$135&amp;"",$C2445)),--('Category Dictionary'!$D$5:$D$135&lt;&gt;"")))</f>
        <v/>
      </c>
      <c r="L2445" s="27">
        <f>IF($A2445="","",TRIM(IF(ISERROR(FIND(",",$C2445)),$C2445,LEFT($C2445,FIND(",",$C2445)-1))))</f>
        <v/>
      </c>
      <c r="M2445" s="28">
        <f>IF($H2445="","",DATE(YEAR($H2445),MONTH($H2445),1))</f>
        <v/>
      </c>
      <c r="N2445" s="26">
        <f>IF($H2445="","",TODAY()-$H2445)</f>
        <v/>
      </c>
      <c r="O2445" s="15" t="n"/>
      <c r="P2445" s="26">
        <f>IF($A2445="","",COUNTIFS('Audit Versions'!$A$6:$A$605,$A2445,'Audit Versions'!$L$6:$L$605,"Active"))</f>
        <v/>
      </c>
      <c r="Q2445" s="15" t="n"/>
      <c r="R2445" s="26">
        <f>IF(OR($A2445="",$P2445=0),"",MOD(N($Q2445),$P2445)+1)</f>
        <v/>
      </c>
      <c r="S2445" s="15" t="n"/>
      <c r="T2445" s="25" t="n"/>
      <c r="U2445" s="26">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Builder'!$B$12="",N($S2445)&lt;='Assignment Builder'!$B$12)))</f>
        <v/>
      </c>
      <c r="V2445" s="23" t="n"/>
    </row>
    <row r="2446">
      <c r="A2446" s="23" t="n"/>
      <c r="B2446" s="23" t="n"/>
      <c r="C2446" s="24" t="n"/>
      <c r="D2446" s="15" t="n"/>
      <c r="E2446" s="23" t="n"/>
      <c r="F2446" s="15" t="n"/>
      <c r="G2446" s="23" t="n"/>
      <c r="H2446" s="25" t="n"/>
      <c r="I2446" s="15" t="n"/>
      <c r="J2446" s="26">
        <f>IF($A2446="","",LEN($C2446)-LEN(SUBSTITUTE($C2446,",",""))+1)</f>
        <v/>
      </c>
      <c r="K2446" s="26">
        <f>IF($A2446="","",SUMPRODUCT(--ISNUMBER(SEARCH('Category Dictionary'!$D$5:$D$135&amp;"",$C2446)),--('Category Dictionary'!$D$5:$D$135&lt;&gt;"")))</f>
        <v/>
      </c>
      <c r="L2446" s="27">
        <f>IF($A2446="","",TRIM(IF(ISERROR(FIND(",",$C2446)),$C2446,LEFT($C2446,FIND(",",$C2446)-1))))</f>
        <v/>
      </c>
      <c r="M2446" s="28">
        <f>IF($H2446="","",DATE(YEAR($H2446),MONTH($H2446),1))</f>
        <v/>
      </c>
      <c r="N2446" s="26">
        <f>IF($H2446="","",TODAY()-$H2446)</f>
        <v/>
      </c>
      <c r="O2446" s="15" t="n"/>
      <c r="P2446" s="26">
        <f>IF($A2446="","",COUNTIFS('Audit Versions'!$A$6:$A$605,$A2446,'Audit Versions'!$L$6:$L$605,"Active"))</f>
        <v/>
      </c>
      <c r="Q2446" s="15" t="n"/>
      <c r="R2446" s="26">
        <f>IF(OR($A2446="",$P2446=0),"",MOD(N($Q2446),$P2446)+1)</f>
        <v/>
      </c>
      <c r="S2446" s="15" t="n"/>
      <c r="T2446" s="25" t="n"/>
      <c r="U2446" s="26">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Builder'!$B$12="",N($S2446)&lt;='Assignment Builder'!$B$12)))</f>
        <v/>
      </c>
      <c r="V2446" s="23" t="n"/>
    </row>
    <row r="2447">
      <c r="A2447" s="23" t="n"/>
      <c r="B2447" s="23" t="n"/>
      <c r="C2447" s="24" t="n"/>
      <c r="D2447" s="15" t="n"/>
      <c r="E2447" s="23" t="n"/>
      <c r="F2447" s="15" t="n"/>
      <c r="G2447" s="23" t="n"/>
      <c r="H2447" s="25" t="n"/>
      <c r="I2447" s="15" t="n"/>
      <c r="J2447" s="26">
        <f>IF($A2447="","",LEN($C2447)-LEN(SUBSTITUTE($C2447,",",""))+1)</f>
        <v/>
      </c>
      <c r="K2447" s="26">
        <f>IF($A2447="","",SUMPRODUCT(--ISNUMBER(SEARCH('Category Dictionary'!$D$5:$D$135&amp;"",$C2447)),--('Category Dictionary'!$D$5:$D$135&lt;&gt;"")))</f>
        <v/>
      </c>
      <c r="L2447" s="27">
        <f>IF($A2447="","",TRIM(IF(ISERROR(FIND(",",$C2447)),$C2447,LEFT($C2447,FIND(",",$C2447)-1))))</f>
        <v/>
      </c>
      <c r="M2447" s="28">
        <f>IF($H2447="","",DATE(YEAR($H2447),MONTH($H2447),1))</f>
        <v/>
      </c>
      <c r="N2447" s="26">
        <f>IF($H2447="","",TODAY()-$H2447)</f>
        <v/>
      </c>
      <c r="O2447" s="15" t="n"/>
      <c r="P2447" s="26">
        <f>IF($A2447="","",COUNTIFS('Audit Versions'!$A$6:$A$605,$A2447,'Audit Versions'!$L$6:$L$605,"Active"))</f>
        <v/>
      </c>
      <c r="Q2447" s="15" t="n"/>
      <c r="R2447" s="26">
        <f>IF(OR($A2447="",$P2447=0),"",MOD(N($Q2447),$P2447)+1)</f>
        <v/>
      </c>
      <c r="S2447" s="15" t="n"/>
      <c r="T2447" s="25" t="n"/>
      <c r="U2447" s="26">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Builder'!$B$12="",N($S2447)&lt;='Assignment Builder'!$B$12)))</f>
        <v/>
      </c>
      <c r="V2447" s="23" t="n"/>
    </row>
    <row r="2448">
      <c r="A2448" s="23" t="n"/>
      <c r="B2448" s="23" t="n"/>
      <c r="C2448" s="24" t="n"/>
      <c r="D2448" s="15" t="n"/>
      <c r="E2448" s="23" t="n"/>
      <c r="F2448" s="15" t="n"/>
      <c r="G2448" s="23" t="n"/>
      <c r="H2448" s="25" t="n"/>
      <c r="I2448" s="15" t="n"/>
      <c r="J2448" s="26">
        <f>IF($A2448="","",LEN($C2448)-LEN(SUBSTITUTE($C2448,",",""))+1)</f>
        <v/>
      </c>
      <c r="K2448" s="26">
        <f>IF($A2448="","",SUMPRODUCT(--ISNUMBER(SEARCH('Category Dictionary'!$D$5:$D$135&amp;"",$C2448)),--('Category Dictionary'!$D$5:$D$135&lt;&gt;"")))</f>
        <v/>
      </c>
      <c r="L2448" s="27">
        <f>IF($A2448="","",TRIM(IF(ISERROR(FIND(",",$C2448)),$C2448,LEFT($C2448,FIND(",",$C2448)-1))))</f>
        <v/>
      </c>
      <c r="M2448" s="28">
        <f>IF($H2448="","",DATE(YEAR($H2448),MONTH($H2448),1))</f>
        <v/>
      </c>
      <c r="N2448" s="26">
        <f>IF($H2448="","",TODAY()-$H2448)</f>
        <v/>
      </c>
      <c r="O2448" s="15" t="n"/>
      <c r="P2448" s="26">
        <f>IF($A2448="","",COUNTIFS('Audit Versions'!$A$6:$A$605,$A2448,'Audit Versions'!$L$6:$L$605,"Active"))</f>
        <v/>
      </c>
      <c r="Q2448" s="15" t="n"/>
      <c r="R2448" s="26">
        <f>IF(OR($A2448="",$P2448=0),"",MOD(N($Q2448),$P2448)+1)</f>
        <v/>
      </c>
      <c r="S2448" s="15" t="n"/>
      <c r="T2448" s="25" t="n"/>
      <c r="U2448" s="26">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Builder'!$B$12="",N($S2448)&lt;='Assignment Builder'!$B$12)))</f>
        <v/>
      </c>
      <c r="V2448" s="23" t="n"/>
    </row>
    <row r="2449">
      <c r="A2449" s="23" t="n"/>
      <c r="B2449" s="23" t="n"/>
      <c r="C2449" s="24" t="n"/>
      <c r="D2449" s="15" t="n"/>
      <c r="E2449" s="23" t="n"/>
      <c r="F2449" s="15" t="n"/>
      <c r="G2449" s="23" t="n"/>
      <c r="H2449" s="25" t="n"/>
      <c r="I2449" s="15" t="n"/>
      <c r="J2449" s="26">
        <f>IF($A2449="","",LEN($C2449)-LEN(SUBSTITUTE($C2449,",",""))+1)</f>
        <v/>
      </c>
      <c r="K2449" s="26">
        <f>IF($A2449="","",SUMPRODUCT(--ISNUMBER(SEARCH('Category Dictionary'!$D$5:$D$135&amp;"",$C2449)),--('Category Dictionary'!$D$5:$D$135&lt;&gt;"")))</f>
        <v/>
      </c>
      <c r="L2449" s="27">
        <f>IF($A2449="","",TRIM(IF(ISERROR(FIND(",",$C2449)),$C2449,LEFT($C2449,FIND(",",$C2449)-1))))</f>
        <v/>
      </c>
      <c r="M2449" s="28">
        <f>IF($H2449="","",DATE(YEAR($H2449),MONTH($H2449),1))</f>
        <v/>
      </c>
      <c r="N2449" s="26">
        <f>IF($H2449="","",TODAY()-$H2449)</f>
        <v/>
      </c>
      <c r="O2449" s="15" t="n"/>
      <c r="P2449" s="26">
        <f>IF($A2449="","",COUNTIFS('Audit Versions'!$A$6:$A$605,$A2449,'Audit Versions'!$L$6:$L$605,"Active"))</f>
        <v/>
      </c>
      <c r="Q2449" s="15" t="n"/>
      <c r="R2449" s="26">
        <f>IF(OR($A2449="",$P2449=0),"",MOD(N($Q2449),$P2449)+1)</f>
        <v/>
      </c>
      <c r="S2449" s="15" t="n"/>
      <c r="T2449" s="25" t="n"/>
      <c r="U2449" s="26">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Builder'!$B$12="",N($S2449)&lt;='Assignment Builder'!$B$12)))</f>
        <v/>
      </c>
      <c r="V2449" s="23" t="n"/>
    </row>
    <row r="2450">
      <c r="A2450" s="23" t="n"/>
      <c r="B2450" s="23" t="n"/>
      <c r="C2450" s="24" t="n"/>
      <c r="D2450" s="15" t="n"/>
      <c r="E2450" s="23" t="n"/>
      <c r="F2450" s="15" t="n"/>
      <c r="G2450" s="23" t="n"/>
      <c r="H2450" s="25" t="n"/>
      <c r="I2450" s="15" t="n"/>
      <c r="J2450" s="26">
        <f>IF($A2450="","",LEN($C2450)-LEN(SUBSTITUTE($C2450,",",""))+1)</f>
        <v/>
      </c>
      <c r="K2450" s="26">
        <f>IF($A2450="","",SUMPRODUCT(--ISNUMBER(SEARCH('Category Dictionary'!$D$5:$D$135&amp;"",$C2450)),--('Category Dictionary'!$D$5:$D$135&lt;&gt;"")))</f>
        <v/>
      </c>
      <c r="L2450" s="27">
        <f>IF($A2450="","",TRIM(IF(ISERROR(FIND(",",$C2450)),$C2450,LEFT($C2450,FIND(",",$C2450)-1))))</f>
        <v/>
      </c>
      <c r="M2450" s="28">
        <f>IF($H2450="","",DATE(YEAR($H2450),MONTH($H2450),1))</f>
        <v/>
      </c>
      <c r="N2450" s="26">
        <f>IF($H2450="","",TODAY()-$H2450)</f>
        <v/>
      </c>
      <c r="O2450" s="15" t="n"/>
      <c r="P2450" s="26">
        <f>IF($A2450="","",COUNTIFS('Audit Versions'!$A$6:$A$605,$A2450,'Audit Versions'!$L$6:$L$605,"Active"))</f>
        <v/>
      </c>
      <c r="Q2450" s="15" t="n"/>
      <c r="R2450" s="26">
        <f>IF(OR($A2450="",$P2450=0),"",MOD(N($Q2450),$P2450)+1)</f>
        <v/>
      </c>
      <c r="S2450" s="15" t="n"/>
      <c r="T2450" s="25" t="n"/>
      <c r="U2450" s="26">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Builder'!$B$12="",N($S2450)&lt;='Assignment Builder'!$B$12)))</f>
        <v/>
      </c>
      <c r="V2450" s="23" t="n"/>
    </row>
    <row r="2451">
      <c r="A2451" s="23" t="n"/>
      <c r="B2451" s="23" t="n"/>
      <c r="C2451" s="24" t="n"/>
      <c r="D2451" s="15" t="n"/>
      <c r="E2451" s="23" t="n"/>
      <c r="F2451" s="15" t="n"/>
      <c r="G2451" s="23" t="n"/>
      <c r="H2451" s="25" t="n"/>
      <c r="I2451" s="15" t="n"/>
      <c r="J2451" s="26">
        <f>IF($A2451="","",LEN($C2451)-LEN(SUBSTITUTE($C2451,",",""))+1)</f>
        <v/>
      </c>
      <c r="K2451" s="26">
        <f>IF($A2451="","",SUMPRODUCT(--ISNUMBER(SEARCH('Category Dictionary'!$D$5:$D$135&amp;"",$C2451)),--('Category Dictionary'!$D$5:$D$135&lt;&gt;"")))</f>
        <v/>
      </c>
      <c r="L2451" s="27">
        <f>IF($A2451="","",TRIM(IF(ISERROR(FIND(",",$C2451)),$C2451,LEFT($C2451,FIND(",",$C2451)-1))))</f>
        <v/>
      </c>
      <c r="M2451" s="28">
        <f>IF($H2451="","",DATE(YEAR($H2451),MONTH($H2451),1))</f>
        <v/>
      </c>
      <c r="N2451" s="26">
        <f>IF($H2451="","",TODAY()-$H2451)</f>
        <v/>
      </c>
      <c r="O2451" s="15" t="n"/>
      <c r="P2451" s="26">
        <f>IF($A2451="","",COUNTIFS('Audit Versions'!$A$6:$A$605,$A2451,'Audit Versions'!$L$6:$L$605,"Active"))</f>
        <v/>
      </c>
      <c r="Q2451" s="15" t="n"/>
      <c r="R2451" s="26">
        <f>IF(OR($A2451="",$P2451=0),"",MOD(N($Q2451),$P2451)+1)</f>
        <v/>
      </c>
      <c r="S2451" s="15" t="n"/>
      <c r="T2451" s="25" t="n"/>
      <c r="U2451" s="26">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Builder'!$B$12="",N($S2451)&lt;='Assignment Builder'!$B$12)))</f>
        <v/>
      </c>
      <c r="V2451" s="23" t="n"/>
    </row>
    <row r="2452">
      <c r="A2452" s="23" t="n"/>
      <c r="B2452" s="23" t="n"/>
      <c r="C2452" s="24" t="n"/>
      <c r="D2452" s="15" t="n"/>
      <c r="E2452" s="23" t="n"/>
      <c r="F2452" s="15" t="n"/>
      <c r="G2452" s="23" t="n"/>
      <c r="H2452" s="25" t="n"/>
      <c r="I2452" s="15" t="n"/>
      <c r="J2452" s="26">
        <f>IF($A2452="","",LEN($C2452)-LEN(SUBSTITUTE($C2452,",",""))+1)</f>
        <v/>
      </c>
      <c r="K2452" s="26">
        <f>IF($A2452="","",SUMPRODUCT(--ISNUMBER(SEARCH('Category Dictionary'!$D$5:$D$135&amp;"",$C2452)),--('Category Dictionary'!$D$5:$D$135&lt;&gt;"")))</f>
        <v/>
      </c>
      <c r="L2452" s="27">
        <f>IF($A2452="","",TRIM(IF(ISERROR(FIND(",",$C2452)),$C2452,LEFT($C2452,FIND(",",$C2452)-1))))</f>
        <v/>
      </c>
      <c r="M2452" s="28">
        <f>IF($H2452="","",DATE(YEAR($H2452),MONTH($H2452),1))</f>
        <v/>
      </c>
      <c r="N2452" s="26">
        <f>IF($H2452="","",TODAY()-$H2452)</f>
        <v/>
      </c>
      <c r="O2452" s="15" t="n"/>
      <c r="P2452" s="26">
        <f>IF($A2452="","",COUNTIFS('Audit Versions'!$A$6:$A$605,$A2452,'Audit Versions'!$L$6:$L$605,"Active"))</f>
        <v/>
      </c>
      <c r="Q2452" s="15" t="n"/>
      <c r="R2452" s="26">
        <f>IF(OR($A2452="",$P2452=0),"",MOD(N($Q2452),$P2452)+1)</f>
        <v/>
      </c>
      <c r="S2452" s="15" t="n"/>
      <c r="T2452" s="25" t="n"/>
      <c r="U2452" s="26">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Builder'!$B$12="",N($S2452)&lt;='Assignment Builder'!$B$12)))</f>
        <v/>
      </c>
      <c r="V2452" s="23" t="n"/>
    </row>
    <row r="2453">
      <c r="A2453" s="23" t="n"/>
      <c r="B2453" s="23" t="n"/>
      <c r="C2453" s="24" t="n"/>
      <c r="D2453" s="15" t="n"/>
      <c r="E2453" s="23" t="n"/>
      <c r="F2453" s="15" t="n"/>
      <c r="G2453" s="23" t="n"/>
      <c r="H2453" s="25" t="n"/>
      <c r="I2453" s="15" t="n"/>
      <c r="J2453" s="26">
        <f>IF($A2453="","",LEN($C2453)-LEN(SUBSTITUTE($C2453,",",""))+1)</f>
        <v/>
      </c>
      <c r="K2453" s="26">
        <f>IF($A2453="","",SUMPRODUCT(--ISNUMBER(SEARCH('Category Dictionary'!$D$5:$D$135&amp;"",$C2453)),--('Category Dictionary'!$D$5:$D$135&lt;&gt;"")))</f>
        <v/>
      </c>
      <c r="L2453" s="27">
        <f>IF($A2453="","",TRIM(IF(ISERROR(FIND(",",$C2453)),$C2453,LEFT($C2453,FIND(",",$C2453)-1))))</f>
        <v/>
      </c>
      <c r="M2453" s="28">
        <f>IF($H2453="","",DATE(YEAR($H2453),MONTH($H2453),1))</f>
        <v/>
      </c>
      <c r="N2453" s="26">
        <f>IF($H2453="","",TODAY()-$H2453)</f>
        <v/>
      </c>
      <c r="O2453" s="15" t="n"/>
      <c r="P2453" s="26">
        <f>IF($A2453="","",COUNTIFS('Audit Versions'!$A$6:$A$605,$A2453,'Audit Versions'!$L$6:$L$605,"Active"))</f>
        <v/>
      </c>
      <c r="Q2453" s="15" t="n"/>
      <c r="R2453" s="26">
        <f>IF(OR($A2453="",$P2453=0),"",MOD(N($Q2453),$P2453)+1)</f>
        <v/>
      </c>
      <c r="S2453" s="15" t="n"/>
      <c r="T2453" s="25" t="n"/>
      <c r="U2453" s="26">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Builder'!$B$12="",N($S2453)&lt;='Assignment Builder'!$B$12)))</f>
        <v/>
      </c>
      <c r="V2453" s="23" t="n"/>
    </row>
    <row r="2454">
      <c r="A2454" s="23" t="n"/>
      <c r="B2454" s="23" t="n"/>
      <c r="C2454" s="24" t="n"/>
      <c r="D2454" s="15" t="n"/>
      <c r="E2454" s="23" t="n"/>
      <c r="F2454" s="15" t="n"/>
      <c r="G2454" s="23" t="n"/>
      <c r="H2454" s="25" t="n"/>
      <c r="I2454" s="15" t="n"/>
      <c r="J2454" s="26">
        <f>IF($A2454="","",LEN($C2454)-LEN(SUBSTITUTE($C2454,",",""))+1)</f>
        <v/>
      </c>
      <c r="K2454" s="26">
        <f>IF($A2454="","",SUMPRODUCT(--ISNUMBER(SEARCH('Category Dictionary'!$D$5:$D$135&amp;"",$C2454)),--('Category Dictionary'!$D$5:$D$135&lt;&gt;"")))</f>
        <v/>
      </c>
      <c r="L2454" s="27">
        <f>IF($A2454="","",TRIM(IF(ISERROR(FIND(",",$C2454)),$C2454,LEFT($C2454,FIND(",",$C2454)-1))))</f>
        <v/>
      </c>
      <c r="M2454" s="28">
        <f>IF($H2454="","",DATE(YEAR($H2454),MONTH($H2454),1))</f>
        <v/>
      </c>
      <c r="N2454" s="26">
        <f>IF($H2454="","",TODAY()-$H2454)</f>
        <v/>
      </c>
      <c r="O2454" s="15" t="n"/>
      <c r="P2454" s="26">
        <f>IF($A2454="","",COUNTIFS('Audit Versions'!$A$6:$A$605,$A2454,'Audit Versions'!$L$6:$L$605,"Active"))</f>
        <v/>
      </c>
      <c r="Q2454" s="15" t="n"/>
      <c r="R2454" s="26">
        <f>IF(OR($A2454="",$P2454=0),"",MOD(N($Q2454),$P2454)+1)</f>
        <v/>
      </c>
      <c r="S2454" s="15" t="n"/>
      <c r="T2454" s="25" t="n"/>
      <c r="U2454" s="26">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Builder'!$B$12="",N($S2454)&lt;='Assignment Builder'!$B$12)))</f>
        <v/>
      </c>
      <c r="V2454" s="23" t="n"/>
    </row>
    <row r="2455">
      <c r="A2455" s="23" t="n"/>
      <c r="B2455" s="23" t="n"/>
      <c r="C2455" s="24" t="n"/>
      <c r="D2455" s="15" t="n"/>
      <c r="E2455" s="23" t="n"/>
      <c r="F2455" s="15" t="n"/>
      <c r="G2455" s="23" t="n"/>
      <c r="H2455" s="25" t="n"/>
      <c r="I2455" s="15" t="n"/>
      <c r="J2455" s="26">
        <f>IF($A2455="","",LEN($C2455)-LEN(SUBSTITUTE($C2455,",",""))+1)</f>
        <v/>
      </c>
      <c r="K2455" s="26">
        <f>IF($A2455="","",SUMPRODUCT(--ISNUMBER(SEARCH('Category Dictionary'!$D$5:$D$135&amp;"",$C2455)),--('Category Dictionary'!$D$5:$D$135&lt;&gt;"")))</f>
        <v/>
      </c>
      <c r="L2455" s="27">
        <f>IF($A2455="","",TRIM(IF(ISERROR(FIND(",",$C2455)),$C2455,LEFT($C2455,FIND(",",$C2455)-1))))</f>
        <v/>
      </c>
      <c r="M2455" s="28">
        <f>IF($H2455="","",DATE(YEAR($H2455),MONTH($H2455),1))</f>
        <v/>
      </c>
      <c r="N2455" s="26">
        <f>IF($H2455="","",TODAY()-$H2455)</f>
        <v/>
      </c>
      <c r="O2455" s="15" t="n"/>
      <c r="P2455" s="26">
        <f>IF($A2455="","",COUNTIFS('Audit Versions'!$A$6:$A$605,$A2455,'Audit Versions'!$L$6:$L$605,"Active"))</f>
        <v/>
      </c>
      <c r="Q2455" s="15" t="n"/>
      <c r="R2455" s="26">
        <f>IF(OR($A2455="",$P2455=0),"",MOD(N($Q2455),$P2455)+1)</f>
        <v/>
      </c>
      <c r="S2455" s="15" t="n"/>
      <c r="T2455" s="25" t="n"/>
      <c r="U2455" s="26">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Builder'!$B$12="",N($S2455)&lt;='Assignment Builder'!$B$12)))</f>
        <v/>
      </c>
      <c r="V2455" s="23" t="n"/>
    </row>
    <row r="2456">
      <c r="A2456" s="23" t="n"/>
      <c r="B2456" s="23" t="n"/>
      <c r="C2456" s="24" t="n"/>
      <c r="D2456" s="15" t="n"/>
      <c r="E2456" s="23" t="n"/>
      <c r="F2456" s="15" t="n"/>
      <c r="G2456" s="23" t="n"/>
      <c r="H2456" s="25" t="n"/>
      <c r="I2456" s="15" t="n"/>
      <c r="J2456" s="26">
        <f>IF($A2456="","",LEN($C2456)-LEN(SUBSTITUTE($C2456,",",""))+1)</f>
        <v/>
      </c>
      <c r="K2456" s="26">
        <f>IF($A2456="","",SUMPRODUCT(--ISNUMBER(SEARCH('Category Dictionary'!$D$5:$D$135&amp;"",$C2456)),--('Category Dictionary'!$D$5:$D$135&lt;&gt;"")))</f>
        <v/>
      </c>
      <c r="L2456" s="27">
        <f>IF($A2456="","",TRIM(IF(ISERROR(FIND(",",$C2456)),$C2456,LEFT($C2456,FIND(",",$C2456)-1))))</f>
        <v/>
      </c>
      <c r="M2456" s="28">
        <f>IF($H2456="","",DATE(YEAR($H2456),MONTH($H2456),1))</f>
        <v/>
      </c>
      <c r="N2456" s="26">
        <f>IF($H2456="","",TODAY()-$H2456)</f>
        <v/>
      </c>
      <c r="O2456" s="15" t="n"/>
      <c r="P2456" s="26">
        <f>IF($A2456="","",COUNTIFS('Audit Versions'!$A$6:$A$605,$A2456,'Audit Versions'!$L$6:$L$605,"Active"))</f>
        <v/>
      </c>
      <c r="Q2456" s="15" t="n"/>
      <c r="R2456" s="26">
        <f>IF(OR($A2456="",$P2456=0),"",MOD(N($Q2456),$P2456)+1)</f>
        <v/>
      </c>
      <c r="S2456" s="15" t="n"/>
      <c r="T2456" s="25" t="n"/>
      <c r="U2456" s="26">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Builder'!$B$12="",N($S2456)&lt;='Assignment Builder'!$B$12)))</f>
        <v/>
      </c>
      <c r="V2456" s="23" t="n"/>
    </row>
    <row r="2457">
      <c r="A2457" s="23" t="n"/>
      <c r="B2457" s="23" t="n"/>
      <c r="C2457" s="24" t="n"/>
      <c r="D2457" s="15" t="n"/>
      <c r="E2457" s="23" t="n"/>
      <c r="F2457" s="15" t="n"/>
      <c r="G2457" s="23" t="n"/>
      <c r="H2457" s="25" t="n"/>
      <c r="I2457" s="15" t="n"/>
      <c r="J2457" s="26">
        <f>IF($A2457="","",LEN($C2457)-LEN(SUBSTITUTE($C2457,",",""))+1)</f>
        <v/>
      </c>
      <c r="K2457" s="26">
        <f>IF($A2457="","",SUMPRODUCT(--ISNUMBER(SEARCH('Category Dictionary'!$D$5:$D$135&amp;"",$C2457)),--('Category Dictionary'!$D$5:$D$135&lt;&gt;"")))</f>
        <v/>
      </c>
      <c r="L2457" s="27">
        <f>IF($A2457="","",TRIM(IF(ISERROR(FIND(",",$C2457)),$C2457,LEFT($C2457,FIND(",",$C2457)-1))))</f>
        <v/>
      </c>
      <c r="M2457" s="28">
        <f>IF($H2457="","",DATE(YEAR($H2457),MONTH($H2457),1))</f>
        <v/>
      </c>
      <c r="N2457" s="26">
        <f>IF($H2457="","",TODAY()-$H2457)</f>
        <v/>
      </c>
      <c r="O2457" s="15" t="n"/>
      <c r="P2457" s="26">
        <f>IF($A2457="","",COUNTIFS('Audit Versions'!$A$6:$A$605,$A2457,'Audit Versions'!$L$6:$L$605,"Active"))</f>
        <v/>
      </c>
      <c r="Q2457" s="15" t="n"/>
      <c r="R2457" s="26">
        <f>IF(OR($A2457="",$P2457=0),"",MOD(N($Q2457),$P2457)+1)</f>
        <v/>
      </c>
      <c r="S2457" s="15" t="n"/>
      <c r="T2457" s="25" t="n"/>
      <c r="U2457" s="26">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Builder'!$B$12="",N($S2457)&lt;='Assignment Builder'!$B$12)))</f>
        <v/>
      </c>
      <c r="V2457" s="23" t="n"/>
    </row>
    <row r="2458">
      <c r="A2458" s="23" t="n"/>
      <c r="B2458" s="23" t="n"/>
      <c r="C2458" s="24" t="n"/>
      <c r="D2458" s="15" t="n"/>
      <c r="E2458" s="23" t="n"/>
      <c r="F2458" s="15" t="n"/>
      <c r="G2458" s="23" t="n"/>
      <c r="H2458" s="25" t="n"/>
      <c r="I2458" s="15" t="n"/>
      <c r="J2458" s="26">
        <f>IF($A2458="","",LEN($C2458)-LEN(SUBSTITUTE($C2458,",",""))+1)</f>
        <v/>
      </c>
      <c r="K2458" s="26">
        <f>IF($A2458="","",SUMPRODUCT(--ISNUMBER(SEARCH('Category Dictionary'!$D$5:$D$135&amp;"",$C2458)),--('Category Dictionary'!$D$5:$D$135&lt;&gt;"")))</f>
        <v/>
      </c>
      <c r="L2458" s="27">
        <f>IF($A2458="","",TRIM(IF(ISERROR(FIND(",",$C2458)),$C2458,LEFT($C2458,FIND(",",$C2458)-1))))</f>
        <v/>
      </c>
      <c r="M2458" s="28">
        <f>IF($H2458="","",DATE(YEAR($H2458),MONTH($H2458),1))</f>
        <v/>
      </c>
      <c r="N2458" s="26">
        <f>IF($H2458="","",TODAY()-$H2458)</f>
        <v/>
      </c>
      <c r="O2458" s="15" t="n"/>
      <c r="P2458" s="26">
        <f>IF($A2458="","",COUNTIFS('Audit Versions'!$A$6:$A$605,$A2458,'Audit Versions'!$L$6:$L$605,"Active"))</f>
        <v/>
      </c>
      <c r="Q2458" s="15" t="n"/>
      <c r="R2458" s="26">
        <f>IF(OR($A2458="",$P2458=0),"",MOD(N($Q2458),$P2458)+1)</f>
        <v/>
      </c>
      <c r="S2458" s="15" t="n"/>
      <c r="T2458" s="25" t="n"/>
      <c r="U2458" s="26">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Builder'!$B$12="",N($S2458)&lt;='Assignment Builder'!$B$12)))</f>
        <v/>
      </c>
      <c r="V2458" s="23" t="n"/>
    </row>
    <row r="2459">
      <c r="A2459" s="23" t="n"/>
      <c r="B2459" s="23" t="n"/>
      <c r="C2459" s="24" t="n"/>
      <c r="D2459" s="15" t="n"/>
      <c r="E2459" s="23" t="n"/>
      <c r="F2459" s="15" t="n"/>
      <c r="G2459" s="23" t="n"/>
      <c r="H2459" s="25" t="n"/>
      <c r="I2459" s="15" t="n"/>
      <c r="J2459" s="26">
        <f>IF($A2459="","",LEN($C2459)-LEN(SUBSTITUTE($C2459,",",""))+1)</f>
        <v/>
      </c>
      <c r="K2459" s="26">
        <f>IF($A2459="","",SUMPRODUCT(--ISNUMBER(SEARCH('Category Dictionary'!$D$5:$D$135&amp;"",$C2459)),--('Category Dictionary'!$D$5:$D$135&lt;&gt;"")))</f>
        <v/>
      </c>
      <c r="L2459" s="27">
        <f>IF($A2459="","",TRIM(IF(ISERROR(FIND(",",$C2459)),$C2459,LEFT($C2459,FIND(",",$C2459)-1))))</f>
        <v/>
      </c>
      <c r="M2459" s="28">
        <f>IF($H2459="","",DATE(YEAR($H2459),MONTH($H2459),1))</f>
        <v/>
      </c>
      <c r="N2459" s="26">
        <f>IF($H2459="","",TODAY()-$H2459)</f>
        <v/>
      </c>
      <c r="O2459" s="15" t="n"/>
      <c r="P2459" s="26">
        <f>IF($A2459="","",COUNTIFS('Audit Versions'!$A$6:$A$605,$A2459,'Audit Versions'!$L$6:$L$605,"Active"))</f>
        <v/>
      </c>
      <c r="Q2459" s="15" t="n"/>
      <c r="R2459" s="26">
        <f>IF(OR($A2459="",$P2459=0),"",MOD(N($Q2459),$P2459)+1)</f>
        <v/>
      </c>
      <c r="S2459" s="15" t="n"/>
      <c r="T2459" s="25" t="n"/>
      <c r="U2459" s="26">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Builder'!$B$12="",N($S2459)&lt;='Assignment Builder'!$B$12)))</f>
        <v/>
      </c>
      <c r="V2459" s="23" t="n"/>
    </row>
    <row r="2460">
      <c r="A2460" s="23" t="n"/>
      <c r="B2460" s="23" t="n"/>
      <c r="C2460" s="24" t="n"/>
      <c r="D2460" s="15" t="n"/>
      <c r="E2460" s="23" t="n"/>
      <c r="F2460" s="15" t="n"/>
      <c r="G2460" s="23" t="n"/>
      <c r="H2460" s="25" t="n"/>
      <c r="I2460" s="15" t="n"/>
      <c r="J2460" s="26">
        <f>IF($A2460="","",LEN($C2460)-LEN(SUBSTITUTE($C2460,",",""))+1)</f>
        <v/>
      </c>
      <c r="K2460" s="26">
        <f>IF($A2460="","",SUMPRODUCT(--ISNUMBER(SEARCH('Category Dictionary'!$D$5:$D$135&amp;"",$C2460)),--('Category Dictionary'!$D$5:$D$135&lt;&gt;"")))</f>
        <v/>
      </c>
      <c r="L2460" s="27">
        <f>IF($A2460="","",TRIM(IF(ISERROR(FIND(",",$C2460)),$C2460,LEFT($C2460,FIND(",",$C2460)-1))))</f>
        <v/>
      </c>
      <c r="M2460" s="28">
        <f>IF($H2460="","",DATE(YEAR($H2460),MONTH($H2460),1))</f>
        <v/>
      </c>
      <c r="N2460" s="26">
        <f>IF($H2460="","",TODAY()-$H2460)</f>
        <v/>
      </c>
      <c r="O2460" s="15" t="n"/>
      <c r="P2460" s="26">
        <f>IF($A2460="","",COUNTIFS('Audit Versions'!$A$6:$A$605,$A2460,'Audit Versions'!$L$6:$L$605,"Active"))</f>
        <v/>
      </c>
      <c r="Q2460" s="15" t="n"/>
      <c r="R2460" s="26">
        <f>IF(OR($A2460="",$P2460=0),"",MOD(N($Q2460),$P2460)+1)</f>
        <v/>
      </c>
      <c r="S2460" s="15" t="n"/>
      <c r="T2460" s="25" t="n"/>
      <c r="U2460" s="26">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Builder'!$B$12="",N($S2460)&lt;='Assignment Builder'!$B$12)))</f>
        <v/>
      </c>
      <c r="V2460" s="23" t="n"/>
    </row>
    <row r="2461">
      <c r="A2461" s="23" t="n"/>
      <c r="B2461" s="23" t="n"/>
      <c r="C2461" s="24" t="n"/>
      <c r="D2461" s="15" t="n"/>
      <c r="E2461" s="23" t="n"/>
      <c r="F2461" s="15" t="n"/>
      <c r="G2461" s="23" t="n"/>
      <c r="H2461" s="25" t="n"/>
      <c r="I2461" s="15" t="n"/>
      <c r="J2461" s="26">
        <f>IF($A2461="","",LEN($C2461)-LEN(SUBSTITUTE($C2461,",",""))+1)</f>
        <v/>
      </c>
      <c r="K2461" s="26">
        <f>IF($A2461="","",SUMPRODUCT(--ISNUMBER(SEARCH('Category Dictionary'!$D$5:$D$135&amp;"",$C2461)),--('Category Dictionary'!$D$5:$D$135&lt;&gt;"")))</f>
        <v/>
      </c>
      <c r="L2461" s="27">
        <f>IF($A2461="","",TRIM(IF(ISERROR(FIND(",",$C2461)),$C2461,LEFT($C2461,FIND(",",$C2461)-1))))</f>
        <v/>
      </c>
      <c r="M2461" s="28">
        <f>IF($H2461="","",DATE(YEAR($H2461),MONTH($H2461),1))</f>
        <v/>
      </c>
      <c r="N2461" s="26">
        <f>IF($H2461="","",TODAY()-$H2461)</f>
        <v/>
      </c>
      <c r="O2461" s="15" t="n"/>
      <c r="P2461" s="26">
        <f>IF($A2461="","",COUNTIFS('Audit Versions'!$A$6:$A$605,$A2461,'Audit Versions'!$L$6:$L$605,"Active"))</f>
        <v/>
      </c>
      <c r="Q2461" s="15" t="n"/>
      <c r="R2461" s="26">
        <f>IF(OR($A2461="",$P2461=0),"",MOD(N($Q2461),$P2461)+1)</f>
        <v/>
      </c>
      <c r="S2461" s="15" t="n"/>
      <c r="T2461" s="25" t="n"/>
      <c r="U2461" s="26">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Builder'!$B$12="",N($S2461)&lt;='Assignment Builder'!$B$12)))</f>
        <v/>
      </c>
      <c r="V2461" s="23" t="n"/>
    </row>
    <row r="2462">
      <c r="A2462" s="23" t="n"/>
      <c r="B2462" s="23" t="n"/>
      <c r="C2462" s="24" t="n"/>
      <c r="D2462" s="15" t="n"/>
      <c r="E2462" s="23" t="n"/>
      <c r="F2462" s="15" t="n"/>
      <c r="G2462" s="23" t="n"/>
      <c r="H2462" s="25" t="n"/>
      <c r="I2462" s="15" t="n"/>
      <c r="J2462" s="26">
        <f>IF($A2462="","",LEN($C2462)-LEN(SUBSTITUTE($C2462,",",""))+1)</f>
        <v/>
      </c>
      <c r="K2462" s="26">
        <f>IF($A2462="","",SUMPRODUCT(--ISNUMBER(SEARCH('Category Dictionary'!$D$5:$D$135&amp;"",$C2462)),--('Category Dictionary'!$D$5:$D$135&lt;&gt;"")))</f>
        <v/>
      </c>
      <c r="L2462" s="27">
        <f>IF($A2462="","",TRIM(IF(ISERROR(FIND(",",$C2462)),$C2462,LEFT($C2462,FIND(",",$C2462)-1))))</f>
        <v/>
      </c>
      <c r="M2462" s="28">
        <f>IF($H2462="","",DATE(YEAR($H2462),MONTH($H2462),1))</f>
        <v/>
      </c>
      <c r="N2462" s="26">
        <f>IF($H2462="","",TODAY()-$H2462)</f>
        <v/>
      </c>
      <c r="O2462" s="15" t="n"/>
      <c r="P2462" s="26">
        <f>IF($A2462="","",COUNTIFS('Audit Versions'!$A$6:$A$605,$A2462,'Audit Versions'!$L$6:$L$605,"Active"))</f>
        <v/>
      </c>
      <c r="Q2462" s="15" t="n"/>
      <c r="R2462" s="26">
        <f>IF(OR($A2462="",$P2462=0),"",MOD(N($Q2462),$P2462)+1)</f>
        <v/>
      </c>
      <c r="S2462" s="15" t="n"/>
      <c r="T2462" s="25" t="n"/>
      <c r="U2462" s="26">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Builder'!$B$12="",N($S2462)&lt;='Assignment Builder'!$B$12)))</f>
        <v/>
      </c>
      <c r="V2462" s="23" t="n"/>
    </row>
    <row r="2463">
      <c r="A2463" s="23" t="n"/>
      <c r="B2463" s="23" t="n"/>
      <c r="C2463" s="24" t="n"/>
      <c r="D2463" s="15" t="n"/>
      <c r="E2463" s="23" t="n"/>
      <c r="F2463" s="15" t="n"/>
      <c r="G2463" s="23" t="n"/>
      <c r="H2463" s="25" t="n"/>
      <c r="I2463" s="15" t="n"/>
      <c r="J2463" s="26">
        <f>IF($A2463="","",LEN($C2463)-LEN(SUBSTITUTE($C2463,",",""))+1)</f>
        <v/>
      </c>
      <c r="K2463" s="26">
        <f>IF($A2463="","",SUMPRODUCT(--ISNUMBER(SEARCH('Category Dictionary'!$D$5:$D$135&amp;"",$C2463)),--('Category Dictionary'!$D$5:$D$135&lt;&gt;"")))</f>
        <v/>
      </c>
      <c r="L2463" s="27">
        <f>IF($A2463="","",TRIM(IF(ISERROR(FIND(",",$C2463)),$C2463,LEFT($C2463,FIND(",",$C2463)-1))))</f>
        <v/>
      </c>
      <c r="M2463" s="28">
        <f>IF($H2463="","",DATE(YEAR($H2463),MONTH($H2463),1))</f>
        <v/>
      </c>
      <c r="N2463" s="26">
        <f>IF($H2463="","",TODAY()-$H2463)</f>
        <v/>
      </c>
      <c r="O2463" s="15" t="n"/>
      <c r="P2463" s="26">
        <f>IF($A2463="","",COUNTIFS('Audit Versions'!$A$6:$A$605,$A2463,'Audit Versions'!$L$6:$L$605,"Active"))</f>
        <v/>
      </c>
      <c r="Q2463" s="15" t="n"/>
      <c r="R2463" s="26">
        <f>IF(OR($A2463="",$P2463=0),"",MOD(N($Q2463),$P2463)+1)</f>
        <v/>
      </c>
      <c r="S2463" s="15" t="n"/>
      <c r="T2463" s="25" t="n"/>
      <c r="U2463" s="26">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Builder'!$B$12="",N($S2463)&lt;='Assignment Builder'!$B$12)))</f>
        <v/>
      </c>
      <c r="V2463" s="23" t="n"/>
    </row>
    <row r="2464">
      <c r="A2464" s="23" t="n"/>
      <c r="B2464" s="23" t="n"/>
      <c r="C2464" s="24" t="n"/>
      <c r="D2464" s="15" t="n"/>
      <c r="E2464" s="23" t="n"/>
      <c r="F2464" s="15" t="n"/>
      <c r="G2464" s="23" t="n"/>
      <c r="H2464" s="25" t="n"/>
      <c r="I2464" s="15" t="n"/>
      <c r="J2464" s="26">
        <f>IF($A2464="","",LEN($C2464)-LEN(SUBSTITUTE($C2464,",",""))+1)</f>
        <v/>
      </c>
      <c r="K2464" s="26">
        <f>IF($A2464="","",SUMPRODUCT(--ISNUMBER(SEARCH('Category Dictionary'!$D$5:$D$135&amp;"",$C2464)),--('Category Dictionary'!$D$5:$D$135&lt;&gt;"")))</f>
        <v/>
      </c>
      <c r="L2464" s="27">
        <f>IF($A2464="","",TRIM(IF(ISERROR(FIND(",",$C2464)),$C2464,LEFT($C2464,FIND(",",$C2464)-1))))</f>
        <v/>
      </c>
      <c r="M2464" s="28">
        <f>IF($H2464="","",DATE(YEAR($H2464),MONTH($H2464),1))</f>
        <v/>
      </c>
      <c r="N2464" s="26">
        <f>IF($H2464="","",TODAY()-$H2464)</f>
        <v/>
      </c>
      <c r="O2464" s="15" t="n"/>
      <c r="P2464" s="26">
        <f>IF($A2464="","",COUNTIFS('Audit Versions'!$A$6:$A$605,$A2464,'Audit Versions'!$L$6:$L$605,"Active"))</f>
        <v/>
      </c>
      <c r="Q2464" s="15" t="n"/>
      <c r="R2464" s="26">
        <f>IF(OR($A2464="",$P2464=0),"",MOD(N($Q2464),$P2464)+1)</f>
        <v/>
      </c>
      <c r="S2464" s="15" t="n"/>
      <c r="T2464" s="25" t="n"/>
      <c r="U2464" s="26">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Builder'!$B$12="",N($S2464)&lt;='Assignment Builder'!$B$12)))</f>
        <v/>
      </c>
      <c r="V2464" s="23" t="n"/>
    </row>
    <row r="2465">
      <c r="A2465" s="23" t="n"/>
      <c r="B2465" s="23" t="n"/>
      <c r="C2465" s="24" t="n"/>
      <c r="D2465" s="15" t="n"/>
      <c r="E2465" s="23" t="n"/>
      <c r="F2465" s="15" t="n"/>
      <c r="G2465" s="23" t="n"/>
      <c r="H2465" s="25" t="n"/>
      <c r="I2465" s="15" t="n"/>
      <c r="J2465" s="26">
        <f>IF($A2465="","",LEN($C2465)-LEN(SUBSTITUTE($C2465,",",""))+1)</f>
        <v/>
      </c>
      <c r="K2465" s="26">
        <f>IF($A2465="","",SUMPRODUCT(--ISNUMBER(SEARCH('Category Dictionary'!$D$5:$D$135&amp;"",$C2465)),--('Category Dictionary'!$D$5:$D$135&lt;&gt;"")))</f>
        <v/>
      </c>
      <c r="L2465" s="27">
        <f>IF($A2465="","",TRIM(IF(ISERROR(FIND(",",$C2465)),$C2465,LEFT($C2465,FIND(",",$C2465)-1))))</f>
        <v/>
      </c>
      <c r="M2465" s="28">
        <f>IF($H2465="","",DATE(YEAR($H2465),MONTH($H2465),1))</f>
        <v/>
      </c>
      <c r="N2465" s="26">
        <f>IF($H2465="","",TODAY()-$H2465)</f>
        <v/>
      </c>
      <c r="O2465" s="15" t="n"/>
      <c r="P2465" s="26">
        <f>IF($A2465="","",COUNTIFS('Audit Versions'!$A$6:$A$605,$A2465,'Audit Versions'!$L$6:$L$605,"Active"))</f>
        <v/>
      </c>
      <c r="Q2465" s="15" t="n"/>
      <c r="R2465" s="26">
        <f>IF(OR($A2465="",$P2465=0),"",MOD(N($Q2465),$P2465)+1)</f>
        <v/>
      </c>
      <c r="S2465" s="15" t="n"/>
      <c r="T2465" s="25" t="n"/>
      <c r="U2465" s="26">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Builder'!$B$12="",N($S2465)&lt;='Assignment Builder'!$B$12)))</f>
        <v/>
      </c>
      <c r="V2465" s="23" t="n"/>
    </row>
    <row r="2466">
      <c r="A2466" s="23" t="n"/>
      <c r="B2466" s="23" t="n"/>
      <c r="C2466" s="24" t="n"/>
      <c r="D2466" s="15" t="n"/>
      <c r="E2466" s="23" t="n"/>
      <c r="F2466" s="15" t="n"/>
      <c r="G2466" s="23" t="n"/>
      <c r="H2466" s="25" t="n"/>
      <c r="I2466" s="15" t="n"/>
      <c r="J2466" s="26">
        <f>IF($A2466="","",LEN($C2466)-LEN(SUBSTITUTE($C2466,",",""))+1)</f>
        <v/>
      </c>
      <c r="K2466" s="26">
        <f>IF($A2466="","",SUMPRODUCT(--ISNUMBER(SEARCH('Category Dictionary'!$D$5:$D$135&amp;"",$C2466)),--('Category Dictionary'!$D$5:$D$135&lt;&gt;"")))</f>
        <v/>
      </c>
      <c r="L2466" s="27">
        <f>IF($A2466="","",TRIM(IF(ISERROR(FIND(",",$C2466)),$C2466,LEFT($C2466,FIND(",",$C2466)-1))))</f>
        <v/>
      </c>
      <c r="M2466" s="28">
        <f>IF($H2466="","",DATE(YEAR($H2466),MONTH($H2466),1))</f>
        <v/>
      </c>
      <c r="N2466" s="26">
        <f>IF($H2466="","",TODAY()-$H2466)</f>
        <v/>
      </c>
      <c r="O2466" s="15" t="n"/>
      <c r="P2466" s="26">
        <f>IF($A2466="","",COUNTIFS('Audit Versions'!$A$6:$A$605,$A2466,'Audit Versions'!$L$6:$L$605,"Active"))</f>
        <v/>
      </c>
      <c r="Q2466" s="15" t="n"/>
      <c r="R2466" s="26">
        <f>IF(OR($A2466="",$P2466=0),"",MOD(N($Q2466),$P2466)+1)</f>
        <v/>
      </c>
      <c r="S2466" s="15" t="n"/>
      <c r="T2466" s="25" t="n"/>
      <c r="U2466" s="26">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Builder'!$B$12="",N($S2466)&lt;='Assignment Builder'!$B$12)))</f>
        <v/>
      </c>
      <c r="V2466" s="23" t="n"/>
    </row>
    <row r="2467">
      <c r="A2467" s="23" t="n"/>
      <c r="B2467" s="23" t="n"/>
      <c r="C2467" s="24" t="n"/>
      <c r="D2467" s="15" t="n"/>
      <c r="E2467" s="23" t="n"/>
      <c r="F2467" s="15" t="n"/>
      <c r="G2467" s="23" t="n"/>
      <c r="H2467" s="25" t="n"/>
      <c r="I2467" s="15" t="n"/>
      <c r="J2467" s="26">
        <f>IF($A2467="","",LEN($C2467)-LEN(SUBSTITUTE($C2467,",",""))+1)</f>
        <v/>
      </c>
      <c r="K2467" s="26">
        <f>IF($A2467="","",SUMPRODUCT(--ISNUMBER(SEARCH('Category Dictionary'!$D$5:$D$135&amp;"",$C2467)),--('Category Dictionary'!$D$5:$D$135&lt;&gt;"")))</f>
        <v/>
      </c>
      <c r="L2467" s="27">
        <f>IF($A2467="","",TRIM(IF(ISERROR(FIND(",",$C2467)),$C2467,LEFT($C2467,FIND(",",$C2467)-1))))</f>
        <v/>
      </c>
      <c r="M2467" s="28">
        <f>IF($H2467="","",DATE(YEAR($H2467),MONTH($H2467),1))</f>
        <v/>
      </c>
      <c r="N2467" s="26">
        <f>IF($H2467="","",TODAY()-$H2467)</f>
        <v/>
      </c>
      <c r="O2467" s="15" t="n"/>
      <c r="P2467" s="26">
        <f>IF($A2467="","",COUNTIFS('Audit Versions'!$A$6:$A$605,$A2467,'Audit Versions'!$L$6:$L$605,"Active"))</f>
        <v/>
      </c>
      <c r="Q2467" s="15" t="n"/>
      <c r="R2467" s="26">
        <f>IF(OR($A2467="",$P2467=0),"",MOD(N($Q2467),$P2467)+1)</f>
        <v/>
      </c>
      <c r="S2467" s="15" t="n"/>
      <c r="T2467" s="25" t="n"/>
      <c r="U2467" s="26">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Builder'!$B$12="",N($S2467)&lt;='Assignment Builder'!$B$12)))</f>
        <v/>
      </c>
      <c r="V2467" s="23" t="n"/>
    </row>
    <row r="2468">
      <c r="A2468" s="23" t="n"/>
      <c r="B2468" s="23" t="n"/>
      <c r="C2468" s="24" t="n"/>
      <c r="D2468" s="15" t="n"/>
      <c r="E2468" s="23" t="n"/>
      <c r="F2468" s="15" t="n"/>
      <c r="G2468" s="23" t="n"/>
      <c r="H2468" s="25" t="n"/>
      <c r="I2468" s="15" t="n"/>
      <c r="J2468" s="26">
        <f>IF($A2468="","",LEN($C2468)-LEN(SUBSTITUTE($C2468,",",""))+1)</f>
        <v/>
      </c>
      <c r="K2468" s="26">
        <f>IF($A2468="","",SUMPRODUCT(--ISNUMBER(SEARCH('Category Dictionary'!$D$5:$D$135&amp;"",$C2468)),--('Category Dictionary'!$D$5:$D$135&lt;&gt;"")))</f>
        <v/>
      </c>
      <c r="L2468" s="27">
        <f>IF($A2468="","",TRIM(IF(ISERROR(FIND(",",$C2468)),$C2468,LEFT($C2468,FIND(",",$C2468)-1))))</f>
        <v/>
      </c>
      <c r="M2468" s="28">
        <f>IF($H2468="","",DATE(YEAR($H2468),MONTH($H2468),1))</f>
        <v/>
      </c>
      <c r="N2468" s="26">
        <f>IF($H2468="","",TODAY()-$H2468)</f>
        <v/>
      </c>
      <c r="O2468" s="15" t="n"/>
      <c r="P2468" s="26">
        <f>IF($A2468="","",COUNTIFS('Audit Versions'!$A$6:$A$605,$A2468,'Audit Versions'!$L$6:$L$605,"Active"))</f>
        <v/>
      </c>
      <c r="Q2468" s="15" t="n"/>
      <c r="R2468" s="26">
        <f>IF(OR($A2468="",$P2468=0),"",MOD(N($Q2468),$P2468)+1)</f>
        <v/>
      </c>
      <c r="S2468" s="15" t="n"/>
      <c r="T2468" s="25" t="n"/>
      <c r="U2468" s="26">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Builder'!$B$12="",N($S2468)&lt;='Assignment Builder'!$B$12)))</f>
        <v/>
      </c>
      <c r="V2468" s="23" t="n"/>
    </row>
    <row r="2469">
      <c r="A2469" s="23" t="n"/>
      <c r="B2469" s="23" t="n"/>
      <c r="C2469" s="24" t="n"/>
      <c r="D2469" s="15" t="n"/>
      <c r="E2469" s="23" t="n"/>
      <c r="F2469" s="15" t="n"/>
      <c r="G2469" s="23" t="n"/>
      <c r="H2469" s="25" t="n"/>
      <c r="I2469" s="15" t="n"/>
      <c r="J2469" s="26">
        <f>IF($A2469="","",LEN($C2469)-LEN(SUBSTITUTE($C2469,",",""))+1)</f>
        <v/>
      </c>
      <c r="K2469" s="26">
        <f>IF($A2469="","",SUMPRODUCT(--ISNUMBER(SEARCH('Category Dictionary'!$D$5:$D$135&amp;"",$C2469)),--('Category Dictionary'!$D$5:$D$135&lt;&gt;"")))</f>
        <v/>
      </c>
      <c r="L2469" s="27">
        <f>IF($A2469="","",TRIM(IF(ISERROR(FIND(",",$C2469)),$C2469,LEFT($C2469,FIND(",",$C2469)-1))))</f>
        <v/>
      </c>
      <c r="M2469" s="28">
        <f>IF($H2469="","",DATE(YEAR($H2469),MONTH($H2469),1))</f>
        <v/>
      </c>
      <c r="N2469" s="26">
        <f>IF($H2469="","",TODAY()-$H2469)</f>
        <v/>
      </c>
      <c r="O2469" s="15" t="n"/>
      <c r="P2469" s="26">
        <f>IF($A2469="","",COUNTIFS('Audit Versions'!$A$6:$A$605,$A2469,'Audit Versions'!$L$6:$L$605,"Active"))</f>
        <v/>
      </c>
      <c r="Q2469" s="15" t="n"/>
      <c r="R2469" s="26">
        <f>IF(OR($A2469="",$P2469=0),"",MOD(N($Q2469),$P2469)+1)</f>
        <v/>
      </c>
      <c r="S2469" s="15" t="n"/>
      <c r="T2469" s="25" t="n"/>
      <c r="U2469" s="26">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Builder'!$B$12="",N($S2469)&lt;='Assignment Builder'!$B$12)))</f>
        <v/>
      </c>
      <c r="V2469" s="23" t="n"/>
    </row>
    <row r="2470">
      <c r="A2470" s="23" t="n"/>
      <c r="B2470" s="23" t="n"/>
      <c r="C2470" s="24" t="n"/>
      <c r="D2470" s="15" t="n"/>
      <c r="E2470" s="23" t="n"/>
      <c r="F2470" s="15" t="n"/>
      <c r="G2470" s="23" t="n"/>
      <c r="H2470" s="25" t="n"/>
      <c r="I2470" s="15" t="n"/>
      <c r="J2470" s="26">
        <f>IF($A2470="","",LEN($C2470)-LEN(SUBSTITUTE($C2470,",",""))+1)</f>
        <v/>
      </c>
      <c r="K2470" s="26">
        <f>IF($A2470="","",SUMPRODUCT(--ISNUMBER(SEARCH('Category Dictionary'!$D$5:$D$135&amp;"",$C2470)),--('Category Dictionary'!$D$5:$D$135&lt;&gt;"")))</f>
        <v/>
      </c>
      <c r="L2470" s="27">
        <f>IF($A2470="","",TRIM(IF(ISERROR(FIND(",",$C2470)),$C2470,LEFT($C2470,FIND(",",$C2470)-1))))</f>
        <v/>
      </c>
      <c r="M2470" s="28">
        <f>IF($H2470="","",DATE(YEAR($H2470),MONTH($H2470),1))</f>
        <v/>
      </c>
      <c r="N2470" s="26">
        <f>IF($H2470="","",TODAY()-$H2470)</f>
        <v/>
      </c>
      <c r="O2470" s="15" t="n"/>
      <c r="P2470" s="26">
        <f>IF($A2470="","",COUNTIFS('Audit Versions'!$A$6:$A$605,$A2470,'Audit Versions'!$L$6:$L$605,"Active"))</f>
        <v/>
      </c>
      <c r="Q2470" s="15" t="n"/>
      <c r="R2470" s="26">
        <f>IF(OR($A2470="",$P2470=0),"",MOD(N($Q2470),$P2470)+1)</f>
        <v/>
      </c>
      <c r="S2470" s="15" t="n"/>
      <c r="T2470" s="25" t="n"/>
      <c r="U2470" s="26">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Builder'!$B$12="",N($S2470)&lt;='Assignment Builder'!$B$12)))</f>
        <v/>
      </c>
      <c r="V2470" s="23" t="n"/>
    </row>
    <row r="2471">
      <c r="A2471" s="23" t="n"/>
      <c r="B2471" s="23" t="n"/>
      <c r="C2471" s="24" t="n"/>
      <c r="D2471" s="15" t="n"/>
      <c r="E2471" s="23" t="n"/>
      <c r="F2471" s="15" t="n"/>
      <c r="G2471" s="23" t="n"/>
      <c r="H2471" s="25" t="n"/>
      <c r="I2471" s="15" t="n"/>
      <c r="J2471" s="26">
        <f>IF($A2471="","",LEN($C2471)-LEN(SUBSTITUTE($C2471,",",""))+1)</f>
        <v/>
      </c>
      <c r="K2471" s="26">
        <f>IF($A2471="","",SUMPRODUCT(--ISNUMBER(SEARCH('Category Dictionary'!$D$5:$D$135&amp;"",$C2471)),--('Category Dictionary'!$D$5:$D$135&lt;&gt;"")))</f>
        <v/>
      </c>
      <c r="L2471" s="27">
        <f>IF($A2471="","",TRIM(IF(ISERROR(FIND(",",$C2471)),$C2471,LEFT($C2471,FIND(",",$C2471)-1))))</f>
        <v/>
      </c>
      <c r="M2471" s="28">
        <f>IF($H2471="","",DATE(YEAR($H2471),MONTH($H2471),1))</f>
        <v/>
      </c>
      <c r="N2471" s="26">
        <f>IF($H2471="","",TODAY()-$H2471)</f>
        <v/>
      </c>
      <c r="O2471" s="15" t="n"/>
      <c r="P2471" s="26">
        <f>IF($A2471="","",COUNTIFS('Audit Versions'!$A$6:$A$605,$A2471,'Audit Versions'!$L$6:$L$605,"Active"))</f>
        <v/>
      </c>
      <c r="Q2471" s="15" t="n"/>
      <c r="R2471" s="26">
        <f>IF(OR($A2471="",$P2471=0),"",MOD(N($Q2471),$P2471)+1)</f>
        <v/>
      </c>
      <c r="S2471" s="15" t="n"/>
      <c r="T2471" s="25" t="n"/>
      <c r="U2471" s="26">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Builder'!$B$12="",N($S2471)&lt;='Assignment Builder'!$B$12)))</f>
        <v/>
      </c>
      <c r="V2471" s="23" t="n"/>
    </row>
    <row r="2472">
      <c r="A2472" s="23" t="n"/>
      <c r="B2472" s="23" t="n"/>
      <c r="C2472" s="24" t="n"/>
      <c r="D2472" s="15" t="n"/>
      <c r="E2472" s="23" t="n"/>
      <c r="F2472" s="15" t="n"/>
      <c r="G2472" s="23" t="n"/>
      <c r="H2472" s="25" t="n"/>
      <c r="I2472" s="15" t="n"/>
      <c r="J2472" s="26">
        <f>IF($A2472="","",LEN($C2472)-LEN(SUBSTITUTE($C2472,",",""))+1)</f>
        <v/>
      </c>
      <c r="K2472" s="26">
        <f>IF($A2472="","",SUMPRODUCT(--ISNUMBER(SEARCH('Category Dictionary'!$D$5:$D$135&amp;"",$C2472)),--('Category Dictionary'!$D$5:$D$135&lt;&gt;"")))</f>
        <v/>
      </c>
      <c r="L2472" s="27">
        <f>IF($A2472="","",TRIM(IF(ISERROR(FIND(",",$C2472)),$C2472,LEFT($C2472,FIND(",",$C2472)-1))))</f>
        <v/>
      </c>
      <c r="M2472" s="28">
        <f>IF($H2472="","",DATE(YEAR($H2472),MONTH($H2472),1))</f>
        <v/>
      </c>
      <c r="N2472" s="26">
        <f>IF($H2472="","",TODAY()-$H2472)</f>
        <v/>
      </c>
      <c r="O2472" s="15" t="n"/>
      <c r="P2472" s="26">
        <f>IF($A2472="","",COUNTIFS('Audit Versions'!$A$6:$A$605,$A2472,'Audit Versions'!$L$6:$L$605,"Active"))</f>
        <v/>
      </c>
      <c r="Q2472" s="15" t="n"/>
      <c r="R2472" s="26">
        <f>IF(OR($A2472="",$P2472=0),"",MOD(N($Q2472),$P2472)+1)</f>
        <v/>
      </c>
      <c r="S2472" s="15" t="n"/>
      <c r="T2472" s="25" t="n"/>
      <c r="U2472" s="26">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Builder'!$B$12="",N($S2472)&lt;='Assignment Builder'!$B$12)))</f>
        <v/>
      </c>
      <c r="V2472" s="23" t="n"/>
    </row>
    <row r="2473">
      <c r="A2473" s="23" t="n"/>
      <c r="B2473" s="23" t="n"/>
      <c r="C2473" s="24" t="n"/>
      <c r="D2473" s="15" t="n"/>
      <c r="E2473" s="23" t="n"/>
      <c r="F2473" s="15" t="n"/>
      <c r="G2473" s="23" t="n"/>
      <c r="H2473" s="25" t="n"/>
      <c r="I2473" s="15" t="n"/>
      <c r="J2473" s="26">
        <f>IF($A2473="","",LEN($C2473)-LEN(SUBSTITUTE($C2473,",",""))+1)</f>
        <v/>
      </c>
      <c r="K2473" s="26">
        <f>IF($A2473="","",SUMPRODUCT(--ISNUMBER(SEARCH('Category Dictionary'!$D$5:$D$135&amp;"",$C2473)),--('Category Dictionary'!$D$5:$D$135&lt;&gt;"")))</f>
        <v/>
      </c>
      <c r="L2473" s="27">
        <f>IF($A2473="","",TRIM(IF(ISERROR(FIND(",",$C2473)),$C2473,LEFT($C2473,FIND(",",$C2473)-1))))</f>
        <v/>
      </c>
      <c r="M2473" s="28">
        <f>IF($H2473="","",DATE(YEAR($H2473),MONTH($H2473),1))</f>
        <v/>
      </c>
      <c r="N2473" s="26">
        <f>IF($H2473="","",TODAY()-$H2473)</f>
        <v/>
      </c>
      <c r="O2473" s="15" t="n"/>
      <c r="P2473" s="26">
        <f>IF($A2473="","",COUNTIFS('Audit Versions'!$A$6:$A$605,$A2473,'Audit Versions'!$L$6:$L$605,"Active"))</f>
        <v/>
      </c>
      <c r="Q2473" s="15" t="n"/>
      <c r="R2473" s="26">
        <f>IF(OR($A2473="",$P2473=0),"",MOD(N($Q2473),$P2473)+1)</f>
        <v/>
      </c>
      <c r="S2473" s="15" t="n"/>
      <c r="T2473" s="25" t="n"/>
      <c r="U2473" s="26">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Builder'!$B$12="",N($S2473)&lt;='Assignment Builder'!$B$12)))</f>
        <v/>
      </c>
      <c r="V2473" s="23" t="n"/>
    </row>
    <row r="2474">
      <c r="A2474" s="23" t="n"/>
      <c r="B2474" s="23" t="n"/>
      <c r="C2474" s="24" t="n"/>
      <c r="D2474" s="15" t="n"/>
      <c r="E2474" s="23" t="n"/>
      <c r="F2474" s="15" t="n"/>
      <c r="G2474" s="23" t="n"/>
      <c r="H2474" s="25" t="n"/>
      <c r="I2474" s="15" t="n"/>
      <c r="J2474" s="26">
        <f>IF($A2474="","",LEN($C2474)-LEN(SUBSTITUTE($C2474,",",""))+1)</f>
        <v/>
      </c>
      <c r="K2474" s="26">
        <f>IF($A2474="","",SUMPRODUCT(--ISNUMBER(SEARCH('Category Dictionary'!$D$5:$D$135&amp;"",$C2474)),--('Category Dictionary'!$D$5:$D$135&lt;&gt;"")))</f>
        <v/>
      </c>
      <c r="L2474" s="27">
        <f>IF($A2474="","",TRIM(IF(ISERROR(FIND(",",$C2474)),$C2474,LEFT($C2474,FIND(",",$C2474)-1))))</f>
        <v/>
      </c>
      <c r="M2474" s="28">
        <f>IF($H2474="","",DATE(YEAR($H2474),MONTH($H2474),1))</f>
        <v/>
      </c>
      <c r="N2474" s="26">
        <f>IF($H2474="","",TODAY()-$H2474)</f>
        <v/>
      </c>
      <c r="O2474" s="15" t="n"/>
      <c r="P2474" s="26">
        <f>IF($A2474="","",COUNTIFS('Audit Versions'!$A$6:$A$605,$A2474,'Audit Versions'!$L$6:$L$605,"Active"))</f>
        <v/>
      </c>
      <c r="Q2474" s="15" t="n"/>
      <c r="R2474" s="26">
        <f>IF(OR($A2474="",$P2474=0),"",MOD(N($Q2474),$P2474)+1)</f>
        <v/>
      </c>
      <c r="S2474" s="15" t="n"/>
      <c r="T2474" s="25" t="n"/>
      <c r="U2474" s="26">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Builder'!$B$12="",N($S2474)&lt;='Assignment Builder'!$B$12)))</f>
        <v/>
      </c>
      <c r="V2474" s="23" t="n"/>
    </row>
    <row r="2475">
      <c r="A2475" s="23" t="n"/>
      <c r="B2475" s="23" t="n"/>
      <c r="C2475" s="24" t="n"/>
      <c r="D2475" s="15" t="n"/>
      <c r="E2475" s="23" t="n"/>
      <c r="F2475" s="15" t="n"/>
      <c r="G2475" s="23" t="n"/>
      <c r="H2475" s="25" t="n"/>
      <c r="I2475" s="15" t="n"/>
      <c r="J2475" s="26">
        <f>IF($A2475="","",LEN($C2475)-LEN(SUBSTITUTE($C2475,",",""))+1)</f>
        <v/>
      </c>
      <c r="K2475" s="26">
        <f>IF($A2475="","",SUMPRODUCT(--ISNUMBER(SEARCH('Category Dictionary'!$D$5:$D$135&amp;"",$C2475)),--('Category Dictionary'!$D$5:$D$135&lt;&gt;"")))</f>
        <v/>
      </c>
      <c r="L2475" s="27">
        <f>IF($A2475="","",TRIM(IF(ISERROR(FIND(",",$C2475)),$C2475,LEFT($C2475,FIND(",",$C2475)-1))))</f>
        <v/>
      </c>
      <c r="M2475" s="28">
        <f>IF($H2475="","",DATE(YEAR($H2475),MONTH($H2475),1))</f>
        <v/>
      </c>
      <c r="N2475" s="26">
        <f>IF($H2475="","",TODAY()-$H2475)</f>
        <v/>
      </c>
      <c r="O2475" s="15" t="n"/>
      <c r="P2475" s="26">
        <f>IF($A2475="","",COUNTIFS('Audit Versions'!$A$6:$A$605,$A2475,'Audit Versions'!$L$6:$L$605,"Active"))</f>
        <v/>
      </c>
      <c r="Q2475" s="15" t="n"/>
      <c r="R2475" s="26">
        <f>IF(OR($A2475="",$P2475=0),"",MOD(N($Q2475),$P2475)+1)</f>
        <v/>
      </c>
      <c r="S2475" s="15" t="n"/>
      <c r="T2475" s="25" t="n"/>
      <c r="U2475" s="26">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Builder'!$B$12="",N($S2475)&lt;='Assignment Builder'!$B$12)))</f>
        <v/>
      </c>
      <c r="V2475" s="23" t="n"/>
    </row>
    <row r="2476">
      <c r="A2476" s="23" t="n"/>
      <c r="B2476" s="23" t="n"/>
      <c r="C2476" s="24" t="n"/>
      <c r="D2476" s="15" t="n"/>
      <c r="E2476" s="23" t="n"/>
      <c r="F2476" s="15" t="n"/>
      <c r="G2476" s="23" t="n"/>
      <c r="H2476" s="25" t="n"/>
      <c r="I2476" s="15" t="n"/>
      <c r="J2476" s="26">
        <f>IF($A2476="","",LEN($C2476)-LEN(SUBSTITUTE($C2476,",",""))+1)</f>
        <v/>
      </c>
      <c r="K2476" s="26">
        <f>IF($A2476="","",SUMPRODUCT(--ISNUMBER(SEARCH('Category Dictionary'!$D$5:$D$135&amp;"",$C2476)),--('Category Dictionary'!$D$5:$D$135&lt;&gt;"")))</f>
        <v/>
      </c>
      <c r="L2476" s="27">
        <f>IF($A2476="","",TRIM(IF(ISERROR(FIND(",",$C2476)),$C2476,LEFT($C2476,FIND(",",$C2476)-1))))</f>
        <v/>
      </c>
      <c r="M2476" s="28">
        <f>IF($H2476="","",DATE(YEAR($H2476),MONTH($H2476),1))</f>
        <v/>
      </c>
      <c r="N2476" s="26">
        <f>IF($H2476="","",TODAY()-$H2476)</f>
        <v/>
      </c>
      <c r="O2476" s="15" t="n"/>
      <c r="P2476" s="26">
        <f>IF($A2476="","",COUNTIFS('Audit Versions'!$A$6:$A$605,$A2476,'Audit Versions'!$L$6:$L$605,"Active"))</f>
        <v/>
      </c>
      <c r="Q2476" s="15" t="n"/>
      <c r="R2476" s="26">
        <f>IF(OR($A2476="",$P2476=0),"",MOD(N($Q2476),$P2476)+1)</f>
        <v/>
      </c>
      <c r="S2476" s="15" t="n"/>
      <c r="T2476" s="25" t="n"/>
      <c r="U2476" s="26">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Builder'!$B$12="",N($S2476)&lt;='Assignment Builder'!$B$12)))</f>
        <v/>
      </c>
      <c r="V2476" s="23" t="n"/>
    </row>
    <row r="2477">
      <c r="A2477" s="23" t="n"/>
      <c r="B2477" s="23" t="n"/>
      <c r="C2477" s="24" t="n"/>
      <c r="D2477" s="15" t="n"/>
      <c r="E2477" s="23" t="n"/>
      <c r="F2477" s="15" t="n"/>
      <c r="G2477" s="23" t="n"/>
      <c r="H2477" s="25" t="n"/>
      <c r="I2477" s="15" t="n"/>
      <c r="J2477" s="26">
        <f>IF($A2477="","",LEN($C2477)-LEN(SUBSTITUTE($C2477,",",""))+1)</f>
        <v/>
      </c>
      <c r="K2477" s="26">
        <f>IF($A2477="","",SUMPRODUCT(--ISNUMBER(SEARCH('Category Dictionary'!$D$5:$D$135&amp;"",$C2477)),--('Category Dictionary'!$D$5:$D$135&lt;&gt;"")))</f>
        <v/>
      </c>
      <c r="L2477" s="27">
        <f>IF($A2477="","",TRIM(IF(ISERROR(FIND(",",$C2477)),$C2477,LEFT($C2477,FIND(",",$C2477)-1))))</f>
        <v/>
      </c>
      <c r="M2477" s="28">
        <f>IF($H2477="","",DATE(YEAR($H2477),MONTH($H2477),1))</f>
        <v/>
      </c>
      <c r="N2477" s="26">
        <f>IF($H2477="","",TODAY()-$H2477)</f>
        <v/>
      </c>
      <c r="O2477" s="15" t="n"/>
      <c r="P2477" s="26">
        <f>IF($A2477="","",COUNTIFS('Audit Versions'!$A$6:$A$605,$A2477,'Audit Versions'!$L$6:$L$605,"Active"))</f>
        <v/>
      </c>
      <c r="Q2477" s="15" t="n"/>
      <c r="R2477" s="26">
        <f>IF(OR($A2477="",$P2477=0),"",MOD(N($Q2477),$P2477)+1)</f>
        <v/>
      </c>
      <c r="S2477" s="15" t="n"/>
      <c r="T2477" s="25" t="n"/>
      <c r="U2477" s="26">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Builder'!$B$12="",N($S2477)&lt;='Assignment Builder'!$B$12)))</f>
        <v/>
      </c>
      <c r="V2477" s="23" t="n"/>
    </row>
    <row r="2478">
      <c r="A2478" s="23" t="n"/>
      <c r="B2478" s="23" t="n"/>
      <c r="C2478" s="24" t="n"/>
      <c r="D2478" s="15" t="n"/>
      <c r="E2478" s="23" t="n"/>
      <c r="F2478" s="15" t="n"/>
      <c r="G2478" s="23" t="n"/>
      <c r="H2478" s="25" t="n"/>
      <c r="I2478" s="15" t="n"/>
      <c r="J2478" s="26">
        <f>IF($A2478="","",LEN($C2478)-LEN(SUBSTITUTE($C2478,",",""))+1)</f>
        <v/>
      </c>
      <c r="K2478" s="26">
        <f>IF($A2478="","",SUMPRODUCT(--ISNUMBER(SEARCH('Category Dictionary'!$D$5:$D$135&amp;"",$C2478)),--('Category Dictionary'!$D$5:$D$135&lt;&gt;"")))</f>
        <v/>
      </c>
      <c r="L2478" s="27">
        <f>IF($A2478="","",TRIM(IF(ISERROR(FIND(",",$C2478)),$C2478,LEFT($C2478,FIND(",",$C2478)-1))))</f>
        <v/>
      </c>
      <c r="M2478" s="28">
        <f>IF($H2478="","",DATE(YEAR($H2478),MONTH($H2478),1))</f>
        <v/>
      </c>
      <c r="N2478" s="26">
        <f>IF($H2478="","",TODAY()-$H2478)</f>
        <v/>
      </c>
      <c r="O2478" s="15" t="n"/>
      <c r="P2478" s="26">
        <f>IF($A2478="","",COUNTIFS('Audit Versions'!$A$6:$A$605,$A2478,'Audit Versions'!$L$6:$L$605,"Active"))</f>
        <v/>
      </c>
      <c r="Q2478" s="15" t="n"/>
      <c r="R2478" s="26">
        <f>IF(OR($A2478="",$P2478=0),"",MOD(N($Q2478),$P2478)+1)</f>
        <v/>
      </c>
      <c r="S2478" s="15" t="n"/>
      <c r="T2478" s="25" t="n"/>
      <c r="U2478" s="26">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Builder'!$B$12="",N($S2478)&lt;='Assignment Builder'!$B$12)))</f>
        <v/>
      </c>
      <c r="V2478" s="23" t="n"/>
    </row>
    <row r="2479">
      <c r="A2479" s="23" t="n"/>
      <c r="B2479" s="23" t="n"/>
      <c r="C2479" s="24" t="n"/>
      <c r="D2479" s="15" t="n"/>
      <c r="E2479" s="23" t="n"/>
      <c r="F2479" s="15" t="n"/>
      <c r="G2479" s="23" t="n"/>
      <c r="H2479" s="25" t="n"/>
      <c r="I2479" s="15" t="n"/>
      <c r="J2479" s="26">
        <f>IF($A2479="","",LEN($C2479)-LEN(SUBSTITUTE($C2479,",",""))+1)</f>
        <v/>
      </c>
      <c r="K2479" s="26">
        <f>IF($A2479="","",SUMPRODUCT(--ISNUMBER(SEARCH('Category Dictionary'!$D$5:$D$135&amp;"",$C2479)),--('Category Dictionary'!$D$5:$D$135&lt;&gt;"")))</f>
        <v/>
      </c>
      <c r="L2479" s="27">
        <f>IF($A2479="","",TRIM(IF(ISERROR(FIND(",",$C2479)),$C2479,LEFT($C2479,FIND(",",$C2479)-1))))</f>
        <v/>
      </c>
      <c r="M2479" s="28">
        <f>IF($H2479="","",DATE(YEAR($H2479),MONTH($H2479),1))</f>
        <v/>
      </c>
      <c r="N2479" s="26">
        <f>IF($H2479="","",TODAY()-$H2479)</f>
        <v/>
      </c>
      <c r="O2479" s="15" t="n"/>
      <c r="P2479" s="26">
        <f>IF($A2479="","",COUNTIFS('Audit Versions'!$A$6:$A$605,$A2479,'Audit Versions'!$L$6:$L$605,"Active"))</f>
        <v/>
      </c>
      <c r="Q2479" s="15" t="n"/>
      <c r="R2479" s="26">
        <f>IF(OR($A2479="",$P2479=0),"",MOD(N($Q2479),$P2479)+1)</f>
        <v/>
      </c>
      <c r="S2479" s="15" t="n"/>
      <c r="T2479" s="25" t="n"/>
      <c r="U2479" s="26">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Builder'!$B$12="",N($S2479)&lt;='Assignment Builder'!$B$12)))</f>
        <v/>
      </c>
      <c r="V2479" s="23" t="n"/>
    </row>
    <row r="2480">
      <c r="A2480" s="23" t="n"/>
      <c r="B2480" s="23" t="n"/>
      <c r="C2480" s="24" t="n"/>
      <c r="D2480" s="15" t="n"/>
      <c r="E2480" s="23" t="n"/>
      <c r="F2480" s="15" t="n"/>
      <c r="G2480" s="23" t="n"/>
      <c r="H2480" s="25" t="n"/>
      <c r="I2480" s="15" t="n"/>
      <c r="J2480" s="26">
        <f>IF($A2480="","",LEN($C2480)-LEN(SUBSTITUTE($C2480,",",""))+1)</f>
        <v/>
      </c>
      <c r="K2480" s="26">
        <f>IF($A2480="","",SUMPRODUCT(--ISNUMBER(SEARCH('Category Dictionary'!$D$5:$D$135&amp;"",$C2480)),--('Category Dictionary'!$D$5:$D$135&lt;&gt;"")))</f>
        <v/>
      </c>
      <c r="L2480" s="27">
        <f>IF($A2480="","",TRIM(IF(ISERROR(FIND(",",$C2480)),$C2480,LEFT($C2480,FIND(",",$C2480)-1))))</f>
        <v/>
      </c>
      <c r="M2480" s="28">
        <f>IF($H2480="","",DATE(YEAR($H2480),MONTH($H2480),1))</f>
        <v/>
      </c>
      <c r="N2480" s="26">
        <f>IF($H2480="","",TODAY()-$H2480)</f>
        <v/>
      </c>
      <c r="O2480" s="15" t="n"/>
      <c r="P2480" s="26">
        <f>IF($A2480="","",COUNTIFS('Audit Versions'!$A$6:$A$605,$A2480,'Audit Versions'!$L$6:$L$605,"Active"))</f>
        <v/>
      </c>
      <c r="Q2480" s="15" t="n"/>
      <c r="R2480" s="26">
        <f>IF(OR($A2480="",$P2480=0),"",MOD(N($Q2480),$P2480)+1)</f>
        <v/>
      </c>
      <c r="S2480" s="15" t="n"/>
      <c r="T2480" s="25" t="n"/>
      <c r="U2480" s="26">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Builder'!$B$12="",N($S2480)&lt;='Assignment Builder'!$B$12)))</f>
        <v/>
      </c>
      <c r="V2480" s="23" t="n"/>
    </row>
    <row r="2481">
      <c r="A2481" s="23" t="n"/>
      <c r="B2481" s="23" t="n"/>
      <c r="C2481" s="24" t="n"/>
      <c r="D2481" s="15" t="n"/>
      <c r="E2481" s="23" t="n"/>
      <c r="F2481" s="15" t="n"/>
      <c r="G2481" s="23" t="n"/>
      <c r="H2481" s="25" t="n"/>
      <c r="I2481" s="15" t="n"/>
      <c r="J2481" s="26">
        <f>IF($A2481="","",LEN($C2481)-LEN(SUBSTITUTE($C2481,",",""))+1)</f>
        <v/>
      </c>
      <c r="K2481" s="26">
        <f>IF($A2481="","",SUMPRODUCT(--ISNUMBER(SEARCH('Category Dictionary'!$D$5:$D$135&amp;"",$C2481)),--('Category Dictionary'!$D$5:$D$135&lt;&gt;"")))</f>
        <v/>
      </c>
      <c r="L2481" s="27">
        <f>IF($A2481="","",TRIM(IF(ISERROR(FIND(",",$C2481)),$C2481,LEFT($C2481,FIND(",",$C2481)-1))))</f>
        <v/>
      </c>
      <c r="M2481" s="28">
        <f>IF($H2481="","",DATE(YEAR($H2481),MONTH($H2481),1))</f>
        <v/>
      </c>
      <c r="N2481" s="26">
        <f>IF($H2481="","",TODAY()-$H2481)</f>
        <v/>
      </c>
      <c r="O2481" s="15" t="n"/>
      <c r="P2481" s="26">
        <f>IF($A2481="","",COUNTIFS('Audit Versions'!$A$6:$A$605,$A2481,'Audit Versions'!$L$6:$L$605,"Active"))</f>
        <v/>
      </c>
      <c r="Q2481" s="15" t="n"/>
      <c r="R2481" s="26">
        <f>IF(OR($A2481="",$P2481=0),"",MOD(N($Q2481),$P2481)+1)</f>
        <v/>
      </c>
      <c r="S2481" s="15" t="n"/>
      <c r="T2481" s="25" t="n"/>
      <c r="U2481" s="26">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Builder'!$B$12="",N($S2481)&lt;='Assignment Builder'!$B$12)))</f>
        <v/>
      </c>
      <c r="V2481" s="23" t="n"/>
    </row>
    <row r="2482">
      <c r="A2482" s="23" t="n"/>
      <c r="B2482" s="23" t="n"/>
      <c r="C2482" s="24" t="n"/>
      <c r="D2482" s="15" t="n"/>
      <c r="E2482" s="23" t="n"/>
      <c r="F2482" s="15" t="n"/>
      <c r="G2482" s="23" t="n"/>
      <c r="H2482" s="25" t="n"/>
      <c r="I2482" s="15" t="n"/>
      <c r="J2482" s="26">
        <f>IF($A2482="","",LEN($C2482)-LEN(SUBSTITUTE($C2482,",",""))+1)</f>
        <v/>
      </c>
      <c r="K2482" s="26">
        <f>IF($A2482="","",SUMPRODUCT(--ISNUMBER(SEARCH('Category Dictionary'!$D$5:$D$135&amp;"",$C2482)),--('Category Dictionary'!$D$5:$D$135&lt;&gt;"")))</f>
        <v/>
      </c>
      <c r="L2482" s="27">
        <f>IF($A2482="","",TRIM(IF(ISERROR(FIND(",",$C2482)),$C2482,LEFT($C2482,FIND(",",$C2482)-1))))</f>
        <v/>
      </c>
      <c r="M2482" s="28">
        <f>IF($H2482="","",DATE(YEAR($H2482),MONTH($H2482),1))</f>
        <v/>
      </c>
      <c r="N2482" s="26">
        <f>IF($H2482="","",TODAY()-$H2482)</f>
        <v/>
      </c>
      <c r="O2482" s="15" t="n"/>
      <c r="P2482" s="26">
        <f>IF($A2482="","",COUNTIFS('Audit Versions'!$A$6:$A$605,$A2482,'Audit Versions'!$L$6:$L$605,"Active"))</f>
        <v/>
      </c>
      <c r="Q2482" s="15" t="n"/>
      <c r="R2482" s="26">
        <f>IF(OR($A2482="",$P2482=0),"",MOD(N($Q2482),$P2482)+1)</f>
        <v/>
      </c>
      <c r="S2482" s="15" t="n"/>
      <c r="T2482" s="25" t="n"/>
      <c r="U2482" s="26">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Builder'!$B$12="",N($S2482)&lt;='Assignment Builder'!$B$12)))</f>
        <v/>
      </c>
      <c r="V2482" s="23" t="n"/>
    </row>
    <row r="2483">
      <c r="A2483" s="23" t="n"/>
      <c r="B2483" s="23" t="n"/>
      <c r="C2483" s="24" t="n"/>
      <c r="D2483" s="15" t="n"/>
      <c r="E2483" s="23" t="n"/>
      <c r="F2483" s="15" t="n"/>
      <c r="G2483" s="23" t="n"/>
      <c r="H2483" s="25" t="n"/>
      <c r="I2483" s="15" t="n"/>
      <c r="J2483" s="26">
        <f>IF($A2483="","",LEN($C2483)-LEN(SUBSTITUTE($C2483,",",""))+1)</f>
        <v/>
      </c>
      <c r="K2483" s="26">
        <f>IF($A2483="","",SUMPRODUCT(--ISNUMBER(SEARCH('Category Dictionary'!$D$5:$D$135&amp;"",$C2483)),--('Category Dictionary'!$D$5:$D$135&lt;&gt;"")))</f>
        <v/>
      </c>
      <c r="L2483" s="27">
        <f>IF($A2483="","",TRIM(IF(ISERROR(FIND(",",$C2483)),$C2483,LEFT($C2483,FIND(",",$C2483)-1))))</f>
        <v/>
      </c>
      <c r="M2483" s="28">
        <f>IF($H2483="","",DATE(YEAR($H2483),MONTH($H2483),1))</f>
        <v/>
      </c>
      <c r="N2483" s="26">
        <f>IF($H2483="","",TODAY()-$H2483)</f>
        <v/>
      </c>
      <c r="O2483" s="15" t="n"/>
      <c r="P2483" s="26">
        <f>IF($A2483="","",COUNTIFS('Audit Versions'!$A$6:$A$605,$A2483,'Audit Versions'!$L$6:$L$605,"Active"))</f>
        <v/>
      </c>
      <c r="Q2483" s="15" t="n"/>
      <c r="R2483" s="26">
        <f>IF(OR($A2483="",$P2483=0),"",MOD(N($Q2483),$P2483)+1)</f>
        <v/>
      </c>
      <c r="S2483" s="15" t="n"/>
      <c r="T2483" s="25" t="n"/>
      <c r="U2483" s="26">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Builder'!$B$12="",N($S2483)&lt;='Assignment Builder'!$B$12)))</f>
        <v/>
      </c>
      <c r="V2483" s="23" t="n"/>
    </row>
    <row r="2484">
      <c r="A2484" s="23" t="n"/>
      <c r="B2484" s="23" t="n"/>
      <c r="C2484" s="24" t="n"/>
      <c r="D2484" s="15" t="n"/>
      <c r="E2484" s="23" t="n"/>
      <c r="F2484" s="15" t="n"/>
      <c r="G2484" s="23" t="n"/>
      <c r="H2484" s="25" t="n"/>
      <c r="I2484" s="15" t="n"/>
      <c r="J2484" s="26">
        <f>IF($A2484="","",LEN($C2484)-LEN(SUBSTITUTE($C2484,",",""))+1)</f>
        <v/>
      </c>
      <c r="K2484" s="26">
        <f>IF($A2484="","",SUMPRODUCT(--ISNUMBER(SEARCH('Category Dictionary'!$D$5:$D$135&amp;"",$C2484)),--('Category Dictionary'!$D$5:$D$135&lt;&gt;"")))</f>
        <v/>
      </c>
      <c r="L2484" s="27">
        <f>IF($A2484="","",TRIM(IF(ISERROR(FIND(",",$C2484)),$C2484,LEFT($C2484,FIND(",",$C2484)-1))))</f>
        <v/>
      </c>
      <c r="M2484" s="28">
        <f>IF($H2484="","",DATE(YEAR($H2484),MONTH($H2484),1))</f>
        <v/>
      </c>
      <c r="N2484" s="26">
        <f>IF($H2484="","",TODAY()-$H2484)</f>
        <v/>
      </c>
      <c r="O2484" s="15" t="n"/>
      <c r="P2484" s="26">
        <f>IF($A2484="","",COUNTIFS('Audit Versions'!$A$6:$A$605,$A2484,'Audit Versions'!$L$6:$L$605,"Active"))</f>
        <v/>
      </c>
      <c r="Q2484" s="15" t="n"/>
      <c r="R2484" s="26">
        <f>IF(OR($A2484="",$P2484=0),"",MOD(N($Q2484),$P2484)+1)</f>
        <v/>
      </c>
      <c r="S2484" s="15" t="n"/>
      <c r="T2484" s="25" t="n"/>
      <c r="U2484" s="26">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Builder'!$B$12="",N($S2484)&lt;='Assignment Builder'!$B$12)))</f>
        <v/>
      </c>
      <c r="V2484" s="23" t="n"/>
    </row>
    <row r="2485">
      <c r="A2485" s="23" t="n"/>
      <c r="B2485" s="23" t="n"/>
      <c r="C2485" s="24" t="n"/>
      <c r="D2485" s="15" t="n"/>
      <c r="E2485" s="23" t="n"/>
      <c r="F2485" s="15" t="n"/>
      <c r="G2485" s="23" t="n"/>
      <c r="H2485" s="25" t="n"/>
      <c r="I2485" s="15" t="n"/>
      <c r="J2485" s="26">
        <f>IF($A2485="","",LEN($C2485)-LEN(SUBSTITUTE($C2485,",",""))+1)</f>
        <v/>
      </c>
      <c r="K2485" s="26">
        <f>IF($A2485="","",SUMPRODUCT(--ISNUMBER(SEARCH('Category Dictionary'!$D$5:$D$135&amp;"",$C2485)),--('Category Dictionary'!$D$5:$D$135&lt;&gt;"")))</f>
        <v/>
      </c>
      <c r="L2485" s="27">
        <f>IF($A2485="","",TRIM(IF(ISERROR(FIND(",",$C2485)),$C2485,LEFT($C2485,FIND(",",$C2485)-1))))</f>
        <v/>
      </c>
      <c r="M2485" s="28">
        <f>IF($H2485="","",DATE(YEAR($H2485),MONTH($H2485),1))</f>
        <v/>
      </c>
      <c r="N2485" s="26">
        <f>IF($H2485="","",TODAY()-$H2485)</f>
        <v/>
      </c>
      <c r="O2485" s="15" t="n"/>
      <c r="P2485" s="26">
        <f>IF($A2485="","",COUNTIFS('Audit Versions'!$A$6:$A$605,$A2485,'Audit Versions'!$L$6:$L$605,"Active"))</f>
        <v/>
      </c>
      <c r="Q2485" s="15" t="n"/>
      <c r="R2485" s="26">
        <f>IF(OR($A2485="",$P2485=0),"",MOD(N($Q2485),$P2485)+1)</f>
        <v/>
      </c>
      <c r="S2485" s="15" t="n"/>
      <c r="T2485" s="25" t="n"/>
      <c r="U2485" s="26">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Builder'!$B$12="",N($S2485)&lt;='Assignment Builder'!$B$12)))</f>
        <v/>
      </c>
      <c r="V2485" s="23" t="n"/>
    </row>
    <row r="2486">
      <c r="A2486" s="23" t="n"/>
      <c r="B2486" s="23" t="n"/>
      <c r="C2486" s="24" t="n"/>
      <c r="D2486" s="15" t="n"/>
      <c r="E2486" s="23" t="n"/>
      <c r="F2486" s="15" t="n"/>
      <c r="G2486" s="23" t="n"/>
      <c r="H2486" s="25" t="n"/>
      <c r="I2486" s="15" t="n"/>
      <c r="J2486" s="26">
        <f>IF($A2486="","",LEN($C2486)-LEN(SUBSTITUTE($C2486,",",""))+1)</f>
        <v/>
      </c>
      <c r="K2486" s="26">
        <f>IF($A2486="","",SUMPRODUCT(--ISNUMBER(SEARCH('Category Dictionary'!$D$5:$D$135&amp;"",$C2486)),--('Category Dictionary'!$D$5:$D$135&lt;&gt;"")))</f>
        <v/>
      </c>
      <c r="L2486" s="27">
        <f>IF($A2486="","",TRIM(IF(ISERROR(FIND(",",$C2486)),$C2486,LEFT($C2486,FIND(",",$C2486)-1))))</f>
        <v/>
      </c>
      <c r="M2486" s="28">
        <f>IF($H2486="","",DATE(YEAR($H2486),MONTH($H2486),1))</f>
        <v/>
      </c>
      <c r="N2486" s="26">
        <f>IF($H2486="","",TODAY()-$H2486)</f>
        <v/>
      </c>
      <c r="O2486" s="15" t="n"/>
      <c r="P2486" s="26">
        <f>IF($A2486="","",COUNTIFS('Audit Versions'!$A$6:$A$605,$A2486,'Audit Versions'!$L$6:$L$605,"Active"))</f>
        <v/>
      </c>
      <c r="Q2486" s="15" t="n"/>
      <c r="R2486" s="26">
        <f>IF(OR($A2486="",$P2486=0),"",MOD(N($Q2486),$P2486)+1)</f>
        <v/>
      </c>
      <c r="S2486" s="15" t="n"/>
      <c r="T2486" s="25" t="n"/>
      <c r="U2486" s="26">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Builder'!$B$12="",N($S2486)&lt;='Assignment Builder'!$B$12)))</f>
        <v/>
      </c>
      <c r="V2486" s="23" t="n"/>
    </row>
    <row r="2487">
      <c r="A2487" s="23" t="n"/>
      <c r="B2487" s="23" t="n"/>
      <c r="C2487" s="24" t="n"/>
      <c r="D2487" s="15" t="n"/>
      <c r="E2487" s="23" t="n"/>
      <c r="F2487" s="15" t="n"/>
      <c r="G2487" s="23" t="n"/>
      <c r="H2487" s="25" t="n"/>
      <c r="I2487" s="15" t="n"/>
      <c r="J2487" s="26">
        <f>IF($A2487="","",LEN($C2487)-LEN(SUBSTITUTE($C2487,",",""))+1)</f>
        <v/>
      </c>
      <c r="K2487" s="26">
        <f>IF($A2487="","",SUMPRODUCT(--ISNUMBER(SEARCH('Category Dictionary'!$D$5:$D$135&amp;"",$C2487)),--('Category Dictionary'!$D$5:$D$135&lt;&gt;"")))</f>
        <v/>
      </c>
      <c r="L2487" s="27">
        <f>IF($A2487="","",TRIM(IF(ISERROR(FIND(",",$C2487)),$C2487,LEFT($C2487,FIND(",",$C2487)-1))))</f>
        <v/>
      </c>
      <c r="M2487" s="28">
        <f>IF($H2487="","",DATE(YEAR($H2487),MONTH($H2487),1))</f>
        <v/>
      </c>
      <c r="N2487" s="26">
        <f>IF($H2487="","",TODAY()-$H2487)</f>
        <v/>
      </c>
      <c r="O2487" s="15" t="n"/>
      <c r="P2487" s="26">
        <f>IF($A2487="","",COUNTIFS('Audit Versions'!$A$6:$A$605,$A2487,'Audit Versions'!$L$6:$L$605,"Active"))</f>
        <v/>
      </c>
      <c r="Q2487" s="15" t="n"/>
      <c r="R2487" s="26">
        <f>IF(OR($A2487="",$P2487=0),"",MOD(N($Q2487),$P2487)+1)</f>
        <v/>
      </c>
      <c r="S2487" s="15" t="n"/>
      <c r="T2487" s="25" t="n"/>
      <c r="U2487" s="26">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Builder'!$B$12="",N($S2487)&lt;='Assignment Builder'!$B$12)))</f>
        <v/>
      </c>
      <c r="V2487" s="23" t="n"/>
    </row>
    <row r="2488">
      <c r="A2488" s="23" t="n"/>
      <c r="B2488" s="23" t="n"/>
      <c r="C2488" s="24" t="n"/>
      <c r="D2488" s="15" t="n"/>
      <c r="E2488" s="23" t="n"/>
      <c r="F2488" s="15" t="n"/>
      <c r="G2488" s="23" t="n"/>
      <c r="H2488" s="25" t="n"/>
      <c r="I2488" s="15" t="n"/>
      <c r="J2488" s="26">
        <f>IF($A2488="","",LEN($C2488)-LEN(SUBSTITUTE($C2488,",",""))+1)</f>
        <v/>
      </c>
      <c r="K2488" s="26">
        <f>IF($A2488="","",SUMPRODUCT(--ISNUMBER(SEARCH('Category Dictionary'!$D$5:$D$135&amp;"",$C2488)),--('Category Dictionary'!$D$5:$D$135&lt;&gt;"")))</f>
        <v/>
      </c>
      <c r="L2488" s="27">
        <f>IF($A2488="","",TRIM(IF(ISERROR(FIND(",",$C2488)),$C2488,LEFT($C2488,FIND(",",$C2488)-1))))</f>
        <v/>
      </c>
      <c r="M2488" s="28">
        <f>IF($H2488="","",DATE(YEAR($H2488),MONTH($H2488),1))</f>
        <v/>
      </c>
      <c r="N2488" s="26">
        <f>IF($H2488="","",TODAY()-$H2488)</f>
        <v/>
      </c>
      <c r="O2488" s="15" t="n"/>
      <c r="P2488" s="26">
        <f>IF($A2488="","",COUNTIFS('Audit Versions'!$A$6:$A$605,$A2488,'Audit Versions'!$L$6:$L$605,"Active"))</f>
        <v/>
      </c>
      <c r="Q2488" s="15" t="n"/>
      <c r="R2488" s="26">
        <f>IF(OR($A2488="",$P2488=0),"",MOD(N($Q2488),$P2488)+1)</f>
        <v/>
      </c>
      <c r="S2488" s="15" t="n"/>
      <c r="T2488" s="25" t="n"/>
      <c r="U2488" s="26">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Builder'!$B$12="",N($S2488)&lt;='Assignment Builder'!$B$12)))</f>
        <v/>
      </c>
      <c r="V2488" s="23" t="n"/>
    </row>
    <row r="2489">
      <c r="A2489" s="23" t="n"/>
      <c r="B2489" s="23" t="n"/>
      <c r="C2489" s="24" t="n"/>
      <c r="D2489" s="15" t="n"/>
      <c r="E2489" s="23" t="n"/>
      <c r="F2489" s="15" t="n"/>
      <c r="G2489" s="23" t="n"/>
      <c r="H2489" s="25" t="n"/>
      <c r="I2489" s="15" t="n"/>
      <c r="J2489" s="26">
        <f>IF($A2489="","",LEN($C2489)-LEN(SUBSTITUTE($C2489,",",""))+1)</f>
        <v/>
      </c>
      <c r="K2489" s="26">
        <f>IF($A2489="","",SUMPRODUCT(--ISNUMBER(SEARCH('Category Dictionary'!$D$5:$D$135&amp;"",$C2489)),--('Category Dictionary'!$D$5:$D$135&lt;&gt;"")))</f>
        <v/>
      </c>
      <c r="L2489" s="27">
        <f>IF($A2489="","",TRIM(IF(ISERROR(FIND(",",$C2489)),$C2489,LEFT($C2489,FIND(",",$C2489)-1))))</f>
        <v/>
      </c>
      <c r="M2489" s="28">
        <f>IF($H2489="","",DATE(YEAR($H2489),MONTH($H2489),1))</f>
        <v/>
      </c>
      <c r="N2489" s="26">
        <f>IF($H2489="","",TODAY()-$H2489)</f>
        <v/>
      </c>
      <c r="O2489" s="15" t="n"/>
      <c r="P2489" s="26">
        <f>IF($A2489="","",COUNTIFS('Audit Versions'!$A$6:$A$605,$A2489,'Audit Versions'!$L$6:$L$605,"Active"))</f>
        <v/>
      </c>
      <c r="Q2489" s="15" t="n"/>
      <c r="R2489" s="26">
        <f>IF(OR($A2489="",$P2489=0),"",MOD(N($Q2489),$P2489)+1)</f>
        <v/>
      </c>
      <c r="S2489" s="15" t="n"/>
      <c r="T2489" s="25" t="n"/>
      <c r="U2489" s="26">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Builder'!$B$12="",N($S2489)&lt;='Assignment Builder'!$B$12)))</f>
        <v/>
      </c>
      <c r="V2489" s="23" t="n"/>
    </row>
    <row r="2490">
      <c r="A2490" s="23" t="n"/>
      <c r="B2490" s="23" t="n"/>
      <c r="C2490" s="24" t="n"/>
      <c r="D2490" s="15" t="n"/>
      <c r="E2490" s="23" t="n"/>
      <c r="F2490" s="15" t="n"/>
      <c r="G2490" s="23" t="n"/>
      <c r="H2490" s="25" t="n"/>
      <c r="I2490" s="15" t="n"/>
      <c r="J2490" s="26">
        <f>IF($A2490="","",LEN($C2490)-LEN(SUBSTITUTE($C2490,",",""))+1)</f>
        <v/>
      </c>
      <c r="K2490" s="26">
        <f>IF($A2490="","",SUMPRODUCT(--ISNUMBER(SEARCH('Category Dictionary'!$D$5:$D$135&amp;"",$C2490)),--('Category Dictionary'!$D$5:$D$135&lt;&gt;"")))</f>
        <v/>
      </c>
      <c r="L2490" s="27">
        <f>IF($A2490="","",TRIM(IF(ISERROR(FIND(",",$C2490)),$C2490,LEFT($C2490,FIND(",",$C2490)-1))))</f>
        <v/>
      </c>
      <c r="M2490" s="28">
        <f>IF($H2490="","",DATE(YEAR($H2490),MONTH($H2490),1))</f>
        <v/>
      </c>
      <c r="N2490" s="26">
        <f>IF($H2490="","",TODAY()-$H2490)</f>
        <v/>
      </c>
      <c r="O2490" s="15" t="n"/>
      <c r="P2490" s="26">
        <f>IF($A2490="","",COUNTIFS('Audit Versions'!$A$6:$A$605,$A2490,'Audit Versions'!$L$6:$L$605,"Active"))</f>
        <v/>
      </c>
      <c r="Q2490" s="15" t="n"/>
      <c r="R2490" s="26">
        <f>IF(OR($A2490="",$P2490=0),"",MOD(N($Q2490),$P2490)+1)</f>
        <v/>
      </c>
      <c r="S2490" s="15" t="n"/>
      <c r="T2490" s="25" t="n"/>
      <c r="U2490" s="26">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Builder'!$B$12="",N($S2490)&lt;='Assignment Builder'!$B$12)))</f>
        <v/>
      </c>
      <c r="V2490" s="23" t="n"/>
    </row>
    <row r="2491">
      <c r="A2491" s="23" t="n"/>
      <c r="B2491" s="23" t="n"/>
      <c r="C2491" s="24" t="n"/>
      <c r="D2491" s="15" t="n"/>
      <c r="E2491" s="23" t="n"/>
      <c r="F2491" s="15" t="n"/>
      <c r="G2491" s="23" t="n"/>
      <c r="H2491" s="25" t="n"/>
      <c r="I2491" s="15" t="n"/>
      <c r="J2491" s="26">
        <f>IF($A2491="","",LEN($C2491)-LEN(SUBSTITUTE($C2491,",",""))+1)</f>
        <v/>
      </c>
      <c r="K2491" s="26">
        <f>IF($A2491="","",SUMPRODUCT(--ISNUMBER(SEARCH('Category Dictionary'!$D$5:$D$135&amp;"",$C2491)),--('Category Dictionary'!$D$5:$D$135&lt;&gt;"")))</f>
        <v/>
      </c>
      <c r="L2491" s="27">
        <f>IF($A2491="","",TRIM(IF(ISERROR(FIND(",",$C2491)),$C2491,LEFT($C2491,FIND(",",$C2491)-1))))</f>
        <v/>
      </c>
      <c r="M2491" s="28">
        <f>IF($H2491="","",DATE(YEAR($H2491),MONTH($H2491),1))</f>
        <v/>
      </c>
      <c r="N2491" s="26">
        <f>IF($H2491="","",TODAY()-$H2491)</f>
        <v/>
      </c>
      <c r="O2491" s="15" t="n"/>
      <c r="P2491" s="26">
        <f>IF($A2491="","",COUNTIFS('Audit Versions'!$A$6:$A$605,$A2491,'Audit Versions'!$L$6:$L$605,"Active"))</f>
        <v/>
      </c>
      <c r="Q2491" s="15" t="n"/>
      <c r="R2491" s="26">
        <f>IF(OR($A2491="",$P2491=0),"",MOD(N($Q2491),$P2491)+1)</f>
        <v/>
      </c>
      <c r="S2491" s="15" t="n"/>
      <c r="T2491" s="25" t="n"/>
      <c r="U2491" s="26">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Builder'!$B$12="",N($S2491)&lt;='Assignment Builder'!$B$12)))</f>
        <v/>
      </c>
      <c r="V2491" s="23" t="n"/>
    </row>
    <row r="2492">
      <c r="A2492" s="23" t="n"/>
      <c r="B2492" s="23" t="n"/>
      <c r="C2492" s="24" t="n"/>
      <c r="D2492" s="15" t="n"/>
      <c r="E2492" s="23" t="n"/>
      <c r="F2492" s="15" t="n"/>
      <c r="G2492" s="23" t="n"/>
      <c r="H2492" s="25" t="n"/>
      <c r="I2492" s="15" t="n"/>
      <c r="J2492" s="26">
        <f>IF($A2492="","",LEN($C2492)-LEN(SUBSTITUTE($C2492,",",""))+1)</f>
        <v/>
      </c>
      <c r="K2492" s="26">
        <f>IF($A2492="","",SUMPRODUCT(--ISNUMBER(SEARCH('Category Dictionary'!$D$5:$D$135&amp;"",$C2492)),--('Category Dictionary'!$D$5:$D$135&lt;&gt;"")))</f>
        <v/>
      </c>
      <c r="L2492" s="27">
        <f>IF($A2492="","",TRIM(IF(ISERROR(FIND(",",$C2492)),$C2492,LEFT($C2492,FIND(",",$C2492)-1))))</f>
        <v/>
      </c>
      <c r="M2492" s="28">
        <f>IF($H2492="","",DATE(YEAR($H2492),MONTH($H2492),1))</f>
        <v/>
      </c>
      <c r="N2492" s="26">
        <f>IF($H2492="","",TODAY()-$H2492)</f>
        <v/>
      </c>
      <c r="O2492" s="15" t="n"/>
      <c r="P2492" s="26">
        <f>IF($A2492="","",COUNTIFS('Audit Versions'!$A$6:$A$605,$A2492,'Audit Versions'!$L$6:$L$605,"Active"))</f>
        <v/>
      </c>
      <c r="Q2492" s="15" t="n"/>
      <c r="R2492" s="26">
        <f>IF(OR($A2492="",$P2492=0),"",MOD(N($Q2492),$P2492)+1)</f>
        <v/>
      </c>
      <c r="S2492" s="15" t="n"/>
      <c r="T2492" s="25" t="n"/>
      <c r="U2492" s="26">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Builder'!$B$12="",N($S2492)&lt;='Assignment Builder'!$B$12)))</f>
        <v/>
      </c>
      <c r="V2492" s="23" t="n"/>
    </row>
    <row r="2493">
      <c r="A2493" s="23" t="n"/>
      <c r="B2493" s="23" t="n"/>
      <c r="C2493" s="24" t="n"/>
      <c r="D2493" s="15" t="n"/>
      <c r="E2493" s="23" t="n"/>
      <c r="F2493" s="15" t="n"/>
      <c r="G2493" s="23" t="n"/>
      <c r="H2493" s="25" t="n"/>
      <c r="I2493" s="15" t="n"/>
      <c r="J2493" s="26">
        <f>IF($A2493="","",LEN($C2493)-LEN(SUBSTITUTE($C2493,",",""))+1)</f>
        <v/>
      </c>
      <c r="K2493" s="26">
        <f>IF($A2493="","",SUMPRODUCT(--ISNUMBER(SEARCH('Category Dictionary'!$D$5:$D$135&amp;"",$C2493)),--('Category Dictionary'!$D$5:$D$135&lt;&gt;"")))</f>
        <v/>
      </c>
      <c r="L2493" s="27">
        <f>IF($A2493="","",TRIM(IF(ISERROR(FIND(",",$C2493)),$C2493,LEFT($C2493,FIND(",",$C2493)-1))))</f>
        <v/>
      </c>
      <c r="M2493" s="28">
        <f>IF($H2493="","",DATE(YEAR($H2493),MONTH($H2493),1))</f>
        <v/>
      </c>
      <c r="N2493" s="26">
        <f>IF($H2493="","",TODAY()-$H2493)</f>
        <v/>
      </c>
      <c r="O2493" s="15" t="n"/>
      <c r="P2493" s="26">
        <f>IF($A2493="","",COUNTIFS('Audit Versions'!$A$6:$A$605,$A2493,'Audit Versions'!$L$6:$L$605,"Active"))</f>
        <v/>
      </c>
      <c r="Q2493" s="15" t="n"/>
      <c r="R2493" s="26">
        <f>IF(OR($A2493="",$P2493=0),"",MOD(N($Q2493),$P2493)+1)</f>
        <v/>
      </c>
      <c r="S2493" s="15" t="n"/>
      <c r="T2493" s="25" t="n"/>
      <c r="U2493" s="26">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Builder'!$B$12="",N($S2493)&lt;='Assignment Builder'!$B$12)))</f>
        <v/>
      </c>
      <c r="V2493" s="23" t="n"/>
    </row>
    <row r="2494">
      <c r="A2494" s="23" t="n"/>
      <c r="B2494" s="23" t="n"/>
      <c r="C2494" s="24" t="n"/>
      <c r="D2494" s="15" t="n"/>
      <c r="E2494" s="23" t="n"/>
      <c r="F2494" s="15" t="n"/>
      <c r="G2494" s="23" t="n"/>
      <c r="H2494" s="25" t="n"/>
      <c r="I2494" s="15" t="n"/>
      <c r="J2494" s="26">
        <f>IF($A2494="","",LEN($C2494)-LEN(SUBSTITUTE($C2494,",",""))+1)</f>
        <v/>
      </c>
      <c r="K2494" s="26">
        <f>IF($A2494="","",SUMPRODUCT(--ISNUMBER(SEARCH('Category Dictionary'!$D$5:$D$135&amp;"",$C2494)),--('Category Dictionary'!$D$5:$D$135&lt;&gt;"")))</f>
        <v/>
      </c>
      <c r="L2494" s="27">
        <f>IF($A2494="","",TRIM(IF(ISERROR(FIND(",",$C2494)),$C2494,LEFT($C2494,FIND(",",$C2494)-1))))</f>
        <v/>
      </c>
      <c r="M2494" s="28">
        <f>IF($H2494="","",DATE(YEAR($H2494),MONTH($H2494),1))</f>
        <v/>
      </c>
      <c r="N2494" s="26">
        <f>IF($H2494="","",TODAY()-$H2494)</f>
        <v/>
      </c>
      <c r="O2494" s="15" t="n"/>
      <c r="P2494" s="26">
        <f>IF($A2494="","",COUNTIFS('Audit Versions'!$A$6:$A$605,$A2494,'Audit Versions'!$L$6:$L$605,"Active"))</f>
        <v/>
      </c>
      <c r="Q2494" s="15" t="n"/>
      <c r="R2494" s="26">
        <f>IF(OR($A2494="",$P2494=0),"",MOD(N($Q2494),$P2494)+1)</f>
        <v/>
      </c>
      <c r="S2494" s="15" t="n"/>
      <c r="T2494" s="25" t="n"/>
      <c r="U2494" s="26">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Builder'!$B$12="",N($S2494)&lt;='Assignment Builder'!$B$12)))</f>
        <v/>
      </c>
      <c r="V2494" s="23" t="n"/>
    </row>
    <row r="2495">
      <c r="A2495" s="23" t="n"/>
      <c r="B2495" s="23" t="n"/>
      <c r="C2495" s="24" t="n"/>
      <c r="D2495" s="15" t="n"/>
      <c r="E2495" s="23" t="n"/>
      <c r="F2495" s="15" t="n"/>
      <c r="G2495" s="23" t="n"/>
      <c r="H2495" s="25" t="n"/>
      <c r="I2495" s="15" t="n"/>
      <c r="J2495" s="26">
        <f>IF($A2495="","",LEN($C2495)-LEN(SUBSTITUTE($C2495,",",""))+1)</f>
        <v/>
      </c>
      <c r="K2495" s="26">
        <f>IF($A2495="","",SUMPRODUCT(--ISNUMBER(SEARCH('Category Dictionary'!$D$5:$D$135&amp;"",$C2495)),--('Category Dictionary'!$D$5:$D$135&lt;&gt;"")))</f>
        <v/>
      </c>
      <c r="L2495" s="27">
        <f>IF($A2495="","",TRIM(IF(ISERROR(FIND(",",$C2495)),$C2495,LEFT($C2495,FIND(",",$C2495)-1))))</f>
        <v/>
      </c>
      <c r="M2495" s="28">
        <f>IF($H2495="","",DATE(YEAR($H2495),MONTH($H2495),1))</f>
        <v/>
      </c>
      <c r="N2495" s="26">
        <f>IF($H2495="","",TODAY()-$H2495)</f>
        <v/>
      </c>
      <c r="O2495" s="15" t="n"/>
      <c r="P2495" s="26">
        <f>IF($A2495="","",COUNTIFS('Audit Versions'!$A$6:$A$605,$A2495,'Audit Versions'!$L$6:$L$605,"Active"))</f>
        <v/>
      </c>
      <c r="Q2495" s="15" t="n"/>
      <c r="R2495" s="26">
        <f>IF(OR($A2495="",$P2495=0),"",MOD(N($Q2495),$P2495)+1)</f>
        <v/>
      </c>
      <c r="S2495" s="15" t="n"/>
      <c r="T2495" s="25" t="n"/>
      <c r="U2495" s="26">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Builder'!$B$12="",N($S2495)&lt;='Assignment Builder'!$B$12)))</f>
        <v/>
      </c>
      <c r="V2495" s="23" t="n"/>
    </row>
    <row r="2496">
      <c r="A2496" s="23" t="n"/>
      <c r="B2496" s="23" t="n"/>
      <c r="C2496" s="24" t="n"/>
      <c r="D2496" s="15" t="n"/>
      <c r="E2496" s="23" t="n"/>
      <c r="F2496" s="15" t="n"/>
      <c r="G2496" s="23" t="n"/>
      <c r="H2496" s="25" t="n"/>
      <c r="I2496" s="15" t="n"/>
      <c r="J2496" s="26">
        <f>IF($A2496="","",LEN($C2496)-LEN(SUBSTITUTE($C2496,",",""))+1)</f>
        <v/>
      </c>
      <c r="K2496" s="26">
        <f>IF($A2496="","",SUMPRODUCT(--ISNUMBER(SEARCH('Category Dictionary'!$D$5:$D$135&amp;"",$C2496)),--('Category Dictionary'!$D$5:$D$135&lt;&gt;"")))</f>
        <v/>
      </c>
      <c r="L2496" s="27">
        <f>IF($A2496="","",TRIM(IF(ISERROR(FIND(",",$C2496)),$C2496,LEFT($C2496,FIND(",",$C2496)-1))))</f>
        <v/>
      </c>
      <c r="M2496" s="28">
        <f>IF($H2496="","",DATE(YEAR($H2496),MONTH($H2496),1))</f>
        <v/>
      </c>
      <c r="N2496" s="26">
        <f>IF($H2496="","",TODAY()-$H2496)</f>
        <v/>
      </c>
      <c r="O2496" s="15" t="n"/>
      <c r="P2496" s="26">
        <f>IF($A2496="","",COUNTIFS('Audit Versions'!$A$6:$A$605,$A2496,'Audit Versions'!$L$6:$L$605,"Active"))</f>
        <v/>
      </c>
      <c r="Q2496" s="15" t="n"/>
      <c r="R2496" s="26">
        <f>IF(OR($A2496="",$P2496=0),"",MOD(N($Q2496),$P2496)+1)</f>
        <v/>
      </c>
      <c r="S2496" s="15" t="n"/>
      <c r="T2496" s="25" t="n"/>
      <c r="U2496" s="26">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Builder'!$B$12="",N($S2496)&lt;='Assignment Builder'!$B$12)))</f>
        <v/>
      </c>
      <c r="V2496" s="23" t="n"/>
    </row>
    <row r="2497">
      <c r="A2497" s="23" t="n"/>
      <c r="B2497" s="23" t="n"/>
      <c r="C2497" s="24" t="n"/>
      <c r="D2497" s="15" t="n"/>
      <c r="E2497" s="23" t="n"/>
      <c r="F2497" s="15" t="n"/>
      <c r="G2497" s="23" t="n"/>
      <c r="H2497" s="25" t="n"/>
      <c r="I2497" s="15" t="n"/>
      <c r="J2497" s="26">
        <f>IF($A2497="","",LEN($C2497)-LEN(SUBSTITUTE($C2497,",",""))+1)</f>
        <v/>
      </c>
      <c r="K2497" s="26">
        <f>IF($A2497="","",SUMPRODUCT(--ISNUMBER(SEARCH('Category Dictionary'!$D$5:$D$135&amp;"",$C2497)),--('Category Dictionary'!$D$5:$D$135&lt;&gt;"")))</f>
        <v/>
      </c>
      <c r="L2497" s="27">
        <f>IF($A2497="","",TRIM(IF(ISERROR(FIND(",",$C2497)),$C2497,LEFT($C2497,FIND(",",$C2497)-1))))</f>
        <v/>
      </c>
      <c r="M2497" s="28">
        <f>IF($H2497="","",DATE(YEAR($H2497),MONTH($H2497),1))</f>
        <v/>
      </c>
      <c r="N2497" s="26">
        <f>IF($H2497="","",TODAY()-$H2497)</f>
        <v/>
      </c>
      <c r="O2497" s="15" t="n"/>
      <c r="P2497" s="26">
        <f>IF($A2497="","",COUNTIFS('Audit Versions'!$A$6:$A$605,$A2497,'Audit Versions'!$L$6:$L$605,"Active"))</f>
        <v/>
      </c>
      <c r="Q2497" s="15" t="n"/>
      <c r="R2497" s="26">
        <f>IF(OR($A2497="",$P2497=0),"",MOD(N($Q2497),$P2497)+1)</f>
        <v/>
      </c>
      <c r="S2497" s="15" t="n"/>
      <c r="T2497" s="25" t="n"/>
      <c r="U2497" s="26">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Builder'!$B$12="",N($S2497)&lt;='Assignment Builder'!$B$12)))</f>
        <v/>
      </c>
      <c r="V2497" s="23" t="n"/>
    </row>
    <row r="2498">
      <c r="A2498" s="23" t="n"/>
      <c r="B2498" s="23" t="n"/>
      <c r="C2498" s="24" t="n"/>
      <c r="D2498" s="15" t="n"/>
      <c r="E2498" s="23" t="n"/>
      <c r="F2498" s="15" t="n"/>
      <c r="G2498" s="23" t="n"/>
      <c r="H2498" s="25" t="n"/>
      <c r="I2498" s="15" t="n"/>
      <c r="J2498" s="26">
        <f>IF($A2498="","",LEN($C2498)-LEN(SUBSTITUTE($C2498,",",""))+1)</f>
        <v/>
      </c>
      <c r="K2498" s="26">
        <f>IF($A2498="","",SUMPRODUCT(--ISNUMBER(SEARCH('Category Dictionary'!$D$5:$D$135&amp;"",$C2498)),--('Category Dictionary'!$D$5:$D$135&lt;&gt;"")))</f>
        <v/>
      </c>
      <c r="L2498" s="27">
        <f>IF($A2498="","",TRIM(IF(ISERROR(FIND(",",$C2498)),$C2498,LEFT($C2498,FIND(",",$C2498)-1))))</f>
        <v/>
      </c>
      <c r="M2498" s="28">
        <f>IF($H2498="","",DATE(YEAR($H2498),MONTH($H2498),1))</f>
        <v/>
      </c>
      <c r="N2498" s="26">
        <f>IF($H2498="","",TODAY()-$H2498)</f>
        <v/>
      </c>
      <c r="O2498" s="15" t="n"/>
      <c r="P2498" s="26">
        <f>IF($A2498="","",COUNTIFS('Audit Versions'!$A$6:$A$605,$A2498,'Audit Versions'!$L$6:$L$605,"Active"))</f>
        <v/>
      </c>
      <c r="Q2498" s="15" t="n"/>
      <c r="R2498" s="26">
        <f>IF(OR($A2498="",$P2498=0),"",MOD(N($Q2498),$P2498)+1)</f>
        <v/>
      </c>
      <c r="S2498" s="15" t="n"/>
      <c r="T2498" s="25" t="n"/>
      <c r="U2498" s="26">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Builder'!$B$12="",N($S2498)&lt;='Assignment Builder'!$B$12)))</f>
        <v/>
      </c>
      <c r="V2498" s="23" t="n"/>
    </row>
    <row r="2499">
      <c r="A2499" s="23" t="n"/>
      <c r="B2499" s="23" t="n"/>
      <c r="C2499" s="24" t="n"/>
      <c r="D2499" s="15" t="n"/>
      <c r="E2499" s="23" t="n"/>
      <c r="F2499" s="15" t="n"/>
      <c r="G2499" s="23" t="n"/>
      <c r="H2499" s="25" t="n"/>
      <c r="I2499" s="15" t="n"/>
      <c r="J2499" s="26">
        <f>IF($A2499="","",LEN($C2499)-LEN(SUBSTITUTE($C2499,",",""))+1)</f>
        <v/>
      </c>
      <c r="K2499" s="26">
        <f>IF($A2499="","",SUMPRODUCT(--ISNUMBER(SEARCH('Category Dictionary'!$D$5:$D$135&amp;"",$C2499)),--('Category Dictionary'!$D$5:$D$135&lt;&gt;"")))</f>
        <v/>
      </c>
      <c r="L2499" s="27">
        <f>IF($A2499="","",TRIM(IF(ISERROR(FIND(",",$C2499)),$C2499,LEFT($C2499,FIND(",",$C2499)-1))))</f>
        <v/>
      </c>
      <c r="M2499" s="28">
        <f>IF($H2499="","",DATE(YEAR($H2499),MONTH($H2499),1))</f>
        <v/>
      </c>
      <c r="N2499" s="26">
        <f>IF($H2499="","",TODAY()-$H2499)</f>
        <v/>
      </c>
      <c r="O2499" s="15" t="n"/>
      <c r="P2499" s="26">
        <f>IF($A2499="","",COUNTIFS('Audit Versions'!$A$6:$A$605,$A2499,'Audit Versions'!$L$6:$L$605,"Active"))</f>
        <v/>
      </c>
      <c r="Q2499" s="15" t="n"/>
      <c r="R2499" s="26">
        <f>IF(OR($A2499="",$P2499=0),"",MOD(N($Q2499),$P2499)+1)</f>
        <v/>
      </c>
      <c r="S2499" s="15" t="n"/>
      <c r="T2499" s="25" t="n"/>
      <c r="U2499" s="26">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Builder'!$B$12="",N($S2499)&lt;='Assignment Builder'!$B$12)))</f>
        <v/>
      </c>
      <c r="V2499" s="23" t="n"/>
    </row>
    <row r="2500">
      <c r="A2500" s="23" t="n"/>
      <c r="B2500" s="23" t="n"/>
      <c r="C2500" s="24" t="n"/>
      <c r="D2500" s="15" t="n"/>
      <c r="E2500" s="23" t="n"/>
      <c r="F2500" s="15" t="n"/>
      <c r="G2500" s="23" t="n"/>
      <c r="H2500" s="25" t="n"/>
      <c r="I2500" s="15" t="n"/>
      <c r="J2500" s="26">
        <f>IF($A2500="","",LEN($C2500)-LEN(SUBSTITUTE($C2500,",",""))+1)</f>
        <v/>
      </c>
      <c r="K2500" s="26">
        <f>IF($A2500="","",SUMPRODUCT(--ISNUMBER(SEARCH('Category Dictionary'!$D$5:$D$135&amp;"",$C2500)),--('Category Dictionary'!$D$5:$D$135&lt;&gt;"")))</f>
        <v/>
      </c>
      <c r="L2500" s="27">
        <f>IF($A2500="","",TRIM(IF(ISERROR(FIND(",",$C2500)),$C2500,LEFT($C2500,FIND(",",$C2500)-1))))</f>
        <v/>
      </c>
      <c r="M2500" s="28">
        <f>IF($H2500="","",DATE(YEAR($H2500),MONTH($H2500),1))</f>
        <v/>
      </c>
      <c r="N2500" s="26">
        <f>IF($H2500="","",TODAY()-$H2500)</f>
        <v/>
      </c>
      <c r="O2500" s="15" t="n"/>
      <c r="P2500" s="26">
        <f>IF($A2500="","",COUNTIFS('Audit Versions'!$A$6:$A$605,$A2500,'Audit Versions'!$L$6:$L$605,"Active"))</f>
        <v/>
      </c>
      <c r="Q2500" s="15" t="n"/>
      <c r="R2500" s="26">
        <f>IF(OR($A2500="",$P2500=0),"",MOD(N($Q2500),$P2500)+1)</f>
        <v/>
      </c>
      <c r="S2500" s="15" t="n"/>
      <c r="T2500" s="25" t="n"/>
      <c r="U2500" s="26">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Builder'!$B$12="",N($S2500)&lt;='Assignment Builder'!$B$12)))</f>
        <v/>
      </c>
      <c r="V2500" s="23" t="n"/>
    </row>
    <row r="2501">
      <c r="A2501" s="23" t="n"/>
      <c r="B2501" s="23" t="n"/>
      <c r="C2501" s="24" t="n"/>
      <c r="D2501" s="15" t="n"/>
      <c r="E2501" s="23" t="n"/>
      <c r="F2501" s="15" t="n"/>
      <c r="G2501" s="23" t="n"/>
      <c r="H2501" s="25" t="n"/>
      <c r="I2501" s="15" t="n"/>
      <c r="J2501" s="26">
        <f>IF($A2501="","",LEN($C2501)-LEN(SUBSTITUTE($C2501,",",""))+1)</f>
        <v/>
      </c>
      <c r="K2501" s="26">
        <f>IF($A2501="","",SUMPRODUCT(--ISNUMBER(SEARCH('Category Dictionary'!$D$5:$D$135&amp;"",$C2501)),--('Category Dictionary'!$D$5:$D$135&lt;&gt;"")))</f>
        <v/>
      </c>
      <c r="L2501" s="27">
        <f>IF($A2501="","",TRIM(IF(ISERROR(FIND(",",$C2501)),$C2501,LEFT($C2501,FIND(",",$C2501)-1))))</f>
        <v/>
      </c>
      <c r="M2501" s="28">
        <f>IF($H2501="","",DATE(YEAR($H2501),MONTH($H2501),1))</f>
        <v/>
      </c>
      <c r="N2501" s="26">
        <f>IF($H2501="","",TODAY()-$H2501)</f>
        <v/>
      </c>
      <c r="O2501" s="15" t="n"/>
      <c r="P2501" s="26">
        <f>IF($A2501="","",COUNTIFS('Audit Versions'!$A$6:$A$605,$A2501,'Audit Versions'!$L$6:$L$605,"Active"))</f>
        <v/>
      </c>
      <c r="Q2501" s="15" t="n"/>
      <c r="R2501" s="26">
        <f>IF(OR($A2501="",$P2501=0),"",MOD(N($Q2501),$P2501)+1)</f>
        <v/>
      </c>
      <c r="S2501" s="15" t="n"/>
      <c r="T2501" s="25" t="n"/>
      <c r="U2501" s="26">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Builder'!$B$12="",N($S2501)&lt;='Assignment Builder'!$B$12)))</f>
        <v/>
      </c>
      <c r="V2501" s="23" t="n"/>
    </row>
    <row r="2502">
      <c r="A2502" s="23" t="n"/>
      <c r="B2502" s="23" t="n"/>
      <c r="C2502" s="24" t="n"/>
      <c r="D2502" s="15" t="n"/>
      <c r="E2502" s="23" t="n"/>
      <c r="F2502" s="15" t="n"/>
      <c r="G2502" s="23" t="n"/>
      <c r="H2502" s="25" t="n"/>
      <c r="I2502" s="15" t="n"/>
      <c r="J2502" s="26">
        <f>IF($A2502="","",LEN($C2502)-LEN(SUBSTITUTE($C2502,",",""))+1)</f>
        <v/>
      </c>
      <c r="K2502" s="26">
        <f>IF($A2502="","",SUMPRODUCT(--ISNUMBER(SEARCH('Category Dictionary'!$D$5:$D$135&amp;"",$C2502)),--('Category Dictionary'!$D$5:$D$135&lt;&gt;"")))</f>
        <v/>
      </c>
      <c r="L2502" s="27">
        <f>IF($A2502="","",TRIM(IF(ISERROR(FIND(",",$C2502)),$C2502,LEFT($C2502,FIND(",",$C2502)-1))))</f>
        <v/>
      </c>
      <c r="M2502" s="28">
        <f>IF($H2502="","",DATE(YEAR($H2502),MONTH($H2502),1))</f>
        <v/>
      </c>
      <c r="N2502" s="26">
        <f>IF($H2502="","",TODAY()-$H2502)</f>
        <v/>
      </c>
      <c r="O2502" s="15" t="n"/>
      <c r="P2502" s="26">
        <f>IF($A2502="","",COUNTIFS('Audit Versions'!$A$6:$A$605,$A2502,'Audit Versions'!$L$6:$L$605,"Active"))</f>
        <v/>
      </c>
      <c r="Q2502" s="15" t="n"/>
      <c r="R2502" s="26">
        <f>IF(OR($A2502="",$P2502=0),"",MOD(N($Q2502),$P2502)+1)</f>
        <v/>
      </c>
      <c r="S2502" s="15" t="n"/>
      <c r="T2502" s="25" t="n"/>
      <c r="U2502" s="26">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Builder'!$B$12="",N($S2502)&lt;='Assignment Builder'!$B$12)))</f>
        <v/>
      </c>
      <c r="V2502" s="23" t="n"/>
    </row>
    <row r="2503">
      <c r="A2503" s="23" t="n"/>
      <c r="B2503" s="23" t="n"/>
      <c r="C2503" s="24" t="n"/>
      <c r="D2503" s="15" t="n"/>
      <c r="E2503" s="23" t="n"/>
      <c r="F2503" s="15" t="n"/>
      <c r="G2503" s="23" t="n"/>
      <c r="H2503" s="25" t="n"/>
      <c r="I2503" s="15" t="n"/>
      <c r="J2503" s="26">
        <f>IF($A2503="","",LEN($C2503)-LEN(SUBSTITUTE($C2503,",",""))+1)</f>
        <v/>
      </c>
      <c r="K2503" s="26">
        <f>IF($A2503="","",SUMPRODUCT(--ISNUMBER(SEARCH('Category Dictionary'!$D$5:$D$135&amp;"",$C2503)),--('Category Dictionary'!$D$5:$D$135&lt;&gt;"")))</f>
        <v/>
      </c>
      <c r="L2503" s="27">
        <f>IF($A2503="","",TRIM(IF(ISERROR(FIND(",",$C2503)),$C2503,LEFT($C2503,FIND(",",$C2503)-1))))</f>
        <v/>
      </c>
      <c r="M2503" s="28">
        <f>IF($H2503="","",DATE(YEAR($H2503),MONTH($H2503),1))</f>
        <v/>
      </c>
      <c r="N2503" s="26">
        <f>IF($H2503="","",TODAY()-$H2503)</f>
        <v/>
      </c>
      <c r="O2503" s="15" t="n"/>
      <c r="P2503" s="26">
        <f>IF($A2503="","",COUNTIFS('Audit Versions'!$A$6:$A$605,$A2503,'Audit Versions'!$L$6:$L$605,"Active"))</f>
        <v/>
      </c>
      <c r="Q2503" s="15" t="n"/>
      <c r="R2503" s="26">
        <f>IF(OR($A2503="",$P2503=0),"",MOD(N($Q2503),$P2503)+1)</f>
        <v/>
      </c>
      <c r="S2503" s="15" t="n"/>
      <c r="T2503" s="25" t="n"/>
      <c r="U2503" s="26">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Builder'!$B$12="",N($S2503)&lt;='Assignment Builder'!$B$12)))</f>
        <v/>
      </c>
      <c r="V2503" s="23" t="n"/>
    </row>
    <row r="2504">
      <c r="A2504" s="23" t="n"/>
      <c r="B2504" s="23" t="n"/>
      <c r="C2504" s="24" t="n"/>
      <c r="D2504" s="15" t="n"/>
      <c r="E2504" s="23" t="n"/>
      <c r="F2504" s="15" t="n"/>
      <c r="G2504" s="23" t="n"/>
      <c r="H2504" s="25" t="n"/>
      <c r="I2504" s="15" t="n"/>
      <c r="J2504" s="26">
        <f>IF($A2504="","",LEN($C2504)-LEN(SUBSTITUTE($C2504,",",""))+1)</f>
        <v/>
      </c>
      <c r="K2504" s="26">
        <f>IF($A2504="","",SUMPRODUCT(--ISNUMBER(SEARCH('Category Dictionary'!$D$5:$D$135&amp;"",$C2504)),--('Category Dictionary'!$D$5:$D$135&lt;&gt;"")))</f>
        <v/>
      </c>
      <c r="L2504" s="27">
        <f>IF($A2504="","",TRIM(IF(ISERROR(FIND(",",$C2504)),$C2504,LEFT($C2504,FIND(",",$C2504)-1))))</f>
        <v/>
      </c>
      <c r="M2504" s="28">
        <f>IF($H2504="","",DATE(YEAR($H2504),MONTH($H2504),1))</f>
        <v/>
      </c>
      <c r="N2504" s="26">
        <f>IF($H2504="","",TODAY()-$H2504)</f>
        <v/>
      </c>
      <c r="O2504" s="15" t="n"/>
      <c r="P2504" s="26">
        <f>IF($A2504="","",COUNTIFS('Audit Versions'!$A$6:$A$605,$A2504,'Audit Versions'!$L$6:$L$605,"Active"))</f>
        <v/>
      </c>
      <c r="Q2504" s="15" t="n"/>
      <c r="R2504" s="26">
        <f>IF(OR($A2504="",$P2504=0),"",MOD(N($Q2504),$P2504)+1)</f>
        <v/>
      </c>
      <c r="S2504" s="15" t="n"/>
      <c r="T2504" s="25" t="n"/>
      <c r="U2504" s="26">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Builder'!$B$12="",N($S2504)&lt;='Assignment Builder'!$B$12)))</f>
        <v/>
      </c>
      <c r="V2504" s="23" t="n"/>
    </row>
    <row r="2505">
      <c r="A2505" s="23" t="n"/>
      <c r="B2505" s="23" t="n"/>
      <c r="C2505" s="24" t="n"/>
      <c r="D2505" s="15" t="n"/>
      <c r="E2505" s="23" t="n"/>
      <c r="F2505" s="15" t="n"/>
      <c r="G2505" s="23" t="n"/>
      <c r="H2505" s="25" t="n"/>
      <c r="I2505" s="15" t="n"/>
      <c r="J2505" s="26">
        <f>IF($A2505="","",LEN($C2505)-LEN(SUBSTITUTE($C2505,",",""))+1)</f>
        <v/>
      </c>
      <c r="K2505" s="26">
        <f>IF($A2505="","",SUMPRODUCT(--ISNUMBER(SEARCH('Category Dictionary'!$D$5:$D$135&amp;"",$C2505)),--('Category Dictionary'!$D$5:$D$135&lt;&gt;"")))</f>
        <v/>
      </c>
      <c r="L2505" s="27">
        <f>IF($A2505="","",TRIM(IF(ISERROR(FIND(",",$C2505)),$C2505,LEFT($C2505,FIND(",",$C2505)-1))))</f>
        <v/>
      </c>
      <c r="M2505" s="28">
        <f>IF($H2505="","",DATE(YEAR($H2505),MONTH($H2505),1))</f>
        <v/>
      </c>
      <c r="N2505" s="26">
        <f>IF($H2505="","",TODAY()-$H2505)</f>
        <v/>
      </c>
      <c r="O2505" s="15" t="n"/>
      <c r="P2505" s="26">
        <f>IF($A2505="","",COUNTIFS('Audit Versions'!$A$6:$A$605,$A2505,'Audit Versions'!$L$6:$L$605,"Active"))</f>
        <v/>
      </c>
      <c r="Q2505" s="15" t="n"/>
      <c r="R2505" s="26">
        <f>IF(OR($A2505="",$P2505=0),"",MOD(N($Q2505),$P2505)+1)</f>
        <v/>
      </c>
      <c r="S2505" s="15" t="n"/>
      <c r="T2505" s="25" t="n"/>
      <c r="U2505" s="26">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Builder'!$B$12="",N($S2505)&lt;='Assignment Builder'!$B$12)))</f>
        <v/>
      </c>
      <c r="V2505" s="23" t="n"/>
    </row>
    <row r="2506">
      <c r="A2506" s="23" t="n"/>
      <c r="B2506" s="23" t="n"/>
      <c r="C2506" s="24" t="n"/>
      <c r="D2506" s="15" t="n"/>
      <c r="E2506" s="23" t="n"/>
      <c r="F2506" s="15" t="n"/>
      <c r="G2506" s="23" t="n"/>
      <c r="H2506" s="25" t="n"/>
      <c r="I2506" s="15" t="n"/>
      <c r="J2506" s="26">
        <f>IF($A2506="","",LEN($C2506)-LEN(SUBSTITUTE($C2506,",",""))+1)</f>
        <v/>
      </c>
      <c r="K2506" s="26">
        <f>IF($A2506="","",SUMPRODUCT(--ISNUMBER(SEARCH('Category Dictionary'!$D$5:$D$135&amp;"",$C2506)),--('Category Dictionary'!$D$5:$D$135&lt;&gt;"")))</f>
        <v/>
      </c>
      <c r="L2506" s="27">
        <f>IF($A2506="","",TRIM(IF(ISERROR(FIND(",",$C2506)),$C2506,LEFT($C2506,FIND(",",$C2506)-1))))</f>
        <v/>
      </c>
      <c r="M2506" s="28">
        <f>IF($H2506="","",DATE(YEAR($H2506),MONTH($H2506),1))</f>
        <v/>
      </c>
      <c r="N2506" s="26">
        <f>IF($H2506="","",TODAY()-$H2506)</f>
        <v/>
      </c>
      <c r="O2506" s="15" t="n"/>
      <c r="P2506" s="26">
        <f>IF($A2506="","",COUNTIFS('Audit Versions'!$A$6:$A$605,$A2506,'Audit Versions'!$L$6:$L$605,"Active"))</f>
        <v/>
      </c>
      <c r="Q2506" s="15" t="n"/>
      <c r="R2506" s="26">
        <f>IF(OR($A2506="",$P2506=0),"",MOD(N($Q2506),$P2506)+1)</f>
        <v/>
      </c>
      <c r="S2506" s="15" t="n"/>
      <c r="T2506" s="25" t="n"/>
      <c r="U2506" s="26">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Builder'!$B$12="",N($S2506)&lt;='Assignment Builder'!$B$12)))</f>
        <v/>
      </c>
      <c r="V2506" s="23" t="n"/>
    </row>
    <row r="2507">
      <c r="A2507" s="23" t="n"/>
      <c r="B2507" s="23" t="n"/>
      <c r="C2507" s="24" t="n"/>
      <c r="D2507" s="15" t="n"/>
      <c r="E2507" s="23" t="n"/>
      <c r="F2507" s="15" t="n"/>
      <c r="G2507" s="23" t="n"/>
      <c r="H2507" s="25" t="n"/>
      <c r="I2507" s="15" t="n"/>
      <c r="J2507" s="26">
        <f>IF($A2507="","",LEN($C2507)-LEN(SUBSTITUTE($C2507,",",""))+1)</f>
        <v/>
      </c>
      <c r="K2507" s="26">
        <f>IF($A2507="","",SUMPRODUCT(--ISNUMBER(SEARCH('Category Dictionary'!$D$5:$D$135&amp;"",$C2507)),--('Category Dictionary'!$D$5:$D$135&lt;&gt;"")))</f>
        <v/>
      </c>
      <c r="L2507" s="27">
        <f>IF($A2507="","",TRIM(IF(ISERROR(FIND(",",$C2507)),$C2507,LEFT($C2507,FIND(",",$C2507)-1))))</f>
        <v/>
      </c>
      <c r="M2507" s="28">
        <f>IF($H2507="","",DATE(YEAR($H2507),MONTH($H2507),1))</f>
        <v/>
      </c>
      <c r="N2507" s="26">
        <f>IF($H2507="","",TODAY()-$H2507)</f>
        <v/>
      </c>
      <c r="O2507" s="15" t="n"/>
      <c r="P2507" s="26">
        <f>IF($A2507="","",COUNTIFS('Audit Versions'!$A$6:$A$605,$A2507,'Audit Versions'!$L$6:$L$605,"Active"))</f>
        <v/>
      </c>
      <c r="Q2507" s="15" t="n"/>
      <c r="R2507" s="26">
        <f>IF(OR($A2507="",$P2507=0),"",MOD(N($Q2507),$P2507)+1)</f>
        <v/>
      </c>
      <c r="S2507" s="15" t="n"/>
      <c r="T2507" s="25" t="n"/>
      <c r="U2507" s="26">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Builder'!$B$12="",N($S2507)&lt;='Assignment Builder'!$B$12)))</f>
        <v/>
      </c>
      <c r="V2507" s="23" t="n"/>
    </row>
    <row r="2508">
      <c r="A2508" s="23" t="n"/>
      <c r="B2508" s="23" t="n"/>
      <c r="C2508" s="24" t="n"/>
      <c r="D2508" s="15" t="n"/>
      <c r="E2508" s="23" t="n"/>
      <c r="F2508" s="15" t="n"/>
      <c r="G2508" s="23" t="n"/>
      <c r="H2508" s="25" t="n"/>
      <c r="I2508" s="15" t="n"/>
      <c r="J2508" s="26">
        <f>IF($A2508="","",LEN($C2508)-LEN(SUBSTITUTE($C2508,",",""))+1)</f>
        <v/>
      </c>
      <c r="K2508" s="26">
        <f>IF($A2508="","",SUMPRODUCT(--ISNUMBER(SEARCH('Category Dictionary'!$D$5:$D$135&amp;"",$C2508)),--('Category Dictionary'!$D$5:$D$135&lt;&gt;"")))</f>
        <v/>
      </c>
      <c r="L2508" s="27">
        <f>IF($A2508="","",TRIM(IF(ISERROR(FIND(",",$C2508)),$C2508,LEFT($C2508,FIND(",",$C2508)-1))))</f>
        <v/>
      </c>
      <c r="M2508" s="28">
        <f>IF($H2508="","",DATE(YEAR($H2508),MONTH($H2508),1))</f>
        <v/>
      </c>
      <c r="N2508" s="26">
        <f>IF($H2508="","",TODAY()-$H2508)</f>
        <v/>
      </c>
      <c r="O2508" s="15" t="n"/>
      <c r="P2508" s="26">
        <f>IF($A2508="","",COUNTIFS('Audit Versions'!$A$6:$A$605,$A2508,'Audit Versions'!$L$6:$L$605,"Active"))</f>
        <v/>
      </c>
      <c r="Q2508" s="15" t="n"/>
      <c r="R2508" s="26">
        <f>IF(OR($A2508="",$P2508=0),"",MOD(N($Q2508),$P2508)+1)</f>
        <v/>
      </c>
      <c r="S2508" s="15" t="n"/>
      <c r="T2508" s="25" t="n"/>
      <c r="U2508" s="26">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Builder'!$B$12="",N($S2508)&lt;='Assignment Builder'!$B$12)))</f>
        <v/>
      </c>
      <c r="V2508" s="23" t="n"/>
    </row>
    <row r="2509">
      <c r="A2509" s="23" t="n"/>
      <c r="B2509" s="23" t="n"/>
      <c r="C2509" s="24" t="n"/>
      <c r="D2509" s="15" t="n"/>
      <c r="E2509" s="23" t="n"/>
      <c r="F2509" s="15" t="n"/>
      <c r="G2509" s="23" t="n"/>
      <c r="H2509" s="25" t="n"/>
      <c r="I2509" s="15" t="n"/>
      <c r="J2509" s="26">
        <f>IF($A2509="","",LEN($C2509)-LEN(SUBSTITUTE($C2509,",",""))+1)</f>
        <v/>
      </c>
      <c r="K2509" s="26">
        <f>IF($A2509="","",SUMPRODUCT(--ISNUMBER(SEARCH('Category Dictionary'!$D$5:$D$135&amp;"",$C2509)),--('Category Dictionary'!$D$5:$D$135&lt;&gt;"")))</f>
        <v/>
      </c>
      <c r="L2509" s="27">
        <f>IF($A2509="","",TRIM(IF(ISERROR(FIND(",",$C2509)),$C2509,LEFT($C2509,FIND(",",$C2509)-1))))</f>
        <v/>
      </c>
      <c r="M2509" s="28">
        <f>IF($H2509="","",DATE(YEAR($H2509),MONTH($H2509),1))</f>
        <v/>
      </c>
      <c r="N2509" s="26">
        <f>IF($H2509="","",TODAY()-$H2509)</f>
        <v/>
      </c>
      <c r="O2509" s="15" t="n"/>
      <c r="P2509" s="26">
        <f>IF($A2509="","",COUNTIFS('Audit Versions'!$A$6:$A$605,$A2509,'Audit Versions'!$L$6:$L$605,"Active"))</f>
        <v/>
      </c>
      <c r="Q2509" s="15" t="n"/>
      <c r="R2509" s="26">
        <f>IF(OR($A2509="",$P2509=0),"",MOD(N($Q2509),$P2509)+1)</f>
        <v/>
      </c>
      <c r="S2509" s="15" t="n"/>
      <c r="T2509" s="25" t="n"/>
      <c r="U2509" s="26">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Builder'!$B$12="",N($S2509)&lt;='Assignment Builder'!$B$12)))</f>
        <v/>
      </c>
      <c r="V2509" s="23" t="n"/>
    </row>
    <row r="2510">
      <c r="A2510" s="23" t="n"/>
      <c r="B2510" s="23" t="n"/>
      <c r="C2510" s="24" t="n"/>
      <c r="D2510" s="15" t="n"/>
      <c r="E2510" s="23" t="n"/>
      <c r="F2510" s="15" t="n"/>
      <c r="G2510" s="23" t="n"/>
      <c r="H2510" s="25" t="n"/>
      <c r="I2510" s="15" t="n"/>
      <c r="J2510" s="26">
        <f>IF($A2510="","",LEN($C2510)-LEN(SUBSTITUTE($C2510,",",""))+1)</f>
        <v/>
      </c>
      <c r="K2510" s="26">
        <f>IF($A2510="","",SUMPRODUCT(--ISNUMBER(SEARCH('Category Dictionary'!$D$5:$D$135&amp;"",$C2510)),--('Category Dictionary'!$D$5:$D$135&lt;&gt;"")))</f>
        <v/>
      </c>
      <c r="L2510" s="27">
        <f>IF($A2510="","",TRIM(IF(ISERROR(FIND(",",$C2510)),$C2510,LEFT($C2510,FIND(",",$C2510)-1))))</f>
        <v/>
      </c>
      <c r="M2510" s="28">
        <f>IF($H2510="","",DATE(YEAR($H2510),MONTH($H2510),1))</f>
        <v/>
      </c>
      <c r="N2510" s="26">
        <f>IF($H2510="","",TODAY()-$H2510)</f>
        <v/>
      </c>
      <c r="O2510" s="15" t="n"/>
      <c r="P2510" s="26">
        <f>IF($A2510="","",COUNTIFS('Audit Versions'!$A$6:$A$605,$A2510,'Audit Versions'!$L$6:$L$605,"Active"))</f>
        <v/>
      </c>
      <c r="Q2510" s="15" t="n"/>
      <c r="R2510" s="26">
        <f>IF(OR($A2510="",$P2510=0),"",MOD(N($Q2510),$P2510)+1)</f>
        <v/>
      </c>
      <c r="S2510" s="15" t="n"/>
      <c r="T2510" s="25" t="n"/>
      <c r="U2510" s="26">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Builder'!$B$12="",N($S2510)&lt;='Assignment Builder'!$B$12)))</f>
        <v/>
      </c>
      <c r="V2510" s="23" t="n"/>
    </row>
    <row r="2511">
      <c r="A2511" s="23" t="n"/>
      <c r="B2511" s="23" t="n"/>
      <c r="C2511" s="24" t="n"/>
      <c r="D2511" s="15" t="n"/>
      <c r="E2511" s="23" t="n"/>
      <c r="F2511" s="15" t="n"/>
      <c r="G2511" s="23" t="n"/>
      <c r="H2511" s="25" t="n"/>
      <c r="I2511" s="15" t="n"/>
      <c r="J2511" s="26">
        <f>IF($A2511="","",LEN($C2511)-LEN(SUBSTITUTE($C2511,",",""))+1)</f>
        <v/>
      </c>
      <c r="K2511" s="26">
        <f>IF($A2511="","",SUMPRODUCT(--ISNUMBER(SEARCH('Category Dictionary'!$D$5:$D$135&amp;"",$C2511)),--('Category Dictionary'!$D$5:$D$135&lt;&gt;"")))</f>
        <v/>
      </c>
      <c r="L2511" s="27">
        <f>IF($A2511="","",TRIM(IF(ISERROR(FIND(",",$C2511)),$C2511,LEFT($C2511,FIND(",",$C2511)-1))))</f>
        <v/>
      </c>
      <c r="M2511" s="28">
        <f>IF($H2511="","",DATE(YEAR($H2511),MONTH($H2511),1))</f>
        <v/>
      </c>
      <c r="N2511" s="26">
        <f>IF($H2511="","",TODAY()-$H2511)</f>
        <v/>
      </c>
      <c r="O2511" s="15" t="n"/>
      <c r="P2511" s="26">
        <f>IF($A2511="","",COUNTIFS('Audit Versions'!$A$6:$A$605,$A2511,'Audit Versions'!$L$6:$L$605,"Active"))</f>
        <v/>
      </c>
      <c r="Q2511" s="15" t="n"/>
      <c r="R2511" s="26">
        <f>IF(OR($A2511="",$P2511=0),"",MOD(N($Q2511),$P2511)+1)</f>
        <v/>
      </c>
      <c r="S2511" s="15" t="n"/>
      <c r="T2511" s="25" t="n"/>
      <c r="U2511" s="26">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Builder'!$B$12="",N($S2511)&lt;='Assignment Builder'!$B$12)))</f>
        <v/>
      </c>
      <c r="V2511" s="23" t="n"/>
    </row>
    <row r="2512">
      <c r="A2512" s="23" t="n"/>
      <c r="B2512" s="23" t="n"/>
      <c r="C2512" s="24" t="n"/>
      <c r="D2512" s="15" t="n"/>
      <c r="E2512" s="23" t="n"/>
      <c r="F2512" s="15" t="n"/>
      <c r="G2512" s="23" t="n"/>
      <c r="H2512" s="25" t="n"/>
      <c r="I2512" s="15" t="n"/>
      <c r="J2512" s="26">
        <f>IF($A2512="","",LEN($C2512)-LEN(SUBSTITUTE($C2512,",",""))+1)</f>
        <v/>
      </c>
      <c r="K2512" s="26">
        <f>IF($A2512="","",SUMPRODUCT(--ISNUMBER(SEARCH('Category Dictionary'!$D$5:$D$135&amp;"",$C2512)),--('Category Dictionary'!$D$5:$D$135&lt;&gt;"")))</f>
        <v/>
      </c>
      <c r="L2512" s="27">
        <f>IF($A2512="","",TRIM(IF(ISERROR(FIND(",",$C2512)),$C2512,LEFT($C2512,FIND(",",$C2512)-1))))</f>
        <v/>
      </c>
      <c r="M2512" s="28">
        <f>IF($H2512="","",DATE(YEAR($H2512),MONTH($H2512),1))</f>
        <v/>
      </c>
      <c r="N2512" s="26">
        <f>IF($H2512="","",TODAY()-$H2512)</f>
        <v/>
      </c>
      <c r="O2512" s="15" t="n"/>
      <c r="P2512" s="26">
        <f>IF($A2512="","",COUNTIFS('Audit Versions'!$A$6:$A$605,$A2512,'Audit Versions'!$L$6:$L$605,"Active"))</f>
        <v/>
      </c>
      <c r="Q2512" s="15" t="n"/>
      <c r="R2512" s="26">
        <f>IF(OR($A2512="",$P2512=0),"",MOD(N($Q2512),$P2512)+1)</f>
        <v/>
      </c>
      <c r="S2512" s="15" t="n"/>
      <c r="T2512" s="25" t="n"/>
      <c r="U2512" s="26">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Builder'!$B$12="",N($S2512)&lt;='Assignment Builder'!$B$12)))</f>
        <v/>
      </c>
      <c r="V2512" s="23" t="n"/>
    </row>
    <row r="2513">
      <c r="A2513" s="23" t="n"/>
      <c r="B2513" s="23" t="n"/>
      <c r="C2513" s="24" t="n"/>
      <c r="D2513" s="15" t="n"/>
      <c r="E2513" s="23" t="n"/>
      <c r="F2513" s="15" t="n"/>
      <c r="G2513" s="23" t="n"/>
      <c r="H2513" s="25" t="n"/>
      <c r="I2513" s="15" t="n"/>
      <c r="J2513" s="26">
        <f>IF($A2513="","",LEN($C2513)-LEN(SUBSTITUTE($C2513,",",""))+1)</f>
        <v/>
      </c>
      <c r="K2513" s="26">
        <f>IF($A2513="","",SUMPRODUCT(--ISNUMBER(SEARCH('Category Dictionary'!$D$5:$D$135&amp;"",$C2513)),--('Category Dictionary'!$D$5:$D$135&lt;&gt;"")))</f>
        <v/>
      </c>
      <c r="L2513" s="27">
        <f>IF($A2513="","",TRIM(IF(ISERROR(FIND(",",$C2513)),$C2513,LEFT($C2513,FIND(",",$C2513)-1))))</f>
        <v/>
      </c>
      <c r="M2513" s="28">
        <f>IF($H2513="","",DATE(YEAR($H2513),MONTH($H2513),1))</f>
        <v/>
      </c>
      <c r="N2513" s="26">
        <f>IF($H2513="","",TODAY()-$H2513)</f>
        <v/>
      </c>
      <c r="O2513" s="15" t="n"/>
      <c r="P2513" s="26">
        <f>IF($A2513="","",COUNTIFS('Audit Versions'!$A$6:$A$605,$A2513,'Audit Versions'!$L$6:$L$605,"Active"))</f>
        <v/>
      </c>
      <c r="Q2513" s="15" t="n"/>
      <c r="R2513" s="26">
        <f>IF(OR($A2513="",$P2513=0),"",MOD(N($Q2513),$P2513)+1)</f>
        <v/>
      </c>
      <c r="S2513" s="15" t="n"/>
      <c r="T2513" s="25" t="n"/>
      <c r="U2513" s="26">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Builder'!$B$12="",N($S2513)&lt;='Assignment Builder'!$B$12)))</f>
        <v/>
      </c>
      <c r="V2513" s="23" t="n"/>
    </row>
    <row r="2514">
      <c r="A2514" s="23" t="n"/>
      <c r="B2514" s="23" t="n"/>
      <c r="C2514" s="24" t="n"/>
      <c r="D2514" s="15" t="n"/>
      <c r="E2514" s="23" t="n"/>
      <c r="F2514" s="15" t="n"/>
      <c r="G2514" s="23" t="n"/>
      <c r="H2514" s="25" t="n"/>
      <c r="I2514" s="15" t="n"/>
      <c r="J2514" s="26">
        <f>IF($A2514="","",LEN($C2514)-LEN(SUBSTITUTE($C2514,",",""))+1)</f>
        <v/>
      </c>
      <c r="K2514" s="26">
        <f>IF($A2514="","",SUMPRODUCT(--ISNUMBER(SEARCH('Category Dictionary'!$D$5:$D$135&amp;"",$C2514)),--('Category Dictionary'!$D$5:$D$135&lt;&gt;"")))</f>
        <v/>
      </c>
      <c r="L2514" s="27">
        <f>IF($A2514="","",TRIM(IF(ISERROR(FIND(",",$C2514)),$C2514,LEFT($C2514,FIND(",",$C2514)-1))))</f>
        <v/>
      </c>
      <c r="M2514" s="28">
        <f>IF($H2514="","",DATE(YEAR($H2514),MONTH($H2514),1))</f>
        <v/>
      </c>
      <c r="N2514" s="26">
        <f>IF($H2514="","",TODAY()-$H2514)</f>
        <v/>
      </c>
      <c r="O2514" s="15" t="n"/>
      <c r="P2514" s="26">
        <f>IF($A2514="","",COUNTIFS('Audit Versions'!$A$6:$A$605,$A2514,'Audit Versions'!$L$6:$L$605,"Active"))</f>
        <v/>
      </c>
      <c r="Q2514" s="15" t="n"/>
      <c r="R2514" s="26">
        <f>IF(OR($A2514="",$P2514=0),"",MOD(N($Q2514),$P2514)+1)</f>
        <v/>
      </c>
      <c r="S2514" s="15" t="n"/>
      <c r="T2514" s="25" t="n"/>
      <c r="U2514" s="26">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Builder'!$B$12="",N($S2514)&lt;='Assignment Builder'!$B$12)))</f>
        <v/>
      </c>
      <c r="V2514" s="23" t="n"/>
    </row>
    <row r="2515">
      <c r="A2515" s="23" t="n"/>
      <c r="B2515" s="23" t="n"/>
      <c r="C2515" s="24" t="n"/>
      <c r="D2515" s="15" t="n"/>
      <c r="E2515" s="23" t="n"/>
      <c r="F2515" s="15" t="n"/>
      <c r="G2515" s="23" t="n"/>
      <c r="H2515" s="25" t="n"/>
      <c r="I2515" s="15" t="n"/>
      <c r="J2515" s="26">
        <f>IF($A2515="","",LEN($C2515)-LEN(SUBSTITUTE($C2515,",",""))+1)</f>
        <v/>
      </c>
      <c r="K2515" s="26">
        <f>IF($A2515="","",SUMPRODUCT(--ISNUMBER(SEARCH('Category Dictionary'!$D$5:$D$135&amp;"",$C2515)),--('Category Dictionary'!$D$5:$D$135&lt;&gt;"")))</f>
        <v/>
      </c>
      <c r="L2515" s="27">
        <f>IF($A2515="","",TRIM(IF(ISERROR(FIND(",",$C2515)),$C2515,LEFT($C2515,FIND(",",$C2515)-1))))</f>
        <v/>
      </c>
      <c r="M2515" s="28">
        <f>IF($H2515="","",DATE(YEAR($H2515),MONTH($H2515),1))</f>
        <v/>
      </c>
      <c r="N2515" s="26">
        <f>IF($H2515="","",TODAY()-$H2515)</f>
        <v/>
      </c>
      <c r="O2515" s="15" t="n"/>
      <c r="P2515" s="26">
        <f>IF($A2515="","",COUNTIFS('Audit Versions'!$A$6:$A$605,$A2515,'Audit Versions'!$L$6:$L$605,"Active"))</f>
        <v/>
      </c>
      <c r="Q2515" s="15" t="n"/>
      <c r="R2515" s="26">
        <f>IF(OR($A2515="",$P2515=0),"",MOD(N($Q2515),$P2515)+1)</f>
        <v/>
      </c>
      <c r="S2515" s="15" t="n"/>
      <c r="T2515" s="25" t="n"/>
      <c r="U2515" s="26">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Builder'!$B$12="",N($S2515)&lt;='Assignment Builder'!$B$12)))</f>
        <v/>
      </c>
      <c r="V2515" s="23" t="n"/>
    </row>
    <row r="2516">
      <c r="A2516" s="23" t="n"/>
      <c r="B2516" s="23" t="n"/>
      <c r="C2516" s="24" t="n"/>
      <c r="D2516" s="15" t="n"/>
      <c r="E2516" s="23" t="n"/>
      <c r="F2516" s="15" t="n"/>
      <c r="G2516" s="23" t="n"/>
      <c r="H2516" s="25" t="n"/>
      <c r="I2516" s="15" t="n"/>
      <c r="J2516" s="26">
        <f>IF($A2516="","",LEN($C2516)-LEN(SUBSTITUTE($C2516,",",""))+1)</f>
        <v/>
      </c>
      <c r="K2516" s="26">
        <f>IF($A2516="","",SUMPRODUCT(--ISNUMBER(SEARCH('Category Dictionary'!$D$5:$D$135&amp;"",$C2516)),--('Category Dictionary'!$D$5:$D$135&lt;&gt;"")))</f>
        <v/>
      </c>
      <c r="L2516" s="27">
        <f>IF($A2516="","",TRIM(IF(ISERROR(FIND(",",$C2516)),$C2516,LEFT($C2516,FIND(",",$C2516)-1))))</f>
        <v/>
      </c>
      <c r="M2516" s="28">
        <f>IF($H2516="","",DATE(YEAR($H2516),MONTH($H2516),1))</f>
        <v/>
      </c>
      <c r="N2516" s="26">
        <f>IF($H2516="","",TODAY()-$H2516)</f>
        <v/>
      </c>
      <c r="O2516" s="15" t="n"/>
      <c r="P2516" s="26">
        <f>IF($A2516="","",COUNTIFS('Audit Versions'!$A$6:$A$605,$A2516,'Audit Versions'!$L$6:$L$605,"Active"))</f>
        <v/>
      </c>
      <c r="Q2516" s="15" t="n"/>
      <c r="R2516" s="26">
        <f>IF(OR($A2516="",$P2516=0),"",MOD(N($Q2516),$P2516)+1)</f>
        <v/>
      </c>
      <c r="S2516" s="15" t="n"/>
      <c r="T2516" s="25" t="n"/>
      <c r="U2516" s="26">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Builder'!$B$12="",N($S2516)&lt;='Assignment Builder'!$B$12)))</f>
        <v/>
      </c>
      <c r="V2516" s="23" t="n"/>
    </row>
    <row r="2517">
      <c r="A2517" s="23" t="n"/>
      <c r="B2517" s="23" t="n"/>
      <c r="C2517" s="24" t="n"/>
      <c r="D2517" s="15" t="n"/>
      <c r="E2517" s="23" t="n"/>
      <c r="F2517" s="15" t="n"/>
      <c r="G2517" s="23" t="n"/>
      <c r="H2517" s="25" t="n"/>
      <c r="I2517" s="15" t="n"/>
      <c r="J2517" s="26">
        <f>IF($A2517="","",LEN($C2517)-LEN(SUBSTITUTE($C2517,",",""))+1)</f>
        <v/>
      </c>
      <c r="K2517" s="26">
        <f>IF($A2517="","",SUMPRODUCT(--ISNUMBER(SEARCH('Category Dictionary'!$D$5:$D$135&amp;"",$C2517)),--('Category Dictionary'!$D$5:$D$135&lt;&gt;"")))</f>
        <v/>
      </c>
      <c r="L2517" s="27">
        <f>IF($A2517="","",TRIM(IF(ISERROR(FIND(",",$C2517)),$C2517,LEFT($C2517,FIND(",",$C2517)-1))))</f>
        <v/>
      </c>
      <c r="M2517" s="28">
        <f>IF($H2517="","",DATE(YEAR($H2517),MONTH($H2517),1))</f>
        <v/>
      </c>
      <c r="N2517" s="26">
        <f>IF($H2517="","",TODAY()-$H2517)</f>
        <v/>
      </c>
      <c r="O2517" s="15" t="n"/>
      <c r="P2517" s="26">
        <f>IF($A2517="","",COUNTIFS('Audit Versions'!$A$6:$A$605,$A2517,'Audit Versions'!$L$6:$L$605,"Active"))</f>
        <v/>
      </c>
      <c r="Q2517" s="15" t="n"/>
      <c r="R2517" s="26">
        <f>IF(OR($A2517="",$P2517=0),"",MOD(N($Q2517),$P2517)+1)</f>
        <v/>
      </c>
      <c r="S2517" s="15" t="n"/>
      <c r="T2517" s="25" t="n"/>
      <c r="U2517" s="26">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Builder'!$B$12="",N($S2517)&lt;='Assignment Builder'!$B$12)))</f>
        <v/>
      </c>
      <c r="V2517" s="23" t="n"/>
    </row>
    <row r="2518">
      <c r="A2518" s="23" t="n"/>
      <c r="B2518" s="23" t="n"/>
      <c r="C2518" s="24" t="n"/>
      <c r="D2518" s="15" t="n"/>
      <c r="E2518" s="23" t="n"/>
      <c r="F2518" s="15" t="n"/>
      <c r="G2518" s="23" t="n"/>
      <c r="H2518" s="25" t="n"/>
      <c r="I2518" s="15" t="n"/>
      <c r="J2518" s="26">
        <f>IF($A2518="","",LEN($C2518)-LEN(SUBSTITUTE($C2518,",",""))+1)</f>
        <v/>
      </c>
      <c r="K2518" s="26">
        <f>IF($A2518="","",SUMPRODUCT(--ISNUMBER(SEARCH('Category Dictionary'!$D$5:$D$135&amp;"",$C2518)),--('Category Dictionary'!$D$5:$D$135&lt;&gt;"")))</f>
        <v/>
      </c>
      <c r="L2518" s="27">
        <f>IF($A2518="","",TRIM(IF(ISERROR(FIND(",",$C2518)),$C2518,LEFT($C2518,FIND(",",$C2518)-1))))</f>
        <v/>
      </c>
      <c r="M2518" s="28">
        <f>IF($H2518="","",DATE(YEAR($H2518),MONTH($H2518),1))</f>
        <v/>
      </c>
      <c r="N2518" s="26">
        <f>IF($H2518="","",TODAY()-$H2518)</f>
        <v/>
      </c>
      <c r="O2518" s="15" t="n"/>
      <c r="P2518" s="26">
        <f>IF($A2518="","",COUNTIFS('Audit Versions'!$A$6:$A$605,$A2518,'Audit Versions'!$L$6:$L$605,"Active"))</f>
        <v/>
      </c>
      <c r="Q2518" s="15" t="n"/>
      <c r="R2518" s="26">
        <f>IF(OR($A2518="",$P2518=0),"",MOD(N($Q2518),$P2518)+1)</f>
        <v/>
      </c>
      <c r="S2518" s="15" t="n"/>
      <c r="T2518" s="25" t="n"/>
      <c r="U2518" s="26">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Builder'!$B$12="",N($S2518)&lt;='Assignment Builder'!$B$12)))</f>
        <v/>
      </c>
      <c r="V2518" s="23" t="n"/>
    </row>
    <row r="2519">
      <c r="A2519" s="23" t="n"/>
      <c r="B2519" s="23" t="n"/>
      <c r="C2519" s="24" t="n"/>
      <c r="D2519" s="15" t="n"/>
      <c r="E2519" s="23" t="n"/>
      <c r="F2519" s="15" t="n"/>
      <c r="G2519" s="23" t="n"/>
      <c r="H2519" s="25" t="n"/>
      <c r="I2519" s="15" t="n"/>
      <c r="J2519" s="26">
        <f>IF($A2519="","",LEN($C2519)-LEN(SUBSTITUTE($C2519,",",""))+1)</f>
        <v/>
      </c>
      <c r="K2519" s="26">
        <f>IF($A2519="","",SUMPRODUCT(--ISNUMBER(SEARCH('Category Dictionary'!$D$5:$D$135&amp;"",$C2519)),--('Category Dictionary'!$D$5:$D$135&lt;&gt;"")))</f>
        <v/>
      </c>
      <c r="L2519" s="27">
        <f>IF($A2519="","",TRIM(IF(ISERROR(FIND(",",$C2519)),$C2519,LEFT($C2519,FIND(",",$C2519)-1))))</f>
        <v/>
      </c>
      <c r="M2519" s="28">
        <f>IF($H2519="","",DATE(YEAR($H2519),MONTH($H2519),1))</f>
        <v/>
      </c>
      <c r="N2519" s="26">
        <f>IF($H2519="","",TODAY()-$H2519)</f>
        <v/>
      </c>
      <c r="O2519" s="15" t="n"/>
      <c r="P2519" s="26">
        <f>IF($A2519="","",COUNTIFS('Audit Versions'!$A$6:$A$605,$A2519,'Audit Versions'!$L$6:$L$605,"Active"))</f>
        <v/>
      </c>
      <c r="Q2519" s="15" t="n"/>
      <c r="R2519" s="26">
        <f>IF(OR($A2519="",$P2519=0),"",MOD(N($Q2519),$P2519)+1)</f>
        <v/>
      </c>
      <c r="S2519" s="15" t="n"/>
      <c r="T2519" s="25" t="n"/>
      <c r="U2519" s="26">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Builder'!$B$12="",N($S2519)&lt;='Assignment Builder'!$B$12)))</f>
        <v/>
      </c>
      <c r="V2519" s="23" t="n"/>
    </row>
    <row r="2520">
      <c r="A2520" s="23" t="n"/>
      <c r="B2520" s="23" t="n"/>
      <c r="C2520" s="24" t="n"/>
      <c r="D2520" s="15" t="n"/>
      <c r="E2520" s="23" t="n"/>
      <c r="F2520" s="15" t="n"/>
      <c r="G2520" s="23" t="n"/>
      <c r="H2520" s="25" t="n"/>
      <c r="I2520" s="15" t="n"/>
      <c r="J2520" s="26">
        <f>IF($A2520="","",LEN($C2520)-LEN(SUBSTITUTE($C2520,",",""))+1)</f>
        <v/>
      </c>
      <c r="K2520" s="26">
        <f>IF($A2520="","",SUMPRODUCT(--ISNUMBER(SEARCH('Category Dictionary'!$D$5:$D$135&amp;"",$C2520)),--('Category Dictionary'!$D$5:$D$135&lt;&gt;"")))</f>
        <v/>
      </c>
      <c r="L2520" s="27">
        <f>IF($A2520="","",TRIM(IF(ISERROR(FIND(",",$C2520)),$C2520,LEFT($C2520,FIND(",",$C2520)-1))))</f>
        <v/>
      </c>
      <c r="M2520" s="28">
        <f>IF($H2520="","",DATE(YEAR($H2520),MONTH($H2520),1))</f>
        <v/>
      </c>
      <c r="N2520" s="26">
        <f>IF($H2520="","",TODAY()-$H2520)</f>
        <v/>
      </c>
      <c r="O2520" s="15" t="n"/>
      <c r="P2520" s="26">
        <f>IF($A2520="","",COUNTIFS('Audit Versions'!$A$6:$A$605,$A2520,'Audit Versions'!$L$6:$L$605,"Active"))</f>
        <v/>
      </c>
      <c r="Q2520" s="15" t="n"/>
      <c r="R2520" s="26">
        <f>IF(OR($A2520="",$P2520=0),"",MOD(N($Q2520),$P2520)+1)</f>
        <v/>
      </c>
      <c r="S2520" s="15" t="n"/>
      <c r="T2520" s="25" t="n"/>
      <c r="U2520" s="26">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Builder'!$B$12="",N($S2520)&lt;='Assignment Builder'!$B$12)))</f>
        <v/>
      </c>
      <c r="V2520" s="23" t="n"/>
    </row>
    <row r="2521">
      <c r="A2521" s="23" t="n"/>
      <c r="B2521" s="23" t="n"/>
      <c r="C2521" s="24" t="n"/>
      <c r="D2521" s="15" t="n"/>
      <c r="E2521" s="23" t="n"/>
      <c r="F2521" s="15" t="n"/>
      <c r="G2521" s="23" t="n"/>
      <c r="H2521" s="25" t="n"/>
      <c r="I2521" s="15" t="n"/>
      <c r="J2521" s="26">
        <f>IF($A2521="","",LEN($C2521)-LEN(SUBSTITUTE($C2521,",",""))+1)</f>
        <v/>
      </c>
      <c r="K2521" s="26">
        <f>IF($A2521="","",SUMPRODUCT(--ISNUMBER(SEARCH('Category Dictionary'!$D$5:$D$135&amp;"",$C2521)),--('Category Dictionary'!$D$5:$D$135&lt;&gt;"")))</f>
        <v/>
      </c>
      <c r="L2521" s="27">
        <f>IF($A2521="","",TRIM(IF(ISERROR(FIND(",",$C2521)),$C2521,LEFT($C2521,FIND(",",$C2521)-1))))</f>
        <v/>
      </c>
      <c r="M2521" s="28">
        <f>IF($H2521="","",DATE(YEAR($H2521),MONTH($H2521),1))</f>
        <v/>
      </c>
      <c r="N2521" s="26">
        <f>IF($H2521="","",TODAY()-$H2521)</f>
        <v/>
      </c>
      <c r="O2521" s="15" t="n"/>
      <c r="P2521" s="26">
        <f>IF($A2521="","",COUNTIFS('Audit Versions'!$A$6:$A$605,$A2521,'Audit Versions'!$L$6:$L$605,"Active"))</f>
        <v/>
      </c>
      <c r="Q2521" s="15" t="n"/>
      <c r="R2521" s="26">
        <f>IF(OR($A2521="",$P2521=0),"",MOD(N($Q2521),$P2521)+1)</f>
        <v/>
      </c>
      <c r="S2521" s="15" t="n"/>
      <c r="T2521" s="25" t="n"/>
      <c r="U2521" s="26">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Builder'!$B$12="",N($S2521)&lt;='Assignment Builder'!$B$12)))</f>
        <v/>
      </c>
      <c r="V2521" s="23" t="n"/>
    </row>
    <row r="2522">
      <c r="A2522" s="23" t="n"/>
      <c r="B2522" s="23" t="n"/>
      <c r="C2522" s="24" t="n"/>
      <c r="D2522" s="15" t="n"/>
      <c r="E2522" s="23" t="n"/>
      <c r="F2522" s="15" t="n"/>
      <c r="G2522" s="23" t="n"/>
      <c r="H2522" s="25" t="n"/>
      <c r="I2522" s="15" t="n"/>
      <c r="J2522" s="26">
        <f>IF($A2522="","",LEN($C2522)-LEN(SUBSTITUTE($C2522,",",""))+1)</f>
        <v/>
      </c>
      <c r="K2522" s="26">
        <f>IF($A2522="","",SUMPRODUCT(--ISNUMBER(SEARCH('Category Dictionary'!$D$5:$D$135&amp;"",$C2522)),--('Category Dictionary'!$D$5:$D$135&lt;&gt;"")))</f>
        <v/>
      </c>
      <c r="L2522" s="27">
        <f>IF($A2522="","",TRIM(IF(ISERROR(FIND(",",$C2522)),$C2522,LEFT($C2522,FIND(",",$C2522)-1))))</f>
        <v/>
      </c>
      <c r="M2522" s="28">
        <f>IF($H2522="","",DATE(YEAR($H2522),MONTH($H2522),1))</f>
        <v/>
      </c>
      <c r="N2522" s="26">
        <f>IF($H2522="","",TODAY()-$H2522)</f>
        <v/>
      </c>
      <c r="O2522" s="15" t="n"/>
      <c r="P2522" s="26">
        <f>IF($A2522="","",COUNTIFS('Audit Versions'!$A$6:$A$605,$A2522,'Audit Versions'!$L$6:$L$605,"Active"))</f>
        <v/>
      </c>
      <c r="Q2522" s="15" t="n"/>
      <c r="R2522" s="26">
        <f>IF(OR($A2522="",$P2522=0),"",MOD(N($Q2522),$P2522)+1)</f>
        <v/>
      </c>
      <c r="S2522" s="15" t="n"/>
      <c r="T2522" s="25" t="n"/>
      <c r="U2522" s="26">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Builder'!$B$12="",N($S2522)&lt;='Assignment Builder'!$B$12)))</f>
        <v/>
      </c>
      <c r="V2522" s="23" t="n"/>
    </row>
    <row r="2523">
      <c r="A2523" s="23" t="n"/>
      <c r="B2523" s="23" t="n"/>
      <c r="C2523" s="24" t="n"/>
      <c r="D2523" s="15" t="n"/>
      <c r="E2523" s="23" t="n"/>
      <c r="F2523" s="15" t="n"/>
      <c r="G2523" s="23" t="n"/>
      <c r="H2523" s="25" t="n"/>
      <c r="I2523" s="15" t="n"/>
      <c r="J2523" s="26">
        <f>IF($A2523="","",LEN($C2523)-LEN(SUBSTITUTE($C2523,",",""))+1)</f>
        <v/>
      </c>
      <c r="K2523" s="26">
        <f>IF($A2523="","",SUMPRODUCT(--ISNUMBER(SEARCH('Category Dictionary'!$D$5:$D$135&amp;"",$C2523)),--('Category Dictionary'!$D$5:$D$135&lt;&gt;"")))</f>
        <v/>
      </c>
      <c r="L2523" s="27">
        <f>IF($A2523="","",TRIM(IF(ISERROR(FIND(",",$C2523)),$C2523,LEFT($C2523,FIND(",",$C2523)-1))))</f>
        <v/>
      </c>
      <c r="M2523" s="28">
        <f>IF($H2523="","",DATE(YEAR($H2523),MONTH($H2523),1))</f>
        <v/>
      </c>
      <c r="N2523" s="26">
        <f>IF($H2523="","",TODAY()-$H2523)</f>
        <v/>
      </c>
      <c r="O2523" s="15" t="n"/>
      <c r="P2523" s="26">
        <f>IF($A2523="","",COUNTIFS('Audit Versions'!$A$6:$A$605,$A2523,'Audit Versions'!$L$6:$L$605,"Active"))</f>
        <v/>
      </c>
      <c r="Q2523" s="15" t="n"/>
      <c r="R2523" s="26">
        <f>IF(OR($A2523="",$P2523=0),"",MOD(N($Q2523),$P2523)+1)</f>
        <v/>
      </c>
      <c r="S2523" s="15" t="n"/>
      <c r="T2523" s="25" t="n"/>
      <c r="U2523" s="26">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Builder'!$B$12="",N($S2523)&lt;='Assignment Builder'!$B$12)))</f>
        <v/>
      </c>
      <c r="V2523" s="23" t="n"/>
    </row>
    <row r="2524">
      <c r="A2524" s="23" t="n"/>
      <c r="B2524" s="23" t="n"/>
      <c r="C2524" s="24" t="n"/>
      <c r="D2524" s="15" t="n"/>
      <c r="E2524" s="23" t="n"/>
      <c r="F2524" s="15" t="n"/>
      <c r="G2524" s="23" t="n"/>
      <c r="H2524" s="25" t="n"/>
      <c r="I2524" s="15" t="n"/>
      <c r="J2524" s="26">
        <f>IF($A2524="","",LEN($C2524)-LEN(SUBSTITUTE($C2524,",",""))+1)</f>
        <v/>
      </c>
      <c r="K2524" s="26">
        <f>IF($A2524="","",SUMPRODUCT(--ISNUMBER(SEARCH('Category Dictionary'!$D$5:$D$135&amp;"",$C2524)),--('Category Dictionary'!$D$5:$D$135&lt;&gt;"")))</f>
        <v/>
      </c>
      <c r="L2524" s="27">
        <f>IF($A2524="","",TRIM(IF(ISERROR(FIND(",",$C2524)),$C2524,LEFT($C2524,FIND(",",$C2524)-1))))</f>
        <v/>
      </c>
      <c r="M2524" s="28">
        <f>IF($H2524="","",DATE(YEAR($H2524),MONTH($H2524),1))</f>
        <v/>
      </c>
      <c r="N2524" s="26">
        <f>IF($H2524="","",TODAY()-$H2524)</f>
        <v/>
      </c>
      <c r="O2524" s="15" t="n"/>
      <c r="P2524" s="26">
        <f>IF($A2524="","",COUNTIFS('Audit Versions'!$A$6:$A$605,$A2524,'Audit Versions'!$L$6:$L$605,"Active"))</f>
        <v/>
      </c>
      <c r="Q2524" s="15" t="n"/>
      <c r="R2524" s="26">
        <f>IF(OR($A2524="",$P2524=0),"",MOD(N($Q2524),$P2524)+1)</f>
        <v/>
      </c>
      <c r="S2524" s="15" t="n"/>
      <c r="T2524" s="25" t="n"/>
      <c r="U2524" s="26">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Builder'!$B$12="",N($S2524)&lt;='Assignment Builder'!$B$12)))</f>
        <v/>
      </c>
      <c r="V2524" s="23" t="n"/>
    </row>
    <row r="2525">
      <c r="A2525" s="23" t="n"/>
      <c r="B2525" s="23" t="n"/>
      <c r="C2525" s="24" t="n"/>
      <c r="D2525" s="15" t="n"/>
      <c r="E2525" s="23" t="n"/>
      <c r="F2525" s="15" t="n"/>
      <c r="G2525" s="23" t="n"/>
      <c r="H2525" s="25" t="n"/>
      <c r="I2525" s="15" t="n"/>
      <c r="J2525" s="26">
        <f>IF($A2525="","",LEN($C2525)-LEN(SUBSTITUTE($C2525,",",""))+1)</f>
        <v/>
      </c>
      <c r="K2525" s="26">
        <f>IF($A2525="","",SUMPRODUCT(--ISNUMBER(SEARCH('Category Dictionary'!$D$5:$D$135&amp;"",$C2525)),--('Category Dictionary'!$D$5:$D$135&lt;&gt;"")))</f>
        <v/>
      </c>
      <c r="L2525" s="27">
        <f>IF($A2525="","",TRIM(IF(ISERROR(FIND(",",$C2525)),$C2525,LEFT($C2525,FIND(",",$C2525)-1))))</f>
        <v/>
      </c>
      <c r="M2525" s="28">
        <f>IF($H2525="","",DATE(YEAR($H2525),MONTH($H2525),1))</f>
        <v/>
      </c>
      <c r="N2525" s="26">
        <f>IF($H2525="","",TODAY()-$H2525)</f>
        <v/>
      </c>
      <c r="O2525" s="15" t="n"/>
      <c r="P2525" s="26">
        <f>IF($A2525="","",COUNTIFS('Audit Versions'!$A$6:$A$605,$A2525,'Audit Versions'!$L$6:$L$605,"Active"))</f>
        <v/>
      </c>
      <c r="Q2525" s="15" t="n"/>
      <c r="R2525" s="26">
        <f>IF(OR($A2525="",$P2525=0),"",MOD(N($Q2525),$P2525)+1)</f>
        <v/>
      </c>
      <c r="S2525" s="15" t="n"/>
      <c r="T2525" s="25" t="n"/>
      <c r="U2525" s="26">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Builder'!$B$12="",N($S2525)&lt;='Assignment Builder'!$B$12)))</f>
        <v/>
      </c>
      <c r="V2525" s="23" t="n"/>
    </row>
    <row r="2526">
      <c r="A2526" s="23" t="n"/>
      <c r="B2526" s="23" t="n"/>
      <c r="C2526" s="24" t="n"/>
      <c r="D2526" s="15" t="n"/>
      <c r="E2526" s="23" t="n"/>
      <c r="F2526" s="15" t="n"/>
      <c r="G2526" s="23" t="n"/>
      <c r="H2526" s="25" t="n"/>
      <c r="I2526" s="15" t="n"/>
      <c r="J2526" s="26">
        <f>IF($A2526="","",LEN($C2526)-LEN(SUBSTITUTE($C2526,",",""))+1)</f>
        <v/>
      </c>
      <c r="K2526" s="26">
        <f>IF($A2526="","",SUMPRODUCT(--ISNUMBER(SEARCH('Category Dictionary'!$D$5:$D$135&amp;"",$C2526)),--('Category Dictionary'!$D$5:$D$135&lt;&gt;"")))</f>
        <v/>
      </c>
      <c r="L2526" s="27">
        <f>IF($A2526="","",TRIM(IF(ISERROR(FIND(",",$C2526)),$C2526,LEFT($C2526,FIND(",",$C2526)-1))))</f>
        <v/>
      </c>
      <c r="M2526" s="28">
        <f>IF($H2526="","",DATE(YEAR($H2526),MONTH($H2526),1))</f>
        <v/>
      </c>
      <c r="N2526" s="26">
        <f>IF($H2526="","",TODAY()-$H2526)</f>
        <v/>
      </c>
      <c r="O2526" s="15" t="n"/>
      <c r="P2526" s="26">
        <f>IF($A2526="","",COUNTIFS('Audit Versions'!$A$6:$A$605,$A2526,'Audit Versions'!$L$6:$L$605,"Active"))</f>
        <v/>
      </c>
      <c r="Q2526" s="15" t="n"/>
      <c r="R2526" s="26">
        <f>IF(OR($A2526="",$P2526=0),"",MOD(N($Q2526),$P2526)+1)</f>
        <v/>
      </c>
      <c r="S2526" s="15" t="n"/>
      <c r="T2526" s="25" t="n"/>
      <c r="U2526" s="26">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Builder'!$B$12="",N($S2526)&lt;='Assignment Builder'!$B$12)))</f>
        <v/>
      </c>
      <c r="V2526" s="23" t="n"/>
    </row>
    <row r="2527">
      <c r="A2527" s="23" t="n"/>
      <c r="B2527" s="23" t="n"/>
      <c r="C2527" s="24" t="n"/>
      <c r="D2527" s="15" t="n"/>
      <c r="E2527" s="23" t="n"/>
      <c r="F2527" s="15" t="n"/>
      <c r="G2527" s="23" t="n"/>
      <c r="H2527" s="25" t="n"/>
      <c r="I2527" s="15" t="n"/>
      <c r="J2527" s="26">
        <f>IF($A2527="","",LEN($C2527)-LEN(SUBSTITUTE($C2527,",",""))+1)</f>
        <v/>
      </c>
      <c r="K2527" s="26">
        <f>IF($A2527="","",SUMPRODUCT(--ISNUMBER(SEARCH('Category Dictionary'!$D$5:$D$135&amp;"",$C2527)),--('Category Dictionary'!$D$5:$D$135&lt;&gt;"")))</f>
        <v/>
      </c>
      <c r="L2527" s="27">
        <f>IF($A2527="","",TRIM(IF(ISERROR(FIND(",",$C2527)),$C2527,LEFT($C2527,FIND(",",$C2527)-1))))</f>
        <v/>
      </c>
      <c r="M2527" s="28">
        <f>IF($H2527="","",DATE(YEAR($H2527),MONTH($H2527),1))</f>
        <v/>
      </c>
      <c r="N2527" s="26">
        <f>IF($H2527="","",TODAY()-$H2527)</f>
        <v/>
      </c>
      <c r="O2527" s="15" t="n"/>
      <c r="P2527" s="26">
        <f>IF($A2527="","",COUNTIFS('Audit Versions'!$A$6:$A$605,$A2527,'Audit Versions'!$L$6:$L$605,"Active"))</f>
        <v/>
      </c>
      <c r="Q2527" s="15" t="n"/>
      <c r="R2527" s="26">
        <f>IF(OR($A2527="",$P2527=0),"",MOD(N($Q2527),$P2527)+1)</f>
        <v/>
      </c>
      <c r="S2527" s="15" t="n"/>
      <c r="T2527" s="25" t="n"/>
      <c r="U2527" s="26">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Builder'!$B$12="",N($S2527)&lt;='Assignment Builder'!$B$12)))</f>
        <v/>
      </c>
      <c r="V2527" s="23" t="n"/>
    </row>
    <row r="2528">
      <c r="A2528" s="23" t="n"/>
      <c r="B2528" s="23" t="n"/>
      <c r="C2528" s="24" t="n"/>
      <c r="D2528" s="15" t="n"/>
      <c r="E2528" s="23" t="n"/>
      <c r="F2528" s="15" t="n"/>
      <c r="G2528" s="23" t="n"/>
      <c r="H2528" s="25" t="n"/>
      <c r="I2528" s="15" t="n"/>
      <c r="J2528" s="26">
        <f>IF($A2528="","",LEN($C2528)-LEN(SUBSTITUTE($C2528,",",""))+1)</f>
        <v/>
      </c>
      <c r="K2528" s="26">
        <f>IF($A2528="","",SUMPRODUCT(--ISNUMBER(SEARCH('Category Dictionary'!$D$5:$D$135&amp;"",$C2528)),--('Category Dictionary'!$D$5:$D$135&lt;&gt;"")))</f>
        <v/>
      </c>
      <c r="L2528" s="27">
        <f>IF($A2528="","",TRIM(IF(ISERROR(FIND(",",$C2528)),$C2528,LEFT($C2528,FIND(",",$C2528)-1))))</f>
        <v/>
      </c>
      <c r="M2528" s="28">
        <f>IF($H2528="","",DATE(YEAR($H2528),MONTH($H2528),1))</f>
        <v/>
      </c>
      <c r="N2528" s="26">
        <f>IF($H2528="","",TODAY()-$H2528)</f>
        <v/>
      </c>
      <c r="O2528" s="15" t="n"/>
      <c r="P2528" s="26">
        <f>IF($A2528="","",COUNTIFS('Audit Versions'!$A$6:$A$605,$A2528,'Audit Versions'!$L$6:$L$605,"Active"))</f>
        <v/>
      </c>
      <c r="Q2528" s="15" t="n"/>
      <c r="R2528" s="26">
        <f>IF(OR($A2528="",$P2528=0),"",MOD(N($Q2528),$P2528)+1)</f>
        <v/>
      </c>
      <c r="S2528" s="15" t="n"/>
      <c r="T2528" s="25" t="n"/>
      <c r="U2528" s="26">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Builder'!$B$12="",N($S2528)&lt;='Assignment Builder'!$B$12)))</f>
        <v/>
      </c>
      <c r="V2528" s="23" t="n"/>
    </row>
    <row r="2529">
      <c r="A2529" s="23" t="n"/>
      <c r="B2529" s="23" t="n"/>
      <c r="C2529" s="24" t="n"/>
      <c r="D2529" s="15" t="n"/>
      <c r="E2529" s="23" t="n"/>
      <c r="F2529" s="15" t="n"/>
      <c r="G2529" s="23" t="n"/>
      <c r="H2529" s="25" t="n"/>
      <c r="I2529" s="15" t="n"/>
      <c r="J2529" s="26">
        <f>IF($A2529="","",LEN($C2529)-LEN(SUBSTITUTE($C2529,",",""))+1)</f>
        <v/>
      </c>
      <c r="K2529" s="26">
        <f>IF($A2529="","",SUMPRODUCT(--ISNUMBER(SEARCH('Category Dictionary'!$D$5:$D$135&amp;"",$C2529)),--('Category Dictionary'!$D$5:$D$135&lt;&gt;"")))</f>
        <v/>
      </c>
      <c r="L2529" s="27">
        <f>IF($A2529="","",TRIM(IF(ISERROR(FIND(",",$C2529)),$C2529,LEFT($C2529,FIND(",",$C2529)-1))))</f>
        <v/>
      </c>
      <c r="M2529" s="28">
        <f>IF($H2529="","",DATE(YEAR($H2529),MONTH($H2529),1))</f>
        <v/>
      </c>
      <c r="N2529" s="26">
        <f>IF($H2529="","",TODAY()-$H2529)</f>
        <v/>
      </c>
      <c r="O2529" s="15" t="n"/>
      <c r="P2529" s="26">
        <f>IF($A2529="","",COUNTIFS('Audit Versions'!$A$6:$A$605,$A2529,'Audit Versions'!$L$6:$L$605,"Active"))</f>
        <v/>
      </c>
      <c r="Q2529" s="15" t="n"/>
      <c r="R2529" s="26">
        <f>IF(OR($A2529="",$P2529=0),"",MOD(N($Q2529),$P2529)+1)</f>
        <v/>
      </c>
      <c r="S2529" s="15" t="n"/>
      <c r="T2529" s="25" t="n"/>
      <c r="U2529" s="26">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Builder'!$B$12="",N($S2529)&lt;='Assignment Builder'!$B$12)))</f>
        <v/>
      </c>
      <c r="V2529" s="23" t="n"/>
    </row>
    <row r="2530">
      <c r="A2530" s="23" t="n"/>
      <c r="B2530" s="23" t="n"/>
      <c r="C2530" s="24" t="n"/>
      <c r="D2530" s="15" t="n"/>
      <c r="E2530" s="23" t="n"/>
      <c r="F2530" s="15" t="n"/>
      <c r="G2530" s="23" t="n"/>
      <c r="H2530" s="25" t="n"/>
      <c r="I2530" s="15" t="n"/>
      <c r="J2530" s="26">
        <f>IF($A2530="","",LEN($C2530)-LEN(SUBSTITUTE($C2530,",",""))+1)</f>
        <v/>
      </c>
      <c r="K2530" s="26">
        <f>IF($A2530="","",SUMPRODUCT(--ISNUMBER(SEARCH('Category Dictionary'!$D$5:$D$135&amp;"",$C2530)),--('Category Dictionary'!$D$5:$D$135&lt;&gt;"")))</f>
        <v/>
      </c>
      <c r="L2530" s="27">
        <f>IF($A2530="","",TRIM(IF(ISERROR(FIND(",",$C2530)),$C2530,LEFT($C2530,FIND(",",$C2530)-1))))</f>
        <v/>
      </c>
      <c r="M2530" s="28">
        <f>IF($H2530="","",DATE(YEAR($H2530),MONTH($H2530),1))</f>
        <v/>
      </c>
      <c r="N2530" s="26">
        <f>IF($H2530="","",TODAY()-$H2530)</f>
        <v/>
      </c>
      <c r="O2530" s="15" t="n"/>
      <c r="P2530" s="26">
        <f>IF($A2530="","",COUNTIFS('Audit Versions'!$A$6:$A$605,$A2530,'Audit Versions'!$L$6:$L$605,"Active"))</f>
        <v/>
      </c>
      <c r="Q2530" s="15" t="n"/>
      <c r="R2530" s="26">
        <f>IF(OR($A2530="",$P2530=0),"",MOD(N($Q2530),$P2530)+1)</f>
        <v/>
      </c>
      <c r="S2530" s="15" t="n"/>
      <c r="T2530" s="25" t="n"/>
      <c r="U2530" s="26">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Builder'!$B$12="",N($S2530)&lt;='Assignment Builder'!$B$12)))</f>
        <v/>
      </c>
      <c r="V2530" s="23" t="n"/>
    </row>
    <row r="2531">
      <c r="A2531" s="23" t="n"/>
      <c r="B2531" s="23" t="n"/>
      <c r="C2531" s="24" t="n"/>
      <c r="D2531" s="15" t="n"/>
      <c r="E2531" s="23" t="n"/>
      <c r="F2531" s="15" t="n"/>
      <c r="G2531" s="23" t="n"/>
      <c r="H2531" s="25" t="n"/>
      <c r="I2531" s="15" t="n"/>
      <c r="J2531" s="26">
        <f>IF($A2531="","",LEN($C2531)-LEN(SUBSTITUTE($C2531,",",""))+1)</f>
        <v/>
      </c>
      <c r="K2531" s="26">
        <f>IF($A2531="","",SUMPRODUCT(--ISNUMBER(SEARCH('Category Dictionary'!$D$5:$D$135&amp;"",$C2531)),--('Category Dictionary'!$D$5:$D$135&lt;&gt;"")))</f>
        <v/>
      </c>
      <c r="L2531" s="27">
        <f>IF($A2531="","",TRIM(IF(ISERROR(FIND(",",$C2531)),$C2531,LEFT($C2531,FIND(",",$C2531)-1))))</f>
        <v/>
      </c>
      <c r="M2531" s="28">
        <f>IF($H2531="","",DATE(YEAR($H2531),MONTH($H2531),1))</f>
        <v/>
      </c>
      <c r="N2531" s="26">
        <f>IF($H2531="","",TODAY()-$H2531)</f>
        <v/>
      </c>
      <c r="O2531" s="15" t="n"/>
      <c r="P2531" s="26">
        <f>IF($A2531="","",COUNTIFS('Audit Versions'!$A$6:$A$605,$A2531,'Audit Versions'!$L$6:$L$605,"Active"))</f>
        <v/>
      </c>
      <c r="Q2531" s="15" t="n"/>
      <c r="R2531" s="26">
        <f>IF(OR($A2531="",$P2531=0),"",MOD(N($Q2531),$P2531)+1)</f>
        <v/>
      </c>
      <c r="S2531" s="15" t="n"/>
      <c r="T2531" s="25" t="n"/>
      <c r="U2531" s="26">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Builder'!$B$12="",N($S2531)&lt;='Assignment Builder'!$B$12)))</f>
        <v/>
      </c>
      <c r="V2531" s="23" t="n"/>
    </row>
    <row r="2532">
      <c r="A2532" s="23" t="n"/>
      <c r="B2532" s="23" t="n"/>
      <c r="C2532" s="24" t="n"/>
      <c r="D2532" s="15" t="n"/>
      <c r="E2532" s="23" t="n"/>
      <c r="F2532" s="15" t="n"/>
      <c r="G2532" s="23" t="n"/>
      <c r="H2532" s="25" t="n"/>
      <c r="I2532" s="15" t="n"/>
      <c r="J2532" s="26">
        <f>IF($A2532="","",LEN($C2532)-LEN(SUBSTITUTE($C2532,",",""))+1)</f>
        <v/>
      </c>
      <c r="K2532" s="26">
        <f>IF($A2532="","",SUMPRODUCT(--ISNUMBER(SEARCH('Category Dictionary'!$D$5:$D$135&amp;"",$C2532)),--('Category Dictionary'!$D$5:$D$135&lt;&gt;"")))</f>
        <v/>
      </c>
      <c r="L2532" s="27">
        <f>IF($A2532="","",TRIM(IF(ISERROR(FIND(",",$C2532)),$C2532,LEFT($C2532,FIND(",",$C2532)-1))))</f>
        <v/>
      </c>
      <c r="M2532" s="28">
        <f>IF($H2532="","",DATE(YEAR($H2532),MONTH($H2532),1))</f>
        <v/>
      </c>
      <c r="N2532" s="26">
        <f>IF($H2532="","",TODAY()-$H2532)</f>
        <v/>
      </c>
      <c r="O2532" s="15" t="n"/>
      <c r="P2532" s="26">
        <f>IF($A2532="","",COUNTIFS('Audit Versions'!$A$6:$A$605,$A2532,'Audit Versions'!$L$6:$L$605,"Active"))</f>
        <v/>
      </c>
      <c r="Q2532" s="15" t="n"/>
      <c r="R2532" s="26">
        <f>IF(OR($A2532="",$P2532=0),"",MOD(N($Q2532),$P2532)+1)</f>
        <v/>
      </c>
      <c r="S2532" s="15" t="n"/>
      <c r="T2532" s="25" t="n"/>
      <c r="U2532" s="26">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Builder'!$B$12="",N($S2532)&lt;='Assignment Builder'!$B$12)))</f>
        <v/>
      </c>
      <c r="V2532" s="23" t="n"/>
    </row>
    <row r="2533">
      <c r="A2533" s="23" t="n"/>
      <c r="B2533" s="23" t="n"/>
      <c r="C2533" s="24" t="n"/>
      <c r="D2533" s="15" t="n"/>
      <c r="E2533" s="23" t="n"/>
      <c r="F2533" s="15" t="n"/>
      <c r="G2533" s="23" t="n"/>
      <c r="H2533" s="25" t="n"/>
      <c r="I2533" s="15" t="n"/>
      <c r="J2533" s="26">
        <f>IF($A2533="","",LEN($C2533)-LEN(SUBSTITUTE($C2533,",",""))+1)</f>
        <v/>
      </c>
      <c r="K2533" s="26">
        <f>IF($A2533="","",SUMPRODUCT(--ISNUMBER(SEARCH('Category Dictionary'!$D$5:$D$135&amp;"",$C2533)),--('Category Dictionary'!$D$5:$D$135&lt;&gt;"")))</f>
        <v/>
      </c>
      <c r="L2533" s="27">
        <f>IF($A2533="","",TRIM(IF(ISERROR(FIND(",",$C2533)),$C2533,LEFT($C2533,FIND(",",$C2533)-1))))</f>
        <v/>
      </c>
      <c r="M2533" s="28">
        <f>IF($H2533="","",DATE(YEAR($H2533),MONTH($H2533),1))</f>
        <v/>
      </c>
      <c r="N2533" s="26">
        <f>IF($H2533="","",TODAY()-$H2533)</f>
        <v/>
      </c>
      <c r="O2533" s="15" t="n"/>
      <c r="P2533" s="26">
        <f>IF($A2533="","",COUNTIFS('Audit Versions'!$A$6:$A$605,$A2533,'Audit Versions'!$L$6:$L$605,"Active"))</f>
        <v/>
      </c>
      <c r="Q2533" s="15" t="n"/>
      <c r="R2533" s="26">
        <f>IF(OR($A2533="",$P2533=0),"",MOD(N($Q2533),$P2533)+1)</f>
        <v/>
      </c>
      <c r="S2533" s="15" t="n"/>
      <c r="T2533" s="25" t="n"/>
      <c r="U2533" s="26">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Builder'!$B$12="",N($S2533)&lt;='Assignment Builder'!$B$12)))</f>
        <v/>
      </c>
      <c r="V2533" s="23" t="n"/>
    </row>
    <row r="2534">
      <c r="A2534" s="23" t="n"/>
      <c r="B2534" s="23" t="n"/>
      <c r="C2534" s="24" t="n"/>
      <c r="D2534" s="15" t="n"/>
      <c r="E2534" s="23" t="n"/>
      <c r="F2534" s="15" t="n"/>
      <c r="G2534" s="23" t="n"/>
      <c r="H2534" s="25" t="n"/>
      <c r="I2534" s="15" t="n"/>
      <c r="J2534" s="26">
        <f>IF($A2534="","",LEN($C2534)-LEN(SUBSTITUTE($C2534,",",""))+1)</f>
        <v/>
      </c>
      <c r="K2534" s="26">
        <f>IF($A2534="","",SUMPRODUCT(--ISNUMBER(SEARCH('Category Dictionary'!$D$5:$D$135&amp;"",$C2534)),--('Category Dictionary'!$D$5:$D$135&lt;&gt;"")))</f>
        <v/>
      </c>
      <c r="L2534" s="27">
        <f>IF($A2534="","",TRIM(IF(ISERROR(FIND(",",$C2534)),$C2534,LEFT($C2534,FIND(",",$C2534)-1))))</f>
        <v/>
      </c>
      <c r="M2534" s="28">
        <f>IF($H2534="","",DATE(YEAR($H2534),MONTH($H2534),1))</f>
        <v/>
      </c>
      <c r="N2534" s="26">
        <f>IF($H2534="","",TODAY()-$H2534)</f>
        <v/>
      </c>
      <c r="O2534" s="15" t="n"/>
      <c r="P2534" s="26">
        <f>IF($A2534="","",COUNTIFS('Audit Versions'!$A$6:$A$605,$A2534,'Audit Versions'!$L$6:$L$605,"Active"))</f>
        <v/>
      </c>
      <c r="Q2534" s="15" t="n"/>
      <c r="R2534" s="26">
        <f>IF(OR($A2534="",$P2534=0),"",MOD(N($Q2534),$P2534)+1)</f>
        <v/>
      </c>
      <c r="S2534" s="15" t="n"/>
      <c r="T2534" s="25" t="n"/>
      <c r="U2534" s="26">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Builder'!$B$12="",N($S2534)&lt;='Assignment Builder'!$B$12)))</f>
        <v/>
      </c>
      <c r="V2534" s="23" t="n"/>
    </row>
    <row r="2535">
      <c r="A2535" s="23" t="n"/>
      <c r="B2535" s="23" t="n"/>
      <c r="C2535" s="24" t="n"/>
      <c r="D2535" s="15" t="n"/>
      <c r="E2535" s="23" t="n"/>
      <c r="F2535" s="15" t="n"/>
      <c r="G2535" s="23" t="n"/>
      <c r="H2535" s="25" t="n"/>
      <c r="I2535" s="15" t="n"/>
      <c r="J2535" s="26">
        <f>IF($A2535="","",LEN($C2535)-LEN(SUBSTITUTE($C2535,",",""))+1)</f>
        <v/>
      </c>
      <c r="K2535" s="26">
        <f>IF($A2535="","",SUMPRODUCT(--ISNUMBER(SEARCH('Category Dictionary'!$D$5:$D$135&amp;"",$C2535)),--('Category Dictionary'!$D$5:$D$135&lt;&gt;"")))</f>
        <v/>
      </c>
      <c r="L2535" s="27">
        <f>IF($A2535="","",TRIM(IF(ISERROR(FIND(",",$C2535)),$C2535,LEFT($C2535,FIND(",",$C2535)-1))))</f>
        <v/>
      </c>
      <c r="M2535" s="28">
        <f>IF($H2535="","",DATE(YEAR($H2535),MONTH($H2535),1))</f>
        <v/>
      </c>
      <c r="N2535" s="26">
        <f>IF($H2535="","",TODAY()-$H2535)</f>
        <v/>
      </c>
      <c r="O2535" s="15" t="n"/>
      <c r="P2535" s="26">
        <f>IF($A2535="","",COUNTIFS('Audit Versions'!$A$6:$A$605,$A2535,'Audit Versions'!$L$6:$L$605,"Active"))</f>
        <v/>
      </c>
      <c r="Q2535" s="15" t="n"/>
      <c r="R2535" s="26">
        <f>IF(OR($A2535="",$P2535=0),"",MOD(N($Q2535),$P2535)+1)</f>
        <v/>
      </c>
      <c r="S2535" s="15" t="n"/>
      <c r="T2535" s="25" t="n"/>
      <c r="U2535" s="26">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Builder'!$B$12="",N($S2535)&lt;='Assignment Builder'!$B$12)))</f>
        <v/>
      </c>
      <c r="V2535" s="23" t="n"/>
    </row>
    <row r="2536">
      <c r="A2536" s="23" t="n"/>
      <c r="B2536" s="23" t="n"/>
      <c r="C2536" s="24" t="n"/>
      <c r="D2536" s="15" t="n"/>
      <c r="E2536" s="23" t="n"/>
      <c r="F2536" s="15" t="n"/>
      <c r="G2536" s="23" t="n"/>
      <c r="H2536" s="25" t="n"/>
      <c r="I2536" s="15" t="n"/>
      <c r="J2536" s="26">
        <f>IF($A2536="","",LEN($C2536)-LEN(SUBSTITUTE($C2536,",",""))+1)</f>
        <v/>
      </c>
      <c r="K2536" s="26">
        <f>IF($A2536="","",SUMPRODUCT(--ISNUMBER(SEARCH('Category Dictionary'!$D$5:$D$135&amp;"",$C2536)),--('Category Dictionary'!$D$5:$D$135&lt;&gt;"")))</f>
        <v/>
      </c>
      <c r="L2536" s="27">
        <f>IF($A2536="","",TRIM(IF(ISERROR(FIND(",",$C2536)),$C2536,LEFT($C2536,FIND(",",$C2536)-1))))</f>
        <v/>
      </c>
      <c r="M2536" s="28">
        <f>IF($H2536="","",DATE(YEAR($H2536),MONTH($H2536),1))</f>
        <v/>
      </c>
      <c r="N2536" s="26">
        <f>IF($H2536="","",TODAY()-$H2536)</f>
        <v/>
      </c>
      <c r="O2536" s="15" t="n"/>
      <c r="P2536" s="26">
        <f>IF($A2536="","",COUNTIFS('Audit Versions'!$A$6:$A$605,$A2536,'Audit Versions'!$L$6:$L$605,"Active"))</f>
        <v/>
      </c>
      <c r="Q2536" s="15" t="n"/>
      <c r="R2536" s="26">
        <f>IF(OR($A2536="",$P2536=0),"",MOD(N($Q2536),$P2536)+1)</f>
        <v/>
      </c>
      <c r="S2536" s="15" t="n"/>
      <c r="T2536" s="25" t="n"/>
      <c r="U2536" s="26">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Builder'!$B$12="",N($S2536)&lt;='Assignment Builder'!$B$12)))</f>
        <v/>
      </c>
      <c r="V2536" s="23" t="n"/>
    </row>
    <row r="2537">
      <c r="A2537" s="23" t="n"/>
      <c r="B2537" s="23" t="n"/>
      <c r="C2537" s="24" t="n"/>
      <c r="D2537" s="15" t="n"/>
      <c r="E2537" s="23" t="n"/>
      <c r="F2537" s="15" t="n"/>
      <c r="G2537" s="23" t="n"/>
      <c r="H2537" s="25" t="n"/>
      <c r="I2537" s="15" t="n"/>
      <c r="J2537" s="26">
        <f>IF($A2537="","",LEN($C2537)-LEN(SUBSTITUTE($C2537,",",""))+1)</f>
        <v/>
      </c>
      <c r="K2537" s="26">
        <f>IF($A2537="","",SUMPRODUCT(--ISNUMBER(SEARCH('Category Dictionary'!$D$5:$D$135&amp;"",$C2537)),--('Category Dictionary'!$D$5:$D$135&lt;&gt;"")))</f>
        <v/>
      </c>
      <c r="L2537" s="27">
        <f>IF($A2537="","",TRIM(IF(ISERROR(FIND(",",$C2537)),$C2537,LEFT($C2537,FIND(",",$C2537)-1))))</f>
        <v/>
      </c>
      <c r="M2537" s="28">
        <f>IF($H2537="","",DATE(YEAR($H2537),MONTH($H2537),1))</f>
        <v/>
      </c>
      <c r="N2537" s="26">
        <f>IF($H2537="","",TODAY()-$H2537)</f>
        <v/>
      </c>
      <c r="O2537" s="15" t="n"/>
      <c r="P2537" s="26">
        <f>IF($A2537="","",COUNTIFS('Audit Versions'!$A$6:$A$605,$A2537,'Audit Versions'!$L$6:$L$605,"Active"))</f>
        <v/>
      </c>
      <c r="Q2537" s="15" t="n"/>
      <c r="R2537" s="26">
        <f>IF(OR($A2537="",$P2537=0),"",MOD(N($Q2537),$P2537)+1)</f>
        <v/>
      </c>
      <c r="S2537" s="15" t="n"/>
      <c r="T2537" s="25" t="n"/>
      <c r="U2537" s="26">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Builder'!$B$12="",N($S2537)&lt;='Assignment Builder'!$B$12)))</f>
        <v/>
      </c>
      <c r="V2537" s="23" t="n"/>
    </row>
    <row r="2538">
      <c r="A2538" s="23" t="n"/>
      <c r="B2538" s="23" t="n"/>
      <c r="C2538" s="24" t="n"/>
      <c r="D2538" s="15" t="n"/>
      <c r="E2538" s="23" t="n"/>
      <c r="F2538" s="15" t="n"/>
      <c r="G2538" s="23" t="n"/>
      <c r="H2538" s="25" t="n"/>
      <c r="I2538" s="15" t="n"/>
      <c r="J2538" s="26">
        <f>IF($A2538="","",LEN($C2538)-LEN(SUBSTITUTE($C2538,",",""))+1)</f>
        <v/>
      </c>
      <c r="K2538" s="26">
        <f>IF($A2538="","",SUMPRODUCT(--ISNUMBER(SEARCH('Category Dictionary'!$D$5:$D$135&amp;"",$C2538)),--('Category Dictionary'!$D$5:$D$135&lt;&gt;"")))</f>
        <v/>
      </c>
      <c r="L2538" s="27">
        <f>IF($A2538="","",TRIM(IF(ISERROR(FIND(",",$C2538)),$C2538,LEFT($C2538,FIND(",",$C2538)-1))))</f>
        <v/>
      </c>
      <c r="M2538" s="28">
        <f>IF($H2538="","",DATE(YEAR($H2538),MONTH($H2538),1))</f>
        <v/>
      </c>
      <c r="N2538" s="26">
        <f>IF($H2538="","",TODAY()-$H2538)</f>
        <v/>
      </c>
      <c r="O2538" s="15" t="n"/>
      <c r="P2538" s="26">
        <f>IF($A2538="","",COUNTIFS('Audit Versions'!$A$6:$A$605,$A2538,'Audit Versions'!$L$6:$L$605,"Active"))</f>
        <v/>
      </c>
      <c r="Q2538" s="15" t="n"/>
      <c r="R2538" s="26">
        <f>IF(OR($A2538="",$P2538=0),"",MOD(N($Q2538),$P2538)+1)</f>
        <v/>
      </c>
      <c r="S2538" s="15" t="n"/>
      <c r="T2538" s="25" t="n"/>
      <c r="U2538" s="26">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Builder'!$B$12="",N($S2538)&lt;='Assignment Builder'!$B$12)))</f>
        <v/>
      </c>
      <c r="V2538" s="23" t="n"/>
    </row>
    <row r="2539">
      <c r="A2539" s="23" t="n"/>
      <c r="B2539" s="23" t="n"/>
      <c r="C2539" s="24" t="n"/>
      <c r="D2539" s="15" t="n"/>
      <c r="E2539" s="23" t="n"/>
      <c r="F2539" s="15" t="n"/>
      <c r="G2539" s="23" t="n"/>
      <c r="H2539" s="25" t="n"/>
      <c r="I2539" s="15" t="n"/>
      <c r="J2539" s="26">
        <f>IF($A2539="","",LEN($C2539)-LEN(SUBSTITUTE($C2539,",",""))+1)</f>
        <v/>
      </c>
      <c r="K2539" s="26">
        <f>IF($A2539="","",SUMPRODUCT(--ISNUMBER(SEARCH('Category Dictionary'!$D$5:$D$135&amp;"",$C2539)),--('Category Dictionary'!$D$5:$D$135&lt;&gt;"")))</f>
        <v/>
      </c>
      <c r="L2539" s="27">
        <f>IF($A2539="","",TRIM(IF(ISERROR(FIND(",",$C2539)),$C2539,LEFT($C2539,FIND(",",$C2539)-1))))</f>
        <v/>
      </c>
      <c r="M2539" s="28">
        <f>IF($H2539="","",DATE(YEAR($H2539),MONTH($H2539),1))</f>
        <v/>
      </c>
      <c r="N2539" s="26">
        <f>IF($H2539="","",TODAY()-$H2539)</f>
        <v/>
      </c>
      <c r="O2539" s="15" t="n"/>
      <c r="P2539" s="26">
        <f>IF($A2539="","",COUNTIFS('Audit Versions'!$A$6:$A$605,$A2539,'Audit Versions'!$L$6:$L$605,"Active"))</f>
        <v/>
      </c>
      <c r="Q2539" s="15" t="n"/>
      <c r="R2539" s="26">
        <f>IF(OR($A2539="",$P2539=0),"",MOD(N($Q2539),$P2539)+1)</f>
        <v/>
      </c>
      <c r="S2539" s="15" t="n"/>
      <c r="T2539" s="25" t="n"/>
      <c r="U2539" s="26">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Builder'!$B$12="",N($S2539)&lt;='Assignment Builder'!$B$12)))</f>
        <v/>
      </c>
      <c r="V2539" s="23" t="n"/>
    </row>
    <row r="2540">
      <c r="A2540" s="23" t="n"/>
      <c r="B2540" s="23" t="n"/>
      <c r="C2540" s="24" t="n"/>
      <c r="D2540" s="15" t="n"/>
      <c r="E2540" s="23" t="n"/>
      <c r="F2540" s="15" t="n"/>
      <c r="G2540" s="23" t="n"/>
      <c r="H2540" s="25" t="n"/>
      <c r="I2540" s="15" t="n"/>
      <c r="J2540" s="26">
        <f>IF($A2540="","",LEN($C2540)-LEN(SUBSTITUTE($C2540,",",""))+1)</f>
        <v/>
      </c>
      <c r="K2540" s="26">
        <f>IF($A2540="","",SUMPRODUCT(--ISNUMBER(SEARCH('Category Dictionary'!$D$5:$D$135&amp;"",$C2540)),--('Category Dictionary'!$D$5:$D$135&lt;&gt;"")))</f>
        <v/>
      </c>
      <c r="L2540" s="27">
        <f>IF($A2540="","",TRIM(IF(ISERROR(FIND(",",$C2540)),$C2540,LEFT($C2540,FIND(",",$C2540)-1))))</f>
        <v/>
      </c>
      <c r="M2540" s="28">
        <f>IF($H2540="","",DATE(YEAR($H2540),MONTH($H2540),1))</f>
        <v/>
      </c>
      <c r="N2540" s="26">
        <f>IF($H2540="","",TODAY()-$H2540)</f>
        <v/>
      </c>
      <c r="O2540" s="15" t="n"/>
      <c r="P2540" s="26">
        <f>IF($A2540="","",COUNTIFS('Audit Versions'!$A$6:$A$605,$A2540,'Audit Versions'!$L$6:$L$605,"Active"))</f>
        <v/>
      </c>
      <c r="Q2540" s="15" t="n"/>
      <c r="R2540" s="26">
        <f>IF(OR($A2540="",$P2540=0),"",MOD(N($Q2540),$P2540)+1)</f>
        <v/>
      </c>
      <c r="S2540" s="15" t="n"/>
      <c r="T2540" s="25" t="n"/>
      <c r="U2540" s="26">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Builder'!$B$12="",N($S2540)&lt;='Assignment Builder'!$B$12)))</f>
        <v/>
      </c>
      <c r="V2540" s="23" t="n"/>
    </row>
    <row r="2541">
      <c r="A2541" s="23" t="n"/>
      <c r="B2541" s="23" t="n"/>
      <c r="C2541" s="24" t="n"/>
      <c r="D2541" s="15" t="n"/>
      <c r="E2541" s="23" t="n"/>
      <c r="F2541" s="15" t="n"/>
      <c r="G2541" s="23" t="n"/>
      <c r="H2541" s="25" t="n"/>
      <c r="I2541" s="15" t="n"/>
      <c r="J2541" s="26">
        <f>IF($A2541="","",LEN($C2541)-LEN(SUBSTITUTE($C2541,",",""))+1)</f>
        <v/>
      </c>
      <c r="K2541" s="26">
        <f>IF($A2541="","",SUMPRODUCT(--ISNUMBER(SEARCH('Category Dictionary'!$D$5:$D$135&amp;"",$C2541)),--('Category Dictionary'!$D$5:$D$135&lt;&gt;"")))</f>
        <v/>
      </c>
      <c r="L2541" s="27">
        <f>IF($A2541="","",TRIM(IF(ISERROR(FIND(",",$C2541)),$C2541,LEFT($C2541,FIND(",",$C2541)-1))))</f>
        <v/>
      </c>
      <c r="M2541" s="28">
        <f>IF($H2541="","",DATE(YEAR($H2541),MONTH($H2541),1))</f>
        <v/>
      </c>
      <c r="N2541" s="26">
        <f>IF($H2541="","",TODAY()-$H2541)</f>
        <v/>
      </c>
      <c r="O2541" s="15" t="n"/>
      <c r="P2541" s="26">
        <f>IF($A2541="","",COUNTIFS('Audit Versions'!$A$6:$A$605,$A2541,'Audit Versions'!$L$6:$L$605,"Active"))</f>
        <v/>
      </c>
      <c r="Q2541" s="15" t="n"/>
      <c r="R2541" s="26">
        <f>IF(OR($A2541="",$P2541=0),"",MOD(N($Q2541),$P2541)+1)</f>
        <v/>
      </c>
      <c r="S2541" s="15" t="n"/>
      <c r="T2541" s="25" t="n"/>
      <c r="U2541" s="26">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Builder'!$B$12="",N($S2541)&lt;='Assignment Builder'!$B$12)))</f>
        <v/>
      </c>
      <c r="V2541" s="23" t="n"/>
    </row>
    <row r="2542">
      <c r="A2542" s="23" t="n"/>
      <c r="B2542" s="23" t="n"/>
      <c r="C2542" s="24" t="n"/>
      <c r="D2542" s="15" t="n"/>
      <c r="E2542" s="23" t="n"/>
      <c r="F2542" s="15" t="n"/>
      <c r="G2542" s="23" t="n"/>
      <c r="H2542" s="25" t="n"/>
      <c r="I2542" s="15" t="n"/>
      <c r="J2542" s="26">
        <f>IF($A2542="","",LEN($C2542)-LEN(SUBSTITUTE($C2542,",",""))+1)</f>
        <v/>
      </c>
      <c r="K2542" s="26">
        <f>IF($A2542="","",SUMPRODUCT(--ISNUMBER(SEARCH('Category Dictionary'!$D$5:$D$135&amp;"",$C2542)),--('Category Dictionary'!$D$5:$D$135&lt;&gt;"")))</f>
        <v/>
      </c>
      <c r="L2542" s="27">
        <f>IF($A2542="","",TRIM(IF(ISERROR(FIND(",",$C2542)),$C2542,LEFT($C2542,FIND(",",$C2542)-1))))</f>
        <v/>
      </c>
      <c r="M2542" s="28">
        <f>IF($H2542="","",DATE(YEAR($H2542),MONTH($H2542),1))</f>
        <v/>
      </c>
      <c r="N2542" s="26">
        <f>IF($H2542="","",TODAY()-$H2542)</f>
        <v/>
      </c>
      <c r="O2542" s="15" t="n"/>
      <c r="P2542" s="26">
        <f>IF($A2542="","",COUNTIFS('Audit Versions'!$A$6:$A$605,$A2542,'Audit Versions'!$L$6:$L$605,"Active"))</f>
        <v/>
      </c>
      <c r="Q2542" s="15" t="n"/>
      <c r="R2542" s="26">
        <f>IF(OR($A2542="",$P2542=0),"",MOD(N($Q2542),$P2542)+1)</f>
        <v/>
      </c>
      <c r="S2542" s="15" t="n"/>
      <c r="T2542" s="25" t="n"/>
      <c r="U2542" s="26">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Builder'!$B$12="",N($S2542)&lt;='Assignment Builder'!$B$12)))</f>
        <v/>
      </c>
      <c r="V2542" s="23" t="n"/>
    </row>
    <row r="2543">
      <c r="A2543" s="23" t="n"/>
      <c r="B2543" s="23" t="n"/>
      <c r="C2543" s="24" t="n"/>
      <c r="D2543" s="15" t="n"/>
      <c r="E2543" s="23" t="n"/>
      <c r="F2543" s="15" t="n"/>
      <c r="G2543" s="23" t="n"/>
      <c r="H2543" s="25" t="n"/>
      <c r="I2543" s="15" t="n"/>
      <c r="J2543" s="26">
        <f>IF($A2543="","",LEN($C2543)-LEN(SUBSTITUTE($C2543,",",""))+1)</f>
        <v/>
      </c>
      <c r="K2543" s="26">
        <f>IF($A2543="","",SUMPRODUCT(--ISNUMBER(SEARCH('Category Dictionary'!$D$5:$D$135&amp;"",$C2543)),--('Category Dictionary'!$D$5:$D$135&lt;&gt;"")))</f>
        <v/>
      </c>
      <c r="L2543" s="27">
        <f>IF($A2543="","",TRIM(IF(ISERROR(FIND(",",$C2543)),$C2543,LEFT($C2543,FIND(",",$C2543)-1))))</f>
        <v/>
      </c>
      <c r="M2543" s="28">
        <f>IF($H2543="","",DATE(YEAR($H2543),MONTH($H2543),1))</f>
        <v/>
      </c>
      <c r="N2543" s="26">
        <f>IF($H2543="","",TODAY()-$H2543)</f>
        <v/>
      </c>
      <c r="O2543" s="15" t="n"/>
      <c r="P2543" s="26">
        <f>IF($A2543="","",COUNTIFS('Audit Versions'!$A$6:$A$605,$A2543,'Audit Versions'!$L$6:$L$605,"Active"))</f>
        <v/>
      </c>
      <c r="Q2543" s="15" t="n"/>
      <c r="R2543" s="26">
        <f>IF(OR($A2543="",$P2543=0),"",MOD(N($Q2543),$P2543)+1)</f>
        <v/>
      </c>
      <c r="S2543" s="15" t="n"/>
      <c r="T2543" s="25" t="n"/>
      <c r="U2543" s="26">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Builder'!$B$12="",N($S2543)&lt;='Assignment Builder'!$B$12)))</f>
        <v/>
      </c>
      <c r="V2543" s="23" t="n"/>
    </row>
    <row r="2544">
      <c r="A2544" s="23" t="n"/>
      <c r="B2544" s="23" t="n"/>
      <c r="C2544" s="24" t="n"/>
      <c r="D2544" s="15" t="n"/>
      <c r="E2544" s="23" t="n"/>
      <c r="F2544" s="15" t="n"/>
      <c r="G2544" s="23" t="n"/>
      <c r="H2544" s="25" t="n"/>
      <c r="I2544" s="15" t="n"/>
      <c r="J2544" s="26">
        <f>IF($A2544="","",LEN($C2544)-LEN(SUBSTITUTE($C2544,",",""))+1)</f>
        <v/>
      </c>
      <c r="K2544" s="26">
        <f>IF($A2544="","",SUMPRODUCT(--ISNUMBER(SEARCH('Category Dictionary'!$D$5:$D$135&amp;"",$C2544)),--('Category Dictionary'!$D$5:$D$135&lt;&gt;"")))</f>
        <v/>
      </c>
      <c r="L2544" s="27">
        <f>IF($A2544="","",TRIM(IF(ISERROR(FIND(",",$C2544)),$C2544,LEFT($C2544,FIND(",",$C2544)-1))))</f>
        <v/>
      </c>
      <c r="M2544" s="28">
        <f>IF($H2544="","",DATE(YEAR($H2544),MONTH($H2544),1))</f>
        <v/>
      </c>
      <c r="N2544" s="26">
        <f>IF($H2544="","",TODAY()-$H2544)</f>
        <v/>
      </c>
      <c r="O2544" s="15" t="n"/>
      <c r="P2544" s="26">
        <f>IF($A2544="","",COUNTIFS('Audit Versions'!$A$6:$A$605,$A2544,'Audit Versions'!$L$6:$L$605,"Active"))</f>
        <v/>
      </c>
      <c r="Q2544" s="15" t="n"/>
      <c r="R2544" s="26">
        <f>IF(OR($A2544="",$P2544=0),"",MOD(N($Q2544),$P2544)+1)</f>
        <v/>
      </c>
      <c r="S2544" s="15" t="n"/>
      <c r="T2544" s="25" t="n"/>
      <c r="U2544" s="26">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Builder'!$B$12="",N($S2544)&lt;='Assignment Builder'!$B$12)))</f>
        <v/>
      </c>
      <c r="V2544" s="23" t="n"/>
    </row>
    <row r="2545">
      <c r="A2545" s="23" t="n"/>
      <c r="B2545" s="23" t="n"/>
      <c r="C2545" s="24" t="n"/>
      <c r="D2545" s="15" t="n"/>
      <c r="E2545" s="23" t="n"/>
      <c r="F2545" s="15" t="n"/>
      <c r="G2545" s="23" t="n"/>
      <c r="H2545" s="25" t="n"/>
      <c r="I2545" s="15" t="n"/>
      <c r="J2545" s="26">
        <f>IF($A2545="","",LEN($C2545)-LEN(SUBSTITUTE($C2545,",",""))+1)</f>
        <v/>
      </c>
      <c r="K2545" s="26">
        <f>IF($A2545="","",SUMPRODUCT(--ISNUMBER(SEARCH('Category Dictionary'!$D$5:$D$135&amp;"",$C2545)),--('Category Dictionary'!$D$5:$D$135&lt;&gt;"")))</f>
        <v/>
      </c>
      <c r="L2545" s="27">
        <f>IF($A2545="","",TRIM(IF(ISERROR(FIND(",",$C2545)),$C2545,LEFT($C2545,FIND(",",$C2545)-1))))</f>
        <v/>
      </c>
      <c r="M2545" s="28">
        <f>IF($H2545="","",DATE(YEAR($H2545),MONTH($H2545),1))</f>
        <v/>
      </c>
      <c r="N2545" s="26">
        <f>IF($H2545="","",TODAY()-$H2545)</f>
        <v/>
      </c>
      <c r="O2545" s="15" t="n"/>
      <c r="P2545" s="26">
        <f>IF($A2545="","",COUNTIFS('Audit Versions'!$A$6:$A$605,$A2545,'Audit Versions'!$L$6:$L$605,"Active"))</f>
        <v/>
      </c>
      <c r="Q2545" s="15" t="n"/>
      <c r="R2545" s="26">
        <f>IF(OR($A2545="",$P2545=0),"",MOD(N($Q2545),$P2545)+1)</f>
        <v/>
      </c>
      <c r="S2545" s="15" t="n"/>
      <c r="T2545" s="25" t="n"/>
      <c r="U2545" s="26">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Builder'!$B$12="",N($S2545)&lt;='Assignment Builder'!$B$12)))</f>
        <v/>
      </c>
      <c r="V2545" s="23" t="n"/>
    </row>
    <row r="2546">
      <c r="A2546" s="23" t="n"/>
      <c r="B2546" s="23" t="n"/>
      <c r="C2546" s="24" t="n"/>
      <c r="D2546" s="15" t="n"/>
      <c r="E2546" s="23" t="n"/>
      <c r="F2546" s="15" t="n"/>
      <c r="G2546" s="23" t="n"/>
      <c r="H2546" s="25" t="n"/>
      <c r="I2546" s="15" t="n"/>
      <c r="J2546" s="26">
        <f>IF($A2546="","",LEN($C2546)-LEN(SUBSTITUTE($C2546,",",""))+1)</f>
        <v/>
      </c>
      <c r="K2546" s="26">
        <f>IF($A2546="","",SUMPRODUCT(--ISNUMBER(SEARCH('Category Dictionary'!$D$5:$D$135&amp;"",$C2546)),--('Category Dictionary'!$D$5:$D$135&lt;&gt;"")))</f>
        <v/>
      </c>
      <c r="L2546" s="27">
        <f>IF($A2546="","",TRIM(IF(ISERROR(FIND(",",$C2546)),$C2546,LEFT($C2546,FIND(",",$C2546)-1))))</f>
        <v/>
      </c>
      <c r="M2546" s="28">
        <f>IF($H2546="","",DATE(YEAR($H2546),MONTH($H2546),1))</f>
        <v/>
      </c>
      <c r="N2546" s="26">
        <f>IF($H2546="","",TODAY()-$H2546)</f>
        <v/>
      </c>
      <c r="O2546" s="15" t="n"/>
      <c r="P2546" s="26">
        <f>IF($A2546="","",COUNTIFS('Audit Versions'!$A$6:$A$605,$A2546,'Audit Versions'!$L$6:$L$605,"Active"))</f>
        <v/>
      </c>
      <c r="Q2546" s="15" t="n"/>
      <c r="R2546" s="26">
        <f>IF(OR($A2546="",$P2546=0),"",MOD(N($Q2546),$P2546)+1)</f>
        <v/>
      </c>
      <c r="S2546" s="15" t="n"/>
      <c r="T2546" s="25" t="n"/>
      <c r="U2546" s="26">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Builder'!$B$12="",N($S2546)&lt;='Assignment Builder'!$B$12)))</f>
        <v/>
      </c>
      <c r="V2546" s="23" t="n"/>
    </row>
    <row r="2547">
      <c r="A2547" s="23" t="n"/>
      <c r="B2547" s="23" t="n"/>
      <c r="C2547" s="24" t="n"/>
      <c r="D2547" s="15" t="n"/>
      <c r="E2547" s="23" t="n"/>
      <c r="F2547" s="15" t="n"/>
      <c r="G2547" s="23" t="n"/>
      <c r="H2547" s="25" t="n"/>
      <c r="I2547" s="15" t="n"/>
      <c r="J2547" s="26">
        <f>IF($A2547="","",LEN($C2547)-LEN(SUBSTITUTE($C2547,",",""))+1)</f>
        <v/>
      </c>
      <c r="K2547" s="26">
        <f>IF($A2547="","",SUMPRODUCT(--ISNUMBER(SEARCH('Category Dictionary'!$D$5:$D$135&amp;"",$C2547)),--('Category Dictionary'!$D$5:$D$135&lt;&gt;"")))</f>
        <v/>
      </c>
      <c r="L2547" s="27">
        <f>IF($A2547="","",TRIM(IF(ISERROR(FIND(",",$C2547)),$C2547,LEFT($C2547,FIND(",",$C2547)-1))))</f>
        <v/>
      </c>
      <c r="M2547" s="28">
        <f>IF($H2547="","",DATE(YEAR($H2547),MONTH($H2547),1))</f>
        <v/>
      </c>
      <c r="N2547" s="26">
        <f>IF($H2547="","",TODAY()-$H2547)</f>
        <v/>
      </c>
      <c r="O2547" s="15" t="n"/>
      <c r="P2547" s="26">
        <f>IF($A2547="","",COUNTIFS('Audit Versions'!$A$6:$A$605,$A2547,'Audit Versions'!$L$6:$L$605,"Active"))</f>
        <v/>
      </c>
      <c r="Q2547" s="15" t="n"/>
      <c r="R2547" s="26">
        <f>IF(OR($A2547="",$P2547=0),"",MOD(N($Q2547),$P2547)+1)</f>
        <v/>
      </c>
      <c r="S2547" s="15" t="n"/>
      <c r="T2547" s="25" t="n"/>
      <c r="U2547" s="26">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Builder'!$B$12="",N($S2547)&lt;='Assignment Builder'!$B$12)))</f>
        <v/>
      </c>
      <c r="V2547" s="23" t="n"/>
    </row>
    <row r="2548">
      <c r="A2548" s="23" t="n"/>
      <c r="B2548" s="23" t="n"/>
      <c r="C2548" s="24" t="n"/>
      <c r="D2548" s="15" t="n"/>
      <c r="E2548" s="23" t="n"/>
      <c r="F2548" s="15" t="n"/>
      <c r="G2548" s="23" t="n"/>
      <c r="H2548" s="25" t="n"/>
      <c r="I2548" s="15" t="n"/>
      <c r="J2548" s="26">
        <f>IF($A2548="","",LEN($C2548)-LEN(SUBSTITUTE($C2548,",",""))+1)</f>
        <v/>
      </c>
      <c r="K2548" s="26">
        <f>IF($A2548="","",SUMPRODUCT(--ISNUMBER(SEARCH('Category Dictionary'!$D$5:$D$135&amp;"",$C2548)),--('Category Dictionary'!$D$5:$D$135&lt;&gt;"")))</f>
        <v/>
      </c>
      <c r="L2548" s="27">
        <f>IF($A2548="","",TRIM(IF(ISERROR(FIND(",",$C2548)),$C2548,LEFT($C2548,FIND(",",$C2548)-1))))</f>
        <v/>
      </c>
      <c r="M2548" s="28">
        <f>IF($H2548="","",DATE(YEAR($H2548),MONTH($H2548),1))</f>
        <v/>
      </c>
      <c r="N2548" s="26">
        <f>IF($H2548="","",TODAY()-$H2548)</f>
        <v/>
      </c>
      <c r="O2548" s="15" t="n"/>
      <c r="P2548" s="26">
        <f>IF($A2548="","",COUNTIFS('Audit Versions'!$A$6:$A$605,$A2548,'Audit Versions'!$L$6:$L$605,"Active"))</f>
        <v/>
      </c>
      <c r="Q2548" s="15" t="n"/>
      <c r="R2548" s="26">
        <f>IF(OR($A2548="",$P2548=0),"",MOD(N($Q2548),$P2548)+1)</f>
        <v/>
      </c>
      <c r="S2548" s="15" t="n"/>
      <c r="T2548" s="25" t="n"/>
      <c r="U2548" s="26">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Builder'!$B$12="",N($S2548)&lt;='Assignment Builder'!$B$12)))</f>
        <v/>
      </c>
      <c r="V2548" s="23" t="n"/>
    </row>
    <row r="2549">
      <c r="A2549" s="23" t="n"/>
      <c r="B2549" s="23" t="n"/>
      <c r="C2549" s="24" t="n"/>
      <c r="D2549" s="15" t="n"/>
      <c r="E2549" s="23" t="n"/>
      <c r="F2549" s="15" t="n"/>
      <c r="G2549" s="23" t="n"/>
      <c r="H2549" s="25" t="n"/>
      <c r="I2549" s="15" t="n"/>
      <c r="J2549" s="26">
        <f>IF($A2549="","",LEN($C2549)-LEN(SUBSTITUTE($C2549,",",""))+1)</f>
        <v/>
      </c>
      <c r="K2549" s="26">
        <f>IF($A2549="","",SUMPRODUCT(--ISNUMBER(SEARCH('Category Dictionary'!$D$5:$D$135&amp;"",$C2549)),--('Category Dictionary'!$D$5:$D$135&lt;&gt;"")))</f>
        <v/>
      </c>
      <c r="L2549" s="27">
        <f>IF($A2549="","",TRIM(IF(ISERROR(FIND(",",$C2549)),$C2549,LEFT($C2549,FIND(",",$C2549)-1))))</f>
        <v/>
      </c>
      <c r="M2549" s="28">
        <f>IF($H2549="","",DATE(YEAR($H2549),MONTH($H2549),1))</f>
        <v/>
      </c>
      <c r="N2549" s="26">
        <f>IF($H2549="","",TODAY()-$H2549)</f>
        <v/>
      </c>
      <c r="O2549" s="15" t="n"/>
      <c r="P2549" s="26">
        <f>IF($A2549="","",COUNTIFS('Audit Versions'!$A$6:$A$605,$A2549,'Audit Versions'!$L$6:$L$605,"Active"))</f>
        <v/>
      </c>
      <c r="Q2549" s="15" t="n"/>
      <c r="R2549" s="26">
        <f>IF(OR($A2549="",$P2549=0),"",MOD(N($Q2549),$P2549)+1)</f>
        <v/>
      </c>
      <c r="S2549" s="15" t="n"/>
      <c r="T2549" s="25" t="n"/>
      <c r="U2549" s="26">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Builder'!$B$12="",N($S2549)&lt;='Assignment Builder'!$B$12)))</f>
        <v/>
      </c>
      <c r="V2549" s="23" t="n"/>
    </row>
    <row r="2550">
      <c r="A2550" s="23" t="n"/>
      <c r="B2550" s="23" t="n"/>
      <c r="C2550" s="24" t="n"/>
      <c r="D2550" s="15" t="n"/>
      <c r="E2550" s="23" t="n"/>
      <c r="F2550" s="15" t="n"/>
      <c r="G2550" s="23" t="n"/>
      <c r="H2550" s="25" t="n"/>
      <c r="I2550" s="15" t="n"/>
      <c r="J2550" s="26">
        <f>IF($A2550="","",LEN($C2550)-LEN(SUBSTITUTE($C2550,",",""))+1)</f>
        <v/>
      </c>
      <c r="K2550" s="26">
        <f>IF($A2550="","",SUMPRODUCT(--ISNUMBER(SEARCH('Category Dictionary'!$D$5:$D$135&amp;"",$C2550)),--('Category Dictionary'!$D$5:$D$135&lt;&gt;"")))</f>
        <v/>
      </c>
      <c r="L2550" s="27">
        <f>IF($A2550="","",TRIM(IF(ISERROR(FIND(",",$C2550)),$C2550,LEFT($C2550,FIND(",",$C2550)-1))))</f>
        <v/>
      </c>
      <c r="M2550" s="28">
        <f>IF($H2550="","",DATE(YEAR($H2550),MONTH($H2550),1))</f>
        <v/>
      </c>
      <c r="N2550" s="26">
        <f>IF($H2550="","",TODAY()-$H2550)</f>
        <v/>
      </c>
      <c r="O2550" s="15" t="n"/>
      <c r="P2550" s="26">
        <f>IF($A2550="","",COUNTIFS('Audit Versions'!$A$6:$A$605,$A2550,'Audit Versions'!$L$6:$L$605,"Active"))</f>
        <v/>
      </c>
      <c r="Q2550" s="15" t="n"/>
      <c r="R2550" s="26">
        <f>IF(OR($A2550="",$P2550=0),"",MOD(N($Q2550),$P2550)+1)</f>
        <v/>
      </c>
      <c r="S2550" s="15" t="n"/>
      <c r="T2550" s="25" t="n"/>
      <c r="U2550" s="26">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Builder'!$B$12="",N($S2550)&lt;='Assignment Builder'!$B$12)))</f>
        <v/>
      </c>
      <c r="V2550" s="23" t="n"/>
    </row>
    <row r="2551">
      <c r="A2551" s="23" t="n"/>
      <c r="B2551" s="23" t="n"/>
      <c r="C2551" s="24" t="n"/>
      <c r="D2551" s="15" t="n"/>
      <c r="E2551" s="23" t="n"/>
      <c r="F2551" s="15" t="n"/>
      <c r="G2551" s="23" t="n"/>
      <c r="H2551" s="25" t="n"/>
      <c r="I2551" s="15" t="n"/>
      <c r="J2551" s="26">
        <f>IF($A2551="","",LEN($C2551)-LEN(SUBSTITUTE($C2551,",",""))+1)</f>
        <v/>
      </c>
      <c r="K2551" s="26">
        <f>IF($A2551="","",SUMPRODUCT(--ISNUMBER(SEARCH('Category Dictionary'!$D$5:$D$135&amp;"",$C2551)),--('Category Dictionary'!$D$5:$D$135&lt;&gt;"")))</f>
        <v/>
      </c>
      <c r="L2551" s="27">
        <f>IF($A2551="","",TRIM(IF(ISERROR(FIND(",",$C2551)),$C2551,LEFT($C2551,FIND(",",$C2551)-1))))</f>
        <v/>
      </c>
      <c r="M2551" s="28">
        <f>IF($H2551="","",DATE(YEAR($H2551),MONTH($H2551),1))</f>
        <v/>
      </c>
      <c r="N2551" s="26">
        <f>IF($H2551="","",TODAY()-$H2551)</f>
        <v/>
      </c>
      <c r="O2551" s="15" t="n"/>
      <c r="P2551" s="26">
        <f>IF($A2551="","",COUNTIFS('Audit Versions'!$A$6:$A$605,$A2551,'Audit Versions'!$L$6:$L$605,"Active"))</f>
        <v/>
      </c>
      <c r="Q2551" s="15" t="n"/>
      <c r="R2551" s="26">
        <f>IF(OR($A2551="",$P2551=0),"",MOD(N($Q2551),$P2551)+1)</f>
        <v/>
      </c>
      <c r="S2551" s="15" t="n"/>
      <c r="T2551" s="25" t="n"/>
      <c r="U2551" s="26">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Builder'!$B$12="",N($S2551)&lt;='Assignment Builder'!$B$12)))</f>
        <v/>
      </c>
      <c r="V2551" s="23" t="n"/>
    </row>
    <row r="2552">
      <c r="A2552" s="23" t="n"/>
      <c r="B2552" s="23" t="n"/>
      <c r="C2552" s="24" t="n"/>
      <c r="D2552" s="15" t="n"/>
      <c r="E2552" s="23" t="n"/>
      <c r="F2552" s="15" t="n"/>
      <c r="G2552" s="23" t="n"/>
      <c r="H2552" s="25" t="n"/>
      <c r="I2552" s="15" t="n"/>
      <c r="J2552" s="26">
        <f>IF($A2552="","",LEN($C2552)-LEN(SUBSTITUTE($C2552,",",""))+1)</f>
        <v/>
      </c>
      <c r="K2552" s="26">
        <f>IF($A2552="","",SUMPRODUCT(--ISNUMBER(SEARCH('Category Dictionary'!$D$5:$D$135&amp;"",$C2552)),--('Category Dictionary'!$D$5:$D$135&lt;&gt;"")))</f>
        <v/>
      </c>
      <c r="L2552" s="27">
        <f>IF($A2552="","",TRIM(IF(ISERROR(FIND(",",$C2552)),$C2552,LEFT($C2552,FIND(",",$C2552)-1))))</f>
        <v/>
      </c>
      <c r="M2552" s="28">
        <f>IF($H2552="","",DATE(YEAR($H2552),MONTH($H2552),1))</f>
        <v/>
      </c>
      <c r="N2552" s="26">
        <f>IF($H2552="","",TODAY()-$H2552)</f>
        <v/>
      </c>
      <c r="O2552" s="15" t="n"/>
      <c r="P2552" s="26">
        <f>IF($A2552="","",COUNTIFS('Audit Versions'!$A$6:$A$605,$A2552,'Audit Versions'!$L$6:$L$605,"Active"))</f>
        <v/>
      </c>
      <c r="Q2552" s="15" t="n"/>
      <c r="R2552" s="26">
        <f>IF(OR($A2552="",$P2552=0),"",MOD(N($Q2552),$P2552)+1)</f>
        <v/>
      </c>
      <c r="S2552" s="15" t="n"/>
      <c r="T2552" s="25" t="n"/>
      <c r="U2552" s="26">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Builder'!$B$12="",N($S2552)&lt;='Assignment Builder'!$B$12)))</f>
        <v/>
      </c>
      <c r="V2552" s="23" t="n"/>
    </row>
    <row r="2553">
      <c r="A2553" s="23" t="n"/>
      <c r="B2553" s="23" t="n"/>
      <c r="C2553" s="24" t="n"/>
      <c r="D2553" s="15" t="n"/>
      <c r="E2553" s="23" t="n"/>
      <c r="F2553" s="15" t="n"/>
      <c r="G2553" s="23" t="n"/>
      <c r="H2553" s="25" t="n"/>
      <c r="I2553" s="15" t="n"/>
      <c r="J2553" s="26">
        <f>IF($A2553="","",LEN($C2553)-LEN(SUBSTITUTE($C2553,",",""))+1)</f>
        <v/>
      </c>
      <c r="K2553" s="26">
        <f>IF($A2553="","",SUMPRODUCT(--ISNUMBER(SEARCH('Category Dictionary'!$D$5:$D$135&amp;"",$C2553)),--('Category Dictionary'!$D$5:$D$135&lt;&gt;"")))</f>
        <v/>
      </c>
      <c r="L2553" s="27">
        <f>IF($A2553="","",TRIM(IF(ISERROR(FIND(",",$C2553)),$C2553,LEFT($C2553,FIND(",",$C2553)-1))))</f>
        <v/>
      </c>
      <c r="M2553" s="28">
        <f>IF($H2553="","",DATE(YEAR($H2553),MONTH($H2553),1))</f>
        <v/>
      </c>
      <c r="N2553" s="26">
        <f>IF($H2553="","",TODAY()-$H2553)</f>
        <v/>
      </c>
      <c r="O2553" s="15" t="n"/>
      <c r="P2553" s="26">
        <f>IF($A2553="","",COUNTIFS('Audit Versions'!$A$6:$A$605,$A2553,'Audit Versions'!$L$6:$L$605,"Active"))</f>
        <v/>
      </c>
      <c r="Q2553" s="15" t="n"/>
      <c r="R2553" s="26">
        <f>IF(OR($A2553="",$P2553=0),"",MOD(N($Q2553),$P2553)+1)</f>
        <v/>
      </c>
      <c r="S2553" s="15" t="n"/>
      <c r="T2553" s="25" t="n"/>
      <c r="U2553" s="26">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Builder'!$B$12="",N($S2553)&lt;='Assignment Builder'!$B$12)))</f>
        <v/>
      </c>
      <c r="V2553" s="23" t="n"/>
    </row>
    <row r="2554">
      <c r="A2554" s="23" t="n"/>
      <c r="B2554" s="23" t="n"/>
      <c r="C2554" s="24" t="n"/>
      <c r="D2554" s="15" t="n"/>
      <c r="E2554" s="23" t="n"/>
      <c r="F2554" s="15" t="n"/>
      <c r="G2554" s="23" t="n"/>
      <c r="H2554" s="25" t="n"/>
      <c r="I2554" s="15" t="n"/>
      <c r="J2554" s="26">
        <f>IF($A2554="","",LEN($C2554)-LEN(SUBSTITUTE($C2554,",",""))+1)</f>
        <v/>
      </c>
      <c r="K2554" s="26">
        <f>IF($A2554="","",SUMPRODUCT(--ISNUMBER(SEARCH('Category Dictionary'!$D$5:$D$135&amp;"",$C2554)),--('Category Dictionary'!$D$5:$D$135&lt;&gt;"")))</f>
        <v/>
      </c>
      <c r="L2554" s="27">
        <f>IF($A2554="","",TRIM(IF(ISERROR(FIND(",",$C2554)),$C2554,LEFT($C2554,FIND(",",$C2554)-1))))</f>
        <v/>
      </c>
      <c r="M2554" s="28">
        <f>IF($H2554="","",DATE(YEAR($H2554),MONTH($H2554),1))</f>
        <v/>
      </c>
      <c r="N2554" s="26">
        <f>IF($H2554="","",TODAY()-$H2554)</f>
        <v/>
      </c>
      <c r="O2554" s="15" t="n"/>
      <c r="P2554" s="26">
        <f>IF($A2554="","",COUNTIFS('Audit Versions'!$A$6:$A$605,$A2554,'Audit Versions'!$L$6:$L$605,"Active"))</f>
        <v/>
      </c>
      <c r="Q2554" s="15" t="n"/>
      <c r="R2554" s="26">
        <f>IF(OR($A2554="",$P2554=0),"",MOD(N($Q2554),$P2554)+1)</f>
        <v/>
      </c>
      <c r="S2554" s="15" t="n"/>
      <c r="T2554" s="25" t="n"/>
      <c r="U2554" s="26">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Builder'!$B$12="",N($S2554)&lt;='Assignment Builder'!$B$12)))</f>
        <v/>
      </c>
      <c r="V2554" s="23" t="n"/>
    </row>
    <row r="2555">
      <c r="A2555" s="23" t="n"/>
      <c r="B2555" s="23" t="n"/>
      <c r="C2555" s="24" t="n"/>
      <c r="D2555" s="15" t="n"/>
      <c r="E2555" s="23" t="n"/>
      <c r="F2555" s="15" t="n"/>
      <c r="G2555" s="23" t="n"/>
      <c r="H2555" s="25" t="n"/>
      <c r="I2555" s="15" t="n"/>
      <c r="J2555" s="26">
        <f>IF($A2555="","",LEN($C2555)-LEN(SUBSTITUTE($C2555,",",""))+1)</f>
        <v/>
      </c>
      <c r="K2555" s="26">
        <f>IF($A2555="","",SUMPRODUCT(--ISNUMBER(SEARCH('Category Dictionary'!$D$5:$D$135&amp;"",$C2555)),--('Category Dictionary'!$D$5:$D$135&lt;&gt;"")))</f>
        <v/>
      </c>
      <c r="L2555" s="27">
        <f>IF($A2555="","",TRIM(IF(ISERROR(FIND(",",$C2555)),$C2555,LEFT($C2555,FIND(",",$C2555)-1))))</f>
        <v/>
      </c>
      <c r="M2555" s="28">
        <f>IF($H2555="","",DATE(YEAR($H2555),MONTH($H2555),1))</f>
        <v/>
      </c>
      <c r="N2555" s="26">
        <f>IF($H2555="","",TODAY()-$H2555)</f>
        <v/>
      </c>
      <c r="O2555" s="15" t="n"/>
      <c r="P2555" s="26">
        <f>IF($A2555="","",COUNTIFS('Audit Versions'!$A$6:$A$605,$A2555,'Audit Versions'!$L$6:$L$605,"Active"))</f>
        <v/>
      </c>
      <c r="Q2555" s="15" t="n"/>
      <c r="R2555" s="26">
        <f>IF(OR($A2555="",$P2555=0),"",MOD(N($Q2555),$P2555)+1)</f>
        <v/>
      </c>
      <c r="S2555" s="15" t="n"/>
      <c r="T2555" s="25" t="n"/>
      <c r="U2555" s="26">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Builder'!$B$12="",N($S2555)&lt;='Assignment Builder'!$B$12)))</f>
        <v/>
      </c>
      <c r="V2555" s="23" t="n"/>
    </row>
    <row r="2556">
      <c r="A2556" s="23" t="n"/>
      <c r="B2556" s="23" t="n"/>
      <c r="C2556" s="24" t="n"/>
      <c r="D2556" s="15" t="n"/>
      <c r="E2556" s="23" t="n"/>
      <c r="F2556" s="15" t="n"/>
      <c r="G2556" s="23" t="n"/>
      <c r="H2556" s="25" t="n"/>
      <c r="I2556" s="15" t="n"/>
      <c r="J2556" s="26">
        <f>IF($A2556="","",LEN($C2556)-LEN(SUBSTITUTE($C2556,",",""))+1)</f>
        <v/>
      </c>
      <c r="K2556" s="26">
        <f>IF($A2556="","",SUMPRODUCT(--ISNUMBER(SEARCH('Category Dictionary'!$D$5:$D$135&amp;"",$C2556)),--('Category Dictionary'!$D$5:$D$135&lt;&gt;"")))</f>
        <v/>
      </c>
      <c r="L2556" s="27">
        <f>IF($A2556="","",TRIM(IF(ISERROR(FIND(",",$C2556)),$C2556,LEFT($C2556,FIND(",",$C2556)-1))))</f>
        <v/>
      </c>
      <c r="M2556" s="28">
        <f>IF($H2556="","",DATE(YEAR($H2556),MONTH($H2556),1))</f>
        <v/>
      </c>
      <c r="N2556" s="26">
        <f>IF($H2556="","",TODAY()-$H2556)</f>
        <v/>
      </c>
      <c r="O2556" s="15" t="n"/>
      <c r="P2556" s="26">
        <f>IF($A2556="","",COUNTIFS('Audit Versions'!$A$6:$A$605,$A2556,'Audit Versions'!$L$6:$L$605,"Active"))</f>
        <v/>
      </c>
      <c r="Q2556" s="15" t="n"/>
      <c r="R2556" s="26">
        <f>IF(OR($A2556="",$P2556=0),"",MOD(N($Q2556),$P2556)+1)</f>
        <v/>
      </c>
      <c r="S2556" s="15" t="n"/>
      <c r="T2556" s="25" t="n"/>
      <c r="U2556" s="26">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Builder'!$B$12="",N($S2556)&lt;='Assignment Builder'!$B$12)))</f>
        <v/>
      </c>
      <c r="V2556" s="23" t="n"/>
    </row>
    <row r="2557">
      <c r="A2557" s="23" t="n"/>
      <c r="B2557" s="23" t="n"/>
      <c r="C2557" s="24" t="n"/>
      <c r="D2557" s="15" t="n"/>
      <c r="E2557" s="23" t="n"/>
      <c r="F2557" s="15" t="n"/>
      <c r="G2557" s="23" t="n"/>
      <c r="H2557" s="25" t="n"/>
      <c r="I2557" s="15" t="n"/>
      <c r="J2557" s="26">
        <f>IF($A2557="","",LEN($C2557)-LEN(SUBSTITUTE($C2557,",",""))+1)</f>
        <v/>
      </c>
      <c r="K2557" s="26">
        <f>IF($A2557="","",SUMPRODUCT(--ISNUMBER(SEARCH('Category Dictionary'!$D$5:$D$135&amp;"",$C2557)),--('Category Dictionary'!$D$5:$D$135&lt;&gt;"")))</f>
        <v/>
      </c>
      <c r="L2557" s="27">
        <f>IF($A2557="","",TRIM(IF(ISERROR(FIND(",",$C2557)),$C2557,LEFT($C2557,FIND(",",$C2557)-1))))</f>
        <v/>
      </c>
      <c r="M2557" s="28">
        <f>IF($H2557="","",DATE(YEAR($H2557),MONTH($H2557),1))</f>
        <v/>
      </c>
      <c r="N2557" s="26">
        <f>IF($H2557="","",TODAY()-$H2557)</f>
        <v/>
      </c>
      <c r="O2557" s="15" t="n"/>
      <c r="P2557" s="26">
        <f>IF($A2557="","",COUNTIFS('Audit Versions'!$A$6:$A$605,$A2557,'Audit Versions'!$L$6:$L$605,"Active"))</f>
        <v/>
      </c>
      <c r="Q2557" s="15" t="n"/>
      <c r="R2557" s="26">
        <f>IF(OR($A2557="",$P2557=0),"",MOD(N($Q2557),$P2557)+1)</f>
        <v/>
      </c>
      <c r="S2557" s="15" t="n"/>
      <c r="T2557" s="25" t="n"/>
      <c r="U2557" s="26">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Builder'!$B$12="",N($S2557)&lt;='Assignment Builder'!$B$12)))</f>
        <v/>
      </c>
      <c r="V2557" s="23" t="n"/>
    </row>
    <row r="2558">
      <c r="A2558" s="23" t="n"/>
      <c r="B2558" s="23" t="n"/>
      <c r="C2558" s="24" t="n"/>
      <c r="D2558" s="15" t="n"/>
      <c r="E2558" s="23" t="n"/>
      <c r="F2558" s="15" t="n"/>
      <c r="G2558" s="23" t="n"/>
      <c r="H2558" s="25" t="n"/>
      <c r="I2558" s="15" t="n"/>
      <c r="J2558" s="26">
        <f>IF($A2558="","",LEN($C2558)-LEN(SUBSTITUTE($C2558,",",""))+1)</f>
        <v/>
      </c>
      <c r="K2558" s="26">
        <f>IF($A2558="","",SUMPRODUCT(--ISNUMBER(SEARCH('Category Dictionary'!$D$5:$D$135&amp;"",$C2558)),--('Category Dictionary'!$D$5:$D$135&lt;&gt;"")))</f>
        <v/>
      </c>
      <c r="L2558" s="27">
        <f>IF($A2558="","",TRIM(IF(ISERROR(FIND(",",$C2558)),$C2558,LEFT($C2558,FIND(",",$C2558)-1))))</f>
        <v/>
      </c>
      <c r="M2558" s="28">
        <f>IF($H2558="","",DATE(YEAR($H2558),MONTH($H2558),1))</f>
        <v/>
      </c>
      <c r="N2558" s="26">
        <f>IF($H2558="","",TODAY()-$H2558)</f>
        <v/>
      </c>
      <c r="O2558" s="15" t="n"/>
      <c r="P2558" s="26">
        <f>IF($A2558="","",COUNTIFS('Audit Versions'!$A$6:$A$605,$A2558,'Audit Versions'!$L$6:$L$605,"Active"))</f>
        <v/>
      </c>
      <c r="Q2558" s="15" t="n"/>
      <c r="R2558" s="26">
        <f>IF(OR($A2558="",$P2558=0),"",MOD(N($Q2558),$P2558)+1)</f>
        <v/>
      </c>
      <c r="S2558" s="15" t="n"/>
      <c r="T2558" s="25" t="n"/>
      <c r="U2558" s="26">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Builder'!$B$12="",N($S2558)&lt;='Assignment Builder'!$B$12)))</f>
        <v/>
      </c>
      <c r="V2558" s="23" t="n"/>
    </row>
    <row r="2559">
      <c r="A2559" s="23" t="n"/>
      <c r="B2559" s="23" t="n"/>
      <c r="C2559" s="24" t="n"/>
      <c r="D2559" s="15" t="n"/>
      <c r="E2559" s="23" t="n"/>
      <c r="F2559" s="15" t="n"/>
      <c r="G2559" s="23" t="n"/>
      <c r="H2559" s="25" t="n"/>
      <c r="I2559" s="15" t="n"/>
      <c r="J2559" s="26">
        <f>IF($A2559="","",LEN($C2559)-LEN(SUBSTITUTE($C2559,",",""))+1)</f>
        <v/>
      </c>
      <c r="K2559" s="26">
        <f>IF($A2559="","",SUMPRODUCT(--ISNUMBER(SEARCH('Category Dictionary'!$D$5:$D$135&amp;"",$C2559)),--('Category Dictionary'!$D$5:$D$135&lt;&gt;"")))</f>
        <v/>
      </c>
      <c r="L2559" s="27">
        <f>IF($A2559="","",TRIM(IF(ISERROR(FIND(",",$C2559)),$C2559,LEFT($C2559,FIND(",",$C2559)-1))))</f>
        <v/>
      </c>
      <c r="M2559" s="28">
        <f>IF($H2559="","",DATE(YEAR($H2559),MONTH($H2559),1))</f>
        <v/>
      </c>
      <c r="N2559" s="26">
        <f>IF($H2559="","",TODAY()-$H2559)</f>
        <v/>
      </c>
      <c r="O2559" s="15" t="n"/>
      <c r="P2559" s="26">
        <f>IF($A2559="","",COUNTIFS('Audit Versions'!$A$6:$A$605,$A2559,'Audit Versions'!$L$6:$L$605,"Active"))</f>
        <v/>
      </c>
      <c r="Q2559" s="15" t="n"/>
      <c r="R2559" s="26">
        <f>IF(OR($A2559="",$P2559=0),"",MOD(N($Q2559),$P2559)+1)</f>
        <v/>
      </c>
      <c r="S2559" s="15" t="n"/>
      <c r="T2559" s="25" t="n"/>
      <c r="U2559" s="26">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Builder'!$B$12="",N($S2559)&lt;='Assignment Builder'!$B$12)))</f>
        <v/>
      </c>
      <c r="V2559" s="23" t="n"/>
    </row>
    <row r="2560">
      <c r="A2560" s="23" t="n"/>
      <c r="B2560" s="23" t="n"/>
      <c r="C2560" s="24" t="n"/>
      <c r="D2560" s="15" t="n"/>
      <c r="E2560" s="23" t="n"/>
      <c r="F2560" s="15" t="n"/>
      <c r="G2560" s="23" t="n"/>
      <c r="H2560" s="25" t="n"/>
      <c r="I2560" s="15" t="n"/>
      <c r="J2560" s="26">
        <f>IF($A2560="","",LEN($C2560)-LEN(SUBSTITUTE($C2560,",",""))+1)</f>
        <v/>
      </c>
      <c r="K2560" s="26">
        <f>IF($A2560="","",SUMPRODUCT(--ISNUMBER(SEARCH('Category Dictionary'!$D$5:$D$135&amp;"",$C2560)),--('Category Dictionary'!$D$5:$D$135&lt;&gt;"")))</f>
        <v/>
      </c>
      <c r="L2560" s="27">
        <f>IF($A2560="","",TRIM(IF(ISERROR(FIND(",",$C2560)),$C2560,LEFT($C2560,FIND(",",$C2560)-1))))</f>
        <v/>
      </c>
      <c r="M2560" s="28">
        <f>IF($H2560="","",DATE(YEAR($H2560),MONTH($H2560),1))</f>
        <v/>
      </c>
      <c r="N2560" s="26">
        <f>IF($H2560="","",TODAY()-$H2560)</f>
        <v/>
      </c>
      <c r="O2560" s="15" t="n"/>
      <c r="P2560" s="26">
        <f>IF($A2560="","",COUNTIFS('Audit Versions'!$A$6:$A$605,$A2560,'Audit Versions'!$L$6:$L$605,"Active"))</f>
        <v/>
      </c>
      <c r="Q2560" s="15" t="n"/>
      <c r="R2560" s="26">
        <f>IF(OR($A2560="",$P2560=0),"",MOD(N($Q2560),$P2560)+1)</f>
        <v/>
      </c>
      <c r="S2560" s="15" t="n"/>
      <c r="T2560" s="25" t="n"/>
      <c r="U2560" s="26">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Builder'!$B$12="",N($S2560)&lt;='Assignment Builder'!$B$12)))</f>
        <v/>
      </c>
      <c r="V2560" s="23" t="n"/>
    </row>
    <row r="2561">
      <c r="A2561" s="23" t="n"/>
      <c r="B2561" s="23" t="n"/>
      <c r="C2561" s="24" t="n"/>
      <c r="D2561" s="15" t="n"/>
      <c r="E2561" s="23" t="n"/>
      <c r="F2561" s="15" t="n"/>
      <c r="G2561" s="23" t="n"/>
      <c r="H2561" s="25" t="n"/>
      <c r="I2561" s="15" t="n"/>
      <c r="J2561" s="26">
        <f>IF($A2561="","",LEN($C2561)-LEN(SUBSTITUTE($C2561,",",""))+1)</f>
        <v/>
      </c>
      <c r="K2561" s="26">
        <f>IF($A2561="","",SUMPRODUCT(--ISNUMBER(SEARCH('Category Dictionary'!$D$5:$D$135&amp;"",$C2561)),--('Category Dictionary'!$D$5:$D$135&lt;&gt;"")))</f>
        <v/>
      </c>
      <c r="L2561" s="27">
        <f>IF($A2561="","",TRIM(IF(ISERROR(FIND(",",$C2561)),$C2561,LEFT($C2561,FIND(",",$C2561)-1))))</f>
        <v/>
      </c>
      <c r="M2561" s="28">
        <f>IF($H2561="","",DATE(YEAR($H2561),MONTH($H2561),1))</f>
        <v/>
      </c>
      <c r="N2561" s="26">
        <f>IF($H2561="","",TODAY()-$H2561)</f>
        <v/>
      </c>
      <c r="O2561" s="15" t="n"/>
      <c r="P2561" s="26">
        <f>IF($A2561="","",COUNTIFS('Audit Versions'!$A$6:$A$605,$A2561,'Audit Versions'!$L$6:$L$605,"Active"))</f>
        <v/>
      </c>
      <c r="Q2561" s="15" t="n"/>
      <c r="R2561" s="26">
        <f>IF(OR($A2561="",$P2561=0),"",MOD(N($Q2561),$P2561)+1)</f>
        <v/>
      </c>
      <c r="S2561" s="15" t="n"/>
      <c r="T2561" s="25" t="n"/>
      <c r="U2561" s="26">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Builder'!$B$12="",N($S2561)&lt;='Assignment Builder'!$B$12)))</f>
        <v/>
      </c>
      <c r="V2561" s="23" t="n"/>
    </row>
    <row r="2562">
      <c r="A2562" s="23" t="n"/>
      <c r="B2562" s="23" t="n"/>
      <c r="C2562" s="24" t="n"/>
      <c r="D2562" s="15" t="n"/>
      <c r="E2562" s="23" t="n"/>
      <c r="F2562" s="15" t="n"/>
      <c r="G2562" s="23" t="n"/>
      <c r="H2562" s="25" t="n"/>
      <c r="I2562" s="15" t="n"/>
      <c r="J2562" s="26">
        <f>IF($A2562="","",LEN($C2562)-LEN(SUBSTITUTE($C2562,",",""))+1)</f>
        <v/>
      </c>
      <c r="K2562" s="26">
        <f>IF($A2562="","",SUMPRODUCT(--ISNUMBER(SEARCH('Category Dictionary'!$D$5:$D$135&amp;"",$C2562)),--('Category Dictionary'!$D$5:$D$135&lt;&gt;"")))</f>
        <v/>
      </c>
      <c r="L2562" s="27">
        <f>IF($A2562="","",TRIM(IF(ISERROR(FIND(",",$C2562)),$C2562,LEFT($C2562,FIND(",",$C2562)-1))))</f>
        <v/>
      </c>
      <c r="M2562" s="28">
        <f>IF($H2562="","",DATE(YEAR($H2562),MONTH($H2562),1))</f>
        <v/>
      </c>
      <c r="N2562" s="26">
        <f>IF($H2562="","",TODAY()-$H2562)</f>
        <v/>
      </c>
      <c r="O2562" s="15" t="n"/>
      <c r="P2562" s="26">
        <f>IF($A2562="","",COUNTIFS('Audit Versions'!$A$6:$A$605,$A2562,'Audit Versions'!$L$6:$L$605,"Active"))</f>
        <v/>
      </c>
      <c r="Q2562" s="15" t="n"/>
      <c r="R2562" s="26">
        <f>IF(OR($A2562="",$P2562=0),"",MOD(N($Q2562),$P2562)+1)</f>
        <v/>
      </c>
      <c r="S2562" s="15" t="n"/>
      <c r="T2562" s="25" t="n"/>
      <c r="U2562" s="26">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Builder'!$B$12="",N($S2562)&lt;='Assignment Builder'!$B$12)))</f>
        <v/>
      </c>
      <c r="V2562" s="23" t="n"/>
    </row>
    <row r="2563">
      <c r="A2563" s="23" t="n"/>
      <c r="B2563" s="23" t="n"/>
      <c r="C2563" s="24" t="n"/>
      <c r="D2563" s="15" t="n"/>
      <c r="E2563" s="23" t="n"/>
      <c r="F2563" s="15" t="n"/>
      <c r="G2563" s="23" t="n"/>
      <c r="H2563" s="25" t="n"/>
      <c r="I2563" s="15" t="n"/>
      <c r="J2563" s="26">
        <f>IF($A2563="","",LEN($C2563)-LEN(SUBSTITUTE($C2563,",",""))+1)</f>
        <v/>
      </c>
      <c r="K2563" s="26">
        <f>IF($A2563="","",SUMPRODUCT(--ISNUMBER(SEARCH('Category Dictionary'!$D$5:$D$135&amp;"",$C2563)),--('Category Dictionary'!$D$5:$D$135&lt;&gt;"")))</f>
        <v/>
      </c>
      <c r="L2563" s="27">
        <f>IF($A2563="","",TRIM(IF(ISERROR(FIND(",",$C2563)),$C2563,LEFT($C2563,FIND(",",$C2563)-1))))</f>
        <v/>
      </c>
      <c r="M2563" s="28">
        <f>IF($H2563="","",DATE(YEAR($H2563),MONTH($H2563),1))</f>
        <v/>
      </c>
      <c r="N2563" s="26">
        <f>IF($H2563="","",TODAY()-$H2563)</f>
        <v/>
      </c>
      <c r="O2563" s="15" t="n"/>
      <c r="P2563" s="26">
        <f>IF($A2563="","",COUNTIFS('Audit Versions'!$A$6:$A$605,$A2563,'Audit Versions'!$L$6:$L$605,"Active"))</f>
        <v/>
      </c>
      <c r="Q2563" s="15" t="n"/>
      <c r="R2563" s="26">
        <f>IF(OR($A2563="",$P2563=0),"",MOD(N($Q2563),$P2563)+1)</f>
        <v/>
      </c>
      <c r="S2563" s="15" t="n"/>
      <c r="T2563" s="25" t="n"/>
      <c r="U2563" s="26">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Builder'!$B$12="",N($S2563)&lt;='Assignment Builder'!$B$12)))</f>
        <v/>
      </c>
      <c r="V2563" s="23" t="n"/>
    </row>
    <row r="2564">
      <c r="A2564" s="23" t="n"/>
      <c r="B2564" s="23" t="n"/>
      <c r="C2564" s="24" t="n"/>
      <c r="D2564" s="15" t="n"/>
      <c r="E2564" s="23" t="n"/>
      <c r="F2564" s="15" t="n"/>
      <c r="G2564" s="23" t="n"/>
      <c r="H2564" s="25" t="n"/>
      <c r="I2564" s="15" t="n"/>
      <c r="J2564" s="26">
        <f>IF($A2564="","",LEN($C2564)-LEN(SUBSTITUTE($C2564,",",""))+1)</f>
        <v/>
      </c>
      <c r="K2564" s="26">
        <f>IF($A2564="","",SUMPRODUCT(--ISNUMBER(SEARCH('Category Dictionary'!$D$5:$D$135&amp;"",$C2564)),--('Category Dictionary'!$D$5:$D$135&lt;&gt;"")))</f>
        <v/>
      </c>
      <c r="L2564" s="27">
        <f>IF($A2564="","",TRIM(IF(ISERROR(FIND(",",$C2564)),$C2564,LEFT($C2564,FIND(",",$C2564)-1))))</f>
        <v/>
      </c>
      <c r="M2564" s="28">
        <f>IF($H2564="","",DATE(YEAR($H2564),MONTH($H2564),1))</f>
        <v/>
      </c>
      <c r="N2564" s="26">
        <f>IF($H2564="","",TODAY()-$H2564)</f>
        <v/>
      </c>
      <c r="O2564" s="15" t="n"/>
      <c r="P2564" s="26">
        <f>IF($A2564="","",COUNTIFS('Audit Versions'!$A$6:$A$605,$A2564,'Audit Versions'!$L$6:$L$605,"Active"))</f>
        <v/>
      </c>
      <c r="Q2564" s="15" t="n"/>
      <c r="R2564" s="26">
        <f>IF(OR($A2564="",$P2564=0),"",MOD(N($Q2564),$P2564)+1)</f>
        <v/>
      </c>
      <c r="S2564" s="15" t="n"/>
      <c r="T2564" s="25" t="n"/>
      <c r="U2564" s="26">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Builder'!$B$12="",N($S2564)&lt;='Assignment Builder'!$B$12)))</f>
        <v/>
      </c>
      <c r="V2564" s="23" t="n"/>
    </row>
    <row r="2565">
      <c r="A2565" s="23" t="n"/>
      <c r="B2565" s="23" t="n"/>
      <c r="C2565" s="24" t="n"/>
      <c r="D2565" s="15" t="n"/>
      <c r="E2565" s="23" t="n"/>
      <c r="F2565" s="15" t="n"/>
      <c r="G2565" s="23" t="n"/>
      <c r="H2565" s="25" t="n"/>
      <c r="I2565" s="15" t="n"/>
      <c r="J2565" s="26">
        <f>IF($A2565="","",LEN($C2565)-LEN(SUBSTITUTE($C2565,",",""))+1)</f>
        <v/>
      </c>
      <c r="K2565" s="26">
        <f>IF($A2565="","",SUMPRODUCT(--ISNUMBER(SEARCH('Category Dictionary'!$D$5:$D$135&amp;"",$C2565)),--('Category Dictionary'!$D$5:$D$135&lt;&gt;"")))</f>
        <v/>
      </c>
      <c r="L2565" s="27">
        <f>IF($A2565="","",TRIM(IF(ISERROR(FIND(",",$C2565)),$C2565,LEFT($C2565,FIND(",",$C2565)-1))))</f>
        <v/>
      </c>
      <c r="M2565" s="28">
        <f>IF($H2565="","",DATE(YEAR($H2565),MONTH($H2565),1))</f>
        <v/>
      </c>
      <c r="N2565" s="26">
        <f>IF($H2565="","",TODAY()-$H2565)</f>
        <v/>
      </c>
      <c r="O2565" s="15" t="n"/>
      <c r="P2565" s="26">
        <f>IF($A2565="","",COUNTIFS('Audit Versions'!$A$6:$A$605,$A2565,'Audit Versions'!$L$6:$L$605,"Active"))</f>
        <v/>
      </c>
      <c r="Q2565" s="15" t="n"/>
      <c r="R2565" s="26">
        <f>IF(OR($A2565="",$P2565=0),"",MOD(N($Q2565),$P2565)+1)</f>
        <v/>
      </c>
      <c r="S2565" s="15" t="n"/>
      <c r="T2565" s="25" t="n"/>
      <c r="U2565" s="26">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Builder'!$B$12="",N($S2565)&lt;='Assignment Builder'!$B$12)))</f>
        <v/>
      </c>
      <c r="V2565" s="23" t="n"/>
    </row>
    <row r="2566">
      <c r="A2566" s="23" t="n"/>
      <c r="B2566" s="23" t="n"/>
      <c r="C2566" s="24" t="n"/>
      <c r="D2566" s="15" t="n"/>
      <c r="E2566" s="23" t="n"/>
      <c r="F2566" s="15" t="n"/>
      <c r="G2566" s="23" t="n"/>
      <c r="H2566" s="25" t="n"/>
      <c r="I2566" s="15" t="n"/>
      <c r="J2566" s="26">
        <f>IF($A2566="","",LEN($C2566)-LEN(SUBSTITUTE($C2566,",",""))+1)</f>
        <v/>
      </c>
      <c r="K2566" s="26">
        <f>IF($A2566="","",SUMPRODUCT(--ISNUMBER(SEARCH('Category Dictionary'!$D$5:$D$135&amp;"",$C2566)),--('Category Dictionary'!$D$5:$D$135&lt;&gt;"")))</f>
        <v/>
      </c>
      <c r="L2566" s="27">
        <f>IF($A2566="","",TRIM(IF(ISERROR(FIND(",",$C2566)),$C2566,LEFT($C2566,FIND(",",$C2566)-1))))</f>
        <v/>
      </c>
      <c r="M2566" s="28">
        <f>IF($H2566="","",DATE(YEAR($H2566),MONTH($H2566),1))</f>
        <v/>
      </c>
      <c r="N2566" s="26">
        <f>IF($H2566="","",TODAY()-$H2566)</f>
        <v/>
      </c>
      <c r="O2566" s="15" t="n"/>
      <c r="P2566" s="26">
        <f>IF($A2566="","",COUNTIFS('Audit Versions'!$A$6:$A$605,$A2566,'Audit Versions'!$L$6:$L$605,"Active"))</f>
        <v/>
      </c>
      <c r="Q2566" s="15" t="n"/>
      <c r="R2566" s="26">
        <f>IF(OR($A2566="",$P2566=0),"",MOD(N($Q2566),$P2566)+1)</f>
        <v/>
      </c>
      <c r="S2566" s="15" t="n"/>
      <c r="T2566" s="25" t="n"/>
      <c r="U2566" s="26">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Builder'!$B$12="",N($S2566)&lt;='Assignment Builder'!$B$12)))</f>
        <v/>
      </c>
      <c r="V2566" s="23" t="n"/>
    </row>
    <row r="2567">
      <c r="A2567" s="23" t="n"/>
      <c r="B2567" s="23" t="n"/>
      <c r="C2567" s="24" t="n"/>
      <c r="D2567" s="15" t="n"/>
      <c r="E2567" s="23" t="n"/>
      <c r="F2567" s="15" t="n"/>
      <c r="G2567" s="23" t="n"/>
      <c r="H2567" s="25" t="n"/>
      <c r="I2567" s="15" t="n"/>
      <c r="J2567" s="26">
        <f>IF($A2567="","",LEN($C2567)-LEN(SUBSTITUTE($C2567,",",""))+1)</f>
        <v/>
      </c>
      <c r="K2567" s="26">
        <f>IF($A2567="","",SUMPRODUCT(--ISNUMBER(SEARCH('Category Dictionary'!$D$5:$D$135&amp;"",$C2567)),--('Category Dictionary'!$D$5:$D$135&lt;&gt;"")))</f>
        <v/>
      </c>
      <c r="L2567" s="27">
        <f>IF($A2567="","",TRIM(IF(ISERROR(FIND(",",$C2567)),$C2567,LEFT($C2567,FIND(",",$C2567)-1))))</f>
        <v/>
      </c>
      <c r="M2567" s="28">
        <f>IF($H2567="","",DATE(YEAR($H2567),MONTH($H2567),1))</f>
        <v/>
      </c>
      <c r="N2567" s="26">
        <f>IF($H2567="","",TODAY()-$H2567)</f>
        <v/>
      </c>
      <c r="O2567" s="15" t="n"/>
      <c r="P2567" s="26">
        <f>IF($A2567="","",COUNTIFS('Audit Versions'!$A$6:$A$605,$A2567,'Audit Versions'!$L$6:$L$605,"Active"))</f>
        <v/>
      </c>
      <c r="Q2567" s="15" t="n"/>
      <c r="R2567" s="26">
        <f>IF(OR($A2567="",$P2567=0),"",MOD(N($Q2567),$P2567)+1)</f>
        <v/>
      </c>
      <c r="S2567" s="15" t="n"/>
      <c r="T2567" s="25" t="n"/>
      <c r="U2567" s="26">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Builder'!$B$12="",N($S2567)&lt;='Assignment Builder'!$B$12)))</f>
        <v/>
      </c>
      <c r="V2567" s="23" t="n"/>
    </row>
    <row r="2568">
      <c r="A2568" s="23" t="n"/>
      <c r="B2568" s="23" t="n"/>
      <c r="C2568" s="24" t="n"/>
      <c r="D2568" s="15" t="n"/>
      <c r="E2568" s="23" t="n"/>
      <c r="F2568" s="15" t="n"/>
      <c r="G2568" s="23" t="n"/>
      <c r="H2568" s="25" t="n"/>
      <c r="I2568" s="15" t="n"/>
      <c r="J2568" s="26">
        <f>IF($A2568="","",LEN($C2568)-LEN(SUBSTITUTE($C2568,",",""))+1)</f>
        <v/>
      </c>
      <c r="K2568" s="26">
        <f>IF($A2568="","",SUMPRODUCT(--ISNUMBER(SEARCH('Category Dictionary'!$D$5:$D$135&amp;"",$C2568)),--('Category Dictionary'!$D$5:$D$135&lt;&gt;"")))</f>
        <v/>
      </c>
      <c r="L2568" s="27">
        <f>IF($A2568="","",TRIM(IF(ISERROR(FIND(",",$C2568)),$C2568,LEFT($C2568,FIND(",",$C2568)-1))))</f>
        <v/>
      </c>
      <c r="M2568" s="28">
        <f>IF($H2568="","",DATE(YEAR($H2568),MONTH($H2568),1))</f>
        <v/>
      </c>
      <c r="N2568" s="26">
        <f>IF($H2568="","",TODAY()-$H2568)</f>
        <v/>
      </c>
      <c r="O2568" s="15" t="n"/>
      <c r="P2568" s="26">
        <f>IF($A2568="","",COUNTIFS('Audit Versions'!$A$6:$A$605,$A2568,'Audit Versions'!$L$6:$L$605,"Active"))</f>
        <v/>
      </c>
      <c r="Q2568" s="15" t="n"/>
      <c r="R2568" s="26">
        <f>IF(OR($A2568="",$P2568=0),"",MOD(N($Q2568),$P2568)+1)</f>
        <v/>
      </c>
      <c r="S2568" s="15" t="n"/>
      <c r="T2568" s="25" t="n"/>
      <c r="U2568" s="26">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Builder'!$B$12="",N($S2568)&lt;='Assignment Builder'!$B$12)))</f>
        <v/>
      </c>
      <c r="V2568" s="23" t="n"/>
    </row>
    <row r="2569">
      <c r="A2569" s="23" t="n"/>
      <c r="B2569" s="23" t="n"/>
      <c r="C2569" s="24" t="n"/>
      <c r="D2569" s="15" t="n"/>
      <c r="E2569" s="23" t="n"/>
      <c r="F2569" s="15" t="n"/>
      <c r="G2569" s="23" t="n"/>
      <c r="H2569" s="25" t="n"/>
      <c r="I2569" s="15" t="n"/>
      <c r="J2569" s="26">
        <f>IF($A2569="","",LEN($C2569)-LEN(SUBSTITUTE($C2569,",",""))+1)</f>
        <v/>
      </c>
      <c r="K2569" s="26">
        <f>IF($A2569="","",SUMPRODUCT(--ISNUMBER(SEARCH('Category Dictionary'!$D$5:$D$135&amp;"",$C2569)),--('Category Dictionary'!$D$5:$D$135&lt;&gt;"")))</f>
        <v/>
      </c>
      <c r="L2569" s="27">
        <f>IF($A2569="","",TRIM(IF(ISERROR(FIND(",",$C2569)),$C2569,LEFT($C2569,FIND(",",$C2569)-1))))</f>
        <v/>
      </c>
      <c r="M2569" s="28">
        <f>IF($H2569="","",DATE(YEAR($H2569),MONTH($H2569),1))</f>
        <v/>
      </c>
      <c r="N2569" s="26">
        <f>IF($H2569="","",TODAY()-$H2569)</f>
        <v/>
      </c>
      <c r="O2569" s="15" t="n"/>
      <c r="P2569" s="26">
        <f>IF($A2569="","",COUNTIFS('Audit Versions'!$A$6:$A$605,$A2569,'Audit Versions'!$L$6:$L$605,"Active"))</f>
        <v/>
      </c>
      <c r="Q2569" s="15" t="n"/>
      <c r="R2569" s="26">
        <f>IF(OR($A2569="",$P2569=0),"",MOD(N($Q2569),$P2569)+1)</f>
        <v/>
      </c>
      <c r="S2569" s="15" t="n"/>
      <c r="T2569" s="25" t="n"/>
      <c r="U2569" s="26">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Builder'!$B$12="",N($S2569)&lt;='Assignment Builder'!$B$12)))</f>
        <v/>
      </c>
      <c r="V2569" s="23" t="n"/>
    </row>
    <row r="2570">
      <c r="A2570" s="23" t="n"/>
      <c r="B2570" s="23" t="n"/>
      <c r="C2570" s="24" t="n"/>
      <c r="D2570" s="15" t="n"/>
      <c r="E2570" s="23" t="n"/>
      <c r="F2570" s="15" t="n"/>
      <c r="G2570" s="23" t="n"/>
      <c r="H2570" s="25" t="n"/>
      <c r="I2570" s="15" t="n"/>
      <c r="J2570" s="26">
        <f>IF($A2570="","",LEN($C2570)-LEN(SUBSTITUTE($C2570,",",""))+1)</f>
        <v/>
      </c>
      <c r="K2570" s="26">
        <f>IF($A2570="","",SUMPRODUCT(--ISNUMBER(SEARCH('Category Dictionary'!$D$5:$D$135&amp;"",$C2570)),--('Category Dictionary'!$D$5:$D$135&lt;&gt;"")))</f>
        <v/>
      </c>
      <c r="L2570" s="27">
        <f>IF($A2570="","",TRIM(IF(ISERROR(FIND(",",$C2570)),$C2570,LEFT($C2570,FIND(",",$C2570)-1))))</f>
        <v/>
      </c>
      <c r="M2570" s="28">
        <f>IF($H2570="","",DATE(YEAR($H2570),MONTH($H2570),1))</f>
        <v/>
      </c>
      <c r="N2570" s="26">
        <f>IF($H2570="","",TODAY()-$H2570)</f>
        <v/>
      </c>
      <c r="O2570" s="15" t="n"/>
      <c r="P2570" s="26">
        <f>IF($A2570="","",COUNTIFS('Audit Versions'!$A$6:$A$605,$A2570,'Audit Versions'!$L$6:$L$605,"Active"))</f>
        <v/>
      </c>
      <c r="Q2570" s="15" t="n"/>
      <c r="R2570" s="26">
        <f>IF(OR($A2570="",$P2570=0),"",MOD(N($Q2570),$P2570)+1)</f>
        <v/>
      </c>
      <c r="S2570" s="15" t="n"/>
      <c r="T2570" s="25" t="n"/>
      <c r="U2570" s="26">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Builder'!$B$12="",N($S2570)&lt;='Assignment Builder'!$B$12)))</f>
        <v/>
      </c>
      <c r="V2570" s="23" t="n"/>
    </row>
    <row r="2571">
      <c r="A2571" s="23" t="n"/>
      <c r="B2571" s="23" t="n"/>
      <c r="C2571" s="24" t="n"/>
      <c r="D2571" s="15" t="n"/>
      <c r="E2571" s="23" t="n"/>
      <c r="F2571" s="15" t="n"/>
      <c r="G2571" s="23" t="n"/>
      <c r="H2571" s="25" t="n"/>
      <c r="I2571" s="15" t="n"/>
      <c r="J2571" s="26">
        <f>IF($A2571="","",LEN($C2571)-LEN(SUBSTITUTE($C2571,",",""))+1)</f>
        <v/>
      </c>
      <c r="K2571" s="26">
        <f>IF($A2571="","",SUMPRODUCT(--ISNUMBER(SEARCH('Category Dictionary'!$D$5:$D$135&amp;"",$C2571)),--('Category Dictionary'!$D$5:$D$135&lt;&gt;"")))</f>
        <v/>
      </c>
      <c r="L2571" s="27">
        <f>IF($A2571="","",TRIM(IF(ISERROR(FIND(",",$C2571)),$C2571,LEFT($C2571,FIND(",",$C2571)-1))))</f>
        <v/>
      </c>
      <c r="M2571" s="28">
        <f>IF($H2571="","",DATE(YEAR($H2571),MONTH($H2571),1))</f>
        <v/>
      </c>
      <c r="N2571" s="26">
        <f>IF($H2571="","",TODAY()-$H2571)</f>
        <v/>
      </c>
      <c r="O2571" s="15" t="n"/>
      <c r="P2571" s="26">
        <f>IF($A2571="","",COUNTIFS('Audit Versions'!$A$6:$A$605,$A2571,'Audit Versions'!$L$6:$L$605,"Active"))</f>
        <v/>
      </c>
      <c r="Q2571" s="15" t="n"/>
      <c r="R2571" s="26">
        <f>IF(OR($A2571="",$P2571=0),"",MOD(N($Q2571),$P2571)+1)</f>
        <v/>
      </c>
      <c r="S2571" s="15" t="n"/>
      <c r="T2571" s="25" t="n"/>
      <c r="U2571" s="26">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Builder'!$B$12="",N($S2571)&lt;='Assignment Builder'!$B$12)))</f>
        <v/>
      </c>
      <c r="V2571" s="23" t="n"/>
    </row>
    <row r="2572">
      <c r="A2572" s="23" t="n"/>
      <c r="B2572" s="23" t="n"/>
      <c r="C2572" s="24" t="n"/>
      <c r="D2572" s="15" t="n"/>
      <c r="E2572" s="23" t="n"/>
      <c r="F2572" s="15" t="n"/>
      <c r="G2572" s="23" t="n"/>
      <c r="H2572" s="25" t="n"/>
      <c r="I2572" s="15" t="n"/>
      <c r="J2572" s="26">
        <f>IF($A2572="","",LEN($C2572)-LEN(SUBSTITUTE($C2572,",",""))+1)</f>
        <v/>
      </c>
      <c r="K2572" s="26">
        <f>IF($A2572="","",SUMPRODUCT(--ISNUMBER(SEARCH('Category Dictionary'!$D$5:$D$135&amp;"",$C2572)),--('Category Dictionary'!$D$5:$D$135&lt;&gt;"")))</f>
        <v/>
      </c>
      <c r="L2572" s="27">
        <f>IF($A2572="","",TRIM(IF(ISERROR(FIND(",",$C2572)),$C2572,LEFT($C2572,FIND(",",$C2572)-1))))</f>
        <v/>
      </c>
      <c r="M2572" s="28">
        <f>IF($H2572="","",DATE(YEAR($H2572),MONTH($H2572),1))</f>
        <v/>
      </c>
      <c r="N2572" s="26">
        <f>IF($H2572="","",TODAY()-$H2572)</f>
        <v/>
      </c>
      <c r="O2572" s="15" t="n"/>
      <c r="P2572" s="26">
        <f>IF($A2572="","",COUNTIFS('Audit Versions'!$A$6:$A$605,$A2572,'Audit Versions'!$L$6:$L$605,"Active"))</f>
        <v/>
      </c>
      <c r="Q2572" s="15" t="n"/>
      <c r="R2572" s="26">
        <f>IF(OR($A2572="",$P2572=0),"",MOD(N($Q2572),$P2572)+1)</f>
        <v/>
      </c>
      <c r="S2572" s="15" t="n"/>
      <c r="T2572" s="25" t="n"/>
      <c r="U2572" s="26">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Builder'!$B$12="",N($S2572)&lt;='Assignment Builder'!$B$12)))</f>
        <v/>
      </c>
      <c r="V2572" s="23" t="n"/>
    </row>
    <row r="2573">
      <c r="A2573" s="23" t="n"/>
      <c r="B2573" s="23" t="n"/>
      <c r="C2573" s="24" t="n"/>
      <c r="D2573" s="15" t="n"/>
      <c r="E2573" s="23" t="n"/>
      <c r="F2573" s="15" t="n"/>
      <c r="G2573" s="23" t="n"/>
      <c r="H2573" s="25" t="n"/>
      <c r="I2573" s="15" t="n"/>
      <c r="J2573" s="26">
        <f>IF($A2573="","",LEN($C2573)-LEN(SUBSTITUTE($C2573,",",""))+1)</f>
        <v/>
      </c>
      <c r="K2573" s="26">
        <f>IF($A2573="","",SUMPRODUCT(--ISNUMBER(SEARCH('Category Dictionary'!$D$5:$D$135&amp;"",$C2573)),--('Category Dictionary'!$D$5:$D$135&lt;&gt;"")))</f>
        <v/>
      </c>
      <c r="L2573" s="27">
        <f>IF($A2573="","",TRIM(IF(ISERROR(FIND(",",$C2573)),$C2573,LEFT($C2573,FIND(",",$C2573)-1))))</f>
        <v/>
      </c>
      <c r="M2573" s="28">
        <f>IF($H2573="","",DATE(YEAR($H2573),MONTH($H2573),1))</f>
        <v/>
      </c>
      <c r="N2573" s="26">
        <f>IF($H2573="","",TODAY()-$H2573)</f>
        <v/>
      </c>
      <c r="O2573" s="15" t="n"/>
      <c r="P2573" s="26">
        <f>IF($A2573="","",COUNTIFS('Audit Versions'!$A$6:$A$605,$A2573,'Audit Versions'!$L$6:$L$605,"Active"))</f>
        <v/>
      </c>
      <c r="Q2573" s="15" t="n"/>
      <c r="R2573" s="26">
        <f>IF(OR($A2573="",$P2573=0),"",MOD(N($Q2573),$P2573)+1)</f>
        <v/>
      </c>
      <c r="S2573" s="15" t="n"/>
      <c r="T2573" s="25" t="n"/>
      <c r="U2573" s="26">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Builder'!$B$12="",N($S2573)&lt;='Assignment Builder'!$B$12)))</f>
        <v/>
      </c>
      <c r="V2573" s="23" t="n"/>
    </row>
    <row r="2574">
      <c r="A2574" s="23" t="n"/>
      <c r="B2574" s="23" t="n"/>
      <c r="C2574" s="24" t="n"/>
      <c r="D2574" s="15" t="n"/>
      <c r="E2574" s="23" t="n"/>
      <c r="F2574" s="15" t="n"/>
      <c r="G2574" s="23" t="n"/>
      <c r="H2574" s="25" t="n"/>
      <c r="I2574" s="15" t="n"/>
      <c r="J2574" s="26">
        <f>IF($A2574="","",LEN($C2574)-LEN(SUBSTITUTE($C2574,",",""))+1)</f>
        <v/>
      </c>
      <c r="K2574" s="26">
        <f>IF($A2574="","",SUMPRODUCT(--ISNUMBER(SEARCH('Category Dictionary'!$D$5:$D$135&amp;"",$C2574)),--('Category Dictionary'!$D$5:$D$135&lt;&gt;"")))</f>
        <v/>
      </c>
      <c r="L2574" s="27">
        <f>IF($A2574="","",TRIM(IF(ISERROR(FIND(",",$C2574)),$C2574,LEFT($C2574,FIND(",",$C2574)-1))))</f>
        <v/>
      </c>
      <c r="M2574" s="28">
        <f>IF($H2574="","",DATE(YEAR($H2574),MONTH($H2574),1))</f>
        <v/>
      </c>
      <c r="N2574" s="26">
        <f>IF($H2574="","",TODAY()-$H2574)</f>
        <v/>
      </c>
      <c r="O2574" s="15" t="n"/>
      <c r="P2574" s="26">
        <f>IF($A2574="","",COUNTIFS('Audit Versions'!$A$6:$A$605,$A2574,'Audit Versions'!$L$6:$L$605,"Active"))</f>
        <v/>
      </c>
      <c r="Q2574" s="15" t="n"/>
      <c r="R2574" s="26">
        <f>IF(OR($A2574="",$P2574=0),"",MOD(N($Q2574),$P2574)+1)</f>
        <v/>
      </c>
      <c r="S2574" s="15" t="n"/>
      <c r="T2574" s="25" t="n"/>
      <c r="U2574" s="26">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Builder'!$B$12="",N($S2574)&lt;='Assignment Builder'!$B$12)))</f>
        <v/>
      </c>
      <c r="V2574" s="23" t="n"/>
    </row>
    <row r="2575">
      <c r="A2575" s="23" t="n"/>
      <c r="B2575" s="23" t="n"/>
      <c r="C2575" s="24" t="n"/>
      <c r="D2575" s="15" t="n"/>
      <c r="E2575" s="23" t="n"/>
      <c r="F2575" s="15" t="n"/>
      <c r="G2575" s="23" t="n"/>
      <c r="H2575" s="25" t="n"/>
      <c r="I2575" s="15" t="n"/>
      <c r="J2575" s="26">
        <f>IF($A2575="","",LEN($C2575)-LEN(SUBSTITUTE($C2575,",",""))+1)</f>
        <v/>
      </c>
      <c r="K2575" s="26">
        <f>IF($A2575="","",SUMPRODUCT(--ISNUMBER(SEARCH('Category Dictionary'!$D$5:$D$135&amp;"",$C2575)),--('Category Dictionary'!$D$5:$D$135&lt;&gt;"")))</f>
        <v/>
      </c>
      <c r="L2575" s="27">
        <f>IF($A2575="","",TRIM(IF(ISERROR(FIND(",",$C2575)),$C2575,LEFT($C2575,FIND(",",$C2575)-1))))</f>
        <v/>
      </c>
      <c r="M2575" s="28">
        <f>IF($H2575="","",DATE(YEAR($H2575),MONTH($H2575),1))</f>
        <v/>
      </c>
      <c r="N2575" s="26">
        <f>IF($H2575="","",TODAY()-$H2575)</f>
        <v/>
      </c>
      <c r="O2575" s="15" t="n"/>
      <c r="P2575" s="26">
        <f>IF($A2575="","",COUNTIFS('Audit Versions'!$A$6:$A$605,$A2575,'Audit Versions'!$L$6:$L$605,"Active"))</f>
        <v/>
      </c>
      <c r="Q2575" s="15" t="n"/>
      <c r="R2575" s="26">
        <f>IF(OR($A2575="",$P2575=0),"",MOD(N($Q2575),$P2575)+1)</f>
        <v/>
      </c>
      <c r="S2575" s="15" t="n"/>
      <c r="T2575" s="25" t="n"/>
      <c r="U2575" s="26">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Builder'!$B$12="",N($S2575)&lt;='Assignment Builder'!$B$12)))</f>
        <v/>
      </c>
      <c r="V2575" s="23" t="n"/>
    </row>
    <row r="2576">
      <c r="A2576" s="23" t="n"/>
      <c r="B2576" s="23" t="n"/>
      <c r="C2576" s="24" t="n"/>
      <c r="D2576" s="15" t="n"/>
      <c r="E2576" s="23" t="n"/>
      <c r="F2576" s="15" t="n"/>
      <c r="G2576" s="23" t="n"/>
      <c r="H2576" s="25" t="n"/>
      <c r="I2576" s="15" t="n"/>
      <c r="J2576" s="26">
        <f>IF($A2576="","",LEN($C2576)-LEN(SUBSTITUTE($C2576,",",""))+1)</f>
        <v/>
      </c>
      <c r="K2576" s="26">
        <f>IF($A2576="","",SUMPRODUCT(--ISNUMBER(SEARCH('Category Dictionary'!$D$5:$D$135&amp;"",$C2576)),--('Category Dictionary'!$D$5:$D$135&lt;&gt;"")))</f>
        <v/>
      </c>
      <c r="L2576" s="27">
        <f>IF($A2576="","",TRIM(IF(ISERROR(FIND(",",$C2576)),$C2576,LEFT($C2576,FIND(",",$C2576)-1))))</f>
        <v/>
      </c>
      <c r="M2576" s="28">
        <f>IF($H2576="","",DATE(YEAR($H2576),MONTH($H2576),1))</f>
        <v/>
      </c>
      <c r="N2576" s="26">
        <f>IF($H2576="","",TODAY()-$H2576)</f>
        <v/>
      </c>
      <c r="O2576" s="15" t="n"/>
      <c r="P2576" s="26">
        <f>IF($A2576="","",COUNTIFS('Audit Versions'!$A$6:$A$605,$A2576,'Audit Versions'!$L$6:$L$605,"Active"))</f>
        <v/>
      </c>
      <c r="Q2576" s="15" t="n"/>
      <c r="R2576" s="26">
        <f>IF(OR($A2576="",$P2576=0),"",MOD(N($Q2576),$P2576)+1)</f>
        <v/>
      </c>
      <c r="S2576" s="15" t="n"/>
      <c r="T2576" s="25" t="n"/>
      <c r="U2576" s="26">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Builder'!$B$12="",N($S2576)&lt;='Assignment Builder'!$B$12)))</f>
        <v/>
      </c>
      <c r="V2576" s="23" t="n"/>
    </row>
    <row r="2577">
      <c r="A2577" s="23" t="n"/>
      <c r="B2577" s="23" t="n"/>
      <c r="C2577" s="24" t="n"/>
      <c r="D2577" s="15" t="n"/>
      <c r="E2577" s="23" t="n"/>
      <c r="F2577" s="15" t="n"/>
      <c r="G2577" s="23" t="n"/>
      <c r="H2577" s="25" t="n"/>
      <c r="I2577" s="15" t="n"/>
      <c r="J2577" s="26">
        <f>IF($A2577="","",LEN($C2577)-LEN(SUBSTITUTE($C2577,",",""))+1)</f>
        <v/>
      </c>
      <c r="K2577" s="26">
        <f>IF($A2577="","",SUMPRODUCT(--ISNUMBER(SEARCH('Category Dictionary'!$D$5:$D$135&amp;"",$C2577)),--('Category Dictionary'!$D$5:$D$135&lt;&gt;"")))</f>
        <v/>
      </c>
      <c r="L2577" s="27">
        <f>IF($A2577="","",TRIM(IF(ISERROR(FIND(",",$C2577)),$C2577,LEFT($C2577,FIND(",",$C2577)-1))))</f>
        <v/>
      </c>
      <c r="M2577" s="28">
        <f>IF($H2577="","",DATE(YEAR($H2577),MONTH($H2577),1))</f>
        <v/>
      </c>
      <c r="N2577" s="26">
        <f>IF($H2577="","",TODAY()-$H2577)</f>
        <v/>
      </c>
      <c r="O2577" s="15" t="n"/>
      <c r="P2577" s="26">
        <f>IF($A2577="","",COUNTIFS('Audit Versions'!$A$6:$A$605,$A2577,'Audit Versions'!$L$6:$L$605,"Active"))</f>
        <v/>
      </c>
      <c r="Q2577" s="15" t="n"/>
      <c r="R2577" s="26">
        <f>IF(OR($A2577="",$P2577=0),"",MOD(N($Q2577),$P2577)+1)</f>
        <v/>
      </c>
      <c r="S2577" s="15" t="n"/>
      <c r="T2577" s="25" t="n"/>
      <c r="U2577" s="26">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Builder'!$B$12="",N($S2577)&lt;='Assignment Builder'!$B$12)))</f>
        <v/>
      </c>
      <c r="V2577" s="23" t="n"/>
    </row>
    <row r="2578">
      <c r="A2578" s="23" t="n"/>
      <c r="B2578" s="23" t="n"/>
      <c r="C2578" s="24" t="n"/>
      <c r="D2578" s="15" t="n"/>
      <c r="E2578" s="23" t="n"/>
      <c r="F2578" s="15" t="n"/>
      <c r="G2578" s="23" t="n"/>
      <c r="H2578" s="25" t="n"/>
      <c r="I2578" s="15" t="n"/>
      <c r="J2578" s="26">
        <f>IF($A2578="","",LEN($C2578)-LEN(SUBSTITUTE($C2578,",",""))+1)</f>
        <v/>
      </c>
      <c r="K2578" s="26">
        <f>IF($A2578="","",SUMPRODUCT(--ISNUMBER(SEARCH('Category Dictionary'!$D$5:$D$135&amp;"",$C2578)),--('Category Dictionary'!$D$5:$D$135&lt;&gt;"")))</f>
        <v/>
      </c>
      <c r="L2578" s="27">
        <f>IF($A2578="","",TRIM(IF(ISERROR(FIND(",",$C2578)),$C2578,LEFT($C2578,FIND(",",$C2578)-1))))</f>
        <v/>
      </c>
      <c r="M2578" s="28">
        <f>IF($H2578="","",DATE(YEAR($H2578),MONTH($H2578),1))</f>
        <v/>
      </c>
      <c r="N2578" s="26">
        <f>IF($H2578="","",TODAY()-$H2578)</f>
        <v/>
      </c>
      <c r="O2578" s="15" t="n"/>
      <c r="P2578" s="26">
        <f>IF($A2578="","",COUNTIFS('Audit Versions'!$A$6:$A$605,$A2578,'Audit Versions'!$L$6:$L$605,"Active"))</f>
        <v/>
      </c>
      <c r="Q2578" s="15" t="n"/>
      <c r="R2578" s="26">
        <f>IF(OR($A2578="",$P2578=0),"",MOD(N($Q2578),$P2578)+1)</f>
        <v/>
      </c>
      <c r="S2578" s="15" t="n"/>
      <c r="T2578" s="25" t="n"/>
      <c r="U2578" s="26">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Builder'!$B$12="",N($S2578)&lt;='Assignment Builder'!$B$12)))</f>
        <v/>
      </c>
      <c r="V2578" s="23" t="n"/>
    </row>
    <row r="2579">
      <c r="A2579" s="23" t="n"/>
      <c r="B2579" s="23" t="n"/>
      <c r="C2579" s="24" t="n"/>
      <c r="D2579" s="15" t="n"/>
      <c r="E2579" s="23" t="n"/>
      <c r="F2579" s="15" t="n"/>
      <c r="G2579" s="23" t="n"/>
      <c r="H2579" s="25" t="n"/>
      <c r="I2579" s="15" t="n"/>
      <c r="J2579" s="26">
        <f>IF($A2579="","",LEN($C2579)-LEN(SUBSTITUTE($C2579,",",""))+1)</f>
        <v/>
      </c>
      <c r="K2579" s="26">
        <f>IF($A2579="","",SUMPRODUCT(--ISNUMBER(SEARCH('Category Dictionary'!$D$5:$D$135&amp;"",$C2579)),--('Category Dictionary'!$D$5:$D$135&lt;&gt;"")))</f>
        <v/>
      </c>
      <c r="L2579" s="27">
        <f>IF($A2579="","",TRIM(IF(ISERROR(FIND(",",$C2579)),$C2579,LEFT($C2579,FIND(",",$C2579)-1))))</f>
        <v/>
      </c>
      <c r="M2579" s="28">
        <f>IF($H2579="","",DATE(YEAR($H2579),MONTH($H2579),1))</f>
        <v/>
      </c>
      <c r="N2579" s="26">
        <f>IF($H2579="","",TODAY()-$H2579)</f>
        <v/>
      </c>
      <c r="O2579" s="15" t="n"/>
      <c r="P2579" s="26">
        <f>IF($A2579="","",COUNTIFS('Audit Versions'!$A$6:$A$605,$A2579,'Audit Versions'!$L$6:$L$605,"Active"))</f>
        <v/>
      </c>
      <c r="Q2579" s="15" t="n"/>
      <c r="R2579" s="26">
        <f>IF(OR($A2579="",$P2579=0),"",MOD(N($Q2579),$P2579)+1)</f>
        <v/>
      </c>
      <c r="S2579" s="15" t="n"/>
      <c r="T2579" s="25" t="n"/>
      <c r="U2579" s="26">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Builder'!$B$12="",N($S2579)&lt;='Assignment Builder'!$B$12)))</f>
        <v/>
      </c>
      <c r="V2579" s="23" t="n"/>
    </row>
    <row r="2580">
      <c r="A2580" s="23" t="n"/>
      <c r="B2580" s="23" t="n"/>
      <c r="C2580" s="24" t="n"/>
      <c r="D2580" s="15" t="n"/>
      <c r="E2580" s="23" t="n"/>
      <c r="F2580" s="15" t="n"/>
      <c r="G2580" s="23" t="n"/>
      <c r="H2580" s="25" t="n"/>
      <c r="I2580" s="15" t="n"/>
      <c r="J2580" s="26">
        <f>IF($A2580="","",LEN($C2580)-LEN(SUBSTITUTE($C2580,",",""))+1)</f>
        <v/>
      </c>
      <c r="K2580" s="26">
        <f>IF($A2580="","",SUMPRODUCT(--ISNUMBER(SEARCH('Category Dictionary'!$D$5:$D$135&amp;"",$C2580)),--('Category Dictionary'!$D$5:$D$135&lt;&gt;"")))</f>
        <v/>
      </c>
      <c r="L2580" s="27">
        <f>IF($A2580="","",TRIM(IF(ISERROR(FIND(",",$C2580)),$C2580,LEFT($C2580,FIND(",",$C2580)-1))))</f>
        <v/>
      </c>
      <c r="M2580" s="28">
        <f>IF($H2580="","",DATE(YEAR($H2580),MONTH($H2580),1))</f>
        <v/>
      </c>
      <c r="N2580" s="26">
        <f>IF($H2580="","",TODAY()-$H2580)</f>
        <v/>
      </c>
      <c r="O2580" s="15" t="n"/>
      <c r="P2580" s="26">
        <f>IF($A2580="","",COUNTIFS('Audit Versions'!$A$6:$A$605,$A2580,'Audit Versions'!$L$6:$L$605,"Active"))</f>
        <v/>
      </c>
      <c r="Q2580" s="15" t="n"/>
      <c r="R2580" s="26">
        <f>IF(OR($A2580="",$P2580=0),"",MOD(N($Q2580),$P2580)+1)</f>
        <v/>
      </c>
      <c r="S2580" s="15" t="n"/>
      <c r="T2580" s="25" t="n"/>
      <c r="U2580" s="26">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Builder'!$B$12="",N($S2580)&lt;='Assignment Builder'!$B$12)))</f>
        <v/>
      </c>
      <c r="V2580" s="23" t="n"/>
    </row>
    <row r="2581">
      <c r="A2581" s="23" t="n"/>
      <c r="B2581" s="23" t="n"/>
      <c r="C2581" s="24" t="n"/>
      <c r="D2581" s="15" t="n"/>
      <c r="E2581" s="23" t="n"/>
      <c r="F2581" s="15" t="n"/>
      <c r="G2581" s="23" t="n"/>
      <c r="H2581" s="25" t="n"/>
      <c r="I2581" s="15" t="n"/>
      <c r="J2581" s="26">
        <f>IF($A2581="","",LEN($C2581)-LEN(SUBSTITUTE($C2581,",",""))+1)</f>
        <v/>
      </c>
      <c r="K2581" s="26">
        <f>IF($A2581="","",SUMPRODUCT(--ISNUMBER(SEARCH('Category Dictionary'!$D$5:$D$135&amp;"",$C2581)),--('Category Dictionary'!$D$5:$D$135&lt;&gt;"")))</f>
        <v/>
      </c>
      <c r="L2581" s="27">
        <f>IF($A2581="","",TRIM(IF(ISERROR(FIND(",",$C2581)),$C2581,LEFT($C2581,FIND(",",$C2581)-1))))</f>
        <v/>
      </c>
      <c r="M2581" s="28">
        <f>IF($H2581="","",DATE(YEAR($H2581),MONTH($H2581),1))</f>
        <v/>
      </c>
      <c r="N2581" s="26">
        <f>IF($H2581="","",TODAY()-$H2581)</f>
        <v/>
      </c>
      <c r="O2581" s="15" t="n"/>
      <c r="P2581" s="26">
        <f>IF($A2581="","",COUNTIFS('Audit Versions'!$A$6:$A$605,$A2581,'Audit Versions'!$L$6:$L$605,"Active"))</f>
        <v/>
      </c>
      <c r="Q2581" s="15" t="n"/>
      <c r="R2581" s="26">
        <f>IF(OR($A2581="",$P2581=0),"",MOD(N($Q2581),$P2581)+1)</f>
        <v/>
      </c>
      <c r="S2581" s="15" t="n"/>
      <c r="T2581" s="25" t="n"/>
      <c r="U2581" s="26">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Builder'!$B$12="",N($S2581)&lt;='Assignment Builder'!$B$12)))</f>
        <v/>
      </c>
      <c r="V2581" s="23" t="n"/>
    </row>
    <row r="2582">
      <c r="A2582" s="23" t="n"/>
      <c r="B2582" s="23" t="n"/>
      <c r="C2582" s="24" t="n"/>
      <c r="D2582" s="15" t="n"/>
      <c r="E2582" s="23" t="n"/>
      <c r="F2582" s="15" t="n"/>
      <c r="G2582" s="23" t="n"/>
      <c r="H2582" s="25" t="n"/>
      <c r="I2582" s="15" t="n"/>
      <c r="J2582" s="26">
        <f>IF($A2582="","",LEN($C2582)-LEN(SUBSTITUTE($C2582,",",""))+1)</f>
        <v/>
      </c>
      <c r="K2582" s="26">
        <f>IF($A2582="","",SUMPRODUCT(--ISNUMBER(SEARCH('Category Dictionary'!$D$5:$D$135&amp;"",$C2582)),--('Category Dictionary'!$D$5:$D$135&lt;&gt;"")))</f>
        <v/>
      </c>
      <c r="L2582" s="27">
        <f>IF($A2582="","",TRIM(IF(ISERROR(FIND(",",$C2582)),$C2582,LEFT($C2582,FIND(",",$C2582)-1))))</f>
        <v/>
      </c>
      <c r="M2582" s="28">
        <f>IF($H2582="","",DATE(YEAR($H2582),MONTH($H2582),1))</f>
        <v/>
      </c>
      <c r="N2582" s="26">
        <f>IF($H2582="","",TODAY()-$H2582)</f>
        <v/>
      </c>
      <c r="O2582" s="15" t="n"/>
      <c r="P2582" s="26">
        <f>IF($A2582="","",COUNTIFS('Audit Versions'!$A$6:$A$605,$A2582,'Audit Versions'!$L$6:$L$605,"Active"))</f>
        <v/>
      </c>
      <c r="Q2582" s="15" t="n"/>
      <c r="R2582" s="26">
        <f>IF(OR($A2582="",$P2582=0),"",MOD(N($Q2582),$P2582)+1)</f>
        <v/>
      </c>
      <c r="S2582" s="15" t="n"/>
      <c r="T2582" s="25" t="n"/>
      <c r="U2582" s="26">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Builder'!$B$12="",N($S2582)&lt;='Assignment Builder'!$B$12)))</f>
        <v/>
      </c>
      <c r="V2582" s="23" t="n"/>
    </row>
    <row r="2583">
      <c r="A2583" s="23" t="n"/>
      <c r="B2583" s="23" t="n"/>
      <c r="C2583" s="24" t="n"/>
      <c r="D2583" s="15" t="n"/>
      <c r="E2583" s="23" t="n"/>
      <c r="F2583" s="15" t="n"/>
      <c r="G2583" s="23" t="n"/>
      <c r="H2583" s="25" t="n"/>
      <c r="I2583" s="15" t="n"/>
      <c r="J2583" s="26">
        <f>IF($A2583="","",LEN($C2583)-LEN(SUBSTITUTE($C2583,",",""))+1)</f>
        <v/>
      </c>
      <c r="K2583" s="26">
        <f>IF($A2583="","",SUMPRODUCT(--ISNUMBER(SEARCH('Category Dictionary'!$D$5:$D$135&amp;"",$C2583)),--('Category Dictionary'!$D$5:$D$135&lt;&gt;"")))</f>
        <v/>
      </c>
      <c r="L2583" s="27">
        <f>IF($A2583="","",TRIM(IF(ISERROR(FIND(",",$C2583)),$C2583,LEFT($C2583,FIND(",",$C2583)-1))))</f>
        <v/>
      </c>
      <c r="M2583" s="28">
        <f>IF($H2583="","",DATE(YEAR($H2583),MONTH($H2583),1))</f>
        <v/>
      </c>
      <c r="N2583" s="26">
        <f>IF($H2583="","",TODAY()-$H2583)</f>
        <v/>
      </c>
      <c r="O2583" s="15" t="n"/>
      <c r="P2583" s="26">
        <f>IF($A2583="","",COUNTIFS('Audit Versions'!$A$6:$A$605,$A2583,'Audit Versions'!$L$6:$L$605,"Active"))</f>
        <v/>
      </c>
      <c r="Q2583" s="15" t="n"/>
      <c r="R2583" s="26">
        <f>IF(OR($A2583="",$P2583=0),"",MOD(N($Q2583),$P2583)+1)</f>
        <v/>
      </c>
      <c r="S2583" s="15" t="n"/>
      <c r="T2583" s="25" t="n"/>
      <c r="U2583" s="26">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Builder'!$B$12="",N($S2583)&lt;='Assignment Builder'!$B$12)))</f>
        <v/>
      </c>
      <c r="V2583" s="23" t="n"/>
    </row>
    <row r="2584">
      <c r="A2584" s="23" t="n"/>
      <c r="B2584" s="23" t="n"/>
      <c r="C2584" s="24" t="n"/>
      <c r="D2584" s="15" t="n"/>
      <c r="E2584" s="23" t="n"/>
      <c r="F2584" s="15" t="n"/>
      <c r="G2584" s="23" t="n"/>
      <c r="H2584" s="25" t="n"/>
      <c r="I2584" s="15" t="n"/>
      <c r="J2584" s="26">
        <f>IF($A2584="","",LEN($C2584)-LEN(SUBSTITUTE($C2584,",",""))+1)</f>
        <v/>
      </c>
      <c r="K2584" s="26">
        <f>IF($A2584="","",SUMPRODUCT(--ISNUMBER(SEARCH('Category Dictionary'!$D$5:$D$135&amp;"",$C2584)),--('Category Dictionary'!$D$5:$D$135&lt;&gt;"")))</f>
        <v/>
      </c>
      <c r="L2584" s="27">
        <f>IF($A2584="","",TRIM(IF(ISERROR(FIND(",",$C2584)),$C2584,LEFT($C2584,FIND(",",$C2584)-1))))</f>
        <v/>
      </c>
      <c r="M2584" s="28">
        <f>IF($H2584="","",DATE(YEAR($H2584),MONTH($H2584),1))</f>
        <v/>
      </c>
      <c r="N2584" s="26">
        <f>IF($H2584="","",TODAY()-$H2584)</f>
        <v/>
      </c>
      <c r="O2584" s="15" t="n"/>
      <c r="P2584" s="26">
        <f>IF($A2584="","",COUNTIFS('Audit Versions'!$A$6:$A$605,$A2584,'Audit Versions'!$L$6:$L$605,"Active"))</f>
        <v/>
      </c>
      <c r="Q2584" s="15" t="n"/>
      <c r="R2584" s="26">
        <f>IF(OR($A2584="",$P2584=0),"",MOD(N($Q2584),$P2584)+1)</f>
        <v/>
      </c>
      <c r="S2584" s="15" t="n"/>
      <c r="T2584" s="25" t="n"/>
      <c r="U2584" s="26">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Builder'!$B$12="",N($S2584)&lt;='Assignment Builder'!$B$12)))</f>
        <v/>
      </c>
      <c r="V2584" s="23" t="n"/>
    </row>
    <row r="2585">
      <c r="A2585" s="23" t="n"/>
      <c r="B2585" s="23" t="n"/>
      <c r="C2585" s="24" t="n"/>
      <c r="D2585" s="15" t="n"/>
      <c r="E2585" s="23" t="n"/>
      <c r="F2585" s="15" t="n"/>
      <c r="G2585" s="23" t="n"/>
      <c r="H2585" s="25" t="n"/>
      <c r="I2585" s="15" t="n"/>
      <c r="J2585" s="26">
        <f>IF($A2585="","",LEN($C2585)-LEN(SUBSTITUTE($C2585,",",""))+1)</f>
        <v/>
      </c>
      <c r="K2585" s="26">
        <f>IF($A2585="","",SUMPRODUCT(--ISNUMBER(SEARCH('Category Dictionary'!$D$5:$D$135&amp;"",$C2585)),--('Category Dictionary'!$D$5:$D$135&lt;&gt;"")))</f>
        <v/>
      </c>
      <c r="L2585" s="27">
        <f>IF($A2585="","",TRIM(IF(ISERROR(FIND(",",$C2585)),$C2585,LEFT($C2585,FIND(",",$C2585)-1))))</f>
        <v/>
      </c>
      <c r="M2585" s="28">
        <f>IF($H2585="","",DATE(YEAR($H2585),MONTH($H2585),1))</f>
        <v/>
      </c>
      <c r="N2585" s="26">
        <f>IF($H2585="","",TODAY()-$H2585)</f>
        <v/>
      </c>
      <c r="O2585" s="15" t="n"/>
      <c r="P2585" s="26">
        <f>IF($A2585="","",COUNTIFS('Audit Versions'!$A$6:$A$605,$A2585,'Audit Versions'!$L$6:$L$605,"Active"))</f>
        <v/>
      </c>
      <c r="Q2585" s="15" t="n"/>
      <c r="R2585" s="26">
        <f>IF(OR($A2585="",$P2585=0),"",MOD(N($Q2585),$P2585)+1)</f>
        <v/>
      </c>
      <c r="S2585" s="15" t="n"/>
      <c r="T2585" s="25" t="n"/>
      <c r="U2585" s="26">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Builder'!$B$12="",N($S2585)&lt;='Assignment Builder'!$B$12)))</f>
        <v/>
      </c>
      <c r="V2585" s="23" t="n"/>
    </row>
    <row r="2586">
      <c r="A2586" s="23" t="n"/>
      <c r="B2586" s="23" t="n"/>
      <c r="C2586" s="24" t="n"/>
      <c r="D2586" s="15" t="n"/>
      <c r="E2586" s="23" t="n"/>
      <c r="F2586" s="15" t="n"/>
      <c r="G2586" s="23" t="n"/>
      <c r="H2586" s="25" t="n"/>
      <c r="I2586" s="15" t="n"/>
      <c r="J2586" s="26">
        <f>IF($A2586="","",LEN($C2586)-LEN(SUBSTITUTE($C2586,",",""))+1)</f>
        <v/>
      </c>
      <c r="K2586" s="26">
        <f>IF($A2586="","",SUMPRODUCT(--ISNUMBER(SEARCH('Category Dictionary'!$D$5:$D$135&amp;"",$C2586)),--('Category Dictionary'!$D$5:$D$135&lt;&gt;"")))</f>
        <v/>
      </c>
      <c r="L2586" s="27">
        <f>IF($A2586="","",TRIM(IF(ISERROR(FIND(",",$C2586)),$C2586,LEFT($C2586,FIND(",",$C2586)-1))))</f>
        <v/>
      </c>
      <c r="M2586" s="28">
        <f>IF($H2586="","",DATE(YEAR($H2586),MONTH($H2586),1))</f>
        <v/>
      </c>
      <c r="N2586" s="26">
        <f>IF($H2586="","",TODAY()-$H2586)</f>
        <v/>
      </c>
      <c r="O2586" s="15" t="n"/>
      <c r="P2586" s="26">
        <f>IF($A2586="","",COUNTIFS('Audit Versions'!$A$6:$A$605,$A2586,'Audit Versions'!$L$6:$L$605,"Active"))</f>
        <v/>
      </c>
      <c r="Q2586" s="15" t="n"/>
      <c r="R2586" s="26">
        <f>IF(OR($A2586="",$P2586=0),"",MOD(N($Q2586),$P2586)+1)</f>
        <v/>
      </c>
      <c r="S2586" s="15" t="n"/>
      <c r="T2586" s="25" t="n"/>
      <c r="U2586" s="26">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Builder'!$B$12="",N($S2586)&lt;='Assignment Builder'!$B$12)))</f>
        <v/>
      </c>
      <c r="V2586" s="23" t="n"/>
    </row>
    <row r="2587">
      <c r="A2587" s="23" t="n"/>
      <c r="B2587" s="23" t="n"/>
      <c r="C2587" s="24" t="n"/>
      <c r="D2587" s="15" t="n"/>
      <c r="E2587" s="23" t="n"/>
      <c r="F2587" s="15" t="n"/>
      <c r="G2587" s="23" t="n"/>
      <c r="H2587" s="25" t="n"/>
      <c r="I2587" s="15" t="n"/>
      <c r="J2587" s="26">
        <f>IF($A2587="","",LEN($C2587)-LEN(SUBSTITUTE($C2587,",",""))+1)</f>
        <v/>
      </c>
      <c r="K2587" s="26">
        <f>IF($A2587="","",SUMPRODUCT(--ISNUMBER(SEARCH('Category Dictionary'!$D$5:$D$135&amp;"",$C2587)),--('Category Dictionary'!$D$5:$D$135&lt;&gt;"")))</f>
        <v/>
      </c>
      <c r="L2587" s="27">
        <f>IF($A2587="","",TRIM(IF(ISERROR(FIND(",",$C2587)),$C2587,LEFT($C2587,FIND(",",$C2587)-1))))</f>
        <v/>
      </c>
      <c r="M2587" s="28">
        <f>IF($H2587="","",DATE(YEAR($H2587),MONTH($H2587),1))</f>
        <v/>
      </c>
      <c r="N2587" s="26">
        <f>IF($H2587="","",TODAY()-$H2587)</f>
        <v/>
      </c>
      <c r="O2587" s="15" t="n"/>
      <c r="P2587" s="26">
        <f>IF($A2587="","",COUNTIFS('Audit Versions'!$A$6:$A$605,$A2587,'Audit Versions'!$L$6:$L$605,"Active"))</f>
        <v/>
      </c>
      <c r="Q2587" s="15" t="n"/>
      <c r="R2587" s="26">
        <f>IF(OR($A2587="",$P2587=0),"",MOD(N($Q2587),$P2587)+1)</f>
        <v/>
      </c>
      <c r="S2587" s="15" t="n"/>
      <c r="T2587" s="25" t="n"/>
      <c r="U2587" s="26">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Builder'!$B$12="",N($S2587)&lt;='Assignment Builder'!$B$12)))</f>
        <v/>
      </c>
      <c r="V2587" s="23" t="n"/>
    </row>
    <row r="2588">
      <c r="A2588" s="23" t="n"/>
      <c r="B2588" s="23" t="n"/>
      <c r="C2588" s="24" t="n"/>
      <c r="D2588" s="15" t="n"/>
      <c r="E2588" s="23" t="n"/>
      <c r="F2588" s="15" t="n"/>
      <c r="G2588" s="23" t="n"/>
      <c r="H2588" s="25" t="n"/>
      <c r="I2588" s="15" t="n"/>
      <c r="J2588" s="26">
        <f>IF($A2588="","",LEN($C2588)-LEN(SUBSTITUTE($C2588,",",""))+1)</f>
        <v/>
      </c>
      <c r="K2588" s="26">
        <f>IF($A2588="","",SUMPRODUCT(--ISNUMBER(SEARCH('Category Dictionary'!$D$5:$D$135&amp;"",$C2588)),--('Category Dictionary'!$D$5:$D$135&lt;&gt;"")))</f>
        <v/>
      </c>
      <c r="L2588" s="27">
        <f>IF($A2588="","",TRIM(IF(ISERROR(FIND(",",$C2588)),$C2588,LEFT($C2588,FIND(",",$C2588)-1))))</f>
        <v/>
      </c>
      <c r="M2588" s="28">
        <f>IF($H2588="","",DATE(YEAR($H2588),MONTH($H2588),1))</f>
        <v/>
      </c>
      <c r="N2588" s="26">
        <f>IF($H2588="","",TODAY()-$H2588)</f>
        <v/>
      </c>
      <c r="O2588" s="15" t="n"/>
      <c r="P2588" s="26">
        <f>IF($A2588="","",COUNTIFS('Audit Versions'!$A$6:$A$605,$A2588,'Audit Versions'!$L$6:$L$605,"Active"))</f>
        <v/>
      </c>
      <c r="Q2588" s="15" t="n"/>
      <c r="R2588" s="26">
        <f>IF(OR($A2588="",$P2588=0),"",MOD(N($Q2588),$P2588)+1)</f>
        <v/>
      </c>
      <c r="S2588" s="15" t="n"/>
      <c r="T2588" s="25" t="n"/>
      <c r="U2588" s="26">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Builder'!$B$12="",N($S2588)&lt;='Assignment Builder'!$B$12)))</f>
        <v/>
      </c>
      <c r="V2588" s="23" t="n"/>
    </row>
    <row r="2589">
      <c r="A2589" s="23" t="n"/>
      <c r="B2589" s="23" t="n"/>
      <c r="C2589" s="24" t="n"/>
      <c r="D2589" s="15" t="n"/>
      <c r="E2589" s="23" t="n"/>
      <c r="F2589" s="15" t="n"/>
      <c r="G2589" s="23" t="n"/>
      <c r="H2589" s="25" t="n"/>
      <c r="I2589" s="15" t="n"/>
      <c r="J2589" s="26">
        <f>IF($A2589="","",LEN($C2589)-LEN(SUBSTITUTE($C2589,",",""))+1)</f>
        <v/>
      </c>
      <c r="K2589" s="26">
        <f>IF($A2589="","",SUMPRODUCT(--ISNUMBER(SEARCH('Category Dictionary'!$D$5:$D$135&amp;"",$C2589)),--('Category Dictionary'!$D$5:$D$135&lt;&gt;"")))</f>
        <v/>
      </c>
      <c r="L2589" s="27">
        <f>IF($A2589="","",TRIM(IF(ISERROR(FIND(",",$C2589)),$C2589,LEFT($C2589,FIND(",",$C2589)-1))))</f>
        <v/>
      </c>
      <c r="M2589" s="28">
        <f>IF($H2589="","",DATE(YEAR($H2589),MONTH($H2589),1))</f>
        <v/>
      </c>
      <c r="N2589" s="26">
        <f>IF($H2589="","",TODAY()-$H2589)</f>
        <v/>
      </c>
      <c r="O2589" s="15" t="n"/>
      <c r="P2589" s="26">
        <f>IF($A2589="","",COUNTIFS('Audit Versions'!$A$6:$A$605,$A2589,'Audit Versions'!$L$6:$L$605,"Active"))</f>
        <v/>
      </c>
      <c r="Q2589" s="15" t="n"/>
      <c r="R2589" s="26">
        <f>IF(OR($A2589="",$P2589=0),"",MOD(N($Q2589),$P2589)+1)</f>
        <v/>
      </c>
      <c r="S2589" s="15" t="n"/>
      <c r="T2589" s="25" t="n"/>
      <c r="U2589" s="26">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Builder'!$B$12="",N($S2589)&lt;='Assignment Builder'!$B$12)))</f>
        <v/>
      </c>
      <c r="V2589" s="23" t="n"/>
    </row>
    <row r="2590">
      <c r="A2590" s="23" t="n"/>
      <c r="B2590" s="23" t="n"/>
      <c r="C2590" s="24" t="n"/>
      <c r="D2590" s="15" t="n"/>
      <c r="E2590" s="23" t="n"/>
      <c r="F2590" s="15" t="n"/>
      <c r="G2590" s="23" t="n"/>
      <c r="H2590" s="25" t="n"/>
      <c r="I2590" s="15" t="n"/>
      <c r="J2590" s="26">
        <f>IF($A2590="","",LEN($C2590)-LEN(SUBSTITUTE($C2590,",",""))+1)</f>
        <v/>
      </c>
      <c r="K2590" s="26">
        <f>IF($A2590="","",SUMPRODUCT(--ISNUMBER(SEARCH('Category Dictionary'!$D$5:$D$135&amp;"",$C2590)),--('Category Dictionary'!$D$5:$D$135&lt;&gt;"")))</f>
        <v/>
      </c>
      <c r="L2590" s="27">
        <f>IF($A2590="","",TRIM(IF(ISERROR(FIND(",",$C2590)),$C2590,LEFT($C2590,FIND(",",$C2590)-1))))</f>
        <v/>
      </c>
      <c r="M2590" s="28">
        <f>IF($H2590="","",DATE(YEAR($H2590),MONTH($H2590),1))</f>
        <v/>
      </c>
      <c r="N2590" s="26">
        <f>IF($H2590="","",TODAY()-$H2590)</f>
        <v/>
      </c>
      <c r="O2590" s="15" t="n"/>
      <c r="P2590" s="26">
        <f>IF($A2590="","",COUNTIFS('Audit Versions'!$A$6:$A$605,$A2590,'Audit Versions'!$L$6:$L$605,"Active"))</f>
        <v/>
      </c>
      <c r="Q2590" s="15" t="n"/>
      <c r="R2590" s="26">
        <f>IF(OR($A2590="",$P2590=0),"",MOD(N($Q2590),$P2590)+1)</f>
        <v/>
      </c>
      <c r="S2590" s="15" t="n"/>
      <c r="T2590" s="25" t="n"/>
      <c r="U2590" s="26">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Builder'!$B$12="",N($S2590)&lt;='Assignment Builder'!$B$12)))</f>
        <v/>
      </c>
      <c r="V2590" s="23" t="n"/>
    </row>
    <row r="2591">
      <c r="A2591" s="23" t="n"/>
      <c r="B2591" s="23" t="n"/>
      <c r="C2591" s="24" t="n"/>
      <c r="D2591" s="15" t="n"/>
      <c r="E2591" s="23" t="n"/>
      <c r="F2591" s="15" t="n"/>
      <c r="G2591" s="23" t="n"/>
      <c r="H2591" s="25" t="n"/>
      <c r="I2591" s="15" t="n"/>
      <c r="J2591" s="26">
        <f>IF($A2591="","",LEN($C2591)-LEN(SUBSTITUTE($C2591,",",""))+1)</f>
        <v/>
      </c>
      <c r="K2591" s="26">
        <f>IF($A2591="","",SUMPRODUCT(--ISNUMBER(SEARCH('Category Dictionary'!$D$5:$D$135&amp;"",$C2591)),--('Category Dictionary'!$D$5:$D$135&lt;&gt;"")))</f>
        <v/>
      </c>
      <c r="L2591" s="27">
        <f>IF($A2591="","",TRIM(IF(ISERROR(FIND(",",$C2591)),$C2591,LEFT($C2591,FIND(",",$C2591)-1))))</f>
        <v/>
      </c>
      <c r="M2591" s="28">
        <f>IF($H2591="","",DATE(YEAR($H2591),MONTH($H2591),1))</f>
        <v/>
      </c>
      <c r="N2591" s="26">
        <f>IF($H2591="","",TODAY()-$H2591)</f>
        <v/>
      </c>
      <c r="O2591" s="15" t="n"/>
      <c r="P2591" s="26">
        <f>IF($A2591="","",COUNTIFS('Audit Versions'!$A$6:$A$605,$A2591,'Audit Versions'!$L$6:$L$605,"Active"))</f>
        <v/>
      </c>
      <c r="Q2591" s="15" t="n"/>
      <c r="R2591" s="26">
        <f>IF(OR($A2591="",$P2591=0),"",MOD(N($Q2591),$P2591)+1)</f>
        <v/>
      </c>
      <c r="S2591" s="15" t="n"/>
      <c r="T2591" s="25" t="n"/>
      <c r="U2591" s="26">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Builder'!$B$12="",N($S2591)&lt;='Assignment Builder'!$B$12)))</f>
        <v/>
      </c>
      <c r="V2591" s="23" t="n"/>
    </row>
    <row r="2592">
      <c r="A2592" s="23" t="n"/>
      <c r="B2592" s="23" t="n"/>
      <c r="C2592" s="24" t="n"/>
      <c r="D2592" s="15" t="n"/>
      <c r="E2592" s="23" t="n"/>
      <c r="F2592" s="15" t="n"/>
      <c r="G2592" s="23" t="n"/>
      <c r="H2592" s="25" t="n"/>
      <c r="I2592" s="15" t="n"/>
      <c r="J2592" s="26">
        <f>IF($A2592="","",LEN($C2592)-LEN(SUBSTITUTE($C2592,",",""))+1)</f>
        <v/>
      </c>
      <c r="K2592" s="26">
        <f>IF($A2592="","",SUMPRODUCT(--ISNUMBER(SEARCH('Category Dictionary'!$D$5:$D$135&amp;"",$C2592)),--('Category Dictionary'!$D$5:$D$135&lt;&gt;"")))</f>
        <v/>
      </c>
      <c r="L2592" s="27">
        <f>IF($A2592="","",TRIM(IF(ISERROR(FIND(",",$C2592)),$C2592,LEFT($C2592,FIND(",",$C2592)-1))))</f>
        <v/>
      </c>
      <c r="M2592" s="28">
        <f>IF($H2592="","",DATE(YEAR($H2592),MONTH($H2592),1))</f>
        <v/>
      </c>
      <c r="N2592" s="26">
        <f>IF($H2592="","",TODAY()-$H2592)</f>
        <v/>
      </c>
      <c r="O2592" s="15" t="n"/>
      <c r="P2592" s="26">
        <f>IF($A2592="","",COUNTIFS('Audit Versions'!$A$6:$A$605,$A2592,'Audit Versions'!$L$6:$L$605,"Active"))</f>
        <v/>
      </c>
      <c r="Q2592" s="15" t="n"/>
      <c r="R2592" s="26">
        <f>IF(OR($A2592="",$P2592=0),"",MOD(N($Q2592),$P2592)+1)</f>
        <v/>
      </c>
      <c r="S2592" s="15" t="n"/>
      <c r="T2592" s="25" t="n"/>
      <c r="U2592" s="26">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Builder'!$B$12="",N($S2592)&lt;='Assignment Builder'!$B$12)))</f>
        <v/>
      </c>
      <c r="V2592" s="23" t="n"/>
    </row>
    <row r="2593">
      <c r="A2593" s="23" t="n"/>
      <c r="B2593" s="23" t="n"/>
      <c r="C2593" s="24" t="n"/>
      <c r="D2593" s="15" t="n"/>
      <c r="E2593" s="23" t="n"/>
      <c r="F2593" s="15" t="n"/>
      <c r="G2593" s="23" t="n"/>
      <c r="H2593" s="25" t="n"/>
      <c r="I2593" s="15" t="n"/>
      <c r="J2593" s="26">
        <f>IF($A2593="","",LEN($C2593)-LEN(SUBSTITUTE($C2593,",",""))+1)</f>
        <v/>
      </c>
      <c r="K2593" s="26">
        <f>IF($A2593="","",SUMPRODUCT(--ISNUMBER(SEARCH('Category Dictionary'!$D$5:$D$135&amp;"",$C2593)),--('Category Dictionary'!$D$5:$D$135&lt;&gt;"")))</f>
        <v/>
      </c>
      <c r="L2593" s="27">
        <f>IF($A2593="","",TRIM(IF(ISERROR(FIND(",",$C2593)),$C2593,LEFT($C2593,FIND(",",$C2593)-1))))</f>
        <v/>
      </c>
      <c r="M2593" s="28">
        <f>IF($H2593="","",DATE(YEAR($H2593),MONTH($H2593),1))</f>
        <v/>
      </c>
      <c r="N2593" s="26">
        <f>IF($H2593="","",TODAY()-$H2593)</f>
        <v/>
      </c>
      <c r="O2593" s="15" t="n"/>
      <c r="P2593" s="26">
        <f>IF($A2593="","",COUNTIFS('Audit Versions'!$A$6:$A$605,$A2593,'Audit Versions'!$L$6:$L$605,"Active"))</f>
        <v/>
      </c>
      <c r="Q2593" s="15" t="n"/>
      <c r="R2593" s="26">
        <f>IF(OR($A2593="",$P2593=0),"",MOD(N($Q2593),$P2593)+1)</f>
        <v/>
      </c>
      <c r="S2593" s="15" t="n"/>
      <c r="T2593" s="25" t="n"/>
      <c r="U2593" s="26">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Builder'!$B$12="",N($S2593)&lt;='Assignment Builder'!$B$12)))</f>
        <v/>
      </c>
      <c r="V2593" s="23" t="n"/>
    </row>
    <row r="2594">
      <c r="A2594" s="23" t="n"/>
      <c r="B2594" s="23" t="n"/>
      <c r="C2594" s="24" t="n"/>
      <c r="D2594" s="15" t="n"/>
      <c r="E2594" s="23" t="n"/>
      <c r="F2594" s="15" t="n"/>
      <c r="G2594" s="23" t="n"/>
      <c r="H2594" s="25" t="n"/>
      <c r="I2594" s="15" t="n"/>
      <c r="J2594" s="26">
        <f>IF($A2594="","",LEN($C2594)-LEN(SUBSTITUTE($C2594,",",""))+1)</f>
        <v/>
      </c>
      <c r="K2594" s="26">
        <f>IF($A2594="","",SUMPRODUCT(--ISNUMBER(SEARCH('Category Dictionary'!$D$5:$D$135&amp;"",$C2594)),--('Category Dictionary'!$D$5:$D$135&lt;&gt;"")))</f>
        <v/>
      </c>
      <c r="L2594" s="27">
        <f>IF($A2594="","",TRIM(IF(ISERROR(FIND(",",$C2594)),$C2594,LEFT($C2594,FIND(",",$C2594)-1))))</f>
        <v/>
      </c>
      <c r="M2594" s="28">
        <f>IF($H2594="","",DATE(YEAR($H2594),MONTH($H2594),1))</f>
        <v/>
      </c>
      <c r="N2594" s="26">
        <f>IF($H2594="","",TODAY()-$H2594)</f>
        <v/>
      </c>
      <c r="O2594" s="15" t="n"/>
      <c r="P2594" s="26">
        <f>IF($A2594="","",COUNTIFS('Audit Versions'!$A$6:$A$605,$A2594,'Audit Versions'!$L$6:$L$605,"Active"))</f>
        <v/>
      </c>
      <c r="Q2594" s="15" t="n"/>
      <c r="R2594" s="26">
        <f>IF(OR($A2594="",$P2594=0),"",MOD(N($Q2594),$P2594)+1)</f>
        <v/>
      </c>
      <c r="S2594" s="15" t="n"/>
      <c r="T2594" s="25" t="n"/>
      <c r="U2594" s="26">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Builder'!$B$12="",N($S2594)&lt;='Assignment Builder'!$B$12)))</f>
        <v/>
      </c>
      <c r="V2594" s="23" t="n"/>
    </row>
    <row r="2595">
      <c r="A2595" s="23" t="n"/>
      <c r="B2595" s="23" t="n"/>
      <c r="C2595" s="24" t="n"/>
      <c r="D2595" s="15" t="n"/>
      <c r="E2595" s="23" t="n"/>
      <c r="F2595" s="15" t="n"/>
      <c r="G2595" s="23" t="n"/>
      <c r="H2595" s="25" t="n"/>
      <c r="I2595" s="15" t="n"/>
      <c r="J2595" s="26">
        <f>IF($A2595="","",LEN($C2595)-LEN(SUBSTITUTE($C2595,",",""))+1)</f>
        <v/>
      </c>
      <c r="K2595" s="26">
        <f>IF($A2595="","",SUMPRODUCT(--ISNUMBER(SEARCH('Category Dictionary'!$D$5:$D$135&amp;"",$C2595)),--('Category Dictionary'!$D$5:$D$135&lt;&gt;"")))</f>
        <v/>
      </c>
      <c r="L2595" s="27">
        <f>IF($A2595="","",TRIM(IF(ISERROR(FIND(",",$C2595)),$C2595,LEFT($C2595,FIND(",",$C2595)-1))))</f>
        <v/>
      </c>
      <c r="M2595" s="28">
        <f>IF($H2595="","",DATE(YEAR($H2595),MONTH($H2595),1))</f>
        <v/>
      </c>
      <c r="N2595" s="26">
        <f>IF($H2595="","",TODAY()-$H2595)</f>
        <v/>
      </c>
      <c r="O2595" s="15" t="n"/>
      <c r="P2595" s="26">
        <f>IF($A2595="","",COUNTIFS('Audit Versions'!$A$6:$A$605,$A2595,'Audit Versions'!$L$6:$L$605,"Active"))</f>
        <v/>
      </c>
      <c r="Q2595" s="15" t="n"/>
      <c r="R2595" s="26">
        <f>IF(OR($A2595="",$P2595=0),"",MOD(N($Q2595),$P2595)+1)</f>
        <v/>
      </c>
      <c r="S2595" s="15" t="n"/>
      <c r="T2595" s="25" t="n"/>
      <c r="U2595" s="26">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Builder'!$B$12="",N($S2595)&lt;='Assignment Builder'!$B$12)))</f>
        <v/>
      </c>
      <c r="V2595" s="23" t="n"/>
    </row>
    <row r="2596">
      <c r="A2596" s="23" t="n"/>
      <c r="B2596" s="23" t="n"/>
      <c r="C2596" s="24" t="n"/>
      <c r="D2596" s="15" t="n"/>
      <c r="E2596" s="23" t="n"/>
      <c r="F2596" s="15" t="n"/>
      <c r="G2596" s="23" t="n"/>
      <c r="H2596" s="25" t="n"/>
      <c r="I2596" s="15" t="n"/>
      <c r="J2596" s="26">
        <f>IF($A2596="","",LEN($C2596)-LEN(SUBSTITUTE($C2596,",",""))+1)</f>
        <v/>
      </c>
      <c r="K2596" s="26">
        <f>IF($A2596="","",SUMPRODUCT(--ISNUMBER(SEARCH('Category Dictionary'!$D$5:$D$135&amp;"",$C2596)),--('Category Dictionary'!$D$5:$D$135&lt;&gt;"")))</f>
        <v/>
      </c>
      <c r="L2596" s="27">
        <f>IF($A2596="","",TRIM(IF(ISERROR(FIND(",",$C2596)),$C2596,LEFT($C2596,FIND(",",$C2596)-1))))</f>
        <v/>
      </c>
      <c r="M2596" s="28">
        <f>IF($H2596="","",DATE(YEAR($H2596),MONTH($H2596),1))</f>
        <v/>
      </c>
      <c r="N2596" s="26">
        <f>IF($H2596="","",TODAY()-$H2596)</f>
        <v/>
      </c>
      <c r="O2596" s="15" t="n"/>
      <c r="P2596" s="26">
        <f>IF($A2596="","",COUNTIFS('Audit Versions'!$A$6:$A$605,$A2596,'Audit Versions'!$L$6:$L$605,"Active"))</f>
        <v/>
      </c>
      <c r="Q2596" s="15" t="n"/>
      <c r="R2596" s="26">
        <f>IF(OR($A2596="",$P2596=0),"",MOD(N($Q2596),$P2596)+1)</f>
        <v/>
      </c>
      <c r="S2596" s="15" t="n"/>
      <c r="T2596" s="25" t="n"/>
      <c r="U2596" s="26">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Builder'!$B$12="",N($S2596)&lt;='Assignment Builder'!$B$12)))</f>
        <v/>
      </c>
      <c r="V2596" s="23" t="n"/>
    </row>
    <row r="2597">
      <c r="A2597" s="23" t="n"/>
      <c r="B2597" s="23" t="n"/>
      <c r="C2597" s="24" t="n"/>
      <c r="D2597" s="15" t="n"/>
      <c r="E2597" s="23" t="n"/>
      <c r="F2597" s="15" t="n"/>
      <c r="G2597" s="23" t="n"/>
      <c r="H2597" s="25" t="n"/>
      <c r="I2597" s="15" t="n"/>
      <c r="J2597" s="26">
        <f>IF($A2597="","",LEN($C2597)-LEN(SUBSTITUTE($C2597,",",""))+1)</f>
        <v/>
      </c>
      <c r="K2597" s="26">
        <f>IF($A2597="","",SUMPRODUCT(--ISNUMBER(SEARCH('Category Dictionary'!$D$5:$D$135&amp;"",$C2597)),--('Category Dictionary'!$D$5:$D$135&lt;&gt;"")))</f>
        <v/>
      </c>
      <c r="L2597" s="27">
        <f>IF($A2597="","",TRIM(IF(ISERROR(FIND(",",$C2597)),$C2597,LEFT($C2597,FIND(",",$C2597)-1))))</f>
        <v/>
      </c>
      <c r="M2597" s="28">
        <f>IF($H2597="","",DATE(YEAR($H2597),MONTH($H2597),1))</f>
        <v/>
      </c>
      <c r="N2597" s="26">
        <f>IF($H2597="","",TODAY()-$H2597)</f>
        <v/>
      </c>
      <c r="O2597" s="15" t="n"/>
      <c r="P2597" s="26">
        <f>IF($A2597="","",COUNTIFS('Audit Versions'!$A$6:$A$605,$A2597,'Audit Versions'!$L$6:$L$605,"Active"))</f>
        <v/>
      </c>
      <c r="Q2597" s="15" t="n"/>
      <c r="R2597" s="26">
        <f>IF(OR($A2597="",$P2597=0),"",MOD(N($Q2597),$P2597)+1)</f>
        <v/>
      </c>
      <c r="S2597" s="15" t="n"/>
      <c r="T2597" s="25" t="n"/>
      <c r="U2597" s="26">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Builder'!$B$12="",N($S2597)&lt;='Assignment Builder'!$B$12)))</f>
        <v/>
      </c>
      <c r="V2597" s="23" t="n"/>
    </row>
    <row r="2598">
      <c r="A2598" s="23" t="n"/>
      <c r="B2598" s="23" t="n"/>
      <c r="C2598" s="24" t="n"/>
      <c r="D2598" s="15" t="n"/>
      <c r="E2598" s="23" t="n"/>
      <c r="F2598" s="15" t="n"/>
      <c r="G2598" s="23" t="n"/>
      <c r="H2598" s="25" t="n"/>
      <c r="I2598" s="15" t="n"/>
      <c r="J2598" s="26">
        <f>IF($A2598="","",LEN($C2598)-LEN(SUBSTITUTE($C2598,",",""))+1)</f>
        <v/>
      </c>
      <c r="K2598" s="26">
        <f>IF($A2598="","",SUMPRODUCT(--ISNUMBER(SEARCH('Category Dictionary'!$D$5:$D$135&amp;"",$C2598)),--('Category Dictionary'!$D$5:$D$135&lt;&gt;"")))</f>
        <v/>
      </c>
      <c r="L2598" s="27">
        <f>IF($A2598="","",TRIM(IF(ISERROR(FIND(",",$C2598)),$C2598,LEFT($C2598,FIND(",",$C2598)-1))))</f>
        <v/>
      </c>
      <c r="M2598" s="28">
        <f>IF($H2598="","",DATE(YEAR($H2598),MONTH($H2598),1))</f>
        <v/>
      </c>
      <c r="N2598" s="26">
        <f>IF($H2598="","",TODAY()-$H2598)</f>
        <v/>
      </c>
      <c r="O2598" s="15" t="n"/>
      <c r="P2598" s="26">
        <f>IF($A2598="","",COUNTIFS('Audit Versions'!$A$6:$A$605,$A2598,'Audit Versions'!$L$6:$L$605,"Active"))</f>
        <v/>
      </c>
      <c r="Q2598" s="15" t="n"/>
      <c r="R2598" s="26">
        <f>IF(OR($A2598="",$P2598=0),"",MOD(N($Q2598),$P2598)+1)</f>
        <v/>
      </c>
      <c r="S2598" s="15" t="n"/>
      <c r="T2598" s="25" t="n"/>
      <c r="U2598" s="26">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Builder'!$B$12="",N($S2598)&lt;='Assignment Builder'!$B$12)))</f>
        <v/>
      </c>
      <c r="V2598" s="23" t="n"/>
    </row>
    <row r="2599">
      <c r="A2599" s="23" t="n"/>
      <c r="B2599" s="23" t="n"/>
      <c r="C2599" s="24" t="n"/>
      <c r="D2599" s="15" t="n"/>
      <c r="E2599" s="23" t="n"/>
      <c r="F2599" s="15" t="n"/>
      <c r="G2599" s="23" t="n"/>
      <c r="H2599" s="25" t="n"/>
      <c r="I2599" s="15" t="n"/>
      <c r="J2599" s="26">
        <f>IF($A2599="","",LEN($C2599)-LEN(SUBSTITUTE($C2599,",",""))+1)</f>
        <v/>
      </c>
      <c r="K2599" s="26">
        <f>IF($A2599="","",SUMPRODUCT(--ISNUMBER(SEARCH('Category Dictionary'!$D$5:$D$135&amp;"",$C2599)),--('Category Dictionary'!$D$5:$D$135&lt;&gt;"")))</f>
        <v/>
      </c>
      <c r="L2599" s="27">
        <f>IF($A2599="","",TRIM(IF(ISERROR(FIND(",",$C2599)),$C2599,LEFT($C2599,FIND(",",$C2599)-1))))</f>
        <v/>
      </c>
      <c r="M2599" s="28">
        <f>IF($H2599="","",DATE(YEAR($H2599),MONTH($H2599),1))</f>
        <v/>
      </c>
      <c r="N2599" s="26">
        <f>IF($H2599="","",TODAY()-$H2599)</f>
        <v/>
      </c>
      <c r="O2599" s="15" t="n"/>
      <c r="P2599" s="26">
        <f>IF($A2599="","",COUNTIFS('Audit Versions'!$A$6:$A$605,$A2599,'Audit Versions'!$L$6:$L$605,"Active"))</f>
        <v/>
      </c>
      <c r="Q2599" s="15" t="n"/>
      <c r="R2599" s="26">
        <f>IF(OR($A2599="",$P2599=0),"",MOD(N($Q2599),$P2599)+1)</f>
        <v/>
      </c>
      <c r="S2599" s="15" t="n"/>
      <c r="T2599" s="25" t="n"/>
      <c r="U2599" s="26">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Builder'!$B$12="",N($S2599)&lt;='Assignment Builder'!$B$12)))</f>
        <v/>
      </c>
      <c r="V2599" s="23" t="n"/>
    </row>
    <row r="2600">
      <c r="A2600" s="23" t="n"/>
      <c r="B2600" s="23" t="n"/>
      <c r="C2600" s="24" t="n"/>
      <c r="D2600" s="15" t="n"/>
      <c r="E2600" s="23" t="n"/>
      <c r="F2600" s="15" t="n"/>
      <c r="G2600" s="23" t="n"/>
      <c r="H2600" s="25" t="n"/>
      <c r="I2600" s="15" t="n"/>
      <c r="J2600" s="26">
        <f>IF($A2600="","",LEN($C2600)-LEN(SUBSTITUTE($C2600,",",""))+1)</f>
        <v/>
      </c>
      <c r="K2600" s="26">
        <f>IF($A2600="","",SUMPRODUCT(--ISNUMBER(SEARCH('Category Dictionary'!$D$5:$D$135&amp;"",$C2600)),--('Category Dictionary'!$D$5:$D$135&lt;&gt;"")))</f>
        <v/>
      </c>
      <c r="L2600" s="27">
        <f>IF($A2600="","",TRIM(IF(ISERROR(FIND(",",$C2600)),$C2600,LEFT($C2600,FIND(",",$C2600)-1))))</f>
        <v/>
      </c>
      <c r="M2600" s="28">
        <f>IF($H2600="","",DATE(YEAR($H2600),MONTH($H2600),1))</f>
        <v/>
      </c>
      <c r="N2600" s="26">
        <f>IF($H2600="","",TODAY()-$H2600)</f>
        <v/>
      </c>
      <c r="O2600" s="15" t="n"/>
      <c r="P2600" s="26">
        <f>IF($A2600="","",COUNTIFS('Audit Versions'!$A$6:$A$605,$A2600,'Audit Versions'!$L$6:$L$605,"Active"))</f>
        <v/>
      </c>
      <c r="Q2600" s="15" t="n"/>
      <c r="R2600" s="26">
        <f>IF(OR($A2600="",$P2600=0),"",MOD(N($Q2600),$P2600)+1)</f>
        <v/>
      </c>
      <c r="S2600" s="15" t="n"/>
      <c r="T2600" s="25" t="n"/>
      <c r="U2600" s="26">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Builder'!$B$12="",N($S2600)&lt;='Assignment Builder'!$B$12)))</f>
        <v/>
      </c>
      <c r="V2600" s="23" t="n"/>
    </row>
    <row r="2601">
      <c r="A2601" s="23" t="n"/>
      <c r="B2601" s="23" t="n"/>
      <c r="C2601" s="24" t="n"/>
      <c r="D2601" s="15" t="n"/>
      <c r="E2601" s="23" t="n"/>
      <c r="F2601" s="15" t="n"/>
      <c r="G2601" s="23" t="n"/>
      <c r="H2601" s="25" t="n"/>
      <c r="I2601" s="15" t="n"/>
      <c r="J2601" s="26">
        <f>IF($A2601="","",LEN($C2601)-LEN(SUBSTITUTE($C2601,",",""))+1)</f>
        <v/>
      </c>
      <c r="K2601" s="26">
        <f>IF($A2601="","",SUMPRODUCT(--ISNUMBER(SEARCH('Category Dictionary'!$D$5:$D$135&amp;"",$C2601)),--('Category Dictionary'!$D$5:$D$135&lt;&gt;"")))</f>
        <v/>
      </c>
      <c r="L2601" s="27">
        <f>IF($A2601="","",TRIM(IF(ISERROR(FIND(",",$C2601)),$C2601,LEFT($C2601,FIND(",",$C2601)-1))))</f>
        <v/>
      </c>
      <c r="M2601" s="28">
        <f>IF($H2601="","",DATE(YEAR($H2601),MONTH($H2601),1))</f>
        <v/>
      </c>
      <c r="N2601" s="26">
        <f>IF($H2601="","",TODAY()-$H2601)</f>
        <v/>
      </c>
      <c r="O2601" s="15" t="n"/>
      <c r="P2601" s="26">
        <f>IF($A2601="","",COUNTIFS('Audit Versions'!$A$6:$A$605,$A2601,'Audit Versions'!$L$6:$L$605,"Active"))</f>
        <v/>
      </c>
      <c r="Q2601" s="15" t="n"/>
      <c r="R2601" s="26">
        <f>IF(OR($A2601="",$P2601=0),"",MOD(N($Q2601),$P2601)+1)</f>
        <v/>
      </c>
      <c r="S2601" s="15" t="n"/>
      <c r="T2601" s="25" t="n"/>
      <c r="U2601" s="26">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Builder'!$B$12="",N($S2601)&lt;='Assignment Builder'!$B$12)))</f>
        <v/>
      </c>
      <c r="V2601" s="23" t="n"/>
    </row>
    <row r="2602">
      <c r="A2602" s="23" t="n"/>
      <c r="B2602" s="23" t="n"/>
      <c r="C2602" s="24" t="n"/>
      <c r="D2602" s="15" t="n"/>
      <c r="E2602" s="23" t="n"/>
      <c r="F2602" s="15" t="n"/>
      <c r="G2602" s="23" t="n"/>
      <c r="H2602" s="25" t="n"/>
      <c r="I2602" s="15" t="n"/>
      <c r="J2602" s="26">
        <f>IF($A2602="","",LEN($C2602)-LEN(SUBSTITUTE($C2602,",",""))+1)</f>
        <v/>
      </c>
      <c r="K2602" s="26">
        <f>IF($A2602="","",SUMPRODUCT(--ISNUMBER(SEARCH('Category Dictionary'!$D$5:$D$135&amp;"",$C2602)),--('Category Dictionary'!$D$5:$D$135&lt;&gt;"")))</f>
        <v/>
      </c>
      <c r="L2602" s="27">
        <f>IF($A2602="","",TRIM(IF(ISERROR(FIND(",",$C2602)),$C2602,LEFT($C2602,FIND(",",$C2602)-1))))</f>
        <v/>
      </c>
      <c r="M2602" s="28">
        <f>IF($H2602="","",DATE(YEAR($H2602),MONTH($H2602),1))</f>
        <v/>
      </c>
      <c r="N2602" s="26">
        <f>IF($H2602="","",TODAY()-$H2602)</f>
        <v/>
      </c>
      <c r="O2602" s="15" t="n"/>
      <c r="P2602" s="26">
        <f>IF($A2602="","",COUNTIFS('Audit Versions'!$A$6:$A$605,$A2602,'Audit Versions'!$L$6:$L$605,"Active"))</f>
        <v/>
      </c>
      <c r="Q2602" s="15" t="n"/>
      <c r="R2602" s="26">
        <f>IF(OR($A2602="",$P2602=0),"",MOD(N($Q2602),$P2602)+1)</f>
        <v/>
      </c>
      <c r="S2602" s="15" t="n"/>
      <c r="T2602" s="25" t="n"/>
      <c r="U2602" s="26">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Builder'!$B$12="",N($S2602)&lt;='Assignment Builder'!$B$12)))</f>
        <v/>
      </c>
      <c r="V2602" s="23" t="n"/>
    </row>
    <row r="2603">
      <c r="A2603" s="23" t="n"/>
      <c r="B2603" s="23" t="n"/>
      <c r="C2603" s="24" t="n"/>
      <c r="D2603" s="15" t="n"/>
      <c r="E2603" s="23" t="n"/>
      <c r="F2603" s="15" t="n"/>
      <c r="G2603" s="23" t="n"/>
      <c r="H2603" s="25" t="n"/>
      <c r="I2603" s="15" t="n"/>
      <c r="J2603" s="26">
        <f>IF($A2603="","",LEN($C2603)-LEN(SUBSTITUTE($C2603,",",""))+1)</f>
        <v/>
      </c>
      <c r="K2603" s="26">
        <f>IF($A2603="","",SUMPRODUCT(--ISNUMBER(SEARCH('Category Dictionary'!$D$5:$D$135&amp;"",$C2603)),--('Category Dictionary'!$D$5:$D$135&lt;&gt;"")))</f>
        <v/>
      </c>
      <c r="L2603" s="27">
        <f>IF($A2603="","",TRIM(IF(ISERROR(FIND(",",$C2603)),$C2603,LEFT($C2603,FIND(",",$C2603)-1))))</f>
        <v/>
      </c>
      <c r="M2603" s="28">
        <f>IF($H2603="","",DATE(YEAR($H2603),MONTH($H2603),1))</f>
        <v/>
      </c>
      <c r="N2603" s="26">
        <f>IF($H2603="","",TODAY()-$H2603)</f>
        <v/>
      </c>
      <c r="O2603" s="15" t="n"/>
      <c r="P2603" s="26">
        <f>IF($A2603="","",COUNTIFS('Audit Versions'!$A$6:$A$605,$A2603,'Audit Versions'!$L$6:$L$605,"Active"))</f>
        <v/>
      </c>
      <c r="Q2603" s="15" t="n"/>
      <c r="R2603" s="26">
        <f>IF(OR($A2603="",$P2603=0),"",MOD(N($Q2603),$P2603)+1)</f>
        <v/>
      </c>
      <c r="S2603" s="15" t="n"/>
      <c r="T2603" s="25" t="n"/>
      <c r="U2603" s="26">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Builder'!$B$12="",N($S2603)&lt;='Assignment Builder'!$B$12)))</f>
        <v/>
      </c>
      <c r="V2603" s="23" t="n"/>
    </row>
    <row r="2604">
      <c r="A2604" s="23" t="n"/>
      <c r="B2604" s="23" t="n"/>
      <c r="C2604" s="24" t="n"/>
      <c r="D2604" s="15" t="n"/>
      <c r="E2604" s="23" t="n"/>
      <c r="F2604" s="15" t="n"/>
      <c r="G2604" s="23" t="n"/>
      <c r="H2604" s="25" t="n"/>
      <c r="I2604" s="15" t="n"/>
      <c r="J2604" s="26">
        <f>IF($A2604="","",LEN($C2604)-LEN(SUBSTITUTE($C2604,",",""))+1)</f>
        <v/>
      </c>
      <c r="K2604" s="26">
        <f>IF($A2604="","",SUMPRODUCT(--ISNUMBER(SEARCH('Category Dictionary'!$D$5:$D$135&amp;"",$C2604)),--('Category Dictionary'!$D$5:$D$135&lt;&gt;"")))</f>
        <v/>
      </c>
      <c r="L2604" s="27">
        <f>IF($A2604="","",TRIM(IF(ISERROR(FIND(",",$C2604)),$C2604,LEFT($C2604,FIND(",",$C2604)-1))))</f>
        <v/>
      </c>
      <c r="M2604" s="28">
        <f>IF($H2604="","",DATE(YEAR($H2604),MONTH($H2604),1))</f>
        <v/>
      </c>
      <c r="N2604" s="26">
        <f>IF($H2604="","",TODAY()-$H2604)</f>
        <v/>
      </c>
      <c r="O2604" s="15" t="n"/>
      <c r="P2604" s="26">
        <f>IF($A2604="","",COUNTIFS('Audit Versions'!$A$6:$A$605,$A2604,'Audit Versions'!$L$6:$L$605,"Active"))</f>
        <v/>
      </c>
      <c r="Q2604" s="15" t="n"/>
      <c r="R2604" s="26">
        <f>IF(OR($A2604="",$P2604=0),"",MOD(N($Q2604),$P2604)+1)</f>
        <v/>
      </c>
      <c r="S2604" s="15" t="n"/>
      <c r="T2604" s="25" t="n"/>
      <c r="U2604" s="26">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Builder'!$B$12="",N($S2604)&lt;='Assignment Builder'!$B$12)))</f>
        <v/>
      </c>
      <c r="V2604" s="23" t="n"/>
    </row>
    <row r="2605">
      <c r="A2605" s="23" t="n"/>
      <c r="B2605" s="23" t="n"/>
      <c r="C2605" s="24" t="n"/>
      <c r="D2605" s="15" t="n"/>
      <c r="E2605" s="23" t="n"/>
      <c r="F2605" s="15" t="n"/>
      <c r="G2605" s="23" t="n"/>
      <c r="H2605" s="25" t="n"/>
      <c r="I2605" s="15" t="n"/>
      <c r="J2605" s="26">
        <f>IF($A2605="","",LEN($C2605)-LEN(SUBSTITUTE($C2605,",",""))+1)</f>
        <v/>
      </c>
      <c r="K2605" s="26">
        <f>IF($A2605="","",SUMPRODUCT(--ISNUMBER(SEARCH('Category Dictionary'!$D$5:$D$135&amp;"",$C2605)),--('Category Dictionary'!$D$5:$D$135&lt;&gt;"")))</f>
        <v/>
      </c>
      <c r="L2605" s="27">
        <f>IF($A2605="","",TRIM(IF(ISERROR(FIND(",",$C2605)),$C2605,LEFT($C2605,FIND(",",$C2605)-1))))</f>
        <v/>
      </c>
      <c r="M2605" s="28">
        <f>IF($H2605="","",DATE(YEAR($H2605),MONTH($H2605),1))</f>
        <v/>
      </c>
      <c r="N2605" s="26">
        <f>IF($H2605="","",TODAY()-$H2605)</f>
        <v/>
      </c>
      <c r="O2605" s="15" t="n"/>
      <c r="P2605" s="26">
        <f>IF($A2605="","",COUNTIFS('Audit Versions'!$A$6:$A$605,$A2605,'Audit Versions'!$L$6:$L$605,"Active"))</f>
        <v/>
      </c>
      <c r="Q2605" s="15" t="n"/>
      <c r="R2605" s="26">
        <f>IF(OR($A2605="",$P2605=0),"",MOD(N($Q2605),$P2605)+1)</f>
        <v/>
      </c>
      <c r="S2605" s="15" t="n"/>
      <c r="T2605" s="25" t="n"/>
      <c r="U2605" s="26">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Builder'!$B$12="",N($S2605)&lt;='Assignment Builder'!$B$12)))</f>
        <v/>
      </c>
      <c r="V2605" s="23" t="n"/>
    </row>
    <row r="2606">
      <c r="A2606" s="23" t="n"/>
      <c r="B2606" s="23" t="n"/>
      <c r="C2606" s="24" t="n"/>
      <c r="D2606" s="15" t="n"/>
      <c r="E2606" s="23" t="n"/>
      <c r="F2606" s="15" t="n"/>
      <c r="G2606" s="23" t="n"/>
      <c r="H2606" s="25" t="n"/>
      <c r="I2606" s="15" t="n"/>
      <c r="J2606" s="26">
        <f>IF($A2606="","",LEN($C2606)-LEN(SUBSTITUTE($C2606,",",""))+1)</f>
        <v/>
      </c>
      <c r="K2606" s="26">
        <f>IF($A2606="","",SUMPRODUCT(--ISNUMBER(SEARCH('Category Dictionary'!$D$5:$D$135&amp;"",$C2606)),--('Category Dictionary'!$D$5:$D$135&lt;&gt;"")))</f>
        <v/>
      </c>
      <c r="L2606" s="27">
        <f>IF($A2606="","",TRIM(IF(ISERROR(FIND(",",$C2606)),$C2606,LEFT($C2606,FIND(",",$C2606)-1))))</f>
        <v/>
      </c>
      <c r="M2606" s="28">
        <f>IF($H2606="","",DATE(YEAR($H2606),MONTH($H2606),1))</f>
        <v/>
      </c>
      <c r="N2606" s="26">
        <f>IF($H2606="","",TODAY()-$H2606)</f>
        <v/>
      </c>
      <c r="O2606" s="15" t="n"/>
      <c r="P2606" s="26">
        <f>IF($A2606="","",COUNTIFS('Audit Versions'!$A$6:$A$605,$A2606,'Audit Versions'!$L$6:$L$605,"Active"))</f>
        <v/>
      </c>
      <c r="Q2606" s="15" t="n"/>
      <c r="R2606" s="26">
        <f>IF(OR($A2606="",$P2606=0),"",MOD(N($Q2606),$P2606)+1)</f>
        <v/>
      </c>
      <c r="S2606" s="15" t="n"/>
      <c r="T2606" s="25" t="n"/>
      <c r="U2606" s="26">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Builder'!$B$12="",N($S2606)&lt;='Assignment Builder'!$B$12)))</f>
        <v/>
      </c>
      <c r="V2606" s="23" t="n"/>
    </row>
    <row r="2607">
      <c r="A2607" s="23" t="n"/>
      <c r="B2607" s="23" t="n"/>
      <c r="C2607" s="24" t="n"/>
      <c r="D2607" s="15" t="n"/>
      <c r="E2607" s="23" t="n"/>
      <c r="F2607" s="15" t="n"/>
      <c r="G2607" s="23" t="n"/>
      <c r="H2607" s="25" t="n"/>
      <c r="I2607" s="15" t="n"/>
      <c r="J2607" s="26">
        <f>IF($A2607="","",LEN($C2607)-LEN(SUBSTITUTE($C2607,",",""))+1)</f>
        <v/>
      </c>
      <c r="K2607" s="26">
        <f>IF($A2607="","",SUMPRODUCT(--ISNUMBER(SEARCH('Category Dictionary'!$D$5:$D$135&amp;"",$C2607)),--('Category Dictionary'!$D$5:$D$135&lt;&gt;"")))</f>
        <v/>
      </c>
      <c r="L2607" s="27">
        <f>IF($A2607="","",TRIM(IF(ISERROR(FIND(",",$C2607)),$C2607,LEFT($C2607,FIND(",",$C2607)-1))))</f>
        <v/>
      </c>
      <c r="M2607" s="28">
        <f>IF($H2607="","",DATE(YEAR($H2607),MONTH($H2607),1))</f>
        <v/>
      </c>
      <c r="N2607" s="26">
        <f>IF($H2607="","",TODAY()-$H2607)</f>
        <v/>
      </c>
      <c r="O2607" s="15" t="n"/>
      <c r="P2607" s="26">
        <f>IF($A2607="","",COUNTIFS('Audit Versions'!$A$6:$A$605,$A2607,'Audit Versions'!$L$6:$L$605,"Active"))</f>
        <v/>
      </c>
      <c r="Q2607" s="15" t="n"/>
      <c r="R2607" s="26">
        <f>IF(OR($A2607="",$P2607=0),"",MOD(N($Q2607),$P2607)+1)</f>
        <v/>
      </c>
      <c r="S2607" s="15" t="n"/>
      <c r="T2607" s="25" t="n"/>
      <c r="U2607" s="26">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Builder'!$B$12="",N($S2607)&lt;='Assignment Builder'!$B$12)))</f>
        <v/>
      </c>
      <c r="V2607" s="23" t="n"/>
    </row>
    <row r="2608">
      <c r="A2608" s="23" t="n"/>
      <c r="B2608" s="23" t="n"/>
      <c r="C2608" s="24" t="n"/>
      <c r="D2608" s="15" t="n"/>
      <c r="E2608" s="23" t="n"/>
      <c r="F2608" s="15" t="n"/>
      <c r="G2608" s="23" t="n"/>
      <c r="H2608" s="25" t="n"/>
      <c r="I2608" s="15" t="n"/>
      <c r="J2608" s="26">
        <f>IF($A2608="","",LEN($C2608)-LEN(SUBSTITUTE($C2608,",",""))+1)</f>
        <v/>
      </c>
      <c r="K2608" s="26">
        <f>IF($A2608="","",SUMPRODUCT(--ISNUMBER(SEARCH('Category Dictionary'!$D$5:$D$135&amp;"",$C2608)),--('Category Dictionary'!$D$5:$D$135&lt;&gt;"")))</f>
        <v/>
      </c>
      <c r="L2608" s="27">
        <f>IF($A2608="","",TRIM(IF(ISERROR(FIND(",",$C2608)),$C2608,LEFT($C2608,FIND(",",$C2608)-1))))</f>
        <v/>
      </c>
      <c r="M2608" s="28">
        <f>IF($H2608="","",DATE(YEAR($H2608),MONTH($H2608),1))</f>
        <v/>
      </c>
      <c r="N2608" s="26">
        <f>IF($H2608="","",TODAY()-$H2608)</f>
        <v/>
      </c>
      <c r="O2608" s="15" t="n"/>
      <c r="P2608" s="26">
        <f>IF($A2608="","",COUNTIFS('Audit Versions'!$A$6:$A$605,$A2608,'Audit Versions'!$L$6:$L$605,"Active"))</f>
        <v/>
      </c>
      <c r="Q2608" s="15" t="n"/>
      <c r="R2608" s="26">
        <f>IF(OR($A2608="",$P2608=0),"",MOD(N($Q2608),$P2608)+1)</f>
        <v/>
      </c>
      <c r="S2608" s="15" t="n"/>
      <c r="T2608" s="25" t="n"/>
      <c r="U2608" s="26">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Builder'!$B$12="",N($S2608)&lt;='Assignment Builder'!$B$12)))</f>
        <v/>
      </c>
      <c r="V2608" s="23" t="n"/>
    </row>
    <row r="2609">
      <c r="A2609" s="23" t="n"/>
      <c r="B2609" s="23" t="n"/>
      <c r="C2609" s="24" t="n"/>
      <c r="D2609" s="15" t="n"/>
      <c r="E2609" s="23" t="n"/>
      <c r="F2609" s="15" t="n"/>
      <c r="G2609" s="23" t="n"/>
      <c r="H2609" s="25" t="n"/>
      <c r="I2609" s="15" t="n"/>
      <c r="J2609" s="26">
        <f>IF($A2609="","",LEN($C2609)-LEN(SUBSTITUTE($C2609,",",""))+1)</f>
        <v/>
      </c>
      <c r="K2609" s="26">
        <f>IF($A2609="","",SUMPRODUCT(--ISNUMBER(SEARCH('Category Dictionary'!$D$5:$D$135&amp;"",$C2609)),--('Category Dictionary'!$D$5:$D$135&lt;&gt;"")))</f>
        <v/>
      </c>
      <c r="L2609" s="27">
        <f>IF($A2609="","",TRIM(IF(ISERROR(FIND(",",$C2609)),$C2609,LEFT($C2609,FIND(",",$C2609)-1))))</f>
        <v/>
      </c>
      <c r="M2609" s="28">
        <f>IF($H2609="","",DATE(YEAR($H2609),MONTH($H2609),1))</f>
        <v/>
      </c>
      <c r="N2609" s="26">
        <f>IF($H2609="","",TODAY()-$H2609)</f>
        <v/>
      </c>
      <c r="O2609" s="15" t="n"/>
      <c r="P2609" s="26">
        <f>IF($A2609="","",COUNTIFS('Audit Versions'!$A$6:$A$605,$A2609,'Audit Versions'!$L$6:$L$605,"Active"))</f>
        <v/>
      </c>
      <c r="Q2609" s="15" t="n"/>
      <c r="R2609" s="26">
        <f>IF(OR($A2609="",$P2609=0),"",MOD(N($Q2609),$P2609)+1)</f>
        <v/>
      </c>
      <c r="S2609" s="15" t="n"/>
      <c r="T2609" s="25" t="n"/>
      <c r="U2609" s="26">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Builder'!$B$12="",N($S2609)&lt;='Assignment Builder'!$B$12)))</f>
        <v/>
      </c>
      <c r="V2609" s="23" t="n"/>
    </row>
    <row r="2610">
      <c r="A2610" s="23" t="n"/>
      <c r="B2610" s="23" t="n"/>
      <c r="C2610" s="24" t="n"/>
      <c r="D2610" s="15" t="n"/>
      <c r="E2610" s="23" t="n"/>
      <c r="F2610" s="15" t="n"/>
      <c r="G2610" s="23" t="n"/>
      <c r="H2610" s="25" t="n"/>
      <c r="I2610" s="15" t="n"/>
      <c r="J2610" s="26">
        <f>IF($A2610="","",LEN($C2610)-LEN(SUBSTITUTE($C2610,",",""))+1)</f>
        <v/>
      </c>
      <c r="K2610" s="26">
        <f>IF($A2610="","",SUMPRODUCT(--ISNUMBER(SEARCH('Category Dictionary'!$D$5:$D$135&amp;"",$C2610)),--('Category Dictionary'!$D$5:$D$135&lt;&gt;"")))</f>
        <v/>
      </c>
      <c r="L2610" s="27">
        <f>IF($A2610="","",TRIM(IF(ISERROR(FIND(",",$C2610)),$C2610,LEFT($C2610,FIND(",",$C2610)-1))))</f>
        <v/>
      </c>
      <c r="M2610" s="28">
        <f>IF($H2610="","",DATE(YEAR($H2610),MONTH($H2610),1))</f>
        <v/>
      </c>
      <c r="N2610" s="26">
        <f>IF($H2610="","",TODAY()-$H2610)</f>
        <v/>
      </c>
      <c r="O2610" s="15" t="n"/>
      <c r="P2610" s="26">
        <f>IF($A2610="","",COUNTIFS('Audit Versions'!$A$6:$A$605,$A2610,'Audit Versions'!$L$6:$L$605,"Active"))</f>
        <v/>
      </c>
      <c r="Q2610" s="15" t="n"/>
      <c r="R2610" s="26">
        <f>IF(OR($A2610="",$P2610=0),"",MOD(N($Q2610),$P2610)+1)</f>
        <v/>
      </c>
      <c r="S2610" s="15" t="n"/>
      <c r="T2610" s="25" t="n"/>
      <c r="U2610" s="26">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Builder'!$B$12="",N($S2610)&lt;='Assignment Builder'!$B$12)))</f>
        <v/>
      </c>
      <c r="V2610" s="23" t="n"/>
    </row>
    <row r="2611">
      <c r="A2611" s="23" t="n"/>
      <c r="B2611" s="23" t="n"/>
      <c r="C2611" s="24" t="n"/>
      <c r="D2611" s="15" t="n"/>
      <c r="E2611" s="23" t="n"/>
      <c r="F2611" s="15" t="n"/>
      <c r="G2611" s="23" t="n"/>
      <c r="H2611" s="25" t="n"/>
      <c r="I2611" s="15" t="n"/>
      <c r="J2611" s="26">
        <f>IF($A2611="","",LEN($C2611)-LEN(SUBSTITUTE($C2611,",",""))+1)</f>
        <v/>
      </c>
      <c r="K2611" s="26">
        <f>IF($A2611="","",SUMPRODUCT(--ISNUMBER(SEARCH('Category Dictionary'!$D$5:$D$135&amp;"",$C2611)),--('Category Dictionary'!$D$5:$D$135&lt;&gt;"")))</f>
        <v/>
      </c>
      <c r="L2611" s="27">
        <f>IF($A2611="","",TRIM(IF(ISERROR(FIND(",",$C2611)),$C2611,LEFT($C2611,FIND(",",$C2611)-1))))</f>
        <v/>
      </c>
      <c r="M2611" s="28">
        <f>IF($H2611="","",DATE(YEAR($H2611),MONTH($H2611),1))</f>
        <v/>
      </c>
      <c r="N2611" s="26">
        <f>IF($H2611="","",TODAY()-$H2611)</f>
        <v/>
      </c>
      <c r="O2611" s="15" t="n"/>
      <c r="P2611" s="26">
        <f>IF($A2611="","",COUNTIFS('Audit Versions'!$A$6:$A$605,$A2611,'Audit Versions'!$L$6:$L$605,"Active"))</f>
        <v/>
      </c>
      <c r="Q2611" s="15" t="n"/>
      <c r="R2611" s="26">
        <f>IF(OR($A2611="",$P2611=0),"",MOD(N($Q2611),$P2611)+1)</f>
        <v/>
      </c>
      <c r="S2611" s="15" t="n"/>
      <c r="T2611" s="25" t="n"/>
      <c r="U2611" s="26">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Builder'!$B$12="",N($S2611)&lt;='Assignment Builder'!$B$12)))</f>
        <v/>
      </c>
      <c r="V2611" s="23" t="n"/>
    </row>
    <row r="2612">
      <c r="A2612" s="23" t="n"/>
      <c r="B2612" s="23" t="n"/>
      <c r="C2612" s="24" t="n"/>
      <c r="D2612" s="15" t="n"/>
      <c r="E2612" s="23" t="n"/>
      <c r="F2612" s="15" t="n"/>
      <c r="G2612" s="23" t="n"/>
      <c r="H2612" s="25" t="n"/>
      <c r="I2612" s="15" t="n"/>
      <c r="J2612" s="26">
        <f>IF($A2612="","",LEN($C2612)-LEN(SUBSTITUTE($C2612,",",""))+1)</f>
        <v/>
      </c>
      <c r="K2612" s="26">
        <f>IF($A2612="","",SUMPRODUCT(--ISNUMBER(SEARCH('Category Dictionary'!$D$5:$D$135&amp;"",$C2612)),--('Category Dictionary'!$D$5:$D$135&lt;&gt;"")))</f>
        <v/>
      </c>
      <c r="L2612" s="27">
        <f>IF($A2612="","",TRIM(IF(ISERROR(FIND(",",$C2612)),$C2612,LEFT($C2612,FIND(",",$C2612)-1))))</f>
        <v/>
      </c>
      <c r="M2612" s="28">
        <f>IF($H2612="","",DATE(YEAR($H2612),MONTH($H2612),1))</f>
        <v/>
      </c>
      <c r="N2612" s="26">
        <f>IF($H2612="","",TODAY()-$H2612)</f>
        <v/>
      </c>
      <c r="O2612" s="15" t="n"/>
      <c r="P2612" s="26">
        <f>IF($A2612="","",COUNTIFS('Audit Versions'!$A$6:$A$605,$A2612,'Audit Versions'!$L$6:$L$605,"Active"))</f>
        <v/>
      </c>
      <c r="Q2612" s="15" t="n"/>
      <c r="R2612" s="26">
        <f>IF(OR($A2612="",$P2612=0),"",MOD(N($Q2612),$P2612)+1)</f>
        <v/>
      </c>
      <c r="S2612" s="15" t="n"/>
      <c r="T2612" s="25" t="n"/>
      <c r="U2612" s="26">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Builder'!$B$12="",N($S2612)&lt;='Assignment Builder'!$B$12)))</f>
        <v/>
      </c>
      <c r="V2612" s="23" t="n"/>
    </row>
    <row r="2613">
      <c r="A2613" s="23" t="n"/>
      <c r="B2613" s="23" t="n"/>
      <c r="C2613" s="24" t="n"/>
      <c r="D2613" s="15" t="n"/>
      <c r="E2613" s="23" t="n"/>
      <c r="F2613" s="15" t="n"/>
      <c r="G2613" s="23" t="n"/>
      <c r="H2613" s="25" t="n"/>
      <c r="I2613" s="15" t="n"/>
      <c r="J2613" s="26">
        <f>IF($A2613="","",LEN($C2613)-LEN(SUBSTITUTE($C2613,",",""))+1)</f>
        <v/>
      </c>
      <c r="K2613" s="26">
        <f>IF($A2613="","",SUMPRODUCT(--ISNUMBER(SEARCH('Category Dictionary'!$D$5:$D$135&amp;"",$C2613)),--('Category Dictionary'!$D$5:$D$135&lt;&gt;"")))</f>
        <v/>
      </c>
      <c r="L2613" s="27">
        <f>IF($A2613="","",TRIM(IF(ISERROR(FIND(",",$C2613)),$C2613,LEFT($C2613,FIND(",",$C2613)-1))))</f>
        <v/>
      </c>
      <c r="M2613" s="28">
        <f>IF($H2613="","",DATE(YEAR($H2613),MONTH($H2613),1))</f>
        <v/>
      </c>
      <c r="N2613" s="26">
        <f>IF($H2613="","",TODAY()-$H2613)</f>
        <v/>
      </c>
      <c r="O2613" s="15" t="n"/>
      <c r="P2613" s="26">
        <f>IF($A2613="","",COUNTIFS('Audit Versions'!$A$6:$A$605,$A2613,'Audit Versions'!$L$6:$L$605,"Active"))</f>
        <v/>
      </c>
      <c r="Q2613" s="15" t="n"/>
      <c r="R2613" s="26">
        <f>IF(OR($A2613="",$P2613=0),"",MOD(N($Q2613),$P2613)+1)</f>
        <v/>
      </c>
      <c r="S2613" s="15" t="n"/>
      <c r="T2613" s="25" t="n"/>
      <c r="U2613" s="26">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Builder'!$B$12="",N($S2613)&lt;='Assignment Builder'!$B$12)))</f>
        <v/>
      </c>
      <c r="V2613" s="23" t="n"/>
    </row>
    <row r="2614">
      <c r="A2614" s="23" t="n"/>
      <c r="B2614" s="23" t="n"/>
      <c r="C2614" s="24" t="n"/>
      <c r="D2614" s="15" t="n"/>
      <c r="E2614" s="23" t="n"/>
      <c r="F2614" s="15" t="n"/>
      <c r="G2614" s="23" t="n"/>
      <c r="H2614" s="25" t="n"/>
      <c r="I2614" s="15" t="n"/>
      <c r="J2614" s="26">
        <f>IF($A2614="","",LEN($C2614)-LEN(SUBSTITUTE($C2614,",",""))+1)</f>
        <v/>
      </c>
      <c r="K2614" s="26">
        <f>IF($A2614="","",SUMPRODUCT(--ISNUMBER(SEARCH('Category Dictionary'!$D$5:$D$135&amp;"",$C2614)),--('Category Dictionary'!$D$5:$D$135&lt;&gt;"")))</f>
        <v/>
      </c>
      <c r="L2614" s="27">
        <f>IF($A2614="","",TRIM(IF(ISERROR(FIND(",",$C2614)),$C2614,LEFT($C2614,FIND(",",$C2614)-1))))</f>
        <v/>
      </c>
      <c r="M2614" s="28">
        <f>IF($H2614="","",DATE(YEAR($H2614),MONTH($H2614),1))</f>
        <v/>
      </c>
      <c r="N2614" s="26">
        <f>IF($H2614="","",TODAY()-$H2614)</f>
        <v/>
      </c>
      <c r="O2614" s="15" t="n"/>
      <c r="P2614" s="26">
        <f>IF($A2614="","",COUNTIFS('Audit Versions'!$A$6:$A$605,$A2614,'Audit Versions'!$L$6:$L$605,"Active"))</f>
        <v/>
      </c>
      <c r="Q2614" s="15" t="n"/>
      <c r="R2614" s="26">
        <f>IF(OR($A2614="",$P2614=0),"",MOD(N($Q2614),$P2614)+1)</f>
        <v/>
      </c>
      <c r="S2614" s="15" t="n"/>
      <c r="T2614" s="25" t="n"/>
      <c r="U2614" s="26">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Builder'!$B$12="",N($S2614)&lt;='Assignment Builder'!$B$12)))</f>
        <v/>
      </c>
      <c r="V2614" s="23" t="n"/>
    </row>
    <row r="2615">
      <c r="A2615" s="23" t="n"/>
      <c r="B2615" s="23" t="n"/>
      <c r="C2615" s="24" t="n"/>
      <c r="D2615" s="15" t="n"/>
      <c r="E2615" s="23" t="n"/>
      <c r="F2615" s="15" t="n"/>
      <c r="G2615" s="23" t="n"/>
      <c r="H2615" s="25" t="n"/>
      <c r="I2615" s="15" t="n"/>
      <c r="J2615" s="26">
        <f>IF($A2615="","",LEN($C2615)-LEN(SUBSTITUTE($C2615,",",""))+1)</f>
        <v/>
      </c>
      <c r="K2615" s="26">
        <f>IF($A2615="","",SUMPRODUCT(--ISNUMBER(SEARCH('Category Dictionary'!$D$5:$D$135&amp;"",$C2615)),--('Category Dictionary'!$D$5:$D$135&lt;&gt;"")))</f>
        <v/>
      </c>
      <c r="L2615" s="27">
        <f>IF($A2615="","",TRIM(IF(ISERROR(FIND(",",$C2615)),$C2615,LEFT($C2615,FIND(",",$C2615)-1))))</f>
        <v/>
      </c>
      <c r="M2615" s="28">
        <f>IF($H2615="","",DATE(YEAR($H2615),MONTH($H2615),1))</f>
        <v/>
      </c>
      <c r="N2615" s="26">
        <f>IF($H2615="","",TODAY()-$H2615)</f>
        <v/>
      </c>
      <c r="O2615" s="15" t="n"/>
      <c r="P2615" s="26">
        <f>IF($A2615="","",COUNTIFS('Audit Versions'!$A$6:$A$605,$A2615,'Audit Versions'!$L$6:$L$605,"Active"))</f>
        <v/>
      </c>
      <c r="Q2615" s="15" t="n"/>
      <c r="R2615" s="26">
        <f>IF(OR($A2615="",$P2615=0),"",MOD(N($Q2615),$P2615)+1)</f>
        <v/>
      </c>
      <c r="S2615" s="15" t="n"/>
      <c r="T2615" s="25" t="n"/>
      <c r="U2615" s="26">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Builder'!$B$12="",N($S2615)&lt;='Assignment Builder'!$B$12)))</f>
        <v/>
      </c>
      <c r="V2615" s="23" t="n"/>
    </row>
    <row r="2616">
      <c r="A2616" s="23" t="n"/>
      <c r="B2616" s="23" t="n"/>
      <c r="C2616" s="24" t="n"/>
      <c r="D2616" s="15" t="n"/>
      <c r="E2616" s="23" t="n"/>
      <c r="F2616" s="15" t="n"/>
      <c r="G2616" s="23" t="n"/>
      <c r="H2616" s="25" t="n"/>
      <c r="I2616" s="15" t="n"/>
      <c r="J2616" s="26">
        <f>IF($A2616="","",LEN($C2616)-LEN(SUBSTITUTE($C2616,",",""))+1)</f>
        <v/>
      </c>
      <c r="K2616" s="26">
        <f>IF($A2616="","",SUMPRODUCT(--ISNUMBER(SEARCH('Category Dictionary'!$D$5:$D$135&amp;"",$C2616)),--('Category Dictionary'!$D$5:$D$135&lt;&gt;"")))</f>
        <v/>
      </c>
      <c r="L2616" s="27">
        <f>IF($A2616="","",TRIM(IF(ISERROR(FIND(",",$C2616)),$C2616,LEFT($C2616,FIND(",",$C2616)-1))))</f>
        <v/>
      </c>
      <c r="M2616" s="28">
        <f>IF($H2616="","",DATE(YEAR($H2616),MONTH($H2616),1))</f>
        <v/>
      </c>
      <c r="N2616" s="26">
        <f>IF($H2616="","",TODAY()-$H2616)</f>
        <v/>
      </c>
      <c r="O2616" s="15" t="n"/>
      <c r="P2616" s="26">
        <f>IF($A2616="","",COUNTIFS('Audit Versions'!$A$6:$A$605,$A2616,'Audit Versions'!$L$6:$L$605,"Active"))</f>
        <v/>
      </c>
      <c r="Q2616" s="15" t="n"/>
      <c r="R2616" s="26">
        <f>IF(OR($A2616="",$P2616=0),"",MOD(N($Q2616),$P2616)+1)</f>
        <v/>
      </c>
      <c r="S2616" s="15" t="n"/>
      <c r="T2616" s="25" t="n"/>
      <c r="U2616" s="26">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Builder'!$B$12="",N($S2616)&lt;='Assignment Builder'!$B$12)))</f>
        <v/>
      </c>
      <c r="V2616" s="23" t="n"/>
    </row>
    <row r="2617">
      <c r="A2617" s="23" t="n"/>
      <c r="B2617" s="23" t="n"/>
      <c r="C2617" s="24" t="n"/>
      <c r="D2617" s="15" t="n"/>
      <c r="E2617" s="23" t="n"/>
      <c r="F2617" s="15" t="n"/>
      <c r="G2617" s="23" t="n"/>
      <c r="H2617" s="25" t="n"/>
      <c r="I2617" s="15" t="n"/>
      <c r="J2617" s="26">
        <f>IF($A2617="","",LEN($C2617)-LEN(SUBSTITUTE($C2617,",",""))+1)</f>
        <v/>
      </c>
      <c r="K2617" s="26">
        <f>IF($A2617="","",SUMPRODUCT(--ISNUMBER(SEARCH('Category Dictionary'!$D$5:$D$135&amp;"",$C2617)),--('Category Dictionary'!$D$5:$D$135&lt;&gt;"")))</f>
        <v/>
      </c>
      <c r="L2617" s="27">
        <f>IF($A2617="","",TRIM(IF(ISERROR(FIND(",",$C2617)),$C2617,LEFT($C2617,FIND(",",$C2617)-1))))</f>
        <v/>
      </c>
      <c r="M2617" s="28">
        <f>IF($H2617="","",DATE(YEAR($H2617),MONTH($H2617),1))</f>
        <v/>
      </c>
      <c r="N2617" s="26">
        <f>IF($H2617="","",TODAY()-$H2617)</f>
        <v/>
      </c>
      <c r="O2617" s="15" t="n"/>
      <c r="P2617" s="26">
        <f>IF($A2617="","",COUNTIFS('Audit Versions'!$A$6:$A$605,$A2617,'Audit Versions'!$L$6:$L$605,"Active"))</f>
        <v/>
      </c>
      <c r="Q2617" s="15" t="n"/>
      <c r="R2617" s="26">
        <f>IF(OR($A2617="",$P2617=0),"",MOD(N($Q2617),$P2617)+1)</f>
        <v/>
      </c>
      <c r="S2617" s="15" t="n"/>
      <c r="T2617" s="25" t="n"/>
      <c r="U2617" s="26">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Builder'!$B$12="",N($S2617)&lt;='Assignment Builder'!$B$12)))</f>
        <v/>
      </c>
      <c r="V2617" s="23" t="n"/>
    </row>
    <row r="2618">
      <c r="A2618" s="23" t="n"/>
      <c r="B2618" s="23" t="n"/>
      <c r="C2618" s="24" t="n"/>
      <c r="D2618" s="15" t="n"/>
      <c r="E2618" s="23" t="n"/>
      <c r="F2618" s="15" t="n"/>
      <c r="G2618" s="23" t="n"/>
      <c r="H2618" s="25" t="n"/>
      <c r="I2618" s="15" t="n"/>
      <c r="J2618" s="26">
        <f>IF($A2618="","",LEN($C2618)-LEN(SUBSTITUTE($C2618,",",""))+1)</f>
        <v/>
      </c>
      <c r="K2618" s="26">
        <f>IF($A2618="","",SUMPRODUCT(--ISNUMBER(SEARCH('Category Dictionary'!$D$5:$D$135&amp;"",$C2618)),--('Category Dictionary'!$D$5:$D$135&lt;&gt;"")))</f>
        <v/>
      </c>
      <c r="L2618" s="27">
        <f>IF($A2618="","",TRIM(IF(ISERROR(FIND(",",$C2618)),$C2618,LEFT($C2618,FIND(",",$C2618)-1))))</f>
        <v/>
      </c>
      <c r="M2618" s="28">
        <f>IF($H2618="","",DATE(YEAR($H2618),MONTH($H2618),1))</f>
        <v/>
      </c>
      <c r="N2618" s="26">
        <f>IF($H2618="","",TODAY()-$H2618)</f>
        <v/>
      </c>
      <c r="O2618" s="15" t="n"/>
      <c r="P2618" s="26">
        <f>IF($A2618="","",COUNTIFS('Audit Versions'!$A$6:$A$605,$A2618,'Audit Versions'!$L$6:$L$605,"Active"))</f>
        <v/>
      </c>
      <c r="Q2618" s="15" t="n"/>
      <c r="R2618" s="26">
        <f>IF(OR($A2618="",$P2618=0),"",MOD(N($Q2618),$P2618)+1)</f>
        <v/>
      </c>
      <c r="S2618" s="15" t="n"/>
      <c r="T2618" s="25" t="n"/>
      <c r="U2618" s="26">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Builder'!$B$12="",N($S2618)&lt;='Assignment Builder'!$B$12)))</f>
        <v/>
      </c>
      <c r="V2618" s="23" t="n"/>
    </row>
    <row r="2619">
      <c r="A2619" s="23" t="n"/>
      <c r="B2619" s="23" t="n"/>
      <c r="C2619" s="24" t="n"/>
      <c r="D2619" s="15" t="n"/>
      <c r="E2619" s="23" t="n"/>
      <c r="F2619" s="15" t="n"/>
      <c r="G2619" s="23" t="n"/>
      <c r="H2619" s="25" t="n"/>
      <c r="I2619" s="15" t="n"/>
      <c r="J2619" s="26">
        <f>IF($A2619="","",LEN($C2619)-LEN(SUBSTITUTE($C2619,",",""))+1)</f>
        <v/>
      </c>
      <c r="K2619" s="26">
        <f>IF($A2619="","",SUMPRODUCT(--ISNUMBER(SEARCH('Category Dictionary'!$D$5:$D$135&amp;"",$C2619)),--('Category Dictionary'!$D$5:$D$135&lt;&gt;"")))</f>
        <v/>
      </c>
      <c r="L2619" s="27">
        <f>IF($A2619="","",TRIM(IF(ISERROR(FIND(",",$C2619)),$C2619,LEFT($C2619,FIND(",",$C2619)-1))))</f>
        <v/>
      </c>
      <c r="M2619" s="28">
        <f>IF($H2619="","",DATE(YEAR($H2619),MONTH($H2619),1))</f>
        <v/>
      </c>
      <c r="N2619" s="26">
        <f>IF($H2619="","",TODAY()-$H2619)</f>
        <v/>
      </c>
      <c r="O2619" s="15" t="n"/>
      <c r="P2619" s="26">
        <f>IF($A2619="","",COUNTIFS('Audit Versions'!$A$6:$A$605,$A2619,'Audit Versions'!$L$6:$L$605,"Active"))</f>
        <v/>
      </c>
      <c r="Q2619" s="15" t="n"/>
      <c r="R2619" s="26">
        <f>IF(OR($A2619="",$P2619=0),"",MOD(N($Q2619),$P2619)+1)</f>
        <v/>
      </c>
      <c r="S2619" s="15" t="n"/>
      <c r="T2619" s="25" t="n"/>
      <c r="U2619" s="26">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Builder'!$B$12="",N($S2619)&lt;='Assignment Builder'!$B$12)))</f>
        <v/>
      </c>
      <c r="V2619" s="23" t="n"/>
    </row>
    <row r="2620">
      <c r="A2620" s="23" t="n"/>
      <c r="B2620" s="23" t="n"/>
      <c r="C2620" s="24" t="n"/>
      <c r="D2620" s="15" t="n"/>
      <c r="E2620" s="23" t="n"/>
      <c r="F2620" s="15" t="n"/>
      <c r="G2620" s="23" t="n"/>
      <c r="H2620" s="25" t="n"/>
      <c r="I2620" s="15" t="n"/>
      <c r="J2620" s="26">
        <f>IF($A2620="","",LEN($C2620)-LEN(SUBSTITUTE($C2620,",",""))+1)</f>
        <v/>
      </c>
      <c r="K2620" s="26">
        <f>IF($A2620="","",SUMPRODUCT(--ISNUMBER(SEARCH('Category Dictionary'!$D$5:$D$135&amp;"",$C2620)),--('Category Dictionary'!$D$5:$D$135&lt;&gt;"")))</f>
        <v/>
      </c>
      <c r="L2620" s="27">
        <f>IF($A2620="","",TRIM(IF(ISERROR(FIND(",",$C2620)),$C2620,LEFT($C2620,FIND(",",$C2620)-1))))</f>
        <v/>
      </c>
      <c r="M2620" s="28">
        <f>IF($H2620="","",DATE(YEAR($H2620),MONTH($H2620),1))</f>
        <v/>
      </c>
      <c r="N2620" s="26">
        <f>IF($H2620="","",TODAY()-$H2620)</f>
        <v/>
      </c>
      <c r="O2620" s="15" t="n"/>
      <c r="P2620" s="26">
        <f>IF($A2620="","",COUNTIFS('Audit Versions'!$A$6:$A$605,$A2620,'Audit Versions'!$L$6:$L$605,"Active"))</f>
        <v/>
      </c>
      <c r="Q2620" s="15" t="n"/>
      <c r="R2620" s="26">
        <f>IF(OR($A2620="",$P2620=0),"",MOD(N($Q2620),$P2620)+1)</f>
        <v/>
      </c>
      <c r="S2620" s="15" t="n"/>
      <c r="T2620" s="25" t="n"/>
      <c r="U2620" s="26">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Builder'!$B$12="",N($S2620)&lt;='Assignment Builder'!$B$12)))</f>
        <v/>
      </c>
      <c r="V2620" s="23" t="n"/>
    </row>
    <row r="2621">
      <c r="A2621" s="23" t="n"/>
      <c r="B2621" s="23" t="n"/>
      <c r="C2621" s="24" t="n"/>
      <c r="D2621" s="15" t="n"/>
      <c r="E2621" s="23" t="n"/>
      <c r="F2621" s="15" t="n"/>
      <c r="G2621" s="23" t="n"/>
      <c r="H2621" s="25" t="n"/>
      <c r="I2621" s="15" t="n"/>
      <c r="J2621" s="26">
        <f>IF($A2621="","",LEN($C2621)-LEN(SUBSTITUTE($C2621,",",""))+1)</f>
        <v/>
      </c>
      <c r="K2621" s="26">
        <f>IF($A2621="","",SUMPRODUCT(--ISNUMBER(SEARCH('Category Dictionary'!$D$5:$D$135&amp;"",$C2621)),--('Category Dictionary'!$D$5:$D$135&lt;&gt;"")))</f>
        <v/>
      </c>
      <c r="L2621" s="27">
        <f>IF($A2621="","",TRIM(IF(ISERROR(FIND(",",$C2621)),$C2621,LEFT($C2621,FIND(",",$C2621)-1))))</f>
        <v/>
      </c>
      <c r="M2621" s="28">
        <f>IF($H2621="","",DATE(YEAR($H2621),MONTH($H2621),1))</f>
        <v/>
      </c>
      <c r="N2621" s="26">
        <f>IF($H2621="","",TODAY()-$H2621)</f>
        <v/>
      </c>
      <c r="O2621" s="15" t="n"/>
      <c r="P2621" s="26">
        <f>IF($A2621="","",COUNTIFS('Audit Versions'!$A$6:$A$605,$A2621,'Audit Versions'!$L$6:$L$605,"Active"))</f>
        <v/>
      </c>
      <c r="Q2621" s="15" t="n"/>
      <c r="R2621" s="26">
        <f>IF(OR($A2621="",$P2621=0),"",MOD(N($Q2621),$P2621)+1)</f>
        <v/>
      </c>
      <c r="S2621" s="15" t="n"/>
      <c r="T2621" s="25" t="n"/>
      <c r="U2621" s="26">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Builder'!$B$12="",N($S2621)&lt;='Assignment Builder'!$B$12)))</f>
        <v/>
      </c>
      <c r="V2621" s="23" t="n"/>
    </row>
    <row r="2622">
      <c r="A2622" s="23" t="n"/>
      <c r="B2622" s="23" t="n"/>
      <c r="C2622" s="24" t="n"/>
      <c r="D2622" s="15" t="n"/>
      <c r="E2622" s="23" t="n"/>
      <c r="F2622" s="15" t="n"/>
      <c r="G2622" s="23" t="n"/>
      <c r="H2622" s="25" t="n"/>
      <c r="I2622" s="15" t="n"/>
      <c r="J2622" s="26">
        <f>IF($A2622="","",LEN($C2622)-LEN(SUBSTITUTE($C2622,",",""))+1)</f>
        <v/>
      </c>
      <c r="K2622" s="26">
        <f>IF($A2622="","",SUMPRODUCT(--ISNUMBER(SEARCH('Category Dictionary'!$D$5:$D$135&amp;"",$C2622)),--('Category Dictionary'!$D$5:$D$135&lt;&gt;"")))</f>
        <v/>
      </c>
      <c r="L2622" s="27">
        <f>IF($A2622="","",TRIM(IF(ISERROR(FIND(",",$C2622)),$C2622,LEFT($C2622,FIND(",",$C2622)-1))))</f>
        <v/>
      </c>
      <c r="M2622" s="28">
        <f>IF($H2622="","",DATE(YEAR($H2622),MONTH($H2622),1))</f>
        <v/>
      </c>
      <c r="N2622" s="26">
        <f>IF($H2622="","",TODAY()-$H2622)</f>
        <v/>
      </c>
      <c r="O2622" s="15" t="n"/>
      <c r="P2622" s="26">
        <f>IF($A2622="","",COUNTIFS('Audit Versions'!$A$6:$A$605,$A2622,'Audit Versions'!$L$6:$L$605,"Active"))</f>
        <v/>
      </c>
      <c r="Q2622" s="15" t="n"/>
      <c r="R2622" s="26">
        <f>IF(OR($A2622="",$P2622=0),"",MOD(N($Q2622),$P2622)+1)</f>
        <v/>
      </c>
      <c r="S2622" s="15" t="n"/>
      <c r="T2622" s="25" t="n"/>
      <c r="U2622" s="26">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Builder'!$B$12="",N($S2622)&lt;='Assignment Builder'!$B$12)))</f>
        <v/>
      </c>
      <c r="V2622" s="23" t="n"/>
    </row>
    <row r="2623">
      <c r="A2623" s="23" t="n"/>
      <c r="B2623" s="23" t="n"/>
      <c r="C2623" s="24" t="n"/>
      <c r="D2623" s="15" t="n"/>
      <c r="E2623" s="23" t="n"/>
      <c r="F2623" s="15" t="n"/>
      <c r="G2623" s="23" t="n"/>
      <c r="H2623" s="25" t="n"/>
      <c r="I2623" s="15" t="n"/>
      <c r="J2623" s="26">
        <f>IF($A2623="","",LEN($C2623)-LEN(SUBSTITUTE($C2623,",",""))+1)</f>
        <v/>
      </c>
      <c r="K2623" s="26">
        <f>IF($A2623="","",SUMPRODUCT(--ISNUMBER(SEARCH('Category Dictionary'!$D$5:$D$135&amp;"",$C2623)),--('Category Dictionary'!$D$5:$D$135&lt;&gt;"")))</f>
        <v/>
      </c>
      <c r="L2623" s="27">
        <f>IF($A2623="","",TRIM(IF(ISERROR(FIND(",",$C2623)),$C2623,LEFT($C2623,FIND(",",$C2623)-1))))</f>
        <v/>
      </c>
      <c r="M2623" s="28">
        <f>IF($H2623="","",DATE(YEAR($H2623),MONTH($H2623),1))</f>
        <v/>
      </c>
      <c r="N2623" s="26">
        <f>IF($H2623="","",TODAY()-$H2623)</f>
        <v/>
      </c>
      <c r="O2623" s="15" t="n"/>
      <c r="P2623" s="26">
        <f>IF($A2623="","",COUNTIFS('Audit Versions'!$A$6:$A$605,$A2623,'Audit Versions'!$L$6:$L$605,"Active"))</f>
        <v/>
      </c>
      <c r="Q2623" s="15" t="n"/>
      <c r="R2623" s="26">
        <f>IF(OR($A2623="",$P2623=0),"",MOD(N($Q2623),$P2623)+1)</f>
        <v/>
      </c>
      <c r="S2623" s="15" t="n"/>
      <c r="T2623" s="25" t="n"/>
      <c r="U2623" s="26">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Builder'!$B$12="",N($S2623)&lt;='Assignment Builder'!$B$12)))</f>
        <v/>
      </c>
      <c r="V2623" s="23" t="n"/>
    </row>
    <row r="2624">
      <c r="A2624" s="23" t="n"/>
      <c r="B2624" s="23" t="n"/>
      <c r="C2624" s="24" t="n"/>
      <c r="D2624" s="15" t="n"/>
      <c r="E2624" s="23" t="n"/>
      <c r="F2624" s="15" t="n"/>
      <c r="G2624" s="23" t="n"/>
      <c r="H2624" s="25" t="n"/>
      <c r="I2624" s="15" t="n"/>
      <c r="J2624" s="26">
        <f>IF($A2624="","",LEN($C2624)-LEN(SUBSTITUTE($C2624,",",""))+1)</f>
        <v/>
      </c>
      <c r="K2624" s="26">
        <f>IF($A2624="","",SUMPRODUCT(--ISNUMBER(SEARCH('Category Dictionary'!$D$5:$D$135&amp;"",$C2624)),--('Category Dictionary'!$D$5:$D$135&lt;&gt;"")))</f>
        <v/>
      </c>
      <c r="L2624" s="27">
        <f>IF($A2624="","",TRIM(IF(ISERROR(FIND(",",$C2624)),$C2624,LEFT($C2624,FIND(",",$C2624)-1))))</f>
        <v/>
      </c>
      <c r="M2624" s="28">
        <f>IF($H2624="","",DATE(YEAR($H2624),MONTH($H2624),1))</f>
        <v/>
      </c>
      <c r="N2624" s="26">
        <f>IF($H2624="","",TODAY()-$H2624)</f>
        <v/>
      </c>
      <c r="O2624" s="15" t="n"/>
      <c r="P2624" s="26">
        <f>IF($A2624="","",COUNTIFS('Audit Versions'!$A$6:$A$605,$A2624,'Audit Versions'!$L$6:$L$605,"Active"))</f>
        <v/>
      </c>
      <c r="Q2624" s="15" t="n"/>
      <c r="R2624" s="26">
        <f>IF(OR($A2624="",$P2624=0),"",MOD(N($Q2624),$P2624)+1)</f>
        <v/>
      </c>
      <c r="S2624" s="15" t="n"/>
      <c r="T2624" s="25" t="n"/>
      <c r="U2624" s="26">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Builder'!$B$12="",N($S2624)&lt;='Assignment Builder'!$B$12)))</f>
        <v/>
      </c>
      <c r="V2624" s="23" t="n"/>
    </row>
    <row r="2625">
      <c r="A2625" s="23" t="n"/>
      <c r="B2625" s="23" t="n"/>
      <c r="C2625" s="24" t="n"/>
      <c r="D2625" s="15" t="n"/>
      <c r="E2625" s="23" t="n"/>
      <c r="F2625" s="15" t="n"/>
      <c r="G2625" s="23" t="n"/>
      <c r="H2625" s="25" t="n"/>
      <c r="I2625" s="15" t="n"/>
      <c r="J2625" s="26">
        <f>IF($A2625="","",LEN($C2625)-LEN(SUBSTITUTE($C2625,",",""))+1)</f>
        <v/>
      </c>
      <c r="K2625" s="26">
        <f>IF($A2625="","",SUMPRODUCT(--ISNUMBER(SEARCH('Category Dictionary'!$D$5:$D$135&amp;"",$C2625)),--('Category Dictionary'!$D$5:$D$135&lt;&gt;"")))</f>
        <v/>
      </c>
      <c r="L2625" s="27">
        <f>IF($A2625="","",TRIM(IF(ISERROR(FIND(",",$C2625)),$C2625,LEFT($C2625,FIND(",",$C2625)-1))))</f>
        <v/>
      </c>
      <c r="M2625" s="28">
        <f>IF($H2625="","",DATE(YEAR($H2625),MONTH($H2625),1))</f>
        <v/>
      </c>
      <c r="N2625" s="26">
        <f>IF($H2625="","",TODAY()-$H2625)</f>
        <v/>
      </c>
      <c r="O2625" s="15" t="n"/>
      <c r="P2625" s="26">
        <f>IF($A2625="","",COUNTIFS('Audit Versions'!$A$6:$A$605,$A2625,'Audit Versions'!$L$6:$L$605,"Active"))</f>
        <v/>
      </c>
      <c r="Q2625" s="15" t="n"/>
      <c r="R2625" s="26">
        <f>IF(OR($A2625="",$P2625=0),"",MOD(N($Q2625),$P2625)+1)</f>
        <v/>
      </c>
      <c r="S2625" s="15" t="n"/>
      <c r="T2625" s="25" t="n"/>
      <c r="U2625" s="26">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Builder'!$B$12="",N($S2625)&lt;='Assignment Builder'!$B$12)))</f>
        <v/>
      </c>
      <c r="V2625" s="23" t="n"/>
    </row>
    <row r="2626">
      <c r="A2626" s="23" t="n"/>
      <c r="B2626" s="23" t="n"/>
      <c r="C2626" s="24" t="n"/>
      <c r="D2626" s="15" t="n"/>
      <c r="E2626" s="23" t="n"/>
      <c r="F2626" s="15" t="n"/>
      <c r="G2626" s="23" t="n"/>
      <c r="H2626" s="25" t="n"/>
      <c r="I2626" s="15" t="n"/>
      <c r="J2626" s="26">
        <f>IF($A2626="","",LEN($C2626)-LEN(SUBSTITUTE($C2626,",",""))+1)</f>
        <v/>
      </c>
      <c r="K2626" s="26">
        <f>IF($A2626="","",SUMPRODUCT(--ISNUMBER(SEARCH('Category Dictionary'!$D$5:$D$135&amp;"",$C2626)),--('Category Dictionary'!$D$5:$D$135&lt;&gt;"")))</f>
        <v/>
      </c>
      <c r="L2626" s="27">
        <f>IF($A2626="","",TRIM(IF(ISERROR(FIND(",",$C2626)),$C2626,LEFT($C2626,FIND(",",$C2626)-1))))</f>
        <v/>
      </c>
      <c r="M2626" s="28">
        <f>IF($H2626="","",DATE(YEAR($H2626),MONTH($H2626),1))</f>
        <v/>
      </c>
      <c r="N2626" s="26">
        <f>IF($H2626="","",TODAY()-$H2626)</f>
        <v/>
      </c>
      <c r="O2626" s="15" t="n"/>
      <c r="P2626" s="26">
        <f>IF($A2626="","",COUNTIFS('Audit Versions'!$A$6:$A$605,$A2626,'Audit Versions'!$L$6:$L$605,"Active"))</f>
        <v/>
      </c>
      <c r="Q2626" s="15" t="n"/>
      <c r="R2626" s="26">
        <f>IF(OR($A2626="",$P2626=0),"",MOD(N($Q2626),$P2626)+1)</f>
        <v/>
      </c>
      <c r="S2626" s="15" t="n"/>
      <c r="T2626" s="25" t="n"/>
      <c r="U2626" s="26">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Builder'!$B$12="",N($S2626)&lt;='Assignment Builder'!$B$12)))</f>
        <v/>
      </c>
      <c r="V2626" s="23" t="n"/>
    </row>
    <row r="2627">
      <c r="A2627" s="23" t="n"/>
      <c r="B2627" s="23" t="n"/>
      <c r="C2627" s="24" t="n"/>
      <c r="D2627" s="15" t="n"/>
      <c r="E2627" s="23" t="n"/>
      <c r="F2627" s="15" t="n"/>
      <c r="G2627" s="23" t="n"/>
      <c r="H2627" s="25" t="n"/>
      <c r="I2627" s="15" t="n"/>
      <c r="J2627" s="26">
        <f>IF($A2627="","",LEN($C2627)-LEN(SUBSTITUTE($C2627,",",""))+1)</f>
        <v/>
      </c>
      <c r="K2627" s="26">
        <f>IF($A2627="","",SUMPRODUCT(--ISNUMBER(SEARCH('Category Dictionary'!$D$5:$D$135&amp;"",$C2627)),--('Category Dictionary'!$D$5:$D$135&lt;&gt;"")))</f>
        <v/>
      </c>
      <c r="L2627" s="27">
        <f>IF($A2627="","",TRIM(IF(ISERROR(FIND(",",$C2627)),$C2627,LEFT($C2627,FIND(",",$C2627)-1))))</f>
        <v/>
      </c>
      <c r="M2627" s="28">
        <f>IF($H2627="","",DATE(YEAR($H2627),MONTH($H2627),1))</f>
        <v/>
      </c>
      <c r="N2627" s="26">
        <f>IF($H2627="","",TODAY()-$H2627)</f>
        <v/>
      </c>
      <c r="O2627" s="15" t="n"/>
      <c r="P2627" s="26">
        <f>IF($A2627="","",COUNTIFS('Audit Versions'!$A$6:$A$605,$A2627,'Audit Versions'!$L$6:$L$605,"Active"))</f>
        <v/>
      </c>
      <c r="Q2627" s="15" t="n"/>
      <c r="R2627" s="26">
        <f>IF(OR($A2627="",$P2627=0),"",MOD(N($Q2627),$P2627)+1)</f>
        <v/>
      </c>
      <c r="S2627" s="15" t="n"/>
      <c r="T2627" s="25" t="n"/>
      <c r="U2627" s="26">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Builder'!$B$12="",N($S2627)&lt;='Assignment Builder'!$B$12)))</f>
        <v/>
      </c>
      <c r="V2627" s="23" t="n"/>
    </row>
    <row r="2628">
      <c r="A2628" s="23" t="n"/>
      <c r="B2628" s="23" t="n"/>
      <c r="C2628" s="24" t="n"/>
      <c r="D2628" s="15" t="n"/>
      <c r="E2628" s="23" t="n"/>
      <c r="F2628" s="15" t="n"/>
      <c r="G2628" s="23" t="n"/>
      <c r="H2628" s="25" t="n"/>
      <c r="I2628" s="15" t="n"/>
      <c r="J2628" s="26">
        <f>IF($A2628="","",LEN($C2628)-LEN(SUBSTITUTE($C2628,",",""))+1)</f>
        <v/>
      </c>
      <c r="K2628" s="26">
        <f>IF($A2628="","",SUMPRODUCT(--ISNUMBER(SEARCH('Category Dictionary'!$D$5:$D$135&amp;"",$C2628)),--('Category Dictionary'!$D$5:$D$135&lt;&gt;"")))</f>
        <v/>
      </c>
      <c r="L2628" s="27">
        <f>IF($A2628="","",TRIM(IF(ISERROR(FIND(",",$C2628)),$C2628,LEFT($C2628,FIND(",",$C2628)-1))))</f>
        <v/>
      </c>
      <c r="M2628" s="28">
        <f>IF($H2628="","",DATE(YEAR($H2628),MONTH($H2628),1))</f>
        <v/>
      </c>
      <c r="N2628" s="26">
        <f>IF($H2628="","",TODAY()-$H2628)</f>
        <v/>
      </c>
      <c r="O2628" s="15" t="n"/>
      <c r="P2628" s="26">
        <f>IF($A2628="","",COUNTIFS('Audit Versions'!$A$6:$A$605,$A2628,'Audit Versions'!$L$6:$L$605,"Active"))</f>
        <v/>
      </c>
      <c r="Q2628" s="15" t="n"/>
      <c r="R2628" s="26">
        <f>IF(OR($A2628="",$P2628=0),"",MOD(N($Q2628),$P2628)+1)</f>
        <v/>
      </c>
      <c r="S2628" s="15" t="n"/>
      <c r="T2628" s="25" t="n"/>
      <c r="U2628" s="26">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Builder'!$B$12="",N($S2628)&lt;='Assignment Builder'!$B$12)))</f>
        <v/>
      </c>
      <c r="V2628" s="23" t="n"/>
    </row>
    <row r="2629">
      <c r="A2629" s="23" t="n"/>
      <c r="B2629" s="23" t="n"/>
      <c r="C2629" s="24" t="n"/>
      <c r="D2629" s="15" t="n"/>
      <c r="E2629" s="23" t="n"/>
      <c r="F2629" s="15" t="n"/>
      <c r="G2629" s="23" t="n"/>
      <c r="H2629" s="25" t="n"/>
      <c r="I2629" s="15" t="n"/>
      <c r="J2629" s="26">
        <f>IF($A2629="","",LEN($C2629)-LEN(SUBSTITUTE($C2629,",",""))+1)</f>
        <v/>
      </c>
      <c r="K2629" s="26">
        <f>IF($A2629="","",SUMPRODUCT(--ISNUMBER(SEARCH('Category Dictionary'!$D$5:$D$135&amp;"",$C2629)),--('Category Dictionary'!$D$5:$D$135&lt;&gt;"")))</f>
        <v/>
      </c>
      <c r="L2629" s="27">
        <f>IF($A2629="","",TRIM(IF(ISERROR(FIND(",",$C2629)),$C2629,LEFT($C2629,FIND(",",$C2629)-1))))</f>
        <v/>
      </c>
      <c r="M2629" s="28">
        <f>IF($H2629="","",DATE(YEAR($H2629),MONTH($H2629),1))</f>
        <v/>
      </c>
      <c r="N2629" s="26">
        <f>IF($H2629="","",TODAY()-$H2629)</f>
        <v/>
      </c>
      <c r="O2629" s="15" t="n"/>
      <c r="P2629" s="26">
        <f>IF($A2629="","",COUNTIFS('Audit Versions'!$A$6:$A$605,$A2629,'Audit Versions'!$L$6:$L$605,"Active"))</f>
        <v/>
      </c>
      <c r="Q2629" s="15" t="n"/>
      <c r="R2629" s="26">
        <f>IF(OR($A2629="",$P2629=0),"",MOD(N($Q2629),$P2629)+1)</f>
        <v/>
      </c>
      <c r="S2629" s="15" t="n"/>
      <c r="T2629" s="25" t="n"/>
      <c r="U2629" s="26">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Builder'!$B$12="",N($S2629)&lt;='Assignment Builder'!$B$12)))</f>
        <v/>
      </c>
      <c r="V2629" s="23" t="n"/>
    </row>
    <row r="2630">
      <c r="A2630" s="23" t="n"/>
      <c r="B2630" s="23" t="n"/>
      <c r="C2630" s="24" t="n"/>
      <c r="D2630" s="15" t="n"/>
      <c r="E2630" s="23" t="n"/>
      <c r="F2630" s="15" t="n"/>
      <c r="G2630" s="23" t="n"/>
      <c r="H2630" s="25" t="n"/>
      <c r="I2630" s="15" t="n"/>
      <c r="J2630" s="26">
        <f>IF($A2630="","",LEN($C2630)-LEN(SUBSTITUTE($C2630,",",""))+1)</f>
        <v/>
      </c>
      <c r="K2630" s="26">
        <f>IF($A2630="","",SUMPRODUCT(--ISNUMBER(SEARCH('Category Dictionary'!$D$5:$D$135&amp;"",$C2630)),--('Category Dictionary'!$D$5:$D$135&lt;&gt;"")))</f>
        <v/>
      </c>
      <c r="L2630" s="27">
        <f>IF($A2630="","",TRIM(IF(ISERROR(FIND(",",$C2630)),$C2630,LEFT($C2630,FIND(",",$C2630)-1))))</f>
        <v/>
      </c>
      <c r="M2630" s="28">
        <f>IF($H2630="","",DATE(YEAR($H2630),MONTH($H2630),1))</f>
        <v/>
      </c>
      <c r="N2630" s="26">
        <f>IF($H2630="","",TODAY()-$H2630)</f>
        <v/>
      </c>
      <c r="O2630" s="15" t="n"/>
      <c r="P2630" s="26">
        <f>IF($A2630="","",COUNTIFS('Audit Versions'!$A$6:$A$605,$A2630,'Audit Versions'!$L$6:$L$605,"Active"))</f>
        <v/>
      </c>
      <c r="Q2630" s="15" t="n"/>
      <c r="R2630" s="26">
        <f>IF(OR($A2630="",$P2630=0),"",MOD(N($Q2630),$P2630)+1)</f>
        <v/>
      </c>
      <c r="S2630" s="15" t="n"/>
      <c r="T2630" s="25" t="n"/>
      <c r="U2630" s="26">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Builder'!$B$12="",N($S2630)&lt;='Assignment Builder'!$B$12)))</f>
        <v/>
      </c>
      <c r="V2630" s="23" t="n"/>
    </row>
    <row r="2631">
      <c r="A2631" s="23" t="n"/>
      <c r="B2631" s="23" t="n"/>
      <c r="C2631" s="24" t="n"/>
      <c r="D2631" s="15" t="n"/>
      <c r="E2631" s="23" t="n"/>
      <c r="F2631" s="15" t="n"/>
      <c r="G2631" s="23" t="n"/>
      <c r="H2631" s="25" t="n"/>
      <c r="I2631" s="15" t="n"/>
      <c r="J2631" s="26">
        <f>IF($A2631="","",LEN($C2631)-LEN(SUBSTITUTE($C2631,",",""))+1)</f>
        <v/>
      </c>
      <c r="K2631" s="26">
        <f>IF($A2631="","",SUMPRODUCT(--ISNUMBER(SEARCH('Category Dictionary'!$D$5:$D$135&amp;"",$C2631)),--('Category Dictionary'!$D$5:$D$135&lt;&gt;"")))</f>
        <v/>
      </c>
      <c r="L2631" s="27">
        <f>IF($A2631="","",TRIM(IF(ISERROR(FIND(",",$C2631)),$C2631,LEFT($C2631,FIND(",",$C2631)-1))))</f>
        <v/>
      </c>
      <c r="M2631" s="28">
        <f>IF($H2631="","",DATE(YEAR($H2631),MONTH($H2631),1))</f>
        <v/>
      </c>
      <c r="N2631" s="26">
        <f>IF($H2631="","",TODAY()-$H2631)</f>
        <v/>
      </c>
      <c r="O2631" s="15" t="n"/>
      <c r="P2631" s="26">
        <f>IF($A2631="","",COUNTIFS('Audit Versions'!$A$6:$A$605,$A2631,'Audit Versions'!$L$6:$L$605,"Active"))</f>
        <v/>
      </c>
      <c r="Q2631" s="15" t="n"/>
      <c r="R2631" s="26">
        <f>IF(OR($A2631="",$P2631=0),"",MOD(N($Q2631),$P2631)+1)</f>
        <v/>
      </c>
      <c r="S2631" s="15" t="n"/>
      <c r="T2631" s="25" t="n"/>
      <c r="U2631" s="26">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Builder'!$B$12="",N($S2631)&lt;='Assignment Builder'!$B$12)))</f>
        <v/>
      </c>
      <c r="V2631" s="23" t="n"/>
    </row>
    <row r="2632">
      <c r="A2632" s="23" t="n"/>
      <c r="B2632" s="23" t="n"/>
      <c r="C2632" s="24" t="n"/>
      <c r="D2632" s="15" t="n"/>
      <c r="E2632" s="23" t="n"/>
      <c r="F2632" s="15" t="n"/>
      <c r="G2632" s="23" t="n"/>
      <c r="H2632" s="25" t="n"/>
      <c r="I2632" s="15" t="n"/>
      <c r="J2632" s="26">
        <f>IF($A2632="","",LEN($C2632)-LEN(SUBSTITUTE($C2632,",",""))+1)</f>
        <v/>
      </c>
      <c r="K2632" s="26">
        <f>IF($A2632="","",SUMPRODUCT(--ISNUMBER(SEARCH('Category Dictionary'!$D$5:$D$135&amp;"",$C2632)),--('Category Dictionary'!$D$5:$D$135&lt;&gt;"")))</f>
        <v/>
      </c>
      <c r="L2632" s="27">
        <f>IF($A2632="","",TRIM(IF(ISERROR(FIND(",",$C2632)),$C2632,LEFT($C2632,FIND(",",$C2632)-1))))</f>
        <v/>
      </c>
      <c r="M2632" s="28">
        <f>IF($H2632="","",DATE(YEAR($H2632),MONTH($H2632),1))</f>
        <v/>
      </c>
      <c r="N2632" s="26">
        <f>IF($H2632="","",TODAY()-$H2632)</f>
        <v/>
      </c>
      <c r="O2632" s="15" t="n"/>
      <c r="P2632" s="26">
        <f>IF($A2632="","",COUNTIFS('Audit Versions'!$A$6:$A$605,$A2632,'Audit Versions'!$L$6:$L$605,"Active"))</f>
        <v/>
      </c>
      <c r="Q2632" s="15" t="n"/>
      <c r="R2632" s="26">
        <f>IF(OR($A2632="",$P2632=0),"",MOD(N($Q2632),$P2632)+1)</f>
        <v/>
      </c>
      <c r="S2632" s="15" t="n"/>
      <c r="T2632" s="25" t="n"/>
      <c r="U2632" s="26">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Builder'!$B$12="",N($S2632)&lt;='Assignment Builder'!$B$12)))</f>
        <v/>
      </c>
      <c r="V2632" s="23" t="n"/>
    </row>
    <row r="2633">
      <c r="A2633" s="23" t="n"/>
      <c r="B2633" s="23" t="n"/>
      <c r="C2633" s="24" t="n"/>
      <c r="D2633" s="15" t="n"/>
      <c r="E2633" s="23" t="n"/>
      <c r="F2633" s="15" t="n"/>
      <c r="G2633" s="23" t="n"/>
      <c r="H2633" s="25" t="n"/>
      <c r="I2633" s="15" t="n"/>
      <c r="J2633" s="26">
        <f>IF($A2633="","",LEN($C2633)-LEN(SUBSTITUTE($C2633,",",""))+1)</f>
        <v/>
      </c>
      <c r="K2633" s="26">
        <f>IF($A2633="","",SUMPRODUCT(--ISNUMBER(SEARCH('Category Dictionary'!$D$5:$D$135&amp;"",$C2633)),--('Category Dictionary'!$D$5:$D$135&lt;&gt;"")))</f>
        <v/>
      </c>
      <c r="L2633" s="27">
        <f>IF($A2633="","",TRIM(IF(ISERROR(FIND(",",$C2633)),$C2633,LEFT($C2633,FIND(",",$C2633)-1))))</f>
        <v/>
      </c>
      <c r="M2633" s="28">
        <f>IF($H2633="","",DATE(YEAR($H2633),MONTH($H2633),1))</f>
        <v/>
      </c>
      <c r="N2633" s="26">
        <f>IF($H2633="","",TODAY()-$H2633)</f>
        <v/>
      </c>
      <c r="O2633" s="15" t="n"/>
      <c r="P2633" s="26">
        <f>IF($A2633="","",COUNTIFS('Audit Versions'!$A$6:$A$605,$A2633,'Audit Versions'!$L$6:$L$605,"Active"))</f>
        <v/>
      </c>
      <c r="Q2633" s="15" t="n"/>
      <c r="R2633" s="26">
        <f>IF(OR($A2633="",$P2633=0),"",MOD(N($Q2633),$P2633)+1)</f>
        <v/>
      </c>
      <c r="S2633" s="15" t="n"/>
      <c r="T2633" s="25" t="n"/>
      <c r="U2633" s="26">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Builder'!$B$12="",N($S2633)&lt;='Assignment Builder'!$B$12)))</f>
        <v/>
      </c>
      <c r="V2633" s="23" t="n"/>
    </row>
    <row r="2634">
      <c r="A2634" s="23" t="n"/>
      <c r="B2634" s="23" t="n"/>
      <c r="C2634" s="24" t="n"/>
      <c r="D2634" s="15" t="n"/>
      <c r="E2634" s="23" t="n"/>
      <c r="F2634" s="15" t="n"/>
      <c r="G2634" s="23" t="n"/>
      <c r="H2634" s="25" t="n"/>
      <c r="I2634" s="15" t="n"/>
      <c r="J2634" s="26">
        <f>IF($A2634="","",LEN($C2634)-LEN(SUBSTITUTE($C2634,",",""))+1)</f>
        <v/>
      </c>
      <c r="K2634" s="26">
        <f>IF($A2634="","",SUMPRODUCT(--ISNUMBER(SEARCH('Category Dictionary'!$D$5:$D$135&amp;"",$C2634)),--('Category Dictionary'!$D$5:$D$135&lt;&gt;"")))</f>
        <v/>
      </c>
      <c r="L2634" s="27">
        <f>IF($A2634="","",TRIM(IF(ISERROR(FIND(",",$C2634)),$C2634,LEFT($C2634,FIND(",",$C2634)-1))))</f>
        <v/>
      </c>
      <c r="M2634" s="28">
        <f>IF($H2634="","",DATE(YEAR($H2634),MONTH($H2634),1))</f>
        <v/>
      </c>
      <c r="N2634" s="26">
        <f>IF($H2634="","",TODAY()-$H2634)</f>
        <v/>
      </c>
      <c r="O2634" s="15" t="n"/>
      <c r="P2634" s="26">
        <f>IF($A2634="","",COUNTIFS('Audit Versions'!$A$6:$A$605,$A2634,'Audit Versions'!$L$6:$L$605,"Active"))</f>
        <v/>
      </c>
      <c r="Q2634" s="15" t="n"/>
      <c r="R2634" s="26">
        <f>IF(OR($A2634="",$P2634=0),"",MOD(N($Q2634),$P2634)+1)</f>
        <v/>
      </c>
      <c r="S2634" s="15" t="n"/>
      <c r="T2634" s="25" t="n"/>
      <c r="U2634" s="26">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Builder'!$B$12="",N($S2634)&lt;='Assignment Builder'!$B$12)))</f>
        <v/>
      </c>
      <c r="V2634" s="23" t="n"/>
    </row>
    <row r="2635">
      <c r="A2635" s="23" t="n"/>
      <c r="B2635" s="23" t="n"/>
      <c r="C2635" s="24" t="n"/>
      <c r="D2635" s="15" t="n"/>
      <c r="E2635" s="23" t="n"/>
      <c r="F2635" s="15" t="n"/>
      <c r="G2635" s="23" t="n"/>
      <c r="H2635" s="25" t="n"/>
      <c r="I2635" s="15" t="n"/>
      <c r="J2635" s="26">
        <f>IF($A2635="","",LEN($C2635)-LEN(SUBSTITUTE($C2635,",",""))+1)</f>
        <v/>
      </c>
      <c r="K2635" s="26">
        <f>IF($A2635="","",SUMPRODUCT(--ISNUMBER(SEARCH('Category Dictionary'!$D$5:$D$135&amp;"",$C2635)),--('Category Dictionary'!$D$5:$D$135&lt;&gt;"")))</f>
        <v/>
      </c>
      <c r="L2635" s="27">
        <f>IF($A2635="","",TRIM(IF(ISERROR(FIND(",",$C2635)),$C2635,LEFT($C2635,FIND(",",$C2635)-1))))</f>
        <v/>
      </c>
      <c r="M2635" s="28">
        <f>IF($H2635="","",DATE(YEAR($H2635),MONTH($H2635),1))</f>
        <v/>
      </c>
      <c r="N2635" s="26">
        <f>IF($H2635="","",TODAY()-$H2635)</f>
        <v/>
      </c>
      <c r="O2635" s="15" t="n"/>
      <c r="P2635" s="26">
        <f>IF($A2635="","",COUNTIFS('Audit Versions'!$A$6:$A$605,$A2635,'Audit Versions'!$L$6:$L$605,"Active"))</f>
        <v/>
      </c>
      <c r="Q2635" s="15" t="n"/>
      <c r="R2635" s="26">
        <f>IF(OR($A2635="",$P2635=0),"",MOD(N($Q2635),$P2635)+1)</f>
        <v/>
      </c>
      <c r="S2635" s="15" t="n"/>
      <c r="T2635" s="25" t="n"/>
      <c r="U2635" s="26">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Builder'!$B$12="",N($S2635)&lt;='Assignment Builder'!$B$12)))</f>
        <v/>
      </c>
      <c r="V2635" s="23" t="n"/>
    </row>
    <row r="2636">
      <c r="A2636" s="23" t="n"/>
      <c r="B2636" s="23" t="n"/>
      <c r="C2636" s="24" t="n"/>
      <c r="D2636" s="15" t="n"/>
      <c r="E2636" s="23" t="n"/>
      <c r="F2636" s="15" t="n"/>
      <c r="G2636" s="23" t="n"/>
      <c r="H2636" s="25" t="n"/>
      <c r="I2636" s="15" t="n"/>
      <c r="J2636" s="26">
        <f>IF($A2636="","",LEN($C2636)-LEN(SUBSTITUTE($C2636,",",""))+1)</f>
        <v/>
      </c>
      <c r="K2636" s="26">
        <f>IF($A2636="","",SUMPRODUCT(--ISNUMBER(SEARCH('Category Dictionary'!$D$5:$D$135&amp;"",$C2636)),--('Category Dictionary'!$D$5:$D$135&lt;&gt;"")))</f>
        <v/>
      </c>
      <c r="L2636" s="27">
        <f>IF($A2636="","",TRIM(IF(ISERROR(FIND(",",$C2636)),$C2636,LEFT($C2636,FIND(",",$C2636)-1))))</f>
        <v/>
      </c>
      <c r="M2636" s="28">
        <f>IF($H2636="","",DATE(YEAR($H2636),MONTH($H2636),1))</f>
        <v/>
      </c>
      <c r="N2636" s="26">
        <f>IF($H2636="","",TODAY()-$H2636)</f>
        <v/>
      </c>
      <c r="O2636" s="15" t="n"/>
      <c r="P2636" s="26">
        <f>IF($A2636="","",COUNTIFS('Audit Versions'!$A$6:$A$605,$A2636,'Audit Versions'!$L$6:$L$605,"Active"))</f>
        <v/>
      </c>
      <c r="Q2636" s="15" t="n"/>
      <c r="R2636" s="26">
        <f>IF(OR($A2636="",$P2636=0),"",MOD(N($Q2636),$P2636)+1)</f>
        <v/>
      </c>
      <c r="S2636" s="15" t="n"/>
      <c r="T2636" s="25" t="n"/>
      <c r="U2636" s="26">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Builder'!$B$12="",N($S2636)&lt;='Assignment Builder'!$B$12)))</f>
        <v/>
      </c>
      <c r="V2636" s="23" t="n"/>
    </row>
    <row r="2637">
      <c r="A2637" s="23" t="n"/>
      <c r="B2637" s="23" t="n"/>
      <c r="C2637" s="24" t="n"/>
      <c r="D2637" s="15" t="n"/>
      <c r="E2637" s="23" t="n"/>
      <c r="F2637" s="15" t="n"/>
      <c r="G2637" s="23" t="n"/>
      <c r="H2637" s="25" t="n"/>
      <c r="I2637" s="15" t="n"/>
      <c r="J2637" s="26">
        <f>IF($A2637="","",LEN($C2637)-LEN(SUBSTITUTE($C2637,",",""))+1)</f>
        <v/>
      </c>
      <c r="K2637" s="26">
        <f>IF($A2637="","",SUMPRODUCT(--ISNUMBER(SEARCH('Category Dictionary'!$D$5:$D$135&amp;"",$C2637)),--('Category Dictionary'!$D$5:$D$135&lt;&gt;"")))</f>
        <v/>
      </c>
      <c r="L2637" s="27">
        <f>IF($A2637="","",TRIM(IF(ISERROR(FIND(",",$C2637)),$C2637,LEFT($C2637,FIND(",",$C2637)-1))))</f>
        <v/>
      </c>
      <c r="M2637" s="28">
        <f>IF($H2637="","",DATE(YEAR($H2637),MONTH($H2637),1))</f>
        <v/>
      </c>
      <c r="N2637" s="26">
        <f>IF($H2637="","",TODAY()-$H2637)</f>
        <v/>
      </c>
      <c r="O2637" s="15" t="n"/>
      <c r="P2637" s="26">
        <f>IF($A2637="","",COUNTIFS('Audit Versions'!$A$6:$A$605,$A2637,'Audit Versions'!$L$6:$L$605,"Active"))</f>
        <v/>
      </c>
      <c r="Q2637" s="15" t="n"/>
      <c r="R2637" s="26">
        <f>IF(OR($A2637="",$P2637=0),"",MOD(N($Q2637),$P2637)+1)</f>
        <v/>
      </c>
      <c r="S2637" s="15" t="n"/>
      <c r="T2637" s="25" t="n"/>
      <c r="U2637" s="26">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Builder'!$B$12="",N($S2637)&lt;='Assignment Builder'!$B$12)))</f>
        <v/>
      </c>
      <c r="V2637" s="23" t="n"/>
    </row>
    <row r="2638">
      <c r="A2638" s="23" t="n"/>
      <c r="B2638" s="23" t="n"/>
      <c r="C2638" s="24" t="n"/>
      <c r="D2638" s="15" t="n"/>
      <c r="E2638" s="23" t="n"/>
      <c r="F2638" s="15" t="n"/>
      <c r="G2638" s="23" t="n"/>
      <c r="H2638" s="25" t="n"/>
      <c r="I2638" s="15" t="n"/>
      <c r="J2638" s="26">
        <f>IF($A2638="","",LEN($C2638)-LEN(SUBSTITUTE($C2638,",",""))+1)</f>
        <v/>
      </c>
      <c r="K2638" s="26">
        <f>IF($A2638="","",SUMPRODUCT(--ISNUMBER(SEARCH('Category Dictionary'!$D$5:$D$135&amp;"",$C2638)),--('Category Dictionary'!$D$5:$D$135&lt;&gt;"")))</f>
        <v/>
      </c>
      <c r="L2638" s="27">
        <f>IF($A2638="","",TRIM(IF(ISERROR(FIND(",",$C2638)),$C2638,LEFT($C2638,FIND(",",$C2638)-1))))</f>
        <v/>
      </c>
      <c r="M2638" s="28">
        <f>IF($H2638="","",DATE(YEAR($H2638),MONTH($H2638),1))</f>
        <v/>
      </c>
      <c r="N2638" s="26">
        <f>IF($H2638="","",TODAY()-$H2638)</f>
        <v/>
      </c>
      <c r="O2638" s="15" t="n"/>
      <c r="P2638" s="26">
        <f>IF($A2638="","",COUNTIFS('Audit Versions'!$A$6:$A$605,$A2638,'Audit Versions'!$L$6:$L$605,"Active"))</f>
        <v/>
      </c>
      <c r="Q2638" s="15" t="n"/>
      <c r="R2638" s="26">
        <f>IF(OR($A2638="",$P2638=0),"",MOD(N($Q2638),$P2638)+1)</f>
        <v/>
      </c>
      <c r="S2638" s="15" t="n"/>
      <c r="T2638" s="25" t="n"/>
      <c r="U2638" s="26">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Builder'!$B$12="",N($S2638)&lt;='Assignment Builder'!$B$12)))</f>
        <v/>
      </c>
      <c r="V2638" s="23" t="n"/>
    </row>
    <row r="2639">
      <c r="A2639" s="23" t="n"/>
      <c r="B2639" s="23" t="n"/>
      <c r="C2639" s="24" t="n"/>
      <c r="D2639" s="15" t="n"/>
      <c r="E2639" s="23" t="n"/>
      <c r="F2639" s="15" t="n"/>
      <c r="G2639" s="23" t="n"/>
      <c r="H2639" s="25" t="n"/>
      <c r="I2639" s="15" t="n"/>
      <c r="J2639" s="26">
        <f>IF($A2639="","",LEN($C2639)-LEN(SUBSTITUTE($C2639,",",""))+1)</f>
        <v/>
      </c>
      <c r="K2639" s="26">
        <f>IF($A2639="","",SUMPRODUCT(--ISNUMBER(SEARCH('Category Dictionary'!$D$5:$D$135&amp;"",$C2639)),--('Category Dictionary'!$D$5:$D$135&lt;&gt;"")))</f>
        <v/>
      </c>
      <c r="L2639" s="27">
        <f>IF($A2639="","",TRIM(IF(ISERROR(FIND(",",$C2639)),$C2639,LEFT($C2639,FIND(",",$C2639)-1))))</f>
        <v/>
      </c>
      <c r="M2639" s="28">
        <f>IF($H2639="","",DATE(YEAR($H2639),MONTH($H2639),1))</f>
        <v/>
      </c>
      <c r="N2639" s="26">
        <f>IF($H2639="","",TODAY()-$H2639)</f>
        <v/>
      </c>
      <c r="O2639" s="15" t="n"/>
      <c r="P2639" s="26">
        <f>IF($A2639="","",COUNTIFS('Audit Versions'!$A$6:$A$605,$A2639,'Audit Versions'!$L$6:$L$605,"Active"))</f>
        <v/>
      </c>
      <c r="Q2639" s="15" t="n"/>
      <c r="R2639" s="26">
        <f>IF(OR($A2639="",$P2639=0),"",MOD(N($Q2639),$P2639)+1)</f>
        <v/>
      </c>
      <c r="S2639" s="15" t="n"/>
      <c r="T2639" s="25" t="n"/>
      <c r="U2639" s="26">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Builder'!$B$12="",N($S2639)&lt;='Assignment Builder'!$B$12)))</f>
        <v/>
      </c>
      <c r="V2639" s="23" t="n"/>
    </row>
    <row r="2640">
      <c r="A2640" s="23" t="n"/>
      <c r="B2640" s="23" t="n"/>
      <c r="C2640" s="24" t="n"/>
      <c r="D2640" s="15" t="n"/>
      <c r="E2640" s="23" t="n"/>
      <c r="F2640" s="15" t="n"/>
      <c r="G2640" s="23" t="n"/>
      <c r="H2640" s="25" t="n"/>
      <c r="I2640" s="15" t="n"/>
      <c r="J2640" s="26">
        <f>IF($A2640="","",LEN($C2640)-LEN(SUBSTITUTE($C2640,",",""))+1)</f>
        <v/>
      </c>
      <c r="K2640" s="26">
        <f>IF($A2640="","",SUMPRODUCT(--ISNUMBER(SEARCH('Category Dictionary'!$D$5:$D$135&amp;"",$C2640)),--('Category Dictionary'!$D$5:$D$135&lt;&gt;"")))</f>
        <v/>
      </c>
      <c r="L2640" s="27">
        <f>IF($A2640="","",TRIM(IF(ISERROR(FIND(",",$C2640)),$C2640,LEFT($C2640,FIND(",",$C2640)-1))))</f>
        <v/>
      </c>
      <c r="M2640" s="28">
        <f>IF($H2640="","",DATE(YEAR($H2640),MONTH($H2640),1))</f>
        <v/>
      </c>
      <c r="N2640" s="26">
        <f>IF($H2640="","",TODAY()-$H2640)</f>
        <v/>
      </c>
      <c r="O2640" s="15" t="n"/>
      <c r="P2640" s="26">
        <f>IF($A2640="","",COUNTIFS('Audit Versions'!$A$6:$A$605,$A2640,'Audit Versions'!$L$6:$L$605,"Active"))</f>
        <v/>
      </c>
      <c r="Q2640" s="15" t="n"/>
      <c r="R2640" s="26">
        <f>IF(OR($A2640="",$P2640=0),"",MOD(N($Q2640),$P2640)+1)</f>
        <v/>
      </c>
      <c r="S2640" s="15" t="n"/>
      <c r="T2640" s="25" t="n"/>
      <c r="U2640" s="26">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Builder'!$B$12="",N($S2640)&lt;='Assignment Builder'!$B$12)))</f>
        <v/>
      </c>
      <c r="V2640" s="23" t="n"/>
    </row>
    <row r="2641">
      <c r="A2641" s="23" t="n"/>
      <c r="B2641" s="23" t="n"/>
      <c r="C2641" s="24" t="n"/>
      <c r="D2641" s="15" t="n"/>
      <c r="E2641" s="23" t="n"/>
      <c r="F2641" s="15" t="n"/>
      <c r="G2641" s="23" t="n"/>
      <c r="H2641" s="25" t="n"/>
      <c r="I2641" s="15" t="n"/>
      <c r="J2641" s="26">
        <f>IF($A2641="","",LEN($C2641)-LEN(SUBSTITUTE($C2641,",",""))+1)</f>
        <v/>
      </c>
      <c r="K2641" s="26">
        <f>IF($A2641="","",SUMPRODUCT(--ISNUMBER(SEARCH('Category Dictionary'!$D$5:$D$135&amp;"",$C2641)),--('Category Dictionary'!$D$5:$D$135&lt;&gt;"")))</f>
        <v/>
      </c>
      <c r="L2641" s="27">
        <f>IF($A2641="","",TRIM(IF(ISERROR(FIND(",",$C2641)),$C2641,LEFT($C2641,FIND(",",$C2641)-1))))</f>
        <v/>
      </c>
      <c r="M2641" s="28">
        <f>IF($H2641="","",DATE(YEAR($H2641),MONTH($H2641),1))</f>
        <v/>
      </c>
      <c r="N2641" s="26">
        <f>IF($H2641="","",TODAY()-$H2641)</f>
        <v/>
      </c>
      <c r="O2641" s="15" t="n"/>
      <c r="P2641" s="26">
        <f>IF($A2641="","",COUNTIFS('Audit Versions'!$A$6:$A$605,$A2641,'Audit Versions'!$L$6:$L$605,"Active"))</f>
        <v/>
      </c>
      <c r="Q2641" s="15" t="n"/>
      <c r="R2641" s="26">
        <f>IF(OR($A2641="",$P2641=0),"",MOD(N($Q2641),$P2641)+1)</f>
        <v/>
      </c>
      <c r="S2641" s="15" t="n"/>
      <c r="T2641" s="25" t="n"/>
      <c r="U2641" s="26">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Builder'!$B$12="",N($S2641)&lt;='Assignment Builder'!$B$12)))</f>
        <v/>
      </c>
      <c r="V2641" s="23" t="n"/>
    </row>
    <row r="2642">
      <c r="A2642" s="23" t="n"/>
      <c r="B2642" s="23" t="n"/>
      <c r="C2642" s="24" t="n"/>
      <c r="D2642" s="15" t="n"/>
      <c r="E2642" s="23" t="n"/>
      <c r="F2642" s="15" t="n"/>
      <c r="G2642" s="23" t="n"/>
      <c r="H2642" s="25" t="n"/>
      <c r="I2642" s="15" t="n"/>
      <c r="J2642" s="26">
        <f>IF($A2642="","",LEN($C2642)-LEN(SUBSTITUTE($C2642,",",""))+1)</f>
        <v/>
      </c>
      <c r="K2642" s="26">
        <f>IF($A2642="","",SUMPRODUCT(--ISNUMBER(SEARCH('Category Dictionary'!$D$5:$D$135&amp;"",$C2642)),--('Category Dictionary'!$D$5:$D$135&lt;&gt;"")))</f>
        <v/>
      </c>
      <c r="L2642" s="27">
        <f>IF($A2642="","",TRIM(IF(ISERROR(FIND(",",$C2642)),$C2642,LEFT($C2642,FIND(",",$C2642)-1))))</f>
        <v/>
      </c>
      <c r="M2642" s="28">
        <f>IF($H2642="","",DATE(YEAR($H2642),MONTH($H2642),1))</f>
        <v/>
      </c>
      <c r="N2642" s="26">
        <f>IF($H2642="","",TODAY()-$H2642)</f>
        <v/>
      </c>
      <c r="O2642" s="15" t="n"/>
      <c r="P2642" s="26">
        <f>IF($A2642="","",COUNTIFS('Audit Versions'!$A$6:$A$605,$A2642,'Audit Versions'!$L$6:$L$605,"Active"))</f>
        <v/>
      </c>
      <c r="Q2642" s="15" t="n"/>
      <c r="R2642" s="26">
        <f>IF(OR($A2642="",$P2642=0),"",MOD(N($Q2642),$P2642)+1)</f>
        <v/>
      </c>
      <c r="S2642" s="15" t="n"/>
      <c r="T2642" s="25" t="n"/>
      <c r="U2642" s="26">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Builder'!$B$12="",N($S2642)&lt;='Assignment Builder'!$B$12)))</f>
        <v/>
      </c>
      <c r="V2642" s="23" t="n"/>
    </row>
    <row r="2643">
      <c r="A2643" s="23" t="n"/>
      <c r="B2643" s="23" t="n"/>
      <c r="C2643" s="24" t="n"/>
      <c r="D2643" s="15" t="n"/>
      <c r="E2643" s="23" t="n"/>
      <c r="F2643" s="15" t="n"/>
      <c r="G2643" s="23" t="n"/>
      <c r="H2643" s="25" t="n"/>
      <c r="I2643" s="15" t="n"/>
      <c r="J2643" s="26">
        <f>IF($A2643="","",LEN($C2643)-LEN(SUBSTITUTE($C2643,",",""))+1)</f>
        <v/>
      </c>
      <c r="K2643" s="26">
        <f>IF($A2643="","",SUMPRODUCT(--ISNUMBER(SEARCH('Category Dictionary'!$D$5:$D$135&amp;"",$C2643)),--('Category Dictionary'!$D$5:$D$135&lt;&gt;"")))</f>
        <v/>
      </c>
      <c r="L2643" s="27">
        <f>IF($A2643="","",TRIM(IF(ISERROR(FIND(",",$C2643)),$C2643,LEFT($C2643,FIND(",",$C2643)-1))))</f>
        <v/>
      </c>
      <c r="M2643" s="28">
        <f>IF($H2643="","",DATE(YEAR($H2643),MONTH($H2643),1))</f>
        <v/>
      </c>
      <c r="N2643" s="26">
        <f>IF($H2643="","",TODAY()-$H2643)</f>
        <v/>
      </c>
      <c r="O2643" s="15" t="n"/>
      <c r="P2643" s="26">
        <f>IF($A2643="","",COUNTIFS('Audit Versions'!$A$6:$A$605,$A2643,'Audit Versions'!$L$6:$L$605,"Active"))</f>
        <v/>
      </c>
      <c r="Q2643" s="15" t="n"/>
      <c r="R2643" s="26">
        <f>IF(OR($A2643="",$P2643=0),"",MOD(N($Q2643),$P2643)+1)</f>
        <v/>
      </c>
      <c r="S2643" s="15" t="n"/>
      <c r="T2643" s="25" t="n"/>
      <c r="U2643" s="26">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Builder'!$B$12="",N($S2643)&lt;='Assignment Builder'!$B$12)))</f>
        <v/>
      </c>
      <c r="V2643" s="23" t="n"/>
    </row>
    <row r="2644">
      <c r="A2644" s="23" t="n"/>
      <c r="B2644" s="23" t="n"/>
      <c r="C2644" s="24" t="n"/>
      <c r="D2644" s="15" t="n"/>
      <c r="E2644" s="23" t="n"/>
      <c r="F2644" s="15" t="n"/>
      <c r="G2644" s="23" t="n"/>
      <c r="H2644" s="25" t="n"/>
      <c r="I2644" s="15" t="n"/>
      <c r="J2644" s="26">
        <f>IF($A2644="","",LEN($C2644)-LEN(SUBSTITUTE($C2644,",",""))+1)</f>
        <v/>
      </c>
      <c r="K2644" s="26">
        <f>IF($A2644="","",SUMPRODUCT(--ISNUMBER(SEARCH('Category Dictionary'!$D$5:$D$135&amp;"",$C2644)),--('Category Dictionary'!$D$5:$D$135&lt;&gt;"")))</f>
        <v/>
      </c>
      <c r="L2644" s="27">
        <f>IF($A2644="","",TRIM(IF(ISERROR(FIND(",",$C2644)),$C2644,LEFT($C2644,FIND(",",$C2644)-1))))</f>
        <v/>
      </c>
      <c r="M2644" s="28">
        <f>IF($H2644="","",DATE(YEAR($H2644),MONTH($H2644),1))</f>
        <v/>
      </c>
      <c r="N2644" s="26">
        <f>IF($H2644="","",TODAY()-$H2644)</f>
        <v/>
      </c>
      <c r="O2644" s="15" t="n"/>
      <c r="P2644" s="26">
        <f>IF($A2644="","",COUNTIFS('Audit Versions'!$A$6:$A$605,$A2644,'Audit Versions'!$L$6:$L$605,"Active"))</f>
        <v/>
      </c>
      <c r="Q2644" s="15" t="n"/>
      <c r="R2644" s="26">
        <f>IF(OR($A2644="",$P2644=0),"",MOD(N($Q2644),$P2644)+1)</f>
        <v/>
      </c>
      <c r="S2644" s="15" t="n"/>
      <c r="T2644" s="25" t="n"/>
      <c r="U2644" s="26">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Builder'!$B$12="",N($S2644)&lt;='Assignment Builder'!$B$12)))</f>
        <v/>
      </c>
      <c r="V2644" s="23" t="n"/>
    </row>
    <row r="2645">
      <c r="A2645" s="23" t="n"/>
      <c r="B2645" s="23" t="n"/>
      <c r="C2645" s="24" t="n"/>
      <c r="D2645" s="15" t="n"/>
      <c r="E2645" s="23" t="n"/>
      <c r="F2645" s="15" t="n"/>
      <c r="G2645" s="23" t="n"/>
      <c r="H2645" s="25" t="n"/>
      <c r="I2645" s="15" t="n"/>
      <c r="J2645" s="26">
        <f>IF($A2645="","",LEN($C2645)-LEN(SUBSTITUTE($C2645,",",""))+1)</f>
        <v/>
      </c>
      <c r="K2645" s="26">
        <f>IF($A2645="","",SUMPRODUCT(--ISNUMBER(SEARCH('Category Dictionary'!$D$5:$D$135&amp;"",$C2645)),--('Category Dictionary'!$D$5:$D$135&lt;&gt;"")))</f>
        <v/>
      </c>
      <c r="L2645" s="27">
        <f>IF($A2645="","",TRIM(IF(ISERROR(FIND(",",$C2645)),$C2645,LEFT($C2645,FIND(",",$C2645)-1))))</f>
        <v/>
      </c>
      <c r="M2645" s="28">
        <f>IF($H2645="","",DATE(YEAR($H2645),MONTH($H2645),1))</f>
        <v/>
      </c>
      <c r="N2645" s="26">
        <f>IF($H2645="","",TODAY()-$H2645)</f>
        <v/>
      </c>
      <c r="O2645" s="15" t="n"/>
      <c r="P2645" s="26">
        <f>IF($A2645="","",COUNTIFS('Audit Versions'!$A$6:$A$605,$A2645,'Audit Versions'!$L$6:$L$605,"Active"))</f>
        <v/>
      </c>
      <c r="Q2645" s="15" t="n"/>
      <c r="R2645" s="26">
        <f>IF(OR($A2645="",$P2645=0),"",MOD(N($Q2645),$P2645)+1)</f>
        <v/>
      </c>
      <c r="S2645" s="15" t="n"/>
      <c r="T2645" s="25" t="n"/>
      <c r="U2645" s="26">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Builder'!$B$12="",N($S2645)&lt;='Assignment Builder'!$B$12)))</f>
        <v/>
      </c>
      <c r="V2645" s="23" t="n"/>
    </row>
    <row r="2646">
      <c r="A2646" s="23" t="n"/>
      <c r="B2646" s="23" t="n"/>
      <c r="C2646" s="24" t="n"/>
      <c r="D2646" s="15" t="n"/>
      <c r="E2646" s="23" t="n"/>
      <c r="F2646" s="15" t="n"/>
      <c r="G2646" s="23" t="n"/>
      <c r="H2646" s="25" t="n"/>
      <c r="I2646" s="15" t="n"/>
      <c r="J2646" s="26">
        <f>IF($A2646="","",LEN($C2646)-LEN(SUBSTITUTE($C2646,",",""))+1)</f>
        <v/>
      </c>
      <c r="K2646" s="26">
        <f>IF($A2646="","",SUMPRODUCT(--ISNUMBER(SEARCH('Category Dictionary'!$D$5:$D$135&amp;"",$C2646)),--('Category Dictionary'!$D$5:$D$135&lt;&gt;"")))</f>
        <v/>
      </c>
      <c r="L2646" s="27">
        <f>IF($A2646="","",TRIM(IF(ISERROR(FIND(",",$C2646)),$C2646,LEFT($C2646,FIND(",",$C2646)-1))))</f>
        <v/>
      </c>
      <c r="M2646" s="28">
        <f>IF($H2646="","",DATE(YEAR($H2646),MONTH($H2646),1))</f>
        <v/>
      </c>
      <c r="N2646" s="26">
        <f>IF($H2646="","",TODAY()-$H2646)</f>
        <v/>
      </c>
      <c r="O2646" s="15" t="n"/>
      <c r="P2646" s="26">
        <f>IF($A2646="","",COUNTIFS('Audit Versions'!$A$6:$A$605,$A2646,'Audit Versions'!$L$6:$L$605,"Active"))</f>
        <v/>
      </c>
      <c r="Q2646" s="15" t="n"/>
      <c r="R2646" s="26">
        <f>IF(OR($A2646="",$P2646=0),"",MOD(N($Q2646),$P2646)+1)</f>
        <v/>
      </c>
      <c r="S2646" s="15" t="n"/>
      <c r="T2646" s="25" t="n"/>
      <c r="U2646" s="26">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Builder'!$B$12="",N($S2646)&lt;='Assignment Builder'!$B$12)))</f>
        <v/>
      </c>
      <c r="V2646" s="23" t="n"/>
    </row>
    <row r="2647">
      <c r="A2647" s="23" t="n"/>
      <c r="B2647" s="23" t="n"/>
      <c r="C2647" s="24" t="n"/>
      <c r="D2647" s="15" t="n"/>
      <c r="E2647" s="23" t="n"/>
      <c r="F2647" s="15" t="n"/>
      <c r="G2647" s="23" t="n"/>
      <c r="H2647" s="25" t="n"/>
      <c r="I2647" s="15" t="n"/>
      <c r="J2647" s="26">
        <f>IF($A2647="","",LEN($C2647)-LEN(SUBSTITUTE($C2647,",",""))+1)</f>
        <v/>
      </c>
      <c r="K2647" s="26">
        <f>IF($A2647="","",SUMPRODUCT(--ISNUMBER(SEARCH('Category Dictionary'!$D$5:$D$135&amp;"",$C2647)),--('Category Dictionary'!$D$5:$D$135&lt;&gt;"")))</f>
        <v/>
      </c>
      <c r="L2647" s="27">
        <f>IF($A2647="","",TRIM(IF(ISERROR(FIND(",",$C2647)),$C2647,LEFT($C2647,FIND(",",$C2647)-1))))</f>
        <v/>
      </c>
      <c r="M2647" s="28">
        <f>IF($H2647="","",DATE(YEAR($H2647),MONTH($H2647),1))</f>
        <v/>
      </c>
      <c r="N2647" s="26">
        <f>IF($H2647="","",TODAY()-$H2647)</f>
        <v/>
      </c>
      <c r="O2647" s="15" t="n"/>
      <c r="P2647" s="26">
        <f>IF($A2647="","",COUNTIFS('Audit Versions'!$A$6:$A$605,$A2647,'Audit Versions'!$L$6:$L$605,"Active"))</f>
        <v/>
      </c>
      <c r="Q2647" s="15" t="n"/>
      <c r="R2647" s="26">
        <f>IF(OR($A2647="",$P2647=0),"",MOD(N($Q2647),$P2647)+1)</f>
        <v/>
      </c>
      <c r="S2647" s="15" t="n"/>
      <c r="T2647" s="25" t="n"/>
      <c r="U2647" s="26">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Builder'!$B$12="",N($S2647)&lt;='Assignment Builder'!$B$12)))</f>
        <v/>
      </c>
      <c r="V2647" s="23" t="n"/>
    </row>
    <row r="2648">
      <c r="A2648" s="23" t="n"/>
      <c r="B2648" s="23" t="n"/>
      <c r="C2648" s="24" t="n"/>
      <c r="D2648" s="15" t="n"/>
      <c r="E2648" s="23" t="n"/>
      <c r="F2648" s="15" t="n"/>
      <c r="G2648" s="23" t="n"/>
      <c r="H2648" s="25" t="n"/>
      <c r="I2648" s="15" t="n"/>
      <c r="J2648" s="26">
        <f>IF($A2648="","",LEN($C2648)-LEN(SUBSTITUTE($C2648,",",""))+1)</f>
        <v/>
      </c>
      <c r="K2648" s="26">
        <f>IF($A2648="","",SUMPRODUCT(--ISNUMBER(SEARCH('Category Dictionary'!$D$5:$D$135&amp;"",$C2648)),--('Category Dictionary'!$D$5:$D$135&lt;&gt;"")))</f>
        <v/>
      </c>
      <c r="L2648" s="27">
        <f>IF($A2648="","",TRIM(IF(ISERROR(FIND(",",$C2648)),$C2648,LEFT($C2648,FIND(",",$C2648)-1))))</f>
        <v/>
      </c>
      <c r="M2648" s="28">
        <f>IF($H2648="","",DATE(YEAR($H2648),MONTH($H2648),1))</f>
        <v/>
      </c>
      <c r="N2648" s="26">
        <f>IF($H2648="","",TODAY()-$H2648)</f>
        <v/>
      </c>
      <c r="O2648" s="15" t="n"/>
      <c r="P2648" s="26">
        <f>IF($A2648="","",COUNTIFS('Audit Versions'!$A$6:$A$605,$A2648,'Audit Versions'!$L$6:$L$605,"Active"))</f>
        <v/>
      </c>
      <c r="Q2648" s="15" t="n"/>
      <c r="R2648" s="26">
        <f>IF(OR($A2648="",$P2648=0),"",MOD(N($Q2648),$P2648)+1)</f>
        <v/>
      </c>
      <c r="S2648" s="15" t="n"/>
      <c r="T2648" s="25" t="n"/>
      <c r="U2648" s="26">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Builder'!$B$12="",N($S2648)&lt;='Assignment Builder'!$B$12)))</f>
        <v/>
      </c>
      <c r="V2648" s="23" t="n"/>
    </row>
    <row r="2649">
      <c r="A2649" s="23" t="n"/>
      <c r="B2649" s="23" t="n"/>
      <c r="C2649" s="24" t="n"/>
      <c r="D2649" s="15" t="n"/>
      <c r="E2649" s="23" t="n"/>
      <c r="F2649" s="15" t="n"/>
      <c r="G2649" s="23" t="n"/>
      <c r="H2649" s="25" t="n"/>
      <c r="I2649" s="15" t="n"/>
      <c r="J2649" s="26">
        <f>IF($A2649="","",LEN($C2649)-LEN(SUBSTITUTE($C2649,",",""))+1)</f>
        <v/>
      </c>
      <c r="K2649" s="26">
        <f>IF($A2649="","",SUMPRODUCT(--ISNUMBER(SEARCH('Category Dictionary'!$D$5:$D$135&amp;"",$C2649)),--('Category Dictionary'!$D$5:$D$135&lt;&gt;"")))</f>
        <v/>
      </c>
      <c r="L2649" s="27">
        <f>IF($A2649="","",TRIM(IF(ISERROR(FIND(",",$C2649)),$C2649,LEFT($C2649,FIND(",",$C2649)-1))))</f>
        <v/>
      </c>
      <c r="M2649" s="28">
        <f>IF($H2649="","",DATE(YEAR($H2649),MONTH($H2649),1))</f>
        <v/>
      </c>
      <c r="N2649" s="26">
        <f>IF($H2649="","",TODAY()-$H2649)</f>
        <v/>
      </c>
      <c r="O2649" s="15" t="n"/>
      <c r="P2649" s="26">
        <f>IF($A2649="","",COUNTIFS('Audit Versions'!$A$6:$A$605,$A2649,'Audit Versions'!$L$6:$L$605,"Active"))</f>
        <v/>
      </c>
      <c r="Q2649" s="15" t="n"/>
      <c r="R2649" s="26">
        <f>IF(OR($A2649="",$P2649=0),"",MOD(N($Q2649),$P2649)+1)</f>
        <v/>
      </c>
      <c r="S2649" s="15" t="n"/>
      <c r="T2649" s="25" t="n"/>
      <c r="U2649" s="26">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Builder'!$B$12="",N($S2649)&lt;='Assignment Builder'!$B$12)))</f>
        <v/>
      </c>
      <c r="V2649" s="23" t="n"/>
    </row>
    <row r="2650">
      <c r="A2650" s="23" t="n"/>
      <c r="B2650" s="23" t="n"/>
      <c r="C2650" s="24" t="n"/>
      <c r="D2650" s="15" t="n"/>
      <c r="E2650" s="23" t="n"/>
      <c r="F2650" s="15" t="n"/>
      <c r="G2650" s="23" t="n"/>
      <c r="H2650" s="25" t="n"/>
      <c r="I2650" s="15" t="n"/>
      <c r="J2650" s="26">
        <f>IF($A2650="","",LEN($C2650)-LEN(SUBSTITUTE($C2650,",",""))+1)</f>
        <v/>
      </c>
      <c r="K2650" s="26">
        <f>IF($A2650="","",SUMPRODUCT(--ISNUMBER(SEARCH('Category Dictionary'!$D$5:$D$135&amp;"",$C2650)),--('Category Dictionary'!$D$5:$D$135&lt;&gt;"")))</f>
        <v/>
      </c>
      <c r="L2650" s="27">
        <f>IF($A2650="","",TRIM(IF(ISERROR(FIND(",",$C2650)),$C2650,LEFT($C2650,FIND(",",$C2650)-1))))</f>
        <v/>
      </c>
      <c r="M2650" s="28">
        <f>IF($H2650="","",DATE(YEAR($H2650),MONTH($H2650),1))</f>
        <v/>
      </c>
      <c r="N2650" s="26">
        <f>IF($H2650="","",TODAY()-$H2650)</f>
        <v/>
      </c>
      <c r="O2650" s="15" t="n"/>
      <c r="P2650" s="26">
        <f>IF($A2650="","",COUNTIFS('Audit Versions'!$A$6:$A$605,$A2650,'Audit Versions'!$L$6:$L$605,"Active"))</f>
        <v/>
      </c>
      <c r="Q2650" s="15" t="n"/>
      <c r="R2650" s="26">
        <f>IF(OR($A2650="",$P2650=0),"",MOD(N($Q2650),$P2650)+1)</f>
        <v/>
      </c>
      <c r="S2650" s="15" t="n"/>
      <c r="T2650" s="25" t="n"/>
      <c r="U2650" s="26">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Builder'!$B$12="",N($S2650)&lt;='Assignment Builder'!$B$12)))</f>
        <v/>
      </c>
      <c r="V2650" s="23" t="n"/>
    </row>
    <row r="2651">
      <c r="A2651" s="23" t="n"/>
      <c r="B2651" s="23" t="n"/>
      <c r="C2651" s="24" t="n"/>
      <c r="D2651" s="15" t="n"/>
      <c r="E2651" s="23" t="n"/>
      <c r="F2651" s="15" t="n"/>
      <c r="G2651" s="23" t="n"/>
      <c r="H2651" s="25" t="n"/>
      <c r="I2651" s="15" t="n"/>
      <c r="J2651" s="26">
        <f>IF($A2651="","",LEN($C2651)-LEN(SUBSTITUTE($C2651,",",""))+1)</f>
        <v/>
      </c>
      <c r="K2651" s="26">
        <f>IF($A2651="","",SUMPRODUCT(--ISNUMBER(SEARCH('Category Dictionary'!$D$5:$D$135&amp;"",$C2651)),--('Category Dictionary'!$D$5:$D$135&lt;&gt;"")))</f>
        <v/>
      </c>
      <c r="L2651" s="27">
        <f>IF($A2651="","",TRIM(IF(ISERROR(FIND(",",$C2651)),$C2651,LEFT($C2651,FIND(",",$C2651)-1))))</f>
        <v/>
      </c>
      <c r="M2651" s="28">
        <f>IF($H2651="","",DATE(YEAR($H2651),MONTH($H2651),1))</f>
        <v/>
      </c>
      <c r="N2651" s="26">
        <f>IF($H2651="","",TODAY()-$H2651)</f>
        <v/>
      </c>
      <c r="O2651" s="15" t="n"/>
      <c r="P2651" s="26">
        <f>IF($A2651="","",COUNTIFS('Audit Versions'!$A$6:$A$605,$A2651,'Audit Versions'!$L$6:$L$605,"Active"))</f>
        <v/>
      </c>
      <c r="Q2651" s="15" t="n"/>
      <c r="R2651" s="26">
        <f>IF(OR($A2651="",$P2651=0),"",MOD(N($Q2651),$P2651)+1)</f>
        <v/>
      </c>
      <c r="S2651" s="15" t="n"/>
      <c r="T2651" s="25" t="n"/>
      <c r="U2651" s="26">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Builder'!$B$12="",N($S2651)&lt;='Assignment Builder'!$B$12)))</f>
        <v/>
      </c>
      <c r="V2651" s="23" t="n"/>
    </row>
    <row r="2652">
      <c r="A2652" s="23" t="n"/>
      <c r="B2652" s="23" t="n"/>
      <c r="C2652" s="24" t="n"/>
      <c r="D2652" s="15" t="n"/>
      <c r="E2652" s="23" t="n"/>
      <c r="F2652" s="15" t="n"/>
      <c r="G2652" s="23" t="n"/>
      <c r="H2652" s="25" t="n"/>
      <c r="I2652" s="15" t="n"/>
      <c r="J2652" s="26">
        <f>IF($A2652="","",LEN($C2652)-LEN(SUBSTITUTE($C2652,",",""))+1)</f>
        <v/>
      </c>
      <c r="K2652" s="26">
        <f>IF($A2652="","",SUMPRODUCT(--ISNUMBER(SEARCH('Category Dictionary'!$D$5:$D$135&amp;"",$C2652)),--('Category Dictionary'!$D$5:$D$135&lt;&gt;"")))</f>
        <v/>
      </c>
      <c r="L2652" s="27">
        <f>IF($A2652="","",TRIM(IF(ISERROR(FIND(",",$C2652)),$C2652,LEFT($C2652,FIND(",",$C2652)-1))))</f>
        <v/>
      </c>
      <c r="M2652" s="28">
        <f>IF($H2652="","",DATE(YEAR($H2652),MONTH($H2652),1))</f>
        <v/>
      </c>
      <c r="N2652" s="26">
        <f>IF($H2652="","",TODAY()-$H2652)</f>
        <v/>
      </c>
      <c r="O2652" s="15" t="n"/>
      <c r="P2652" s="26">
        <f>IF($A2652="","",COUNTIFS('Audit Versions'!$A$6:$A$605,$A2652,'Audit Versions'!$L$6:$L$605,"Active"))</f>
        <v/>
      </c>
      <c r="Q2652" s="15" t="n"/>
      <c r="R2652" s="26">
        <f>IF(OR($A2652="",$P2652=0),"",MOD(N($Q2652),$P2652)+1)</f>
        <v/>
      </c>
      <c r="S2652" s="15" t="n"/>
      <c r="T2652" s="25" t="n"/>
      <c r="U2652" s="26">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Builder'!$B$12="",N($S2652)&lt;='Assignment Builder'!$B$12)))</f>
        <v/>
      </c>
      <c r="V2652" s="23" t="n"/>
    </row>
    <row r="2653">
      <c r="A2653" s="23" t="n"/>
      <c r="B2653" s="23" t="n"/>
      <c r="C2653" s="24" t="n"/>
      <c r="D2653" s="15" t="n"/>
      <c r="E2653" s="23" t="n"/>
      <c r="F2653" s="15" t="n"/>
      <c r="G2653" s="23" t="n"/>
      <c r="H2653" s="25" t="n"/>
      <c r="I2653" s="15" t="n"/>
      <c r="J2653" s="26">
        <f>IF($A2653="","",LEN($C2653)-LEN(SUBSTITUTE($C2653,",",""))+1)</f>
        <v/>
      </c>
      <c r="K2653" s="26">
        <f>IF($A2653="","",SUMPRODUCT(--ISNUMBER(SEARCH('Category Dictionary'!$D$5:$D$135&amp;"",$C2653)),--('Category Dictionary'!$D$5:$D$135&lt;&gt;"")))</f>
        <v/>
      </c>
      <c r="L2653" s="27">
        <f>IF($A2653="","",TRIM(IF(ISERROR(FIND(",",$C2653)),$C2653,LEFT($C2653,FIND(",",$C2653)-1))))</f>
        <v/>
      </c>
      <c r="M2653" s="28">
        <f>IF($H2653="","",DATE(YEAR($H2653),MONTH($H2653),1))</f>
        <v/>
      </c>
      <c r="N2653" s="26">
        <f>IF($H2653="","",TODAY()-$H2653)</f>
        <v/>
      </c>
      <c r="O2653" s="15" t="n"/>
      <c r="P2653" s="26">
        <f>IF($A2653="","",COUNTIFS('Audit Versions'!$A$6:$A$605,$A2653,'Audit Versions'!$L$6:$L$605,"Active"))</f>
        <v/>
      </c>
      <c r="Q2653" s="15" t="n"/>
      <c r="R2653" s="26">
        <f>IF(OR($A2653="",$P2653=0),"",MOD(N($Q2653),$P2653)+1)</f>
        <v/>
      </c>
      <c r="S2653" s="15" t="n"/>
      <c r="T2653" s="25" t="n"/>
      <c r="U2653" s="26">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Builder'!$B$12="",N($S2653)&lt;='Assignment Builder'!$B$12)))</f>
        <v/>
      </c>
      <c r="V2653" s="23" t="n"/>
    </row>
    <row r="2654">
      <c r="A2654" s="23" t="n"/>
      <c r="B2654" s="23" t="n"/>
      <c r="C2654" s="24" t="n"/>
      <c r="D2654" s="15" t="n"/>
      <c r="E2654" s="23" t="n"/>
      <c r="F2654" s="15" t="n"/>
      <c r="G2654" s="23" t="n"/>
      <c r="H2654" s="25" t="n"/>
      <c r="I2654" s="15" t="n"/>
      <c r="J2654" s="26">
        <f>IF($A2654="","",LEN($C2654)-LEN(SUBSTITUTE($C2654,",",""))+1)</f>
        <v/>
      </c>
      <c r="K2654" s="26">
        <f>IF($A2654="","",SUMPRODUCT(--ISNUMBER(SEARCH('Category Dictionary'!$D$5:$D$135&amp;"",$C2654)),--('Category Dictionary'!$D$5:$D$135&lt;&gt;"")))</f>
        <v/>
      </c>
      <c r="L2654" s="27">
        <f>IF($A2654="","",TRIM(IF(ISERROR(FIND(",",$C2654)),$C2654,LEFT($C2654,FIND(",",$C2654)-1))))</f>
        <v/>
      </c>
      <c r="M2654" s="28">
        <f>IF($H2654="","",DATE(YEAR($H2654),MONTH($H2654),1))</f>
        <v/>
      </c>
      <c r="N2654" s="26">
        <f>IF($H2654="","",TODAY()-$H2654)</f>
        <v/>
      </c>
      <c r="O2654" s="15" t="n"/>
      <c r="P2654" s="26">
        <f>IF($A2654="","",COUNTIFS('Audit Versions'!$A$6:$A$605,$A2654,'Audit Versions'!$L$6:$L$605,"Active"))</f>
        <v/>
      </c>
      <c r="Q2654" s="15" t="n"/>
      <c r="R2654" s="26">
        <f>IF(OR($A2654="",$P2654=0),"",MOD(N($Q2654),$P2654)+1)</f>
        <v/>
      </c>
      <c r="S2654" s="15" t="n"/>
      <c r="T2654" s="25" t="n"/>
      <c r="U2654" s="26">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Builder'!$B$12="",N($S2654)&lt;='Assignment Builder'!$B$12)))</f>
        <v/>
      </c>
      <c r="V2654" s="23" t="n"/>
    </row>
    <row r="2655">
      <c r="A2655" s="23" t="n"/>
      <c r="B2655" s="23" t="n"/>
      <c r="C2655" s="24" t="n"/>
      <c r="D2655" s="15" t="n"/>
      <c r="E2655" s="23" t="n"/>
      <c r="F2655" s="15" t="n"/>
      <c r="G2655" s="23" t="n"/>
      <c r="H2655" s="25" t="n"/>
      <c r="I2655" s="15" t="n"/>
      <c r="J2655" s="26">
        <f>IF($A2655="","",LEN($C2655)-LEN(SUBSTITUTE($C2655,",",""))+1)</f>
        <v/>
      </c>
      <c r="K2655" s="26">
        <f>IF($A2655="","",SUMPRODUCT(--ISNUMBER(SEARCH('Category Dictionary'!$D$5:$D$135&amp;"",$C2655)),--('Category Dictionary'!$D$5:$D$135&lt;&gt;"")))</f>
        <v/>
      </c>
      <c r="L2655" s="27">
        <f>IF($A2655="","",TRIM(IF(ISERROR(FIND(",",$C2655)),$C2655,LEFT($C2655,FIND(",",$C2655)-1))))</f>
        <v/>
      </c>
      <c r="M2655" s="28">
        <f>IF($H2655="","",DATE(YEAR($H2655),MONTH($H2655),1))</f>
        <v/>
      </c>
      <c r="N2655" s="26">
        <f>IF($H2655="","",TODAY()-$H2655)</f>
        <v/>
      </c>
      <c r="O2655" s="15" t="n"/>
      <c r="P2655" s="26">
        <f>IF($A2655="","",COUNTIFS('Audit Versions'!$A$6:$A$605,$A2655,'Audit Versions'!$L$6:$L$605,"Active"))</f>
        <v/>
      </c>
      <c r="Q2655" s="15" t="n"/>
      <c r="R2655" s="26">
        <f>IF(OR($A2655="",$P2655=0),"",MOD(N($Q2655),$P2655)+1)</f>
        <v/>
      </c>
      <c r="S2655" s="15" t="n"/>
      <c r="T2655" s="25" t="n"/>
      <c r="U2655" s="26">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Builder'!$B$12="",N($S2655)&lt;='Assignment Builder'!$B$12)))</f>
        <v/>
      </c>
      <c r="V2655" s="23" t="n"/>
    </row>
    <row r="2656">
      <c r="A2656" s="23" t="n"/>
      <c r="B2656" s="23" t="n"/>
      <c r="C2656" s="24" t="n"/>
      <c r="D2656" s="15" t="n"/>
      <c r="E2656" s="23" t="n"/>
      <c r="F2656" s="15" t="n"/>
      <c r="G2656" s="23" t="n"/>
      <c r="H2656" s="25" t="n"/>
      <c r="I2656" s="15" t="n"/>
      <c r="J2656" s="26">
        <f>IF($A2656="","",LEN($C2656)-LEN(SUBSTITUTE($C2656,",",""))+1)</f>
        <v/>
      </c>
      <c r="K2656" s="26">
        <f>IF($A2656="","",SUMPRODUCT(--ISNUMBER(SEARCH('Category Dictionary'!$D$5:$D$135&amp;"",$C2656)),--('Category Dictionary'!$D$5:$D$135&lt;&gt;"")))</f>
        <v/>
      </c>
      <c r="L2656" s="27">
        <f>IF($A2656="","",TRIM(IF(ISERROR(FIND(",",$C2656)),$C2656,LEFT($C2656,FIND(",",$C2656)-1))))</f>
        <v/>
      </c>
      <c r="M2656" s="28">
        <f>IF($H2656="","",DATE(YEAR($H2656),MONTH($H2656),1))</f>
        <v/>
      </c>
      <c r="N2656" s="26">
        <f>IF($H2656="","",TODAY()-$H2656)</f>
        <v/>
      </c>
      <c r="O2656" s="15" t="n"/>
      <c r="P2656" s="26">
        <f>IF($A2656="","",COUNTIFS('Audit Versions'!$A$6:$A$605,$A2656,'Audit Versions'!$L$6:$L$605,"Active"))</f>
        <v/>
      </c>
      <c r="Q2656" s="15" t="n"/>
      <c r="R2656" s="26">
        <f>IF(OR($A2656="",$P2656=0),"",MOD(N($Q2656),$P2656)+1)</f>
        <v/>
      </c>
      <c r="S2656" s="15" t="n"/>
      <c r="T2656" s="25" t="n"/>
      <c r="U2656" s="26">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Builder'!$B$12="",N($S2656)&lt;='Assignment Builder'!$B$12)))</f>
        <v/>
      </c>
      <c r="V2656" s="23" t="n"/>
    </row>
    <row r="2657">
      <c r="A2657" s="23" t="n"/>
      <c r="B2657" s="23" t="n"/>
      <c r="C2657" s="24" t="n"/>
      <c r="D2657" s="15" t="n"/>
      <c r="E2657" s="23" t="n"/>
      <c r="F2657" s="15" t="n"/>
      <c r="G2657" s="23" t="n"/>
      <c r="H2657" s="25" t="n"/>
      <c r="I2657" s="15" t="n"/>
      <c r="J2657" s="26">
        <f>IF($A2657="","",LEN($C2657)-LEN(SUBSTITUTE($C2657,",",""))+1)</f>
        <v/>
      </c>
      <c r="K2657" s="26">
        <f>IF($A2657="","",SUMPRODUCT(--ISNUMBER(SEARCH('Category Dictionary'!$D$5:$D$135&amp;"",$C2657)),--('Category Dictionary'!$D$5:$D$135&lt;&gt;"")))</f>
        <v/>
      </c>
      <c r="L2657" s="27">
        <f>IF($A2657="","",TRIM(IF(ISERROR(FIND(",",$C2657)),$C2657,LEFT($C2657,FIND(",",$C2657)-1))))</f>
        <v/>
      </c>
      <c r="M2657" s="28">
        <f>IF($H2657="","",DATE(YEAR($H2657),MONTH($H2657),1))</f>
        <v/>
      </c>
      <c r="N2657" s="26">
        <f>IF($H2657="","",TODAY()-$H2657)</f>
        <v/>
      </c>
      <c r="O2657" s="15" t="n"/>
      <c r="P2657" s="26">
        <f>IF($A2657="","",COUNTIFS('Audit Versions'!$A$6:$A$605,$A2657,'Audit Versions'!$L$6:$L$605,"Active"))</f>
        <v/>
      </c>
      <c r="Q2657" s="15" t="n"/>
      <c r="R2657" s="26">
        <f>IF(OR($A2657="",$P2657=0),"",MOD(N($Q2657),$P2657)+1)</f>
        <v/>
      </c>
      <c r="S2657" s="15" t="n"/>
      <c r="T2657" s="25" t="n"/>
      <c r="U2657" s="26">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Builder'!$B$12="",N($S2657)&lt;='Assignment Builder'!$B$12)))</f>
        <v/>
      </c>
      <c r="V2657" s="23" t="n"/>
    </row>
    <row r="2658">
      <c r="A2658" s="23" t="n"/>
      <c r="B2658" s="23" t="n"/>
      <c r="C2658" s="24" t="n"/>
      <c r="D2658" s="15" t="n"/>
      <c r="E2658" s="23" t="n"/>
      <c r="F2658" s="15" t="n"/>
      <c r="G2658" s="23" t="n"/>
      <c r="H2658" s="25" t="n"/>
      <c r="I2658" s="15" t="n"/>
      <c r="J2658" s="26">
        <f>IF($A2658="","",LEN($C2658)-LEN(SUBSTITUTE($C2658,",",""))+1)</f>
        <v/>
      </c>
      <c r="K2658" s="26">
        <f>IF($A2658="","",SUMPRODUCT(--ISNUMBER(SEARCH('Category Dictionary'!$D$5:$D$135&amp;"",$C2658)),--('Category Dictionary'!$D$5:$D$135&lt;&gt;"")))</f>
        <v/>
      </c>
      <c r="L2658" s="27">
        <f>IF($A2658="","",TRIM(IF(ISERROR(FIND(",",$C2658)),$C2658,LEFT($C2658,FIND(",",$C2658)-1))))</f>
        <v/>
      </c>
      <c r="M2658" s="28">
        <f>IF($H2658="","",DATE(YEAR($H2658),MONTH($H2658),1))</f>
        <v/>
      </c>
      <c r="N2658" s="26">
        <f>IF($H2658="","",TODAY()-$H2658)</f>
        <v/>
      </c>
      <c r="O2658" s="15" t="n"/>
      <c r="P2658" s="26">
        <f>IF($A2658="","",COUNTIFS('Audit Versions'!$A$6:$A$605,$A2658,'Audit Versions'!$L$6:$L$605,"Active"))</f>
        <v/>
      </c>
      <c r="Q2658" s="15" t="n"/>
      <c r="R2658" s="26">
        <f>IF(OR($A2658="",$P2658=0),"",MOD(N($Q2658),$P2658)+1)</f>
        <v/>
      </c>
      <c r="S2658" s="15" t="n"/>
      <c r="T2658" s="25" t="n"/>
      <c r="U2658" s="26">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Builder'!$B$12="",N($S2658)&lt;='Assignment Builder'!$B$12)))</f>
        <v/>
      </c>
      <c r="V2658" s="23" t="n"/>
    </row>
    <row r="2659">
      <c r="A2659" s="23" t="n"/>
      <c r="B2659" s="23" t="n"/>
      <c r="C2659" s="24" t="n"/>
      <c r="D2659" s="15" t="n"/>
      <c r="E2659" s="23" t="n"/>
      <c r="F2659" s="15" t="n"/>
      <c r="G2659" s="23" t="n"/>
      <c r="H2659" s="25" t="n"/>
      <c r="I2659" s="15" t="n"/>
      <c r="J2659" s="26">
        <f>IF($A2659="","",LEN($C2659)-LEN(SUBSTITUTE($C2659,",",""))+1)</f>
        <v/>
      </c>
      <c r="K2659" s="26">
        <f>IF($A2659="","",SUMPRODUCT(--ISNUMBER(SEARCH('Category Dictionary'!$D$5:$D$135&amp;"",$C2659)),--('Category Dictionary'!$D$5:$D$135&lt;&gt;"")))</f>
        <v/>
      </c>
      <c r="L2659" s="27">
        <f>IF($A2659="","",TRIM(IF(ISERROR(FIND(",",$C2659)),$C2659,LEFT($C2659,FIND(",",$C2659)-1))))</f>
        <v/>
      </c>
      <c r="M2659" s="28">
        <f>IF($H2659="","",DATE(YEAR($H2659),MONTH($H2659),1))</f>
        <v/>
      </c>
      <c r="N2659" s="26">
        <f>IF($H2659="","",TODAY()-$H2659)</f>
        <v/>
      </c>
      <c r="O2659" s="15" t="n"/>
      <c r="P2659" s="26">
        <f>IF($A2659="","",COUNTIFS('Audit Versions'!$A$6:$A$605,$A2659,'Audit Versions'!$L$6:$L$605,"Active"))</f>
        <v/>
      </c>
      <c r="Q2659" s="15" t="n"/>
      <c r="R2659" s="26">
        <f>IF(OR($A2659="",$P2659=0),"",MOD(N($Q2659),$P2659)+1)</f>
        <v/>
      </c>
      <c r="S2659" s="15" t="n"/>
      <c r="T2659" s="25" t="n"/>
      <c r="U2659" s="26">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Builder'!$B$12="",N($S2659)&lt;='Assignment Builder'!$B$12)))</f>
        <v/>
      </c>
      <c r="V2659" s="23" t="n"/>
    </row>
    <row r="2660">
      <c r="A2660" s="23" t="n"/>
      <c r="B2660" s="23" t="n"/>
      <c r="C2660" s="24" t="n"/>
      <c r="D2660" s="15" t="n"/>
      <c r="E2660" s="23" t="n"/>
      <c r="F2660" s="15" t="n"/>
      <c r="G2660" s="23" t="n"/>
      <c r="H2660" s="25" t="n"/>
      <c r="I2660" s="15" t="n"/>
      <c r="J2660" s="26">
        <f>IF($A2660="","",LEN($C2660)-LEN(SUBSTITUTE($C2660,",",""))+1)</f>
        <v/>
      </c>
      <c r="K2660" s="26">
        <f>IF($A2660="","",SUMPRODUCT(--ISNUMBER(SEARCH('Category Dictionary'!$D$5:$D$135&amp;"",$C2660)),--('Category Dictionary'!$D$5:$D$135&lt;&gt;"")))</f>
        <v/>
      </c>
      <c r="L2660" s="27">
        <f>IF($A2660="","",TRIM(IF(ISERROR(FIND(",",$C2660)),$C2660,LEFT($C2660,FIND(",",$C2660)-1))))</f>
        <v/>
      </c>
      <c r="M2660" s="28">
        <f>IF($H2660="","",DATE(YEAR($H2660),MONTH($H2660),1))</f>
        <v/>
      </c>
      <c r="N2660" s="26">
        <f>IF($H2660="","",TODAY()-$H2660)</f>
        <v/>
      </c>
      <c r="O2660" s="15" t="n"/>
      <c r="P2660" s="26">
        <f>IF($A2660="","",COUNTIFS('Audit Versions'!$A$6:$A$605,$A2660,'Audit Versions'!$L$6:$L$605,"Active"))</f>
        <v/>
      </c>
      <c r="Q2660" s="15" t="n"/>
      <c r="R2660" s="26">
        <f>IF(OR($A2660="",$P2660=0),"",MOD(N($Q2660),$P2660)+1)</f>
        <v/>
      </c>
      <c r="S2660" s="15" t="n"/>
      <c r="T2660" s="25" t="n"/>
      <c r="U2660" s="26">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Builder'!$B$12="",N($S2660)&lt;='Assignment Builder'!$B$12)))</f>
        <v/>
      </c>
      <c r="V2660" s="23" t="n"/>
    </row>
    <row r="2661">
      <c r="A2661" s="23" t="n"/>
      <c r="B2661" s="23" t="n"/>
      <c r="C2661" s="24" t="n"/>
      <c r="D2661" s="15" t="n"/>
      <c r="E2661" s="23" t="n"/>
      <c r="F2661" s="15" t="n"/>
      <c r="G2661" s="23" t="n"/>
      <c r="H2661" s="25" t="n"/>
      <c r="I2661" s="15" t="n"/>
      <c r="J2661" s="26">
        <f>IF($A2661="","",LEN($C2661)-LEN(SUBSTITUTE($C2661,",",""))+1)</f>
        <v/>
      </c>
      <c r="K2661" s="26">
        <f>IF($A2661="","",SUMPRODUCT(--ISNUMBER(SEARCH('Category Dictionary'!$D$5:$D$135&amp;"",$C2661)),--('Category Dictionary'!$D$5:$D$135&lt;&gt;"")))</f>
        <v/>
      </c>
      <c r="L2661" s="27">
        <f>IF($A2661="","",TRIM(IF(ISERROR(FIND(",",$C2661)),$C2661,LEFT($C2661,FIND(",",$C2661)-1))))</f>
        <v/>
      </c>
      <c r="M2661" s="28">
        <f>IF($H2661="","",DATE(YEAR($H2661),MONTH($H2661),1))</f>
        <v/>
      </c>
      <c r="N2661" s="26">
        <f>IF($H2661="","",TODAY()-$H2661)</f>
        <v/>
      </c>
      <c r="O2661" s="15" t="n"/>
      <c r="P2661" s="26">
        <f>IF($A2661="","",COUNTIFS('Audit Versions'!$A$6:$A$605,$A2661,'Audit Versions'!$L$6:$L$605,"Active"))</f>
        <v/>
      </c>
      <c r="Q2661" s="15" t="n"/>
      <c r="R2661" s="26">
        <f>IF(OR($A2661="",$P2661=0),"",MOD(N($Q2661),$P2661)+1)</f>
        <v/>
      </c>
      <c r="S2661" s="15" t="n"/>
      <c r="T2661" s="25" t="n"/>
      <c r="U2661" s="26">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Builder'!$B$12="",N($S2661)&lt;='Assignment Builder'!$B$12)))</f>
        <v/>
      </c>
      <c r="V2661" s="23" t="n"/>
    </row>
    <row r="2662">
      <c r="A2662" s="23" t="n"/>
      <c r="B2662" s="23" t="n"/>
      <c r="C2662" s="24" t="n"/>
      <c r="D2662" s="15" t="n"/>
      <c r="E2662" s="23" t="n"/>
      <c r="F2662" s="15" t="n"/>
      <c r="G2662" s="23" t="n"/>
      <c r="H2662" s="25" t="n"/>
      <c r="I2662" s="15" t="n"/>
      <c r="J2662" s="26">
        <f>IF($A2662="","",LEN($C2662)-LEN(SUBSTITUTE($C2662,",",""))+1)</f>
        <v/>
      </c>
      <c r="K2662" s="26">
        <f>IF($A2662="","",SUMPRODUCT(--ISNUMBER(SEARCH('Category Dictionary'!$D$5:$D$135&amp;"",$C2662)),--('Category Dictionary'!$D$5:$D$135&lt;&gt;"")))</f>
        <v/>
      </c>
      <c r="L2662" s="27">
        <f>IF($A2662="","",TRIM(IF(ISERROR(FIND(",",$C2662)),$C2662,LEFT($C2662,FIND(",",$C2662)-1))))</f>
        <v/>
      </c>
      <c r="M2662" s="28">
        <f>IF($H2662="","",DATE(YEAR($H2662),MONTH($H2662),1))</f>
        <v/>
      </c>
      <c r="N2662" s="26">
        <f>IF($H2662="","",TODAY()-$H2662)</f>
        <v/>
      </c>
      <c r="O2662" s="15" t="n"/>
      <c r="P2662" s="26">
        <f>IF($A2662="","",COUNTIFS('Audit Versions'!$A$6:$A$605,$A2662,'Audit Versions'!$L$6:$L$605,"Active"))</f>
        <v/>
      </c>
      <c r="Q2662" s="15" t="n"/>
      <c r="R2662" s="26">
        <f>IF(OR($A2662="",$P2662=0),"",MOD(N($Q2662),$P2662)+1)</f>
        <v/>
      </c>
      <c r="S2662" s="15" t="n"/>
      <c r="T2662" s="25" t="n"/>
      <c r="U2662" s="26">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Builder'!$B$12="",N($S2662)&lt;='Assignment Builder'!$B$12)))</f>
        <v/>
      </c>
      <c r="V2662" s="23" t="n"/>
    </row>
    <row r="2663">
      <c r="A2663" s="23" t="n"/>
      <c r="B2663" s="23" t="n"/>
      <c r="C2663" s="24" t="n"/>
      <c r="D2663" s="15" t="n"/>
      <c r="E2663" s="23" t="n"/>
      <c r="F2663" s="15" t="n"/>
      <c r="G2663" s="23" t="n"/>
      <c r="H2663" s="25" t="n"/>
      <c r="I2663" s="15" t="n"/>
      <c r="J2663" s="26">
        <f>IF($A2663="","",LEN($C2663)-LEN(SUBSTITUTE($C2663,",",""))+1)</f>
        <v/>
      </c>
      <c r="K2663" s="26">
        <f>IF($A2663="","",SUMPRODUCT(--ISNUMBER(SEARCH('Category Dictionary'!$D$5:$D$135&amp;"",$C2663)),--('Category Dictionary'!$D$5:$D$135&lt;&gt;"")))</f>
        <v/>
      </c>
      <c r="L2663" s="27">
        <f>IF($A2663="","",TRIM(IF(ISERROR(FIND(",",$C2663)),$C2663,LEFT($C2663,FIND(",",$C2663)-1))))</f>
        <v/>
      </c>
      <c r="M2663" s="28">
        <f>IF($H2663="","",DATE(YEAR($H2663),MONTH($H2663),1))</f>
        <v/>
      </c>
      <c r="N2663" s="26">
        <f>IF($H2663="","",TODAY()-$H2663)</f>
        <v/>
      </c>
      <c r="O2663" s="15" t="n"/>
      <c r="P2663" s="26">
        <f>IF($A2663="","",COUNTIFS('Audit Versions'!$A$6:$A$605,$A2663,'Audit Versions'!$L$6:$L$605,"Active"))</f>
        <v/>
      </c>
      <c r="Q2663" s="15" t="n"/>
      <c r="R2663" s="26">
        <f>IF(OR($A2663="",$P2663=0),"",MOD(N($Q2663),$P2663)+1)</f>
        <v/>
      </c>
      <c r="S2663" s="15" t="n"/>
      <c r="T2663" s="25" t="n"/>
      <c r="U2663" s="26">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Builder'!$B$12="",N($S2663)&lt;='Assignment Builder'!$B$12)))</f>
        <v/>
      </c>
      <c r="V2663" s="23" t="n"/>
    </row>
    <row r="2664">
      <c r="A2664" s="23" t="n"/>
      <c r="B2664" s="23" t="n"/>
      <c r="C2664" s="24" t="n"/>
      <c r="D2664" s="15" t="n"/>
      <c r="E2664" s="23" t="n"/>
      <c r="F2664" s="15" t="n"/>
      <c r="G2664" s="23" t="n"/>
      <c r="H2664" s="25" t="n"/>
      <c r="I2664" s="15" t="n"/>
      <c r="J2664" s="26">
        <f>IF($A2664="","",LEN($C2664)-LEN(SUBSTITUTE($C2664,",",""))+1)</f>
        <v/>
      </c>
      <c r="K2664" s="26">
        <f>IF($A2664="","",SUMPRODUCT(--ISNUMBER(SEARCH('Category Dictionary'!$D$5:$D$135&amp;"",$C2664)),--('Category Dictionary'!$D$5:$D$135&lt;&gt;"")))</f>
        <v/>
      </c>
      <c r="L2664" s="27">
        <f>IF($A2664="","",TRIM(IF(ISERROR(FIND(",",$C2664)),$C2664,LEFT($C2664,FIND(",",$C2664)-1))))</f>
        <v/>
      </c>
      <c r="M2664" s="28">
        <f>IF($H2664="","",DATE(YEAR($H2664),MONTH($H2664),1))</f>
        <v/>
      </c>
      <c r="N2664" s="26">
        <f>IF($H2664="","",TODAY()-$H2664)</f>
        <v/>
      </c>
      <c r="O2664" s="15" t="n"/>
      <c r="P2664" s="26">
        <f>IF($A2664="","",COUNTIFS('Audit Versions'!$A$6:$A$605,$A2664,'Audit Versions'!$L$6:$L$605,"Active"))</f>
        <v/>
      </c>
      <c r="Q2664" s="15" t="n"/>
      <c r="R2664" s="26">
        <f>IF(OR($A2664="",$P2664=0),"",MOD(N($Q2664),$P2664)+1)</f>
        <v/>
      </c>
      <c r="S2664" s="15" t="n"/>
      <c r="T2664" s="25" t="n"/>
      <c r="U2664" s="26">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Builder'!$B$12="",N($S2664)&lt;='Assignment Builder'!$B$12)))</f>
        <v/>
      </c>
      <c r="V2664" s="23" t="n"/>
    </row>
    <row r="2665">
      <c r="A2665" s="23" t="n"/>
      <c r="B2665" s="23" t="n"/>
      <c r="C2665" s="24" t="n"/>
      <c r="D2665" s="15" t="n"/>
      <c r="E2665" s="23" t="n"/>
      <c r="F2665" s="15" t="n"/>
      <c r="G2665" s="23" t="n"/>
      <c r="H2665" s="25" t="n"/>
      <c r="I2665" s="15" t="n"/>
      <c r="J2665" s="26">
        <f>IF($A2665="","",LEN($C2665)-LEN(SUBSTITUTE($C2665,",",""))+1)</f>
        <v/>
      </c>
      <c r="K2665" s="26">
        <f>IF($A2665="","",SUMPRODUCT(--ISNUMBER(SEARCH('Category Dictionary'!$D$5:$D$135&amp;"",$C2665)),--('Category Dictionary'!$D$5:$D$135&lt;&gt;"")))</f>
        <v/>
      </c>
      <c r="L2665" s="27">
        <f>IF($A2665="","",TRIM(IF(ISERROR(FIND(",",$C2665)),$C2665,LEFT($C2665,FIND(",",$C2665)-1))))</f>
        <v/>
      </c>
      <c r="M2665" s="28">
        <f>IF($H2665="","",DATE(YEAR($H2665),MONTH($H2665),1))</f>
        <v/>
      </c>
      <c r="N2665" s="26">
        <f>IF($H2665="","",TODAY()-$H2665)</f>
        <v/>
      </c>
      <c r="O2665" s="15" t="n"/>
      <c r="P2665" s="26">
        <f>IF($A2665="","",COUNTIFS('Audit Versions'!$A$6:$A$605,$A2665,'Audit Versions'!$L$6:$L$605,"Active"))</f>
        <v/>
      </c>
      <c r="Q2665" s="15" t="n"/>
      <c r="R2665" s="26">
        <f>IF(OR($A2665="",$P2665=0),"",MOD(N($Q2665),$P2665)+1)</f>
        <v/>
      </c>
      <c r="S2665" s="15" t="n"/>
      <c r="T2665" s="25" t="n"/>
      <c r="U2665" s="26">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Builder'!$B$12="",N($S2665)&lt;='Assignment Builder'!$B$12)))</f>
        <v/>
      </c>
      <c r="V2665" s="23" t="n"/>
    </row>
    <row r="2666">
      <c r="A2666" s="23" t="n"/>
      <c r="B2666" s="23" t="n"/>
      <c r="C2666" s="24" t="n"/>
      <c r="D2666" s="15" t="n"/>
      <c r="E2666" s="23" t="n"/>
      <c r="F2666" s="15" t="n"/>
      <c r="G2666" s="23" t="n"/>
      <c r="H2666" s="25" t="n"/>
      <c r="I2666" s="15" t="n"/>
      <c r="J2666" s="26">
        <f>IF($A2666="","",LEN($C2666)-LEN(SUBSTITUTE($C2666,",",""))+1)</f>
        <v/>
      </c>
      <c r="K2666" s="26">
        <f>IF($A2666="","",SUMPRODUCT(--ISNUMBER(SEARCH('Category Dictionary'!$D$5:$D$135&amp;"",$C2666)),--('Category Dictionary'!$D$5:$D$135&lt;&gt;"")))</f>
        <v/>
      </c>
      <c r="L2666" s="27">
        <f>IF($A2666="","",TRIM(IF(ISERROR(FIND(",",$C2666)),$C2666,LEFT($C2666,FIND(",",$C2666)-1))))</f>
        <v/>
      </c>
      <c r="M2666" s="28">
        <f>IF($H2666="","",DATE(YEAR($H2666),MONTH($H2666),1))</f>
        <v/>
      </c>
      <c r="N2666" s="26">
        <f>IF($H2666="","",TODAY()-$H2666)</f>
        <v/>
      </c>
      <c r="O2666" s="15" t="n"/>
      <c r="P2666" s="26">
        <f>IF($A2666="","",COUNTIFS('Audit Versions'!$A$6:$A$605,$A2666,'Audit Versions'!$L$6:$L$605,"Active"))</f>
        <v/>
      </c>
      <c r="Q2666" s="15" t="n"/>
      <c r="R2666" s="26">
        <f>IF(OR($A2666="",$P2666=0),"",MOD(N($Q2666),$P2666)+1)</f>
        <v/>
      </c>
      <c r="S2666" s="15" t="n"/>
      <c r="T2666" s="25" t="n"/>
      <c r="U2666" s="26">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Builder'!$B$12="",N($S2666)&lt;='Assignment Builder'!$B$12)))</f>
        <v/>
      </c>
      <c r="V2666" s="23" t="n"/>
    </row>
    <row r="2667">
      <c r="A2667" s="23" t="n"/>
      <c r="B2667" s="23" t="n"/>
      <c r="C2667" s="24" t="n"/>
      <c r="D2667" s="15" t="n"/>
      <c r="E2667" s="23" t="n"/>
      <c r="F2667" s="15" t="n"/>
      <c r="G2667" s="23" t="n"/>
      <c r="H2667" s="25" t="n"/>
      <c r="I2667" s="15" t="n"/>
      <c r="J2667" s="26">
        <f>IF($A2667="","",LEN($C2667)-LEN(SUBSTITUTE($C2667,",",""))+1)</f>
        <v/>
      </c>
      <c r="K2667" s="26">
        <f>IF($A2667="","",SUMPRODUCT(--ISNUMBER(SEARCH('Category Dictionary'!$D$5:$D$135&amp;"",$C2667)),--('Category Dictionary'!$D$5:$D$135&lt;&gt;"")))</f>
        <v/>
      </c>
      <c r="L2667" s="27">
        <f>IF($A2667="","",TRIM(IF(ISERROR(FIND(",",$C2667)),$C2667,LEFT($C2667,FIND(",",$C2667)-1))))</f>
        <v/>
      </c>
      <c r="M2667" s="28">
        <f>IF($H2667="","",DATE(YEAR($H2667),MONTH($H2667),1))</f>
        <v/>
      </c>
      <c r="N2667" s="26">
        <f>IF($H2667="","",TODAY()-$H2667)</f>
        <v/>
      </c>
      <c r="O2667" s="15" t="n"/>
      <c r="P2667" s="26">
        <f>IF($A2667="","",COUNTIFS('Audit Versions'!$A$6:$A$605,$A2667,'Audit Versions'!$L$6:$L$605,"Active"))</f>
        <v/>
      </c>
      <c r="Q2667" s="15" t="n"/>
      <c r="R2667" s="26">
        <f>IF(OR($A2667="",$P2667=0),"",MOD(N($Q2667),$P2667)+1)</f>
        <v/>
      </c>
      <c r="S2667" s="15" t="n"/>
      <c r="T2667" s="25" t="n"/>
      <c r="U2667" s="26">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Builder'!$B$12="",N($S2667)&lt;='Assignment Builder'!$B$12)))</f>
        <v/>
      </c>
      <c r="V2667" s="23" t="n"/>
    </row>
    <row r="2668">
      <c r="A2668" s="23" t="n"/>
      <c r="B2668" s="23" t="n"/>
      <c r="C2668" s="24" t="n"/>
      <c r="D2668" s="15" t="n"/>
      <c r="E2668" s="23" t="n"/>
      <c r="F2668" s="15" t="n"/>
      <c r="G2668" s="23" t="n"/>
      <c r="H2668" s="25" t="n"/>
      <c r="I2668" s="15" t="n"/>
      <c r="J2668" s="26">
        <f>IF($A2668="","",LEN($C2668)-LEN(SUBSTITUTE($C2668,",",""))+1)</f>
        <v/>
      </c>
      <c r="K2668" s="26">
        <f>IF($A2668="","",SUMPRODUCT(--ISNUMBER(SEARCH('Category Dictionary'!$D$5:$D$135&amp;"",$C2668)),--('Category Dictionary'!$D$5:$D$135&lt;&gt;"")))</f>
        <v/>
      </c>
      <c r="L2668" s="27">
        <f>IF($A2668="","",TRIM(IF(ISERROR(FIND(",",$C2668)),$C2668,LEFT($C2668,FIND(",",$C2668)-1))))</f>
        <v/>
      </c>
      <c r="M2668" s="28">
        <f>IF($H2668="","",DATE(YEAR($H2668),MONTH($H2668),1))</f>
        <v/>
      </c>
      <c r="N2668" s="26">
        <f>IF($H2668="","",TODAY()-$H2668)</f>
        <v/>
      </c>
      <c r="O2668" s="15" t="n"/>
      <c r="P2668" s="26">
        <f>IF($A2668="","",COUNTIFS('Audit Versions'!$A$6:$A$605,$A2668,'Audit Versions'!$L$6:$L$605,"Active"))</f>
        <v/>
      </c>
      <c r="Q2668" s="15" t="n"/>
      <c r="R2668" s="26">
        <f>IF(OR($A2668="",$P2668=0),"",MOD(N($Q2668),$P2668)+1)</f>
        <v/>
      </c>
      <c r="S2668" s="15" t="n"/>
      <c r="T2668" s="25" t="n"/>
      <c r="U2668" s="26">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Builder'!$B$12="",N($S2668)&lt;='Assignment Builder'!$B$12)))</f>
        <v/>
      </c>
      <c r="V2668" s="23" t="n"/>
    </row>
    <row r="2669">
      <c r="A2669" s="23" t="n"/>
      <c r="B2669" s="23" t="n"/>
      <c r="C2669" s="24" t="n"/>
      <c r="D2669" s="15" t="n"/>
      <c r="E2669" s="23" t="n"/>
      <c r="F2669" s="15" t="n"/>
      <c r="G2669" s="23" t="n"/>
      <c r="H2669" s="25" t="n"/>
      <c r="I2669" s="15" t="n"/>
      <c r="J2669" s="26">
        <f>IF($A2669="","",LEN($C2669)-LEN(SUBSTITUTE($C2669,",",""))+1)</f>
        <v/>
      </c>
      <c r="K2669" s="26">
        <f>IF($A2669="","",SUMPRODUCT(--ISNUMBER(SEARCH('Category Dictionary'!$D$5:$D$135&amp;"",$C2669)),--('Category Dictionary'!$D$5:$D$135&lt;&gt;"")))</f>
        <v/>
      </c>
      <c r="L2669" s="27">
        <f>IF($A2669="","",TRIM(IF(ISERROR(FIND(",",$C2669)),$C2669,LEFT($C2669,FIND(",",$C2669)-1))))</f>
        <v/>
      </c>
      <c r="M2669" s="28">
        <f>IF($H2669="","",DATE(YEAR($H2669),MONTH($H2669),1))</f>
        <v/>
      </c>
      <c r="N2669" s="26">
        <f>IF($H2669="","",TODAY()-$H2669)</f>
        <v/>
      </c>
      <c r="O2669" s="15" t="n"/>
      <c r="P2669" s="26">
        <f>IF($A2669="","",COUNTIFS('Audit Versions'!$A$6:$A$605,$A2669,'Audit Versions'!$L$6:$L$605,"Active"))</f>
        <v/>
      </c>
      <c r="Q2669" s="15" t="n"/>
      <c r="R2669" s="26">
        <f>IF(OR($A2669="",$P2669=0),"",MOD(N($Q2669),$P2669)+1)</f>
        <v/>
      </c>
      <c r="S2669" s="15" t="n"/>
      <c r="T2669" s="25" t="n"/>
      <c r="U2669" s="26">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Builder'!$B$12="",N($S2669)&lt;='Assignment Builder'!$B$12)))</f>
        <v/>
      </c>
      <c r="V2669" s="23" t="n"/>
    </row>
    <row r="2670">
      <c r="A2670" s="23" t="n"/>
      <c r="B2670" s="23" t="n"/>
      <c r="C2670" s="24" t="n"/>
      <c r="D2670" s="15" t="n"/>
      <c r="E2670" s="23" t="n"/>
      <c r="F2670" s="15" t="n"/>
      <c r="G2670" s="23" t="n"/>
      <c r="H2670" s="25" t="n"/>
      <c r="I2670" s="15" t="n"/>
      <c r="J2670" s="26">
        <f>IF($A2670="","",LEN($C2670)-LEN(SUBSTITUTE($C2670,",",""))+1)</f>
        <v/>
      </c>
      <c r="K2670" s="26">
        <f>IF($A2670="","",SUMPRODUCT(--ISNUMBER(SEARCH('Category Dictionary'!$D$5:$D$135&amp;"",$C2670)),--('Category Dictionary'!$D$5:$D$135&lt;&gt;"")))</f>
        <v/>
      </c>
      <c r="L2670" s="27">
        <f>IF($A2670="","",TRIM(IF(ISERROR(FIND(",",$C2670)),$C2670,LEFT($C2670,FIND(",",$C2670)-1))))</f>
        <v/>
      </c>
      <c r="M2670" s="28">
        <f>IF($H2670="","",DATE(YEAR($H2670),MONTH($H2670),1))</f>
        <v/>
      </c>
      <c r="N2670" s="26">
        <f>IF($H2670="","",TODAY()-$H2670)</f>
        <v/>
      </c>
      <c r="O2670" s="15" t="n"/>
      <c r="P2670" s="26">
        <f>IF($A2670="","",COUNTIFS('Audit Versions'!$A$6:$A$605,$A2670,'Audit Versions'!$L$6:$L$605,"Active"))</f>
        <v/>
      </c>
      <c r="Q2670" s="15" t="n"/>
      <c r="R2670" s="26">
        <f>IF(OR($A2670="",$P2670=0),"",MOD(N($Q2670),$P2670)+1)</f>
        <v/>
      </c>
      <c r="S2670" s="15" t="n"/>
      <c r="T2670" s="25" t="n"/>
      <c r="U2670" s="26">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Builder'!$B$12="",N($S2670)&lt;='Assignment Builder'!$B$12)))</f>
        <v/>
      </c>
      <c r="V2670" s="23" t="n"/>
    </row>
    <row r="2671">
      <c r="A2671" s="23" t="n"/>
      <c r="B2671" s="23" t="n"/>
      <c r="C2671" s="24" t="n"/>
      <c r="D2671" s="15" t="n"/>
      <c r="E2671" s="23" t="n"/>
      <c r="F2671" s="15" t="n"/>
      <c r="G2671" s="23" t="n"/>
      <c r="H2671" s="25" t="n"/>
      <c r="I2671" s="15" t="n"/>
      <c r="J2671" s="26">
        <f>IF($A2671="","",LEN($C2671)-LEN(SUBSTITUTE($C2671,",",""))+1)</f>
        <v/>
      </c>
      <c r="K2671" s="26">
        <f>IF($A2671="","",SUMPRODUCT(--ISNUMBER(SEARCH('Category Dictionary'!$D$5:$D$135&amp;"",$C2671)),--('Category Dictionary'!$D$5:$D$135&lt;&gt;"")))</f>
        <v/>
      </c>
      <c r="L2671" s="27">
        <f>IF($A2671="","",TRIM(IF(ISERROR(FIND(",",$C2671)),$C2671,LEFT($C2671,FIND(",",$C2671)-1))))</f>
        <v/>
      </c>
      <c r="M2671" s="28">
        <f>IF($H2671="","",DATE(YEAR($H2671),MONTH($H2671),1))</f>
        <v/>
      </c>
      <c r="N2671" s="26">
        <f>IF($H2671="","",TODAY()-$H2671)</f>
        <v/>
      </c>
      <c r="O2671" s="15" t="n"/>
      <c r="P2671" s="26">
        <f>IF($A2671="","",COUNTIFS('Audit Versions'!$A$6:$A$605,$A2671,'Audit Versions'!$L$6:$L$605,"Active"))</f>
        <v/>
      </c>
      <c r="Q2671" s="15" t="n"/>
      <c r="R2671" s="26">
        <f>IF(OR($A2671="",$P2671=0),"",MOD(N($Q2671),$P2671)+1)</f>
        <v/>
      </c>
      <c r="S2671" s="15" t="n"/>
      <c r="T2671" s="25" t="n"/>
      <c r="U2671" s="26">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Builder'!$B$12="",N($S2671)&lt;='Assignment Builder'!$B$12)))</f>
        <v/>
      </c>
      <c r="V2671" s="23" t="n"/>
    </row>
    <row r="2672">
      <c r="A2672" s="23" t="n"/>
      <c r="B2672" s="23" t="n"/>
      <c r="C2672" s="24" t="n"/>
      <c r="D2672" s="15" t="n"/>
      <c r="E2672" s="23" t="n"/>
      <c r="F2672" s="15" t="n"/>
      <c r="G2672" s="23" t="n"/>
      <c r="H2672" s="25" t="n"/>
      <c r="I2672" s="15" t="n"/>
      <c r="J2672" s="26">
        <f>IF($A2672="","",LEN($C2672)-LEN(SUBSTITUTE($C2672,",",""))+1)</f>
        <v/>
      </c>
      <c r="K2672" s="26">
        <f>IF($A2672="","",SUMPRODUCT(--ISNUMBER(SEARCH('Category Dictionary'!$D$5:$D$135&amp;"",$C2672)),--('Category Dictionary'!$D$5:$D$135&lt;&gt;"")))</f>
        <v/>
      </c>
      <c r="L2672" s="27">
        <f>IF($A2672="","",TRIM(IF(ISERROR(FIND(",",$C2672)),$C2672,LEFT($C2672,FIND(",",$C2672)-1))))</f>
        <v/>
      </c>
      <c r="M2672" s="28">
        <f>IF($H2672="","",DATE(YEAR($H2672),MONTH($H2672),1))</f>
        <v/>
      </c>
      <c r="N2672" s="26">
        <f>IF($H2672="","",TODAY()-$H2672)</f>
        <v/>
      </c>
      <c r="O2672" s="15" t="n"/>
      <c r="P2672" s="26">
        <f>IF($A2672="","",COUNTIFS('Audit Versions'!$A$6:$A$605,$A2672,'Audit Versions'!$L$6:$L$605,"Active"))</f>
        <v/>
      </c>
      <c r="Q2672" s="15" t="n"/>
      <c r="R2672" s="26">
        <f>IF(OR($A2672="",$P2672=0),"",MOD(N($Q2672),$P2672)+1)</f>
        <v/>
      </c>
      <c r="S2672" s="15" t="n"/>
      <c r="T2672" s="25" t="n"/>
      <c r="U2672" s="26">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Builder'!$B$12="",N($S2672)&lt;='Assignment Builder'!$B$12)))</f>
        <v/>
      </c>
      <c r="V2672" s="23" t="n"/>
    </row>
    <row r="2673">
      <c r="A2673" s="23" t="n"/>
      <c r="B2673" s="23" t="n"/>
      <c r="C2673" s="24" t="n"/>
      <c r="D2673" s="15" t="n"/>
      <c r="E2673" s="23" t="n"/>
      <c r="F2673" s="15" t="n"/>
      <c r="G2673" s="23" t="n"/>
      <c r="H2673" s="25" t="n"/>
      <c r="I2673" s="15" t="n"/>
      <c r="J2673" s="26">
        <f>IF($A2673="","",LEN($C2673)-LEN(SUBSTITUTE($C2673,",",""))+1)</f>
        <v/>
      </c>
      <c r="K2673" s="26">
        <f>IF($A2673="","",SUMPRODUCT(--ISNUMBER(SEARCH('Category Dictionary'!$D$5:$D$135&amp;"",$C2673)),--('Category Dictionary'!$D$5:$D$135&lt;&gt;"")))</f>
        <v/>
      </c>
      <c r="L2673" s="27">
        <f>IF($A2673="","",TRIM(IF(ISERROR(FIND(",",$C2673)),$C2673,LEFT($C2673,FIND(",",$C2673)-1))))</f>
        <v/>
      </c>
      <c r="M2673" s="28">
        <f>IF($H2673="","",DATE(YEAR($H2673),MONTH($H2673),1))</f>
        <v/>
      </c>
      <c r="N2673" s="26">
        <f>IF($H2673="","",TODAY()-$H2673)</f>
        <v/>
      </c>
      <c r="O2673" s="15" t="n"/>
      <c r="P2673" s="26">
        <f>IF($A2673="","",COUNTIFS('Audit Versions'!$A$6:$A$605,$A2673,'Audit Versions'!$L$6:$L$605,"Active"))</f>
        <v/>
      </c>
      <c r="Q2673" s="15" t="n"/>
      <c r="R2673" s="26">
        <f>IF(OR($A2673="",$P2673=0),"",MOD(N($Q2673),$P2673)+1)</f>
        <v/>
      </c>
      <c r="S2673" s="15" t="n"/>
      <c r="T2673" s="25" t="n"/>
      <c r="U2673" s="26">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Builder'!$B$12="",N($S2673)&lt;='Assignment Builder'!$B$12)))</f>
        <v/>
      </c>
      <c r="V2673" s="23" t="n"/>
    </row>
    <row r="2674">
      <c r="A2674" s="23" t="n"/>
      <c r="B2674" s="23" t="n"/>
      <c r="C2674" s="24" t="n"/>
      <c r="D2674" s="15" t="n"/>
      <c r="E2674" s="23" t="n"/>
      <c r="F2674" s="15" t="n"/>
      <c r="G2674" s="23" t="n"/>
      <c r="H2674" s="25" t="n"/>
      <c r="I2674" s="15" t="n"/>
      <c r="J2674" s="26">
        <f>IF($A2674="","",LEN($C2674)-LEN(SUBSTITUTE($C2674,",",""))+1)</f>
        <v/>
      </c>
      <c r="K2674" s="26">
        <f>IF($A2674="","",SUMPRODUCT(--ISNUMBER(SEARCH('Category Dictionary'!$D$5:$D$135&amp;"",$C2674)),--('Category Dictionary'!$D$5:$D$135&lt;&gt;"")))</f>
        <v/>
      </c>
      <c r="L2674" s="27">
        <f>IF($A2674="","",TRIM(IF(ISERROR(FIND(",",$C2674)),$C2674,LEFT($C2674,FIND(",",$C2674)-1))))</f>
        <v/>
      </c>
      <c r="M2674" s="28">
        <f>IF($H2674="","",DATE(YEAR($H2674),MONTH($H2674),1))</f>
        <v/>
      </c>
      <c r="N2674" s="26">
        <f>IF($H2674="","",TODAY()-$H2674)</f>
        <v/>
      </c>
      <c r="O2674" s="15" t="n"/>
      <c r="P2674" s="26">
        <f>IF($A2674="","",COUNTIFS('Audit Versions'!$A$6:$A$605,$A2674,'Audit Versions'!$L$6:$L$605,"Active"))</f>
        <v/>
      </c>
      <c r="Q2674" s="15" t="n"/>
      <c r="R2674" s="26">
        <f>IF(OR($A2674="",$P2674=0),"",MOD(N($Q2674),$P2674)+1)</f>
        <v/>
      </c>
      <c r="S2674" s="15" t="n"/>
      <c r="T2674" s="25" t="n"/>
      <c r="U2674" s="26">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Builder'!$B$12="",N($S2674)&lt;='Assignment Builder'!$B$12)))</f>
        <v/>
      </c>
      <c r="V2674" s="23" t="n"/>
    </row>
    <row r="2675">
      <c r="A2675" s="23" t="n"/>
      <c r="B2675" s="23" t="n"/>
      <c r="C2675" s="24" t="n"/>
      <c r="D2675" s="15" t="n"/>
      <c r="E2675" s="23" t="n"/>
      <c r="F2675" s="15" t="n"/>
      <c r="G2675" s="23" t="n"/>
      <c r="H2675" s="25" t="n"/>
      <c r="I2675" s="15" t="n"/>
      <c r="J2675" s="26">
        <f>IF($A2675="","",LEN($C2675)-LEN(SUBSTITUTE($C2675,",",""))+1)</f>
        <v/>
      </c>
      <c r="K2675" s="26">
        <f>IF($A2675="","",SUMPRODUCT(--ISNUMBER(SEARCH('Category Dictionary'!$D$5:$D$135&amp;"",$C2675)),--('Category Dictionary'!$D$5:$D$135&lt;&gt;"")))</f>
        <v/>
      </c>
      <c r="L2675" s="27">
        <f>IF($A2675="","",TRIM(IF(ISERROR(FIND(",",$C2675)),$C2675,LEFT($C2675,FIND(",",$C2675)-1))))</f>
        <v/>
      </c>
      <c r="M2675" s="28">
        <f>IF($H2675="","",DATE(YEAR($H2675),MONTH($H2675),1))</f>
        <v/>
      </c>
      <c r="N2675" s="26">
        <f>IF($H2675="","",TODAY()-$H2675)</f>
        <v/>
      </c>
      <c r="O2675" s="15" t="n"/>
      <c r="P2675" s="26">
        <f>IF($A2675="","",COUNTIFS('Audit Versions'!$A$6:$A$605,$A2675,'Audit Versions'!$L$6:$L$605,"Active"))</f>
        <v/>
      </c>
      <c r="Q2675" s="15" t="n"/>
      <c r="R2675" s="26">
        <f>IF(OR($A2675="",$P2675=0),"",MOD(N($Q2675),$P2675)+1)</f>
        <v/>
      </c>
      <c r="S2675" s="15" t="n"/>
      <c r="T2675" s="25" t="n"/>
      <c r="U2675" s="26">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Builder'!$B$12="",N($S2675)&lt;='Assignment Builder'!$B$12)))</f>
        <v/>
      </c>
      <c r="V2675" s="23" t="n"/>
    </row>
    <row r="2676">
      <c r="A2676" s="23" t="n"/>
      <c r="B2676" s="23" t="n"/>
      <c r="C2676" s="24" t="n"/>
      <c r="D2676" s="15" t="n"/>
      <c r="E2676" s="23" t="n"/>
      <c r="F2676" s="15" t="n"/>
      <c r="G2676" s="23" t="n"/>
      <c r="H2676" s="25" t="n"/>
      <c r="I2676" s="15" t="n"/>
      <c r="J2676" s="26">
        <f>IF($A2676="","",LEN($C2676)-LEN(SUBSTITUTE($C2676,",",""))+1)</f>
        <v/>
      </c>
      <c r="K2676" s="26">
        <f>IF($A2676="","",SUMPRODUCT(--ISNUMBER(SEARCH('Category Dictionary'!$D$5:$D$135&amp;"",$C2676)),--('Category Dictionary'!$D$5:$D$135&lt;&gt;"")))</f>
        <v/>
      </c>
      <c r="L2676" s="27">
        <f>IF($A2676="","",TRIM(IF(ISERROR(FIND(",",$C2676)),$C2676,LEFT($C2676,FIND(",",$C2676)-1))))</f>
        <v/>
      </c>
      <c r="M2676" s="28">
        <f>IF($H2676="","",DATE(YEAR($H2676),MONTH($H2676),1))</f>
        <v/>
      </c>
      <c r="N2676" s="26">
        <f>IF($H2676="","",TODAY()-$H2676)</f>
        <v/>
      </c>
      <c r="O2676" s="15" t="n"/>
      <c r="P2676" s="26">
        <f>IF($A2676="","",COUNTIFS('Audit Versions'!$A$6:$A$605,$A2676,'Audit Versions'!$L$6:$L$605,"Active"))</f>
        <v/>
      </c>
      <c r="Q2676" s="15" t="n"/>
      <c r="R2676" s="26">
        <f>IF(OR($A2676="",$P2676=0),"",MOD(N($Q2676),$P2676)+1)</f>
        <v/>
      </c>
      <c r="S2676" s="15" t="n"/>
      <c r="T2676" s="25" t="n"/>
      <c r="U2676" s="26">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Builder'!$B$12="",N($S2676)&lt;='Assignment Builder'!$B$12)))</f>
        <v/>
      </c>
      <c r="V2676" s="23" t="n"/>
    </row>
    <row r="2677">
      <c r="A2677" s="23" t="n"/>
      <c r="B2677" s="23" t="n"/>
      <c r="C2677" s="24" t="n"/>
      <c r="D2677" s="15" t="n"/>
      <c r="E2677" s="23" t="n"/>
      <c r="F2677" s="15" t="n"/>
      <c r="G2677" s="23" t="n"/>
      <c r="H2677" s="25" t="n"/>
      <c r="I2677" s="15" t="n"/>
      <c r="J2677" s="26">
        <f>IF($A2677="","",LEN($C2677)-LEN(SUBSTITUTE($C2677,",",""))+1)</f>
        <v/>
      </c>
      <c r="K2677" s="26">
        <f>IF($A2677="","",SUMPRODUCT(--ISNUMBER(SEARCH('Category Dictionary'!$D$5:$D$135&amp;"",$C2677)),--('Category Dictionary'!$D$5:$D$135&lt;&gt;"")))</f>
        <v/>
      </c>
      <c r="L2677" s="27">
        <f>IF($A2677="","",TRIM(IF(ISERROR(FIND(",",$C2677)),$C2677,LEFT($C2677,FIND(",",$C2677)-1))))</f>
        <v/>
      </c>
      <c r="M2677" s="28">
        <f>IF($H2677="","",DATE(YEAR($H2677),MONTH($H2677),1))</f>
        <v/>
      </c>
      <c r="N2677" s="26">
        <f>IF($H2677="","",TODAY()-$H2677)</f>
        <v/>
      </c>
      <c r="O2677" s="15" t="n"/>
      <c r="P2677" s="26">
        <f>IF($A2677="","",COUNTIFS('Audit Versions'!$A$6:$A$605,$A2677,'Audit Versions'!$L$6:$L$605,"Active"))</f>
        <v/>
      </c>
      <c r="Q2677" s="15" t="n"/>
      <c r="R2677" s="26">
        <f>IF(OR($A2677="",$P2677=0),"",MOD(N($Q2677),$P2677)+1)</f>
        <v/>
      </c>
      <c r="S2677" s="15" t="n"/>
      <c r="T2677" s="25" t="n"/>
      <c r="U2677" s="26">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Builder'!$B$12="",N($S2677)&lt;='Assignment Builder'!$B$12)))</f>
        <v/>
      </c>
      <c r="V2677" s="23" t="n"/>
    </row>
    <row r="2678">
      <c r="A2678" s="23" t="n"/>
      <c r="B2678" s="23" t="n"/>
      <c r="C2678" s="24" t="n"/>
      <c r="D2678" s="15" t="n"/>
      <c r="E2678" s="23" t="n"/>
      <c r="F2678" s="15" t="n"/>
      <c r="G2678" s="23" t="n"/>
      <c r="H2678" s="25" t="n"/>
      <c r="I2678" s="15" t="n"/>
      <c r="J2678" s="26">
        <f>IF($A2678="","",LEN($C2678)-LEN(SUBSTITUTE($C2678,",",""))+1)</f>
        <v/>
      </c>
      <c r="K2678" s="26">
        <f>IF($A2678="","",SUMPRODUCT(--ISNUMBER(SEARCH('Category Dictionary'!$D$5:$D$135&amp;"",$C2678)),--('Category Dictionary'!$D$5:$D$135&lt;&gt;"")))</f>
        <v/>
      </c>
      <c r="L2678" s="27">
        <f>IF($A2678="","",TRIM(IF(ISERROR(FIND(",",$C2678)),$C2678,LEFT($C2678,FIND(",",$C2678)-1))))</f>
        <v/>
      </c>
      <c r="M2678" s="28">
        <f>IF($H2678="","",DATE(YEAR($H2678),MONTH($H2678),1))</f>
        <v/>
      </c>
      <c r="N2678" s="26">
        <f>IF($H2678="","",TODAY()-$H2678)</f>
        <v/>
      </c>
      <c r="O2678" s="15" t="n"/>
      <c r="P2678" s="26">
        <f>IF($A2678="","",COUNTIFS('Audit Versions'!$A$6:$A$605,$A2678,'Audit Versions'!$L$6:$L$605,"Active"))</f>
        <v/>
      </c>
      <c r="Q2678" s="15" t="n"/>
      <c r="R2678" s="26">
        <f>IF(OR($A2678="",$P2678=0),"",MOD(N($Q2678),$P2678)+1)</f>
        <v/>
      </c>
      <c r="S2678" s="15" t="n"/>
      <c r="T2678" s="25" t="n"/>
      <c r="U2678" s="26">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Builder'!$B$12="",N($S2678)&lt;='Assignment Builder'!$B$12)))</f>
        <v/>
      </c>
      <c r="V2678" s="23" t="n"/>
    </row>
    <row r="2679">
      <c r="A2679" s="23" t="n"/>
      <c r="B2679" s="23" t="n"/>
      <c r="C2679" s="24" t="n"/>
      <c r="D2679" s="15" t="n"/>
      <c r="E2679" s="23" t="n"/>
      <c r="F2679" s="15" t="n"/>
      <c r="G2679" s="23" t="n"/>
      <c r="H2679" s="25" t="n"/>
      <c r="I2679" s="15" t="n"/>
      <c r="J2679" s="26">
        <f>IF($A2679="","",LEN($C2679)-LEN(SUBSTITUTE($C2679,",",""))+1)</f>
        <v/>
      </c>
      <c r="K2679" s="26">
        <f>IF($A2679="","",SUMPRODUCT(--ISNUMBER(SEARCH('Category Dictionary'!$D$5:$D$135&amp;"",$C2679)),--('Category Dictionary'!$D$5:$D$135&lt;&gt;"")))</f>
        <v/>
      </c>
      <c r="L2679" s="27">
        <f>IF($A2679="","",TRIM(IF(ISERROR(FIND(",",$C2679)),$C2679,LEFT($C2679,FIND(",",$C2679)-1))))</f>
        <v/>
      </c>
      <c r="M2679" s="28">
        <f>IF($H2679="","",DATE(YEAR($H2679),MONTH($H2679),1))</f>
        <v/>
      </c>
      <c r="N2679" s="26">
        <f>IF($H2679="","",TODAY()-$H2679)</f>
        <v/>
      </c>
      <c r="O2679" s="15" t="n"/>
      <c r="P2679" s="26">
        <f>IF($A2679="","",COUNTIFS('Audit Versions'!$A$6:$A$605,$A2679,'Audit Versions'!$L$6:$L$605,"Active"))</f>
        <v/>
      </c>
      <c r="Q2679" s="15" t="n"/>
      <c r="R2679" s="26">
        <f>IF(OR($A2679="",$P2679=0),"",MOD(N($Q2679),$P2679)+1)</f>
        <v/>
      </c>
      <c r="S2679" s="15" t="n"/>
      <c r="T2679" s="25" t="n"/>
      <c r="U2679" s="26">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Builder'!$B$12="",N($S2679)&lt;='Assignment Builder'!$B$12)))</f>
        <v/>
      </c>
      <c r="V2679" s="23" t="n"/>
    </row>
    <row r="2680">
      <c r="A2680" s="23" t="n"/>
      <c r="B2680" s="23" t="n"/>
      <c r="C2680" s="24" t="n"/>
      <c r="D2680" s="15" t="n"/>
      <c r="E2680" s="23" t="n"/>
      <c r="F2680" s="15" t="n"/>
      <c r="G2680" s="23" t="n"/>
      <c r="H2680" s="25" t="n"/>
      <c r="I2680" s="15" t="n"/>
      <c r="J2680" s="26">
        <f>IF($A2680="","",LEN($C2680)-LEN(SUBSTITUTE($C2680,",",""))+1)</f>
        <v/>
      </c>
      <c r="K2680" s="26">
        <f>IF($A2680="","",SUMPRODUCT(--ISNUMBER(SEARCH('Category Dictionary'!$D$5:$D$135&amp;"",$C2680)),--('Category Dictionary'!$D$5:$D$135&lt;&gt;"")))</f>
        <v/>
      </c>
      <c r="L2680" s="27">
        <f>IF($A2680="","",TRIM(IF(ISERROR(FIND(",",$C2680)),$C2680,LEFT($C2680,FIND(",",$C2680)-1))))</f>
        <v/>
      </c>
      <c r="M2680" s="28">
        <f>IF($H2680="","",DATE(YEAR($H2680),MONTH($H2680),1))</f>
        <v/>
      </c>
      <c r="N2680" s="26">
        <f>IF($H2680="","",TODAY()-$H2680)</f>
        <v/>
      </c>
      <c r="O2680" s="15" t="n"/>
      <c r="P2680" s="26">
        <f>IF($A2680="","",COUNTIFS('Audit Versions'!$A$6:$A$605,$A2680,'Audit Versions'!$L$6:$L$605,"Active"))</f>
        <v/>
      </c>
      <c r="Q2680" s="15" t="n"/>
      <c r="R2680" s="26">
        <f>IF(OR($A2680="",$P2680=0),"",MOD(N($Q2680),$P2680)+1)</f>
        <v/>
      </c>
      <c r="S2680" s="15" t="n"/>
      <c r="T2680" s="25" t="n"/>
      <c r="U2680" s="26">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Builder'!$B$12="",N($S2680)&lt;='Assignment Builder'!$B$12)))</f>
        <v/>
      </c>
      <c r="V2680" s="23" t="n"/>
    </row>
    <row r="2681">
      <c r="A2681" s="23" t="n"/>
      <c r="B2681" s="23" t="n"/>
      <c r="C2681" s="24" t="n"/>
      <c r="D2681" s="15" t="n"/>
      <c r="E2681" s="23" t="n"/>
      <c r="F2681" s="15" t="n"/>
      <c r="G2681" s="23" t="n"/>
      <c r="H2681" s="25" t="n"/>
      <c r="I2681" s="15" t="n"/>
      <c r="J2681" s="26">
        <f>IF($A2681="","",LEN($C2681)-LEN(SUBSTITUTE($C2681,",",""))+1)</f>
        <v/>
      </c>
      <c r="K2681" s="26">
        <f>IF($A2681="","",SUMPRODUCT(--ISNUMBER(SEARCH('Category Dictionary'!$D$5:$D$135&amp;"",$C2681)),--('Category Dictionary'!$D$5:$D$135&lt;&gt;"")))</f>
        <v/>
      </c>
      <c r="L2681" s="27">
        <f>IF($A2681="","",TRIM(IF(ISERROR(FIND(",",$C2681)),$C2681,LEFT($C2681,FIND(",",$C2681)-1))))</f>
        <v/>
      </c>
      <c r="M2681" s="28">
        <f>IF($H2681="","",DATE(YEAR($H2681),MONTH($H2681),1))</f>
        <v/>
      </c>
      <c r="N2681" s="26">
        <f>IF($H2681="","",TODAY()-$H2681)</f>
        <v/>
      </c>
      <c r="O2681" s="15" t="n"/>
      <c r="P2681" s="26">
        <f>IF($A2681="","",COUNTIFS('Audit Versions'!$A$6:$A$605,$A2681,'Audit Versions'!$L$6:$L$605,"Active"))</f>
        <v/>
      </c>
      <c r="Q2681" s="15" t="n"/>
      <c r="R2681" s="26">
        <f>IF(OR($A2681="",$P2681=0),"",MOD(N($Q2681),$P2681)+1)</f>
        <v/>
      </c>
      <c r="S2681" s="15" t="n"/>
      <c r="T2681" s="25" t="n"/>
      <c r="U2681" s="26">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Builder'!$B$12="",N($S2681)&lt;='Assignment Builder'!$B$12)))</f>
        <v/>
      </c>
      <c r="V2681" s="23" t="n"/>
    </row>
    <row r="2682">
      <c r="A2682" s="23" t="n"/>
      <c r="B2682" s="23" t="n"/>
      <c r="C2682" s="24" t="n"/>
      <c r="D2682" s="15" t="n"/>
      <c r="E2682" s="23" t="n"/>
      <c r="F2682" s="15" t="n"/>
      <c r="G2682" s="23" t="n"/>
      <c r="H2682" s="25" t="n"/>
      <c r="I2682" s="15" t="n"/>
      <c r="J2682" s="26">
        <f>IF($A2682="","",LEN($C2682)-LEN(SUBSTITUTE($C2682,",",""))+1)</f>
        <v/>
      </c>
      <c r="K2682" s="26">
        <f>IF($A2682="","",SUMPRODUCT(--ISNUMBER(SEARCH('Category Dictionary'!$D$5:$D$135&amp;"",$C2682)),--('Category Dictionary'!$D$5:$D$135&lt;&gt;"")))</f>
        <v/>
      </c>
      <c r="L2682" s="27">
        <f>IF($A2682="","",TRIM(IF(ISERROR(FIND(",",$C2682)),$C2682,LEFT($C2682,FIND(",",$C2682)-1))))</f>
        <v/>
      </c>
      <c r="M2682" s="28">
        <f>IF($H2682="","",DATE(YEAR($H2682),MONTH($H2682),1))</f>
        <v/>
      </c>
      <c r="N2682" s="26">
        <f>IF($H2682="","",TODAY()-$H2682)</f>
        <v/>
      </c>
      <c r="O2682" s="15" t="n"/>
      <c r="P2682" s="26">
        <f>IF($A2682="","",COUNTIFS('Audit Versions'!$A$6:$A$605,$A2682,'Audit Versions'!$L$6:$L$605,"Active"))</f>
        <v/>
      </c>
      <c r="Q2682" s="15" t="n"/>
      <c r="R2682" s="26">
        <f>IF(OR($A2682="",$P2682=0),"",MOD(N($Q2682),$P2682)+1)</f>
        <v/>
      </c>
      <c r="S2682" s="15" t="n"/>
      <c r="T2682" s="25" t="n"/>
      <c r="U2682" s="26">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Builder'!$B$12="",N($S2682)&lt;='Assignment Builder'!$B$12)))</f>
        <v/>
      </c>
      <c r="V2682" s="23" t="n"/>
    </row>
    <row r="2683">
      <c r="A2683" s="23" t="n"/>
      <c r="B2683" s="23" t="n"/>
      <c r="C2683" s="24" t="n"/>
      <c r="D2683" s="15" t="n"/>
      <c r="E2683" s="23" t="n"/>
      <c r="F2683" s="15" t="n"/>
      <c r="G2683" s="23" t="n"/>
      <c r="H2683" s="25" t="n"/>
      <c r="I2683" s="15" t="n"/>
      <c r="J2683" s="26">
        <f>IF($A2683="","",LEN($C2683)-LEN(SUBSTITUTE($C2683,",",""))+1)</f>
        <v/>
      </c>
      <c r="K2683" s="26">
        <f>IF($A2683="","",SUMPRODUCT(--ISNUMBER(SEARCH('Category Dictionary'!$D$5:$D$135&amp;"",$C2683)),--('Category Dictionary'!$D$5:$D$135&lt;&gt;"")))</f>
        <v/>
      </c>
      <c r="L2683" s="27">
        <f>IF($A2683="","",TRIM(IF(ISERROR(FIND(",",$C2683)),$C2683,LEFT($C2683,FIND(",",$C2683)-1))))</f>
        <v/>
      </c>
      <c r="M2683" s="28">
        <f>IF($H2683="","",DATE(YEAR($H2683),MONTH($H2683),1))</f>
        <v/>
      </c>
      <c r="N2683" s="26">
        <f>IF($H2683="","",TODAY()-$H2683)</f>
        <v/>
      </c>
      <c r="O2683" s="15" t="n"/>
      <c r="P2683" s="26">
        <f>IF($A2683="","",COUNTIFS('Audit Versions'!$A$6:$A$605,$A2683,'Audit Versions'!$L$6:$L$605,"Active"))</f>
        <v/>
      </c>
      <c r="Q2683" s="15" t="n"/>
      <c r="R2683" s="26">
        <f>IF(OR($A2683="",$P2683=0),"",MOD(N($Q2683),$P2683)+1)</f>
        <v/>
      </c>
      <c r="S2683" s="15" t="n"/>
      <c r="T2683" s="25" t="n"/>
      <c r="U2683" s="26">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Builder'!$B$12="",N($S2683)&lt;='Assignment Builder'!$B$12)))</f>
        <v/>
      </c>
      <c r="V2683" s="23" t="n"/>
    </row>
    <row r="2684">
      <c r="A2684" s="23" t="n"/>
      <c r="B2684" s="23" t="n"/>
      <c r="C2684" s="24" t="n"/>
      <c r="D2684" s="15" t="n"/>
      <c r="E2684" s="23" t="n"/>
      <c r="F2684" s="15" t="n"/>
      <c r="G2684" s="23" t="n"/>
      <c r="H2684" s="25" t="n"/>
      <c r="I2684" s="15" t="n"/>
      <c r="J2684" s="26">
        <f>IF($A2684="","",LEN($C2684)-LEN(SUBSTITUTE($C2684,",",""))+1)</f>
        <v/>
      </c>
      <c r="K2684" s="26">
        <f>IF($A2684="","",SUMPRODUCT(--ISNUMBER(SEARCH('Category Dictionary'!$D$5:$D$135&amp;"",$C2684)),--('Category Dictionary'!$D$5:$D$135&lt;&gt;"")))</f>
        <v/>
      </c>
      <c r="L2684" s="27">
        <f>IF($A2684="","",TRIM(IF(ISERROR(FIND(",",$C2684)),$C2684,LEFT($C2684,FIND(",",$C2684)-1))))</f>
        <v/>
      </c>
      <c r="M2684" s="28">
        <f>IF($H2684="","",DATE(YEAR($H2684),MONTH($H2684),1))</f>
        <v/>
      </c>
      <c r="N2684" s="26">
        <f>IF($H2684="","",TODAY()-$H2684)</f>
        <v/>
      </c>
      <c r="O2684" s="15" t="n"/>
      <c r="P2684" s="26">
        <f>IF($A2684="","",COUNTIFS('Audit Versions'!$A$6:$A$605,$A2684,'Audit Versions'!$L$6:$L$605,"Active"))</f>
        <v/>
      </c>
      <c r="Q2684" s="15" t="n"/>
      <c r="R2684" s="26">
        <f>IF(OR($A2684="",$P2684=0),"",MOD(N($Q2684),$P2684)+1)</f>
        <v/>
      </c>
      <c r="S2684" s="15" t="n"/>
      <c r="T2684" s="25" t="n"/>
      <c r="U2684" s="26">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Builder'!$B$12="",N($S2684)&lt;='Assignment Builder'!$B$12)))</f>
        <v/>
      </c>
      <c r="V2684" s="23" t="n"/>
    </row>
    <row r="2685">
      <c r="A2685" s="23" t="n"/>
      <c r="B2685" s="23" t="n"/>
      <c r="C2685" s="24" t="n"/>
      <c r="D2685" s="15" t="n"/>
      <c r="E2685" s="23" t="n"/>
      <c r="F2685" s="15" t="n"/>
      <c r="G2685" s="23" t="n"/>
      <c r="H2685" s="25" t="n"/>
      <c r="I2685" s="15" t="n"/>
      <c r="J2685" s="26">
        <f>IF($A2685="","",LEN($C2685)-LEN(SUBSTITUTE($C2685,",",""))+1)</f>
        <v/>
      </c>
      <c r="K2685" s="26">
        <f>IF($A2685="","",SUMPRODUCT(--ISNUMBER(SEARCH('Category Dictionary'!$D$5:$D$135&amp;"",$C2685)),--('Category Dictionary'!$D$5:$D$135&lt;&gt;"")))</f>
        <v/>
      </c>
      <c r="L2685" s="27">
        <f>IF($A2685="","",TRIM(IF(ISERROR(FIND(",",$C2685)),$C2685,LEFT($C2685,FIND(",",$C2685)-1))))</f>
        <v/>
      </c>
      <c r="M2685" s="28">
        <f>IF($H2685="","",DATE(YEAR($H2685),MONTH($H2685),1))</f>
        <v/>
      </c>
      <c r="N2685" s="26">
        <f>IF($H2685="","",TODAY()-$H2685)</f>
        <v/>
      </c>
      <c r="O2685" s="15" t="n"/>
      <c r="P2685" s="26">
        <f>IF($A2685="","",COUNTIFS('Audit Versions'!$A$6:$A$605,$A2685,'Audit Versions'!$L$6:$L$605,"Active"))</f>
        <v/>
      </c>
      <c r="Q2685" s="15" t="n"/>
      <c r="R2685" s="26">
        <f>IF(OR($A2685="",$P2685=0),"",MOD(N($Q2685),$P2685)+1)</f>
        <v/>
      </c>
      <c r="S2685" s="15" t="n"/>
      <c r="T2685" s="25" t="n"/>
      <c r="U2685" s="26">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Builder'!$B$12="",N($S2685)&lt;='Assignment Builder'!$B$12)))</f>
        <v/>
      </c>
      <c r="V2685" s="23" t="n"/>
    </row>
    <row r="2686">
      <c r="A2686" s="23" t="n"/>
      <c r="B2686" s="23" t="n"/>
      <c r="C2686" s="24" t="n"/>
      <c r="D2686" s="15" t="n"/>
      <c r="E2686" s="23" t="n"/>
      <c r="F2686" s="15" t="n"/>
      <c r="G2686" s="23" t="n"/>
      <c r="H2686" s="25" t="n"/>
      <c r="I2686" s="15" t="n"/>
      <c r="J2686" s="26">
        <f>IF($A2686="","",LEN($C2686)-LEN(SUBSTITUTE($C2686,",",""))+1)</f>
        <v/>
      </c>
      <c r="K2686" s="26">
        <f>IF($A2686="","",SUMPRODUCT(--ISNUMBER(SEARCH('Category Dictionary'!$D$5:$D$135&amp;"",$C2686)),--('Category Dictionary'!$D$5:$D$135&lt;&gt;"")))</f>
        <v/>
      </c>
      <c r="L2686" s="27">
        <f>IF($A2686="","",TRIM(IF(ISERROR(FIND(",",$C2686)),$C2686,LEFT($C2686,FIND(",",$C2686)-1))))</f>
        <v/>
      </c>
      <c r="M2686" s="28">
        <f>IF($H2686="","",DATE(YEAR($H2686),MONTH($H2686),1))</f>
        <v/>
      </c>
      <c r="N2686" s="26">
        <f>IF($H2686="","",TODAY()-$H2686)</f>
        <v/>
      </c>
      <c r="O2686" s="15" t="n"/>
      <c r="P2686" s="26">
        <f>IF($A2686="","",COUNTIFS('Audit Versions'!$A$6:$A$605,$A2686,'Audit Versions'!$L$6:$L$605,"Active"))</f>
        <v/>
      </c>
      <c r="Q2686" s="15" t="n"/>
      <c r="R2686" s="26">
        <f>IF(OR($A2686="",$P2686=0),"",MOD(N($Q2686),$P2686)+1)</f>
        <v/>
      </c>
      <c r="S2686" s="15" t="n"/>
      <c r="T2686" s="25" t="n"/>
      <c r="U2686" s="26">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Builder'!$B$12="",N($S2686)&lt;='Assignment Builder'!$B$12)))</f>
        <v/>
      </c>
      <c r="V2686" s="23" t="n"/>
    </row>
    <row r="2687">
      <c r="A2687" s="23" t="n"/>
      <c r="B2687" s="23" t="n"/>
      <c r="C2687" s="24" t="n"/>
      <c r="D2687" s="15" t="n"/>
      <c r="E2687" s="23" t="n"/>
      <c r="F2687" s="15" t="n"/>
      <c r="G2687" s="23" t="n"/>
      <c r="H2687" s="25" t="n"/>
      <c r="I2687" s="15" t="n"/>
      <c r="J2687" s="26">
        <f>IF($A2687="","",LEN($C2687)-LEN(SUBSTITUTE($C2687,",",""))+1)</f>
        <v/>
      </c>
      <c r="K2687" s="26">
        <f>IF($A2687="","",SUMPRODUCT(--ISNUMBER(SEARCH('Category Dictionary'!$D$5:$D$135&amp;"",$C2687)),--('Category Dictionary'!$D$5:$D$135&lt;&gt;"")))</f>
        <v/>
      </c>
      <c r="L2687" s="27">
        <f>IF($A2687="","",TRIM(IF(ISERROR(FIND(",",$C2687)),$C2687,LEFT($C2687,FIND(",",$C2687)-1))))</f>
        <v/>
      </c>
      <c r="M2687" s="28">
        <f>IF($H2687="","",DATE(YEAR($H2687),MONTH($H2687),1))</f>
        <v/>
      </c>
      <c r="N2687" s="26">
        <f>IF($H2687="","",TODAY()-$H2687)</f>
        <v/>
      </c>
      <c r="O2687" s="15" t="n"/>
      <c r="P2687" s="26">
        <f>IF($A2687="","",COUNTIFS('Audit Versions'!$A$6:$A$605,$A2687,'Audit Versions'!$L$6:$L$605,"Active"))</f>
        <v/>
      </c>
      <c r="Q2687" s="15" t="n"/>
      <c r="R2687" s="26">
        <f>IF(OR($A2687="",$P2687=0),"",MOD(N($Q2687),$P2687)+1)</f>
        <v/>
      </c>
      <c r="S2687" s="15" t="n"/>
      <c r="T2687" s="25" t="n"/>
      <c r="U2687" s="26">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Builder'!$B$12="",N($S2687)&lt;='Assignment Builder'!$B$12)))</f>
        <v/>
      </c>
      <c r="V2687" s="23" t="n"/>
    </row>
    <row r="2688">
      <c r="A2688" s="23" t="n"/>
      <c r="B2688" s="23" t="n"/>
      <c r="C2688" s="24" t="n"/>
      <c r="D2688" s="15" t="n"/>
      <c r="E2688" s="23" t="n"/>
      <c r="F2688" s="15" t="n"/>
      <c r="G2688" s="23" t="n"/>
      <c r="H2688" s="25" t="n"/>
      <c r="I2688" s="15" t="n"/>
      <c r="J2688" s="26">
        <f>IF($A2688="","",LEN($C2688)-LEN(SUBSTITUTE($C2688,",",""))+1)</f>
        <v/>
      </c>
      <c r="K2688" s="26">
        <f>IF($A2688="","",SUMPRODUCT(--ISNUMBER(SEARCH('Category Dictionary'!$D$5:$D$135&amp;"",$C2688)),--('Category Dictionary'!$D$5:$D$135&lt;&gt;"")))</f>
        <v/>
      </c>
      <c r="L2688" s="27">
        <f>IF($A2688="","",TRIM(IF(ISERROR(FIND(",",$C2688)),$C2688,LEFT($C2688,FIND(",",$C2688)-1))))</f>
        <v/>
      </c>
      <c r="M2688" s="28">
        <f>IF($H2688="","",DATE(YEAR($H2688),MONTH($H2688),1))</f>
        <v/>
      </c>
      <c r="N2688" s="26">
        <f>IF($H2688="","",TODAY()-$H2688)</f>
        <v/>
      </c>
      <c r="O2688" s="15" t="n"/>
      <c r="P2688" s="26">
        <f>IF($A2688="","",COUNTIFS('Audit Versions'!$A$6:$A$605,$A2688,'Audit Versions'!$L$6:$L$605,"Active"))</f>
        <v/>
      </c>
      <c r="Q2688" s="15" t="n"/>
      <c r="R2688" s="26">
        <f>IF(OR($A2688="",$P2688=0),"",MOD(N($Q2688),$P2688)+1)</f>
        <v/>
      </c>
      <c r="S2688" s="15" t="n"/>
      <c r="T2688" s="25" t="n"/>
      <c r="U2688" s="26">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Builder'!$B$12="",N($S2688)&lt;='Assignment Builder'!$B$12)))</f>
        <v/>
      </c>
      <c r="V2688" s="23" t="n"/>
    </row>
    <row r="2689">
      <c r="A2689" s="23" t="n"/>
      <c r="B2689" s="23" t="n"/>
      <c r="C2689" s="24" t="n"/>
      <c r="D2689" s="15" t="n"/>
      <c r="E2689" s="23" t="n"/>
      <c r="F2689" s="15" t="n"/>
      <c r="G2689" s="23" t="n"/>
      <c r="H2689" s="25" t="n"/>
      <c r="I2689" s="15" t="n"/>
      <c r="J2689" s="26">
        <f>IF($A2689="","",LEN($C2689)-LEN(SUBSTITUTE($C2689,",",""))+1)</f>
        <v/>
      </c>
      <c r="K2689" s="26">
        <f>IF($A2689="","",SUMPRODUCT(--ISNUMBER(SEARCH('Category Dictionary'!$D$5:$D$135&amp;"",$C2689)),--('Category Dictionary'!$D$5:$D$135&lt;&gt;"")))</f>
        <v/>
      </c>
      <c r="L2689" s="27">
        <f>IF($A2689="","",TRIM(IF(ISERROR(FIND(",",$C2689)),$C2689,LEFT($C2689,FIND(",",$C2689)-1))))</f>
        <v/>
      </c>
      <c r="M2689" s="28">
        <f>IF($H2689="","",DATE(YEAR($H2689),MONTH($H2689),1))</f>
        <v/>
      </c>
      <c r="N2689" s="26">
        <f>IF($H2689="","",TODAY()-$H2689)</f>
        <v/>
      </c>
      <c r="O2689" s="15" t="n"/>
      <c r="P2689" s="26">
        <f>IF($A2689="","",COUNTIFS('Audit Versions'!$A$6:$A$605,$A2689,'Audit Versions'!$L$6:$L$605,"Active"))</f>
        <v/>
      </c>
      <c r="Q2689" s="15" t="n"/>
      <c r="R2689" s="26">
        <f>IF(OR($A2689="",$P2689=0),"",MOD(N($Q2689),$P2689)+1)</f>
        <v/>
      </c>
      <c r="S2689" s="15" t="n"/>
      <c r="T2689" s="25" t="n"/>
      <c r="U2689" s="26">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Builder'!$B$12="",N($S2689)&lt;='Assignment Builder'!$B$12)))</f>
        <v/>
      </c>
      <c r="V2689" s="23" t="n"/>
    </row>
    <row r="2690">
      <c r="A2690" s="23" t="n"/>
      <c r="B2690" s="23" t="n"/>
      <c r="C2690" s="24" t="n"/>
      <c r="D2690" s="15" t="n"/>
      <c r="E2690" s="23" t="n"/>
      <c r="F2690" s="15" t="n"/>
      <c r="G2690" s="23" t="n"/>
      <c r="H2690" s="25" t="n"/>
      <c r="I2690" s="15" t="n"/>
      <c r="J2690" s="26">
        <f>IF($A2690="","",LEN($C2690)-LEN(SUBSTITUTE($C2690,",",""))+1)</f>
        <v/>
      </c>
      <c r="K2690" s="26">
        <f>IF($A2690="","",SUMPRODUCT(--ISNUMBER(SEARCH('Category Dictionary'!$D$5:$D$135&amp;"",$C2690)),--('Category Dictionary'!$D$5:$D$135&lt;&gt;"")))</f>
        <v/>
      </c>
      <c r="L2690" s="27">
        <f>IF($A2690="","",TRIM(IF(ISERROR(FIND(",",$C2690)),$C2690,LEFT($C2690,FIND(",",$C2690)-1))))</f>
        <v/>
      </c>
      <c r="M2690" s="28">
        <f>IF($H2690="","",DATE(YEAR($H2690),MONTH($H2690),1))</f>
        <v/>
      </c>
      <c r="N2690" s="26">
        <f>IF($H2690="","",TODAY()-$H2690)</f>
        <v/>
      </c>
      <c r="O2690" s="15" t="n"/>
      <c r="P2690" s="26">
        <f>IF($A2690="","",COUNTIFS('Audit Versions'!$A$6:$A$605,$A2690,'Audit Versions'!$L$6:$L$605,"Active"))</f>
        <v/>
      </c>
      <c r="Q2690" s="15" t="n"/>
      <c r="R2690" s="26">
        <f>IF(OR($A2690="",$P2690=0),"",MOD(N($Q2690),$P2690)+1)</f>
        <v/>
      </c>
      <c r="S2690" s="15" t="n"/>
      <c r="T2690" s="25" t="n"/>
      <c r="U2690" s="26">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Builder'!$B$12="",N($S2690)&lt;='Assignment Builder'!$B$12)))</f>
        <v/>
      </c>
      <c r="V2690" s="23" t="n"/>
    </row>
    <row r="2691">
      <c r="A2691" s="23" t="n"/>
      <c r="B2691" s="23" t="n"/>
      <c r="C2691" s="24" t="n"/>
      <c r="D2691" s="15" t="n"/>
      <c r="E2691" s="23" t="n"/>
      <c r="F2691" s="15" t="n"/>
      <c r="G2691" s="23" t="n"/>
      <c r="H2691" s="25" t="n"/>
      <c r="I2691" s="15" t="n"/>
      <c r="J2691" s="26">
        <f>IF($A2691="","",LEN($C2691)-LEN(SUBSTITUTE($C2691,",",""))+1)</f>
        <v/>
      </c>
      <c r="K2691" s="26">
        <f>IF($A2691="","",SUMPRODUCT(--ISNUMBER(SEARCH('Category Dictionary'!$D$5:$D$135&amp;"",$C2691)),--('Category Dictionary'!$D$5:$D$135&lt;&gt;"")))</f>
        <v/>
      </c>
      <c r="L2691" s="27">
        <f>IF($A2691="","",TRIM(IF(ISERROR(FIND(",",$C2691)),$C2691,LEFT($C2691,FIND(",",$C2691)-1))))</f>
        <v/>
      </c>
      <c r="M2691" s="28">
        <f>IF($H2691="","",DATE(YEAR($H2691),MONTH($H2691),1))</f>
        <v/>
      </c>
      <c r="N2691" s="26">
        <f>IF($H2691="","",TODAY()-$H2691)</f>
        <v/>
      </c>
      <c r="O2691" s="15" t="n"/>
      <c r="P2691" s="26">
        <f>IF($A2691="","",COUNTIFS('Audit Versions'!$A$6:$A$605,$A2691,'Audit Versions'!$L$6:$L$605,"Active"))</f>
        <v/>
      </c>
      <c r="Q2691" s="15" t="n"/>
      <c r="R2691" s="26">
        <f>IF(OR($A2691="",$P2691=0),"",MOD(N($Q2691),$P2691)+1)</f>
        <v/>
      </c>
      <c r="S2691" s="15" t="n"/>
      <c r="T2691" s="25" t="n"/>
      <c r="U2691" s="26">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Builder'!$B$12="",N($S2691)&lt;='Assignment Builder'!$B$12)))</f>
        <v/>
      </c>
      <c r="V2691" s="23" t="n"/>
    </row>
    <row r="2692">
      <c r="A2692" s="23" t="n"/>
      <c r="B2692" s="23" t="n"/>
      <c r="C2692" s="24" t="n"/>
      <c r="D2692" s="15" t="n"/>
      <c r="E2692" s="23" t="n"/>
      <c r="F2692" s="15" t="n"/>
      <c r="G2692" s="23" t="n"/>
      <c r="H2692" s="25" t="n"/>
      <c r="I2692" s="15" t="n"/>
      <c r="J2692" s="26">
        <f>IF($A2692="","",LEN($C2692)-LEN(SUBSTITUTE($C2692,",",""))+1)</f>
        <v/>
      </c>
      <c r="K2692" s="26">
        <f>IF($A2692="","",SUMPRODUCT(--ISNUMBER(SEARCH('Category Dictionary'!$D$5:$D$135&amp;"",$C2692)),--('Category Dictionary'!$D$5:$D$135&lt;&gt;"")))</f>
        <v/>
      </c>
      <c r="L2692" s="27">
        <f>IF($A2692="","",TRIM(IF(ISERROR(FIND(",",$C2692)),$C2692,LEFT($C2692,FIND(",",$C2692)-1))))</f>
        <v/>
      </c>
      <c r="M2692" s="28">
        <f>IF($H2692="","",DATE(YEAR($H2692),MONTH($H2692),1))</f>
        <v/>
      </c>
      <c r="N2692" s="26">
        <f>IF($H2692="","",TODAY()-$H2692)</f>
        <v/>
      </c>
      <c r="O2692" s="15" t="n"/>
      <c r="P2692" s="26">
        <f>IF($A2692="","",COUNTIFS('Audit Versions'!$A$6:$A$605,$A2692,'Audit Versions'!$L$6:$L$605,"Active"))</f>
        <v/>
      </c>
      <c r="Q2692" s="15" t="n"/>
      <c r="R2692" s="26">
        <f>IF(OR($A2692="",$P2692=0),"",MOD(N($Q2692),$P2692)+1)</f>
        <v/>
      </c>
      <c r="S2692" s="15" t="n"/>
      <c r="T2692" s="25" t="n"/>
      <c r="U2692" s="26">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Builder'!$B$12="",N($S2692)&lt;='Assignment Builder'!$B$12)))</f>
        <v/>
      </c>
      <c r="V2692" s="23" t="n"/>
    </row>
    <row r="2693">
      <c r="A2693" s="23" t="n"/>
      <c r="B2693" s="23" t="n"/>
      <c r="C2693" s="24" t="n"/>
      <c r="D2693" s="15" t="n"/>
      <c r="E2693" s="23" t="n"/>
      <c r="F2693" s="15" t="n"/>
      <c r="G2693" s="23" t="n"/>
      <c r="H2693" s="25" t="n"/>
      <c r="I2693" s="15" t="n"/>
      <c r="J2693" s="26">
        <f>IF($A2693="","",LEN($C2693)-LEN(SUBSTITUTE($C2693,",",""))+1)</f>
        <v/>
      </c>
      <c r="K2693" s="26">
        <f>IF($A2693="","",SUMPRODUCT(--ISNUMBER(SEARCH('Category Dictionary'!$D$5:$D$135&amp;"",$C2693)),--('Category Dictionary'!$D$5:$D$135&lt;&gt;"")))</f>
        <v/>
      </c>
      <c r="L2693" s="27">
        <f>IF($A2693="","",TRIM(IF(ISERROR(FIND(",",$C2693)),$C2693,LEFT($C2693,FIND(",",$C2693)-1))))</f>
        <v/>
      </c>
      <c r="M2693" s="28">
        <f>IF($H2693="","",DATE(YEAR($H2693),MONTH($H2693),1))</f>
        <v/>
      </c>
      <c r="N2693" s="26">
        <f>IF($H2693="","",TODAY()-$H2693)</f>
        <v/>
      </c>
      <c r="O2693" s="15" t="n"/>
      <c r="P2693" s="26">
        <f>IF($A2693="","",COUNTIFS('Audit Versions'!$A$6:$A$605,$A2693,'Audit Versions'!$L$6:$L$605,"Active"))</f>
        <v/>
      </c>
      <c r="Q2693" s="15" t="n"/>
      <c r="R2693" s="26">
        <f>IF(OR($A2693="",$P2693=0),"",MOD(N($Q2693),$P2693)+1)</f>
        <v/>
      </c>
      <c r="S2693" s="15" t="n"/>
      <c r="T2693" s="25" t="n"/>
      <c r="U2693" s="26">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Builder'!$B$12="",N($S2693)&lt;='Assignment Builder'!$B$12)))</f>
        <v/>
      </c>
      <c r="V2693" s="23" t="n"/>
    </row>
    <row r="2694">
      <c r="A2694" s="23" t="n"/>
      <c r="B2694" s="23" t="n"/>
      <c r="C2694" s="24" t="n"/>
      <c r="D2694" s="15" t="n"/>
      <c r="E2694" s="23" t="n"/>
      <c r="F2694" s="15" t="n"/>
      <c r="G2694" s="23" t="n"/>
      <c r="H2694" s="25" t="n"/>
      <c r="I2694" s="15" t="n"/>
      <c r="J2694" s="26">
        <f>IF($A2694="","",LEN($C2694)-LEN(SUBSTITUTE($C2694,",",""))+1)</f>
        <v/>
      </c>
      <c r="K2694" s="26">
        <f>IF($A2694="","",SUMPRODUCT(--ISNUMBER(SEARCH('Category Dictionary'!$D$5:$D$135&amp;"",$C2694)),--('Category Dictionary'!$D$5:$D$135&lt;&gt;"")))</f>
        <v/>
      </c>
      <c r="L2694" s="27">
        <f>IF($A2694="","",TRIM(IF(ISERROR(FIND(",",$C2694)),$C2694,LEFT($C2694,FIND(",",$C2694)-1))))</f>
        <v/>
      </c>
      <c r="M2694" s="28">
        <f>IF($H2694="","",DATE(YEAR($H2694),MONTH($H2694),1))</f>
        <v/>
      </c>
      <c r="N2694" s="26">
        <f>IF($H2694="","",TODAY()-$H2694)</f>
        <v/>
      </c>
      <c r="O2694" s="15" t="n"/>
      <c r="P2694" s="26">
        <f>IF($A2694="","",COUNTIFS('Audit Versions'!$A$6:$A$605,$A2694,'Audit Versions'!$L$6:$L$605,"Active"))</f>
        <v/>
      </c>
      <c r="Q2694" s="15" t="n"/>
      <c r="R2694" s="26">
        <f>IF(OR($A2694="",$P2694=0),"",MOD(N($Q2694),$P2694)+1)</f>
        <v/>
      </c>
      <c r="S2694" s="15" t="n"/>
      <c r="T2694" s="25" t="n"/>
      <c r="U2694" s="26">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Builder'!$B$12="",N($S2694)&lt;='Assignment Builder'!$B$12)))</f>
        <v/>
      </c>
      <c r="V2694" s="23" t="n"/>
    </row>
    <row r="2695">
      <c r="A2695" s="23" t="n"/>
      <c r="B2695" s="23" t="n"/>
      <c r="C2695" s="24" t="n"/>
      <c r="D2695" s="15" t="n"/>
      <c r="E2695" s="23" t="n"/>
      <c r="F2695" s="15" t="n"/>
      <c r="G2695" s="23" t="n"/>
      <c r="H2695" s="25" t="n"/>
      <c r="I2695" s="15" t="n"/>
      <c r="J2695" s="26">
        <f>IF($A2695="","",LEN($C2695)-LEN(SUBSTITUTE($C2695,",",""))+1)</f>
        <v/>
      </c>
      <c r="K2695" s="26">
        <f>IF($A2695="","",SUMPRODUCT(--ISNUMBER(SEARCH('Category Dictionary'!$D$5:$D$135&amp;"",$C2695)),--('Category Dictionary'!$D$5:$D$135&lt;&gt;"")))</f>
        <v/>
      </c>
      <c r="L2695" s="27">
        <f>IF($A2695="","",TRIM(IF(ISERROR(FIND(",",$C2695)),$C2695,LEFT($C2695,FIND(",",$C2695)-1))))</f>
        <v/>
      </c>
      <c r="M2695" s="28">
        <f>IF($H2695="","",DATE(YEAR($H2695),MONTH($H2695),1))</f>
        <v/>
      </c>
      <c r="N2695" s="26">
        <f>IF($H2695="","",TODAY()-$H2695)</f>
        <v/>
      </c>
      <c r="O2695" s="15" t="n"/>
      <c r="P2695" s="26">
        <f>IF($A2695="","",COUNTIFS('Audit Versions'!$A$6:$A$605,$A2695,'Audit Versions'!$L$6:$L$605,"Active"))</f>
        <v/>
      </c>
      <c r="Q2695" s="15" t="n"/>
      <c r="R2695" s="26">
        <f>IF(OR($A2695="",$P2695=0),"",MOD(N($Q2695),$P2695)+1)</f>
        <v/>
      </c>
      <c r="S2695" s="15" t="n"/>
      <c r="T2695" s="25" t="n"/>
      <c r="U2695" s="26">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Builder'!$B$12="",N($S2695)&lt;='Assignment Builder'!$B$12)))</f>
        <v/>
      </c>
      <c r="V2695" s="23" t="n"/>
    </row>
    <row r="2696">
      <c r="A2696" s="23" t="n"/>
      <c r="B2696" s="23" t="n"/>
      <c r="C2696" s="24" t="n"/>
      <c r="D2696" s="15" t="n"/>
      <c r="E2696" s="23" t="n"/>
      <c r="F2696" s="15" t="n"/>
      <c r="G2696" s="23" t="n"/>
      <c r="H2696" s="25" t="n"/>
      <c r="I2696" s="15" t="n"/>
      <c r="J2696" s="26">
        <f>IF($A2696="","",LEN($C2696)-LEN(SUBSTITUTE($C2696,",",""))+1)</f>
        <v/>
      </c>
      <c r="K2696" s="26">
        <f>IF($A2696="","",SUMPRODUCT(--ISNUMBER(SEARCH('Category Dictionary'!$D$5:$D$135&amp;"",$C2696)),--('Category Dictionary'!$D$5:$D$135&lt;&gt;"")))</f>
        <v/>
      </c>
      <c r="L2696" s="27">
        <f>IF($A2696="","",TRIM(IF(ISERROR(FIND(",",$C2696)),$C2696,LEFT($C2696,FIND(",",$C2696)-1))))</f>
        <v/>
      </c>
      <c r="M2696" s="28">
        <f>IF($H2696="","",DATE(YEAR($H2696),MONTH($H2696),1))</f>
        <v/>
      </c>
      <c r="N2696" s="26">
        <f>IF($H2696="","",TODAY()-$H2696)</f>
        <v/>
      </c>
      <c r="O2696" s="15" t="n"/>
      <c r="P2696" s="26">
        <f>IF($A2696="","",COUNTIFS('Audit Versions'!$A$6:$A$605,$A2696,'Audit Versions'!$L$6:$L$605,"Active"))</f>
        <v/>
      </c>
      <c r="Q2696" s="15" t="n"/>
      <c r="R2696" s="26">
        <f>IF(OR($A2696="",$P2696=0),"",MOD(N($Q2696),$P2696)+1)</f>
        <v/>
      </c>
      <c r="S2696" s="15" t="n"/>
      <c r="T2696" s="25" t="n"/>
      <c r="U2696" s="26">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Builder'!$B$12="",N($S2696)&lt;='Assignment Builder'!$B$12)))</f>
        <v/>
      </c>
      <c r="V2696" s="23" t="n"/>
    </row>
    <row r="2697">
      <c r="A2697" s="23" t="n"/>
      <c r="B2697" s="23" t="n"/>
      <c r="C2697" s="24" t="n"/>
      <c r="D2697" s="15" t="n"/>
      <c r="E2697" s="23" t="n"/>
      <c r="F2697" s="15" t="n"/>
      <c r="G2697" s="23" t="n"/>
      <c r="H2697" s="25" t="n"/>
      <c r="I2697" s="15" t="n"/>
      <c r="J2697" s="26">
        <f>IF($A2697="","",LEN($C2697)-LEN(SUBSTITUTE($C2697,",",""))+1)</f>
        <v/>
      </c>
      <c r="K2697" s="26">
        <f>IF($A2697="","",SUMPRODUCT(--ISNUMBER(SEARCH('Category Dictionary'!$D$5:$D$135&amp;"",$C2697)),--('Category Dictionary'!$D$5:$D$135&lt;&gt;"")))</f>
        <v/>
      </c>
      <c r="L2697" s="27">
        <f>IF($A2697="","",TRIM(IF(ISERROR(FIND(",",$C2697)),$C2697,LEFT($C2697,FIND(",",$C2697)-1))))</f>
        <v/>
      </c>
      <c r="M2697" s="28">
        <f>IF($H2697="","",DATE(YEAR($H2697),MONTH($H2697),1))</f>
        <v/>
      </c>
      <c r="N2697" s="26">
        <f>IF($H2697="","",TODAY()-$H2697)</f>
        <v/>
      </c>
      <c r="O2697" s="15" t="n"/>
      <c r="P2697" s="26">
        <f>IF($A2697="","",COUNTIFS('Audit Versions'!$A$6:$A$605,$A2697,'Audit Versions'!$L$6:$L$605,"Active"))</f>
        <v/>
      </c>
      <c r="Q2697" s="15" t="n"/>
      <c r="R2697" s="26">
        <f>IF(OR($A2697="",$P2697=0),"",MOD(N($Q2697),$P2697)+1)</f>
        <v/>
      </c>
      <c r="S2697" s="15" t="n"/>
      <c r="T2697" s="25" t="n"/>
      <c r="U2697" s="26">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Builder'!$B$12="",N($S2697)&lt;='Assignment Builder'!$B$12)))</f>
        <v/>
      </c>
      <c r="V2697" s="23" t="n"/>
    </row>
    <row r="2698">
      <c r="A2698" s="23" t="n"/>
      <c r="B2698" s="23" t="n"/>
      <c r="C2698" s="24" t="n"/>
      <c r="D2698" s="15" t="n"/>
      <c r="E2698" s="23" t="n"/>
      <c r="F2698" s="15" t="n"/>
      <c r="G2698" s="23" t="n"/>
      <c r="H2698" s="25" t="n"/>
      <c r="I2698" s="15" t="n"/>
      <c r="J2698" s="26">
        <f>IF($A2698="","",LEN($C2698)-LEN(SUBSTITUTE($C2698,",",""))+1)</f>
        <v/>
      </c>
      <c r="K2698" s="26">
        <f>IF($A2698="","",SUMPRODUCT(--ISNUMBER(SEARCH('Category Dictionary'!$D$5:$D$135&amp;"",$C2698)),--('Category Dictionary'!$D$5:$D$135&lt;&gt;"")))</f>
        <v/>
      </c>
      <c r="L2698" s="27">
        <f>IF($A2698="","",TRIM(IF(ISERROR(FIND(",",$C2698)),$C2698,LEFT($C2698,FIND(",",$C2698)-1))))</f>
        <v/>
      </c>
      <c r="M2698" s="28">
        <f>IF($H2698="","",DATE(YEAR($H2698),MONTH($H2698),1))</f>
        <v/>
      </c>
      <c r="N2698" s="26">
        <f>IF($H2698="","",TODAY()-$H2698)</f>
        <v/>
      </c>
      <c r="O2698" s="15" t="n"/>
      <c r="P2698" s="26">
        <f>IF($A2698="","",COUNTIFS('Audit Versions'!$A$6:$A$605,$A2698,'Audit Versions'!$L$6:$L$605,"Active"))</f>
        <v/>
      </c>
      <c r="Q2698" s="15" t="n"/>
      <c r="R2698" s="26">
        <f>IF(OR($A2698="",$P2698=0),"",MOD(N($Q2698),$P2698)+1)</f>
        <v/>
      </c>
      <c r="S2698" s="15" t="n"/>
      <c r="T2698" s="25" t="n"/>
      <c r="U2698" s="26">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Builder'!$B$12="",N($S2698)&lt;='Assignment Builder'!$B$12)))</f>
        <v/>
      </c>
      <c r="V2698" s="23" t="n"/>
    </row>
    <row r="2699">
      <c r="A2699" s="23" t="n"/>
      <c r="B2699" s="23" t="n"/>
      <c r="C2699" s="24" t="n"/>
      <c r="D2699" s="15" t="n"/>
      <c r="E2699" s="23" t="n"/>
      <c r="F2699" s="15" t="n"/>
      <c r="G2699" s="23" t="n"/>
      <c r="H2699" s="25" t="n"/>
      <c r="I2699" s="15" t="n"/>
      <c r="J2699" s="26">
        <f>IF($A2699="","",LEN($C2699)-LEN(SUBSTITUTE($C2699,",",""))+1)</f>
        <v/>
      </c>
      <c r="K2699" s="26">
        <f>IF($A2699="","",SUMPRODUCT(--ISNUMBER(SEARCH('Category Dictionary'!$D$5:$D$135&amp;"",$C2699)),--('Category Dictionary'!$D$5:$D$135&lt;&gt;"")))</f>
        <v/>
      </c>
      <c r="L2699" s="27">
        <f>IF($A2699="","",TRIM(IF(ISERROR(FIND(",",$C2699)),$C2699,LEFT($C2699,FIND(",",$C2699)-1))))</f>
        <v/>
      </c>
      <c r="M2699" s="28">
        <f>IF($H2699="","",DATE(YEAR($H2699),MONTH($H2699),1))</f>
        <v/>
      </c>
      <c r="N2699" s="26">
        <f>IF($H2699="","",TODAY()-$H2699)</f>
        <v/>
      </c>
      <c r="O2699" s="15" t="n"/>
      <c r="P2699" s="26">
        <f>IF($A2699="","",COUNTIFS('Audit Versions'!$A$6:$A$605,$A2699,'Audit Versions'!$L$6:$L$605,"Active"))</f>
        <v/>
      </c>
      <c r="Q2699" s="15" t="n"/>
      <c r="R2699" s="26">
        <f>IF(OR($A2699="",$P2699=0),"",MOD(N($Q2699),$P2699)+1)</f>
        <v/>
      </c>
      <c r="S2699" s="15" t="n"/>
      <c r="T2699" s="25" t="n"/>
      <c r="U2699" s="26">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Builder'!$B$12="",N($S2699)&lt;='Assignment Builder'!$B$12)))</f>
        <v/>
      </c>
      <c r="V2699" s="23" t="n"/>
    </row>
    <row r="2700">
      <c r="A2700" s="23" t="n"/>
      <c r="B2700" s="23" t="n"/>
      <c r="C2700" s="24" t="n"/>
      <c r="D2700" s="15" t="n"/>
      <c r="E2700" s="23" t="n"/>
      <c r="F2700" s="15" t="n"/>
      <c r="G2700" s="23" t="n"/>
      <c r="H2700" s="25" t="n"/>
      <c r="I2700" s="15" t="n"/>
      <c r="J2700" s="26">
        <f>IF($A2700="","",LEN($C2700)-LEN(SUBSTITUTE($C2700,",",""))+1)</f>
        <v/>
      </c>
      <c r="K2700" s="26">
        <f>IF($A2700="","",SUMPRODUCT(--ISNUMBER(SEARCH('Category Dictionary'!$D$5:$D$135&amp;"",$C2700)),--('Category Dictionary'!$D$5:$D$135&lt;&gt;"")))</f>
        <v/>
      </c>
      <c r="L2700" s="27">
        <f>IF($A2700="","",TRIM(IF(ISERROR(FIND(",",$C2700)),$C2700,LEFT($C2700,FIND(",",$C2700)-1))))</f>
        <v/>
      </c>
      <c r="M2700" s="28">
        <f>IF($H2700="","",DATE(YEAR($H2700),MONTH($H2700),1))</f>
        <v/>
      </c>
      <c r="N2700" s="26">
        <f>IF($H2700="","",TODAY()-$H2700)</f>
        <v/>
      </c>
      <c r="O2700" s="15" t="n"/>
      <c r="P2700" s="26">
        <f>IF($A2700="","",COUNTIFS('Audit Versions'!$A$6:$A$605,$A2700,'Audit Versions'!$L$6:$L$605,"Active"))</f>
        <v/>
      </c>
      <c r="Q2700" s="15" t="n"/>
      <c r="R2700" s="26">
        <f>IF(OR($A2700="",$P2700=0),"",MOD(N($Q2700),$P2700)+1)</f>
        <v/>
      </c>
      <c r="S2700" s="15" t="n"/>
      <c r="T2700" s="25" t="n"/>
      <c r="U2700" s="26">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Builder'!$B$12="",N($S2700)&lt;='Assignment Builder'!$B$12)))</f>
        <v/>
      </c>
      <c r="V2700" s="23" t="n"/>
    </row>
    <row r="2701">
      <c r="A2701" s="23" t="n"/>
      <c r="B2701" s="23" t="n"/>
      <c r="C2701" s="24" t="n"/>
      <c r="D2701" s="15" t="n"/>
      <c r="E2701" s="23" t="n"/>
      <c r="F2701" s="15" t="n"/>
      <c r="G2701" s="23" t="n"/>
      <c r="H2701" s="25" t="n"/>
      <c r="I2701" s="15" t="n"/>
      <c r="J2701" s="26">
        <f>IF($A2701="","",LEN($C2701)-LEN(SUBSTITUTE($C2701,",",""))+1)</f>
        <v/>
      </c>
      <c r="K2701" s="26">
        <f>IF($A2701="","",SUMPRODUCT(--ISNUMBER(SEARCH('Category Dictionary'!$D$5:$D$135&amp;"",$C2701)),--('Category Dictionary'!$D$5:$D$135&lt;&gt;"")))</f>
        <v/>
      </c>
      <c r="L2701" s="27">
        <f>IF($A2701="","",TRIM(IF(ISERROR(FIND(",",$C2701)),$C2701,LEFT($C2701,FIND(",",$C2701)-1))))</f>
        <v/>
      </c>
      <c r="M2701" s="28">
        <f>IF($H2701="","",DATE(YEAR($H2701),MONTH($H2701),1))</f>
        <v/>
      </c>
      <c r="N2701" s="26">
        <f>IF($H2701="","",TODAY()-$H2701)</f>
        <v/>
      </c>
      <c r="O2701" s="15" t="n"/>
      <c r="P2701" s="26">
        <f>IF($A2701="","",COUNTIFS('Audit Versions'!$A$6:$A$605,$A2701,'Audit Versions'!$L$6:$L$605,"Active"))</f>
        <v/>
      </c>
      <c r="Q2701" s="15" t="n"/>
      <c r="R2701" s="26">
        <f>IF(OR($A2701="",$P2701=0),"",MOD(N($Q2701),$P2701)+1)</f>
        <v/>
      </c>
      <c r="S2701" s="15" t="n"/>
      <c r="T2701" s="25" t="n"/>
      <c r="U2701" s="26">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Builder'!$B$12="",N($S2701)&lt;='Assignment Builder'!$B$12)))</f>
        <v/>
      </c>
      <c r="V2701" s="23" t="n"/>
    </row>
    <row r="2702">
      <c r="A2702" s="23" t="n"/>
      <c r="B2702" s="23" t="n"/>
      <c r="C2702" s="24" t="n"/>
      <c r="D2702" s="15" t="n"/>
      <c r="E2702" s="23" t="n"/>
      <c r="F2702" s="15" t="n"/>
      <c r="G2702" s="23" t="n"/>
      <c r="H2702" s="25" t="n"/>
      <c r="I2702" s="15" t="n"/>
      <c r="J2702" s="26">
        <f>IF($A2702="","",LEN($C2702)-LEN(SUBSTITUTE($C2702,",",""))+1)</f>
        <v/>
      </c>
      <c r="K2702" s="26">
        <f>IF($A2702="","",SUMPRODUCT(--ISNUMBER(SEARCH('Category Dictionary'!$D$5:$D$135&amp;"",$C2702)),--('Category Dictionary'!$D$5:$D$135&lt;&gt;"")))</f>
        <v/>
      </c>
      <c r="L2702" s="27">
        <f>IF($A2702="","",TRIM(IF(ISERROR(FIND(",",$C2702)),$C2702,LEFT($C2702,FIND(",",$C2702)-1))))</f>
        <v/>
      </c>
      <c r="M2702" s="28">
        <f>IF($H2702="","",DATE(YEAR($H2702),MONTH($H2702),1))</f>
        <v/>
      </c>
      <c r="N2702" s="26">
        <f>IF($H2702="","",TODAY()-$H2702)</f>
        <v/>
      </c>
      <c r="O2702" s="15" t="n"/>
      <c r="P2702" s="26">
        <f>IF($A2702="","",COUNTIFS('Audit Versions'!$A$6:$A$605,$A2702,'Audit Versions'!$L$6:$L$605,"Active"))</f>
        <v/>
      </c>
      <c r="Q2702" s="15" t="n"/>
      <c r="R2702" s="26">
        <f>IF(OR($A2702="",$P2702=0),"",MOD(N($Q2702),$P2702)+1)</f>
        <v/>
      </c>
      <c r="S2702" s="15" t="n"/>
      <c r="T2702" s="25" t="n"/>
      <c r="U2702" s="26">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Builder'!$B$12="",N($S2702)&lt;='Assignment Builder'!$B$12)))</f>
        <v/>
      </c>
      <c r="V2702" s="23" t="n"/>
    </row>
    <row r="2703">
      <c r="A2703" s="23" t="n"/>
      <c r="B2703" s="23" t="n"/>
      <c r="C2703" s="24" t="n"/>
      <c r="D2703" s="15" t="n"/>
      <c r="E2703" s="23" t="n"/>
      <c r="F2703" s="15" t="n"/>
      <c r="G2703" s="23" t="n"/>
      <c r="H2703" s="25" t="n"/>
      <c r="I2703" s="15" t="n"/>
      <c r="J2703" s="26">
        <f>IF($A2703="","",LEN($C2703)-LEN(SUBSTITUTE($C2703,",",""))+1)</f>
        <v/>
      </c>
      <c r="K2703" s="26">
        <f>IF($A2703="","",SUMPRODUCT(--ISNUMBER(SEARCH('Category Dictionary'!$D$5:$D$135&amp;"",$C2703)),--('Category Dictionary'!$D$5:$D$135&lt;&gt;"")))</f>
        <v/>
      </c>
      <c r="L2703" s="27">
        <f>IF($A2703="","",TRIM(IF(ISERROR(FIND(",",$C2703)),$C2703,LEFT($C2703,FIND(",",$C2703)-1))))</f>
        <v/>
      </c>
      <c r="M2703" s="28">
        <f>IF($H2703="","",DATE(YEAR($H2703),MONTH($H2703),1))</f>
        <v/>
      </c>
      <c r="N2703" s="26">
        <f>IF($H2703="","",TODAY()-$H2703)</f>
        <v/>
      </c>
      <c r="O2703" s="15" t="n"/>
      <c r="P2703" s="26">
        <f>IF($A2703="","",COUNTIFS('Audit Versions'!$A$6:$A$605,$A2703,'Audit Versions'!$L$6:$L$605,"Active"))</f>
        <v/>
      </c>
      <c r="Q2703" s="15" t="n"/>
      <c r="R2703" s="26">
        <f>IF(OR($A2703="",$P2703=0),"",MOD(N($Q2703),$P2703)+1)</f>
        <v/>
      </c>
      <c r="S2703" s="15" t="n"/>
      <c r="T2703" s="25" t="n"/>
      <c r="U2703" s="26">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Builder'!$B$12="",N($S2703)&lt;='Assignment Builder'!$B$12)))</f>
        <v/>
      </c>
      <c r="V2703" s="23" t="n"/>
    </row>
    <row r="2704">
      <c r="A2704" s="23" t="n"/>
      <c r="B2704" s="23" t="n"/>
      <c r="C2704" s="24" t="n"/>
      <c r="D2704" s="15" t="n"/>
      <c r="E2704" s="23" t="n"/>
      <c r="F2704" s="15" t="n"/>
      <c r="G2704" s="23" t="n"/>
      <c r="H2704" s="25" t="n"/>
      <c r="I2704" s="15" t="n"/>
      <c r="J2704" s="26">
        <f>IF($A2704="","",LEN($C2704)-LEN(SUBSTITUTE($C2704,",",""))+1)</f>
        <v/>
      </c>
      <c r="K2704" s="26">
        <f>IF($A2704="","",SUMPRODUCT(--ISNUMBER(SEARCH('Category Dictionary'!$D$5:$D$135&amp;"",$C2704)),--('Category Dictionary'!$D$5:$D$135&lt;&gt;"")))</f>
        <v/>
      </c>
      <c r="L2704" s="27">
        <f>IF($A2704="","",TRIM(IF(ISERROR(FIND(",",$C2704)),$C2704,LEFT($C2704,FIND(",",$C2704)-1))))</f>
        <v/>
      </c>
      <c r="M2704" s="28">
        <f>IF($H2704="","",DATE(YEAR($H2704),MONTH($H2704),1))</f>
        <v/>
      </c>
      <c r="N2704" s="26">
        <f>IF($H2704="","",TODAY()-$H2704)</f>
        <v/>
      </c>
      <c r="O2704" s="15" t="n"/>
      <c r="P2704" s="26">
        <f>IF($A2704="","",COUNTIFS('Audit Versions'!$A$6:$A$605,$A2704,'Audit Versions'!$L$6:$L$605,"Active"))</f>
        <v/>
      </c>
      <c r="Q2704" s="15" t="n"/>
      <c r="R2704" s="26">
        <f>IF(OR($A2704="",$P2704=0),"",MOD(N($Q2704),$P2704)+1)</f>
        <v/>
      </c>
      <c r="S2704" s="15" t="n"/>
      <c r="T2704" s="25" t="n"/>
      <c r="U2704" s="26">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Builder'!$B$12="",N($S2704)&lt;='Assignment Builder'!$B$12)))</f>
        <v/>
      </c>
      <c r="V2704" s="23" t="n"/>
    </row>
    <row r="2705">
      <c r="A2705" s="23" t="n"/>
      <c r="B2705" s="23" t="n"/>
      <c r="C2705" s="24" t="n"/>
      <c r="D2705" s="15" t="n"/>
      <c r="E2705" s="23" t="n"/>
      <c r="F2705" s="15" t="n"/>
      <c r="G2705" s="23" t="n"/>
      <c r="H2705" s="25" t="n"/>
      <c r="I2705" s="15" t="n"/>
      <c r="J2705" s="26">
        <f>IF($A2705="","",LEN($C2705)-LEN(SUBSTITUTE($C2705,",",""))+1)</f>
        <v/>
      </c>
      <c r="K2705" s="26">
        <f>IF($A2705="","",SUMPRODUCT(--ISNUMBER(SEARCH('Category Dictionary'!$D$5:$D$135&amp;"",$C2705)),--('Category Dictionary'!$D$5:$D$135&lt;&gt;"")))</f>
        <v/>
      </c>
      <c r="L2705" s="27">
        <f>IF($A2705="","",TRIM(IF(ISERROR(FIND(",",$C2705)),$C2705,LEFT($C2705,FIND(",",$C2705)-1))))</f>
        <v/>
      </c>
      <c r="M2705" s="28">
        <f>IF($H2705="","",DATE(YEAR($H2705),MONTH($H2705),1))</f>
        <v/>
      </c>
      <c r="N2705" s="26">
        <f>IF($H2705="","",TODAY()-$H2705)</f>
        <v/>
      </c>
      <c r="O2705" s="15" t="n"/>
      <c r="P2705" s="26">
        <f>IF($A2705="","",COUNTIFS('Audit Versions'!$A$6:$A$605,$A2705,'Audit Versions'!$L$6:$L$605,"Active"))</f>
        <v/>
      </c>
      <c r="Q2705" s="15" t="n"/>
      <c r="R2705" s="26">
        <f>IF(OR($A2705="",$P2705=0),"",MOD(N($Q2705),$P2705)+1)</f>
        <v/>
      </c>
      <c r="S2705" s="15" t="n"/>
      <c r="T2705" s="25" t="n"/>
      <c r="U2705" s="26">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Builder'!$B$12="",N($S2705)&lt;='Assignment Builder'!$B$12)))</f>
        <v/>
      </c>
      <c r="V2705" s="23" t="n"/>
    </row>
    <row r="2706">
      <c r="A2706" s="23" t="n"/>
      <c r="B2706" s="23" t="n"/>
      <c r="C2706" s="24" t="n"/>
      <c r="D2706" s="15" t="n"/>
      <c r="E2706" s="23" t="n"/>
      <c r="F2706" s="15" t="n"/>
      <c r="G2706" s="23" t="n"/>
      <c r="H2706" s="25" t="n"/>
      <c r="I2706" s="15" t="n"/>
      <c r="J2706" s="26">
        <f>IF($A2706="","",LEN($C2706)-LEN(SUBSTITUTE($C2706,",",""))+1)</f>
        <v/>
      </c>
      <c r="K2706" s="26">
        <f>IF($A2706="","",SUMPRODUCT(--ISNUMBER(SEARCH('Category Dictionary'!$D$5:$D$135&amp;"",$C2706)),--('Category Dictionary'!$D$5:$D$135&lt;&gt;"")))</f>
        <v/>
      </c>
      <c r="L2706" s="27">
        <f>IF($A2706="","",TRIM(IF(ISERROR(FIND(",",$C2706)),$C2706,LEFT($C2706,FIND(",",$C2706)-1))))</f>
        <v/>
      </c>
      <c r="M2706" s="28">
        <f>IF($H2706="","",DATE(YEAR($H2706),MONTH($H2706),1))</f>
        <v/>
      </c>
      <c r="N2706" s="26">
        <f>IF($H2706="","",TODAY()-$H2706)</f>
        <v/>
      </c>
      <c r="O2706" s="15" t="n"/>
      <c r="P2706" s="26">
        <f>IF($A2706="","",COUNTIFS('Audit Versions'!$A$6:$A$605,$A2706,'Audit Versions'!$L$6:$L$605,"Active"))</f>
        <v/>
      </c>
      <c r="Q2706" s="15" t="n"/>
      <c r="R2706" s="26">
        <f>IF(OR($A2706="",$P2706=0),"",MOD(N($Q2706),$P2706)+1)</f>
        <v/>
      </c>
      <c r="S2706" s="15" t="n"/>
      <c r="T2706" s="25" t="n"/>
      <c r="U2706" s="26">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Builder'!$B$12="",N($S2706)&lt;='Assignment Builder'!$B$12)))</f>
        <v/>
      </c>
      <c r="V2706" s="23" t="n"/>
    </row>
    <row r="2707">
      <c r="A2707" s="23" t="n"/>
      <c r="B2707" s="23" t="n"/>
      <c r="C2707" s="24" t="n"/>
      <c r="D2707" s="15" t="n"/>
      <c r="E2707" s="23" t="n"/>
      <c r="F2707" s="15" t="n"/>
      <c r="G2707" s="23" t="n"/>
      <c r="H2707" s="25" t="n"/>
      <c r="I2707" s="15" t="n"/>
      <c r="J2707" s="26">
        <f>IF($A2707="","",LEN($C2707)-LEN(SUBSTITUTE($C2707,",",""))+1)</f>
        <v/>
      </c>
      <c r="K2707" s="26">
        <f>IF($A2707="","",SUMPRODUCT(--ISNUMBER(SEARCH('Category Dictionary'!$D$5:$D$135&amp;"",$C2707)),--('Category Dictionary'!$D$5:$D$135&lt;&gt;"")))</f>
        <v/>
      </c>
      <c r="L2707" s="27">
        <f>IF($A2707="","",TRIM(IF(ISERROR(FIND(",",$C2707)),$C2707,LEFT($C2707,FIND(",",$C2707)-1))))</f>
        <v/>
      </c>
      <c r="M2707" s="28">
        <f>IF($H2707="","",DATE(YEAR($H2707),MONTH($H2707),1))</f>
        <v/>
      </c>
      <c r="N2707" s="26">
        <f>IF($H2707="","",TODAY()-$H2707)</f>
        <v/>
      </c>
      <c r="O2707" s="15" t="n"/>
      <c r="P2707" s="26">
        <f>IF($A2707="","",COUNTIFS('Audit Versions'!$A$6:$A$605,$A2707,'Audit Versions'!$L$6:$L$605,"Active"))</f>
        <v/>
      </c>
      <c r="Q2707" s="15" t="n"/>
      <c r="R2707" s="26">
        <f>IF(OR($A2707="",$P2707=0),"",MOD(N($Q2707),$P2707)+1)</f>
        <v/>
      </c>
      <c r="S2707" s="15" t="n"/>
      <c r="T2707" s="25" t="n"/>
      <c r="U2707" s="26">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Builder'!$B$12="",N($S2707)&lt;='Assignment Builder'!$B$12)))</f>
        <v/>
      </c>
      <c r="V2707" s="23" t="n"/>
    </row>
    <row r="2708">
      <c r="A2708" s="23" t="n"/>
      <c r="B2708" s="23" t="n"/>
      <c r="C2708" s="24" t="n"/>
      <c r="D2708" s="15" t="n"/>
      <c r="E2708" s="23" t="n"/>
      <c r="F2708" s="15" t="n"/>
      <c r="G2708" s="23" t="n"/>
      <c r="H2708" s="25" t="n"/>
      <c r="I2708" s="15" t="n"/>
      <c r="J2708" s="26">
        <f>IF($A2708="","",LEN($C2708)-LEN(SUBSTITUTE($C2708,",",""))+1)</f>
        <v/>
      </c>
      <c r="K2708" s="26">
        <f>IF($A2708="","",SUMPRODUCT(--ISNUMBER(SEARCH('Category Dictionary'!$D$5:$D$135&amp;"",$C2708)),--('Category Dictionary'!$D$5:$D$135&lt;&gt;"")))</f>
        <v/>
      </c>
      <c r="L2708" s="27">
        <f>IF($A2708="","",TRIM(IF(ISERROR(FIND(",",$C2708)),$C2708,LEFT($C2708,FIND(",",$C2708)-1))))</f>
        <v/>
      </c>
      <c r="M2708" s="28">
        <f>IF($H2708="","",DATE(YEAR($H2708),MONTH($H2708),1))</f>
        <v/>
      </c>
      <c r="N2708" s="26">
        <f>IF($H2708="","",TODAY()-$H2708)</f>
        <v/>
      </c>
      <c r="O2708" s="15" t="n"/>
      <c r="P2708" s="26">
        <f>IF($A2708="","",COUNTIFS('Audit Versions'!$A$6:$A$605,$A2708,'Audit Versions'!$L$6:$L$605,"Active"))</f>
        <v/>
      </c>
      <c r="Q2708" s="15" t="n"/>
      <c r="R2708" s="26">
        <f>IF(OR($A2708="",$P2708=0),"",MOD(N($Q2708),$P2708)+1)</f>
        <v/>
      </c>
      <c r="S2708" s="15" t="n"/>
      <c r="T2708" s="25" t="n"/>
      <c r="U2708" s="26">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Builder'!$B$12="",N($S2708)&lt;='Assignment Builder'!$B$12)))</f>
        <v/>
      </c>
      <c r="V2708" s="23" t="n"/>
    </row>
    <row r="2709">
      <c r="A2709" s="23" t="n"/>
      <c r="B2709" s="23" t="n"/>
      <c r="C2709" s="24" t="n"/>
      <c r="D2709" s="15" t="n"/>
      <c r="E2709" s="23" t="n"/>
      <c r="F2709" s="15" t="n"/>
      <c r="G2709" s="23" t="n"/>
      <c r="H2709" s="25" t="n"/>
      <c r="I2709" s="15" t="n"/>
      <c r="J2709" s="26">
        <f>IF($A2709="","",LEN($C2709)-LEN(SUBSTITUTE($C2709,",",""))+1)</f>
        <v/>
      </c>
      <c r="K2709" s="26">
        <f>IF($A2709="","",SUMPRODUCT(--ISNUMBER(SEARCH('Category Dictionary'!$D$5:$D$135&amp;"",$C2709)),--('Category Dictionary'!$D$5:$D$135&lt;&gt;"")))</f>
        <v/>
      </c>
      <c r="L2709" s="27">
        <f>IF($A2709="","",TRIM(IF(ISERROR(FIND(",",$C2709)),$C2709,LEFT($C2709,FIND(",",$C2709)-1))))</f>
        <v/>
      </c>
      <c r="M2709" s="28">
        <f>IF($H2709="","",DATE(YEAR($H2709),MONTH($H2709),1))</f>
        <v/>
      </c>
      <c r="N2709" s="26">
        <f>IF($H2709="","",TODAY()-$H2709)</f>
        <v/>
      </c>
      <c r="O2709" s="15" t="n"/>
      <c r="P2709" s="26">
        <f>IF($A2709="","",COUNTIFS('Audit Versions'!$A$6:$A$605,$A2709,'Audit Versions'!$L$6:$L$605,"Active"))</f>
        <v/>
      </c>
      <c r="Q2709" s="15" t="n"/>
      <c r="R2709" s="26">
        <f>IF(OR($A2709="",$P2709=0),"",MOD(N($Q2709),$P2709)+1)</f>
        <v/>
      </c>
      <c r="S2709" s="15" t="n"/>
      <c r="T2709" s="25" t="n"/>
      <c r="U2709" s="26">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Builder'!$B$12="",N($S2709)&lt;='Assignment Builder'!$B$12)))</f>
        <v/>
      </c>
      <c r="V2709" s="23" t="n"/>
    </row>
    <row r="2710">
      <c r="A2710" s="23" t="n"/>
      <c r="B2710" s="23" t="n"/>
      <c r="C2710" s="24" t="n"/>
      <c r="D2710" s="15" t="n"/>
      <c r="E2710" s="23" t="n"/>
      <c r="F2710" s="15" t="n"/>
      <c r="G2710" s="23" t="n"/>
      <c r="H2710" s="25" t="n"/>
      <c r="I2710" s="15" t="n"/>
      <c r="J2710" s="26">
        <f>IF($A2710="","",LEN($C2710)-LEN(SUBSTITUTE($C2710,",",""))+1)</f>
        <v/>
      </c>
      <c r="K2710" s="26">
        <f>IF($A2710="","",SUMPRODUCT(--ISNUMBER(SEARCH('Category Dictionary'!$D$5:$D$135&amp;"",$C2710)),--('Category Dictionary'!$D$5:$D$135&lt;&gt;"")))</f>
        <v/>
      </c>
      <c r="L2710" s="27">
        <f>IF($A2710="","",TRIM(IF(ISERROR(FIND(",",$C2710)),$C2710,LEFT($C2710,FIND(",",$C2710)-1))))</f>
        <v/>
      </c>
      <c r="M2710" s="28">
        <f>IF($H2710="","",DATE(YEAR($H2710),MONTH($H2710),1))</f>
        <v/>
      </c>
      <c r="N2710" s="26">
        <f>IF($H2710="","",TODAY()-$H2710)</f>
        <v/>
      </c>
      <c r="O2710" s="15" t="n"/>
      <c r="P2710" s="26">
        <f>IF($A2710="","",COUNTIFS('Audit Versions'!$A$6:$A$605,$A2710,'Audit Versions'!$L$6:$L$605,"Active"))</f>
        <v/>
      </c>
      <c r="Q2710" s="15" t="n"/>
      <c r="R2710" s="26">
        <f>IF(OR($A2710="",$P2710=0),"",MOD(N($Q2710),$P2710)+1)</f>
        <v/>
      </c>
      <c r="S2710" s="15" t="n"/>
      <c r="T2710" s="25" t="n"/>
      <c r="U2710" s="26">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Builder'!$B$12="",N($S2710)&lt;='Assignment Builder'!$B$12)))</f>
        <v/>
      </c>
      <c r="V2710" s="23" t="n"/>
    </row>
    <row r="2711">
      <c r="A2711" s="23" t="n"/>
      <c r="B2711" s="23" t="n"/>
      <c r="C2711" s="24" t="n"/>
      <c r="D2711" s="15" t="n"/>
      <c r="E2711" s="23" t="n"/>
      <c r="F2711" s="15" t="n"/>
      <c r="G2711" s="23" t="n"/>
      <c r="H2711" s="25" t="n"/>
      <c r="I2711" s="15" t="n"/>
      <c r="J2711" s="26">
        <f>IF($A2711="","",LEN($C2711)-LEN(SUBSTITUTE($C2711,",",""))+1)</f>
        <v/>
      </c>
      <c r="K2711" s="26">
        <f>IF($A2711="","",SUMPRODUCT(--ISNUMBER(SEARCH('Category Dictionary'!$D$5:$D$135&amp;"",$C2711)),--('Category Dictionary'!$D$5:$D$135&lt;&gt;"")))</f>
        <v/>
      </c>
      <c r="L2711" s="27">
        <f>IF($A2711="","",TRIM(IF(ISERROR(FIND(",",$C2711)),$C2711,LEFT($C2711,FIND(",",$C2711)-1))))</f>
        <v/>
      </c>
      <c r="M2711" s="28">
        <f>IF($H2711="","",DATE(YEAR($H2711),MONTH($H2711),1))</f>
        <v/>
      </c>
      <c r="N2711" s="26">
        <f>IF($H2711="","",TODAY()-$H2711)</f>
        <v/>
      </c>
      <c r="O2711" s="15" t="n"/>
      <c r="P2711" s="26">
        <f>IF($A2711="","",COUNTIFS('Audit Versions'!$A$6:$A$605,$A2711,'Audit Versions'!$L$6:$L$605,"Active"))</f>
        <v/>
      </c>
      <c r="Q2711" s="15" t="n"/>
      <c r="R2711" s="26">
        <f>IF(OR($A2711="",$P2711=0),"",MOD(N($Q2711),$P2711)+1)</f>
        <v/>
      </c>
      <c r="S2711" s="15" t="n"/>
      <c r="T2711" s="25" t="n"/>
      <c r="U2711" s="26">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Builder'!$B$12="",N($S2711)&lt;='Assignment Builder'!$B$12)))</f>
        <v/>
      </c>
      <c r="V2711" s="23" t="n"/>
    </row>
    <row r="2712">
      <c r="A2712" s="23" t="n"/>
      <c r="B2712" s="23" t="n"/>
      <c r="C2712" s="24" t="n"/>
      <c r="D2712" s="15" t="n"/>
      <c r="E2712" s="23" t="n"/>
      <c r="F2712" s="15" t="n"/>
      <c r="G2712" s="23" t="n"/>
      <c r="H2712" s="25" t="n"/>
      <c r="I2712" s="15" t="n"/>
      <c r="J2712" s="26">
        <f>IF($A2712="","",LEN($C2712)-LEN(SUBSTITUTE($C2712,",",""))+1)</f>
        <v/>
      </c>
      <c r="K2712" s="26">
        <f>IF($A2712="","",SUMPRODUCT(--ISNUMBER(SEARCH('Category Dictionary'!$D$5:$D$135&amp;"",$C2712)),--('Category Dictionary'!$D$5:$D$135&lt;&gt;"")))</f>
        <v/>
      </c>
      <c r="L2712" s="27">
        <f>IF($A2712="","",TRIM(IF(ISERROR(FIND(",",$C2712)),$C2712,LEFT($C2712,FIND(",",$C2712)-1))))</f>
        <v/>
      </c>
      <c r="M2712" s="28">
        <f>IF($H2712="","",DATE(YEAR($H2712),MONTH($H2712),1))</f>
        <v/>
      </c>
      <c r="N2712" s="26">
        <f>IF($H2712="","",TODAY()-$H2712)</f>
        <v/>
      </c>
      <c r="O2712" s="15" t="n"/>
      <c r="P2712" s="26">
        <f>IF($A2712="","",COUNTIFS('Audit Versions'!$A$6:$A$605,$A2712,'Audit Versions'!$L$6:$L$605,"Active"))</f>
        <v/>
      </c>
      <c r="Q2712" s="15" t="n"/>
      <c r="R2712" s="26">
        <f>IF(OR($A2712="",$P2712=0),"",MOD(N($Q2712),$P2712)+1)</f>
        <v/>
      </c>
      <c r="S2712" s="15" t="n"/>
      <c r="T2712" s="25" t="n"/>
      <c r="U2712" s="26">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Builder'!$B$12="",N($S2712)&lt;='Assignment Builder'!$B$12)))</f>
        <v/>
      </c>
      <c r="V2712" s="23" t="n"/>
    </row>
    <row r="2713">
      <c r="A2713" s="23" t="n"/>
      <c r="B2713" s="23" t="n"/>
      <c r="C2713" s="24" t="n"/>
      <c r="D2713" s="15" t="n"/>
      <c r="E2713" s="23" t="n"/>
      <c r="F2713" s="15" t="n"/>
      <c r="G2713" s="23" t="n"/>
      <c r="H2713" s="25" t="n"/>
      <c r="I2713" s="15" t="n"/>
      <c r="J2713" s="26">
        <f>IF($A2713="","",LEN($C2713)-LEN(SUBSTITUTE($C2713,",",""))+1)</f>
        <v/>
      </c>
      <c r="K2713" s="26">
        <f>IF($A2713="","",SUMPRODUCT(--ISNUMBER(SEARCH('Category Dictionary'!$D$5:$D$135&amp;"",$C2713)),--('Category Dictionary'!$D$5:$D$135&lt;&gt;"")))</f>
        <v/>
      </c>
      <c r="L2713" s="27">
        <f>IF($A2713="","",TRIM(IF(ISERROR(FIND(",",$C2713)),$C2713,LEFT($C2713,FIND(",",$C2713)-1))))</f>
        <v/>
      </c>
      <c r="M2713" s="28">
        <f>IF($H2713="","",DATE(YEAR($H2713),MONTH($H2713),1))</f>
        <v/>
      </c>
      <c r="N2713" s="26">
        <f>IF($H2713="","",TODAY()-$H2713)</f>
        <v/>
      </c>
      <c r="O2713" s="15" t="n"/>
      <c r="P2713" s="26">
        <f>IF($A2713="","",COUNTIFS('Audit Versions'!$A$6:$A$605,$A2713,'Audit Versions'!$L$6:$L$605,"Active"))</f>
        <v/>
      </c>
      <c r="Q2713" s="15" t="n"/>
      <c r="R2713" s="26">
        <f>IF(OR($A2713="",$P2713=0),"",MOD(N($Q2713),$P2713)+1)</f>
        <v/>
      </c>
      <c r="S2713" s="15" t="n"/>
      <c r="T2713" s="25" t="n"/>
      <c r="U2713" s="26">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Builder'!$B$12="",N($S2713)&lt;='Assignment Builder'!$B$12)))</f>
        <v/>
      </c>
      <c r="V2713" s="23" t="n"/>
    </row>
    <row r="2714">
      <c r="A2714" s="23" t="n"/>
      <c r="B2714" s="23" t="n"/>
      <c r="C2714" s="24" t="n"/>
      <c r="D2714" s="15" t="n"/>
      <c r="E2714" s="23" t="n"/>
      <c r="F2714" s="15" t="n"/>
      <c r="G2714" s="23" t="n"/>
      <c r="H2714" s="25" t="n"/>
      <c r="I2714" s="15" t="n"/>
      <c r="J2714" s="26">
        <f>IF($A2714="","",LEN($C2714)-LEN(SUBSTITUTE($C2714,",",""))+1)</f>
        <v/>
      </c>
      <c r="K2714" s="26">
        <f>IF($A2714="","",SUMPRODUCT(--ISNUMBER(SEARCH('Category Dictionary'!$D$5:$D$135&amp;"",$C2714)),--('Category Dictionary'!$D$5:$D$135&lt;&gt;"")))</f>
        <v/>
      </c>
      <c r="L2714" s="27">
        <f>IF($A2714="","",TRIM(IF(ISERROR(FIND(",",$C2714)),$C2714,LEFT($C2714,FIND(",",$C2714)-1))))</f>
        <v/>
      </c>
      <c r="M2714" s="28">
        <f>IF($H2714="","",DATE(YEAR($H2714),MONTH($H2714),1))</f>
        <v/>
      </c>
      <c r="N2714" s="26">
        <f>IF($H2714="","",TODAY()-$H2714)</f>
        <v/>
      </c>
      <c r="O2714" s="15" t="n"/>
      <c r="P2714" s="26">
        <f>IF($A2714="","",COUNTIFS('Audit Versions'!$A$6:$A$605,$A2714,'Audit Versions'!$L$6:$L$605,"Active"))</f>
        <v/>
      </c>
      <c r="Q2714" s="15" t="n"/>
      <c r="R2714" s="26">
        <f>IF(OR($A2714="",$P2714=0),"",MOD(N($Q2714),$P2714)+1)</f>
        <v/>
      </c>
      <c r="S2714" s="15" t="n"/>
      <c r="T2714" s="25" t="n"/>
      <c r="U2714" s="26">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Builder'!$B$12="",N($S2714)&lt;='Assignment Builder'!$B$12)))</f>
        <v/>
      </c>
      <c r="V2714" s="23" t="n"/>
    </row>
    <row r="2715">
      <c r="A2715" s="23" t="n"/>
      <c r="B2715" s="23" t="n"/>
      <c r="C2715" s="24" t="n"/>
      <c r="D2715" s="15" t="n"/>
      <c r="E2715" s="23" t="n"/>
      <c r="F2715" s="15" t="n"/>
      <c r="G2715" s="23" t="n"/>
      <c r="H2715" s="25" t="n"/>
      <c r="I2715" s="15" t="n"/>
      <c r="J2715" s="26">
        <f>IF($A2715="","",LEN($C2715)-LEN(SUBSTITUTE($C2715,",",""))+1)</f>
        <v/>
      </c>
      <c r="K2715" s="26">
        <f>IF($A2715="","",SUMPRODUCT(--ISNUMBER(SEARCH('Category Dictionary'!$D$5:$D$135&amp;"",$C2715)),--('Category Dictionary'!$D$5:$D$135&lt;&gt;"")))</f>
        <v/>
      </c>
      <c r="L2715" s="27">
        <f>IF($A2715="","",TRIM(IF(ISERROR(FIND(",",$C2715)),$C2715,LEFT($C2715,FIND(",",$C2715)-1))))</f>
        <v/>
      </c>
      <c r="M2715" s="28">
        <f>IF($H2715="","",DATE(YEAR($H2715),MONTH($H2715),1))</f>
        <v/>
      </c>
      <c r="N2715" s="26">
        <f>IF($H2715="","",TODAY()-$H2715)</f>
        <v/>
      </c>
      <c r="O2715" s="15" t="n"/>
      <c r="P2715" s="26">
        <f>IF($A2715="","",COUNTIFS('Audit Versions'!$A$6:$A$605,$A2715,'Audit Versions'!$L$6:$L$605,"Active"))</f>
        <v/>
      </c>
      <c r="Q2715" s="15" t="n"/>
      <c r="R2715" s="26">
        <f>IF(OR($A2715="",$P2715=0),"",MOD(N($Q2715),$P2715)+1)</f>
        <v/>
      </c>
      <c r="S2715" s="15" t="n"/>
      <c r="T2715" s="25" t="n"/>
      <c r="U2715" s="26">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Builder'!$B$12="",N($S2715)&lt;='Assignment Builder'!$B$12)))</f>
        <v/>
      </c>
      <c r="V2715" s="23" t="n"/>
    </row>
    <row r="2716">
      <c r="A2716" s="23" t="n"/>
      <c r="B2716" s="23" t="n"/>
      <c r="C2716" s="24" t="n"/>
      <c r="D2716" s="15" t="n"/>
      <c r="E2716" s="23" t="n"/>
      <c r="F2716" s="15" t="n"/>
      <c r="G2716" s="23" t="n"/>
      <c r="H2716" s="25" t="n"/>
      <c r="I2716" s="15" t="n"/>
      <c r="J2716" s="26">
        <f>IF($A2716="","",LEN($C2716)-LEN(SUBSTITUTE($C2716,",",""))+1)</f>
        <v/>
      </c>
      <c r="K2716" s="26">
        <f>IF($A2716="","",SUMPRODUCT(--ISNUMBER(SEARCH('Category Dictionary'!$D$5:$D$135&amp;"",$C2716)),--('Category Dictionary'!$D$5:$D$135&lt;&gt;"")))</f>
        <v/>
      </c>
      <c r="L2716" s="27">
        <f>IF($A2716="","",TRIM(IF(ISERROR(FIND(",",$C2716)),$C2716,LEFT($C2716,FIND(",",$C2716)-1))))</f>
        <v/>
      </c>
      <c r="M2716" s="28">
        <f>IF($H2716="","",DATE(YEAR($H2716),MONTH($H2716),1))</f>
        <v/>
      </c>
      <c r="N2716" s="26">
        <f>IF($H2716="","",TODAY()-$H2716)</f>
        <v/>
      </c>
      <c r="O2716" s="15" t="n"/>
      <c r="P2716" s="26">
        <f>IF($A2716="","",COUNTIFS('Audit Versions'!$A$6:$A$605,$A2716,'Audit Versions'!$L$6:$L$605,"Active"))</f>
        <v/>
      </c>
      <c r="Q2716" s="15" t="n"/>
      <c r="R2716" s="26">
        <f>IF(OR($A2716="",$P2716=0),"",MOD(N($Q2716),$P2716)+1)</f>
        <v/>
      </c>
      <c r="S2716" s="15" t="n"/>
      <c r="T2716" s="25" t="n"/>
      <c r="U2716" s="26">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Builder'!$B$12="",N($S2716)&lt;='Assignment Builder'!$B$12)))</f>
        <v/>
      </c>
      <c r="V2716" s="23" t="n"/>
    </row>
    <row r="2717">
      <c r="A2717" s="23" t="n"/>
      <c r="B2717" s="23" t="n"/>
      <c r="C2717" s="24" t="n"/>
      <c r="D2717" s="15" t="n"/>
      <c r="E2717" s="23" t="n"/>
      <c r="F2717" s="15" t="n"/>
      <c r="G2717" s="23" t="n"/>
      <c r="H2717" s="25" t="n"/>
      <c r="I2717" s="15" t="n"/>
      <c r="J2717" s="26">
        <f>IF($A2717="","",LEN($C2717)-LEN(SUBSTITUTE($C2717,",",""))+1)</f>
        <v/>
      </c>
      <c r="K2717" s="26">
        <f>IF($A2717="","",SUMPRODUCT(--ISNUMBER(SEARCH('Category Dictionary'!$D$5:$D$135&amp;"",$C2717)),--('Category Dictionary'!$D$5:$D$135&lt;&gt;"")))</f>
        <v/>
      </c>
      <c r="L2717" s="27">
        <f>IF($A2717="","",TRIM(IF(ISERROR(FIND(",",$C2717)),$C2717,LEFT($C2717,FIND(",",$C2717)-1))))</f>
        <v/>
      </c>
      <c r="M2717" s="28">
        <f>IF($H2717="","",DATE(YEAR($H2717),MONTH($H2717),1))</f>
        <v/>
      </c>
      <c r="N2717" s="26">
        <f>IF($H2717="","",TODAY()-$H2717)</f>
        <v/>
      </c>
      <c r="O2717" s="15" t="n"/>
      <c r="P2717" s="26">
        <f>IF($A2717="","",COUNTIFS('Audit Versions'!$A$6:$A$605,$A2717,'Audit Versions'!$L$6:$L$605,"Active"))</f>
        <v/>
      </c>
      <c r="Q2717" s="15" t="n"/>
      <c r="R2717" s="26">
        <f>IF(OR($A2717="",$P2717=0),"",MOD(N($Q2717),$P2717)+1)</f>
        <v/>
      </c>
      <c r="S2717" s="15" t="n"/>
      <c r="T2717" s="25" t="n"/>
      <c r="U2717" s="26">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Builder'!$B$12="",N($S2717)&lt;='Assignment Builder'!$B$12)))</f>
        <v/>
      </c>
      <c r="V2717" s="23" t="n"/>
    </row>
    <row r="2718">
      <c r="A2718" s="23" t="n"/>
      <c r="B2718" s="23" t="n"/>
      <c r="C2718" s="24" t="n"/>
      <c r="D2718" s="15" t="n"/>
      <c r="E2718" s="23" t="n"/>
      <c r="F2718" s="15" t="n"/>
      <c r="G2718" s="23" t="n"/>
      <c r="H2718" s="25" t="n"/>
      <c r="I2718" s="15" t="n"/>
      <c r="J2718" s="26">
        <f>IF($A2718="","",LEN($C2718)-LEN(SUBSTITUTE($C2718,",",""))+1)</f>
        <v/>
      </c>
      <c r="K2718" s="26">
        <f>IF($A2718="","",SUMPRODUCT(--ISNUMBER(SEARCH('Category Dictionary'!$D$5:$D$135&amp;"",$C2718)),--('Category Dictionary'!$D$5:$D$135&lt;&gt;"")))</f>
        <v/>
      </c>
      <c r="L2718" s="27">
        <f>IF($A2718="","",TRIM(IF(ISERROR(FIND(",",$C2718)),$C2718,LEFT($C2718,FIND(",",$C2718)-1))))</f>
        <v/>
      </c>
      <c r="M2718" s="28">
        <f>IF($H2718="","",DATE(YEAR($H2718),MONTH($H2718),1))</f>
        <v/>
      </c>
      <c r="N2718" s="26">
        <f>IF($H2718="","",TODAY()-$H2718)</f>
        <v/>
      </c>
      <c r="O2718" s="15" t="n"/>
      <c r="P2718" s="26">
        <f>IF($A2718="","",COUNTIFS('Audit Versions'!$A$6:$A$605,$A2718,'Audit Versions'!$L$6:$L$605,"Active"))</f>
        <v/>
      </c>
      <c r="Q2718" s="15" t="n"/>
      <c r="R2718" s="26">
        <f>IF(OR($A2718="",$P2718=0),"",MOD(N($Q2718),$P2718)+1)</f>
        <v/>
      </c>
      <c r="S2718" s="15" t="n"/>
      <c r="T2718" s="25" t="n"/>
      <c r="U2718" s="26">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Builder'!$B$12="",N($S2718)&lt;='Assignment Builder'!$B$12)))</f>
        <v/>
      </c>
      <c r="V2718" s="23" t="n"/>
    </row>
    <row r="2719">
      <c r="A2719" s="23" t="n"/>
      <c r="B2719" s="23" t="n"/>
      <c r="C2719" s="24" t="n"/>
      <c r="D2719" s="15" t="n"/>
      <c r="E2719" s="23" t="n"/>
      <c r="F2719" s="15" t="n"/>
      <c r="G2719" s="23" t="n"/>
      <c r="H2719" s="25" t="n"/>
      <c r="I2719" s="15" t="n"/>
      <c r="J2719" s="26">
        <f>IF($A2719="","",LEN($C2719)-LEN(SUBSTITUTE($C2719,",",""))+1)</f>
        <v/>
      </c>
      <c r="K2719" s="26">
        <f>IF($A2719="","",SUMPRODUCT(--ISNUMBER(SEARCH('Category Dictionary'!$D$5:$D$135&amp;"",$C2719)),--('Category Dictionary'!$D$5:$D$135&lt;&gt;"")))</f>
        <v/>
      </c>
      <c r="L2719" s="27">
        <f>IF($A2719="","",TRIM(IF(ISERROR(FIND(",",$C2719)),$C2719,LEFT($C2719,FIND(",",$C2719)-1))))</f>
        <v/>
      </c>
      <c r="M2719" s="28">
        <f>IF($H2719="","",DATE(YEAR($H2719),MONTH($H2719),1))</f>
        <v/>
      </c>
      <c r="N2719" s="26">
        <f>IF($H2719="","",TODAY()-$H2719)</f>
        <v/>
      </c>
      <c r="O2719" s="15" t="n"/>
      <c r="P2719" s="26">
        <f>IF($A2719="","",COUNTIFS('Audit Versions'!$A$6:$A$605,$A2719,'Audit Versions'!$L$6:$L$605,"Active"))</f>
        <v/>
      </c>
      <c r="Q2719" s="15" t="n"/>
      <c r="R2719" s="26">
        <f>IF(OR($A2719="",$P2719=0),"",MOD(N($Q2719),$P2719)+1)</f>
        <v/>
      </c>
      <c r="S2719" s="15" t="n"/>
      <c r="T2719" s="25" t="n"/>
      <c r="U2719" s="26">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Builder'!$B$12="",N($S2719)&lt;='Assignment Builder'!$B$12)))</f>
        <v/>
      </c>
      <c r="V2719" s="23" t="n"/>
    </row>
    <row r="2720">
      <c r="A2720" s="23" t="n"/>
      <c r="B2720" s="23" t="n"/>
      <c r="C2720" s="24" t="n"/>
      <c r="D2720" s="15" t="n"/>
      <c r="E2720" s="23" t="n"/>
      <c r="F2720" s="15" t="n"/>
      <c r="G2720" s="23" t="n"/>
      <c r="H2720" s="25" t="n"/>
      <c r="I2720" s="15" t="n"/>
      <c r="J2720" s="26">
        <f>IF($A2720="","",LEN($C2720)-LEN(SUBSTITUTE($C2720,",",""))+1)</f>
        <v/>
      </c>
      <c r="K2720" s="26">
        <f>IF($A2720="","",SUMPRODUCT(--ISNUMBER(SEARCH('Category Dictionary'!$D$5:$D$135&amp;"",$C2720)),--('Category Dictionary'!$D$5:$D$135&lt;&gt;"")))</f>
        <v/>
      </c>
      <c r="L2720" s="27">
        <f>IF($A2720="","",TRIM(IF(ISERROR(FIND(",",$C2720)),$C2720,LEFT($C2720,FIND(",",$C2720)-1))))</f>
        <v/>
      </c>
      <c r="M2720" s="28">
        <f>IF($H2720="","",DATE(YEAR($H2720),MONTH($H2720),1))</f>
        <v/>
      </c>
      <c r="N2720" s="26">
        <f>IF($H2720="","",TODAY()-$H2720)</f>
        <v/>
      </c>
      <c r="O2720" s="15" t="n"/>
      <c r="P2720" s="26">
        <f>IF($A2720="","",COUNTIFS('Audit Versions'!$A$6:$A$605,$A2720,'Audit Versions'!$L$6:$L$605,"Active"))</f>
        <v/>
      </c>
      <c r="Q2720" s="15" t="n"/>
      <c r="R2720" s="26">
        <f>IF(OR($A2720="",$P2720=0),"",MOD(N($Q2720),$P2720)+1)</f>
        <v/>
      </c>
      <c r="S2720" s="15" t="n"/>
      <c r="T2720" s="25" t="n"/>
      <c r="U2720" s="26">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Builder'!$B$12="",N($S2720)&lt;='Assignment Builder'!$B$12)))</f>
        <v/>
      </c>
      <c r="V2720" s="23" t="n"/>
    </row>
    <row r="2721">
      <c r="A2721" s="23" t="n"/>
      <c r="B2721" s="23" t="n"/>
      <c r="C2721" s="24" t="n"/>
      <c r="D2721" s="15" t="n"/>
      <c r="E2721" s="23" t="n"/>
      <c r="F2721" s="15" t="n"/>
      <c r="G2721" s="23" t="n"/>
      <c r="H2721" s="25" t="n"/>
      <c r="I2721" s="15" t="n"/>
      <c r="J2721" s="26">
        <f>IF($A2721="","",LEN($C2721)-LEN(SUBSTITUTE($C2721,",",""))+1)</f>
        <v/>
      </c>
      <c r="K2721" s="26">
        <f>IF($A2721="","",SUMPRODUCT(--ISNUMBER(SEARCH('Category Dictionary'!$D$5:$D$135&amp;"",$C2721)),--('Category Dictionary'!$D$5:$D$135&lt;&gt;"")))</f>
        <v/>
      </c>
      <c r="L2721" s="27">
        <f>IF($A2721="","",TRIM(IF(ISERROR(FIND(",",$C2721)),$C2721,LEFT($C2721,FIND(",",$C2721)-1))))</f>
        <v/>
      </c>
      <c r="M2721" s="28">
        <f>IF($H2721="","",DATE(YEAR($H2721),MONTH($H2721),1))</f>
        <v/>
      </c>
      <c r="N2721" s="26">
        <f>IF($H2721="","",TODAY()-$H2721)</f>
        <v/>
      </c>
      <c r="O2721" s="15" t="n"/>
      <c r="P2721" s="26">
        <f>IF($A2721="","",COUNTIFS('Audit Versions'!$A$6:$A$605,$A2721,'Audit Versions'!$L$6:$L$605,"Active"))</f>
        <v/>
      </c>
      <c r="Q2721" s="15" t="n"/>
      <c r="R2721" s="26">
        <f>IF(OR($A2721="",$P2721=0),"",MOD(N($Q2721),$P2721)+1)</f>
        <v/>
      </c>
      <c r="S2721" s="15" t="n"/>
      <c r="T2721" s="25" t="n"/>
      <c r="U2721" s="26">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Builder'!$B$12="",N($S2721)&lt;='Assignment Builder'!$B$12)))</f>
        <v/>
      </c>
      <c r="V2721" s="23" t="n"/>
    </row>
    <row r="2722">
      <c r="A2722" s="23" t="n"/>
      <c r="B2722" s="23" t="n"/>
      <c r="C2722" s="24" t="n"/>
      <c r="D2722" s="15" t="n"/>
      <c r="E2722" s="23" t="n"/>
      <c r="F2722" s="15" t="n"/>
      <c r="G2722" s="23" t="n"/>
      <c r="H2722" s="25" t="n"/>
      <c r="I2722" s="15" t="n"/>
      <c r="J2722" s="26">
        <f>IF($A2722="","",LEN($C2722)-LEN(SUBSTITUTE($C2722,",",""))+1)</f>
        <v/>
      </c>
      <c r="K2722" s="26">
        <f>IF($A2722="","",SUMPRODUCT(--ISNUMBER(SEARCH('Category Dictionary'!$D$5:$D$135&amp;"",$C2722)),--('Category Dictionary'!$D$5:$D$135&lt;&gt;"")))</f>
        <v/>
      </c>
      <c r="L2722" s="27">
        <f>IF($A2722="","",TRIM(IF(ISERROR(FIND(",",$C2722)),$C2722,LEFT($C2722,FIND(",",$C2722)-1))))</f>
        <v/>
      </c>
      <c r="M2722" s="28">
        <f>IF($H2722="","",DATE(YEAR($H2722),MONTH($H2722),1))</f>
        <v/>
      </c>
      <c r="N2722" s="26">
        <f>IF($H2722="","",TODAY()-$H2722)</f>
        <v/>
      </c>
      <c r="O2722" s="15" t="n"/>
      <c r="P2722" s="26">
        <f>IF($A2722="","",COUNTIFS('Audit Versions'!$A$6:$A$605,$A2722,'Audit Versions'!$L$6:$L$605,"Active"))</f>
        <v/>
      </c>
      <c r="Q2722" s="15" t="n"/>
      <c r="R2722" s="26">
        <f>IF(OR($A2722="",$P2722=0),"",MOD(N($Q2722),$P2722)+1)</f>
        <v/>
      </c>
      <c r="S2722" s="15" t="n"/>
      <c r="T2722" s="25" t="n"/>
      <c r="U2722" s="26">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Builder'!$B$12="",N($S2722)&lt;='Assignment Builder'!$B$12)))</f>
        <v/>
      </c>
      <c r="V2722" s="23" t="n"/>
    </row>
    <row r="2723">
      <c r="A2723" s="23" t="n"/>
      <c r="B2723" s="23" t="n"/>
      <c r="C2723" s="24" t="n"/>
      <c r="D2723" s="15" t="n"/>
      <c r="E2723" s="23" t="n"/>
      <c r="F2723" s="15" t="n"/>
      <c r="G2723" s="23" t="n"/>
      <c r="H2723" s="25" t="n"/>
      <c r="I2723" s="15" t="n"/>
      <c r="J2723" s="26">
        <f>IF($A2723="","",LEN($C2723)-LEN(SUBSTITUTE($C2723,",",""))+1)</f>
        <v/>
      </c>
      <c r="K2723" s="26">
        <f>IF($A2723="","",SUMPRODUCT(--ISNUMBER(SEARCH('Category Dictionary'!$D$5:$D$135&amp;"",$C2723)),--('Category Dictionary'!$D$5:$D$135&lt;&gt;"")))</f>
        <v/>
      </c>
      <c r="L2723" s="27">
        <f>IF($A2723="","",TRIM(IF(ISERROR(FIND(",",$C2723)),$C2723,LEFT($C2723,FIND(",",$C2723)-1))))</f>
        <v/>
      </c>
      <c r="M2723" s="28">
        <f>IF($H2723="","",DATE(YEAR($H2723),MONTH($H2723),1))</f>
        <v/>
      </c>
      <c r="N2723" s="26">
        <f>IF($H2723="","",TODAY()-$H2723)</f>
        <v/>
      </c>
      <c r="O2723" s="15" t="n"/>
      <c r="P2723" s="26">
        <f>IF($A2723="","",COUNTIFS('Audit Versions'!$A$6:$A$605,$A2723,'Audit Versions'!$L$6:$L$605,"Active"))</f>
        <v/>
      </c>
      <c r="Q2723" s="15" t="n"/>
      <c r="R2723" s="26">
        <f>IF(OR($A2723="",$P2723=0),"",MOD(N($Q2723),$P2723)+1)</f>
        <v/>
      </c>
      <c r="S2723" s="15" t="n"/>
      <c r="T2723" s="25" t="n"/>
      <c r="U2723" s="26">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Builder'!$B$12="",N($S2723)&lt;='Assignment Builder'!$B$12)))</f>
        <v/>
      </c>
      <c r="V2723" s="23" t="n"/>
    </row>
    <row r="2724">
      <c r="A2724" s="23" t="n"/>
      <c r="B2724" s="23" t="n"/>
      <c r="C2724" s="24" t="n"/>
      <c r="D2724" s="15" t="n"/>
      <c r="E2724" s="23" t="n"/>
      <c r="F2724" s="15" t="n"/>
      <c r="G2724" s="23" t="n"/>
      <c r="H2724" s="25" t="n"/>
      <c r="I2724" s="15" t="n"/>
      <c r="J2724" s="26">
        <f>IF($A2724="","",LEN($C2724)-LEN(SUBSTITUTE($C2724,",",""))+1)</f>
        <v/>
      </c>
      <c r="K2724" s="26">
        <f>IF($A2724="","",SUMPRODUCT(--ISNUMBER(SEARCH('Category Dictionary'!$D$5:$D$135&amp;"",$C2724)),--('Category Dictionary'!$D$5:$D$135&lt;&gt;"")))</f>
        <v/>
      </c>
      <c r="L2724" s="27">
        <f>IF($A2724="","",TRIM(IF(ISERROR(FIND(",",$C2724)),$C2724,LEFT($C2724,FIND(",",$C2724)-1))))</f>
        <v/>
      </c>
      <c r="M2724" s="28">
        <f>IF($H2724="","",DATE(YEAR($H2724),MONTH($H2724),1))</f>
        <v/>
      </c>
      <c r="N2724" s="26">
        <f>IF($H2724="","",TODAY()-$H2724)</f>
        <v/>
      </c>
      <c r="O2724" s="15" t="n"/>
      <c r="P2724" s="26">
        <f>IF($A2724="","",COUNTIFS('Audit Versions'!$A$6:$A$605,$A2724,'Audit Versions'!$L$6:$L$605,"Active"))</f>
        <v/>
      </c>
      <c r="Q2724" s="15" t="n"/>
      <c r="R2724" s="26">
        <f>IF(OR($A2724="",$P2724=0),"",MOD(N($Q2724),$P2724)+1)</f>
        <v/>
      </c>
      <c r="S2724" s="15" t="n"/>
      <c r="T2724" s="25" t="n"/>
      <c r="U2724" s="26">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Builder'!$B$12="",N($S2724)&lt;='Assignment Builder'!$B$12)))</f>
        <v/>
      </c>
      <c r="V2724" s="23" t="n"/>
    </row>
    <row r="2725">
      <c r="A2725" s="23" t="n"/>
      <c r="B2725" s="23" t="n"/>
      <c r="C2725" s="24" t="n"/>
      <c r="D2725" s="15" t="n"/>
      <c r="E2725" s="23" t="n"/>
      <c r="F2725" s="15" t="n"/>
      <c r="G2725" s="23" t="n"/>
      <c r="H2725" s="25" t="n"/>
      <c r="I2725" s="15" t="n"/>
      <c r="J2725" s="26">
        <f>IF($A2725="","",LEN($C2725)-LEN(SUBSTITUTE($C2725,",",""))+1)</f>
        <v/>
      </c>
      <c r="K2725" s="26">
        <f>IF($A2725="","",SUMPRODUCT(--ISNUMBER(SEARCH('Category Dictionary'!$D$5:$D$135&amp;"",$C2725)),--('Category Dictionary'!$D$5:$D$135&lt;&gt;"")))</f>
        <v/>
      </c>
      <c r="L2725" s="27">
        <f>IF($A2725="","",TRIM(IF(ISERROR(FIND(",",$C2725)),$C2725,LEFT($C2725,FIND(",",$C2725)-1))))</f>
        <v/>
      </c>
      <c r="M2725" s="28">
        <f>IF($H2725="","",DATE(YEAR($H2725),MONTH($H2725),1))</f>
        <v/>
      </c>
      <c r="N2725" s="26">
        <f>IF($H2725="","",TODAY()-$H2725)</f>
        <v/>
      </c>
      <c r="O2725" s="15" t="n"/>
      <c r="P2725" s="26">
        <f>IF($A2725="","",COUNTIFS('Audit Versions'!$A$6:$A$605,$A2725,'Audit Versions'!$L$6:$L$605,"Active"))</f>
        <v/>
      </c>
      <c r="Q2725" s="15" t="n"/>
      <c r="R2725" s="26">
        <f>IF(OR($A2725="",$P2725=0),"",MOD(N($Q2725),$P2725)+1)</f>
        <v/>
      </c>
      <c r="S2725" s="15" t="n"/>
      <c r="T2725" s="25" t="n"/>
      <c r="U2725" s="26">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Builder'!$B$12="",N($S2725)&lt;='Assignment Builder'!$B$12)))</f>
        <v/>
      </c>
      <c r="V2725" s="23" t="n"/>
    </row>
    <row r="2726">
      <c r="A2726" s="23" t="n"/>
      <c r="B2726" s="23" t="n"/>
      <c r="C2726" s="24" t="n"/>
      <c r="D2726" s="15" t="n"/>
      <c r="E2726" s="23" t="n"/>
      <c r="F2726" s="15" t="n"/>
      <c r="G2726" s="23" t="n"/>
      <c r="H2726" s="25" t="n"/>
      <c r="I2726" s="15" t="n"/>
      <c r="J2726" s="26">
        <f>IF($A2726="","",LEN($C2726)-LEN(SUBSTITUTE($C2726,",",""))+1)</f>
        <v/>
      </c>
      <c r="K2726" s="26">
        <f>IF($A2726="","",SUMPRODUCT(--ISNUMBER(SEARCH('Category Dictionary'!$D$5:$D$135&amp;"",$C2726)),--('Category Dictionary'!$D$5:$D$135&lt;&gt;"")))</f>
        <v/>
      </c>
      <c r="L2726" s="27">
        <f>IF($A2726="","",TRIM(IF(ISERROR(FIND(",",$C2726)),$C2726,LEFT($C2726,FIND(",",$C2726)-1))))</f>
        <v/>
      </c>
      <c r="M2726" s="28">
        <f>IF($H2726="","",DATE(YEAR($H2726),MONTH($H2726),1))</f>
        <v/>
      </c>
      <c r="N2726" s="26">
        <f>IF($H2726="","",TODAY()-$H2726)</f>
        <v/>
      </c>
      <c r="O2726" s="15" t="n"/>
      <c r="P2726" s="26">
        <f>IF($A2726="","",COUNTIFS('Audit Versions'!$A$6:$A$605,$A2726,'Audit Versions'!$L$6:$L$605,"Active"))</f>
        <v/>
      </c>
      <c r="Q2726" s="15" t="n"/>
      <c r="R2726" s="26">
        <f>IF(OR($A2726="",$P2726=0),"",MOD(N($Q2726),$P2726)+1)</f>
        <v/>
      </c>
      <c r="S2726" s="15" t="n"/>
      <c r="T2726" s="25" t="n"/>
      <c r="U2726" s="26">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Builder'!$B$12="",N($S2726)&lt;='Assignment Builder'!$B$12)))</f>
        <v/>
      </c>
      <c r="V2726" s="23" t="n"/>
    </row>
    <row r="2727">
      <c r="A2727" s="23" t="n"/>
      <c r="B2727" s="23" t="n"/>
      <c r="C2727" s="24" t="n"/>
      <c r="D2727" s="15" t="n"/>
      <c r="E2727" s="23" t="n"/>
      <c r="F2727" s="15" t="n"/>
      <c r="G2727" s="23" t="n"/>
      <c r="H2727" s="25" t="n"/>
      <c r="I2727" s="15" t="n"/>
      <c r="J2727" s="26">
        <f>IF($A2727="","",LEN($C2727)-LEN(SUBSTITUTE($C2727,",",""))+1)</f>
        <v/>
      </c>
      <c r="K2727" s="26">
        <f>IF($A2727="","",SUMPRODUCT(--ISNUMBER(SEARCH('Category Dictionary'!$D$5:$D$135&amp;"",$C2727)),--('Category Dictionary'!$D$5:$D$135&lt;&gt;"")))</f>
        <v/>
      </c>
      <c r="L2727" s="27">
        <f>IF($A2727="","",TRIM(IF(ISERROR(FIND(",",$C2727)),$C2727,LEFT($C2727,FIND(",",$C2727)-1))))</f>
        <v/>
      </c>
      <c r="M2727" s="28">
        <f>IF($H2727="","",DATE(YEAR($H2727),MONTH($H2727),1))</f>
        <v/>
      </c>
      <c r="N2727" s="26">
        <f>IF($H2727="","",TODAY()-$H2727)</f>
        <v/>
      </c>
      <c r="O2727" s="15" t="n"/>
      <c r="P2727" s="26">
        <f>IF($A2727="","",COUNTIFS('Audit Versions'!$A$6:$A$605,$A2727,'Audit Versions'!$L$6:$L$605,"Active"))</f>
        <v/>
      </c>
      <c r="Q2727" s="15" t="n"/>
      <c r="R2727" s="26">
        <f>IF(OR($A2727="",$P2727=0),"",MOD(N($Q2727),$P2727)+1)</f>
        <v/>
      </c>
      <c r="S2727" s="15" t="n"/>
      <c r="T2727" s="25" t="n"/>
      <c r="U2727" s="26">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Builder'!$B$12="",N($S2727)&lt;='Assignment Builder'!$B$12)))</f>
        <v/>
      </c>
      <c r="V2727" s="23" t="n"/>
    </row>
    <row r="2728">
      <c r="A2728" s="23" t="n"/>
      <c r="B2728" s="23" t="n"/>
      <c r="C2728" s="24" t="n"/>
      <c r="D2728" s="15" t="n"/>
      <c r="E2728" s="23" t="n"/>
      <c r="F2728" s="15" t="n"/>
      <c r="G2728" s="23" t="n"/>
      <c r="H2728" s="25" t="n"/>
      <c r="I2728" s="15" t="n"/>
      <c r="J2728" s="26">
        <f>IF($A2728="","",LEN($C2728)-LEN(SUBSTITUTE($C2728,",",""))+1)</f>
        <v/>
      </c>
      <c r="K2728" s="26">
        <f>IF($A2728="","",SUMPRODUCT(--ISNUMBER(SEARCH('Category Dictionary'!$D$5:$D$135&amp;"",$C2728)),--('Category Dictionary'!$D$5:$D$135&lt;&gt;"")))</f>
        <v/>
      </c>
      <c r="L2728" s="27">
        <f>IF($A2728="","",TRIM(IF(ISERROR(FIND(",",$C2728)),$C2728,LEFT($C2728,FIND(",",$C2728)-1))))</f>
        <v/>
      </c>
      <c r="M2728" s="28">
        <f>IF($H2728="","",DATE(YEAR($H2728),MONTH($H2728),1))</f>
        <v/>
      </c>
      <c r="N2728" s="26">
        <f>IF($H2728="","",TODAY()-$H2728)</f>
        <v/>
      </c>
      <c r="O2728" s="15" t="n"/>
      <c r="P2728" s="26">
        <f>IF($A2728="","",COUNTIFS('Audit Versions'!$A$6:$A$605,$A2728,'Audit Versions'!$L$6:$L$605,"Active"))</f>
        <v/>
      </c>
      <c r="Q2728" s="15" t="n"/>
      <c r="R2728" s="26">
        <f>IF(OR($A2728="",$P2728=0),"",MOD(N($Q2728),$P2728)+1)</f>
        <v/>
      </c>
      <c r="S2728" s="15" t="n"/>
      <c r="T2728" s="25" t="n"/>
      <c r="U2728" s="26">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Builder'!$B$12="",N($S2728)&lt;='Assignment Builder'!$B$12)))</f>
        <v/>
      </c>
      <c r="V2728" s="23" t="n"/>
    </row>
    <row r="2729">
      <c r="A2729" s="23" t="n"/>
      <c r="B2729" s="23" t="n"/>
      <c r="C2729" s="24" t="n"/>
      <c r="D2729" s="15" t="n"/>
      <c r="E2729" s="23" t="n"/>
      <c r="F2729" s="15" t="n"/>
      <c r="G2729" s="23" t="n"/>
      <c r="H2729" s="25" t="n"/>
      <c r="I2729" s="15" t="n"/>
      <c r="J2729" s="26">
        <f>IF($A2729="","",LEN($C2729)-LEN(SUBSTITUTE($C2729,",",""))+1)</f>
        <v/>
      </c>
      <c r="K2729" s="26">
        <f>IF($A2729="","",SUMPRODUCT(--ISNUMBER(SEARCH('Category Dictionary'!$D$5:$D$135&amp;"",$C2729)),--('Category Dictionary'!$D$5:$D$135&lt;&gt;"")))</f>
        <v/>
      </c>
      <c r="L2729" s="27">
        <f>IF($A2729="","",TRIM(IF(ISERROR(FIND(",",$C2729)),$C2729,LEFT($C2729,FIND(",",$C2729)-1))))</f>
        <v/>
      </c>
      <c r="M2729" s="28">
        <f>IF($H2729="","",DATE(YEAR($H2729),MONTH($H2729),1))</f>
        <v/>
      </c>
      <c r="N2729" s="26">
        <f>IF($H2729="","",TODAY()-$H2729)</f>
        <v/>
      </c>
      <c r="O2729" s="15" t="n"/>
      <c r="P2729" s="26">
        <f>IF($A2729="","",COUNTIFS('Audit Versions'!$A$6:$A$605,$A2729,'Audit Versions'!$L$6:$L$605,"Active"))</f>
        <v/>
      </c>
      <c r="Q2729" s="15" t="n"/>
      <c r="R2729" s="26">
        <f>IF(OR($A2729="",$P2729=0),"",MOD(N($Q2729),$P2729)+1)</f>
        <v/>
      </c>
      <c r="S2729" s="15" t="n"/>
      <c r="T2729" s="25" t="n"/>
      <c r="U2729" s="26">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Builder'!$B$12="",N($S2729)&lt;='Assignment Builder'!$B$12)))</f>
        <v/>
      </c>
      <c r="V2729" s="23" t="n"/>
    </row>
    <row r="2730">
      <c r="A2730" s="23" t="n"/>
      <c r="B2730" s="23" t="n"/>
      <c r="C2730" s="24" t="n"/>
      <c r="D2730" s="15" t="n"/>
      <c r="E2730" s="23" t="n"/>
      <c r="F2730" s="15" t="n"/>
      <c r="G2730" s="23" t="n"/>
      <c r="H2730" s="25" t="n"/>
      <c r="I2730" s="15" t="n"/>
      <c r="J2730" s="26">
        <f>IF($A2730="","",LEN($C2730)-LEN(SUBSTITUTE($C2730,",",""))+1)</f>
        <v/>
      </c>
      <c r="K2730" s="26">
        <f>IF($A2730="","",SUMPRODUCT(--ISNUMBER(SEARCH('Category Dictionary'!$D$5:$D$135&amp;"",$C2730)),--('Category Dictionary'!$D$5:$D$135&lt;&gt;"")))</f>
        <v/>
      </c>
      <c r="L2730" s="27">
        <f>IF($A2730="","",TRIM(IF(ISERROR(FIND(",",$C2730)),$C2730,LEFT($C2730,FIND(",",$C2730)-1))))</f>
        <v/>
      </c>
      <c r="M2730" s="28">
        <f>IF($H2730="","",DATE(YEAR($H2730),MONTH($H2730),1))</f>
        <v/>
      </c>
      <c r="N2730" s="26">
        <f>IF($H2730="","",TODAY()-$H2730)</f>
        <v/>
      </c>
      <c r="O2730" s="15" t="n"/>
      <c r="P2730" s="26">
        <f>IF($A2730="","",COUNTIFS('Audit Versions'!$A$6:$A$605,$A2730,'Audit Versions'!$L$6:$L$605,"Active"))</f>
        <v/>
      </c>
      <c r="Q2730" s="15" t="n"/>
      <c r="R2730" s="26">
        <f>IF(OR($A2730="",$P2730=0),"",MOD(N($Q2730),$P2730)+1)</f>
        <v/>
      </c>
      <c r="S2730" s="15" t="n"/>
      <c r="T2730" s="25" t="n"/>
      <c r="U2730" s="26">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Builder'!$B$12="",N($S2730)&lt;='Assignment Builder'!$B$12)))</f>
        <v/>
      </c>
      <c r="V2730" s="23" t="n"/>
    </row>
    <row r="2731">
      <c r="A2731" s="23" t="n"/>
      <c r="B2731" s="23" t="n"/>
      <c r="C2731" s="24" t="n"/>
      <c r="D2731" s="15" t="n"/>
      <c r="E2731" s="23" t="n"/>
      <c r="F2731" s="15" t="n"/>
      <c r="G2731" s="23" t="n"/>
      <c r="H2731" s="25" t="n"/>
      <c r="I2731" s="15" t="n"/>
      <c r="J2731" s="26">
        <f>IF($A2731="","",LEN($C2731)-LEN(SUBSTITUTE($C2731,",",""))+1)</f>
        <v/>
      </c>
      <c r="K2731" s="26">
        <f>IF($A2731="","",SUMPRODUCT(--ISNUMBER(SEARCH('Category Dictionary'!$D$5:$D$135&amp;"",$C2731)),--('Category Dictionary'!$D$5:$D$135&lt;&gt;"")))</f>
        <v/>
      </c>
      <c r="L2731" s="27">
        <f>IF($A2731="","",TRIM(IF(ISERROR(FIND(",",$C2731)),$C2731,LEFT($C2731,FIND(",",$C2731)-1))))</f>
        <v/>
      </c>
      <c r="M2731" s="28">
        <f>IF($H2731="","",DATE(YEAR($H2731),MONTH($H2731),1))</f>
        <v/>
      </c>
      <c r="N2731" s="26">
        <f>IF($H2731="","",TODAY()-$H2731)</f>
        <v/>
      </c>
      <c r="O2731" s="15" t="n"/>
      <c r="P2731" s="26">
        <f>IF($A2731="","",COUNTIFS('Audit Versions'!$A$6:$A$605,$A2731,'Audit Versions'!$L$6:$L$605,"Active"))</f>
        <v/>
      </c>
      <c r="Q2731" s="15" t="n"/>
      <c r="R2731" s="26">
        <f>IF(OR($A2731="",$P2731=0),"",MOD(N($Q2731),$P2731)+1)</f>
        <v/>
      </c>
      <c r="S2731" s="15" t="n"/>
      <c r="T2731" s="25" t="n"/>
      <c r="U2731" s="26">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Builder'!$B$12="",N($S2731)&lt;='Assignment Builder'!$B$12)))</f>
        <v/>
      </c>
      <c r="V2731" s="23" t="n"/>
    </row>
    <row r="2732">
      <c r="A2732" s="23" t="n"/>
      <c r="B2732" s="23" t="n"/>
      <c r="C2732" s="24" t="n"/>
      <c r="D2732" s="15" t="n"/>
      <c r="E2732" s="23" t="n"/>
      <c r="F2732" s="15" t="n"/>
      <c r="G2732" s="23" t="n"/>
      <c r="H2732" s="25" t="n"/>
      <c r="I2732" s="15" t="n"/>
      <c r="J2732" s="26">
        <f>IF($A2732="","",LEN($C2732)-LEN(SUBSTITUTE($C2732,",",""))+1)</f>
        <v/>
      </c>
      <c r="K2732" s="26">
        <f>IF($A2732="","",SUMPRODUCT(--ISNUMBER(SEARCH('Category Dictionary'!$D$5:$D$135&amp;"",$C2732)),--('Category Dictionary'!$D$5:$D$135&lt;&gt;"")))</f>
        <v/>
      </c>
      <c r="L2732" s="27">
        <f>IF($A2732="","",TRIM(IF(ISERROR(FIND(",",$C2732)),$C2732,LEFT($C2732,FIND(",",$C2732)-1))))</f>
        <v/>
      </c>
      <c r="M2732" s="28">
        <f>IF($H2732="","",DATE(YEAR($H2732),MONTH($H2732),1))</f>
        <v/>
      </c>
      <c r="N2732" s="26">
        <f>IF($H2732="","",TODAY()-$H2732)</f>
        <v/>
      </c>
      <c r="O2732" s="15" t="n"/>
      <c r="P2732" s="26">
        <f>IF($A2732="","",COUNTIFS('Audit Versions'!$A$6:$A$605,$A2732,'Audit Versions'!$L$6:$L$605,"Active"))</f>
        <v/>
      </c>
      <c r="Q2732" s="15" t="n"/>
      <c r="R2732" s="26">
        <f>IF(OR($A2732="",$P2732=0),"",MOD(N($Q2732),$P2732)+1)</f>
        <v/>
      </c>
      <c r="S2732" s="15" t="n"/>
      <c r="T2732" s="25" t="n"/>
      <c r="U2732" s="26">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Builder'!$B$12="",N($S2732)&lt;='Assignment Builder'!$B$12)))</f>
        <v/>
      </c>
      <c r="V2732" s="23" t="n"/>
    </row>
    <row r="2733">
      <c r="A2733" s="23" t="n"/>
      <c r="B2733" s="23" t="n"/>
      <c r="C2733" s="24" t="n"/>
      <c r="D2733" s="15" t="n"/>
      <c r="E2733" s="23" t="n"/>
      <c r="F2733" s="15" t="n"/>
      <c r="G2733" s="23" t="n"/>
      <c r="H2733" s="25" t="n"/>
      <c r="I2733" s="15" t="n"/>
      <c r="J2733" s="26">
        <f>IF($A2733="","",LEN($C2733)-LEN(SUBSTITUTE($C2733,",",""))+1)</f>
        <v/>
      </c>
      <c r="K2733" s="26">
        <f>IF($A2733="","",SUMPRODUCT(--ISNUMBER(SEARCH('Category Dictionary'!$D$5:$D$135&amp;"",$C2733)),--('Category Dictionary'!$D$5:$D$135&lt;&gt;"")))</f>
        <v/>
      </c>
      <c r="L2733" s="27">
        <f>IF($A2733="","",TRIM(IF(ISERROR(FIND(",",$C2733)),$C2733,LEFT($C2733,FIND(",",$C2733)-1))))</f>
        <v/>
      </c>
      <c r="M2733" s="28">
        <f>IF($H2733="","",DATE(YEAR($H2733),MONTH($H2733),1))</f>
        <v/>
      </c>
      <c r="N2733" s="26">
        <f>IF($H2733="","",TODAY()-$H2733)</f>
        <v/>
      </c>
      <c r="O2733" s="15" t="n"/>
      <c r="P2733" s="26">
        <f>IF($A2733="","",COUNTIFS('Audit Versions'!$A$6:$A$605,$A2733,'Audit Versions'!$L$6:$L$605,"Active"))</f>
        <v/>
      </c>
      <c r="Q2733" s="15" t="n"/>
      <c r="R2733" s="26">
        <f>IF(OR($A2733="",$P2733=0),"",MOD(N($Q2733),$P2733)+1)</f>
        <v/>
      </c>
      <c r="S2733" s="15" t="n"/>
      <c r="T2733" s="25" t="n"/>
      <c r="U2733" s="26">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Builder'!$B$12="",N($S2733)&lt;='Assignment Builder'!$B$12)))</f>
        <v/>
      </c>
      <c r="V2733" s="23" t="n"/>
    </row>
    <row r="2734">
      <c r="A2734" s="23" t="n"/>
      <c r="B2734" s="23" t="n"/>
      <c r="C2734" s="24" t="n"/>
      <c r="D2734" s="15" t="n"/>
      <c r="E2734" s="23" t="n"/>
      <c r="F2734" s="15" t="n"/>
      <c r="G2734" s="23" t="n"/>
      <c r="H2734" s="25" t="n"/>
      <c r="I2734" s="15" t="n"/>
      <c r="J2734" s="26">
        <f>IF($A2734="","",LEN($C2734)-LEN(SUBSTITUTE($C2734,",",""))+1)</f>
        <v/>
      </c>
      <c r="K2734" s="26">
        <f>IF($A2734="","",SUMPRODUCT(--ISNUMBER(SEARCH('Category Dictionary'!$D$5:$D$135&amp;"",$C2734)),--('Category Dictionary'!$D$5:$D$135&lt;&gt;"")))</f>
        <v/>
      </c>
      <c r="L2734" s="27">
        <f>IF($A2734="","",TRIM(IF(ISERROR(FIND(",",$C2734)),$C2734,LEFT($C2734,FIND(",",$C2734)-1))))</f>
        <v/>
      </c>
      <c r="M2734" s="28">
        <f>IF($H2734="","",DATE(YEAR($H2734),MONTH($H2734),1))</f>
        <v/>
      </c>
      <c r="N2734" s="26">
        <f>IF($H2734="","",TODAY()-$H2734)</f>
        <v/>
      </c>
      <c r="O2734" s="15" t="n"/>
      <c r="P2734" s="26">
        <f>IF($A2734="","",COUNTIFS('Audit Versions'!$A$6:$A$605,$A2734,'Audit Versions'!$L$6:$L$605,"Active"))</f>
        <v/>
      </c>
      <c r="Q2734" s="15" t="n"/>
      <c r="R2734" s="26">
        <f>IF(OR($A2734="",$P2734=0),"",MOD(N($Q2734),$P2734)+1)</f>
        <v/>
      </c>
      <c r="S2734" s="15" t="n"/>
      <c r="T2734" s="25" t="n"/>
      <c r="U2734" s="26">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Builder'!$B$12="",N($S2734)&lt;='Assignment Builder'!$B$12)))</f>
        <v/>
      </c>
      <c r="V2734" s="23" t="n"/>
    </row>
    <row r="2735">
      <c r="A2735" s="23" t="n"/>
      <c r="B2735" s="23" t="n"/>
      <c r="C2735" s="24" t="n"/>
      <c r="D2735" s="15" t="n"/>
      <c r="E2735" s="23" t="n"/>
      <c r="F2735" s="15" t="n"/>
      <c r="G2735" s="23" t="n"/>
      <c r="H2735" s="25" t="n"/>
      <c r="I2735" s="15" t="n"/>
      <c r="J2735" s="26">
        <f>IF($A2735="","",LEN($C2735)-LEN(SUBSTITUTE($C2735,",",""))+1)</f>
        <v/>
      </c>
      <c r="K2735" s="26">
        <f>IF($A2735="","",SUMPRODUCT(--ISNUMBER(SEARCH('Category Dictionary'!$D$5:$D$135&amp;"",$C2735)),--('Category Dictionary'!$D$5:$D$135&lt;&gt;"")))</f>
        <v/>
      </c>
      <c r="L2735" s="27">
        <f>IF($A2735="","",TRIM(IF(ISERROR(FIND(",",$C2735)),$C2735,LEFT($C2735,FIND(",",$C2735)-1))))</f>
        <v/>
      </c>
      <c r="M2735" s="28">
        <f>IF($H2735="","",DATE(YEAR($H2735),MONTH($H2735),1))</f>
        <v/>
      </c>
      <c r="N2735" s="26">
        <f>IF($H2735="","",TODAY()-$H2735)</f>
        <v/>
      </c>
      <c r="O2735" s="15" t="n"/>
      <c r="P2735" s="26">
        <f>IF($A2735="","",COUNTIFS('Audit Versions'!$A$6:$A$605,$A2735,'Audit Versions'!$L$6:$L$605,"Active"))</f>
        <v/>
      </c>
      <c r="Q2735" s="15" t="n"/>
      <c r="R2735" s="26">
        <f>IF(OR($A2735="",$P2735=0),"",MOD(N($Q2735),$P2735)+1)</f>
        <v/>
      </c>
      <c r="S2735" s="15" t="n"/>
      <c r="T2735" s="25" t="n"/>
      <c r="U2735" s="26">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Builder'!$B$12="",N($S2735)&lt;='Assignment Builder'!$B$12)))</f>
        <v/>
      </c>
      <c r="V2735" s="23" t="n"/>
    </row>
    <row r="2736">
      <c r="A2736" s="23" t="n"/>
      <c r="B2736" s="23" t="n"/>
      <c r="C2736" s="24" t="n"/>
      <c r="D2736" s="15" t="n"/>
      <c r="E2736" s="23" t="n"/>
      <c r="F2736" s="15" t="n"/>
      <c r="G2736" s="23" t="n"/>
      <c r="H2736" s="25" t="n"/>
      <c r="I2736" s="15" t="n"/>
      <c r="J2736" s="26">
        <f>IF($A2736="","",LEN($C2736)-LEN(SUBSTITUTE($C2736,",",""))+1)</f>
        <v/>
      </c>
      <c r="K2736" s="26">
        <f>IF($A2736="","",SUMPRODUCT(--ISNUMBER(SEARCH('Category Dictionary'!$D$5:$D$135&amp;"",$C2736)),--('Category Dictionary'!$D$5:$D$135&lt;&gt;"")))</f>
        <v/>
      </c>
      <c r="L2736" s="27">
        <f>IF($A2736="","",TRIM(IF(ISERROR(FIND(",",$C2736)),$C2736,LEFT($C2736,FIND(",",$C2736)-1))))</f>
        <v/>
      </c>
      <c r="M2736" s="28">
        <f>IF($H2736="","",DATE(YEAR($H2736),MONTH($H2736),1))</f>
        <v/>
      </c>
      <c r="N2736" s="26">
        <f>IF($H2736="","",TODAY()-$H2736)</f>
        <v/>
      </c>
      <c r="O2736" s="15" t="n"/>
      <c r="P2736" s="26">
        <f>IF($A2736="","",COUNTIFS('Audit Versions'!$A$6:$A$605,$A2736,'Audit Versions'!$L$6:$L$605,"Active"))</f>
        <v/>
      </c>
      <c r="Q2736" s="15" t="n"/>
      <c r="R2736" s="26">
        <f>IF(OR($A2736="",$P2736=0),"",MOD(N($Q2736),$P2736)+1)</f>
        <v/>
      </c>
      <c r="S2736" s="15" t="n"/>
      <c r="T2736" s="25" t="n"/>
      <c r="U2736" s="26">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Builder'!$B$12="",N($S2736)&lt;='Assignment Builder'!$B$12)))</f>
        <v/>
      </c>
      <c r="V2736" s="23" t="n"/>
    </row>
    <row r="2737">
      <c r="A2737" s="23" t="n"/>
      <c r="B2737" s="23" t="n"/>
      <c r="C2737" s="24" t="n"/>
      <c r="D2737" s="15" t="n"/>
      <c r="E2737" s="23" t="n"/>
      <c r="F2737" s="15" t="n"/>
      <c r="G2737" s="23" t="n"/>
      <c r="H2737" s="25" t="n"/>
      <c r="I2737" s="15" t="n"/>
      <c r="J2737" s="26">
        <f>IF($A2737="","",LEN($C2737)-LEN(SUBSTITUTE($C2737,",",""))+1)</f>
        <v/>
      </c>
      <c r="K2737" s="26">
        <f>IF($A2737="","",SUMPRODUCT(--ISNUMBER(SEARCH('Category Dictionary'!$D$5:$D$135&amp;"",$C2737)),--('Category Dictionary'!$D$5:$D$135&lt;&gt;"")))</f>
        <v/>
      </c>
      <c r="L2737" s="27">
        <f>IF($A2737="","",TRIM(IF(ISERROR(FIND(",",$C2737)),$C2737,LEFT($C2737,FIND(",",$C2737)-1))))</f>
        <v/>
      </c>
      <c r="M2737" s="28">
        <f>IF($H2737="","",DATE(YEAR($H2737),MONTH($H2737),1))</f>
        <v/>
      </c>
      <c r="N2737" s="26">
        <f>IF($H2737="","",TODAY()-$H2737)</f>
        <v/>
      </c>
      <c r="O2737" s="15" t="n"/>
      <c r="P2737" s="26">
        <f>IF($A2737="","",COUNTIFS('Audit Versions'!$A$6:$A$605,$A2737,'Audit Versions'!$L$6:$L$605,"Active"))</f>
        <v/>
      </c>
      <c r="Q2737" s="15" t="n"/>
      <c r="R2737" s="26">
        <f>IF(OR($A2737="",$P2737=0),"",MOD(N($Q2737),$P2737)+1)</f>
        <v/>
      </c>
      <c r="S2737" s="15" t="n"/>
      <c r="T2737" s="25" t="n"/>
      <c r="U2737" s="26">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Builder'!$B$12="",N($S2737)&lt;='Assignment Builder'!$B$12)))</f>
        <v/>
      </c>
      <c r="V2737" s="23" t="n"/>
    </row>
    <row r="2738">
      <c r="A2738" s="23" t="n"/>
      <c r="B2738" s="23" t="n"/>
      <c r="C2738" s="24" t="n"/>
      <c r="D2738" s="15" t="n"/>
      <c r="E2738" s="23" t="n"/>
      <c r="F2738" s="15" t="n"/>
      <c r="G2738" s="23" t="n"/>
      <c r="H2738" s="25" t="n"/>
      <c r="I2738" s="15" t="n"/>
      <c r="J2738" s="26">
        <f>IF($A2738="","",LEN($C2738)-LEN(SUBSTITUTE($C2738,",",""))+1)</f>
        <v/>
      </c>
      <c r="K2738" s="26">
        <f>IF($A2738="","",SUMPRODUCT(--ISNUMBER(SEARCH('Category Dictionary'!$D$5:$D$135&amp;"",$C2738)),--('Category Dictionary'!$D$5:$D$135&lt;&gt;"")))</f>
        <v/>
      </c>
      <c r="L2738" s="27">
        <f>IF($A2738="","",TRIM(IF(ISERROR(FIND(",",$C2738)),$C2738,LEFT($C2738,FIND(",",$C2738)-1))))</f>
        <v/>
      </c>
      <c r="M2738" s="28">
        <f>IF($H2738="","",DATE(YEAR($H2738),MONTH($H2738),1))</f>
        <v/>
      </c>
      <c r="N2738" s="26">
        <f>IF($H2738="","",TODAY()-$H2738)</f>
        <v/>
      </c>
      <c r="O2738" s="15" t="n"/>
      <c r="P2738" s="26">
        <f>IF($A2738="","",COUNTIFS('Audit Versions'!$A$6:$A$605,$A2738,'Audit Versions'!$L$6:$L$605,"Active"))</f>
        <v/>
      </c>
      <c r="Q2738" s="15" t="n"/>
      <c r="R2738" s="26">
        <f>IF(OR($A2738="",$P2738=0),"",MOD(N($Q2738),$P2738)+1)</f>
        <v/>
      </c>
      <c r="S2738" s="15" t="n"/>
      <c r="T2738" s="25" t="n"/>
      <c r="U2738" s="26">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Builder'!$B$12="",N($S2738)&lt;='Assignment Builder'!$B$12)))</f>
        <v/>
      </c>
      <c r="V2738" s="23" t="n"/>
    </row>
    <row r="2739">
      <c r="A2739" s="23" t="n"/>
      <c r="B2739" s="23" t="n"/>
      <c r="C2739" s="24" t="n"/>
      <c r="D2739" s="15" t="n"/>
      <c r="E2739" s="23" t="n"/>
      <c r="F2739" s="15" t="n"/>
      <c r="G2739" s="23" t="n"/>
      <c r="H2739" s="25" t="n"/>
      <c r="I2739" s="15" t="n"/>
      <c r="J2739" s="26">
        <f>IF($A2739="","",LEN($C2739)-LEN(SUBSTITUTE($C2739,",",""))+1)</f>
        <v/>
      </c>
      <c r="K2739" s="26">
        <f>IF($A2739="","",SUMPRODUCT(--ISNUMBER(SEARCH('Category Dictionary'!$D$5:$D$135&amp;"",$C2739)),--('Category Dictionary'!$D$5:$D$135&lt;&gt;"")))</f>
        <v/>
      </c>
      <c r="L2739" s="27">
        <f>IF($A2739="","",TRIM(IF(ISERROR(FIND(",",$C2739)),$C2739,LEFT($C2739,FIND(",",$C2739)-1))))</f>
        <v/>
      </c>
      <c r="M2739" s="28">
        <f>IF($H2739="","",DATE(YEAR($H2739),MONTH($H2739),1))</f>
        <v/>
      </c>
      <c r="N2739" s="26">
        <f>IF($H2739="","",TODAY()-$H2739)</f>
        <v/>
      </c>
      <c r="O2739" s="15" t="n"/>
      <c r="P2739" s="26">
        <f>IF($A2739="","",COUNTIFS('Audit Versions'!$A$6:$A$605,$A2739,'Audit Versions'!$L$6:$L$605,"Active"))</f>
        <v/>
      </c>
      <c r="Q2739" s="15" t="n"/>
      <c r="R2739" s="26">
        <f>IF(OR($A2739="",$P2739=0),"",MOD(N($Q2739),$P2739)+1)</f>
        <v/>
      </c>
      <c r="S2739" s="15" t="n"/>
      <c r="T2739" s="25" t="n"/>
      <c r="U2739" s="26">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Builder'!$B$12="",N($S2739)&lt;='Assignment Builder'!$B$12)))</f>
        <v/>
      </c>
      <c r="V2739" s="23" t="n"/>
    </row>
    <row r="2740">
      <c r="A2740" s="23" t="n"/>
      <c r="B2740" s="23" t="n"/>
      <c r="C2740" s="24" t="n"/>
      <c r="D2740" s="15" t="n"/>
      <c r="E2740" s="23" t="n"/>
      <c r="F2740" s="15" t="n"/>
      <c r="G2740" s="23" t="n"/>
      <c r="H2740" s="25" t="n"/>
      <c r="I2740" s="15" t="n"/>
      <c r="J2740" s="26">
        <f>IF($A2740="","",LEN($C2740)-LEN(SUBSTITUTE($C2740,",",""))+1)</f>
        <v/>
      </c>
      <c r="K2740" s="26">
        <f>IF($A2740="","",SUMPRODUCT(--ISNUMBER(SEARCH('Category Dictionary'!$D$5:$D$135&amp;"",$C2740)),--('Category Dictionary'!$D$5:$D$135&lt;&gt;"")))</f>
        <v/>
      </c>
      <c r="L2740" s="27">
        <f>IF($A2740="","",TRIM(IF(ISERROR(FIND(",",$C2740)),$C2740,LEFT($C2740,FIND(",",$C2740)-1))))</f>
        <v/>
      </c>
      <c r="M2740" s="28">
        <f>IF($H2740="","",DATE(YEAR($H2740),MONTH($H2740),1))</f>
        <v/>
      </c>
      <c r="N2740" s="26">
        <f>IF($H2740="","",TODAY()-$H2740)</f>
        <v/>
      </c>
      <c r="O2740" s="15" t="n"/>
      <c r="P2740" s="26">
        <f>IF($A2740="","",COUNTIFS('Audit Versions'!$A$6:$A$605,$A2740,'Audit Versions'!$L$6:$L$605,"Active"))</f>
        <v/>
      </c>
      <c r="Q2740" s="15" t="n"/>
      <c r="R2740" s="26">
        <f>IF(OR($A2740="",$P2740=0),"",MOD(N($Q2740),$P2740)+1)</f>
        <v/>
      </c>
      <c r="S2740" s="15" t="n"/>
      <c r="T2740" s="25" t="n"/>
      <c r="U2740" s="26">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Builder'!$B$12="",N($S2740)&lt;='Assignment Builder'!$B$12)))</f>
        <v/>
      </c>
      <c r="V2740" s="23" t="n"/>
    </row>
    <row r="2741">
      <c r="A2741" s="23" t="n"/>
      <c r="B2741" s="23" t="n"/>
      <c r="C2741" s="24" t="n"/>
      <c r="D2741" s="15" t="n"/>
      <c r="E2741" s="23" t="n"/>
      <c r="F2741" s="15" t="n"/>
      <c r="G2741" s="23" t="n"/>
      <c r="H2741" s="25" t="n"/>
      <c r="I2741" s="15" t="n"/>
      <c r="J2741" s="26">
        <f>IF($A2741="","",LEN($C2741)-LEN(SUBSTITUTE($C2741,",",""))+1)</f>
        <v/>
      </c>
      <c r="K2741" s="26">
        <f>IF($A2741="","",SUMPRODUCT(--ISNUMBER(SEARCH('Category Dictionary'!$D$5:$D$135&amp;"",$C2741)),--('Category Dictionary'!$D$5:$D$135&lt;&gt;"")))</f>
        <v/>
      </c>
      <c r="L2741" s="27">
        <f>IF($A2741="","",TRIM(IF(ISERROR(FIND(",",$C2741)),$C2741,LEFT($C2741,FIND(",",$C2741)-1))))</f>
        <v/>
      </c>
      <c r="M2741" s="28">
        <f>IF($H2741="","",DATE(YEAR($H2741),MONTH($H2741),1))</f>
        <v/>
      </c>
      <c r="N2741" s="26">
        <f>IF($H2741="","",TODAY()-$H2741)</f>
        <v/>
      </c>
      <c r="O2741" s="15" t="n"/>
      <c r="P2741" s="26">
        <f>IF($A2741="","",COUNTIFS('Audit Versions'!$A$6:$A$605,$A2741,'Audit Versions'!$L$6:$L$605,"Active"))</f>
        <v/>
      </c>
      <c r="Q2741" s="15" t="n"/>
      <c r="R2741" s="26">
        <f>IF(OR($A2741="",$P2741=0),"",MOD(N($Q2741),$P2741)+1)</f>
        <v/>
      </c>
      <c r="S2741" s="15" t="n"/>
      <c r="T2741" s="25" t="n"/>
      <c r="U2741" s="26">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Builder'!$B$12="",N($S2741)&lt;='Assignment Builder'!$B$12)))</f>
        <v/>
      </c>
      <c r="V2741" s="23" t="n"/>
    </row>
    <row r="2742">
      <c r="A2742" s="23" t="n"/>
      <c r="B2742" s="23" t="n"/>
      <c r="C2742" s="24" t="n"/>
      <c r="D2742" s="15" t="n"/>
      <c r="E2742" s="23" t="n"/>
      <c r="F2742" s="15" t="n"/>
      <c r="G2742" s="23" t="n"/>
      <c r="H2742" s="25" t="n"/>
      <c r="I2742" s="15" t="n"/>
      <c r="J2742" s="26">
        <f>IF($A2742="","",LEN($C2742)-LEN(SUBSTITUTE($C2742,",",""))+1)</f>
        <v/>
      </c>
      <c r="K2742" s="26">
        <f>IF($A2742="","",SUMPRODUCT(--ISNUMBER(SEARCH('Category Dictionary'!$D$5:$D$135&amp;"",$C2742)),--('Category Dictionary'!$D$5:$D$135&lt;&gt;"")))</f>
        <v/>
      </c>
      <c r="L2742" s="27">
        <f>IF($A2742="","",TRIM(IF(ISERROR(FIND(",",$C2742)),$C2742,LEFT($C2742,FIND(",",$C2742)-1))))</f>
        <v/>
      </c>
      <c r="M2742" s="28">
        <f>IF($H2742="","",DATE(YEAR($H2742),MONTH($H2742),1))</f>
        <v/>
      </c>
      <c r="N2742" s="26">
        <f>IF($H2742="","",TODAY()-$H2742)</f>
        <v/>
      </c>
      <c r="O2742" s="15" t="n"/>
      <c r="P2742" s="26">
        <f>IF($A2742="","",COUNTIFS('Audit Versions'!$A$6:$A$605,$A2742,'Audit Versions'!$L$6:$L$605,"Active"))</f>
        <v/>
      </c>
      <c r="Q2742" s="15" t="n"/>
      <c r="R2742" s="26">
        <f>IF(OR($A2742="",$P2742=0),"",MOD(N($Q2742),$P2742)+1)</f>
        <v/>
      </c>
      <c r="S2742" s="15" t="n"/>
      <c r="T2742" s="25" t="n"/>
      <c r="U2742" s="26">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Builder'!$B$12="",N($S2742)&lt;='Assignment Builder'!$B$12)))</f>
        <v/>
      </c>
      <c r="V2742" s="23" t="n"/>
    </row>
    <row r="2743">
      <c r="A2743" s="23" t="n"/>
      <c r="B2743" s="23" t="n"/>
      <c r="C2743" s="24" t="n"/>
      <c r="D2743" s="15" t="n"/>
      <c r="E2743" s="23" t="n"/>
      <c r="F2743" s="15" t="n"/>
      <c r="G2743" s="23" t="n"/>
      <c r="H2743" s="25" t="n"/>
      <c r="I2743" s="15" t="n"/>
      <c r="J2743" s="26">
        <f>IF($A2743="","",LEN($C2743)-LEN(SUBSTITUTE($C2743,",",""))+1)</f>
        <v/>
      </c>
      <c r="K2743" s="26">
        <f>IF($A2743="","",SUMPRODUCT(--ISNUMBER(SEARCH('Category Dictionary'!$D$5:$D$135&amp;"",$C2743)),--('Category Dictionary'!$D$5:$D$135&lt;&gt;"")))</f>
        <v/>
      </c>
      <c r="L2743" s="27">
        <f>IF($A2743="","",TRIM(IF(ISERROR(FIND(",",$C2743)),$C2743,LEFT($C2743,FIND(",",$C2743)-1))))</f>
        <v/>
      </c>
      <c r="M2743" s="28">
        <f>IF($H2743="","",DATE(YEAR($H2743),MONTH($H2743),1))</f>
        <v/>
      </c>
      <c r="N2743" s="26">
        <f>IF($H2743="","",TODAY()-$H2743)</f>
        <v/>
      </c>
      <c r="O2743" s="15" t="n"/>
      <c r="P2743" s="26">
        <f>IF($A2743="","",COUNTIFS('Audit Versions'!$A$6:$A$605,$A2743,'Audit Versions'!$L$6:$L$605,"Active"))</f>
        <v/>
      </c>
      <c r="Q2743" s="15" t="n"/>
      <c r="R2743" s="26">
        <f>IF(OR($A2743="",$P2743=0),"",MOD(N($Q2743),$P2743)+1)</f>
        <v/>
      </c>
      <c r="S2743" s="15" t="n"/>
      <c r="T2743" s="25" t="n"/>
      <c r="U2743" s="26">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Builder'!$B$12="",N($S2743)&lt;='Assignment Builder'!$B$12)))</f>
        <v/>
      </c>
      <c r="V2743" s="23" t="n"/>
    </row>
    <row r="2744">
      <c r="A2744" s="23" t="n"/>
      <c r="B2744" s="23" t="n"/>
      <c r="C2744" s="24" t="n"/>
      <c r="D2744" s="15" t="n"/>
      <c r="E2744" s="23" t="n"/>
      <c r="F2744" s="15" t="n"/>
      <c r="G2744" s="23" t="n"/>
      <c r="H2744" s="25" t="n"/>
      <c r="I2744" s="15" t="n"/>
      <c r="J2744" s="26">
        <f>IF($A2744="","",LEN($C2744)-LEN(SUBSTITUTE($C2744,",",""))+1)</f>
        <v/>
      </c>
      <c r="K2744" s="26">
        <f>IF($A2744="","",SUMPRODUCT(--ISNUMBER(SEARCH('Category Dictionary'!$D$5:$D$135&amp;"",$C2744)),--('Category Dictionary'!$D$5:$D$135&lt;&gt;"")))</f>
        <v/>
      </c>
      <c r="L2744" s="27">
        <f>IF($A2744="","",TRIM(IF(ISERROR(FIND(",",$C2744)),$C2744,LEFT($C2744,FIND(",",$C2744)-1))))</f>
        <v/>
      </c>
      <c r="M2744" s="28">
        <f>IF($H2744="","",DATE(YEAR($H2744),MONTH($H2744),1))</f>
        <v/>
      </c>
      <c r="N2744" s="26">
        <f>IF($H2744="","",TODAY()-$H2744)</f>
        <v/>
      </c>
      <c r="O2744" s="15" t="n"/>
      <c r="P2744" s="26">
        <f>IF($A2744="","",COUNTIFS('Audit Versions'!$A$6:$A$605,$A2744,'Audit Versions'!$L$6:$L$605,"Active"))</f>
        <v/>
      </c>
      <c r="Q2744" s="15" t="n"/>
      <c r="R2744" s="26">
        <f>IF(OR($A2744="",$P2744=0),"",MOD(N($Q2744),$P2744)+1)</f>
        <v/>
      </c>
      <c r="S2744" s="15" t="n"/>
      <c r="T2744" s="25" t="n"/>
      <c r="U2744" s="26">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Builder'!$B$12="",N($S2744)&lt;='Assignment Builder'!$B$12)))</f>
        <v/>
      </c>
      <c r="V2744" s="23" t="n"/>
    </row>
    <row r="2745">
      <c r="A2745" s="23" t="n"/>
      <c r="B2745" s="23" t="n"/>
      <c r="C2745" s="24" t="n"/>
      <c r="D2745" s="15" t="n"/>
      <c r="E2745" s="23" t="n"/>
      <c r="F2745" s="15" t="n"/>
      <c r="G2745" s="23" t="n"/>
      <c r="H2745" s="25" t="n"/>
      <c r="I2745" s="15" t="n"/>
      <c r="J2745" s="26">
        <f>IF($A2745="","",LEN($C2745)-LEN(SUBSTITUTE($C2745,",",""))+1)</f>
        <v/>
      </c>
      <c r="K2745" s="26">
        <f>IF($A2745="","",SUMPRODUCT(--ISNUMBER(SEARCH('Category Dictionary'!$D$5:$D$135&amp;"",$C2745)),--('Category Dictionary'!$D$5:$D$135&lt;&gt;"")))</f>
        <v/>
      </c>
      <c r="L2745" s="27">
        <f>IF($A2745="","",TRIM(IF(ISERROR(FIND(",",$C2745)),$C2745,LEFT($C2745,FIND(",",$C2745)-1))))</f>
        <v/>
      </c>
      <c r="M2745" s="28">
        <f>IF($H2745="","",DATE(YEAR($H2745),MONTH($H2745),1))</f>
        <v/>
      </c>
      <c r="N2745" s="26">
        <f>IF($H2745="","",TODAY()-$H2745)</f>
        <v/>
      </c>
      <c r="O2745" s="15" t="n"/>
      <c r="P2745" s="26">
        <f>IF($A2745="","",COUNTIFS('Audit Versions'!$A$6:$A$605,$A2745,'Audit Versions'!$L$6:$L$605,"Active"))</f>
        <v/>
      </c>
      <c r="Q2745" s="15" t="n"/>
      <c r="R2745" s="26">
        <f>IF(OR($A2745="",$P2745=0),"",MOD(N($Q2745),$P2745)+1)</f>
        <v/>
      </c>
      <c r="S2745" s="15" t="n"/>
      <c r="T2745" s="25" t="n"/>
      <c r="U2745" s="26">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Builder'!$B$12="",N($S2745)&lt;='Assignment Builder'!$B$12)))</f>
        <v/>
      </c>
      <c r="V2745" s="23" t="n"/>
    </row>
    <row r="2746">
      <c r="A2746" s="23" t="n"/>
      <c r="B2746" s="23" t="n"/>
      <c r="C2746" s="24" t="n"/>
      <c r="D2746" s="15" t="n"/>
      <c r="E2746" s="23" t="n"/>
      <c r="F2746" s="15" t="n"/>
      <c r="G2746" s="23" t="n"/>
      <c r="H2746" s="25" t="n"/>
      <c r="I2746" s="15" t="n"/>
      <c r="J2746" s="26">
        <f>IF($A2746="","",LEN($C2746)-LEN(SUBSTITUTE($C2746,",",""))+1)</f>
        <v/>
      </c>
      <c r="K2746" s="26">
        <f>IF($A2746="","",SUMPRODUCT(--ISNUMBER(SEARCH('Category Dictionary'!$D$5:$D$135&amp;"",$C2746)),--('Category Dictionary'!$D$5:$D$135&lt;&gt;"")))</f>
        <v/>
      </c>
      <c r="L2746" s="27">
        <f>IF($A2746="","",TRIM(IF(ISERROR(FIND(",",$C2746)),$C2746,LEFT($C2746,FIND(",",$C2746)-1))))</f>
        <v/>
      </c>
      <c r="M2746" s="28">
        <f>IF($H2746="","",DATE(YEAR($H2746),MONTH($H2746),1))</f>
        <v/>
      </c>
      <c r="N2746" s="26">
        <f>IF($H2746="","",TODAY()-$H2746)</f>
        <v/>
      </c>
      <c r="O2746" s="15" t="n"/>
      <c r="P2746" s="26">
        <f>IF($A2746="","",COUNTIFS('Audit Versions'!$A$6:$A$605,$A2746,'Audit Versions'!$L$6:$L$605,"Active"))</f>
        <v/>
      </c>
      <c r="Q2746" s="15" t="n"/>
      <c r="R2746" s="26">
        <f>IF(OR($A2746="",$P2746=0),"",MOD(N($Q2746),$P2746)+1)</f>
        <v/>
      </c>
      <c r="S2746" s="15" t="n"/>
      <c r="T2746" s="25" t="n"/>
      <c r="U2746" s="26">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Builder'!$B$12="",N($S2746)&lt;='Assignment Builder'!$B$12)))</f>
        <v/>
      </c>
      <c r="V2746" s="23" t="n"/>
    </row>
    <row r="2747">
      <c r="A2747" s="23" t="n"/>
      <c r="B2747" s="23" t="n"/>
      <c r="C2747" s="24" t="n"/>
      <c r="D2747" s="15" t="n"/>
      <c r="E2747" s="23" t="n"/>
      <c r="F2747" s="15" t="n"/>
      <c r="G2747" s="23" t="n"/>
      <c r="H2747" s="25" t="n"/>
      <c r="I2747" s="15" t="n"/>
      <c r="J2747" s="26">
        <f>IF($A2747="","",LEN($C2747)-LEN(SUBSTITUTE($C2747,",",""))+1)</f>
        <v/>
      </c>
      <c r="K2747" s="26">
        <f>IF($A2747="","",SUMPRODUCT(--ISNUMBER(SEARCH('Category Dictionary'!$D$5:$D$135&amp;"",$C2747)),--('Category Dictionary'!$D$5:$D$135&lt;&gt;"")))</f>
        <v/>
      </c>
      <c r="L2747" s="27">
        <f>IF($A2747="","",TRIM(IF(ISERROR(FIND(",",$C2747)),$C2747,LEFT($C2747,FIND(",",$C2747)-1))))</f>
        <v/>
      </c>
      <c r="M2747" s="28">
        <f>IF($H2747="","",DATE(YEAR($H2747),MONTH($H2747),1))</f>
        <v/>
      </c>
      <c r="N2747" s="26">
        <f>IF($H2747="","",TODAY()-$H2747)</f>
        <v/>
      </c>
      <c r="O2747" s="15" t="n"/>
      <c r="P2747" s="26">
        <f>IF($A2747="","",COUNTIFS('Audit Versions'!$A$6:$A$605,$A2747,'Audit Versions'!$L$6:$L$605,"Active"))</f>
        <v/>
      </c>
      <c r="Q2747" s="15" t="n"/>
      <c r="R2747" s="26">
        <f>IF(OR($A2747="",$P2747=0),"",MOD(N($Q2747),$P2747)+1)</f>
        <v/>
      </c>
      <c r="S2747" s="15" t="n"/>
      <c r="T2747" s="25" t="n"/>
      <c r="U2747" s="26">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Builder'!$B$12="",N($S2747)&lt;='Assignment Builder'!$B$12)))</f>
        <v/>
      </c>
      <c r="V2747" s="23" t="n"/>
    </row>
    <row r="2748">
      <c r="A2748" s="23" t="n"/>
      <c r="B2748" s="23" t="n"/>
      <c r="C2748" s="24" t="n"/>
      <c r="D2748" s="15" t="n"/>
      <c r="E2748" s="23" t="n"/>
      <c r="F2748" s="15" t="n"/>
      <c r="G2748" s="23" t="n"/>
      <c r="H2748" s="25" t="n"/>
      <c r="I2748" s="15" t="n"/>
      <c r="J2748" s="26">
        <f>IF($A2748="","",LEN($C2748)-LEN(SUBSTITUTE($C2748,",",""))+1)</f>
        <v/>
      </c>
      <c r="K2748" s="26">
        <f>IF($A2748="","",SUMPRODUCT(--ISNUMBER(SEARCH('Category Dictionary'!$D$5:$D$135&amp;"",$C2748)),--('Category Dictionary'!$D$5:$D$135&lt;&gt;"")))</f>
        <v/>
      </c>
      <c r="L2748" s="27">
        <f>IF($A2748="","",TRIM(IF(ISERROR(FIND(",",$C2748)),$C2748,LEFT($C2748,FIND(",",$C2748)-1))))</f>
        <v/>
      </c>
      <c r="M2748" s="28">
        <f>IF($H2748="","",DATE(YEAR($H2748),MONTH($H2748),1))</f>
        <v/>
      </c>
      <c r="N2748" s="26">
        <f>IF($H2748="","",TODAY()-$H2748)</f>
        <v/>
      </c>
      <c r="O2748" s="15" t="n"/>
      <c r="P2748" s="26">
        <f>IF($A2748="","",COUNTIFS('Audit Versions'!$A$6:$A$605,$A2748,'Audit Versions'!$L$6:$L$605,"Active"))</f>
        <v/>
      </c>
      <c r="Q2748" s="15" t="n"/>
      <c r="R2748" s="26">
        <f>IF(OR($A2748="",$P2748=0),"",MOD(N($Q2748),$P2748)+1)</f>
        <v/>
      </c>
      <c r="S2748" s="15" t="n"/>
      <c r="T2748" s="25" t="n"/>
      <c r="U2748" s="26">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Builder'!$B$12="",N($S2748)&lt;='Assignment Builder'!$B$12)))</f>
        <v/>
      </c>
      <c r="V2748" s="23" t="n"/>
    </row>
    <row r="2749">
      <c r="A2749" s="23" t="n"/>
      <c r="B2749" s="23" t="n"/>
      <c r="C2749" s="24" t="n"/>
      <c r="D2749" s="15" t="n"/>
      <c r="E2749" s="23" t="n"/>
      <c r="F2749" s="15" t="n"/>
      <c r="G2749" s="23" t="n"/>
      <c r="H2749" s="25" t="n"/>
      <c r="I2749" s="15" t="n"/>
      <c r="J2749" s="26">
        <f>IF($A2749="","",LEN($C2749)-LEN(SUBSTITUTE($C2749,",",""))+1)</f>
        <v/>
      </c>
      <c r="K2749" s="26">
        <f>IF($A2749="","",SUMPRODUCT(--ISNUMBER(SEARCH('Category Dictionary'!$D$5:$D$135&amp;"",$C2749)),--('Category Dictionary'!$D$5:$D$135&lt;&gt;"")))</f>
        <v/>
      </c>
      <c r="L2749" s="27">
        <f>IF($A2749="","",TRIM(IF(ISERROR(FIND(",",$C2749)),$C2749,LEFT($C2749,FIND(",",$C2749)-1))))</f>
        <v/>
      </c>
      <c r="M2749" s="28">
        <f>IF($H2749="","",DATE(YEAR($H2749),MONTH($H2749),1))</f>
        <v/>
      </c>
      <c r="N2749" s="26">
        <f>IF($H2749="","",TODAY()-$H2749)</f>
        <v/>
      </c>
      <c r="O2749" s="15" t="n"/>
      <c r="P2749" s="26">
        <f>IF($A2749="","",COUNTIFS('Audit Versions'!$A$6:$A$605,$A2749,'Audit Versions'!$L$6:$L$605,"Active"))</f>
        <v/>
      </c>
      <c r="Q2749" s="15" t="n"/>
      <c r="R2749" s="26">
        <f>IF(OR($A2749="",$P2749=0),"",MOD(N($Q2749),$P2749)+1)</f>
        <v/>
      </c>
      <c r="S2749" s="15" t="n"/>
      <c r="T2749" s="25" t="n"/>
      <c r="U2749" s="26">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Builder'!$B$12="",N($S2749)&lt;='Assignment Builder'!$B$12)))</f>
        <v/>
      </c>
      <c r="V2749" s="23" t="n"/>
    </row>
    <row r="2750">
      <c r="A2750" s="23" t="n"/>
      <c r="B2750" s="23" t="n"/>
      <c r="C2750" s="24" t="n"/>
      <c r="D2750" s="15" t="n"/>
      <c r="E2750" s="23" t="n"/>
      <c r="F2750" s="15" t="n"/>
      <c r="G2750" s="23" t="n"/>
      <c r="H2750" s="25" t="n"/>
      <c r="I2750" s="15" t="n"/>
      <c r="J2750" s="26">
        <f>IF($A2750="","",LEN($C2750)-LEN(SUBSTITUTE($C2750,",",""))+1)</f>
        <v/>
      </c>
      <c r="K2750" s="26">
        <f>IF($A2750="","",SUMPRODUCT(--ISNUMBER(SEARCH('Category Dictionary'!$D$5:$D$135&amp;"",$C2750)),--('Category Dictionary'!$D$5:$D$135&lt;&gt;"")))</f>
        <v/>
      </c>
      <c r="L2750" s="27">
        <f>IF($A2750="","",TRIM(IF(ISERROR(FIND(",",$C2750)),$C2750,LEFT($C2750,FIND(",",$C2750)-1))))</f>
        <v/>
      </c>
      <c r="M2750" s="28">
        <f>IF($H2750="","",DATE(YEAR($H2750),MONTH($H2750),1))</f>
        <v/>
      </c>
      <c r="N2750" s="26">
        <f>IF($H2750="","",TODAY()-$H2750)</f>
        <v/>
      </c>
      <c r="O2750" s="15" t="n"/>
      <c r="P2750" s="26">
        <f>IF($A2750="","",COUNTIFS('Audit Versions'!$A$6:$A$605,$A2750,'Audit Versions'!$L$6:$L$605,"Active"))</f>
        <v/>
      </c>
      <c r="Q2750" s="15" t="n"/>
      <c r="R2750" s="26">
        <f>IF(OR($A2750="",$P2750=0),"",MOD(N($Q2750),$P2750)+1)</f>
        <v/>
      </c>
      <c r="S2750" s="15" t="n"/>
      <c r="T2750" s="25" t="n"/>
      <c r="U2750" s="26">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Builder'!$B$12="",N($S2750)&lt;='Assignment Builder'!$B$12)))</f>
        <v/>
      </c>
      <c r="V2750" s="23" t="n"/>
    </row>
    <row r="2751">
      <c r="A2751" s="23" t="n"/>
      <c r="B2751" s="23" t="n"/>
      <c r="C2751" s="24" t="n"/>
      <c r="D2751" s="15" t="n"/>
      <c r="E2751" s="23" t="n"/>
      <c r="F2751" s="15" t="n"/>
      <c r="G2751" s="23" t="n"/>
      <c r="H2751" s="25" t="n"/>
      <c r="I2751" s="15" t="n"/>
      <c r="J2751" s="26">
        <f>IF($A2751="","",LEN($C2751)-LEN(SUBSTITUTE($C2751,",",""))+1)</f>
        <v/>
      </c>
      <c r="K2751" s="26">
        <f>IF($A2751="","",SUMPRODUCT(--ISNUMBER(SEARCH('Category Dictionary'!$D$5:$D$135&amp;"",$C2751)),--('Category Dictionary'!$D$5:$D$135&lt;&gt;"")))</f>
        <v/>
      </c>
      <c r="L2751" s="27">
        <f>IF($A2751="","",TRIM(IF(ISERROR(FIND(",",$C2751)),$C2751,LEFT($C2751,FIND(",",$C2751)-1))))</f>
        <v/>
      </c>
      <c r="M2751" s="28">
        <f>IF($H2751="","",DATE(YEAR($H2751),MONTH($H2751),1))</f>
        <v/>
      </c>
      <c r="N2751" s="26">
        <f>IF($H2751="","",TODAY()-$H2751)</f>
        <v/>
      </c>
      <c r="O2751" s="15" t="n"/>
      <c r="P2751" s="26">
        <f>IF($A2751="","",COUNTIFS('Audit Versions'!$A$6:$A$605,$A2751,'Audit Versions'!$L$6:$L$605,"Active"))</f>
        <v/>
      </c>
      <c r="Q2751" s="15" t="n"/>
      <c r="R2751" s="26">
        <f>IF(OR($A2751="",$P2751=0),"",MOD(N($Q2751),$P2751)+1)</f>
        <v/>
      </c>
      <c r="S2751" s="15" t="n"/>
      <c r="T2751" s="25" t="n"/>
      <c r="U2751" s="26">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Builder'!$B$12="",N($S2751)&lt;='Assignment Builder'!$B$12)))</f>
        <v/>
      </c>
      <c r="V2751" s="23" t="n"/>
    </row>
    <row r="2752">
      <c r="A2752" s="23" t="n"/>
      <c r="B2752" s="23" t="n"/>
      <c r="C2752" s="24" t="n"/>
      <c r="D2752" s="15" t="n"/>
      <c r="E2752" s="23" t="n"/>
      <c r="F2752" s="15" t="n"/>
      <c r="G2752" s="23" t="n"/>
      <c r="H2752" s="25" t="n"/>
      <c r="I2752" s="15" t="n"/>
      <c r="J2752" s="26">
        <f>IF($A2752="","",LEN($C2752)-LEN(SUBSTITUTE($C2752,",",""))+1)</f>
        <v/>
      </c>
      <c r="K2752" s="26">
        <f>IF($A2752="","",SUMPRODUCT(--ISNUMBER(SEARCH('Category Dictionary'!$D$5:$D$135&amp;"",$C2752)),--('Category Dictionary'!$D$5:$D$135&lt;&gt;"")))</f>
        <v/>
      </c>
      <c r="L2752" s="27">
        <f>IF($A2752="","",TRIM(IF(ISERROR(FIND(",",$C2752)),$C2752,LEFT($C2752,FIND(",",$C2752)-1))))</f>
        <v/>
      </c>
      <c r="M2752" s="28">
        <f>IF($H2752="","",DATE(YEAR($H2752),MONTH($H2752),1))</f>
        <v/>
      </c>
      <c r="N2752" s="26">
        <f>IF($H2752="","",TODAY()-$H2752)</f>
        <v/>
      </c>
      <c r="O2752" s="15" t="n"/>
      <c r="P2752" s="26">
        <f>IF($A2752="","",COUNTIFS('Audit Versions'!$A$6:$A$605,$A2752,'Audit Versions'!$L$6:$L$605,"Active"))</f>
        <v/>
      </c>
      <c r="Q2752" s="15" t="n"/>
      <c r="R2752" s="26">
        <f>IF(OR($A2752="",$P2752=0),"",MOD(N($Q2752),$P2752)+1)</f>
        <v/>
      </c>
      <c r="S2752" s="15" t="n"/>
      <c r="T2752" s="25" t="n"/>
      <c r="U2752" s="26">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Builder'!$B$12="",N($S2752)&lt;='Assignment Builder'!$B$12)))</f>
        <v/>
      </c>
      <c r="V2752" s="23" t="n"/>
    </row>
    <row r="2753">
      <c r="A2753" s="23" t="n"/>
      <c r="B2753" s="23" t="n"/>
      <c r="C2753" s="24" t="n"/>
      <c r="D2753" s="15" t="n"/>
      <c r="E2753" s="23" t="n"/>
      <c r="F2753" s="15" t="n"/>
      <c r="G2753" s="23" t="n"/>
      <c r="H2753" s="25" t="n"/>
      <c r="I2753" s="15" t="n"/>
      <c r="J2753" s="26">
        <f>IF($A2753="","",LEN($C2753)-LEN(SUBSTITUTE($C2753,",",""))+1)</f>
        <v/>
      </c>
      <c r="K2753" s="26">
        <f>IF($A2753="","",SUMPRODUCT(--ISNUMBER(SEARCH('Category Dictionary'!$D$5:$D$135&amp;"",$C2753)),--('Category Dictionary'!$D$5:$D$135&lt;&gt;"")))</f>
        <v/>
      </c>
      <c r="L2753" s="27">
        <f>IF($A2753="","",TRIM(IF(ISERROR(FIND(",",$C2753)),$C2753,LEFT($C2753,FIND(",",$C2753)-1))))</f>
        <v/>
      </c>
      <c r="M2753" s="28">
        <f>IF($H2753="","",DATE(YEAR($H2753),MONTH($H2753),1))</f>
        <v/>
      </c>
      <c r="N2753" s="26">
        <f>IF($H2753="","",TODAY()-$H2753)</f>
        <v/>
      </c>
      <c r="O2753" s="15" t="n"/>
      <c r="P2753" s="26">
        <f>IF($A2753="","",COUNTIFS('Audit Versions'!$A$6:$A$605,$A2753,'Audit Versions'!$L$6:$L$605,"Active"))</f>
        <v/>
      </c>
      <c r="Q2753" s="15" t="n"/>
      <c r="R2753" s="26">
        <f>IF(OR($A2753="",$P2753=0),"",MOD(N($Q2753),$P2753)+1)</f>
        <v/>
      </c>
      <c r="S2753" s="15" t="n"/>
      <c r="T2753" s="25" t="n"/>
      <c r="U2753" s="26">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Builder'!$B$12="",N($S2753)&lt;='Assignment Builder'!$B$12)))</f>
        <v/>
      </c>
      <c r="V2753" s="23" t="n"/>
    </row>
    <row r="2754">
      <c r="A2754" s="23" t="n"/>
      <c r="B2754" s="23" t="n"/>
      <c r="C2754" s="24" t="n"/>
      <c r="D2754" s="15" t="n"/>
      <c r="E2754" s="23" t="n"/>
      <c r="F2754" s="15" t="n"/>
      <c r="G2754" s="23" t="n"/>
      <c r="H2754" s="25" t="n"/>
      <c r="I2754" s="15" t="n"/>
      <c r="J2754" s="26">
        <f>IF($A2754="","",LEN($C2754)-LEN(SUBSTITUTE($C2754,",",""))+1)</f>
        <v/>
      </c>
      <c r="K2754" s="26">
        <f>IF($A2754="","",SUMPRODUCT(--ISNUMBER(SEARCH('Category Dictionary'!$D$5:$D$135&amp;"",$C2754)),--('Category Dictionary'!$D$5:$D$135&lt;&gt;"")))</f>
        <v/>
      </c>
      <c r="L2754" s="27">
        <f>IF($A2754="","",TRIM(IF(ISERROR(FIND(",",$C2754)),$C2754,LEFT($C2754,FIND(",",$C2754)-1))))</f>
        <v/>
      </c>
      <c r="M2754" s="28">
        <f>IF($H2754="","",DATE(YEAR($H2754),MONTH($H2754),1))</f>
        <v/>
      </c>
      <c r="N2754" s="26">
        <f>IF($H2754="","",TODAY()-$H2754)</f>
        <v/>
      </c>
      <c r="O2754" s="15" t="n"/>
      <c r="P2754" s="26">
        <f>IF($A2754="","",COUNTIFS('Audit Versions'!$A$6:$A$605,$A2754,'Audit Versions'!$L$6:$L$605,"Active"))</f>
        <v/>
      </c>
      <c r="Q2754" s="15" t="n"/>
      <c r="R2754" s="26">
        <f>IF(OR($A2754="",$P2754=0),"",MOD(N($Q2754),$P2754)+1)</f>
        <v/>
      </c>
      <c r="S2754" s="15" t="n"/>
      <c r="T2754" s="25" t="n"/>
      <c r="U2754" s="26">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Builder'!$B$12="",N($S2754)&lt;='Assignment Builder'!$B$12)))</f>
        <v/>
      </c>
      <c r="V2754" s="23" t="n"/>
    </row>
    <row r="2755">
      <c r="A2755" s="23" t="n"/>
      <c r="B2755" s="23" t="n"/>
      <c r="C2755" s="24" t="n"/>
      <c r="D2755" s="15" t="n"/>
      <c r="E2755" s="23" t="n"/>
      <c r="F2755" s="15" t="n"/>
      <c r="G2755" s="23" t="n"/>
      <c r="H2755" s="25" t="n"/>
      <c r="I2755" s="15" t="n"/>
      <c r="J2755" s="26">
        <f>IF($A2755="","",LEN($C2755)-LEN(SUBSTITUTE($C2755,",",""))+1)</f>
        <v/>
      </c>
      <c r="K2755" s="26">
        <f>IF($A2755="","",SUMPRODUCT(--ISNUMBER(SEARCH('Category Dictionary'!$D$5:$D$135&amp;"",$C2755)),--('Category Dictionary'!$D$5:$D$135&lt;&gt;"")))</f>
        <v/>
      </c>
      <c r="L2755" s="27">
        <f>IF($A2755="","",TRIM(IF(ISERROR(FIND(",",$C2755)),$C2755,LEFT($C2755,FIND(",",$C2755)-1))))</f>
        <v/>
      </c>
      <c r="M2755" s="28">
        <f>IF($H2755="","",DATE(YEAR($H2755),MONTH($H2755),1))</f>
        <v/>
      </c>
      <c r="N2755" s="26">
        <f>IF($H2755="","",TODAY()-$H2755)</f>
        <v/>
      </c>
      <c r="O2755" s="15" t="n"/>
      <c r="P2755" s="26">
        <f>IF($A2755="","",COUNTIFS('Audit Versions'!$A$6:$A$605,$A2755,'Audit Versions'!$L$6:$L$605,"Active"))</f>
        <v/>
      </c>
      <c r="Q2755" s="15" t="n"/>
      <c r="R2755" s="26">
        <f>IF(OR($A2755="",$P2755=0),"",MOD(N($Q2755),$P2755)+1)</f>
        <v/>
      </c>
      <c r="S2755" s="15" t="n"/>
      <c r="T2755" s="25" t="n"/>
      <c r="U2755" s="26">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Builder'!$B$12="",N($S2755)&lt;='Assignment Builder'!$B$12)))</f>
        <v/>
      </c>
      <c r="V2755" s="23" t="n"/>
    </row>
    <row r="2756">
      <c r="A2756" s="23" t="n"/>
      <c r="B2756" s="23" t="n"/>
      <c r="C2756" s="24" t="n"/>
      <c r="D2756" s="15" t="n"/>
      <c r="E2756" s="23" t="n"/>
      <c r="F2756" s="15" t="n"/>
      <c r="G2756" s="23" t="n"/>
      <c r="H2756" s="25" t="n"/>
      <c r="I2756" s="15" t="n"/>
      <c r="J2756" s="26">
        <f>IF($A2756="","",LEN($C2756)-LEN(SUBSTITUTE($C2756,",",""))+1)</f>
        <v/>
      </c>
      <c r="K2756" s="26">
        <f>IF($A2756="","",SUMPRODUCT(--ISNUMBER(SEARCH('Category Dictionary'!$D$5:$D$135&amp;"",$C2756)),--('Category Dictionary'!$D$5:$D$135&lt;&gt;"")))</f>
        <v/>
      </c>
      <c r="L2756" s="27">
        <f>IF($A2756="","",TRIM(IF(ISERROR(FIND(",",$C2756)),$C2756,LEFT($C2756,FIND(",",$C2756)-1))))</f>
        <v/>
      </c>
      <c r="M2756" s="28">
        <f>IF($H2756="","",DATE(YEAR($H2756),MONTH($H2756),1))</f>
        <v/>
      </c>
      <c r="N2756" s="26">
        <f>IF($H2756="","",TODAY()-$H2756)</f>
        <v/>
      </c>
      <c r="O2756" s="15" t="n"/>
      <c r="P2756" s="26">
        <f>IF($A2756="","",COUNTIFS('Audit Versions'!$A$6:$A$605,$A2756,'Audit Versions'!$L$6:$L$605,"Active"))</f>
        <v/>
      </c>
      <c r="Q2756" s="15" t="n"/>
      <c r="R2756" s="26">
        <f>IF(OR($A2756="",$P2756=0),"",MOD(N($Q2756),$P2756)+1)</f>
        <v/>
      </c>
      <c r="S2756" s="15" t="n"/>
      <c r="T2756" s="25" t="n"/>
      <c r="U2756" s="26">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Builder'!$B$12="",N($S2756)&lt;='Assignment Builder'!$B$12)))</f>
        <v/>
      </c>
      <c r="V2756" s="23" t="n"/>
    </row>
    <row r="2757">
      <c r="A2757" s="23" t="n"/>
      <c r="B2757" s="23" t="n"/>
      <c r="C2757" s="24" t="n"/>
      <c r="D2757" s="15" t="n"/>
      <c r="E2757" s="23" t="n"/>
      <c r="F2757" s="15" t="n"/>
      <c r="G2757" s="23" t="n"/>
      <c r="H2757" s="25" t="n"/>
      <c r="I2757" s="15" t="n"/>
      <c r="J2757" s="26">
        <f>IF($A2757="","",LEN($C2757)-LEN(SUBSTITUTE($C2757,",",""))+1)</f>
        <v/>
      </c>
      <c r="K2757" s="26">
        <f>IF($A2757="","",SUMPRODUCT(--ISNUMBER(SEARCH('Category Dictionary'!$D$5:$D$135&amp;"",$C2757)),--('Category Dictionary'!$D$5:$D$135&lt;&gt;"")))</f>
        <v/>
      </c>
      <c r="L2757" s="27">
        <f>IF($A2757="","",TRIM(IF(ISERROR(FIND(",",$C2757)),$C2757,LEFT($C2757,FIND(",",$C2757)-1))))</f>
        <v/>
      </c>
      <c r="M2757" s="28">
        <f>IF($H2757="","",DATE(YEAR($H2757),MONTH($H2757),1))</f>
        <v/>
      </c>
      <c r="N2757" s="26">
        <f>IF($H2757="","",TODAY()-$H2757)</f>
        <v/>
      </c>
      <c r="O2757" s="15" t="n"/>
      <c r="P2757" s="26">
        <f>IF($A2757="","",COUNTIFS('Audit Versions'!$A$6:$A$605,$A2757,'Audit Versions'!$L$6:$L$605,"Active"))</f>
        <v/>
      </c>
      <c r="Q2757" s="15" t="n"/>
      <c r="R2757" s="26">
        <f>IF(OR($A2757="",$P2757=0),"",MOD(N($Q2757),$P2757)+1)</f>
        <v/>
      </c>
      <c r="S2757" s="15" t="n"/>
      <c r="T2757" s="25" t="n"/>
      <c r="U2757" s="26">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Builder'!$B$12="",N($S2757)&lt;='Assignment Builder'!$B$12)))</f>
        <v/>
      </c>
      <c r="V2757" s="23" t="n"/>
    </row>
    <row r="2758">
      <c r="A2758" s="23" t="n"/>
      <c r="B2758" s="23" t="n"/>
      <c r="C2758" s="24" t="n"/>
      <c r="D2758" s="15" t="n"/>
      <c r="E2758" s="23" t="n"/>
      <c r="F2758" s="15" t="n"/>
      <c r="G2758" s="23" t="n"/>
      <c r="H2758" s="25" t="n"/>
      <c r="I2758" s="15" t="n"/>
      <c r="J2758" s="26">
        <f>IF($A2758="","",LEN($C2758)-LEN(SUBSTITUTE($C2758,",",""))+1)</f>
        <v/>
      </c>
      <c r="K2758" s="26">
        <f>IF($A2758="","",SUMPRODUCT(--ISNUMBER(SEARCH('Category Dictionary'!$D$5:$D$135&amp;"",$C2758)),--('Category Dictionary'!$D$5:$D$135&lt;&gt;"")))</f>
        <v/>
      </c>
      <c r="L2758" s="27">
        <f>IF($A2758="","",TRIM(IF(ISERROR(FIND(",",$C2758)),$C2758,LEFT($C2758,FIND(",",$C2758)-1))))</f>
        <v/>
      </c>
      <c r="M2758" s="28">
        <f>IF($H2758="","",DATE(YEAR($H2758),MONTH($H2758),1))</f>
        <v/>
      </c>
      <c r="N2758" s="26">
        <f>IF($H2758="","",TODAY()-$H2758)</f>
        <v/>
      </c>
      <c r="O2758" s="15" t="n"/>
      <c r="P2758" s="26">
        <f>IF($A2758="","",COUNTIFS('Audit Versions'!$A$6:$A$605,$A2758,'Audit Versions'!$L$6:$L$605,"Active"))</f>
        <v/>
      </c>
      <c r="Q2758" s="15" t="n"/>
      <c r="R2758" s="26">
        <f>IF(OR($A2758="",$P2758=0),"",MOD(N($Q2758),$P2758)+1)</f>
        <v/>
      </c>
      <c r="S2758" s="15" t="n"/>
      <c r="T2758" s="25" t="n"/>
      <c r="U2758" s="26">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Builder'!$B$12="",N($S2758)&lt;='Assignment Builder'!$B$12)))</f>
        <v/>
      </c>
      <c r="V2758" s="23" t="n"/>
    </row>
    <row r="2759">
      <c r="A2759" s="23" t="n"/>
      <c r="B2759" s="23" t="n"/>
      <c r="C2759" s="24" t="n"/>
      <c r="D2759" s="15" t="n"/>
      <c r="E2759" s="23" t="n"/>
      <c r="F2759" s="15" t="n"/>
      <c r="G2759" s="23" t="n"/>
      <c r="H2759" s="25" t="n"/>
      <c r="I2759" s="15" t="n"/>
      <c r="J2759" s="26">
        <f>IF($A2759="","",LEN($C2759)-LEN(SUBSTITUTE($C2759,",",""))+1)</f>
        <v/>
      </c>
      <c r="K2759" s="26">
        <f>IF($A2759="","",SUMPRODUCT(--ISNUMBER(SEARCH('Category Dictionary'!$D$5:$D$135&amp;"",$C2759)),--('Category Dictionary'!$D$5:$D$135&lt;&gt;"")))</f>
        <v/>
      </c>
      <c r="L2759" s="27">
        <f>IF($A2759="","",TRIM(IF(ISERROR(FIND(",",$C2759)),$C2759,LEFT($C2759,FIND(",",$C2759)-1))))</f>
        <v/>
      </c>
      <c r="M2759" s="28">
        <f>IF($H2759="","",DATE(YEAR($H2759),MONTH($H2759),1))</f>
        <v/>
      </c>
      <c r="N2759" s="26">
        <f>IF($H2759="","",TODAY()-$H2759)</f>
        <v/>
      </c>
      <c r="O2759" s="15" t="n"/>
      <c r="P2759" s="26">
        <f>IF($A2759="","",COUNTIFS('Audit Versions'!$A$6:$A$605,$A2759,'Audit Versions'!$L$6:$L$605,"Active"))</f>
        <v/>
      </c>
      <c r="Q2759" s="15" t="n"/>
      <c r="R2759" s="26">
        <f>IF(OR($A2759="",$P2759=0),"",MOD(N($Q2759),$P2759)+1)</f>
        <v/>
      </c>
      <c r="S2759" s="15" t="n"/>
      <c r="T2759" s="25" t="n"/>
      <c r="U2759" s="26">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Builder'!$B$12="",N($S2759)&lt;='Assignment Builder'!$B$12)))</f>
        <v/>
      </c>
      <c r="V2759" s="23" t="n"/>
    </row>
    <row r="2760">
      <c r="A2760" s="23" t="n"/>
      <c r="B2760" s="23" t="n"/>
      <c r="C2760" s="24" t="n"/>
      <c r="D2760" s="15" t="n"/>
      <c r="E2760" s="23" t="n"/>
      <c r="F2760" s="15" t="n"/>
      <c r="G2760" s="23" t="n"/>
      <c r="H2760" s="25" t="n"/>
      <c r="I2760" s="15" t="n"/>
      <c r="J2760" s="26">
        <f>IF($A2760="","",LEN($C2760)-LEN(SUBSTITUTE($C2760,",",""))+1)</f>
        <v/>
      </c>
      <c r="K2760" s="26">
        <f>IF($A2760="","",SUMPRODUCT(--ISNUMBER(SEARCH('Category Dictionary'!$D$5:$D$135&amp;"",$C2760)),--('Category Dictionary'!$D$5:$D$135&lt;&gt;"")))</f>
        <v/>
      </c>
      <c r="L2760" s="27">
        <f>IF($A2760="","",TRIM(IF(ISERROR(FIND(",",$C2760)),$C2760,LEFT($C2760,FIND(",",$C2760)-1))))</f>
        <v/>
      </c>
      <c r="M2760" s="28">
        <f>IF($H2760="","",DATE(YEAR($H2760),MONTH($H2760),1))</f>
        <v/>
      </c>
      <c r="N2760" s="26">
        <f>IF($H2760="","",TODAY()-$H2760)</f>
        <v/>
      </c>
      <c r="O2760" s="15" t="n"/>
      <c r="P2760" s="26">
        <f>IF($A2760="","",COUNTIFS('Audit Versions'!$A$6:$A$605,$A2760,'Audit Versions'!$L$6:$L$605,"Active"))</f>
        <v/>
      </c>
      <c r="Q2760" s="15" t="n"/>
      <c r="R2760" s="26">
        <f>IF(OR($A2760="",$P2760=0),"",MOD(N($Q2760),$P2760)+1)</f>
        <v/>
      </c>
      <c r="S2760" s="15" t="n"/>
      <c r="T2760" s="25" t="n"/>
      <c r="U2760" s="26">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Builder'!$B$12="",N($S2760)&lt;='Assignment Builder'!$B$12)))</f>
        <v/>
      </c>
      <c r="V2760" s="23" t="n"/>
    </row>
    <row r="2761">
      <c r="A2761" s="23" t="n"/>
      <c r="B2761" s="23" t="n"/>
      <c r="C2761" s="24" t="n"/>
      <c r="D2761" s="15" t="n"/>
      <c r="E2761" s="23" t="n"/>
      <c r="F2761" s="15" t="n"/>
      <c r="G2761" s="23" t="n"/>
      <c r="H2761" s="25" t="n"/>
      <c r="I2761" s="15" t="n"/>
      <c r="J2761" s="26">
        <f>IF($A2761="","",LEN($C2761)-LEN(SUBSTITUTE($C2761,",",""))+1)</f>
        <v/>
      </c>
      <c r="K2761" s="26">
        <f>IF($A2761="","",SUMPRODUCT(--ISNUMBER(SEARCH('Category Dictionary'!$D$5:$D$135&amp;"",$C2761)),--('Category Dictionary'!$D$5:$D$135&lt;&gt;"")))</f>
        <v/>
      </c>
      <c r="L2761" s="27">
        <f>IF($A2761="","",TRIM(IF(ISERROR(FIND(",",$C2761)),$C2761,LEFT($C2761,FIND(",",$C2761)-1))))</f>
        <v/>
      </c>
      <c r="M2761" s="28">
        <f>IF($H2761="","",DATE(YEAR($H2761),MONTH($H2761),1))</f>
        <v/>
      </c>
      <c r="N2761" s="26">
        <f>IF($H2761="","",TODAY()-$H2761)</f>
        <v/>
      </c>
      <c r="O2761" s="15" t="n"/>
      <c r="P2761" s="26">
        <f>IF($A2761="","",COUNTIFS('Audit Versions'!$A$6:$A$605,$A2761,'Audit Versions'!$L$6:$L$605,"Active"))</f>
        <v/>
      </c>
      <c r="Q2761" s="15" t="n"/>
      <c r="R2761" s="26">
        <f>IF(OR($A2761="",$P2761=0),"",MOD(N($Q2761),$P2761)+1)</f>
        <v/>
      </c>
      <c r="S2761" s="15" t="n"/>
      <c r="T2761" s="25" t="n"/>
      <c r="U2761" s="26">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Builder'!$B$12="",N($S2761)&lt;='Assignment Builder'!$B$12)))</f>
        <v/>
      </c>
      <c r="V2761" s="23" t="n"/>
    </row>
    <row r="2762">
      <c r="A2762" s="23" t="n"/>
      <c r="B2762" s="23" t="n"/>
      <c r="C2762" s="24" t="n"/>
      <c r="D2762" s="15" t="n"/>
      <c r="E2762" s="23" t="n"/>
      <c r="F2762" s="15" t="n"/>
      <c r="G2762" s="23" t="n"/>
      <c r="H2762" s="25" t="n"/>
      <c r="I2762" s="15" t="n"/>
      <c r="J2762" s="26">
        <f>IF($A2762="","",LEN($C2762)-LEN(SUBSTITUTE($C2762,",",""))+1)</f>
        <v/>
      </c>
      <c r="K2762" s="26">
        <f>IF($A2762="","",SUMPRODUCT(--ISNUMBER(SEARCH('Category Dictionary'!$D$5:$D$135&amp;"",$C2762)),--('Category Dictionary'!$D$5:$D$135&lt;&gt;"")))</f>
        <v/>
      </c>
      <c r="L2762" s="27">
        <f>IF($A2762="","",TRIM(IF(ISERROR(FIND(",",$C2762)),$C2762,LEFT($C2762,FIND(",",$C2762)-1))))</f>
        <v/>
      </c>
      <c r="M2762" s="28">
        <f>IF($H2762="","",DATE(YEAR($H2762),MONTH($H2762),1))</f>
        <v/>
      </c>
      <c r="N2762" s="26">
        <f>IF($H2762="","",TODAY()-$H2762)</f>
        <v/>
      </c>
      <c r="O2762" s="15" t="n"/>
      <c r="P2762" s="26">
        <f>IF($A2762="","",COUNTIFS('Audit Versions'!$A$6:$A$605,$A2762,'Audit Versions'!$L$6:$L$605,"Active"))</f>
        <v/>
      </c>
      <c r="Q2762" s="15" t="n"/>
      <c r="R2762" s="26">
        <f>IF(OR($A2762="",$P2762=0),"",MOD(N($Q2762),$P2762)+1)</f>
        <v/>
      </c>
      <c r="S2762" s="15" t="n"/>
      <c r="T2762" s="25" t="n"/>
      <c r="U2762" s="26">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Builder'!$B$12="",N($S2762)&lt;='Assignment Builder'!$B$12)))</f>
        <v/>
      </c>
      <c r="V2762" s="23" t="n"/>
    </row>
    <row r="2763">
      <c r="A2763" s="23" t="n"/>
      <c r="B2763" s="23" t="n"/>
      <c r="C2763" s="24" t="n"/>
      <c r="D2763" s="15" t="n"/>
      <c r="E2763" s="23" t="n"/>
      <c r="F2763" s="15" t="n"/>
      <c r="G2763" s="23" t="n"/>
      <c r="H2763" s="25" t="n"/>
      <c r="I2763" s="15" t="n"/>
      <c r="J2763" s="26">
        <f>IF($A2763="","",LEN($C2763)-LEN(SUBSTITUTE($C2763,",",""))+1)</f>
        <v/>
      </c>
      <c r="K2763" s="26">
        <f>IF($A2763="","",SUMPRODUCT(--ISNUMBER(SEARCH('Category Dictionary'!$D$5:$D$135&amp;"",$C2763)),--('Category Dictionary'!$D$5:$D$135&lt;&gt;"")))</f>
        <v/>
      </c>
      <c r="L2763" s="27">
        <f>IF($A2763="","",TRIM(IF(ISERROR(FIND(",",$C2763)),$C2763,LEFT($C2763,FIND(",",$C2763)-1))))</f>
        <v/>
      </c>
      <c r="M2763" s="28">
        <f>IF($H2763="","",DATE(YEAR($H2763),MONTH($H2763),1))</f>
        <v/>
      </c>
      <c r="N2763" s="26">
        <f>IF($H2763="","",TODAY()-$H2763)</f>
        <v/>
      </c>
      <c r="O2763" s="15" t="n"/>
      <c r="P2763" s="26">
        <f>IF($A2763="","",COUNTIFS('Audit Versions'!$A$6:$A$605,$A2763,'Audit Versions'!$L$6:$L$605,"Active"))</f>
        <v/>
      </c>
      <c r="Q2763" s="15" t="n"/>
      <c r="R2763" s="26">
        <f>IF(OR($A2763="",$P2763=0),"",MOD(N($Q2763),$P2763)+1)</f>
        <v/>
      </c>
      <c r="S2763" s="15" t="n"/>
      <c r="T2763" s="25" t="n"/>
      <c r="U2763" s="26">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Builder'!$B$12="",N($S2763)&lt;='Assignment Builder'!$B$12)))</f>
        <v/>
      </c>
      <c r="V2763" s="23" t="n"/>
    </row>
    <row r="2764">
      <c r="A2764" s="23" t="n"/>
      <c r="B2764" s="23" t="n"/>
      <c r="C2764" s="24" t="n"/>
      <c r="D2764" s="15" t="n"/>
      <c r="E2764" s="23" t="n"/>
      <c r="F2764" s="15" t="n"/>
      <c r="G2764" s="23" t="n"/>
      <c r="H2764" s="25" t="n"/>
      <c r="I2764" s="15" t="n"/>
      <c r="J2764" s="26">
        <f>IF($A2764="","",LEN($C2764)-LEN(SUBSTITUTE($C2764,",",""))+1)</f>
        <v/>
      </c>
      <c r="K2764" s="26">
        <f>IF($A2764="","",SUMPRODUCT(--ISNUMBER(SEARCH('Category Dictionary'!$D$5:$D$135&amp;"",$C2764)),--('Category Dictionary'!$D$5:$D$135&lt;&gt;"")))</f>
        <v/>
      </c>
      <c r="L2764" s="27">
        <f>IF($A2764="","",TRIM(IF(ISERROR(FIND(",",$C2764)),$C2764,LEFT($C2764,FIND(",",$C2764)-1))))</f>
        <v/>
      </c>
      <c r="M2764" s="28">
        <f>IF($H2764="","",DATE(YEAR($H2764),MONTH($H2764),1))</f>
        <v/>
      </c>
      <c r="N2764" s="26">
        <f>IF($H2764="","",TODAY()-$H2764)</f>
        <v/>
      </c>
      <c r="O2764" s="15" t="n"/>
      <c r="P2764" s="26">
        <f>IF($A2764="","",COUNTIFS('Audit Versions'!$A$6:$A$605,$A2764,'Audit Versions'!$L$6:$L$605,"Active"))</f>
        <v/>
      </c>
      <c r="Q2764" s="15" t="n"/>
      <c r="R2764" s="26">
        <f>IF(OR($A2764="",$P2764=0),"",MOD(N($Q2764),$P2764)+1)</f>
        <v/>
      </c>
      <c r="S2764" s="15" t="n"/>
      <c r="T2764" s="25" t="n"/>
      <c r="U2764" s="26">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Builder'!$B$12="",N($S2764)&lt;='Assignment Builder'!$B$12)))</f>
        <v/>
      </c>
      <c r="V2764" s="23" t="n"/>
    </row>
    <row r="2765">
      <c r="A2765" s="23" t="n"/>
      <c r="B2765" s="23" t="n"/>
      <c r="C2765" s="24" t="n"/>
      <c r="D2765" s="15" t="n"/>
      <c r="E2765" s="23" t="n"/>
      <c r="F2765" s="15" t="n"/>
      <c r="G2765" s="23" t="n"/>
      <c r="H2765" s="25" t="n"/>
      <c r="I2765" s="15" t="n"/>
      <c r="J2765" s="26">
        <f>IF($A2765="","",LEN($C2765)-LEN(SUBSTITUTE($C2765,",",""))+1)</f>
        <v/>
      </c>
      <c r="K2765" s="26">
        <f>IF($A2765="","",SUMPRODUCT(--ISNUMBER(SEARCH('Category Dictionary'!$D$5:$D$135&amp;"",$C2765)),--('Category Dictionary'!$D$5:$D$135&lt;&gt;"")))</f>
        <v/>
      </c>
      <c r="L2765" s="27">
        <f>IF($A2765="","",TRIM(IF(ISERROR(FIND(",",$C2765)),$C2765,LEFT($C2765,FIND(",",$C2765)-1))))</f>
        <v/>
      </c>
      <c r="M2765" s="28">
        <f>IF($H2765="","",DATE(YEAR($H2765),MONTH($H2765),1))</f>
        <v/>
      </c>
      <c r="N2765" s="26">
        <f>IF($H2765="","",TODAY()-$H2765)</f>
        <v/>
      </c>
      <c r="O2765" s="15" t="n"/>
      <c r="P2765" s="26">
        <f>IF($A2765="","",COUNTIFS('Audit Versions'!$A$6:$A$605,$A2765,'Audit Versions'!$L$6:$L$605,"Active"))</f>
        <v/>
      </c>
      <c r="Q2765" s="15" t="n"/>
      <c r="R2765" s="26">
        <f>IF(OR($A2765="",$P2765=0),"",MOD(N($Q2765),$P2765)+1)</f>
        <v/>
      </c>
      <c r="S2765" s="15" t="n"/>
      <c r="T2765" s="25" t="n"/>
      <c r="U2765" s="26">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Builder'!$B$12="",N($S2765)&lt;='Assignment Builder'!$B$12)))</f>
        <v/>
      </c>
      <c r="V2765" s="23" t="n"/>
    </row>
    <row r="2766">
      <c r="A2766" s="23" t="n"/>
      <c r="B2766" s="23" t="n"/>
      <c r="C2766" s="24" t="n"/>
      <c r="D2766" s="15" t="n"/>
      <c r="E2766" s="23" t="n"/>
      <c r="F2766" s="15" t="n"/>
      <c r="G2766" s="23" t="n"/>
      <c r="H2766" s="25" t="n"/>
      <c r="I2766" s="15" t="n"/>
      <c r="J2766" s="26">
        <f>IF($A2766="","",LEN($C2766)-LEN(SUBSTITUTE($C2766,",",""))+1)</f>
        <v/>
      </c>
      <c r="K2766" s="26">
        <f>IF($A2766="","",SUMPRODUCT(--ISNUMBER(SEARCH('Category Dictionary'!$D$5:$D$135&amp;"",$C2766)),--('Category Dictionary'!$D$5:$D$135&lt;&gt;"")))</f>
        <v/>
      </c>
      <c r="L2766" s="27">
        <f>IF($A2766="","",TRIM(IF(ISERROR(FIND(",",$C2766)),$C2766,LEFT($C2766,FIND(",",$C2766)-1))))</f>
        <v/>
      </c>
      <c r="M2766" s="28">
        <f>IF($H2766="","",DATE(YEAR($H2766),MONTH($H2766),1))</f>
        <v/>
      </c>
      <c r="N2766" s="26">
        <f>IF($H2766="","",TODAY()-$H2766)</f>
        <v/>
      </c>
      <c r="O2766" s="15" t="n"/>
      <c r="P2766" s="26">
        <f>IF($A2766="","",COUNTIFS('Audit Versions'!$A$6:$A$605,$A2766,'Audit Versions'!$L$6:$L$605,"Active"))</f>
        <v/>
      </c>
      <c r="Q2766" s="15" t="n"/>
      <c r="R2766" s="26">
        <f>IF(OR($A2766="",$P2766=0),"",MOD(N($Q2766),$P2766)+1)</f>
        <v/>
      </c>
      <c r="S2766" s="15" t="n"/>
      <c r="T2766" s="25" t="n"/>
      <c r="U2766" s="26">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Builder'!$B$12="",N($S2766)&lt;='Assignment Builder'!$B$12)))</f>
        <v/>
      </c>
      <c r="V2766" s="23" t="n"/>
    </row>
    <row r="2767">
      <c r="A2767" s="23" t="n"/>
      <c r="B2767" s="23" t="n"/>
      <c r="C2767" s="24" t="n"/>
      <c r="D2767" s="15" t="n"/>
      <c r="E2767" s="23" t="n"/>
      <c r="F2767" s="15" t="n"/>
      <c r="G2767" s="23" t="n"/>
      <c r="H2767" s="25" t="n"/>
      <c r="I2767" s="15" t="n"/>
      <c r="J2767" s="26">
        <f>IF($A2767="","",LEN($C2767)-LEN(SUBSTITUTE($C2767,",",""))+1)</f>
        <v/>
      </c>
      <c r="K2767" s="26">
        <f>IF($A2767="","",SUMPRODUCT(--ISNUMBER(SEARCH('Category Dictionary'!$D$5:$D$135&amp;"",$C2767)),--('Category Dictionary'!$D$5:$D$135&lt;&gt;"")))</f>
        <v/>
      </c>
      <c r="L2767" s="27">
        <f>IF($A2767="","",TRIM(IF(ISERROR(FIND(",",$C2767)),$C2767,LEFT($C2767,FIND(",",$C2767)-1))))</f>
        <v/>
      </c>
      <c r="M2767" s="28">
        <f>IF($H2767="","",DATE(YEAR($H2767),MONTH($H2767),1))</f>
        <v/>
      </c>
      <c r="N2767" s="26">
        <f>IF($H2767="","",TODAY()-$H2767)</f>
        <v/>
      </c>
      <c r="O2767" s="15" t="n"/>
      <c r="P2767" s="26">
        <f>IF($A2767="","",COUNTIFS('Audit Versions'!$A$6:$A$605,$A2767,'Audit Versions'!$L$6:$L$605,"Active"))</f>
        <v/>
      </c>
      <c r="Q2767" s="15" t="n"/>
      <c r="R2767" s="26">
        <f>IF(OR($A2767="",$P2767=0),"",MOD(N($Q2767),$P2767)+1)</f>
        <v/>
      </c>
      <c r="S2767" s="15" t="n"/>
      <c r="T2767" s="25" t="n"/>
      <c r="U2767" s="26">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Builder'!$B$12="",N($S2767)&lt;='Assignment Builder'!$B$12)))</f>
        <v/>
      </c>
      <c r="V2767" s="23" t="n"/>
    </row>
    <row r="2768">
      <c r="A2768" s="23" t="n"/>
      <c r="B2768" s="23" t="n"/>
      <c r="C2768" s="24" t="n"/>
      <c r="D2768" s="15" t="n"/>
      <c r="E2768" s="23" t="n"/>
      <c r="F2768" s="15" t="n"/>
      <c r="G2768" s="23" t="n"/>
      <c r="H2768" s="25" t="n"/>
      <c r="I2768" s="15" t="n"/>
      <c r="J2768" s="26">
        <f>IF($A2768="","",LEN($C2768)-LEN(SUBSTITUTE($C2768,",",""))+1)</f>
        <v/>
      </c>
      <c r="K2768" s="26">
        <f>IF($A2768="","",SUMPRODUCT(--ISNUMBER(SEARCH('Category Dictionary'!$D$5:$D$135&amp;"",$C2768)),--('Category Dictionary'!$D$5:$D$135&lt;&gt;"")))</f>
        <v/>
      </c>
      <c r="L2768" s="27">
        <f>IF($A2768="","",TRIM(IF(ISERROR(FIND(",",$C2768)),$C2768,LEFT($C2768,FIND(",",$C2768)-1))))</f>
        <v/>
      </c>
      <c r="M2768" s="28">
        <f>IF($H2768="","",DATE(YEAR($H2768),MONTH($H2768),1))</f>
        <v/>
      </c>
      <c r="N2768" s="26">
        <f>IF($H2768="","",TODAY()-$H2768)</f>
        <v/>
      </c>
      <c r="O2768" s="15" t="n"/>
      <c r="P2768" s="26">
        <f>IF($A2768="","",COUNTIFS('Audit Versions'!$A$6:$A$605,$A2768,'Audit Versions'!$L$6:$L$605,"Active"))</f>
        <v/>
      </c>
      <c r="Q2768" s="15" t="n"/>
      <c r="R2768" s="26">
        <f>IF(OR($A2768="",$P2768=0),"",MOD(N($Q2768),$P2768)+1)</f>
        <v/>
      </c>
      <c r="S2768" s="15" t="n"/>
      <c r="T2768" s="25" t="n"/>
      <c r="U2768" s="26">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Builder'!$B$12="",N($S2768)&lt;='Assignment Builder'!$B$12)))</f>
        <v/>
      </c>
      <c r="V2768" s="23" t="n"/>
    </row>
    <row r="2769">
      <c r="A2769" s="23" t="n"/>
      <c r="B2769" s="23" t="n"/>
      <c r="C2769" s="24" t="n"/>
      <c r="D2769" s="15" t="n"/>
      <c r="E2769" s="23" t="n"/>
      <c r="F2769" s="15" t="n"/>
      <c r="G2769" s="23" t="n"/>
      <c r="H2769" s="25" t="n"/>
      <c r="I2769" s="15" t="n"/>
      <c r="J2769" s="26">
        <f>IF($A2769="","",LEN($C2769)-LEN(SUBSTITUTE($C2769,",",""))+1)</f>
        <v/>
      </c>
      <c r="K2769" s="26">
        <f>IF($A2769="","",SUMPRODUCT(--ISNUMBER(SEARCH('Category Dictionary'!$D$5:$D$135&amp;"",$C2769)),--('Category Dictionary'!$D$5:$D$135&lt;&gt;"")))</f>
        <v/>
      </c>
      <c r="L2769" s="27">
        <f>IF($A2769="","",TRIM(IF(ISERROR(FIND(",",$C2769)),$C2769,LEFT($C2769,FIND(",",$C2769)-1))))</f>
        <v/>
      </c>
      <c r="M2769" s="28">
        <f>IF($H2769="","",DATE(YEAR($H2769),MONTH($H2769),1))</f>
        <v/>
      </c>
      <c r="N2769" s="26">
        <f>IF($H2769="","",TODAY()-$H2769)</f>
        <v/>
      </c>
      <c r="O2769" s="15" t="n"/>
      <c r="P2769" s="26">
        <f>IF($A2769="","",COUNTIFS('Audit Versions'!$A$6:$A$605,$A2769,'Audit Versions'!$L$6:$L$605,"Active"))</f>
        <v/>
      </c>
      <c r="Q2769" s="15" t="n"/>
      <c r="R2769" s="26">
        <f>IF(OR($A2769="",$P2769=0),"",MOD(N($Q2769),$P2769)+1)</f>
        <v/>
      </c>
      <c r="S2769" s="15" t="n"/>
      <c r="T2769" s="25" t="n"/>
      <c r="U2769" s="26">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Builder'!$B$12="",N($S2769)&lt;='Assignment Builder'!$B$12)))</f>
        <v/>
      </c>
      <c r="V2769" s="23" t="n"/>
    </row>
    <row r="2770">
      <c r="A2770" s="23" t="n"/>
      <c r="B2770" s="23" t="n"/>
      <c r="C2770" s="24" t="n"/>
      <c r="D2770" s="15" t="n"/>
      <c r="E2770" s="23" t="n"/>
      <c r="F2770" s="15" t="n"/>
      <c r="G2770" s="23" t="n"/>
      <c r="H2770" s="25" t="n"/>
      <c r="I2770" s="15" t="n"/>
      <c r="J2770" s="26">
        <f>IF($A2770="","",LEN($C2770)-LEN(SUBSTITUTE($C2770,",",""))+1)</f>
        <v/>
      </c>
      <c r="K2770" s="26">
        <f>IF($A2770="","",SUMPRODUCT(--ISNUMBER(SEARCH('Category Dictionary'!$D$5:$D$135&amp;"",$C2770)),--('Category Dictionary'!$D$5:$D$135&lt;&gt;"")))</f>
        <v/>
      </c>
      <c r="L2770" s="27">
        <f>IF($A2770="","",TRIM(IF(ISERROR(FIND(",",$C2770)),$C2770,LEFT($C2770,FIND(",",$C2770)-1))))</f>
        <v/>
      </c>
      <c r="M2770" s="28">
        <f>IF($H2770="","",DATE(YEAR($H2770),MONTH($H2770),1))</f>
        <v/>
      </c>
      <c r="N2770" s="26">
        <f>IF($H2770="","",TODAY()-$H2770)</f>
        <v/>
      </c>
      <c r="O2770" s="15" t="n"/>
      <c r="P2770" s="26">
        <f>IF($A2770="","",COUNTIFS('Audit Versions'!$A$6:$A$605,$A2770,'Audit Versions'!$L$6:$L$605,"Active"))</f>
        <v/>
      </c>
      <c r="Q2770" s="15" t="n"/>
      <c r="R2770" s="26">
        <f>IF(OR($A2770="",$P2770=0),"",MOD(N($Q2770),$P2770)+1)</f>
        <v/>
      </c>
      <c r="S2770" s="15" t="n"/>
      <c r="T2770" s="25" t="n"/>
      <c r="U2770" s="26">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Builder'!$B$12="",N($S2770)&lt;='Assignment Builder'!$B$12)))</f>
        <v/>
      </c>
      <c r="V2770" s="23" t="n"/>
    </row>
    <row r="2771">
      <c r="A2771" s="23" t="n"/>
      <c r="B2771" s="23" t="n"/>
      <c r="C2771" s="24" t="n"/>
      <c r="D2771" s="15" t="n"/>
      <c r="E2771" s="23" t="n"/>
      <c r="F2771" s="15" t="n"/>
      <c r="G2771" s="23" t="n"/>
      <c r="H2771" s="25" t="n"/>
      <c r="I2771" s="15" t="n"/>
      <c r="J2771" s="26">
        <f>IF($A2771="","",LEN($C2771)-LEN(SUBSTITUTE($C2771,",",""))+1)</f>
        <v/>
      </c>
      <c r="K2771" s="26">
        <f>IF($A2771="","",SUMPRODUCT(--ISNUMBER(SEARCH('Category Dictionary'!$D$5:$D$135&amp;"",$C2771)),--('Category Dictionary'!$D$5:$D$135&lt;&gt;"")))</f>
        <v/>
      </c>
      <c r="L2771" s="27">
        <f>IF($A2771="","",TRIM(IF(ISERROR(FIND(",",$C2771)),$C2771,LEFT($C2771,FIND(",",$C2771)-1))))</f>
        <v/>
      </c>
      <c r="M2771" s="28">
        <f>IF($H2771="","",DATE(YEAR($H2771),MONTH($H2771),1))</f>
        <v/>
      </c>
      <c r="N2771" s="26">
        <f>IF($H2771="","",TODAY()-$H2771)</f>
        <v/>
      </c>
      <c r="O2771" s="15" t="n"/>
      <c r="P2771" s="26">
        <f>IF($A2771="","",COUNTIFS('Audit Versions'!$A$6:$A$605,$A2771,'Audit Versions'!$L$6:$L$605,"Active"))</f>
        <v/>
      </c>
      <c r="Q2771" s="15" t="n"/>
      <c r="R2771" s="26">
        <f>IF(OR($A2771="",$P2771=0),"",MOD(N($Q2771),$P2771)+1)</f>
        <v/>
      </c>
      <c r="S2771" s="15" t="n"/>
      <c r="T2771" s="25" t="n"/>
      <c r="U2771" s="26">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Builder'!$B$12="",N($S2771)&lt;='Assignment Builder'!$B$12)))</f>
        <v/>
      </c>
      <c r="V2771" s="23" t="n"/>
    </row>
    <row r="2772">
      <c r="A2772" s="23" t="n"/>
      <c r="B2772" s="23" t="n"/>
      <c r="C2772" s="24" t="n"/>
      <c r="D2772" s="15" t="n"/>
      <c r="E2772" s="23" t="n"/>
      <c r="F2772" s="15" t="n"/>
      <c r="G2772" s="23" t="n"/>
      <c r="H2772" s="25" t="n"/>
      <c r="I2772" s="15" t="n"/>
      <c r="J2772" s="26">
        <f>IF($A2772="","",LEN($C2772)-LEN(SUBSTITUTE($C2772,",",""))+1)</f>
        <v/>
      </c>
      <c r="K2772" s="26">
        <f>IF($A2772="","",SUMPRODUCT(--ISNUMBER(SEARCH('Category Dictionary'!$D$5:$D$135&amp;"",$C2772)),--('Category Dictionary'!$D$5:$D$135&lt;&gt;"")))</f>
        <v/>
      </c>
      <c r="L2772" s="27">
        <f>IF($A2772="","",TRIM(IF(ISERROR(FIND(",",$C2772)),$C2772,LEFT($C2772,FIND(",",$C2772)-1))))</f>
        <v/>
      </c>
      <c r="M2772" s="28">
        <f>IF($H2772="","",DATE(YEAR($H2772),MONTH($H2772),1))</f>
        <v/>
      </c>
      <c r="N2772" s="26">
        <f>IF($H2772="","",TODAY()-$H2772)</f>
        <v/>
      </c>
      <c r="O2772" s="15" t="n"/>
      <c r="P2772" s="26">
        <f>IF($A2772="","",COUNTIFS('Audit Versions'!$A$6:$A$605,$A2772,'Audit Versions'!$L$6:$L$605,"Active"))</f>
        <v/>
      </c>
      <c r="Q2772" s="15" t="n"/>
      <c r="R2772" s="26">
        <f>IF(OR($A2772="",$P2772=0),"",MOD(N($Q2772),$P2772)+1)</f>
        <v/>
      </c>
      <c r="S2772" s="15" t="n"/>
      <c r="T2772" s="25" t="n"/>
      <c r="U2772" s="26">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Builder'!$B$12="",N($S2772)&lt;='Assignment Builder'!$B$12)))</f>
        <v/>
      </c>
      <c r="V2772" s="23" t="n"/>
    </row>
    <row r="2773">
      <c r="A2773" s="23" t="n"/>
      <c r="B2773" s="23" t="n"/>
      <c r="C2773" s="24" t="n"/>
      <c r="D2773" s="15" t="n"/>
      <c r="E2773" s="23" t="n"/>
      <c r="F2773" s="15" t="n"/>
      <c r="G2773" s="23" t="n"/>
      <c r="H2773" s="25" t="n"/>
      <c r="I2773" s="15" t="n"/>
      <c r="J2773" s="26">
        <f>IF($A2773="","",LEN($C2773)-LEN(SUBSTITUTE($C2773,",",""))+1)</f>
        <v/>
      </c>
      <c r="K2773" s="26">
        <f>IF($A2773="","",SUMPRODUCT(--ISNUMBER(SEARCH('Category Dictionary'!$D$5:$D$135&amp;"",$C2773)),--('Category Dictionary'!$D$5:$D$135&lt;&gt;"")))</f>
        <v/>
      </c>
      <c r="L2773" s="27">
        <f>IF($A2773="","",TRIM(IF(ISERROR(FIND(",",$C2773)),$C2773,LEFT($C2773,FIND(",",$C2773)-1))))</f>
        <v/>
      </c>
      <c r="M2773" s="28">
        <f>IF($H2773="","",DATE(YEAR($H2773),MONTH($H2773),1))</f>
        <v/>
      </c>
      <c r="N2773" s="26">
        <f>IF($H2773="","",TODAY()-$H2773)</f>
        <v/>
      </c>
      <c r="O2773" s="15" t="n"/>
      <c r="P2773" s="26">
        <f>IF($A2773="","",COUNTIFS('Audit Versions'!$A$6:$A$605,$A2773,'Audit Versions'!$L$6:$L$605,"Active"))</f>
        <v/>
      </c>
      <c r="Q2773" s="15" t="n"/>
      <c r="R2773" s="26">
        <f>IF(OR($A2773="",$P2773=0),"",MOD(N($Q2773),$P2773)+1)</f>
        <v/>
      </c>
      <c r="S2773" s="15" t="n"/>
      <c r="T2773" s="25" t="n"/>
      <c r="U2773" s="26">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Builder'!$B$12="",N($S2773)&lt;='Assignment Builder'!$B$12)))</f>
        <v/>
      </c>
      <c r="V2773" s="23" t="n"/>
    </row>
    <row r="2774">
      <c r="A2774" s="23" t="n"/>
      <c r="B2774" s="23" t="n"/>
      <c r="C2774" s="24" t="n"/>
      <c r="D2774" s="15" t="n"/>
      <c r="E2774" s="23" t="n"/>
      <c r="F2774" s="15" t="n"/>
      <c r="G2774" s="23" t="n"/>
      <c r="H2774" s="25" t="n"/>
      <c r="I2774" s="15" t="n"/>
      <c r="J2774" s="26">
        <f>IF($A2774="","",LEN($C2774)-LEN(SUBSTITUTE($C2774,",",""))+1)</f>
        <v/>
      </c>
      <c r="K2774" s="26">
        <f>IF($A2774="","",SUMPRODUCT(--ISNUMBER(SEARCH('Category Dictionary'!$D$5:$D$135&amp;"",$C2774)),--('Category Dictionary'!$D$5:$D$135&lt;&gt;"")))</f>
        <v/>
      </c>
      <c r="L2774" s="27">
        <f>IF($A2774="","",TRIM(IF(ISERROR(FIND(",",$C2774)),$C2774,LEFT($C2774,FIND(",",$C2774)-1))))</f>
        <v/>
      </c>
      <c r="M2774" s="28">
        <f>IF($H2774="","",DATE(YEAR($H2774),MONTH($H2774),1))</f>
        <v/>
      </c>
      <c r="N2774" s="26">
        <f>IF($H2774="","",TODAY()-$H2774)</f>
        <v/>
      </c>
      <c r="O2774" s="15" t="n"/>
      <c r="P2774" s="26">
        <f>IF($A2774="","",COUNTIFS('Audit Versions'!$A$6:$A$605,$A2774,'Audit Versions'!$L$6:$L$605,"Active"))</f>
        <v/>
      </c>
      <c r="Q2774" s="15" t="n"/>
      <c r="R2774" s="26">
        <f>IF(OR($A2774="",$P2774=0),"",MOD(N($Q2774),$P2774)+1)</f>
        <v/>
      </c>
      <c r="S2774" s="15" t="n"/>
      <c r="T2774" s="25" t="n"/>
      <c r="U2774" s="26">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Builder'!$B$12="",N($S2774)&lt;='Assignment Builder'!$B$12)))</f>
        <v/>
      </c>
      <c r="V2774" s="23" t="n"/>
    </row>
    <row r="2775">
      <c r="A2775" s="23" t="n"/>
      <c r="B2775" s="23" t="n"/>
      <c r="C2775" s="24" t="n"/>
      <c r="D2775" s="15" t="n"/>
      <c r="E2775" s="23" t="n"/>
      <c r="F2775" s="15" t="n"/>
      <c r="G2775" s="23" t="n"/>
      <c r="H2775" s="25" t="n"/>
      <c r="I2775" s="15" t="n"/>
      <c r="J2775" s="26">
        <f>IF($A2775="","",LEN($C2775)-LEN(SUBSTITUTE($C2775,",",""))+1)</f>
        <v/>
      </c>
      <c r="K2775" s="26">
        <f>IF($A2775="","",SUMPRODUCT(--ISNUMBER(SEARCH('Category Dictionary'!$D$5:$D$135&amp;"",$C2775)),--('Category Dictionary'!$D$5:$D$135&lt;&gt;"")))</f>
        <v/>
      </c>
      <c r="L2775" s="27">
        <f>IF($A2775="","",TRIM(IF(ISERROR(FIND(",",$C2775)),$C2775,LEFT($C2775,FIND(",",$C2775)-1))))</f>
        <v/>
      </c>
      <c r="M2775" s="28">
        <f>IF($H2775="","",DATE(YEAR($H2775),MONTH($H2775),1))</f>
        <v/>
      </c>
      <c r="N2775" s="26">
        <f>IF($H2775="","",TODAY()-$H2775)</f>
        <v/>
      </c>
      <c r="O2775" s="15" t="n"/>
      <c r="P2775" s="26">
        <f>IF($A2775="","",COUNTIFS('Audit Versions'!$A$6:$A$605,$A2775,'Audit Versions'!$L$6:$L$605,"Active"))</f>
        <v/>
      </c>
      <c r="Q2775" s="15" t="n"/>
      <c r="R2775" s="26">
        <f>IF(OR($A2775="",$P2775=0),"",MOD(N($Q2775),$P2775)+1)</f>
        <v/>
      </c>
      <c r="S2775" s="15" t="n"/>
      <c r="T2775" s="25" t="n"/>
      <c r="U2775" s="26">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Builder'!$B$12="",N($S2775)&lt;='Assignment Builder'!$B$12)))</f>
        <v/>
      </c>
      <c r="V2775" s="23" t="n"/>
    </row>
    <row r="2776">
      <c r="A2776" s="23" t="n"/>
      <c r="B2776" s="23" t="n"/>
      <c r="C2776" s="24" t="n"/>
      <c r="D2776" s="15" t="n"/>
      <c r="E2776" s="23" t="n"/>
      <c r="F2776" s="15" t="n"/>
      <c r="G2776" s="23" t="n"/>
      <c r="H2776" s="25" t="n"/>
      <c r="I2776" s="15" t="n"/>
      <c r="J2776" s="26">
        <f>IF($A2776="","",LEN($C2776)-LEN(SUBSTITUTE($C2776,",",""))+1)</f>
        <v/>
      </c>
      <c r="K2776" s="26">
        <f>IF($A2776="","",SUMPRODUCT(--ISNUMBER(SEARCH('Category Dictionary'!$D$5:$D$135&amp;"",$C2776)),--('Category Dictionary'!$D$5:$D$135&lt;&gt;"")))</f>
        <v/>
      </c>
      <c r="L2776" s="27">
        <f>IF($A2776="","",TRIM(IF(ISERROR(FIND(",",$C2776)),$C2776,LEFT($C2776,FIND(",",$C2776)-1))))</f>
        <v/>
      </c>
      <c r="M2776" s="28">
        <f>IF($H2776="","",DATE(YEAR($H2776),MONTH($H2776),1))</f>
        <v/>
      </c>
      <c r="N2776" s="26">
        <f>IF($H2776="","",TODAY()-$H2776)</f>
        <v/>
      </c>
      <c r="O2776" s="15" t="n"/>
      <c r="P2776" s="26">
        <f>IF($A2776="","",COUNTIFS('Audit Versions'!$A$6:$A$605,$A2776,'Audit Versions'!$L$6:$L$605,"Active"))</f>
        <v/>
      </c>
      <c r="Q2776" s="15" t="n"/>
      <c r="R2776" s="26">
        <f>IF(OR($A2776="",$P2776=0),"",MOD(N($Q2776),$P2776)+1)</f>
        <v/>
      </c>
      <c r="S2776" s="15" t="n"/>
      <c r="T2776" s="25" t="n"/>
      <c r="U2776" s="26">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Builder'!$B$12="",N($S2776)&lt;='Assignment Builder'!$B$12)))</f>
        <v/>
      </c>
      <c r="V2776" s="23" t="n"/>
    </row>
    <row r="2777">
      <c r="A2777" s="23" t="n"/>
      <c r="B2777" s="23" t="n"/>
      <c r="C2777" s="24" t="n"/>
      <c r="D2777" s="15" t="n"/>
      <c r="E2777" s="23" t="n"/>
      <c r="F2777" s="15" t="n"/>
      <c r="G2777" s="23" t="n"/>
      <c r="H2777" s="25" t="n"/>
      <c r="I2777" s="15" t="n"/>
      <c r="J2777" s="26">
        <f>IF($A2777="","",LEN($C2777)-LEN(SUBSTITUTE($C2777,",",""))+1)</f>
        <v/>
      </c>
      <c r="K2777" s="26">
        <f>IF($A2777="","",SUMPRODUCT(--ISNUMBER(SEARCH('Category Dictionary'!$D$5:$D$135&amp;"",$C2777)),--('Category Dictionary'!$D$5:$D$135&lt;&gt;"")))</f>
        <v/>
      </c>
      <c r="L2777" s="27">
        <f>IF($A2777="","",TRIM(IF(ISERROR(FIND(",",$C2777)),$C2777,LEFT($C2777,FIND(",",$C2777)-1))))</f>
        <v/>
      </c>
      <c r="M2777" s="28">
        <f>IF($H2777="","",DATE(YEAR($H2777),MONTH($H2777),1))</f>
        <v/>
      </c>
      <c r="N2777" s="26">
        <f>IF($H2777="","",TODAY()-$H2777)</f>
        <v/>
      </c>
      <c r="O2777" s="15" t="n"/>
      <c r="P2777" s="26">
        <f>IF($A2777="","",COUNTIFS('Audit Versions'!$A$6:$A$605,$A2777,'Audit Versions'!$L$6:$L$605,"Active"))</f>
        <v/>
      </c>
      <c r="Q2777" s="15" t="n"/>
      <c r="R2777" s="26">
        <f>IF(OR($A2777="",$P2777=0),"",MOD(N($Q2777),$P2777)+1)</f>
        <v/>
      </c>
      <c r="S2777" s="15" t="n"/>
      <c r="T2777" s="25" t="n"/>
      <c r="U2777" s="26">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Builder'!$B$12="",N($S2777)&lt;='Assignment Builder'!$B$12)))</f>
        <v/>
      </c>
      <c r="V2777" s="23" t="n"/>
    </row>
    <row r="2778">
      <c r="A2778" s="23" t="n"/>
      <c r="B2778" s="23" t="n"/>
      <c r="C2778" s="24" t="n"/>
      <c r="D2778" s="15" t="n"/>
      <c r="E2778" s="23" t="n"/>
      <c r="F2778" s="15" t="n"/>
      <c r="G2778" s="23" t="n"/>
      <c r="H2778" s="25" t="n"/>
      <c r="I2778" s="15" t="n"/>
      <c r="J2778" s="26">
        <f>IF($A2778="","",LEN($C2778)-LEN(SUBSTITUTE($C2778,",",""))+1)</f>
        <v/>
      </c>
      <c r="K2778" s="26">
        <f>IF($A2778="","",SUMPRODUCT(--ISNUMBER(SEARCH('Category Dictionary'!$D$5:$D$135&amp;"",$C2778)),--('Category Dictionary'!$D$5:$D$135&lt;&gt;"")))</f>
        <v/>
      </c>
      <c r="L2778" s="27">
        <f>IF($A2778="","",TRIM(IF(ISERROR(FIND(",",$C2778)),$C2778,LEFT($C2778,FIND(",",$C2778)-1))))</f>
        <v/>
      </c>
      <c r="M2778" s="28">
        <f>IF($H2778="","",DATE(YEAR($H2778),MONTH($H2778),1))</f>
        <v/>
      </c>
      <c r="N2778" s="26">
        <f>IF($H2778="","",TODAY()-$H2778)</f>
        <v/>
      </c>
      <c r="O2778" s="15" t="n"/>
      <c r="P2778" s="26">
        <f>IF($A2778="","",COUNTIFS('Audit Versions'!$A$6:$A$605,$A2778,'Audit Versions'!$L$6:$L$605,"Active"))</f>
        <v/>
      </c>
      <c r="Q2778" s="15" t="n"/>
      <c r="R2778" s="26">
        <f>IF(OR($A2778="",$P2778=0),"",MOD(N($Q2778),$P2778)+1)</f>
        <v/>
      </c>
      <c r="S2778" s="15" t="n"/>
      <c r="T2778" s="25" t="n"/>
      <c r="U2778" s="26">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Builder'!$B$12="",N($S2778)&lt;='Assignment Builder'!$B$12)))</f>
        <v/>
      </c>
      <c r="V2778" s="23" t="n"/>
    </row>
    <row r="2779">
      <c r="A2779" s="23" t="n"/>
      <c r="B2779" s="23" t="n"/>
      <c r="C2779" s="24" t="n"/>
      <c r="D2779" s="15" t="n"/>
      <c r="E2779" s="23" t="n"/>
      <c r="F2779" s="15" t="n"/>
      <c r="G2779" s="23" t="n"/>
      <c r="H2779" s="25" t="n"/>
      <c r="I2779" s="15" t="n"/>
      <c r="J2779" s="26">
        <f>IF($A2779="","",LEN($C2779)-LEN(SUBSTITUTE($C2779,",",""))+1)</f>
        <v/>
      </c>
      <c r="K2779" s="26">
        <f>IF($A2779="","",SUMPRODUCT(--ISNUMBER(SEARCH('Category Dictionary'!$D$5:$D$135&amp;"",$C2779)),--('Category Dictionary'!$D$5:$D$135&lt;&gt;"")))</f>
        <v/>
      </c>
      <c r="L2779" s="27">
        <f>IF($A2779="","",TRIM(IF(ISERROR(FIND(",",$C2779)),$C2779,LEFT($C2779,FIND(",",$C2779)-1))))</f>
        <v/>
      </c>
      <c r="M2779" s="28">
        <f>IF($H2779="","",DATE(YEAR($H2779),MONTH($H2779),1))</f>
        <v/>
      </c>
      <c r="N2779" s="26">
        <f>IF($H2779="","",TODAY()-$H2779)</f>
        <v/>
      </c>
      <c r="O2779" s="15" t="n"/>
      <c r="P2779" s="26">
        <f>IF($A2779="","",COUNTIFS('Audit Versions'!$A$6:$A$605,$A2779,'Audit Versions'!$L$6:$L$605,"Active"))</f>
        <v/>
      </c>
      <c r="Q2779" s="15" t="n"/>
      <c r="R2779" s="26">
        <f>IF(OR($A2779="",$P2779=0),"",MOD(N($Q2779),$P2779)+1)</f>
        <v/>
      </c>
      <c r="S2779" s="15" t="n"/>
      <c r="T2779" s="25" t="n"/>
      <c r="U2779" s="26">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Builder'!$B$12="",N($S2779)&lt;='Assignment Builder'!$B$12)))</f>
        <v/>
      </c>
      <c r="V2779" s="23" t="n"/>
    </row>
    <row r="2780">
      <c r="A2780" s="23" t="n"/>
      <c r="B2780" s="23" t="n"/>
      <c r="C2780" s="24" t="n"/>
      <c r="D2780" s="15" t="n"/>
      <c r="E2780" s="23" t="n"/>
      <c r="F2780" s="15" t="n"/>
      <c r="G2780" s="23" t="n"/>
      <c r="H2780" s="25" t="n"/>
      <c r="I2780" s="15" t="n"/>
      <c r="J2780" s="26">
        <f>IF($A2780="","",LEN($C2780)-LEN(SUBSTITUTE($C2780,",",""))+1)</f>
        <v/>
      </c>
      <c r="K2780" s="26">
        <f>IF($A2780="","",SUMPRODUCT(--ISNUMBER(SEARCH('Category Dictionary'!$D$5:$D$135&amp;"",$C2780)),--('Category Dictionary'!$D$5:$D$135&lt;&gt;"")))</f>
        <v/>
      </c>
      <c r="L2780" s="27">
        <f>IF($A2780="","",TRIM(IF(ISERROR(FIND(",",$C2780)),$C2780,LEFT($C2780,FIND(",",$C2780)-1))))</f>
        <v/>
      </c>
      <c r="M2780" s="28">
        <f>IF($H2780="","",DATE(YEAR($H2780),MONTH($H2780),1))</f>
        <v/>
      </c>
      <c r="N2780" s="26">
        <f>IF($H2780="","",TODAY()-$H2780)</f>
        <v/>
      </c>
      <c r="O2780" s="15" t="n"/>
      <c r="P2780" s="26">
        <f>IF($A2780="","",COUNTIFS('Audit Versions'!$A$6:$A$605,$A2780,'Audit Versions'!$L$6:$L$605,"Active"))</f>
        <v/>
      </c>
      <c r="Q2780" s="15" t="n"/>
      <c r="R2780" s="26">
        <f>IF(OR($A2780="",$P2780=0),"",MOD(N($Q2780),$P2780)+1)</f>
        <v/>
      </c>
      <c r="S2780" s="15" t="n"/>
      <c r="T2780" s="25" t="n"/>
      <c r="U2780" s="26">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Builder'!$B$12="",N($S2780)&lt;='Assignment Builder'!$B$12)))</f>
        <v/>
      </c>
      <c r="V2780" s="23" t="n"/>
    </row>
    <row r="2781">
      <c r="A2781" s="23" t="n"/>
      <c r="B2781" s="23" t="n"/>
      <c r="C2781" s="24" t="n"/>
      <c r="D2781" s="15" t="n"/>
      <c r="E2781" s="23" t="n"/>
      <c r="F2781" s="15" t="n"/>
      <c r="G2781" s="23" t="n"/>
      <c r="H2781" s="25" t="n"/>
      <c r="I2781" s="15" t="n"/>
      <c r="J2781" s="26">
        <f>IF($A2781="","",LEN($C2781)-LEN(SUBSTITUTE($C2781,",",""))+1)</f>
        <v/>
      </c>
      <c r="K2781" s="26">
        <f>IF($A2781="","",SUMPRODUCT(--ISNUMBER(SEARCH('Category Dictionary'!$D$5:$D$135&amp;"",$C2781)),--('Category Dictionary'!$D$5:$D$135&lt;&gt;"")))</f>
        <v/>
      </c>
      <c r="L2781" s="27">
        <f>IF($A2781="","",TRIM(IF(ISERROR(FIND(",",$C2781)),$C2781,LEFT($C2781,FIND(",",$C2781)-1))))</f>
        <v/>
      </c>
      <c r="M2781" s="28">
        <f>IF($H2781="","",DATE(YEAR($H2781),MONTH($H2781),1))</f>
        <v/>
      </c>
      <c r="N2781" s="26">
        <f>IF($H2781="","",TODAY()-$H2781)</f>
        <v/>
      </c>
      <c r="O2781" s="15" t="n"/>
      <c r="P2781" s="26">
        <f>IF($A2781="","",COUNTIFS('Audit Versions'!$A$6:$A$605,$A2781,'Audit Versions'!$L$6:$L$605,"Active"))</f>
        <v/>
      </c>
      <c r="Q2781" s="15" t="n"/>
      <c r="R2781" s="26">
        <f>IF(OR($A2781="",$P2781=0),"",MOD(N($Q2781),$P2781)+1)</f>
        <v/>
      </c>
      <c r="S2781" s="15" t="n"/>
      <c r="T2781" s="25" t="n"/>
      <c r="U2781" s="26">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Builder'!$B$12="",N($S2781)&lt;='Assignment Builder'!$B$12)))</f>
        <v/>
      </c>
      <c r="V2781" s="23" t="n"/>
    </row>
    <row r="2782">
      <c r="A2782" s="23" t="n"/>
      <c r="B2782" s="23" t="n"/>
      <c r="C2782" s="24" t="n"/>
      <c r="D2782" s="15" t="n"/>
      <c r="E2782" s="23" t="n"/>
      <c r="F2782" s="15" t="n"/>
      <c r="G2782" s="23" t="n"/>
      <c r="H2782" s="25" t="n"/>
      <c r="I2782" s="15" t="n"/>
      <c r="J2782" s="26">
        <f>IF($A2782="","",LEN($C2782)-LEN(SUBSTITUTE($C2782,",",""))+1)</f>
        <v/>
      </c>
      <c r="K2782" s="26">
        <f>IF($A2782="","",SUMPRODUCT(--ISNUMBER(SEARCH('Category Dictionary'!$D$5:$D$135&amp;"",$C2782)),--('Category Dictionary'!$D$5:$D$135&lt;&gt;"")))</f>
        <v/>
      </c>
      <c r="L2782" s="27">
        <f>IF($A2782="","",TRIM(IF(ISERROR(FIND(",",$C2782)),$C2782,LEFT($C2782,FIND(",",$C2782)-1))))</f>
        <v/>
      </c>
      <c r="M2782" s="28">
        <f>IF($H2782="","",DATE(YEAR($H2782),MONTH($H2782),1))</f>
        <v/>
      </c>
      <c r="N2782" s="26">
        <f>IF($H2782="","",TODAY()-$H2782)</f>
        <v/>
      </c>
      <c r="O2782" s="15" t="n"/>
      <c r="P2782" s="26">
        <f>IF($A2782="","",COUNTIFS('Audit Versions'!$A$6:$A$605,$A2782,'Audit Versions'!$L$6:$L$605,"Active"))</f>
        <v/>
      </c>
      <c r="Q2782" s="15" t="n"/>
      <c r="R2782" s="26">
        <f>IF(OR($A2782="",$P2782=0),"",MOD(N($Q2782),$P2782)+1)</f>
        <v/>
      </c>
      <c r="S2782" s="15" t="n"/>
      <c r="T2782" s="25" t="n"/>
      <c r="U2782" s="26">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Builder'!$B$12="",N($S2782)&lt;='Assignment Builder'!$B$12)))</f>
        <v/>
      </c>
      <c r="V2782" s="23" t="n"/>
    </row>
    <row r="2783">
      <c r="A2783" s="23" t="n"/>
      <c r="B2783" s="23" t="n"/>
      <c r="C2783" s="24" t="n"/>
      <c r="D2783" s="15" t="n"/>
      <c r="E2783" s="23" t="n"/>
      <c r="F2783" s="15" t="n"/>
      <c r="G2783" s="23" t="n"/>
      <c r="H2783" s="25" t="n"/>
      <c r="I2783" s="15" t="n"/>
      <c r="J2783" s="26">
        <f>IF($A2783="","",LEN($C2783)-LEN(SUBSTITUTE($C2783,",",""))+1)</f>
        <v/>
      </c>
      <c r="K2783" s="26">
        <f>IF($A2783="","",SUMPRODUCT(--ISNUMBER(SEARCH('Category Dictionary'!$D$5:$D$135&amp;"",$C2783)),--('Category Dictionary'!$D$5:$D$135&lt;&gt;"")))</f>
        <v/>
      </c>
      <c r="L2783" s="27">
        <f>IF($A2783="","",TRIM(IF(ISERROR(FIND(",",$C2783)),$C2783,LEFT($C2783,FIND(",",$C2783)-1))))</f>
        <v/>
      </c>
      <c r="M2783" s="28">
        <f>IF($H2783="","",DATE(YEAR($H2783),MONTH($H2783),1))</f>
        <v/>
      </c>
      <c r="N2783" s="26">
        <f>IF($H2783="","",TODAY()-$H2783)</f>
        <v/>
      </c>
      <c r="O2783" s="15" t="n"/>
      <c r="P2783" s="26">
        <f>IF($A2783="","",COUNTIFS('Audit Versions'!$A$6:$A$605,$A2783,'Audit Versions'!$L$6:$L$605,"Active"))</f>
        <v/>
      </c>
      <c r="Q2783" s="15" t="n"/>
      <c r="R2783" s="26">
        <f>IF(OR($A2783="",$P2783=0),"",MOD(N($Q2783),$P2783)+1)</f>
        <v/>
      </c>
      <c r="S2783" s="15" t="n"/>
      <c r="T2783" s="25" t="n"/>
      <c r="U2783" s="26">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Builder'!$B$12="",N($S2783)&lt;='Assignment Builder'!$B$12)))</f>
        <v/>
      </c>
      <c r="V2783" s="23" t="n"/>
    </row>
    <row r="2784">
      <c r="A2784" s="23" t="n"/>
      <c r="B2784" s="23" t="n"/>
      <c r="C2784" s="24" t="n"/>
      <c r="D2784" s="15" t="n"/>
      <c r="E2784" s="23" t="n"/>
      <c r="F2784" s="15" t="n"/>
      <c r="G2784" s="23" t="n"/>
      <c r="H2784" s="25" t="n"/>
      <c r="I2784" s="15" t="n"/>
      <c r="J2784" s="26">
        <f>IF($A2784="","",LEN($C2784)-LEN(SUBSTITUTE($C2784,",",""))+1)</f>
        <v/>
      </c>
      <c r="K2784" s="26">
        <f>IF($A2784="","",SUMPRODUCT(--ISNUMBER(SEARCH('Category Dictionary'!$D$5:$D$135&amp;"",$C2784)),--('Category Dictionary'!$D$5:$D$135&lt;&gt;"")))</f>
        <v/>
      </c>
      <c r="L2784" s="27">
        <f>IF($A2784="","",TRIM(IF(ISERROR(FIND(",",$C2784)),$C2784,LEFT($C2784,FIND(",",$C2784)-1))))</f>
        <v/>
      </c>
      <c r="M2784" s="28">
        <f>IF($H2784="","",DATE(YEAR($H2784),MONTH($H2784),1))</f>
        <v/>
      </c>
      <c r="N2784" s="26">
        <f>IF($H2784="","",TODAY()-$H2784)</f>
        <v/>
      </c>
      <c r="O2784" s="15" t="n"/>
      <c r="P2784" s="26">
        <f>IF($A2784="","",COUNTIFS('Audit Versions'!$A$6:$A$605,$A2784,'Audit Versions'!$L$6:$L$605,"Active"))</f>
        <v/>
      </c>
      <c r="Q2784" s="15" t="n"/>
      <c r="R2784" s="26">
        <f>IF(OR($A2784="",$P2784=0),"",MOD(N($Q2784),$P2784)+1)</f>
        <v/>
      </c>
      <c r="S2784" s="15" t="n"/>
      <c r="T2784" s="25" t="n"/>
      <c r="U2784" s="26">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Builder'!$B$12="",N($S2784)&lt;='Assignment Builder'!$B$12)))</f>
        <v/>
      </c>
      <c r="V2784" s="23" t="n"/>
    </row>
    <row r="2785">
      <c r="A2785" s="23" t="n"/>
      <c r="B2785" s="23" t="n"/>
      <c r="C2785" s="24" t="n"/>
      <c r="D2785" s="15" t="n"/>
      <c r="E2785" s="23" t="n"/>
      <c r="F2785" s="15" t="n"/>
      <c r="G2785" s="23" t="n"/>
      <c r="H2785" s="25" t="n"/>
      <c r="I2785" s="15" t="n"/>
      <c r="J2785" s="26">
        <f>IF($A2785="","",LEN($C2785)-LEN(SUBSTITUTE($C2785,",",""))+1)</f>
        <v/>
      </c>
      <c r="K2785" s="26">
        <f>IF($A2785="","",SUMPRODUCT(--ISNUMBER(SEARCH('Category Dictionary'!$D$5:$D$135&amp;"",$C2785)),--('Category Dictionary'!$D$5:$D$135&lt;&gt;"")))</f>
        <v/>
      </c>
      <c r="L2785" s="27">
        <f>IF($A2785="","",TRIM(IF(ISERROR(FIND(",",$C2785)),$C2785,LEFT($C2785,FIND(",",$C2785)-1))))</f>
        <v/>
      </c>
      <c r="M2785" s="28">
        <f>IF($H2785="","",DATE(YEAR($H2785),MONTH($H2785),1))</f>
        <v/>
      </c>
      <c r="N2785" s="26">
        <f>IF($H2785="","",TODAY()-$H2785)</f>
        <v/>
      </c>
      <c r="O2785" s="15" t="n"/>
      <c r="P2785" s="26">
        <f>IF($A2785="","",COUNTIFS('Audit Versions'!$A$6:$A$605,$A2785,'Audit Versions'!$L$6:$L$605,"Active"))</f>
        <v/>
      </c>
      <c r="Q2785" s="15" t="n"/>
      <c r="R2785" s="26">
        <f>IF(OR($A2785="",$P2785=0),"",MOD(N($Q2785),$P2785)+1)</f>
        <v/>
      </c>
      <c r="S2785" s="15" t="n"/>
      <c r="T2785" s="25" t="n"/>
      <c r="U2785" s="26">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Builder'!$B$12="",N($S2785)&lt;='Assignment Builder'!$B$12)))</f>
        <v/>
      </c>
      <c r="V2785" s="23" t="n"/>
    </row>
    <row r="2786">
      <c r="A2786" s="23" t="n"/>
      <c r="B2786" s="23" t="n"/>
      <c r="C2786" s="24" t="n"/>
      <c r="D2786" s="15" t="n"/>
      <c r="E2786" s="23" t="n"/>
      <c r="F2786" s="15" t="n"/>
      <c r="G2786" s="23" t="n"/>
      <c r="H2786" s="25" t="n"/>
      <c r="I2786" s="15" t="n"/>
      <c r="J2786" s="26">
        <f>IF($A2786="","",LEN($C2786)-LEN(SUBSTITUTE($C2786,",",""))+1)</f>
        <v/>
      </c>
      <c r="K2786" s="26">
        <f>IF($A2786="","",SUMPRODUCT(--ISNUMBER(SEARCH('Category Dictionary'!$D$5:$D$135&amp;"",$C2786)),--('Category Dictionary'!$D$5:$D$135&lt;&gt;"")))</f>
        <v/>
      </c>
      <c r="L2786" s="27">
        <f>IF($A2786="","",TRIM(IF(ISERROR(FIND(",",$C2786)),$C2786,LEFT($C2786,FIND(",",$C2786)-1))))</f>
        <v/>
      </c>
      <c r="M2786" s="28">
        <f>IF($H2786="","",DATE(YEAR($H2786),MONTH($H2786),1))</f>
        <v/>
      </c>
      <c r="N2786" s="26">
        <f>IF($H2786="","",TODAY()-$H2786)</f>
        <v/>
      </c>
      <c r="O2786" s="15" t="n"/>
      <c r="P2786" s="26">
        <f>IF($A2786="","",COUNTIFS('Audit Versions'!$A$6:$A$605,$A2786,'Audit Versions'!$L$6:$L$605,"Active"))</f>
        <v/>
      </c>
      <c r="Q2786" s="15" t="n"/>
      <c r="R2786" s="26">
        <f>IF(OR($A2786="",$P2786=0),"",MOD(N($Q2786),$P2786)+1)</f>
        <v/>
      </c>
      <c r="S2786" s="15" t="n"/>
      <c r="T2786" s="25" t="n"/>
      <c r="U2786" s="26">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Builder'!$B$12="",N($S2786)&lt;='Assignment Builder'!$B$12)))</f>
        <v/>
      </c>
      <c r="V2786" s="23" t="n"/>
    </row>
    <row r="2787">
      <c r="A2787" s="23" t="n"/>
      <c r="B2787" s="23" t="n"/>
      <c r="C2787" s="24" t="n"/>
      <c r="D2787" s="15" t="n"/>
      <c r="E2787" s="23" t="n"/>
      <c r="F2787" s="15" t="n"/>
      <c r="G2787" s="23" t="n"/>
      <c r="H2787" s="25" t="n"/>
      <c r="I2787" s="15" t="n"/>
      <c r="J2787" s="26">
        <f>IF($A2787="","",LEN($C2787)-LEN(SUBSTITUTE($C2787,",",""))+1)</f>
        <v/>
      </c>
      <c r="K2787" s="26">
        <f>IF($A2787="","",SUMPRODUCT(--ISNUMBER(SEARCH('Category Dictionary'!$D$5:$D$135&amp;"",$C2787)),--('Category Dictionary'!$D$5:$D$135&lt;&gt;"")))</f>
        <v/>
      </c>
      <c r="L2787" s="27">
        <f>IF($A2787="","",TRIM(IF(ISERROR(FIND(",",$C2787)),$C2787,LEFT($C2787,FIND(",",$C2787)-1))))</f>
        <v/>
      </c>
      <c r="M2787" s="28">
        <f>IF($H2787="","",DATE(YEAR($H2787),MONTH($H2787),1))</f>
        <v/>
      </c>
      <c r="N2787" s="26">
        <f>IF($H2787="","",TODAY()-$H2787)</f>
        <v/>
      </c>
      <c r="O2787" s="15" t="n"/>
      <c r="P2787" s="26">
        <f>IF($A2787="","",COUNTIFS('Audit Versions'!$A$6:$A$605,$A2787,'Audit Versions'!$L$6:$L$605,"Active"))</f>
        <v/>
      </c>
      <c r="Q2787" s="15" t="n"/>
      <c r="R2787" s="26">
        <f>IF(OR($A2787="",$P2787=0),"",MOD(N($Q2787),$P2787)+1)</f>
        <v/>
      </c>
      <c r="S2787" s="15" t="n"/>
      <c r="T2787" s="25" t="n"/>
      <c r="U2787" s="26">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Builder'!$B$12="",N($S2787)&lt;='Assignment Builder'!$B$12)))</f>
        <v/>
      </c>
      <c r="V2787" s="23" t="n"/>
    </row>
    <row r="2788">
      <c r="A2788" s="23" t="n"/>
      <c r="B2788" s="23" t="n"/>
      <c r="C2788" s="24" t="n"/>
      <c r="D2788" s="15" t="n"/>
      <c r="E2788" s="23" t="n"/>
      <c r="F2788" s="15" t="n"/>
      <c r="G2788" s="23" t="n"/>
      <c r="H2788" s="25" t="n"/>
      <c r="I2788" s="15" t="n"/>
      <c r="J2788" s="26">
        <f>IF($A2788="","",LEN($C2788)-LEN(SUBSTITUTE($C2788,",",""))+1)</f>
        <v/>
      </c>
      <c r="K2788" s="26">
        <f>IF($A2788="","",SUMPRODUCT(--ISNUMBER(SEARCH('Category Dictionary'!$D$5:$D$135&amp;"",$C2788)),--('Category Dictionary'!$D$5:$D$135&lt;&gt;"")))</f>
        <v/>
      </c>
      <c r="L2788" s="27">
        <f>IF($A2788="","",TRIM(IF(ISERROR(FIND(",",$C2788)),$C2788,LEFT($C2788,FIND(",",$C2788)-1))))</f>
        <v/>
      </c>
      <c r="M2788" s="28">
        <f>IF($H2788="","",DATE(YEAR($H2788),MONTH($H2788),1))</f>
        <v/>
      </c>
      <c r="N2788" s="26">
        <f>IF($H2788="","",TODAY()-$H2788)</f>
        <v/>
      </c>
      <c r="O2788" s="15" t="n"/>
      <c r="P2788" s="26">
        <f>IF($A2788="","",COUNTIFS('Audit Versions'!$A$6:$A$605,$A2788,'Audit Versions'!$L$6:$L$605,"Active"))</f>
        <v/>
      </c>
      <c r="Q2788" s="15" t="n"/>
      <c r="R2788" s="26">
        <f>IF(OR($A2788="",$P2788=0),"",MOD(N($Q2788),$P2788)+1)</f>
        <v/>
      </c>
      <c r="S2788" s="15" t="n"/>
      <c r="T2788" s="25" t="n"/>
      <c r="U2788" s="26">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Builder'!$B$12="",N($S2788)&lt;='Assignment Builder'!$B$12)))</f>
        <v/>
      </c>
      <c r="V2788" s="23" t="n"/>
    </row>
    <row r="2789">
      <c r="A2789" s="23" t="n"/>
      <c r="B2789" s="23" t="n"/>
      <c r="C2789" s="24" t="n"/>
      <c r="D2789" s="15" t="n"/>
      <c r="E2789" s="23" t="n"/>
      <c r="F2789" s="15" t="n"/>
      <c r="G2789" s="23" t="n"/>
      <c r="H2789" s="25" t="n"/>
      <c r="I2789" s="15" t="n"/>
      <c r="J2789" s="26">
        <f>IF($A2789="","",LEN($C2789)-LEN(SUBSTITUTE($C2789,",",""))+1)</f>
        <v/>
      </c>
      <c r="K2789" s="26">
        <f>IF($A2789="","",SUMPRODUCT(--ISNUMBER(SEARCH('Category Dictionary'!$D$5:$D$135&amp;"",$C2789)),--('Category Dictionary'!$D$5:$D$135&lt;&gt;"")))</f>
        <v/>
      </c>
      <c r="L2789" s="27">
        <f>IF($A2789="","",TRIM(IF(ISERROR(FIND(",",$C2789)),$C2789,LEFT($C2789,FIND(",",$C2789)-1))))</f>
        <v/>
      </c>
      <c r="M2789" s="28">
        <f>IF($H2789="","",DATE(YEAR($H2789),MONTH($H2789),1))</f>
        <v/>
      </c>
      <c r="N2789" s="26">
        <f>IF($H2789="","",TODAY()-$H2789)</f>
        <v/>
      </c>
      <c r="O2789" s="15" t="n"/>
      <c r="P2789" s="26">
        <f>IF($A2789="","",COUNTIFS('Audit Versions'!$A$6:$A$605,$A2789,'Audit Versions'!$L$6:$L$605,"Active"))</f>
        <v/>
      </c>
      <c r="Q2789" s="15" t="n"/>
      <c r="R2789" s="26">
        <f>IF(OR($A2789="",$P2789=0),"",MOD(N($Q2789),$P2789)+1)</f>
        <v/>
      </c>
      <c r="S2789" s="15" t="n"/>
      <c r="T2789" s="25" t="n"/>
      <c r="U2789" s="26">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Builder'!$B$12="",N($S2789)&lt;='Assignment Builder'!$B$12)))</f>
        <v/>
      </c>
      <c r="V2789" s="23" t="n"/>
    </row>
    <row r="2790">
      <c r="A2790" s="23" t="n"/>
      <c r="B2790" s="23" t="n"/>
      <c r="C2790" s="24" t="n"/>
      <c r="D2790" s="15" t="n"/>
      <c r="E2790" s="23" t="n"/>
      <c r="F2790" s="15" t="n"/>
      <c r="G2790" s="23" t="n"/>
      <c r="H2790" s="25" t="n"/>
      <c r="I2790" s="15" t="n"/>
      <c r="J2790" s="26">
        <f>IF($A2790="","",LEN($C2790)-LEN(SUBSTITUTE($C2790,",",""))+1)</f>
        <v/>
      </c>
      <c r="K2790" s="26">
        <f>IF($A2790="","",SUMPRODUCT(--ISNUMBER(SEARCH('Category Dictionary'!$D$5:$D$135&amp;"",$C2790)),--('Category Dictionary'!$D$5:$D$135&lt;&gt;"")))</f>
        <v/>
      </c>
      <c r="L2790" s="27">
        <f>IF($A2790="","",TRIM(IF(ISERROR(FIND(",",$C2790)),$C2790,LEFT($C2790,FIND(",",$C2790)-1))))</f>
        <v/>
      </c>
      <c r="M2790" s="28">
        <f>IF($H2790="","",DATE(YEAR($H2790),MONTH($H2790),1))</f>
        <v/>
      </c>
      <c r="N2790" s="26">
        <f>IF($H2790="","",TODAY()-$H2790)</f>
        <v/>
      </c>
      <c r="O2790" s="15" t="n"/>
      <c r="P2790" s="26">
        <f>IF($A2790="","",COUNTIFS('Audit Versions'!$A$6:$A$605,$A2790,'Audit Versions'!$L$6:$L$605,"Active"))</f>
        <v/>
      </c>
      <c r="Q2790" s="15" t="n"/>
      <c r="R2790" s="26">
        <f>IF(OR($A2790="",$P2790=0),"",MOD(N($Q2790),$P2790)+1)</f>
        <v/>
      </c>
      <c r="S2790" s="15" t="n"/>
      <c r="T2790" s="25" t="n"/>
      <c r="U2790" s="26">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Builder'!$B$12="",N($S2790)&lt;='Assignment Builder'!$B$12)))</f>
        <v/>
      </c>
      <c r="V2790" s="23" t="n"/>
    </row>
    <row r="2791">
      <c r="A2791" s="23" t="n"/>
      <c r="B2791" s="23" t="n"/>
      <c r="C2791" s="24" t="n"/>
      <c r="D2791" s="15" t="n"/>
      <c r="E2791" s="23" t="n"/>
      <c r="F2791" s="15" t="n"/>
      <c r="G2791" s="23" t="n"/>
      <c r="H2791" s="25" t="n"/>
      <c r="I2791" s="15" t="n"/>
      <c r="J2791" s="26">
        <f>IF($A2791="","",LEN($C2791)-LEN(SUBSTITUTE($C2791,",",""))+1)</f>
        <v/>
      </c>
      <c r="K2791" s="26">
        <f>IF($A2791="","",SUMPRODUCT(--ISNUMBER(SEARCH('Category Dictionary'!$D$5:$D$135&amp;"",$C2791)),--('Category Dictionary'!$D$5:$D$135&lt;&gt;"")))</f>
        <v/>
      </c>
      <c r="L2791" s="27">
        <f>IF($A2791="","",TRIM(IF(ISERROR(FIND(",",$C2791)),$C2791,LEFT($C2791,FIND(",",$C2791)-1))))</f>
        <v/>
      </c>
      <c r="M2791" s="28">
        <f>IF($H2791="","",DATE(YEAR($H2791),MONTH($H2791),1))</f>
        <v/>
      </c>
      <c r="N2791" s="26">
        <f>IF($H2791="","",TODAY()-$H2791)</f>
        <v/>
      </c>
      <c r="O2791" s="15" t="n"/>
      <c r="P2791" s="26">
        <f>IF($A2791="","",COUNTIFS('Audit Versions'!$A$6:$A$605,$A2791,'Audit Versions'!$L$6:$L$605,"Active"))</f>
        <v/>
      </c>
      <c r="Q2791" s="15" t="n"/>
      <c r="R2791" s="26">
        <f>IF(OR($A2791="",$P2791=0),"",MOD(N($Q2791),$P2791)+1)</f>
        <v/>
      </c>
      <c r="S2791" s="15" t="n"/>
      <c r="T2791" s="25" t="n"/>
      <c r="U2791" s="26">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Builder'!$B$12="",N($S2791)&lt;='Assignment Builder'!$B$12)))</f>
        <v/>
      </c>
      <c r="V2791" s="23" t="n"/>
    </row>
    <row r="2792">
      <c r="A2792" s="23" t="n"/>
      <c r="B2792" s="23" t="n"/>
      <c r="C2792" s="24" t="n"/>
      <c r="D2792" s="15" t="n"/>
      <c r="E2792" s="23" t="n"/>
      <c r="F2792" s="15" t="n"/>
      <c r="G2792" s="23" t="n"/>
      <c r="H2792" s="25" t="n"/>
      <c r="I2792" s="15" t="n"/>
      <c r="J2792" s="26">
        <f>IF($A2792="","",LEN($C2792)-LEN(SUBSTITUTE($C2792,",",""))+1)</f>
        <v/>
      </c>
      <c r="K2792" s="26">
        <f>IF($A2792="","",SUMPRODUCT(--ISNUMBER(SEARCH('Category Dictionary'!$D$5:$D$135&amp;"",$C2792)),--('Category Dictionary'!$D$5:$D$135&lt;&gt;"")))</f>
        <v/>
      </c>
      <c r="L2792" s="27">
        <f>IF($A2792="","",TRIM(IF(ISERROR(FIND(",",$C2792)),$C2792,LEFT($C2792,FIND(",",$C2792)-1))))</f>
        <v/>
      </c>
      <c r="M2792" s="28">
        <f>IF($H2792="","",DATE(YEAR($H2792),MONTH($H2792),1))</f>
        <v/>
      </c>
      <c r="N2792" s="26">
        <f>IF($H2792="","",TODAY()-$H2792)</f>
        <v/>
      </c>
      <c r="O2792" s="15" t="n"/>
      <c r="P2792" s="26">
        <f>IF($A2792="","",COUNTIFS('Audit Versions'!$A$6:$A$605,$A2792,'Audit Versions'!$L$6:$L$605,"Active"))</f>
        <v/>
      </c>
      <c r="Q2792" s="15" t="n"/>
      <c r="R2792" s="26">
        <f>IF(OR($A2792="",$P2792=0),"",MOD(N($Q2792),$P2792)+1)</f>
        <v/>
      </c>
      <c r="S2792" s="15" t="n"/>
      <c r="T2792" s="25" t="n"/>
      <c r="U2792" s="26">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Builder'!$B$12="",N($S2792)&lt;='Assignment Builder'!$B$12)))</f>
        <v/>
      </c>
      <c r="V2792" s="23" t="n"/>
    </row>
    <row r="2793">
      <c r="A2793" s="23" t="n"/>
      <c r="B2793" s="23" t="n"/>
      <c r="C2793" s="24" t="n"/>
      <c r="D2793" s="15" t="n"/>
      <c r="E2793" s="23" t="n"/>
      <c r="F2793" s="15" t="n"/>
      <c r="G2793" s="23" t="n"/>
      <c r="H2793" s="25" t="n"/>
      <c r="I2793" s="15" t="n"/>
      <c r="J2793" s="26">
        <f>IF($A2793="","",LEN($C2793)-LEN(SUBSTITUTE($C2793,",",""))+1)</f>
        <v/>
      </c>
      <c r="K2793" s="26">
        <f>IF($A2793="","",SUMPRODUCT(--ISNUMBER(SEARCH('Category Dictionary'!$D$5:$D$135&amp;"",$C2793)),--('Category Dictionary'!$D$5:$D$135&lt;&gt;"")))</f>
        <v/>
      </c>
      <c r="L2793" s="27">
        <f>IF($A2793="","",TRIM(IF(ISERROR(FIND(",",$C2793)),$C2793,LEFT($C2793,FIND(",",$C2793)-1))))</f>
        <v/>
      </c>
      <c r="M2793" s="28">
        <f>IF($H2793="","",DATE(YEAR($H2793),MONTH($H2793),1))</f>
        <v/>
      </c>
      <c r="N2793" s="26">
        <f>IF($H2793="","",TODAY()-$H2793)</f>
        <v/>
      </c>
      <c r="O2793" s="15" t="n"/>
      <c r="P2793" s="26">
        <f>IF($A2793="","",COUNTIFS('Audit Versions'!$A$6:$A$605,$A2793,'Audit Versions'!$L$6:$L$605,"Active"))</f>
        <v/>
      </c>
      <c r="Q2793" s="15" t="n"/>
      <c r="R2793" s="26">
        <f>IF(OR($A2793="",$P2793=0),"",MOD(N($Q2793),$P2793)+1)</f>
        <v/>
      </c>
      <c r="S2793" s="15" t="n"/>
      <c r="T2793" s="25" t="n"/>
      <c r="U2793" s="26">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Builder'!$B$12="",N($S2793)&lt;='Assignment Builder'!$B$12)))</f>
        <v/>
      </c>
      <c r="V2793" s="23" t="n"/>
    </row>
    <row r="2794">
      <c r="A2794" s="23" t="n"/>
      <c r="B2794" s="23" t="n"/>
      <c r="C2794" s="24" t="n"/>
      <c r="D2794" s="15" t="n"/>
      <c r="E2794" s="23" t="n"/>
      <c r="F2794" s="15" t="n"/>
      <c r="G2794" s="23" t="n"/>
      <c r="H2794" s="25" t="n"/>
      <c r="I2794" s="15" t="n"/>
      <c r="J2794" s="26">
        <f>IF($A2794="","",LEN($C2794)-LEN(SUBSTITUTE($C2794,",",""))+1)</f>
        <v/>
      </c>
      <c r="K2794" s="26">
        <f>IF($A2794="","",SUMPRODUCT(--ISNUMBER(SEARCH('Category Dictionary'!$D$5:$D$135&amp;"",$C2794)),--('Category Dictionary'!$D$5:$D$135&lt;&gt;"")))</f>
        <v/>
      </c>
      <c r="L2794" s="27">
        <f>IF($A2794="","",TRIM(IF(ISERROR(FIND(",",$C2794)),$C2794,LEFT($C2794,FIND(",",$C2794)-1))))</f>
        <v/>
      </c>
      <c r="M2794" s="28">
        <f>IF($H2794="","",DATE(YEAR($H2794),MONTH($H2794),1))</f>
        <v/>
      </c>
      <c r="N2794" s="26">
        <f>IF($H2794="","",TODAY()-$H2794)</f>
        <v/>
      </c>
      <c r="O2794" s="15" t="n"/>
      <c r="P2794" s="26">
        <f>IF($A2794="","",COUNTIFS('Audit Versions'!$A$6:$A$605,$A2794,'Audit Versions'!$L$6:$L$605,"Active"))</f>
        <v/>
      </c>
      <c r="Q2794" s="15" t="n"/>
      <c r="R2794" s="26">
        <f>IF(OR($A2794="",$P2794=0),"",MOD(N($Q2794),$P2794)+1)</f>
        <v/>
      </c>
      <c r="S2794" s="15" t="n"/>
      <c r="T2794" s="25" t="n"/>
      <c r="U2794" s="26">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Builder'!$B$12="",N($S2794)&lt;='Assignment Builder'!$B$12)))</f>
        <v/>
      </c>
      <c r="V2794" s="23" t="n"/>
    </row>
    <row r="2795">
      <c r="A2795" s="23" t="n"/>
      <c r="B2795" s="23" t="n"/>
      <c r="C2795" s="24" t="n"/>
      <c r="D2795" s="15" t="n"/>
      <c r="E2795" s="23" t="n"/>
      <c r="F2795" s="15" t="n"/>
      <c r="G2795" s="23" t="n"/>
      <c r="H2795" s="25" t="n"/>
      <c r="I2795" s="15" t="n"/>
      <c r="J2795" s="26">
        <f>IF($A2795="","",LEN($C2795)-LEN(SUBSTITUTE($C2795,",",""))+1)</f>
        <v/>
      </c>
      <c r="K2795" s="26">
        <f>IF($A2795="","",SUMPRODUCT(--ISNUMBER(SEARCH('Category Dictionary'!$D$5:$D$135&amp;"",$C2795)),--('Category Dictionary'!$D$5:$D$135&lt;&gt;"")))</f>
        <v/>
      </c>
      <c r="L2795" s="27">
        <f>IF($A2795="","",TRIM(IF(ISERROR(FIND(",",$C2795)),$C2795,LEFT($C2795,FIND(",",$C2795)-1))))</f>
        <v/>
      </c>
      <c r="M2795" s="28">
        <f>IF($H2795="","",DATE(YEAR($H2795),MONTH($H2795),1))</f>
        <v/>
      </c>
      <c r="N2795" s="26">
        <f>IF($H2795="","",TODAY()-$H2795)</f>
        <v/>
      </c>
      <c r="O2795" s="15" t="n"/>
      <c r="P2795" s="26">
        <f>IF($A2795="","",COUNTIFS('Audit Versions'!$A$6:$A$605,$A2795,'Audit Versions'!$L$6:$L$605,"Active"))</f>
        <v/>
      </c>
      <c r="Q2795" s="15" t="n"/>
      <c r="R2795" s="26">
        <f>IF(OR($A2795="",$P2795=0),"",MOD(N($Q2795),$P2795)+1)</f>
        <v/>
      </c>
      <c r="S2795" s="15" t="n"/>
      <c r="T2795" s="25" t="n"/>
      <c r="U2795" s="26">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Builder'!$B$12="",N($S2795)&lt;='Assignment Builder'!$B$12)))</f>
        <v/>
      </c>
      <c r="V2795" s="23" t="n"/>
    </row>
    <row r="2796">
      <c r="A2796" s="23" t="n"/>
      <c r="B2796" s="23" t="n"/>
      <c r="C2796" s="24" t="n"/>
      <c r="D2796" s="15" t="n"/>
      <c r="E2796" s="23" t="n"/>
      <c r="F2796" s="15" t="n"/>
      <c r="G2796" s="23" t="n"/>
      <c r="H2796" s="25" t="n"/>
      <c r="I2796" s="15" t="n"/>
      <c r="J2796" s="26">
        <f>IF($A2796="","",LEN($C2796)-LEN(SUBSTITUTE($C2796,",",""))+1)</f>
        <v/>
      </c>
      <c r="K2796" s="26">
        <f>IF($A2796="","",SUMPRODUCT(--ISNUMBER(SEARCH('Category Dictionary'!$D$5:$D$135&amp;"",$C2796)),--('Category Dictionary'!$D$5:$D$135&lt;&gt;"")))</f>
        <v/>
      </c>
      <c r="L2796" s="27">
        <f>IF($A2796="","",TRIM(IF(ISERROR(FIND(",",$C2796)),$C2796,LEFT($C2796,FIND(",",$C2796)-1))))</f>
        <v/>
      </c>
      <c r="M2796" s="28">
        <f>IF($H2796="","",DATE(YEAR($H2796),MONTH($H2796),1))</f>
        <v/>
      </c>
      <c r="N2796" s="26">
        <f>IF($H2796="","",TODAY()-$H2796)</f>
        <v/>
      </c>
      <c r="O2796" s="15" t="n"/>
      <c r="P2796" s="26">
        <f>IF($A2796="","",COUNTIFS('Audit Versions'!$A$6:$A$605,$A2796,'Audit Versions'!$L$6:$L$605,"Active"))</f>
        <v/>
      </c>
      <c r="Q2796" s="15" t="n"/>
      <c r="R2796" s="26">
        <f>IF(OR($A2796="",$P2796=0),"",MOD(N($Q2796),$P2796)+1)</f>
        <v/>
      </c>
      <c r="S2796" s="15" t="n"/>
      <c r="T2796" s="25" t="n"/>
      <c r="U2796" s="26">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Builder'!$B$12="",N($S2796)&lt;='Assignment Builder'!$B$12)))</f>
        <v/>
      </c>
      <c r="V2796" s="23" t="n"/>
    </row>
    <row r="2797">
      <c r="A2797" s="23" t="n"/>
      <c r="B2797" s="23" t="n"/>
      <c r="C2797" s="24" t="n"/>
      <c r="D2797" s="15" t="n"/>
      <c r="E2797" s="23" t="n"/>
      <c r="F2797" s="15" t="n"/>
      <c r="G2797" s="23" t="n"/>
      <c r="H2797" s="25" t="n"/>
      <c r="I2797" s="15" t="n"/>
      <c r="J2797" s="26">
        <f>IF($A2797="","",LEN($C2797)-LEN(SUBSTITUTE($C2797,",",""))+1)</f>
        <v/>
      </c>
      <c r="K2797" s="26">
        <f>IF($A2797="","",SUMPRODUCT(--ISNUMBER(SEARCH('Category Dictionary'!$D$5:$D$135&amp;"",$C2797)),--('Category Dictionary'!$D$5:$D$135&lt;&gt;"")))</f>
        <v/>
      </c>
      <c r="L2797" s="27">
        <f>IF($A2797="","",TRIM(IF(ISERROR(FIND(",",$C2797)),$C2797,LEFT($C2797,FIND(",",$C2797)-1))))</f>
        <v/>
      </c>
      <c r="M2797" s="28">
        <f>IF($H2797="","",DATE(YEAR($H2797),MONTH($H2797),1))</f>
        <v/>
      </c>
      <c r="N2797" s="26">
        <f>IF($H2797="","",TODAY()-$H2797)</f>
        <v/>
      </c>
      <c r="O2797" s="15" t="n"/>
      <c r="P2797" s="26">
        <f>IF($A2797="","",COUNTIFS('Audit Versions'!$A$6:$A$605,$A2797,'Audit Versions'!$L$6:$L$605,"Active"))</f>
        <v/>
      </c>
      <c r="Q2797" s="15" t="n"/>
      <c r="R2797" s="26">
        <f>IF(OR($A2797="",$P2797=0),"",MOD(N($Q2797),$P2797)+1)</f>
        <v/>
      </c>
      <c r="S2797" s="15" t="n"/>
      <c r="T2797" s="25" t="n"/>
      <c r="U2797" s="26">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Builder'!$B$12="",N($S2797)&lt;='Assignment Builder'!$B$12)))</f>
        <v/>
      </c>
      <c r="V2797" s="23" t="n"/>
    </row>
    <row r="2798">
      <c r="A2798" s="23" t="n"/>
      <c r="B2798" s="23" t="n"/>
      <c r="C2798" s="24" t="n"/>
      <c r="D2798" s="15" t="n"/>
      <c r="E2798" s="23" t="n"/>
      <c r="F2798" s="15" t="n"/>
      <c r="G2798" s="23" t="n"/>
      <c r="H2798" s="25" t="n"/>
      <c r="I2798" s="15" t="n"/>
      <c r="J2798" s="26">
        <f>IF($A2798="","",LEN($C2798)-LEN(SUBSTITUTE($C2798,",",""))+1)</f>
        <v/>
      </c>
      <c r="K2798" s="26">
        <f>IF($A2798="","",SUMPRODUCT(--ISNUMBER(SEARCH('Category Dictionary'!$D$5:$D$135&amp;"",$C2798)),--('Category Dictionary'!$D$5:$D$135&lt;&gt;"")))</f>
        <v/>
      </c>
      <c r="L2798" s="27">
        <f>IF($A2798="","",TRIM(IF(ISERROR(FIND(",",$C2798)),$C2798,LEFT($C2798,FIND(",",$C2798)-1))))</f>
        <v/>
      </c>
      <c r="M2798" s="28">
        <f>IF($H2798="","",DATE(YEAR($H2798),MONTH($H2798),1))</f>
        <v/>
      </c>
      <c r="N2798" s="26">
        <f>IF($H2798="","",TODAY()-$H2798)</f>
        <v/>
      </c>
      <c r="O2798" s="15" t="n"/>
      <c r="P2798" s="26">
        <f>IF($A2798="","",COUNTIFS('Audit Versions'!$A$6:$A$605,$A2798,'Audit Versions'!$L$6:$L$605,"Active"))</f>
        <v/>
      </c>
      <c r="Q2798" s="15" t="n"/>
      <c r="R2798" s="26">
        <f>IF(OR($A2798="",$P2798=0),"",MOD(N($Q2798),$P2798)+1)</f>
        <v/>
      </c>
      <c r="S2798" s="15" t="n"/>
      <c r="T2798" s="25" t="n"/>
      <c r="U2798" s="26">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Builder'!$B$12="",N($S2798)&lt;='Assignment Builder'!$B$12)))</f>
        <v/>
      </c>
      <c r="V2798" s="23" t="n"/>
    </row>
    <row r="2799">
      <c r="A2799" s="23" t="n"/>
      <c r="B2799" s="23" t="n"/>
      <c r="C2799" s="24" t="n"/>
      <c r="D2799" s="15" t="n"/>
      <c r="E2799" s="23" t="n"/>
      <c r="F2799" s="15" t="n"/>
      <c r="G2799" s="23" t="n"/>
      <c r="H2799" s="25" t="n"/>
      <c r="I2799" s="15" t="n"/>
      <c r="J2799" s="26">
        <f>IF($A2799="","",LEN($C2799)-LEN(SUBSTITUTE($C2799,",",""))+1)</f>
        <v/>
      </c>
      <c r="K2799" s="26">
        <f>IF($A2799="","",SUMPRODUCT(--ISNUMBER(SEARCH('Category Dictionary'!$D$5:$D$135&amp;"",$C2799)),--('Category Dictionary'!$D$5:$D$135&lt;&gt;"")))</f>
        <v/>
      </c>
      <c r="L2799" s="27">
        <f>IF($A2799="","",TRIM(IF(ISERROR(FIND(",",$C2799)),$C2799,LEFT($C2799,FIND(",",$C2799)-1))))</f>
        <v/>
      </c>
      <c r="M2799" s="28">
        <f>IF($H2799="","",DATE(YEAR($H2799),MONTH($H2799),1))</f>
        <v/>
      </c>
      <c r="N2799" s="26">
        <f>IF($H2799="","",TODAY()-$H2799)</f>
        <v/>
      </c>
      <c r="O2799" s="15" t="n"/>
      <c r="P2799" s="26">
        <f>IF($A2799="","",COUNTIFS('Audit Versions'!$A$6:$A$605,$A2799,'Audit Versions'!$L$6:$L$605,"Active"))</f>
        <v/>
      </c>
      <c r="Q2799" s="15" t="n"/>
      <c r="R2799" s="26">
        <f>IF(OR($A2799="",$P2799=0),"",MOD(N($Q2799),$P2799)+1)</f>
        <v/>
      </c>
      <c r="S2799" s="15" t="n"/>
      <c r="T2799" s="25" t="n"/>
      <c r="U2799" s="26">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Builder'!$B$12="",N($S2799)&lt;='Assignment Builder'!$B$12)))</f>
        <v/>
      </c>
      <c r="V2799" s="23" t="n"/>
    </row>
    <row r="2800">
      <c r="A2800" s="23" t="n"/>
      <c r="B2800" s="23" t="n"/>
      <c r="C2800" s="24" t="n"/>
      <c r="D2800" s="15" t="n"/>
      <c r="E2800" s="23" t="n"/>
      <c r="F2800" s="15" t="n"/>
      <c r="G2800" s="23" t="n"/>
      <c r="H2800" s="25" t="n"/>
      <c r="I2800" s="15" t="n"/>
      <c r="J2800" s="26">
        <f>IF($A2800="","",LEN($C2800)-LEN(SUBSTITUTE($C2800,",",""))+1)</f>
        <v/>
      </c>
      <c r="K2800" s="26">
        <f>IF($A2800="","",SUMPRODUCT(--ISNUMBER(SEARCH('Category Dictionary'!$D$5:$D$135&amp;"",$C2800)),--('Category Dictionary'!$D$5:$D$135&lt;&gt;"")))</f>
        <v/>
      </c>
      <c r="L2800" s="27">
        <f>IF($A2800="","",TRIM(IF(ISERROR(FIND(",",$C2800)),$C2800,LEFT($C2800,FIND(",",$C2800)-1))))</f>
        <v/>
      </c>
      <c r="M2800" s="28">
        <f>IF($H2800="","",DATE(YEAR($H2800),MONTH($H2800),1))</f>
        <v/>
      </c>
      <c r="N2800" s="26">
        <f>IF($H2800="","",TODAY()-$H2800)</f>
        <v/>
      </c>
      <c r="O2800" s="15" t="n"/>
      <c r="P2800" s="26">
        <f>IF($A2800="","",COUNTIFS('Audit Versions'!$A$6:$A$605,$A2800,'Audit Versions'!$L$6:$L$605,"Active"))</f>
        <v/>
      </c>
      <c r="Q2800" s="15" t="n"/>
      <c r="R2800" s="26">
        <f>IF(OR($A2800="",$P2800=0),"",MOD(N($Q2800),$P2800)+1)</f>
        <v/>
      </c>
      <c r="S2800" s="15" t="n"/>
      <c r="T2800" s="25" t="n"/>
      <c r="U2800" s="26">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Builder'!$B$12="",N($S2800)&lt;='Assignment Builder'!$B$12)))</f>
        <v/>
      </c>
      <c r="V2800" s="23" t="n"/>
    </row>
    <row r="2801">
      <c r="A2801" s="23" t="n"/>
      <c r="B2801" s="23" t="n"/>
      <c r="C2801" s="24" t="n"/>
      <c r="D2801" s="15" t="n"/>
      <c r="E2801" s="23" t="n"/>
      <c r="F2801" s="15" t="n"/>
      <c r="G2801" s="23" t="n"/>
      <c r="H2801" s="25" t="n"/>
      <c r="I2801" s="15" t="n"/>
      <c r="J2801" s="26">
        <f>IF($A2801="","",LEN($C2801)-LEN(SUBSTITUTE($C2801,",",""))+1)</f>
        <v/>
      </c>
      <c r="K2801" s="26">
        <f>IF($A2801="","",SUMPRODUCT(--ISNUMBER(SEARCH('Category Dictionary'!$D$5:$D$135&amp;"",$C2801)),--('Category Dictionary'!$D$5:$D$135&lt;&gt;"")))</f>
        <v/>
      </c>
      <c r="L2801" s="27">
        <f>IF($A2801="","",TRIM(IF(ISERROR(FIND(",",$C2801)),$C2801,LEFT($C2801,FIND(",",$C2801)-1))))</f>
        <v/>
      </c>
      <c r="M2801" s="28">
        <f>IF($H2801="","",DATE(YEAR($H2801),MONTH($H2801),1))</f>
        <v/>
      </c>
      <c r="N2801" s="26">
        <f>IF($H2801="","",TODAY()-$H2801)</f>
        <v/>
      </c>
      <c r="O2801" s="15" t="n"/>
      <c r="P2801" s="26">
        <f>IF($A2801="","",COUNTIFS('Audit Versions'!$A$6:$A$605,$A2801,'Audit Versions'!$L$6:$L$605,"Active"))</f>
        <v/>
      </c>
      <c r="Q2801" s="15" t="n"/>
      <c r="R2801" s="26">
        <f>IF(OR($A2801="",$P2801=0),"",MOD(N($Q2801),$P2801)+1)</f>
        <v/>
      </c>
      <c r="S2801" s="15" t="n"/>
      <c r="T2801" s="25" t="n"/>
      <c r="U2801" s="26">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Builder'!$B$12="",N($S2801)&lt;='Assignment Builder'!$B$12)))</f>
        <v/>
      </c>
      <c r="V2801" s="23" t="n"/>
    </row>
    <row r="2802">
      <c r="A2802" s="23" t="n"/>
      <c r="B2802" s="23" t="n"/>
      <c r="C2802" s="24" t="n"/>
      <c r="D2802" s="15" t="n"/>
      <c r="E2802" s="23" t="n"/>
      <c r="F2802" s="15" t="n"/>
      <c r="G2802" s="23" t="n"/>
      <c r="H2802" s="25" t="n"/>
      <c r="I2802" s="15" t="n"/>
      <c r="J2802" s="26">
        <f>IF($A2802="","",LEN($C2802)-LEN(SUBSTITUTE($C2802,",",""))+1)</f>
        <v/>
      </c>
      <c r="K2802" s="26">
        <f>IF($A2802="","",SUMPRODUCT(--ISNUMBER(SEARCH('Category Dictionary'!$D$5:$D$135&amp;"",$C2802)),--('Category Dictionary'!$D$5:$D$135&lt;&gt;"")))</f>
        <v/>
      </c>
      <c r="L2802" s="27">
        <f>IF($A2802="","",TRIM(IF(ISERROR(FIND(",",$C2802)),$C2802,LEFT($C2802,FIND(",",$C2802)-1))))</f>
        <v/>
      </c>
      <c r="M2802" s="28">
        <f>IF($H2802="","",DATE(YEAR($H2802),MONTH($H2802),1))</f>
        <v/>
      </c>
      <c r="N2802" s="26">
        <f>IF($H2802="","",TODAY()-$H2802)</f>
        <v/>
      </c>
      <c r="O2802" s="15" t="n"/>
      <c r="P2802" s="26">
        <f>IF($A2802="","",COUNTIFS('Audit Versions'!$A$6:$A$605,$A2802,'Audit Versions'!$L$6:$L$605,"Active"))</f>
        <v/>
      </c>
      <c r="Q2802" s="15" t="n"/>
      <c r="R2802" s="26">
        <f>IF(OR($A2802="",$P2802=0),"",MOD(N($Q2802),$P2802)+1)</f>
        <v/>
      </c>
      <c r="S2802" s="15" t="n"/>
      <c r="T2802" s="25" t="n"/>
      <c r="U2802" s="26">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Builder'!$B$12="",N($S2802)&lt;='Assignment Builder'!$B$12)))</f>
        <v/>
      </c>
      <c r="V2802" s="23" t="n"/>
    </row>
    <row r="2803">
      <c r="A2803" s="23" t="n"/>
      <c r="B2803" s="23" t="n"/>
      <c r="C2803" s="24" t="n"/>
      <c r="D2803" s="15" t="n"/>
      <c r="E2803" s="23" t="n"/>
      <c r="F2803" s="15" t="n"/>
      <c r="G2803" s="23" t="n"/>
      <c r="H2803" s="25" t="n"/>
      <c r="I2803" s="15" t="n"/>
      <c r="J2803" s="26">
        <f>IF($A2803="","",LEN($C2803)-LEN(SUBSTITUTE($C2803,",",""))+1)</f>
        <v/>
      </c>
      <c r="K2803" s="26">
        <f>IF($A2803="","",SUMPRODUCT(--ISNUMBER(SEARCH('Category Dictionary'!$D$5:$D$135&amp;"",$C2803)),--('Category Dictionary'!$D$5:$D$135&lt;&gt;"")))</f>
        <v/>
      </c>
      <c r="L2803" s="27">
        <f>IF($A2803="","",TRIM(IF(ISERROR(FIND(",",$C2803)),$C2803,LEFT($C2803,FIND(",",$C2803)-1))))</f>
        <v/>
      </c>
      <c r="M2803" s="28">
        <f>IF($H2803="","",DATE(YEAR($H2803),MONTH($H2803),1))</f>
        <v/>
      </c>
      <c r="N2803" s="26">
        <f>IF($H2803="","",TODAY()-$H2803)</f>
        <v/>
      </c>
      <c r="O2803" s="15" t="n"/>
      <c r="P2803" s="26">
        <f>IF($A2803="","",COUNTIFS('Audit Versions'!$A$6:$A$605,$A2803,'Audit Versions'!$L$6:$L$605,"Active"))</f>
        <v/>
      </c>
      <c r="Q2803" s="15" t="n"/>
      <c r="R2803" s="26">
        <f>IF(OR($A2803="",$P2803=0),"",MOD(N($Q2803),$P2803)+1)</f>
        <v/>
      </c>
      <c r="S2803" s="15" t="n"/>
      <c r="T2803" s="25" t="n"/>
      <c r="U2803" s="26">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Builder'!$B$12="",N($S2803)&lt;='Assignment Builder'!$B$12)))</f>
        <v/>
      </c>
      <c r="V2803" s="23" t="n"/>
    </row>
    <row r="2804">
      <c r="A2804" s="23" t="n"/>
      <c r="B2804" s="23" t="n"/>
      <c r="C2804" s="24" t="n"/>
      <c r="D2804" s="15" t="n"/>
      <c r="E2804" s="23" t="n"/>
      <c r="F2804" s="15" t="n"/>
      <c r="G2804" s="23" t="n"/>
      <c r="H2804" s="25" t="n"/>
      <c r="I2804" s="15" t="n"/>
      <c r="J2804" s="26">
        <f>IF($A2804="","",LEN($C2804)-LEN(SUBSTITUTE($C2804,",",""))+1)</f>
        <v/>
      </c>
      <c r="K2804" s="26">
        <f>IF($A2804="","",SUMPRODUCT(--ISNUMBER(SEARCH('Category Dictionary'!$D$5:$D$135&amp;"",$C2804)),--('Category Dictionary'!$D$5:$D$135&lt;&gt;"")))</f>
        <v/>
      </c>
      <c r="L2804" s="27">
        <f>IF($A2804="","",TRIM(IF(ISERROR(FIND(",",$C2804)),$C2804,LEFT($C2804,FIND(",",$C2804)-1))))</f>
        <v/>
      </c>
      <c r="M2804" s="28">
        <f>IF($H2804="","",DATE(YEAR($H2804),MONTH($H2804),1))</f>
        <v/>
      </c>
      <c r="N2804" s="26">
        <f>IF($H2804="","",TODAY()-$H2804)</f>
        <v/>
      </c>
      <c r="O2804" s="15" t="n"/>
      <c r="P2804" s="26">
        <f>IF($A2804="","",COUNTIFS('Audit Versions'!$A$6:$A$605,$A2804,'Audit Versions'!$L$6:$L$605,"Active"))</f>
        <v/>
      </c>
      <c r="Q2804" s="15" t="n"/>
      <c r="R2804" s="26">
        <f>IF(OR($A2804="",$P2804=0),"",MOD(N($Q2804),$P2804)+1)</f>
        <v/>
      </c>
      <c r="S2804" s="15" t="n"/>
      <c r="T2804" s="25" t="n"/>
      <c r="U2804" s="26">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Builder'!$B$12="",N($S2804)&lt;='Assignment Builder'!$B$12)))</f>
        <v/>
      </c>
      <c r="V2804" s="23" t="n"/>
    </row>
    <row r="2805">
      <c r="A2805" s="23" t="n"/>
      <c r="B2805" s="23" t="n"/>
      <c r="C2805" s="24" t="n"/>
      <c r="D2805" s="15" t="n"/>
      <c r="E2805" s="23" t="n"/>
      <c r="F2805" s="15" t="n"/>
      <c r="G2805" s="23" t="n"/>
      <c r="H2805" s="25" t="n"/>
      <c r="I2805" s="15" t="n"/>
      <c r="J2805" s="26">
        <f>IF($A2805="","",LEN($C2805)-LEN(SUBSTITUTE($C2805,",",""))+1)</f>
        <v/>
      </c>
      <c r="K2805" s="26">
        <f>IF($A2805="","",SUMPRODUCT(--ISNUMBER(SEARCH('Category Dictionary'!$D$5:$D$135&amp;"",$C2805)),--('Category Dictionary'!$D$5:$D$135&lt;&gt;"")))</f>
        <v/>
      </c>
      <c r="L2805" s="27">
        <f>IF($A2805="","",TRIM(IF(ISERROR(FIND(",",$C2805)),$C2805,LEFT($C2805,FIND(",",$C2805)-1))))</f>
        <v/>
      </c>
      <c r="M2805" s="28">
        <f>IF($H2805="","",DATE(YEAR($H2805),MONTH($H2805),1))</f>
        <v/>
      </c>
      <c r="N2805" s="26">
        <f>IF($H2805="","",TODAY()-$H2805)</f>
        <v/>
      </c>
      <c r="O2805" s="15" t="n"/>
      <c r="P2805" s="26">
        <f>IF($A2805="","",COUNTIFS('Audit Versions'!$A$6:$A$605,$A2805,'Audit Versions'!$L$6:$L$605,"Active"))</f>
        <v/>
      </c>
      <c r="Q2805" s="15" t="n"/>
      <c r="R2805" s="26">
        <f>IF(OR($A2805="",$P2805=0),"",MOD(N($Q2805),$P2805)+1)</f>
        <v/>
      </c>
      <c r="S2805" s="15" t="n"/>
      <c r="T2805" s="25" t="n"/>
      <c r="U2805" s="26">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Builder'!$B$12="",N($S2805)&lt;='Assignment Builder'!$B$12)))</f>
        <v/>
      </c>
      <c r="V2805" s="23" t="n"/>
    </row>
    <row r="2806">
      <c r="A2806" s="23" t="n"/>
      <c r="B2806" s="23" t="n"/>
      <c r="C2806" s="24" t="n"/>
      <c r="D2806" s="15" t="n"/>
      <c r="E2806" s="23" t="n"/>
      <c r="F2806" s="15" t="n"/>
      <c r="G2806" s="23" t="n"/>
      <c r="H2806" s="25" t="n"/>
      <c r="I2806" s="15" t="n"/>
      <c r="J2806" s="26">
        <f>IF($A2806="","",LEN($C2806)-LEN(SUBSTITUTE($C2806,",",""))+1)</f>
        <v/>
      </c>
      <c r="K2806" s="26">
        <f>IF($A2806="","",SUMPRODUCT(--ISNUMBER(SEARCH('Category Dictionary'!$D$5:$D$135&amp;"",$C2806)),--('Category Dictionary'!$D$5:$D$135&lt;&gt;"")))</f>
        <v/>
      </c>
      <c r="L2806" s="27">
        <f>IF($A2806="","",TRIM(IF(ISERROR(FIND(",",$C2806)),$C2806,LEFT($C2806,FIND(",",$C2806)-1))))</f>
        <v/>
      </c>
      <c r="M2806" s="28">
        <f>IF($H2806="","",DATE(YEAR($H2806),MONTH($H2806),1))</f>
        <v/>
      </c>
      <c r="N2806" s="26">
        <f>IF($H2806="","",TODAY()-$H2806)</f>
        <v/>
      </c>
      <c r="O2806" s="15" t="n"/>
      <c r="P2806" s="26">
        <f>IF($A2806="","",COUNTIFS('Audit Versions'!$A$6:$A$605,$A2806,'Audit Versions'!$L$6:$L$605,"Active"))</f>
        <v/>
      </c>
      <c r="Q2806" s="15" t="n"/>
      <c r="R2806" s="26">
        <f>IF(OR($A2806="",$P2806=0),"",MOD(N($Q2806),$P2806)+1)</f>
        <v/>
      </c>
      <c r="S2806" s="15" t="n"/>
      <c r="T2806" s="25" t="n"/>
      <c r="U2806" s="26">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Builder'!$B$12="",N($S2806)&lt;='Assignment Builder'!$B$12)))</f>
        <v/>
      </c>
      <c r="V2806" s="23" t="n"/>
    </row>
    <row r="2807">
      <c r="A2807" s="23" t="n"/>
      <c r="B2807" s="23" t="n"/>
      <c r="C2807" s="24" t="n"/>
      <c r="D2807" s="15" t="n"/>
      <c r="E2807" s="23" t="n"/>
      <c r="F2807" s="15" t="n"/>
      <c r="G2807" s="23" t="n"/>
      <c r="H2807" s="25" t="n"/>
      <c r="I2807" s="15" t="n"/>
      <c r="J2807" s="26">
        <f>IF($A2807="","",LEN($C2807)-LEN(SUBSTITUTE($C2807,",",""))+1)</f>
        <v/>
      </c>
      <c r="K2807" s="26">
        <f>IF($A2807="","",SUMPRODUCT(--ISNUMBER(SEARCH('Category Dictionary'!$D$5:$D$135&amp;"",$C2807)),--('Category Dictionary'!$D$5:$D$135&lt;&gt;"")))</f>
        <v/>
      </c>
      <c r="L2807" s="27">
        <f>IF($A2807="","",TRIM(IF(ISERROR(FIND(",",$C2807)),$C2807,LEFT($C2807,FIND(",",$C2807)-1))))</f>
        <v/>
      </c>
      <c r="M2807" s="28">
        <f>IF($H2807="","",DATE(YEAR($H2807),MONTH($H2807),1))</f>
        <v/>
      </c>
      <c r="N2807" s="26">
        <f>IF($H2807="","",TODAY()-$H2807)</f>
        <v/>
      </c>
      <c r="O2807" s="15" t="n"/>
      <c r="P2807" s="26">
        <f>IF($A2807="","",COUNTIFS('Audit Versions'!$A$6:$A$605,$A2807,'Audit Versions'!$L$6:$L$605,"Active"))</f>
        <v/>
      </c>
      <c r="Q2807" s="15" t="n"/>
      <c r="R2807" s="26">
        <f>IF(OR($A2807="",$P2807=0),"",MOD(N($Q2807),$P2807)+1)</f>
        <v/>
      </c>
      <c r="S2807" s="15" t="n"/>
      <c r="T2807" s="25" t="n"/>
      <c r="U2807" s="26">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Builder'!$B$12="",N($S2807)&lt;='Assignment Builder'!$B$12)))</f>
        <v/>
      </c>
      <c r="V2807" s="23" t="n"/>
    </row>
    <row r="2808">
      <c r="A2808" s="23" t="n"/>
      <c r="B2808" s="23" t="n"/>
      <c r="C2808" s="24" t="n"/>
      <c r="D2808" s="15" t="n"/>
      <c r="E2808" s="23" t="n"/>
      <c r="F2808" s="15" t="n"/>
      <c r="G2808" s="23" t="n"/>
      <c r="H2808" s="25" t="n"/>
      <c r="I2808" s="15" t="n"/>
      <c r="J2808" s="26">
        <f>IF($A2808="","",LEN($C2808)-LEN(SUBSTITUTE($C2808,",",""))+1)</f>
        <v/>
      </c>
      <c r="K2808" s="26">
        <f>IF($A2808="","",SUMPRODUCT(--ISNUMBER(SEARCH('Category Dictionary'!$D$5:$D$135&amp;"",$C2808)),--('Category Dictionary'!$D$5:$D$135&lt;&gt;"")))</f>
        <v/>
      </c>
      <c r="L2808" s="27">
        <f>IF($A2808="","",TRIM(IF(ISERROR(FIND(",",$C2808)),$C2808,LEFT($C2808,FIND(",",$C2808)-1))))</f>
        <v/>
      </c>
      <c r="M2808" s="28">
        <f>IF($H2808="","",DATE(YEAR($H2808),MONTH($H2808),1))</f>
        <v/>
      </c>
      <c r="N2808" s="26">
        <f>IF($H2808="","",TODAY()-$H2808)</f>
        <v/>
      </c>
      <c r="O2808" s="15" t="n"/>
      <c r="P2808" s="26">
        <f>IF($A2808="","",COUNTIFS('Audit Versions'!$A$6:$A$605,$A2808,'Audit Versions'!$L$6:$L$605,"Active"))</f>
        <v/>
      </c>
      <c r="Q2808" s="15" t="n"/>
      <c r="R2808" s="26">
        <f>IF(OR($A2808="",$P2808=0),"",MOD(N($Q2808),$P2808)+1)</f>
        <v/>
      </c>
      <c r="S2808" s="15" t="n"/>
      <c r="T2808" s="25" t="n"/>
      <c r="U2808" s="26">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Builder'!$B$12="",N($S2808)&lt;='Assignment Builder'!$B$12)))</f>
        <v/>
      </c>
      <c r="V2808" s="23" t="n"/>
    </row>
    <row r="2809">
      <c r="A2809" s="23" t="n"/>
      <c r="B2809" s="23" t="n"/>
      <c r="C2809" s="24" t="n"/>
      <c r="D2809" s="15" t="n"/>
      <c r="E2809" s="23" t="n"/>
      <c r="F2809" s="15" t="n"/>
      <c r="G2809" s="23" t="n"/>
      <c r="H2809" s="25" t="n"/>
      <c r="I2809" s="15" t="n"/>
      <c r="J2809" s="26">
        <f>IF($A2809="","",LEN($C2809)-LEN(SUBSTITUTE($C2809,",",""))+1)</f>
        <v/>
      </c>
      <c r="K2809" s="26">
        <f>IF($A2809="","",SUMPRODUCT(--ISNUMBER(SEARCH('Category Dictionary'!$D$5:$D$135&amp;"",$C2809)),--('Category Dictionary'!$D$5:$D$135&lt;&gt;"")))</f>
        <v/>
      </c>
      <c r="L2809" s="27">
        <f>IF($A2809="","",TRIM(IF(ISERROR(FIND(",",$C2809)),$C2809,LEFT($C2809,FIND(",",$C2809)-1))))</f>
        <v/>
      </c>
      <c r="M2809" s="28">
        <f>IF($H2809="","",DATE(YEAR($H2809),MONTH($H2809),1))</f>
        <v/>
      </c>
      <c r="N2809" s="26">
        <f>IF($H2809="","",TODAY()-$H2809)</f>
        <v/>
      </c>
      <c r="O2809" s="15" t="n"/>
      <c r="P2809" s="26">
        <f>IF($A2809="","",COUNTIFS('Audit Versions'!$A$6:$A$605,$A2809,'Audit Versions'!$L$6:$L$605,"Active"))</f>
        <v/>
      </c>
      <c r="Q2809" s="15" t="n"/>
      <c r="R2809" s="26">
        <f>IF(OR($A2809="",$P2809=0),"",MOD(N($Q2809),$P2809)+1)</f>
        <v/>
      </c>
      <c r="S2809" s="15" t="n"/>
      <c r="T2809" s="25" t="n"/>
      <c r="U2809" s="26">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Builder'!$B$12="",N($S2809)&lt;='Assignment Builder'!$B$12)))</f>
        <v/>
      </c>
      <c r="V2809" s="23" t="n"/>
    </row>
    <row r="2810">
      <c r="A2810" s="23" t="n"/>
      <c r="B2810" s="23" t="n"/>
      <c r="C2810" s="24" t="n"/>
      <c r="D2810" s="15" t="n"/>
      <c r="E2810" s="23" t="n"/>
      <c r="F2810" s="15" t="n"/>
      <c r="G2810" s="23" t="n"/>
      <c r="H2810" s="25" t="n"/>
      <c r="I2810" s="15" t="n"/>
      <c r="J2810" s="26">
        <f>IF($A2810="","",LEN($C2810)-LEN(SUBSTITUTE($C2810,",",""))+1)</f>
        <v/>
      </c>
      <c r="K2810" s="26">
        <f>IF($A2810="","",SUMPRODUCT(--ISNUMBER(SEARCH('Category Dictionary'!$D$5:$D$135&amp;"",$C2810)),--('Category Dictionary'!$D$5:$D$135&lt;&gt;"")))</f>
        <v/>
      </c>
      <c r="L2810" s="27">
        <f>IF($A2810="","",TRIM(IF(ISERROR(FIND(",",$C2810)),$C2810,LEFT($C2810,FIND(",",$C2810)-1))))</f>
        <v/>
      </c>
      <c r="M2810" s="28">
        <f>IF($H2810="","",DATE(YEAR($H2810),MONTH($H2810),1))</f>
        <v/>
      </c>
      <c r="N2810" s="26">
        <f>IF($H2810="","",TODAY()-$H2810)</f>
        <v/>
      </c>
      <c r="O2810" s="15" t="n"/>
      <c r="P2810" s="26">
        <f>IF($A2810="","",COUNTIFS('Audit Versions'!$A$6:$A$605,$A2810,'Audit Versions'!$L$6:$L$605,"Active"))</f>
        <v/>
      </c>
      <c r="Q2810" s="15" t="n"/>
      <c r="R2810" s="26">
        <f>IF(OR($A2810="",$P2810=0),"",MOD(N($Q2810),$P2810)+1)</f>
        <v/>
      </c>
      <c r="S2810" s="15" t="n"/>
      <c r="T2810" s="25" t="n"/>
      <c r="U2810" s="26">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Builder'!$B$12="",N($S2810)&lt;='Assignment Builder'!$B$12)))</f>
        <v/>
      </c>
      <c r="V2810" s="23" t="n"/>
    </row>
    <row r="2811">
      <c r="A2811" s="23" t="n"/>
      <c r="B2811" s="23" t="n"/>
      <c r="C2811" s="24" t="n"/>
      <c r="D2811" s="15" t="n"/>
      <c r="E2811" s="23" t="n"/>
      <c r="F2811" s="15" t="n"/>
      <c r="G2811" s="23" t="n"/>
      <c r="H2811" s="25" t="n"/>
      <c r="I2811" s="15" t="n"/>
      <c r="J2811" s="26">
        <f>IF($A2811="","",LEN($C2811)-LEN(SUBSTITUTE($C2811,",",""))+1)</f>
        <v/>
      </c>
      <c r="K2811" s="26">
        <f>IF($A2811="","",SUMPRODUCT(--ISNUMBER(SEARCH('Category Dictionary'!$D$5:$D$135&amp;"",$C2811)),--('Category Dictionary'!$D$5:$D$135&lt;&gt;"")))</f>
        <v/>
      </c>
      <c r="L2811" s="27">
        <f>IF($A2811="","",TRIM(IF(ISERROR(FIND(",",$C2811)),$C2811,LEFT($C2811,FIND(",",$C2811)-1))))</f>
        <v/>
      </c>
      <c r="M2811" s="28">
        <f>IF($H2811="","",DATE(YEAR($H2811),MONTH($H2811),1))</f>
        <v/>
      </c>
      <c r="N2811" s="26">
        <f>IF($H2811="","",TODAY()-$H2811)</f>
        <v/>
      </c>
      <c r="O2811" s="15" t="n"/>
      <c r="P2811" s="26">
        <f>IF($A2811="","",COUNTIFS('Audit Versions'!$A$6:$A$605,$A2811,'Audit Versions'!$L$6:$L$605,"Active"))</f>
        <v/>
      </c>
      <c r="Q2811" s="15" t="n"/>
      <c r="R2811" s="26">
        <f>IF(OR($A2811="",$P2811=0),"",MOD(N($Q2811),$P2811)+1)</f>
        <v/>
      </c>
      <c r="S2811" s="15" t="n"/>
      <c r="T2811" s="25" t="n"/>
      <c r="U2811" s="26">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Builder'!$B$12="",N($S2811)&lt;='Assignment Builder'!$B$12)))</f>
        <v/>
      </c>
      <c r="V2811" s="23" t="n"/>
    </row>
    <row r="2812">
      <c r="A2812" s="23" t="n"/>
      <c r="B2812" s="23" t="n"/>
      <c r="C2812" s="24" t="n"/>
      <c r="D2812" s="15" t="n"/>
      <c r="E2812" s="23" t="n"/>
      <c r="F2812" s="15" t="n"/>
      <c r="G2812" s="23" t="n"/>
      <c r="H2812" s="25" t="n"/>
      <c r="I2812" s="15" t="n"/>
      <c r="J2812" s="26">
        <f>IF($A2812="","",LEN($C2812)-LEN(SUBSTITUTE($C2812,",",""))+1)</f>
        <v/>
      </c>
      <c r="K2812" s="26">
        <f>IF($A2812="","",SUMPRODUCT(--ISNUMBER(SEARCH('Category Dictionary'!$D$5:$D$135&amp;"",$C2812)),--('Category Dictionary'!$D$5:$D$135&lt;&gt;"")))</f>
        <v/>
      </c>
      <c r="L2812" s="27">
        <f>IF($A2812="","",TRIM(IF(ISERROR(FIND(",",$C2812)),$C2812,LEFT($C2812,FIND(",",$C2812)-1))))</f>
        <v/>
      </c>
      <c r="M2812" s="28">
        <f>IF($H2812="","",DATE(YEAR($H2812),MONTH($H2812),1))</f>
        <v/>
      </c>
      <c r="N2812" s="26">
        <f>IF($H2812="","",TODAY()-$H2812)</f>
        <v/>
      </c>
      <c r="O2812" s="15" t="n"/>
      <c r="P2812" s="26">
        <f>IF($A2812="","",COUNTIFS('Audit Versions'!$A$6:$A$605,$A2812,'Audit Versions'!$L$6:$L$605,"Active"))</f>
        <v/>
      </c>
      <c r="Q2812" s="15" t="n"/>
      <c r="R2812" s="26">
        <f>IF(OR($A2812="",$P2812=0),"",MOD(N($Q2812),$P2812)+1)</f>
        <v/>
      </c>
      <c r="S2812" s="15" t="n"/>
      <c r="T2812" s="25" t="n"/>
      <c r="U2812" s="26">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Builder'!$B$12="",N($S2812)&lt;='Assignment Builder'!$B$12)))</f>
        <v/>
      </c>
      <c r="V2812" s="23" t="n"/>
    </row>
    <row r="2813">
      <c r="A2813" s="23" t="n"/>
      <c r="B2813" s="23" t="n"/>
      <c r="C2813" s="24" t="n"/>
      <c r="D2813" s="15" t="n"/>
      <c r="E2813" s="23" t="n"/>
      <c r="F2813" s="15" t="n"/>
      <c r="G2813" s="23" t="n"/>
      <c r="H2813" s="25" t="n"/>
      <c r="I2813" s="15" t="n"/>
      <c r="J2813" s="26">
        <f>IF($A2813="","",LEN($C2813)-LEN(SUBSTITUTE($C2813,",",""))+1)</f>
        <v/>
      </c>
      <c r="K2813" s="26">
        <f>IF($A2813="","",SUMPRODUCT(--ISNUMBER(SEARCH('Category Dictionary'!$D$5:$D$135&amp;"",$C2813)),--('Category Dictionary'!$D$5:$D$135&lt;&gt;"")))</f>
        <v/>
      </c>
      <c r="L2813" s="27">
        <f>IF($A2813="","",TRIM(IF(ISERROR(FIND(",",$C2813)),$C2813,LEFT($C2813,FIND(",",$C2813)-1))))</f>
        <v/>
      </c>
      <c r="M2813" s="28">
        <f>IF($H2813="","",DATE(YEAR($H2813),MONTH($H2813),1))</f>
        <v/>
      </c>
      <c r="N2813" s="26">
        <f>IF($H2813="","",TODAY()-$H2813)</f>
        <v/>
      </c>
      <c r="O2813" s="15" t="n"/>
      <c r="P2813" s="26">
        <f>IF($A2813="","",COUNTIFS('Audit Versions'!$A$6:$A$605,$A2813,'Audit Versions'!$L$6:$L$605,"Active"))</f>
        <v/>
      </c>
      <c r="Q2813" s="15" t="n"/>
      <c r="R2813" s="26">
        <f>IF(OR($A2813="",$P2813=0),"",MOD(N($Q2813),$P2813)+1)</f>
        <v/>
      </c>
      <c r="S2813" s="15" t="n"/>
      <c r="T2813" s="25" t="n"/>
      <c r="U2813" s="26">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Builder'!$B$12="",N($S2813)&lt;='Assignment Builder'!$B$12)))</f>
        <v/>
      </c>
      <c r="V2813" s="23" t="n"/>
    </row>
    <row r="2814">
      <c r="A2814" s="23" t="n"/>
      <c r="B2814" s="23" t="n"/>
      <c r="C2814" s="24" t="n"/>
      <c r="D2814" s="15" t="n"/>
      <c r="E2814" s="23" t="n"/>
      <c r="F2814" s="15" t="n"/>
      <c r="G2814" s="23" t="n"/>
      <c r="H2814" s="25" t="n"/>
      <c r="I2814" s="15" t="n"/>
      <c r="J2814" s="26">
        <f>IF($A2814="","",LEN($C2814)-LEN(SUBSTITUTE($C2814,",",""))+1)</f>
        <v/>
      </c>
      <c r="K2814" s="26">
        <f>IF($A2814="","",SUMPRODUCT(--ISNUMBER(SEARCH('Category Dictionary'!$D$5:$D$135&amp;"",$C2814)),--('Category Dictionary'!$D$5:$D$135&lt;&gt;"")))</f>
        <v/>
      </c>
      <c r="L2814" s="27">
        <f>IF($A2814="","",TRIM(IF(ISERROR(FIND(",",$C2814)),$C2814,LEFT($C2814,FIND(",",$C2814)-1))))</f>
        <v/>
      </c>
      <c r="M2814" s="28">
        <f>IF($H2814="","",DATE(YEAR($H2814),MONTH($H2814),1))</f>
        <v/>
      </c>
      <c r="N2814" s="26">
        <f>IF($H2814="","",TODAY()-$H2814)</f>
        <v/>
      </c>
      <c r="O2814" s="15" t="n"/>
      <c r="P2814" s="26">
        <f>IF($A2814="","",COUNTIFS('Audit Versions'!$A$6:$A$605,$A2814,'Audit Versions'!$L$6:$L$605,"Active"))</f>
        <v/>
      </c>
      <c r="Q2814" s="15" t="n"/>
      <c r="R2814" s="26">
        <f>IF(OR($A2814="",$P2814=0),"",MOD(N($Q2814),$P2814)+1)</f>
        <v/>
      </c>
      <c r="S2814" s="15" t="n"/>
      <c r="T2814" s="25" t="n"/>
      <c r="U2814" s="26">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Builder'!$B$12="",N($S2814)&lt;='Assignment Builder'!$B$12)))</f>
        <v/>
      </c>
      <c r="V2814" s="23" t="n"/>
    </row>
    <row r="2815">
      <c r="A2815" s="23" t="n"/>
      <c r="B2815" s="23" t="n"/>
      <c r="C2815" s="24" t="n"/>
      <c r="D2815" s="15" t="n"/>
      <c r="E2815" s="23" t="n"/>
      <c r="F2815" s="15" t="n"/>
      <c r="G2815" s="23" t="n"/>
      <c r="H2815" s="25" t="n"/>
      <c r="I2815" s="15" t="n"/>
      <c r="J2815" s="26">
        <f>IF($A2815="","",LEN($C2815)-LEN(SUBSTITUTE($C2815,",",""))+1)</f>
        <v/>
      </c>
      <c r="K2815" s="26">
        <f>IF($A2815="","",SUMPRODUCT(--ISNUMBER(SEARCH('Category Dictionary'!$D$5:$D$135&amp;"",$C2815)),--('Category Dictionary'!$D$5:$D$135&lt;&gt;"")))</f>
        <v/>
      </c>
      <c r="L2815" s="27">
        <f>IF($A2815="","",TRIM(IF(ISERROR(FIND(",",$C2815)),$C2815,LEFT($C2815,FIND(",",$C2815)-1))))</f>
        <v/>
      </c>
      <c r="M2815" s="28">
        <f>IF($H2815="","",DATE(YEAR($H2815),MONTH($H2815),1))</f>
        <v/>
      </c>
      <c r="N2815" s="26">
        <f>IF($H2815="","",TODAY()-$H2815)</f>
        <v/>
      </c>
      <c r="O2815" s="15" t="n"/>
      <c r="P2815" s="26">
        <f>IF($A2815="","",COUNTIFS('Audit Versions'!$A$6:$A$605,$A2815,'Audit Versions'!$L$6:$L$605,"Active"))</f>
        <v/>
      </c>
      <c r="Q2815" s="15" t="n"/>
      <c r="R2815" s="26">
        <f>IF(OR($A2815="",$P2815=0),"",MOD(N($Q2815),$P2815)+1)</f>
        <v/>
      </c>
      <c r="S2815" s="15" t="n"/>
      <c r="T2815" s="25" t="n"/>
      <c r="U2815" s="26">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Builder'!$B$12="",N($S2815)&lt;='Assignment Builder'!$B$12)))</f>
        <v/>
      </c>
      <c r="V2815" s="23" t="n"/>
    </row>
    <row r="2816">
      <c r="A2816" s="23" t="n"/>
      <c r="B2816" s="23" t="n"/>
      <c r="C2816" s="24" t="n"/>
      <c r="D2816" s="15" t="n"/>
      <c r="E2816" s="23" t="n"/>
      <c r="F2816" s="15" t="n"/>
      <c r="G2816" s="23" t="n"/>
      <c r="H2816" s="25" t="n"/>
      <c r="I2816" s="15" t="n"/>
      <c r="J2816" s="26">
        <f>IF($A2816="","",LEN($C2816)-LEN(SUBSTITUTE($C2816,",",""))+1)</f>
        <v/>
      </c>
      <c r="K2816" s="26">
        <f>IF($A2816="","",SUMPRODUCT(--ISNUMBER(SEARCH('Category Dictionary'!$D$5:$D$135&amp;"",$C2816)),--('Category Dictionary'!$D$5:$D$135&lt;&gt;"")))</f>
        <v/>
      </c>
      <c r="L2816" s="27">
        <f>IF($A2816="","",TRIM(IF(ISERROR(FIND(",",$C2816)),$C2816,LEFT($C2816,FIND(",",$C2816)-1))))</f>
        <v/>
      </c>
      <c r="M2816" s="28">
        <f>IF($H2816="","",DATE(YEAR($H2816),MONTH($H2816),1))</f>
        <v/>
      </c>
      <c r="N2816" s="26">
        <f>IF($H2816="","",TODAY()-$H2816)</f>
        <v/>
      </c>
      <c r="O2816" s="15" t="n"/>
      <c r="P2816" s="26">
        <f>IF($A2816="","",COUNTIFS('Audit Versions'!$A$6:$A$605,$A2816,'Audit Versions'!$L$6:$L$605,"Active"))</f>
        <v/>
      </c>
      <c r="Q2816" s="15" t="n"/>
      <c r="R2816" s="26">
        <f>IF(OR($A2816="",$P2816=0),"",MOD(N($Q2816),$P2816)+1)</f>
        <v/>
      </c>
      <c r="S2816" s="15" t="n"/>
      <c r="T2816" s="25" t="n"/>
      <c r="U2816" s="26">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Builder'!$B$12="",N($S2816)&lt;='Assignment Builder'!$B$12)))</f>
        <v/>
      </c>
      <c r="V2816" s="23" t="n"/>
    </row>
    <row r="2817">
      <c r="A2817" s="23" t="n"/>
      <c r="B2817" s="23" t="n"/>
      <c r="C2817" s="24" t="n"/>
      <c r="D2817" s="15" t="n"/>
      <c r="E2817" s="23" t="n"/>
      <c r="F2817" s="15" t="n"/>
      <c r="G2817" s="23" t="n"/>
      <c r="H2817" s="25" t="n"/>
      <c r="I2817" s="15" t="n"/>
      <c r="J2817" s="26">
        <f>IF($A2817="","",LEN($C2817)-LEN(SUBSTITUTE($C2817,",",""))+1)</f>
        <v/>
      </c>
      <c r="K2817" s="26">
        <f>IF($A2817="","",SUMPRODUCT(--ISNUMBER(SEARCH('Category Dictionary'!$D$5:$D$135&amp;"",$C2817)),--('Category Dictionary'!$D$5:$D$135&lt;&gt;"")))</f>
        <v/>
      </c>
      <c r="L2817" s="27">
        <f>IF($A2817="","",TRIM(IF(ISERROR(FIND(",",$C2817)),$C2817,LEFT($C2817,FIND(",",$C2817)-1))))</f>
        <v/>
      </c>
      <c r="M2817" s="28">
        <f>IF($H2817="","",DATE(YEAR($H2817),MONTH($H2817),1))</f>
        <v/>
      </c>
      <c r="N2817" s="26">
        <f>IF($H2817="","",TODAY()-$H2817)</f>
        <v/>
      </c>
      <c r="O2817" s="15" t="n"/>
      <c r="P2817" s="26">
        <f>IF($A2817="","",COUNTIFS('Audit Versions'!$A$6:$A$605,$A2817,'Audit Versions'!$L$6:$L$605,"Active"))</f>
        <v/>
      </c>
      <c r="Q2817" s="15" t="n"/>
      <c r="R2817" s="26">
        <f>IF(OR($A2817="",$P2817=0),"",MOD(N($Q2817),$P2817)+1)</f>
        <v/>
      </c>
      <c r="S2817" s="15" t="n"/>
      <c r="T2817" s="25" t="n"/>
      <c r="U2817" s="26">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Builder'!$B$12="",N($S2817)&lt;='Assignment Builder'!$B$12)))</f>
        <v/>
      </c>
      <c r="V2817" s="23" t="n"/>
    </row>
    <row r="2818">
      <c r="A2818" s="23" t="n"/>
      <c r="B2818" s="23" t="n"/>
      <c r="C2818" s="24" t="n"/>
      <c r="D2818" s="15" t="n"/>
      <c r="E2818" s="23" t="n"/>
      <c r="F2818" s="15" t="n"/>
      <c r="G2818" s="23" t="n"/>
      <c r="H2818" s="25" t="n"/>
      <c r="I2818" s="15" t="n"/>
      <c r="J2818" s="26">
        <f>IF($A2818="","",LEN($C2818)-LEN(SUBSTITUTE($C2818,",",""))+1)</f>
        <v/>
      </c>
      <c r="K2818" s="26">
        <f>IF($A2818="","",SUMPRODUCT(--ISNUMBER(SEARCH('Category Dictionary'!$D$5:$D$135&amp;"",$C2818)),--('Category Dictionary'!$D$5:$D$135&lt;&gt;"")))</f>
        <v/>
      </c>
      <c r="L2818" s="27">
        <f>IF($A2818="","",TRIM(IF(ISERROR(FIND(",",$C2818)),$C2818,LEFT($C2818,FIND(",",$C2818)-1))))</f>
        <v/>
      </c>
      <c r="M2818" s="28">
        <f>IF($H2818="","",DATE(YEAR($H2818),MONTH($H2818),1))</f>
        <v/>
      </c>
      <c r="N2818" s="26">
        <f>IF($H2818="","",TODAY()-$H2818)</f>
        <v/>
      </c>
      <c r="O2818" s="15" t="n"/>
      <c r="P2818" s="26">
        <f>IF($A2818="","",COUNTIFS('Audit Versions'!$A$6:$A$605,$A2818,'Audit Versions'!$L$6:$L$605,"Active"))</f>
        <v/>
      </c>
      <c r="Q2818" s="15" t="n"/>
      <c r="R2818" s="26">
        <f>IF(OR($A2818="",$P2818=0),"",MOD(N($Q2818),$P2818)+1)</f>
        <v/>
      </c>
      <c r="S2818" s="15" t="n"/>
      <c r="T2818" s="25" t="n"/>
      <c r="U2818" s="26">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Builder'!$B$12="",N($S2818)&lt;='Assignment Builder'!$B$12)))</f>
        <v/>
      </c>
      <c r="V2818" s="23" t="n"/>
    </row>
    <row r="2819">
      <c r="A2819" s="23" t="n"/>
      <c r="B2819" s="23" t="n"/>
      <c r="C2819" s="24" t="n"/>
      <c r="D2819" s="15" t="n"/>
      <c r="E2819" s="23" t="n"/>
      <c r="F2819" s="15" t="n"/>
      <c r="G2819" s="23" t="n"/>
      <c r="H2819" s="25" t="n"/>
      <c r="I2819" s="15" t="n"/>
      <c r="J2819" s="26">
        <f>IF($A2819="","",LEN($C2819)-LEN(SUBSTITUTE($C2819,",",""))+1)</f>
        <v/>
      </c>
      <c r="K2819" s="26">
        <f>IF($A2819="","",SUMPRODUCT(--ISNUMBER(SEARCH('Category Dictionary'!$D$5:$D$135&amp;"",$C2819)),--('Category Dictionary'!$D$5:$D$135&lt;&gt;"")))</f>
        <v/>
      </c>
      <c r="L2819" s="27">
        <f>IF($A2819="","",TRIM(IF(ISERROR(FIND(",",$C2819)),$C2819,LEFT($C2819,FIND(",",$C2819)-1))))</f>
        <v/>
      </c>
      <c r="M2819" s="28">
        <f>IF($H2819="","",DATE(YEAR($H2819),MONTH($H2819),1))</f>
        <v/>
      </c>
      <c r="N2819" s="26">
        <f>IF($H2819="","",TODAY()-$H2819)</f>
        <v/>
      </c>
      <c r="O2819" s="15" t="n"/>
      <c r="P2819" s="26">
        <f>IF($A2819="","",COUNTIFS('Audit Versions'!$A$6:$A$605,$A2819,'Audit Versions'!$L$6:$L$605,"Active"))</f>
        <v/>
      </c>
      <c r="Q2819" s="15" t="n"/>
      <c r="R2819" s="26">
        <f>IF(OR($A2819="",$P2819=0),"",MOD(N($Q2819),$P2819)+1)</f>
        <v/>
      </c>
      <c r="S2819" s="15" t="n"/>
      <c r="T2819" s="25" t="n"/>
      <c r="U2819" s="26">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Builder'!$B$12="",N($S2819)&lt;='Assignment Builder'!$B$12)))</f>
        <v/>
      </c>
      <c r="V2819" s="23" t="n"/>
    </row>
    <row r="2820">
      <c r="A2820" s="23" t="n"/>
      <c r="B2820" s="23" t="n"/>
      <c r="C2820" s="24" t="n"/>
      <c r="D2820" s="15" t="n"/>
      <c r="E2820" s="23" t="n"/>
      <c r="F2820" s="15" t="n"/>
      <c r="G2820" s="23" t="n"/>
      <c r="H2820" s="25" t="n"/>
      <c r="I2820" s="15" t="n"/>
      <c r="J2820" s="26">
        <f>IF($A2820="","",LEN($C2820)-LEN(SUBSTITUTE($C2820,",",""))+1)</f>
        <v/>
      </c>
      <c r="K2820" s="26">
        <f>IF($A2820="","",SUMPRODUCT(--ISNUMBER(SEARCH('Category Dictionary'!$D$5:$D$135&amp;"",$C2820)),--('Category Dictionary'!$D$5:$D$135&lt;&gt;"")))</f>
        <v/>
      </c>
      <c r="L2820" s="27">
        <f>IF($A2820="","",TRIM(IF(ISERROR(FIND(",",$C2820)),$C2820,LEFT($C2820,FIND(",",$C2820)-1))))</f>
        <v/>
      </c>
      <c r="M2820" s="28">
        <f>IF($H2820="","",DATE(YEAR($H2820),MONTH($H2820),1))</f>
        <v/>
      </c>
      <c r="N2820" s="26">
        <f>IF($H2820="","",TODAY()-$H2820)</f>
        <v/>
      </c>
      <c r="O2820" s="15" t="n"/>
      <c r="P2820" s="26">
        <f>IF($A2820="","",COUNTIFS('Audit Versions'!$A$6:$A$605,$A2820,'Audit Versions'!$L$6:$L$605,"Active"))</f>
        <v/>
      </c>
      <c r="Q2820" s="15" t="n"/>
      <c r="R2820" s="26">
        <f>IF(OR($A2820="",$P2820=0),"",MOD(N($Q2820),$P2820)+1)</f>
        <v/>
      </c>
      <c r="S2820" s="15" t="n"/>
      <c r="T2820" s="25" t="n"/>
      <c r="U2820" s="26">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Builder'!$B$12="",N($S2820)&lt;='Assignment Builder'!$B$12)))</f>
        <v/>
      </c>
      <c r="V2820" s="23" t="n"/>
    </row>
    <row r="2821">
      <c r="A2821" s="23" t="n"/>
      <c r="B2821" s="23" t="n"/>
      <c r="C2821" s="24" t="n"/>
      <c r="D2821" s="15" t="n"/>
      <c r="E2821" s="23" t="n"/>
      <c r="F2821" s="15" t="n"/>
      <c r="G2821" s="23" t="n"/>
      <c r="H2821" s="25" t="n"/>
      <c r="I2821" s="15" t="n"/>
      <c r="J2821" s="26">
        <f>IF($A2821="","",LEN($C2821)-LEN(SUBSTITUTE($C2821,",",""))+1)</f>
        <v/>
      </c>
      <c r="K2821" s="26">
        <f>IF($A2821="","",SUMPRODUCT(--ISNUMBER(SEARCH('Category Dictionary'!$D$5:$D$135&amp;"",$C2821)),--('Category Dictionary'!$D$5:$D$135&lt;&gt;"")))</f>
        <v/>
      </c>
      <c r="L2821" s="27">
        <f>IF($A2821="","",TRIM(IF(ISERROR(FIND(",",$C2821)),$C2821,LEFT($C2821,FIND(",",$C2821)-1))))</f>
        <v/>
      </c>
      <c r="M2821" s="28">
        <f>IF($H2821="","",DATE(YEAR($H2821),MONTH($H2821),1))</f>
        <v/>
      </c>
      <c r="N2821" s="26">
        <f>IF($H2821="","",TODAY()-$H2821)</f>
        <v/>
      </c>
      <c r="O2821" s="15" t="n"/>
      <c r="P2821" s="26">
        <f>IF($A2821="","",COUNTIFS('Audit Versions'!$A$6:$A$605,$A2821,'Audit Versions'!$L$6:$L$605,"Active"))</f>
        <v/>
      </c>
      <c r="Q2821" s="15" t="n"/>
      <c r="R2821" s="26">
        <f>IF(OR($A2821="",$P2821=0),"",MOD(N($Q2821),$P2821)+1)</f>
        <v/>
      </c>
      <c r="S2821" s="15" t="n"/>
      <c r="T2821" s="25" t="n"/>
      <c r="U2821" s="26">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Builder'!$B$12="",N($S2821)&lt;='Assignment Builder'!$B$12)))</f>
        <v/>
      </c>
      <c r="V2821" s="23" t="n"/>
    </row>
    <row r="2822">
      <c r="A2822" s="23" t="n"/>
      <c r="B2822" s="23" t="n"/>
      <c r="C2822" s="24" t="n"/>
      <c r="D2822" s="15" t="n"/>
      <c r="E2822" s="23" t="n"/>
      <c r="F2822" s="15" t="n"/>
      <c r="G2822" s="23" t="n"/>
      <c r="H2822" s="25" t="n"/>
      <c r="I2822" s="15" t="n"/>
      <c r="J2822" s="26">
        <f>IF($A2822="","",LEN($C2822)-LEN(SUBSTITUTE($C2822,",",""))+1)</f>
        <v/>
      </c>
      <c r="K2822" s="26">
        <f>IF($A2822="","",SUMPRODUCT(--ISNUMBER(SEARCH('Category Dictionary'!$D$5:$D$135&amp;"",$C2822)),--('Category Dictionary'!$D$5:$D$135&lt;&gt;"")))</f>
        <v/>
      </c>
      <c r="L2822" s="27">
        <f>IF($A2822="","",TRIM(IF(ISERROR(FIND(",",$C2822)),$C2822,LEFT($C2822,FIND(",",$C2822)-1))))</f>
        <v/>
      </c>
      <c r="M2822" s="28">
        <f>IF($H2822="","",DATE(YEAR($H2822),MONTH($H2822),1))</f>
        <v/>
      </c>
      <c r="N2822" s="26">
        <f>IF($H2822="","",TODAY()-$H2822)</f>
        <v/>
      </c>
      <c r="O2822" s="15" t="n"/>
      <c r="P2822" s="26">
        <f>IF($A2822="","",COUNTIFS('Audit Versions'!$A$6:$A$605,$A2822,'Audit Versions'!$L$6:$L$605,"Active"))</f>
        <v/>
      </c>
      <c r="Q2822" s="15" t="n"/>
      <c r="R2822" s="26">
        <f>IF(OR($A2822="",$P2822=0),"",MOD(N($Q2822),$P2822)+1)</f>
        <v/>
      </c>
      <c r="S2822" s="15" t="n"/>
      <c r="T2822" s="25" t="n"/>
      <c r="U2822" s="26">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Builder'!$B$12="",N($S2822)&lt;='Assignment Builder'!$B$12)))</f>
        <v/>
      </c>
      <c r="V2822" s="23" t="n"/>
    </row>
    <row r="2823">
      <c r="A2823" s="23" t="n"/>
      <c r="B2823" s="23" t="n"/>
      <c r="C2823" s="24" t="n"/>
      <c r="D2823" s="15" t="n"/>
      <c r="E2823" s="23" t="n"/>
      <c r="F2823" s="15" t="n"/>
      <c r="G2823" s="23" t="n"/>
      <c r="H2823" s="25" t="n"/>
      <c r="I2823" s="15" t="n"/>
      <c r="J2823" s="26">
        <f>IF($A2823="","",LEN($C2823)-LEN(SUBSTITUTE($C2823,",",""))+1)</f>
        <v/>
      </c>
      <c r="K2823" s="26">
        <f>IF($A2823="","",SUMPRODUCT(--ISNUMBER(SEARCH('Category Dictionary'!$D$5:$D$135&amp;"",$C2823)),--('Category Dictionary'!$D$5:$D$135&lt;&gt;"")))</f>
        <v/>
      </c>
      <c r="L2823" s="27">
        <f>IF($A2823="","",TRIM(IF(ISERROR(FIND(",",$C2823)),$C2823,LEFT($C2823,FIND(",",$C2823)-1))))</f>
        <v/>
      </c>
      <c r="M2823" s="28">
        <f>IF($H2823="","",DATE(YEAR($H2823),MONTH($H2823),1))</f>
        <v/>
      </c>
      <c r="N2823" s="26">
        <f>IF($H2823="","",TODAY()-$H2823)</f>
        <v/>
      </c>
      <c r="O2823" s="15" t="n"/>
      <c r="P2823" s="26">
        <f>IF($A2823="","",COUNTIFS('Audit Versions'!$A$6:$A$605,$A2823,'Audit Versions'!$L$6:$L$605,"Active"))</f>
        <v/>
      </c>
      <c r="Q2823" s="15" t="n"/>
      <c r="R2823" s="26">
        <f>IF(OR($A2823="",$P2823=0),"",MOD(N($Q2823),$P2823)+1)</f>
        <v/>
      </c>
      <c r="S2823" s="15" t="n"/>
      <c r="T2823" s="25" t="n"/>
      <c r="U2823" s="26">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Builder'!$B$12="",N($S2823)&lt;='Assignment Builder'!$B$12)))</f>
        <v/>
      </c>
      <c r="V2823" s="23" t="n"/>
    </row>
    <row r="2824">
      <c r="A2824" s="23" t="n"/>
      <c r="B2824" s="23" t="n"/>
      <c r="C2824" s="24" t="n"/>
      <c r="D2824" s="15" t="n"/>
      <c r="E2824" s="23" t="n"/>
      <c r="F2824" s="15" t="n"/>
      <c r="G2824" s="23" t="n"/>
      <c r="H2824" s="25" t="n"/>
      <c r="I2824" s="15" t="n"/>
      <c r="J2824" s="26">
        <f>IF($A2824="","",LEN($C2824)-LEN(SUBSTITUTE($C2824,",",""))+1)</f>
        <v/>
      </c>
      <c r="K2824" s="26">
        <f>IF($A2824="","",SUMPRODUCT(--ISNUMBER(SEARCH('Category Dictionary'!$D$5:$D$135&amp;"",$C2824)),--('Category Dictionary'!$D$5:$D$135&lt;&gt;"")))</f>
        <v/>
      </c>
      <c r="L2824" s="27">
        <f>IF($A2824="","",TRIM(IF(ISERROR(FIND(",",$C2824)),$C2824,LEFT($C2824,FIND(",",$C2824)-1))))</f>
        <v/>
      </c>
      <c r="M2824" s="28">
        <f>IF($H2824="","",DATE(YEAR($H2824),MONTH($H2824),1))</f>
        <v/>
      </c>
      <c r="N2824" s="26">
        <f>IF($H2824="","",TODAY()-$H2824)</f>
        <v/>
      </c>
      <c r="O2824" s="15" t="n"/>
      <c r="P2824" s="26">
        <f>IF($A2824="","",COUNTIFS('Audit Versions'!$A$6:$A$605,$A2824,'Audit Versions'!$L$6:$L$605,"Active"))</f>
        <v/>
      </c>
      <c r="Q2824" s="15" t="n"/>
      <c r="R2824" s="26">
        <f>IF(OR($A2824="",$P2824=0),"",MOD(N($Q2824),$P2824)+1)</f>
        <v/>
      </c>
      <c r="S2824" s="15" t="n"/>
      <c r="T2824" s="25" t="n"/>
      <c r="U2824" s="26">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Builder'!$B$12="",N($S2824)&lt;='Assignment Builder'!$B$12)))</f>
        <v/>
      </c>
      <c r="V2824" s="23" t="n"/>
    </row>
    <row r="2825">
      <c r="A2825" s="23" t="n"/>
      <c r="B2825" s="23" t="n"/>
      <c r="C2825" s="24" t="n"/>
      <c r="D2825" s="15" t="n"/>
      <c r="E2825" s="23" t="n"/>
      <c r="F2825" s="15" t="n"/>
      <c r="G2825" s="23" t="n"/>
      <c r="H2825" s="25" t="n"/>
      <c r="I2825" s="15" t="n"/>
      <c r="J2825" s="26">
        <f>IF($A2825="","",LEN($C2825)-LEN(SUBSTITUTE($C2825,",",""))+1)</f>
        <v/>
      </c>
      <c r="K2825" s="26">
        <f>IF($A2825="","",SUMPRODUCT(--ISNUMBER(SEARCH('Category Dictionary'!$D$5:$D$135&amp;"",$C2825)),--('Category Dictionary'!$D$5:$D$135&lt;&gt;"")))</f>
        <v/>
      </c>
      <c r="L2825" s="27">
        <f>IF($A2825="","",TRIM(IF(ISERROR(FIND(",",$C2825)),$C2825,LEFT($C2825,FIND(",",$C2825)-1))))</f>
        <v/>
      </c>
      <c r="M2825" s="28">
        <f>IF($H2825="","",DATE(YEAR($H2825),MONTH($H2825),1))</f>
        <v/>
      </c>
      <c r="N2825" s="26">
        <f>IF($H2825="","",TODAY()-$H2825)</f>
        <v/>
      </c>
      <c r="O2825" s="15" t="n"/>
      <c r="P2825" s="26">
        <f>IF($A2825="","",COUNTIFS('Audit Versions'!$A$6:$A$605,$A2825,'Audit Versions'!$L$6:$L$605,"Active"))</f>
        <v/>
      </c>
      <c r="Q2825" s="15" t="n"/>
      <c r="R2825" s="26">
        <f>IF(OR($A2825="",$P2825=0),"",MOD(N($Q2825),$P2825)+1)</f>
        <v/>
      </c>
      <c r="S2825" s="15" t="n"/>
      <c r="T2825" s="25" t="n"/>
      <c r="U2825" s="26">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Builder'!$B$12="",N($S2825)&lt;='Assignment Builder'!$B$12)))</f>
        <v/>
      </c>
      <c r="V2825" s="23" t="n"/>
    </row>
    <row r="2826">
      <c r="A2826" s="23" t="n"/>
      <c r="B2826" s="23" t="n"/>
      <c r="C2826" s="24" t="n"/>
      <c r="D2826" s="15" t="n"/>
      <c r="E2826" s="23" t="n"/>
      <c r="F2826" s="15" t="n"/>
      <c r="G2826" s="23" t="n"/>
      <c r="H2826" s="25" t="n"/>
      <c r="I2826" s="15" t="n"/>
      <c r="J2826" s="26">
        <f>IF($A2826="","",LEN($C2826)-LEN(SUBSTITUTE($C2826,",",""))+1)</f>
        <v/>
      </c>
      <c r="K2826" s="26">
        <f>IF($A2826="","",SUMPRODUCT(--ISNUMBER(SEARCH('Category Dictionary'!$D$5:$D$135&amp;"",$C2826)),--('Category Dictionary'!$D$5:$D$135&lt;&gt;"")))</f>
        <v/>
      </c>
      <c r="L2826" s="27">
        <f>IF($A2826="","",TRIM(IF(ISERROR(FIND(",",$C2826)),$C2826,LEFT($C2826,FIND(",",$C2826)-1))))</f>
        <v/>
      </c>
      <c r="M2826" s="28">
        <f>IF($H2826="","",DATE(YEAR($H2826),MONTH($H2826),1))</f>
        <v/>
      </c>
      <c r="N2826" s="26">
        <f>IF($H2826="","",TODAY()-$H2826)</f>
        <v/>
      </c>
      <c r="O2826" s="15" t="n"/>
      <c r="P2826" s="26">
        <f>IF($A2826="","",COUNTIFS('Audit Versions'!$A$6:$A$605,$A2826,'Audit Versions'!$L$6:$L$605,"Active"))</f>
        <v/>
      </c>
      <c r="Q2826" s="15" t="n"/>
      <c r="R2826" s="26">
        <f>IF(OR($A2826="",$P2826=0),"",MOD(N($Q2826),$P2826)+1)</f>
        <v/>
      </c>
      <c r="S2826" s="15" t="n"/>
      <c r="T2826" s="25" t="n"/>
      <c r="U2826" s="26">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Builder'!$B$12="",N($S2826)&lt;='Assignment Builder'!$B$12)))</f>
        <v/>
      </c>
      <c r="V2826" s="23" t="n"/>
    </row>
    <row r="2827">
      <c r="A2827" s="23" t="n"/>
      <c r="B2827" s="23" t="n"/>
      <c r="C2827" s="24" t="n"/>
      <c r="D2827" s="15" t="n"/>
      <c r="E2827" s="23" t="n"/>
      <c r="F2827" s="15" t="n"/>
      <c r="G2827" s="23" t="n"/>
      <c r="H2827" s="25" t="n"/>
      <c r="I2827" s="15" t="n"/>
      <c r="J2827" s="26">
        <f>IF($A2827="","",LEN($C2827)-LEN(SUBSTITUTE($C2827,",",""))+1)</f>
        <v/>
      </c>
      <c r="K2827" s="26">
        <f>IF($A2827="","",SUMPRODUCT(--ISNUMBER(SEARCH('Category Dictionary'!$D$5:$D$135&amp;"",$C2827)),--('Category Dictionary'!$D$5:$D$135&lt;&gt;"")))</f>
        <v/>
      </c>
      <c r="L2827" s="27">
        <f>IF($A2827="","",TRIM(IF(ISERROR(FIND(",",$C2827)),$C2827,LEFT($C2827,FIND(",",$C2827)-1))))</f>
        <v/>
      </c>
      <c r="M2827" s="28">
        <f>IF($H2827="","",DATE(YEAR($H2827),MONTH($H2827),1))</f>
        <v/>
      </c>
      <c r="N2827" s="26">
        <f>IF($H2827="","",TODAY()-$H2827)</f>
        <v/>
      </c>
      <c r="O2827" s="15" t="n"/>
      <c r="P2827" s="26">
        <f>IF($A2827="","",COUNTIFS('Audit Versions'!$A$6:$A$605,$A2827,'Audit Versions'!$L$6:$L$605,"Active"))</f>
        <v/>
      </c>
      <c r="Q2827" s="15" t="n"/>
      <c r="R2827" s="26">
        <f>IF(OR($A2827="",$P2827=0),"",MOD(N($Q2827),$P2827)+1)</f>
        <v/>
      </c>
      <c r="S2827" s="15" t="n"/>
      <c r="T2827" s="25" t="n"/>
      <c r="U2827" s="26">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Builder'!$B$12="",N($S2827)&lt;='Assignment Builder'!$B$12)))</f>
        <v/>
      </c>
      <c r="V2827" s="23" t="n"/>
    </row>
    <row r="2828">
      <c r="A2828" s="23" t="n"/>
      <c r="B2828" s="23" t="n"/>
      <c r="C2828" s="24" t="n"/>
      <c r="D2828" s="15" t="n"/>
      <c r="E2828" s="23" t="n"/>
      <c r="F2828" s="15" t="n"/>
      <c r="G2828" s="23" t="n"/>
      <c r="H2828" s="25" t="n"/>
      <c r="I2828" s="15" t="n"/>
      <c r="J2828" s="26">
        <f>IF($A2828="","",LEN($C2828)-LEN(SUBSTITUTE($C2828,",",""))+1)</f>
        <v/>
      </c>
      <c r="K2828" s="26">
        <f>IF($A2828="","",SUMPRODUCT(--ISNUMBER(SEARCH('Category Dictionary'!$D$5:$D$135&amp;"",$C2828)),--('Category Dictionary'!$D$5:$D$135&lt;&gt;"")))</f>
        <v/>
      </c>
      <c r="L2828" s="27">
        <f>IF($A2828="","",TRIM(IF(ISERROR(FIND(",",$C2828)),$C2828,LEFT($C2828,FIND(",",$C2828)-1))))</f>
        <v/>
      </c>
      <c r="M2828" s="28">
        <f>IF($H2828="","",DATE(YEAR($H2828),MONTH($H2828),1))</f>
        <v/>
      </c>
      <c r="N2828" s="26">
        <f>IF($H2828="","",TODAY()-$H2828)</f>
        <v/>
      </c>
      <c r="O2828" s="15" t="n"/>
      <c r="P2828" s="26">
        <f>IF($A2828="","",COUNTIFS('Audit Versions'!$A$6:$A$605,$A2828,'Audit Versions'!$L$6:$L$605,"Active"))</f>
        <v/>
      </c>
      <c r="Q2828" s="15" t="n"/>
      <c r="R2828" s="26">
        <f>IF(OR($A2828="",$P2828=0),"",MOD(N($Q2828),$P2828)+1)</f>
        <v/>
      </c>
      <c r="S2828" s="15" t="n"/>
      <c r="T2828" s="25" t="n"/>
      <c r="U2828" s="26">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Builder'!$B$12="",N($S2828)&lt;='Assignment Builder'!$B$12)))</f>
        <v/>
      </c>
      <c r="V2828" s="23" t="n"/>
    </row>
    <row r="2829">
      <c r="A2829" s="23" t="n"/>
      <c r="B2829" s="23" t="n"/>
      <c r="C2829" s="24" t="n"/>
      <c r="D2829" s="15" t="n"/>
      <c r="E2829" s="23" t="n"/>
      <c r="F2829" s="15" t="n"/>
      <c r="G2829" s="23" t="n"/>
      <c r="H2829" s="25" t="n"/>
      <c r="I2829" s="15" t="n"/>
      <c r="J2829" s="26">
        <f>IF($A2829="","",LEN($C2829)-LEN(SUBSTITUTE($C2829,",",""))+1)</f>
        <v/>
      </c>
      <c r="K2829" s="26">
        <f>IF($A2829="","",SUMPRODUCT(--ISNUMBER(SEARCH('Category Dictionary'!$D$5:$D$135&amp;"",$C2829)),--('Category Dictionary'!$D$5:$D$135&lt;&gt;"")))</f>
        <v/>
      </c>
      <c r="L2829" s="27">
        <f>IF($A2829="","",TRIM(IF(ISERROR(FIND(",",$C2829)),$C2829,LEFT($C2829,FIND(",",$C2829)-1))))</f>
        <v/>
      </c>
      <c r="M2829" s="28">
        <f>IF($H2829="","",DATE(YEAR($H2829),MONTH($H2829),1))</f>
        <v/>
      </c>
      <c r="N2829" s="26">
        <f>IF($H2829="","",TODAY()-$H2829)</f>
        <v/>
      </c>
      <c r="O2829" s="15" t="n"/>
      <c r="P2829" s="26">
        <f>IF($A2829="","",COUNTIFS('Audit Versions'!$A$6:$A$605,$A2829,'Audit Versions'!$L$6:$L$605,"Active"))</f>
        <v/>
      </c>
      <c r="Q2829" s="15" t="n"/>
      <c r="R2829" s="26">
        <f>IF(OR($A2829="",$P2829=0),"",MOD(N($Q2829),$P2829)+1)</f>
        <v/>
      </c>
      <c r="S2829" s="15" t="n"/>
      <c r="T2829" s="25" t="n"/>
      <c r="U2829" s="26">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Builder'!$B$12="",N($S2829)&lt;='Assignment Builder'!$B$12)))</f>
        <v/>
      </c>
      <c r="V2829" s="23" t="n"/>
    </row>
    <row r="2830">
      <c r="A2830" s="23" t="n"/>
      <c r="B2830" s="23" t="n"/>
      <c r="C2830" s="24" t="n"/>
      <c r="D2830" s="15" t="n"/>
      <c r="E2830" s="23" t="n"/>
      <c r="F2830" s="15" t="n"/>
      <c r="G2830" s="23" t="n"/>
      <c r="H2830" s="25" t="n"/>
      <c r="I2830" s="15" t="n"/>
      <c r="J2830" s="26">
        <f>IF($A2830="","",LEN($C2830)-LEN(SUBSTITUTE($C2830,",",""))+1)</f>
        <v/>
      </c>
      <c r="K2830" s="26">
        <f>IF($A2830="","",SUMPRODUCT(--ISNUMBER(SEARCH('Category Dictionary'!$D$5:$D$135&amp;"",$C2830)),--('Category Dictionary'!$D$5:$D$135&lt;&gt;"")))</f>
        <v/>
      </c>
      <c r="L2830" s="27">
        <f>IF($A2830="","",TRIM(IF(ISERROR(FIND(",",$C2830)),$C2830,LEFT($C2830,FIND(",",$C2830)-1))))</f>
        <v/>
      </c>
      <c r="M2830" s="28">
        <f>IF($H2830="","",DATE(YEAR($H2830),MONTH($H2830),1))</f>
        <v/>
      </c>
      <c r="N2830" s="26">
        <f>IF($H2830="","",TODAY()-$H2830)</f>
        <v/>
      </c>
      <c r="O2830" s="15" t="n"/>
      <c r="P2830" s="26">
        <f>IF($A2830="","",COUNTIFS('Audit Versions'!$A$6:$A$605,$A2830,'Audit Versions'!$L$6:$L$605,"Active"))</f>
        <v/>
      </c>
      <c r="Q2830" s="15" t="n"/>
      <c r="R2830" s="26">
        <f>IF(OR($A2830="",$P2830=0),"",MOD(N($Q2830),$P2830)+1)</f>
        <v/>
      </c>
      <c r="S2830" s="15" t="n"/>
      <c r="T2830" s="25" t="n"/>
      <c r="U2830" s="26">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Builder'!$B$12="",N($S2830)&lt;='Assignment Builder'!$B$12)))</f>
        <v/>
      </c>
      <c r="V2830" s="23" t="n"/>
    </row>
    <row r="2831">
      <c r="A2831" s="23" t="n"/>
      <c r="B2831" s="23" t="n"/>
      <c r="C2831" s="24" t="n"/>
      <c r="D2831" s="15" t="n"/>
      <c r="E2831" s="23" t="n"/>
      <c r="F2831" s="15" t="n"/>
      <c r="G2831" s="23" t="n"/>
      <c r="H2831" s="25" t="n"/>
      <c r="I2831" s="15" t="n"/>
      <c r="J2831" s="26">
        <f>IF($A2831="","",LEN($C2831)-LEN(SUBSTITUTE($C2831,",",""))+1)</f>
        <v/>
      </c>
      <c r="K2831" s="26">
        <f>IF($A2831="","",SUMPRODUCT(--ISNUMBER(SEARCH('Category Dictionary'!$D$5:$D$135&amp;"",$C2831)),--('Category Dictionary'!$D$5:$D$135&lt;&gt;"")))</f>
        <v/>
      </c>
      <c r="L2831" s="27">
        <f>IF($A2831="","",TRIM(IF(ISERROR(FIND(",",$C2831)),$C2831,LEFT($C2831,FIND(",",$C2831)-1))))</f>
        <v/>
      </c>
      <c r="M2831" s="28">
        <f>IF($H2831="","",DATE(YEAR($H2831),MONTH($H2831),1))</f>
        <v/>
      </c>
      <c r="N2831" s="26">
        <f>IF($H2831="","",TODAY()-$H2831)</f>
        <v/>
      </c>
      <c r="O2831" s="15" t="n"/>
      <c r="P2831" s="26">
        <f>IF($A2831="","",COUNTIFS('Audit Versions'!$A$6:$A$605,$A2831,'Audit Versions'!$L$6:$L$605,"Active"))</f>
        <v/>
      </c>
      <c r="Q2831" s="15" t="n"/>
      <c r="R2831" s="26">
        <f>IF(OR($A2831="",$P2831=0),"",MOD(N($Q2831),$P2831)+1)</f>
        <v/>
      </c>
      <c r="S2831" s="15" t="n"/>
      <c r="T2831" s="25" t="n"/>
      <c r="U2831" s="26">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Builder'!$B$12="",N($S2831)&lt;='Assignment Builder'!$B$12)))</f>
        <v/>
      </c>
      <c r="V2831" s="23" t="n"/>
    </row>
    <row r="2832">
      <c r="A2832" s="23" t="n"/>
      <c r="B2832" s="23" t="n"/>
      <c r="C2832" s="24" t="n"/>
      <c r="D2832" s="15" t="n"/>
      <c r="E2832" s="23" t="n"/>
      <c r="F2832" s="15" t="n"/>
      <c r="G2832" s="23" t="n"/>
      <c r="H2832" s="25" t="n"/>
      <c r="I2832" s="15" t="n"/>
      <c r="J2832" s="26">
        <f>IF($A2832="","",LEN($C2832)-LEN(SUBSTITUTE($C2832,",",""))+1)</f>
        <v/>
      </c>
      <c r="K2832" s="26">
        <f>IF($A2832="","",SUMPRODUCT(--ISNUMBER(SEARCH('Category Dictionary'!$D$5:$D$135&amp;"",$C2832)),--('Category Dictionary'!$D$5:$D$135&lt;&gt;"")))</f>
        <v/>
      </c>
      <c r="L2832" s="27">
        <f>IF($A2832="","",TRIM(IF(ISERROR(FIND(",",$C2832)),$C2832,LEFT($C2832,FIND(",",$C2832)-1))))</f>
        <v/>
      </c>
      <c r="M2832" s="28">
        <f>IF($H2832="","",DATE(YEAR($H2832),MONTH($H2832),1))</f>
        <v/>
      </c>
      <c r="N2832" s="26">
        <f>IF($H2832="","",TODAY()-$H2832)</f>
        <v/>
      </c>
      <c r="O2832" s="15" t="n"/>
      <c r="P2832" s="26">
        <f>IF($A2832="","",COUNTIFS('Audit Versions'!$A$6:$A$605,$A2832,'Audit Versions'!$L$6:$L$605,"Active"))</f>
        <v/>
      </c>
      <c r="Q2832" s="15" t="n"/>
      <c r="R2832" s="26">
        <f>IF(OR($A2832="",$P2832=0),"",MOD(N($Q2832),$P2832)+1)</f>
        <v/>
      </c>
      <c r="S2832" s="15" t="n"/>
      <c r="T2832" s="25" t="n"/>
      <c r="U2832" s="26">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Builder'!$B$12="",N($S2832)&lt;='Assignment Builder'!$B$12)))</f>
        <v/>
      </c>
      <c r="V2832" s="23" t="n"/>
    </row>
    <row r="2833">
      <c r="A2833" s="23" t="n"/>
      <c r="B2833" s="23" t="n"/>
      <c r="C2833" s="24" t="n"/>
      <c r="D2833" s="15" t="n"/>
      <c r="E2833" s="23" t="n"/>
      <c r="F2833" s="15" t="n"/>
      <c r="G2833" s="23" t="n"/>
      <c r="H2833" s="25" t="n"/>
      <c r="I2833" s="15" t="n"/>
      <c r="J2833" s="26">
        <f>IF($A2833="","",LEN($C2833)-LEN(SUBSTITUTE($C2833,",",""))+1)</f>
        <v/>
      </c>
      <c r="K2833" s="26">
        <f>IF($A2833="","",SUMPRODUCT(--ISNUMBER(SEARCH('Category Dictionary'!$D$5:$D$135&amp;"",$C2833)),--('Category Dictionary'!$D$5:$D$135&lt;&gt;"")))</f>
        <v/>
      </c>
      <c r="L2833" s="27">
        <f>IF($A2833="","",TRIM(IF(ISERROR(FIND(",",$C2833)),$C2833,LEFT($C2833,FIND(",",$C2833)-1))))</f>
        <v/>
      </c>
      <c r="M2833" s="28">
        <f>IF($H2833="","",DATE(YEAR($H2833),MONTH($H2833),1))</f>
        <v/>
      </c>
      <c r="N2833" s="26">
        <f>IF($H2833="","",TODAY()-$H2833)</f>
        <v/>
      </c>
      <c r="O2833" s="15" t="n"/>
      <c r="P2833" s="26">
        <f>IF($A2833="","",COUNTIFS('Audit Versions'!$A$6:$A$605,$A2833,'Audit Versions'!$L$6:$L$605,"Active"))</f>
        <v/>
      </c>
      <c r="Q2833" s="15" t="n"/>
      <c r="R2833" s="26">
        <f>IF(OR($A2833="",$P2833=0),"",MOD(N($Q2833),$P2833)+1)</f>
        <v/>
      </c>
      <c r="S2833" s="15" t="n"/>
      <c r="T2833" s="25" t="n"/>
      <c r="U2833" s="26">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Builder'!$B$12="",N($S2833)&lt;='Assignment Builder'!$B$12)))</f>
        <v/>
      </c>
      <c r="V2833" s="23" t="n"/>
    </row>
    <row r="2834">
      <c r="A2834" s="23" t="n"/>
      <c r="B2834" s="23" t="n"/>
      <c r="C2834" s="24" t="n"/>
      <c r="D2834" s="15" t="n"/>
      <c r="E2834" s="23" t="n"/>
      <c r="F2834" s="15" t="n"/>
      <c r="G2834" s="23" t="n"/>
      <c r="H2834" s="25" t="n"/>
      <c r="I2834" s="15" t="n"/>
      <c r="J2834" s="26">
        <f>IF($A2834="","",LEN($C2834)-LEN(SUBSTITUTE($C2834,",",""))+1)</f>
        <v/>
      </c>
      <c r="K2834" s="26">
        <f>IF($A2834="","",SUMPRODUCT(--ISNUMBER(SEARCH('Category Dictionary'!$D$5:$D$135&amp;"",$C2834)),--('Category Dictionary'!$D$5:$D$135&lt;&gt;"")))</f>
        <v/>
      </c>
      <c r="L2834" s="27">
        <f>IF($A2834="","",TRIM(IF(ISERROR(FIND(",",$C2834)),$C2834,LEFT($C2834,FIND(",",$C2834)-1))))</f>
        <v/>
      </c>
      <c r="M2834" s="28">
        <f>IF($H2834="","",DATE(YEAR($H2834),MONTH($H2834),1))</f>
        <v/>
      </c>
      <c r="N2834" s="26">
        <f>IF($H2834="","",TODAY()-$H2834)</f>
        <v/>
      </c>
      <c r="O2834" s="15" t="n"/>
      <c r="P2834" s="26">
        <f>IF($A2834="","",COUNTIFS('Audit Versions'!$A$6:$A$605,$A2834,'Audit Versions'!$L$6:$L$605,"Active"))</f>
        <v/>
      </c>
      <c r="Q2834" s="15" t="n"/>
      <c r="R2834" s="26">
        <f>IF(OR($A2834="",$P2834=0),"",MOD(N($Q2834),$P2834)+1)</f>
        <v/>
      </c>
      <c r="S2834" s="15" t="n"/>
      <c r="T2834" s="25" t="n"/>
      <c r="U2834" s="26">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Builder'!$B$12="",N($S2834)&lt;='Assignment Builder'!$B$12)))</f>
        <v/>
      </c>
      <c r="V2834" s="23" t="n"/>
    </row>
    <row r="2835">
      <c r="A2835" s="23" t="n"/>
      <c r="B2835" s="23" t="n"/>
      <c r="C2835" s="24" t="n"/>
      <c r="D2835" s="15" t="n"/>
      <c r="E2835" s="23" t="n"/>
      <c r="F2835" s="15" t="n"/>
      <c r="G2835" s="23" t="n"/>
      <c r="H2835" s="25" t="n"/>
      <c r="I2835" s="15" t="n"/>
      <c r="J2835" s="26">
        <f>IF($A2835="","",LEN($C2835)-LEN(SUBSTITUTE($C2835,",",""))+1)</f>
        <v/>
      </c>
      <c r="K2835" s="26">
        <f>IF($A2835="","",SUMPRODUCT(--ISNUMBER(SEARCH('Category Dictionary'!$D$5:$D$135&amp;"",$C2835)),--('Category Dictionary'!$D$5:$D$135&lt;&gt;"")))</f>
        <v/>
      </c>
      <c r="L2835" s="27">
        <f>IF($A2835="","",TRIM(IF(ISERROR(FIND(",",$C2835)),$C2835,LEFT($C2835,FIND(",",$C2835)-1))))</f>
        <v/>
      </c>
      <c r="M2835" s="28">
        <f>IF($H2835="","",DATE(YEAR($H2835),MONTH($H2835),1))</f>
        <v/>
      </c>
      <c r="N2835" s="26">
        <f>IF($H2835="","",TODAY()-$H2835)</f>
        <v/>
      </c>
      <c r="O2835" s="15" t="n"/>
      <c r="P2835" s="26">
        <f>IF($A2835="","",COUNTIFS('Audit Versions'!$A$6:$A$605,$A2835,'Audit Versions'!$L$6:$L$605,"Active"))</f>
        <v/>
      </c>
      <c r="Q2835" s="15" t="n"/>
      <c r="R2835" s="26">
        <f>IF(OR($A2835="",$P2835=0),"",MOD(N($Q2835),$P2835)+1)</f>
        <v/>
      </c>
      <c r="S2835" s="15" t="n"/>
      <c r="T2835" s="25" t="n"/>
      <c r="U2835" s="26">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Builder'!$B$12="",N($S2835)&lt;='Assignment Builder'!$B$12)))</f>
        <v/>
      </c>
      <c r="V2835" s="23" t="n"/>
    </row>
    <row r="2836">
      <c r="A2836" s="23" t="n"/>
      <c r="B2836" s="23" t="n"/>
      <c r="C2836" s="24" t="n"/>
      <c r="D2836" s="15" t="n"/>
      <c r="E2836" s="23" t="n"/>
      <c r="F2836" s="15" t="n"/>
      <c r="G2836" s="23" t="n"/>
      <c r="H2836" s="25" t="n"/>
      <c r="I2836" s="15" t="n"/>
      <c r="J2836" s="26">
        <f>IF($A2836="","",LEN($C2836)-LEN(SUBSTITUTE($C2836,",",""))+1)</f>
        <v/>
      </c>
      <c r="K2836" s="26">
        <f>IF($A2836="","",SUMPRODUCT(--ISNUMBER(SEARCH('Category Dictionary'!$D$5:$D$135&amp;"",$C2836)),--('Category Dictionary'!$D$5:$D$135&lt;&gt;"")))</f>
        <v/>
      </c>
      <c r="L2836" s="27">
        <f>IF($A2836="","",TRIM(IF(ISERROR(FIND(",",$C2836)),$C2836,LEFT($C2836,FIND(",",$C2836)-1))))</f>
        <v/>
      </c>
      <c r="M2836" s="28">
        <f>IF($H2836="","",DATE(YEAR($H2836),MONTH($H2836),1))</f>
        <v/>
      </c>
      <c r="N2836" s="26">
        <f>IF($H2836="","",TODAY()-$H2836)</f>
        <v/>
      </c>
      <c r="O2836" s="15" t="n"/>
      <c r="P2836" s="26">
        <f>IF($A2836="","",COUNTIFS('Audit Versions'!$A$6:$A$605,$A2836,'Audit Versions'!$L$6:$L$605,"Active"))</f>
        <v/>
      </c>
      <c r="Q2836" s="15" t="n"/>
      <c r="R2836" s="26">
        <f>IF(OR($A2836="",$P2836=0),"",MOD(N($Q2836),$P2836)+1)</f>
        <v/>
      </c>
      <c r="S2836" s="15" t="n"/>
      <c r="T2836" s="25" t="n"/>
      <c r="U2836" s="26">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Builder'!$B$12="",N($S2836)&lt;='Assignment Builder'!$B$12)))</f>
        <v/>
      </c>
      <c r="V2836" s="23" t="n"/>
    </row>
    <row r="2837">
      <c r="A2837" s="23" t="n"/>
      <c r="B2837" s="23" t="n"/>
      <c r="C2837" s="24" t="n"/>
      <c r="D2837" s="15" t="n"/>
      <c r="E2837" s="23" t="n"/>
      <c r="F2837" s="15" t="n"/>
      <c r="G2837" s="23" t="n"/>
      <c r="H2837" s="25" t="n"/>
      <c r="I2837" s="15" t="n"/>
      <c r="J2837" s="26">
        <f>IF($A2837="","",LEN($C2837)-LEN(SUBSTITUTE($C2837,",",""))+1)</f>
        <v/>
      </c>
      <c r="K2837" s="26">
        <f>IF($A2837="","",SUMPRODUCT(--ISNUMBER(SEARCH('Category Dictionary'!$D$5:$D$135&amp;"",$C2837)),--('Category Dictionary'!$D$5:$D$135&lt;&gt;"")))</f>
        <v/>
      </c>
      <c r="L2837" s="27">
        <f>IF($A2837="","",TRIM(IF(ISERROR(FIND(",",$C2837)),$C2837,LEFT($C2837,FIND(",",$C2837)-1))))</f>
        <v/>
      </c>
      <c r="M2837" s="28">
        <f>IF($H2837="","",DATE(YEAR($H2837),MONTH($H2837),1))</f>
        <v/>
      </c>
      <c r="N2837" s="26">
        <f>IF($H2837="","",TODAY()-$H2837)</f>
        <v/>
      </c>
      <c r="O2837" s="15" t="n"/>
      <c r="P2837" s="26">
        <f>IF($A2837="","",COUNTIFS('Audit Versions'!$A$6:$A$605,$A2837,'Audit Versions'!$L$6:$L$605,"Active"))</f>
        <v/>
      </c>
      <c r="Q2837" s="15" t="n"/>
      <c r="R2837" s="26">
        <f>IF(OR($A2837="",$P2837=0),"",MOD(N($Q2837),$P2837)+1)</f>
        <v/>
      </c>
      <c r="S2837" s="15" t="n"/>
      <c r="T2837" s="25" t="n"/>
      <c r="U2837" s="26">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Builder'!$B$12="",N($S2837)&lt;='Assignment Builder'!$B$12)))</f>
        <v/>
      </c>
      <c r="V2837" s="23" t="n"/>
    </row>
    <row r="2838">
      <c r="A2838" s="23" t="n"/>
      <c r="B2838" s="23" t="n"/>
      <c r="C2838" s="24" t="n"/>
      <c r="D2838" s="15" t="n"/>
      <c r="E2838" s="23" t="n"/>
      <c r="F2838" s="15" t="n"/>
      <c r="G2838" s="23" t="n"/>
      <c r="H2838" s="25" t="n"/>
      <c r="I2838" s="15" t="n"/>
      <c r="J2838" s="26">
        <f>IF($A2838="","",LEN($C2838)-LEN(SUBSTITUTE($C2838,",",""))+1)</f>
        <v/>
      </c>
      <c r="K2838" s="26">
        <f>IF($A2838="","",SUMPRODUCT(--ISNUMBER(SEARCH('Category Dictionary'!$D$5:$D$135&amp;"",$C2838)),--('Category Dictionary'!$D$5:$D$135&lt;&gt;"")))</f>
        <v/>
      </c>
      <c r="L2838" s="27">
        <f>IF($A2838="","",TRIM(IF(ISERROR(FIND(",",$C2838)),$C2838,LEFT($C2838,FIND(",",$C2838)-1))))</f>
        <v/>
      </c>
      <c r="M2838" s="28">
        <f>IF($H2838="","",DATE(YEAR($H2838),MONTH($H2838),1))</f>
        <v/>
      </c>
      <c r="N2838" s="26">
        <f>IF($H2838="","",TODAY()-$H2838)</f>
        <v/>
      </c>
      <c r="O2838" s="15" t="n"/>
      <c r="P2838" s="26">
        <f>IF($A2838="","",COUNTIFS('Audit Versions'!$A$6:$A$605,$A2838,'Audit Versions'!$L$6:$L$605,"Active"))</f>
        <v/>
      </c>
      <c r="Q2838" s="15" t="n"/>
      <c r="R2838" s="26">
        <f>IF(OR($A2838="",$P2838=0),"",MOD(N($Q2838),$P2838)+1)</f>
        <v/>
      </c>
      <c r="S2838" s="15" t="n"/>
      <c r="T2838" s="25" t="n"/>
      <c r="U2838" s="26">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Builder'!$B$12="",N($S2838)&lt;='Assignment Builder'!$B$12)))</f>
        <v/>
      </c>
      <c r="V2838" s="23" t="n"/>
    </row>
    <row r="2839">
      <c r="A2839" s="23" t="n"/>
      <c r="B2839" s="23" t="n"/>
      <c r="C2839" s="24" t="n"/>
      <c r="D2839" s="15" t="n"/>
      <c r="E2839" s="23" t="n"/>
      <c r="F2839" s="15" t="n"/>
      <c r="G2839" s="23" t="n"/>
      <c r="H2839" s="25" t="n"/>
      <c r="I2839" s="15" t="n"/>
      <c r="J2839" s="26">
        <f>IF($A2839="","",LEN($C2839)-LEN(SUBSTITUTE($C2839,",",""))+1)</f>
        <v/>
      </c>
      <c r="K2839" s="26">
        <f>IF($A2839="","",SUMPRODUCT(--ISNUMBER(SEARCH('Category Dictionary'!$D$5:$D$135&amp;"",$C2839)),--('Category Dictionary'!$D$5:$D$135&lt;&gt;"")))</f>
        <v/>
      </c>
      <c r="L2839" s="27">
        <f>IF($A2839="","",TRIM(IF(ISERROR(FIND(",",$C2839)),$C2839,LEFT($C2839,FIND(",",$C2839)-1))))</f>
        <v/>
      </c>
      <c r="M2839" s="28">
        <f>IF($H2839="","",DATE(YEAR($H2839),MONTH($H2839),1))</f>
        <v/>
      </c>
      <c r="N2839" s="26">
        <f>IF($H2839="","",TODAY()-$H2839)</f>
        <v/>
      </c>
      <c r="O2839" s="15" t="n"/>
      <c r="P2839" s="26">
        <f>IF($A2839="","",COUNTIFS('Audit Versions'!$A$6:$A$605,$A2839,'Audit Versions'!$L$6:$L$605,"Active"))</f>
        <v/>
      </c>
      <c r="Q2839" s="15" t="n"/>
      <c r="R2839" s="26">
        <f>IF(OR($A2839="",$P2839=0),"",MOD(N($Q2839),$P2839)+1)</f>
        <v/>
      </c>
      <c r="S2839" s="15" t="n"/>
      <c r="T2839" s="25" t="n"/>
      <c r="U2839" s="26">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Builder'!$B$12="",N($S2839)&lt;='Assignment Builder'!$B$12)))</f>
        <v/>
      </c>
      <c r="V2839" s="23" t="n"/>
    </row>
    <row r="2840">
      <c r="A2840" s="23" t="n"/>
      <c r="B2840" s="23" t="n"/>
      <c r="C2840" s="24" t="n"/>
      <c r="D2840" s="15" t="n"/>
      <c r="E2840" s="23" t="n"/>
      <c r="F2840" s="15" t="n"/>
      <c r="G2840" s="23" t="n"/>
      <c r="H2840" s="25" t="n"/>
      <c r="I2840" s="15" t="n"/>
      <c r="J2840" s="26">
        <f>IF($A2840="","",LEN($C2840)-LEN(SUBSTITUTE($C2840,",",""))+1)</f>
        <v/>
      </c>
      <c r="K2840" s="26">
        <f>IF($A2840="","",SUMPRODUCT(--ISNUMBER(SEARCH('Category Dictionary'!$D$5:$D$135&amp;"",$C2840)),--('Category Dictionary'!$D$5:$D$135&lt;&gt;"")))</f>
        <v/>
      </c>
      <c r="L2840" s="27">
        <f>IF($A2840="","",TRIM(IF(ISERROR(FIND(",",$C2840)),$C2840,LEFT($C2840,FIND(",",$C2840)-1))))</f>
        <v/>
      </c>
      <c r="M2840" s="28">
        <f>IF($H2840="","",DATE(YEAR($H2840),MONTH($H2840),1))</f>
        <v/>
      </c>
      <c r="N2840" s="26">
        <f>IF($H2840="","",TODAY()-$H2840)</f>
        <v/>
      </c>
      <c r="O2840" s="15" t="n"/>
      <c r="P2840" s="26">
        <f>IF($A2840="","",COUNTIFS('Audit Versions'!$A$6:$A$605,$A2840,'Audit Versions'!$L$6:$L$605,"Active"))</f>
        <v/>
      </c>
      <c r="Q2840" s="15" t="n"/>
      <c r="R2840" s="26">
        <f>IF(OR($A2840="",$P2840=0),"",MOD(N($Q2840),$P2840)+1)</f>
        <v/>
      </c>
      <c r="S2840" s="15" t="n"/>
      <c r="T2840" s="25" t="n"/>
      <c r="U2840" s="26">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Builder'!$B$12="",N($S2840)&lt;='Assignment Builder'!$B$12)))</f>
        <v/>
      </c>
      <c r="V2840" s="23" t="n"/>
    </row>
    <row r="2841">
      <c r="A2841" s="23" t="n"/>
      <c r="B2841" s="23" t="n"/>
      <c r="C2841" s="24" t="n"/>
      <c r="D2841" s="15" t="n"/>
      <c r="E2841" s="23" t="n"/>
      <c r="F2841" s="15" t="n"/>
      <c r="G2841" s="23" t="n"/>
      <c r="H2841" s="25" t="n"/>
      <c r="I2841" s="15" t="n"/>
      <c r="J2841" s="26">
        <f>IF($A2841="","",LEN($C2841)-LEN(SUBSTITUTE($C2841,",",""))+1)</f>
        <v/>
      </c>
      <c r="K2841" s="26">
        <f>IF($A2841="","",SUMPRODUCT(--ISNUMBER(SEARCH('Category Dictionary'!$D$5:$D$135&amp;"",$C2841)),--('Category Dictionary'!$D$5:$D$135&lt;&gt;"")))</f>
        <v/>
      </c>
      <c r="L2841" s="27">
        <f>IF($A2841="","",TRIM(IF(ISERROR(FIND(",",$C2841)),$C2841,LEFT($C2841,FIND(",",$C2841)-1))))</f>
        <v/>
      </c>
      <c r="M2841" s="28">
        <f>IF($H2841="","",DATE(YEAR($H2841),MONTH($H2841),1))</f>
        <v/>
      </c>
      <c r="N2841" s="26">
        <f>IF($H2841="","",TODAY()-$H2841)</f>
        <v/>
      </c>
      <c r="O2841" s="15" t="n"/>
      <c r="P2841" s="26">
        <f>IF($A2841="","",COUNTIFS('Audit Versions'!$A$6:$A$605,$A2841,'Audit Versions'!$L$6:$L$605,"Active"))</f>
        <v/>
      </c>
      <c r="Q2841" s="15" t="n"/>
      <c r="R2841" s="26">
        <f>IF(OR($A2841="",$P2841=0),"",MOD(N($Q2841),$P2841)+1)</f>
        <v/>
      </c>
      <c r="S2841" s="15" t="n"/>
      <c r="T2841" s="25" t="n"/>
      <c r="U2841" s="26">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Builder'!$B$12="",N($S2841)&lt;='Assignment Builder'!$B$12)))</f>
        <v/>
      </c>
      <c r="V2841" s="23" t="n"/>
    </row>
    <row r="2842">
      <c r="A2842" s="23" t="n"/>
      <c r="B2842" s="23" t="n"/>
      <c r="C2842" s="24" t="n"/>
      <c r="D2842" s="15" t="n"/>
      <c r="E2842" s="23" t="n"/>
      <c r="F2842" s="15" t="n"/>
      <c r="G2842" s="23" t="n"/>
      <c r="H2842" s="25" t="n"/>
      <c r="I2842" s="15" t="n"/>
      <c r="J2842" s="26">
        <f>IF($A2842="","",LEN($C2842)-LEN(SUBSTITUTE($C2842,",",""))+1)</f>
        <v/>
      </c>
      <c r="K2842" s="26">
        <f>IF($A2842="","",SUMPRODUCT(--ISNUMBER(SEARCH('Category Dictionary'!$D$5:$D$135&amp;"",$C2842)),--('Category Dictionary'!$D$5:$D$135&lt;&gt;"")))</f>
        <v/>
      </c>
      <c r="L2842" s="27">
        <f>IF($A2842="","",TRIM(IF(ISERROR(FIND(",",$C2842)),$C2842,LEFT($C2842,FIND(",",$C2842)-1))))</f>
        <v/>
      </c>
      <c r="M2842" s="28">
        <f>IF($H2842="","",DATE(YEAR($H2842),MONTH($H2842),1))</f>
        <v/>
      </c>
      <c r="N2842" s="26">
        <f>IF($H2842="","",TODAY()-$H2842)</f>
        <v/>
      </c>
      <c r="O2842" s="15" t="n"/>
      <c r="P2842" s="26">
        <f>IF($A2842="","",COUNTIFS('Audit Versions'!$A$6:$A$605,$A2842,'Audit Versions'!$L$6:$L$605,"Active"))</f>
        <v/>
      </c>
      <c r="Q2842" s="15" t="n"/>
      <c r="R2842" s="26">
        <f>IF(OR($A2842="",$P2842=0),"",MOD(N($Q2842),$P2842)+1)</f>
        <v/>
      </c>
      <c r="S2842" s="15" t="n"/>
      <c r="T2842" s="25" t="n"/>
      <c r="U2842" s="26">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Builder'!$B$12="",N($S2842)&lt;='Assignment Builder'!$B$12)))</f>
        <v/>
      </c>
      <c r="V2842" s="23" t="n"/>
    </row>
    <row r="2843">
      <c r="A2843" s="23" t="n"/>
      <c r="B2843" s="23" t="n"/>
      <c r="C2843" s="24" t="n"/>
      <c r="D2843" s="15" t="n"/>
      <c r="E2843" s="23" t="n"/>
      <c r="F2843" s="15" t="n"/>
      <c r="G2843" s="23" t="n"/>
      <c r="H2843" s="25" t="n"/>
      <c r="I2843" s="15" t="n"/>
      <c r="J2843" s="26">
        <f>IF($A2843="","",LEN($C2843)-LEN(SUBSTITUTE($C2843,",",""))+1)</f>
        <v/>
      </c>
      <c r="K2843" s="26">
        <f>IF($A2843="","",SUMPRODUCT(--ISNUMBER(SEARCH('Category Dictionary'!$D$5:$D$135&amp;"",$C2843)),--('Category Dictionary'!$D$5:$D$135&lt;&gt;"")))</f>
        <v/>
      </c>
      <c r="L2843" s="27">
        <f>IF($A2843="","",TRIM(IF(ISERROR(FIND(",",$C2843)),$C2843,LEFT($C2843,FIND(",",$C2843)-1))))</f>
        <v/>
      </c>
      <c r="M2843" s="28">
        <f>IF($H2843="","",DATE(YEAR($H2843),MONTH($H2843),1))</f>
        <v/>
      </c>
      <c r="N2843" s="26">
        <f>IF($H2843="","",TODAY()-$H2843)</f>
        <v/>
      </c>
      <c r="O2843" s="15" t="n"/>
      <c r="P2843" s="26">
        <f>IF($A2843="","",COUNTIFS('Audit Versions'!$A$6:$A$605,$A2843,'Audit Versions'!$L$6:$L$605,"Active"))</f>
        <v/>
      </c>
      <c r="Q2843" s="15" t="n"/>
      <c r="R2843" s="26">
        <f>IF(OR($A2843="",$P2843=0),"",MOD(N($Q2843),$P2843)+1)</f>
        <v/>
      </c>
      <c r="S2843" s="15" t="n"/>
      <c r="T2843" s="25" t="n"/>
      <c r="U2843" s="26">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Builder'!$B$12="",N($S2843)&lt;='Assignment Builder'!$B$12)))</f>
        <v/>
      </c>
      <c r="V2843" s="23" t="n"/>
    </row>
    <row r="2844">
      <c r="A2844" s="23" t="n"/>
      <c r="B2844" s="23" t="n"/>
      <c r="C2844" s="24" t="n"/>
      <c r="D2844" s="15" t="n"/>
      <c r="E2844" s="23" t="n"/>
      <c r="F2844" s="15" t="n"/>
      <c r="G2844" s="23" t="n"/>
      <c r="H2844" s="25" t="n"/>
      <c r="I2844" s="15" t="n"/>
      <c r="J2844" s="26">
        <f>IF($A2844="","",LEN($C2844)-LEN(SUBSTITUTE($C2844,",",""))+1)</f>
        <v/>
      </c>
      <c r="K2844" s="26">
        <f>IF($A2844="","",SUMPRODUCT(--ISNUMBER(SEARCH('Category Dictionary'!$D$5:$D$135&amp;"",$C2844)),--('Category Dictionary'!$D$5:$D$135&lt;&gt;"")))</f>
        <v/>
      </c>
      <c r="L2844" s="27">
        <f>IF($A2844="","",TRIM(IF(ISERROR(FIND(",",$C2844)),$C2844,LEFT($C2844,FIND(",",$C2844)-1))))</f>
        <v/>
      </c>
      <c r="M2844" s="28">
        <f>IF($H2844="","",DATE(YEAR($H2844),MONTH($H2844),1))</f>
        <v/>
      </c>
      <c r="N2844" s="26">
        <f>IF($H2844="","",TODAY()-$H2844)</f>
        <v/>
      </c>
      <c r="O2844" s="15" t="n"/>
      <c r="P2844" s="26">
        <f>IF($A2844="","",COUNTIFS('Audit Versions'!$A$6:$A$605,$A2844,'Audit Versions'!$L$6:$L$605,"Active"))</f>
        <v/>
      </c>
      <c r="Q2844" s="15" t="n"/>
      <c r="R2844" s="26">
        <f>IF(OR($A2844="",$P2844=0),"",MOD(N($Q2844),$P2844)+1)</f>
        <v/>
      </c>
      <c r="S2844" s="15" t="n"/>
      <c r="T2844" s="25" t="n"/>
      <c r="U2844" s="26">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Builder'!$B$12="",N($S2844)&lt;='Assignment Builder'!$B$12)))</f>
        <v/>
      </c>
      <c r="V2844" s="23" t="n"/>
    </row>
    <row r="2845">
      <c r="A2845" s="23" t="n"/>
      <c r="B2845" s="23" t="n"/>
      <c r="C2845" s="24" t="n"/>
      <c r="D2845" s="15" t="n"/>
      <c r="E2845" s="23" t="n"/>
      <c r="F2845" s="15" t="n"/>
      <c r="G2845" s="23" t="n"/>
      <c r="H2845" s="25" t="n"/>
      <c r="I2845" s="15" t="n"/>
      <c r="J2845" s="26">
        <f>IF($A2845="","",LEN($C2845)-LEN(SUBSTITUTE($C2845,",",""))+1)</f>
        <v/>
      </c>
      <c r="K2845" s="26">
        <f>IF($A2845="","",SUMPRODUCT(--ISNUMBER(SEARCH('Category Dictionary'!$D$5:$D$135&amp;"",$C2845)),--('Category Dictionary'!$D$5:$D$135&lt;&gt;"")))</f>
        <v/>
      </c>
      <c r="L2845" s="27">
        <f>IF($A2845="","",TRIM(IF(ISERROR(FIND(",",$C2845)),$C2845,LEFT($C2845,FIND(",",$C2845)-1))))</f>
        <v/>
      </c>
      <c r="M2845" s="28">
        <f>IF($H2845="","",DATE(YEAR($H2845),MONTH($H2845),1))</f>
        <v/>
      </c>
      <c r="N2845" s="26">
        <f>IF($H2845="","",TODAY()-$H2845)</f>
        <v/>
      </c>
      <c r="O2845" s="15" t="n"/>
      <c r="P2845" s="26">
        <f>IF($A2845="","",COUNTIFS('Audit Versions'!$A$6:$A$605,$A2845,'Audit Versions'!$L$6:$L$605,"Active"))</f>
        <v/>
      </c>
      <c r="Q2845" s="15" t="n"/>
      <c r="R2845" s="26">
        <f>IF(OR($A2845="",$P2845=0),"",MOD(N($Q2845),$P2845)+1)</f>
        <v/>
      </c>
      <c r="S2845" s="15" t="n"/>
      <c r="T2845" s="25" t="n"/>
      <c r="U2845" s="26">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Builder'!$B$12="",N($S2845)&lt;='Assignment Builder'!$B$12)))</f>
        <v/>
      </c>
      <c r="V2845" s="23" t="n"/>
    </row>
    <row r="2846">
      <c r="A2846" s="23" t="n"/>
      <c r="B2846" s="23" t="n"/>
      <c r="C2846" s="24" t="n"/>
      <c r="D2846" s="15" t="n"/>
      <c r="E2846" s="23" t="n"/>
      <c r="F2846" s="15" t="n"/>
      <c r="G2846" s="23" t="n"/>
      <c r="H2846" s="25" t="n"/>
      <c r="I2846" s="15" t="n"/>
      <c r="J2846" s="26">
        <f>IF($A2846="","",LEN($C2846)-LEN(SUBSTITUTE($C2846,",",""))+1)</f>
        <v/>
      </c>
      <c r="K2846" s="26">
        <f>IF($A2846="","",SUMPRODUCT(--ISNUMBER(SEARCH('Category Dictionary'!$D$5:$D$135&amp;"",$C2846)),--('Category Dictionary'!$D$5:$D$135&lt;&gt;"")))</f>
        <v/>
      </c>
      <c r="L2846" s="27">
        <f>IF($A2846="","",TRIM(IF(ISERROR(FIND(",",$C2846)),$C2846,LEFT($C2846,FIND(",",$C2846)-1))))</f>
        <v/>
      </c>
      <c r="M2846" s="28">
        <f>IF($H2846="","",DATE(YEAR($H2846),MONTH($H2846),1))</f>
        <v/>
      </c>
      <c r="N2846" s="26">
        <f>IF($H2846="","",TODAY()-$H2846)</f>
        <v/>
      </c>
      <c r="O2846" s="15" t="n"/>
      <c r="P2846" s="26">
        <f>IF($A2846="","",COUNTIFS('Audit Versions'!$A$6:$A$605,$A2846,'Audit Versions'!$L$6:$L$605,"Active"))</f>
        <v/>
      </c>
      <c r="Q2846" s="15" t="n"/>
      <c r="R2846" s="26">
        <f>IF(OR($A2846="",$P2846=0),"",MOD(N($Q2846),$P2846)+1)</f>
        <v/>
      </c>
      <c r="S2846" s="15" t="n"/>
      <c r="T2846" s="25" t="n"/>
      <c r="U2846" s="26">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Builder'!$B$12="",N($S2846)&lt;='Assignment Builder'!$B$12)))</f>
        <v/>
      </c>
      <c r="V2846" s="23" t="n"/>
    </row>
    <row r="2847">
      <c r="A2847" s="23" t="n"/>
      <c r="B2847" s="23" t="n"/>
      <c r="C2847" s="24" t="n"/>
      <c r="D2847" s="15" t="n"/>
      <c r="E2847" s="23" t="n"/>
      <c r="F2847" s="15" t="n"/>
      <c r="G2847" s="23" t="n"/>
      <c r="H2847" s="25" t="n"/>
      <c r="I2847" s="15" t="n"/>
      <c r="J2847" s="26">
        <f>IF($A2847="","",LEN($C2847)-LEN(SUBSTITUTE($C2847,",",""))+1)</f>
        <v/>
      </c>
      <c r="K2847" s="26">
        <f>IF($A2847="","",SUMPRODUCT(--ISNUMBER(SEARCH('Category Dictionary'!$D$5:$D$135&amp;"",$C2847)),--('Category Dictionary'!$D$5:$D$135&lt;&gt;"")))</f>
        <v/>
      </c>
      <c r="L2847" s="27">
        <f>IF($A2847="","",TRIM(IF(ISERROR(FIND(",",$C2847)),$C2847,LEFT($C2847,FIND(",",$C2847)-1))))</f>
        <v/>
      </c>
      <c r="M2847" s="28">
        <f>IF($H2847="","",DATE(YEAR($H2847),MONTH($H2847),1))</f>
        <v/>
      </c>
      <c r="N2847" s="26">
        <f>IF($H2847="","",TODAY()-$H2847)</f>
        <v/>
      </c>
      <c r="O2847" s="15" t="n"/>
      <c r="P2847" s="26">
        <f>IF($A2847="","",COUNTIFS('Audit Versions'!$A$6:$A$605,$A2847,'Audit Versions'!$L$6:$L$605,"Active"))</f>
        <v/>
      </c>
      <c r="Q2847" s="15" t="n"/>
      <c r="R2847" s="26">
        <f>IF(OR($A2847="",$P2847=0),"",MOD(N($Q2847),$P2847)+1)</f>
        <v/>
      </c>
      <c r="S2847" s="15" t="n"/>
      <c r="T2847" s="25" t="n"/>
      <c r="U2847" s="26">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Builder'!$B$12="",N($S2847)&lt;='Assignment Builder'!$B$12)))</f>
        <v/>
      </c>
      <c r="V2847" s="23" t="n"/>
    </row>
    <row r="2848">
      <c r="A2848" s="23" t="n"/>
      <c r="B2848" s="23" t="n"/>
      <c r="C2848" s="24" t="n"/>
      <c r="D2848" s="15" t="n"/>
      <c r="E2848" s="23" t="n"/>
      <c r="F2848" s="15" t="n"/>
      <c r="G2848" s="23" t="n"/>
      <c r="H2848" s="25" t="n"/>
      <c r="I2848" s="15" t="n"/>
      <c r="J2848" s="26">
        <f>IF($A2848="","",LEN($C2848)-LEN(SUBSTITUTE($C2848,",",""))+1)</f>
        <v/>
      </c>
      <c r="K2848" s="26">
        <f>IF($A2848="","",SUMPRODUCT(--ISNUMBER(SEARCH('Category Dictionary'!$D$5:$D$135&amp;"",$C2848)),--('Category Dictionary'!$D$5:$D$135&lt;&gt;"")))</f>
        <v/>
      </c>
      <c r="L2848" s="27">
        <f>IF($A2848="","",TRIM(IF(ISERROR(FIND(",",$C2848)),$C2848,LEFT($C2848,FIND(",",$C2848)-1))))</f>
        <v/>
      </c>
      <c r="M2848" s="28">
        <f>IF($H2848="","",DATE(YEAR($H2848),MONTH($H2848),1))</f>
        <v/>
      </c>
      <c r="N2848" s="26">
        <f>IF($H2848="","",TODAY()-$H2848)</f>
        <v/>
      </c>
      <c r="O2848" s="15" t="n"/>
      <c r="P2848" s="26">
        <f>IF($A2848="","",COUNTIFS('Audit Versions'!$A$6:$A$605,$A2848,'Audit Versions'!$L$6:$L$605,"Active"))</f>
        <v/>
      </c>
      <c r="Q2848" s="15" t="n"/>
      <c r="R2848" s="26">
        <f>IF(OR($A2848="",$P2848=0),"",MOD(N($Q2848),$P2848)+1)</f>
        <v/>
      </c>
      <c r="S2848" s="15" t="n"/>
      <c r="T2848" s="25" t="n"/>
      <c r="U2848" s="26">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Builder'!$B$12="",N($S2848)&lt;='Assignment Builder'!$B$12)))</f>
        <v/>
      </c>
      <c r="V2848" s="23" t="n"/>
    </row>
    <row r="2849">
      <c r="A2849" s="23" t="n"/>
      <c r="B2849" s="23" t="n"/>
      <c r="C2849" s="24" t="n"/>
      <c r="D2849" s="15" t="n"/>
      <c r="E2849" s="23" t="n"/>
      <c r="F2849" s="15" t="n"/>
      <c r="G2849" s="23" t="n"/>
      <c r="H2849" s="25" t="n"/>
      <c r="I2849" s="15" t="n"/>
      <c r="J2849" s="26">
        <f>IF($A2849="","",LEN($C2849)-LEN(SUBSTITUTE($C2849,",",""))+1)</f>
        <v/>
      </c>
      <c r="K2849" s="26">
        <f>IF($A2849="","",SUMPRODUCT(--ISNUMBER(SEARCH('Category Dictionary'!$D$5:$D$135&amp;"",$C2849)),--('Category Dictionary'!$D$5:$D$135&lt;&gt;"")))</f>
        <v/>
      </c>
      <c r="L2849" s="27">
        <f>IF($A2849="","",TRIM(IF(ISERROR(FIND(",",$C2849)),$C2849,LEFT($C2849,FIND(",",$C2849)-1))))</f>
        <v/>
      </c>
      <c r="M2849" s="28">
        <f>IF($H2849="","",DATE(YEAR($H2849),MONTH($H2849),1))</f>
        <v/>
      </c>
      <c r="N2849" s="26">
        <f>IF($H2849="","",TODAY()-$H2849)</f>
        <v/>
      </c>
      <c r="O2849" s="15" t="n"/>
      <c r="P2849" s="26">
        <f>IF($A2849="","",COUNTIFS('Audit Versions'!$A$6:$A$605,$A2849,'Audit Versions'!$L$6:$L$605,"Active"))</f>
        <v/>
      </c>
      <c r="Q2849" s="15" t="n"/>
      <c r="R2849" s="26">
        <f>IF(OR($A2849="",$P2849=0),"",MOD(N($Q2849),$P2849)+1)</f>
        <v/>
      </c>
      <c r="S2849" s="15" t="n"/>
      <c r="T2849" s="25" t="n"/>
      <c r="U2849" s="26">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Builder'!$B$12="",N($S2849)&lt;='Assignment Builder'!$B$12)))</f>
        <v/>
      </c>
      <c r="V2849" s="23" t="n"/>
    </row>
    <row r="2850">
      <c r="A2850" s="23" t="n"/>
      <c r="B2850" s="23" t="n"/>
      <c r="C2850" s="24" t="n"/>
      <c r="D2850" s="15" t="n"/>
      <c r="E2850" s="23" t="n"/>
      <c r="F2850" s="15" t="n"/>
      <c r="G2850" s="23" t="n"/>
      <c r="H2850" s="25" t="n"/>
      <c r="I2850" s="15" t="n"/>
      <c r="J2850" s="26">
        <f>IF($A2850="","",LEN($C2850)-LEN(SUBSTITUTE($C2850,",",""))+1)</f>
        <v/>
      </c>
      <c r="K2850" s="26">
        <f>IF($A2850="","",SUMPRODUCT(--ISNUMBER(SEARCH('Category Dictionary'!$D$5:$D$135&amp;"",$C2850)),--('Category Dictionary'!$D$5:$D$135&lt;&gt;"")))</f>
        <v/>
      </c>
      <c r="L2850" s="27">
        <f>IF($A2850="","",TRIM(IF(ISERROR(FIND(",",$C2850)),$C2850,LEFT($C2850,FIND(",",$C2850)-1))))</f>
        <v/>
      </c>
      <c r="M2850" s="28">
        <f>IF($H2850="","",DATE(YEAR($H2850),MONTH($H2850),1))</f>
        <v/>
      </c>
      <c r="N2850" s="26">
        <f>IF($H2850="","",TODAY()-$H2850)</f>
        <v/>
      </c>
      <c r="O2850" s="15" t="n"/>
      <c r="P2850" s="26">
        <f>IF($A2850="","",COUNTIFS('Audit Versions'!$A$6:$A$605,$A2850,'Audit Versions'!$L$6:$L$605,"Active"))</f>
        <v/>
      </c>
      <c r="Q2850" s="15" t="n"/>
      <c r="R2850" s="26">
        <f>IF(OR($A2850="",$P2850=0),"",MOD(N($Q2850),$P2850)+1)</f>
        <v/>
      </c>
      <c r="S2850" s="15" t="n"/>
      <c r="T2850" s="25" t="n"/>
      <c r="U2850" s="26">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Builder'!$B$12="",N($S2850)&lt;='Assignment Builder'!$B$12)))</f>
        <v/>
      </c>
      <c r="V2850" s="23" t="n"/>
    </row>
    <row r="2851">
      <c r="A2851" s="23" t="n"/>
      <c r="B2851" s="23" t="n"/>
      <c r="C2851" s="24" t="n"/>
      <c r="D2851" s="15" t="n"/>
      <c r="E2851" s="23" t="n"/>
      <c r="F2851" s="15" t="n"/>
      <c r="G2851" s="23" t="n"/>
      <c r="H2851" s="25" t="n"/>
      <c r="I2851" s="15" t="n"/>
      <c r="J2851" s="26">
        <f>IF($A2851="","",LEN($C2851)-LEN(SUBSTITUTE($C2851,",",""))+1)</f>
        <v/>
      </c>
      <c r="K2851" s="26">
        <f>IF($A2851="","",SUMPRODUCT(--ISNUMBER(SEARCH('Category Dictionary'!$D$5:$D$135&amp;"",$C2851)),--('Category Dictionary'!$D$5:$D$135&lt;&gt;"")))</f>
        <v/>
      </c>
      <c r="L2851" s="27">
        <f>IF($A2851="","",TRIM(IF(ISERROR(FIND(",",$C2851)),$C2851,LEFT($C2851,FIND(",",$C2851)-1))))</f>
        <v/>
      </c>
      <c r="M2851" s="28">
        <f>IF($H2851="","",DATE(YEAR($H2851),MONTH($H2851),1))</f>
        <v/>
      </c>
      <c r="N2851" s="26">
        <f>IF($H2851="","",TODAY()-$H2851)</f>
        <v/>
      </c>
      <c r="O2851" s="15" t="n"/>
      <c r="P2851" s="26">
        <f>IF($A2851="","",COUNTIFS('Audit Versions'!$A$6:$A$605,$A2851,'Audit Versions'!$L$6:$L$605,"Active"))</f>
        <v/>
      </c>
      <c r="Q2851" s="15" t="n"/>
      <c r="R2851" s="26">
        <f>IF(OR($A2851="",$P2851=0),"",MOD(N($Q2851),$P2851)+1)</f>
        <v/>
      </c>
      <c r="S2851" s="15" t="n"/>
      <c r="T2851" s="25" t="n"/>
      <c r="U2851" s="26">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Builder'!$B$12="",N($S2851)&lt;='Assignment Builder'!$B$12)))</f>
        <v/>
      </c>
      <c r="V2851" s="23" t="n"/>
    </row>
    <row r="2852">
      <c r="A2852" s="23" t="n"/>
      <c r="B2852" s="23" t="n"/>
      <c r="C2852" s="24" t="n"/>
      <c r="D2852" s="15" t="n"/>
      <c r="E2852" s="23" t="n"/>
      <c r="F2852" s="15" t="n"/>
      <c r="G2852" s="23" t="n"/>
      <c r="H2852" s="25" t="n"/>
      <c r="I2852" s="15" t="n"/>
      <c r="J2852" s="26">
        <f>IF($A2852="","",LEN($C2852)-LEN(SUBSTITUTE($C2852,",",""))+1)</f>
        <v/>
      </c>
      <c r="K2852" s="26">
        <f>IF($A2852="","",SUMPRODUCT(--ISNUMBER(SEARCH('Category Dictionary'!$D$5:$D$135&amp;"",$C2852)),--('Category Dictionary'!$D$5:$D$135&lt;&gt;"")))</f>
        <v/>
      </c>
      <c r="L2852" s="27">
        <f>IF($A2852="","",TRIM(IF(ISERROR(FIND(",",$C2852)),$C2852,LEFT($C2852,FIND(",",$C2852)-1))))</f>
        <v/>
      </c>
      <c r="M2852" s="28">
        <f>IF($H2852="","",DATE(YEAR($H2852),MONTH($H2852),1))</f>
        <v/>
      </c>
      <c r="N2852" s="26">
        <f>IF($H2852="","",TODAY()-$H2852)</f>
        <v/>
      </c>
      <c r="O2852" s="15" t="n"/>
      <c r="P2852" s="26">
        <f>IF($A2852="","",COUNTIFS('Audit Versions'!$A$6:$A$605,$A2852,'Audit Versions'!$L$6:$L$605,"Active"))</f>
        <v/>
      </c>
      <c r="Q2852" s="15" t="n"/>
      <c r="R2852" s="26">
        <f>IF(OR($A2852="",$P2852=0),"",MOD(N($Q2852),$P2852)+1)</f>
        <v/>
      </c>
      <c r="S2852" s="15" t="n"/>
      <c r="T2852" s="25" t="n"/>
      <c r="U2852" s="26">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Builder'!$B$12="",N($S2852)&lt;='Assignment Builder'!$B$12)))</f>
        <v/>
      </c>
      <c r="V2852" s="23" t="n"/>
    </row>
    <row r="2853">
      <c r="A2853" s="23" t="n"/>
      <c r="B2853" s="23" t="n"/>
      <c r="C2853" s="24" t="n"/>
      <c r="D2853" s="15" t="n"/>
      <c r="E2853" s="23" t="n"/>
      <c r="F2853" s="15" t="n"/>
      <c r="G2853" s="23" t="n"/>
      <c r="H2853" s="25" t="n"/>
      <c r="I2853" s="15" t="n"/>
      <c r="J2853" s="26">
        <f>IF($A2853="","",LEN($C2853)-LEN(SUBSTITUTE($C2853,",",""))+1)</f>
        <v/>
      </c>
      <c r="K2853" s="26">
        <f>IF($A2853="","",SUMPRODUCT(--ISNUMBER(SEARCH('Category Dictionary'!$D$5:$D$135&amp;"",$C2853)),--('Category Dictionary'!$D$5:$D$135&lt;&gt;"")))</f>
        <v/>
      </c>
      <c r="L2853" s="27">
        <f>IF($A2853="","",TRIM(IF(ISERROR(FIND(",",$C2853)),$C2853,LEFT($C2853,FIND(",",$C2853)-1))))</f>
        <v/>
      </c>
      <c r="M2853" s="28">
        <f>IF($H2853="","",DATE(YEAR($H2853),MONTH($H2853),1))</f>
        <v/>
      </c>
      <c r="N2853" s="26">
        <f>IF($H2853="","",TODAY()-$H2853)</f>
        <v/>
      </c>
      <c r="O2853" s="15" t="n"/>
      <c r="P2853" s="26">
        <f>IF($A2853="","",COUNTIFS('Audit Versions'!$A$6:$A$605,$A2853,'Audit Versions'!$L$6:$L$605,"Active"))</f>
        <v/>
      </c>
      <c r="Q2853" s="15" t="n"/>
      <c r="R2853" s="26">
        <f>IF(OR($A2853="",$P2853=0),"",MOD(N($Q2853),$P2853)+1)</f>
        <v/>
      </c>
      <c r="S2853" s="15" t="n"/>
      <c r="T2853" s="25" t="n"/>
      <c r="U2853" s="26">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Builder'!$B$12="",N($S2853)&lt;='Assignment Builder'!$B$12)))</f>
        <v/>
      </c>
      <c r="V2853" s="23" t="n"/>
    </row>
    <row r="2854">
      <c r="A2854" s="23" t="n"/>
      <c r="B2854" s="23" t="n"/>
      <c r="C2854" s="24" t="n"/>
      <c r="D2854" s="15" t="n"/>
      <c r="E2854" s="23" t="n"/>
      <c r="F2854" s="15" t="n"/>
      <c r="G2854" s="23" t="n"/>
      <c r="H2854" s="25" t="n"/>
      <c r="I2854" s="15" t="n"/>
      <c r="J2854" s="26">
        <f>IF($A2854="","",LEN($C2854)-LEN(SUBSTITUTE($C2854,",",""))+1)</f>
        <v/>
      </c>
      <c r="K2854" s="26">
        <f>IF($A2854="","",SUMPRODUCT(--ISNUMBER(SEARCH('Category Dictionary'!$D$5:$D$135&amp;"",$C2854)),--('Category Dictionary'!$D$5:$D$135&lt;&gt;"")))</f>
        <v/>
      </c>
      <c r="L2854" s="27">
        <f>IF($A2854="","",TRIM(IF(ISERROR(FIND(",",$C2854)),$C2854,LEFT($C2854,FIND(",",$C2854)-1))))</f>
        <v/>
      </c>
      <c r="M2854" s="28">
        <f>IF($H2854="","",DATE(YEAR($H2854),MONTH($H2854),1))</f>
        <v/>
      </c>
      <c r="N2854" s="26">
        <f>IF($H2854="","",TODAY()-$H2854)</f>
        <v/>
      </c>
      <c r="O2854" s="15" t="n"/>
      <c r="P2854" s="26">
        <f>IF($A2854="","",COUNTIFS('Audit Versions'!$A$6:$A$605,$A2854,'Audit Versions'!$L$6:$L$605,"Active"))</f>
        <v/>
      </c>
      <c r="Q2854" s="15" t="n"/>
      <c r="R2854" s="26">
        <f>IF(OR($A2854="",$P2854=0),"",MOD(N($Q2854),$P2854)+1)</f>
        <v/>
      </c>
      <c r="S2854" s="15" t="n"/>
      <c r="T2854" s="25" t="n"/>
      <c r="U2854" s="26">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Builder'!$B$12="",N($S2854)&lt;='Assignment Builder'!$B$12)))</f>
        <v/>
      </c>
      <c r="V2854" s="23" t="n"/>
    </row>
    <row r="2855">
      <c r="A2855" s="23" t="n"/>
      <c r="B2855" s="23" t="n"/>
      <c r="C2855" s="24" t="n"/>
      <c r="D2855" s="15" t="n"/>
      <c r="E2855" s="23" t="n"/>
      <c r="F2855" s="15" t="n"/>
      <c r="G2855" s="23" t="n"/>
      <c r="H2855" s="25" t="n"/>
      <c r="I2855" s="15" t="n"/>
      <c r="J2855" s="26">
        <f>IF($A2855="","",LEN($C2855)-LEN(SUBSTITUTE($C2855,",",""))+1)</f>
        <v/>
      </c>
      <c r="K2855" s="26">
        <f>IF($A2855="","",SUMPRODUCT(--ISNUMBER(SEARCH('Category Dictionary'!$D$5:$D$135&amp;"",$C2855)),--('Category Dictionary'!$D$5:$D$135&lt;&gt;"")))</f>
        <v/>
      </c>
      <c r="L2855" s="27">
        <f>IF($A2855="","",TRIM(IF(ISERROR(FIND(",",$C2855)),$C2855,LEFT($C2855,FIND(",",$C2855)-1))))</f>
        <v/>
      </c>
      <c r="M2855" s="28">
        <f>IF($H2855="","",DATE(YEAR($H2855),MONTH($H2855),1))</f>
        <v/>
      </c>
      <c r="N2855" s="26">
        <f>IF($H2855="","",TODAY()-$H2855)</f>
        <v/>
      </c>
      <c r="O2855" s="15" t="n"/>
      <c r="P2855" s="26">
        <f>IF($A2855="","",COUNTIFS('Audit Versions'!$A$6:$A$605,$A2855,'Audit Versions'!$L$6:$L$605,"Active"))</f>
        <v/>
      </c>
      <c r="Q2855" s="15" t="n"/>
      <c r="R2855" s="26">
        <f>IF(OR($A2855="",$P2855=0),"",MOD(N($Q2855),$P2855)+1)</f>
        <v/>
      </c>
      <c r="S2855" s="15" t="n"/>
      <c r="T2855" s="25" t="n"/>
      <c r="U2855" s="26">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Builder'!$B$12="",N($S2855)&lt;='Assignment Builder'!$B$12)))</f>
        <v/>
      </c>
      <c r="V2855" s="23" t="n"/>
    </row>
    <row r="2856">
      <c r="A2856" s="23" t="n"/>
      <c r="B2856" s="23" t="n"/>
      <c r="C2856" s="24" t="n"/>
      <c r="D2856" s="15" t="n"/>
      <c r="E2856" s="23" t="n"/>
      <c r="F2856" s="15" t="n"/>
      <c r="G2856" s="23" t="n"/>
      <c r="H2856" s="25" t="n"/>
      <c r="I2856" s="15" t="n"/>
      <c r="J2856" s="26">
        <f>IF($A2856="","",LEN($C2856)-LEN(SUBSTITUTE($C2856,",",""))+1)</f>
        <v/>
      </c>
      <c r="K2856" s="26">
        <f>IF($A2856="","",SUMPRODUCT(--ISNUMBER(SEARCH('Category Dictionary'!$D$5:$D$135&amp;"",$C2856)),--('Category Dictionary'!$D$5:$D$135&lt;&gt;"")))</f>
        <v/>
      </c>
      <c r="L2856" s="27">
        <f>IF($A2856="","",TRIM(IF(ISERROR(FIND(",",$C2856)),$C2856,LEFT($C2856,FIND(",",$C2856)-1))))</f>
        <v/>
      </c>
      <c r="M2856" s="28">
        <f>IF($H2856="","",DATE(YEAR($H2856),MONTH($H2856),1))</f>
        <v/>
      </c>
      <c r="N2856" s="26">
        <f>IF($H2856="","",TODAY()-$H2856)</f>
        <v/>
      </c>
      <c r="O2856" s="15" t="n"/>
      <c r="P2856" s="26">
        <f>IF($A2856="","",COUNTIFS('Audit Versions'!$A$6:$A$605,$A2856,'Audit Versions'!$L$6:$L$605,"Active"))</f>
        <v/>
      </c>
      <c r="Q2856" s="15" t="n"/>
      <c r="R2856" s="26">
        <f>IF(OR($A2856="",$P2856=0),"",MOD(N($Q2856),$P2856)+1)</f>
        <v/>
      </c>
      <c r="S2856" s="15" t="n"/>
      <c r="T2856" s="25" t="n"/>
      <c r="U2856" s="26">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Builder'!$B$12="",N($S2856)&lt;='Assignment Builder'!$B$12)))</f>
        <v/>
      </c>
      <c r="V2856" s="23" t="n"/>
    </row>
    <row r="2857">
      <c r="A2857" s="23" t="n"/>
      <c r="B2857" s="23" t="n"/>
      <c r="C2857" s="24" t="n"/>
      <c r="D2857" s="15" t="n"/>
      <c r="E2857" s="23" t="n"/>
      <c r="F2857" s="15" t="n"/>
      <c r="G2857" s="23" t="n"/>
      <c r="H2857" s="25" t="n"/>
      <c r="I2857" s="15" t="n"/>
      <c r="J2857" s="26">
        <f>IF($A2857="","",LEN($C2857)-LEN(SUBSTITUTE($C2857,",",""))+1)</f>
        <v/>
      </c>
      <c r="K2857" s="26">
        <f>IF($A2857="","",SUMPRODUCT(--ISNUMBER(SEARCH('Category Dictionary'!$D$5:$D$135&amp;"",$C2857)),--('Category Dictionary'!$D$5:$D$135&lt;&gt;"")))</f>
        <v/>
      </c>
      <c r="L2857" s="27">
        <f>IF($A2857="","",TRIM(IF(ISERROR(FIND(",",$C2857)),$C2857,LEFT($C2857,FIND(",",$C2857)-1))))</f>
        <v/>
      </c>
      <c r="M2857" s="28">
        <f>IF($H2857="","",DATE(YEAR($H2857),MONTH($H2857),1))</f>
        <v/>
      </c>
      <c r="N2857" s="26">
        <f>IF($H2857="","",TODAY()-$H2857)</f>
        <v/>
      </c>
      <c r="O2857" s="15" t="n"/>
      <c r="P2857" s="26">
        <f>IF($A2857="","",COUNTIFS('Audit Versions'!$A$6:$A$605,$A2857,'Audit Versions'!$L$6:$L$605,"Active"))</f>
        <v/>
      </c>
      <c r="Q2857" s="15" t="n"/>
      <c r="R2857" s="26">
        <f>IF(OR($A2857="",$P2857=0),"",MOD(N($Q2857),$P2857)+1)</f>
        <v/>
      </c>
      <c r="S2857" s="15" t="n"/>
      <c r="T2857" s="25" t="n"/>
      <c r="U2857" s="26">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Builder'!$B$12="",N($S2857)&lt;='Assignment Builder'!$B$12)))</f>
        <v/>
      </c>
      <c r="V2857" s="23" t="n"/>
    </row>
    <row r="2858">
      <c r="A2858" s="23" t="n"/>
      <c r="B2858" s="23" t="n"/>
      <c r="C2858" s="24" t="n"/>
      <c r="D2858" s="15" t="n"/>
      <c r="E2858" s="23" t="n"/>
      <c r="F2858" s="15" t="n"/>
      <c r="G2858" s="23" t="n"/>
      <c r="H2858" s="25" t="n"/>
      <c r="I2858" s="15" t="n"/>
      <c r="J2858" s="26">
        <f>IF($A2858="","",LEN($C2858)-LEN(SUBSTITUTE($C2858,",",""))+1)</f>
        <v/>
      </c>
      <c r="K2858" s="26">
        <f>IF($A2858="","",SUMPRODUCT(--ISNUMBER(SEARCH('Category Dictionary'!$D$5:$D$135&amp;"",$C2858)),--('Category Dictionary'!$D$5:$D$135&lt;&gt;"")))</f>
        <v/>
      </c>
      <c r="L2858" s="27">
        <f>IF($A2858="","",TRIM(IF(ISERROR(FIND(",",$C2858)),$C2858,LEFT($C2858,FIND(",",$C2858)-1))))</f>
        <v/>
      </c>
      <c r="M2858" s="28">
        <f>IF($H2858="","",DATE(YEAR($H2858),MONTH($H2858),1))</f>
        <v/>
      </c>
      <c r="N2858" s="26">
        <f>IF($H2858="","",TODAY()-$H2858)</f>
        <v/>
      </c>
      <c r="O2858" s="15" t="n"/>
      <c r="P2858" s="26">
        <f>IF($A2858="","",COUNTIFS('Audit Versions'!$A$6:$A$605,$A2858,'Audit Versions'!$L$6:$L$605,"Active"))</f>
        <v/>
      </c>
      <c r="Q2858" s="15" t="n"/>
      <c r="R2858" s="26">
        <f>IF(OR($A2858="",$P2858=0),"",MOD(N($Q2858),$P2858)+1)</f>
        <v/>
      </c>
      <c r="S2858" s="15" t="n"/>
      <c r="T2858" s="25" t="n"/>
      <c r="U2858" s="26">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Builder'!$B$12="",N($S2858)&lt;='Assignment Builder'!$B$12)))</f>
        <v/>
      </c>
      <c r="V2858" s="23" t="n"/>
    </row>
    <row r="2859">
      <c r="A2859" s="23" t="n"/>
      <c r="B2859" s="23" t="n"/>
      <c r="C2859" s="24" t="n"/>
      <c r="D2859" s="15" t="n"/>
      <c r="E2859" s="23" t="n"/>
      <c r="F2859" s="15" t="n"/>
      <c r="G2859" s="23" t="n"/>
      <c r="H2859" s="25" t="n"/>
      <c r="I2859" s="15" t="n"/>
      <c r="J2859" s="26">
        <f>IF($A2859="","",LEN($C2859)-LEN(SUBSTITUTE($C2859,",",""))+1)</f>
        <v/>
      </c>
      <c r="K2859" s="26">
        <f>IF($A2859="","",SUMPRODUCT(--ISNUMBER(SEARCH('Category Dictionary'!$D$5:$D$135&amp;"",$C2859)),--('Category Dictionary'!$D$5:$D$135&lt;&gt;"")))</f>
        <v/>
      </c>
      <c r="L2859" s="27">
        <f>IF($A2859="","",TRIM(IF(ISERROR(FIND(",",$C2859)),$C2859,LEFT($C2859,FIND(",",$C2859)-1))))</f>
        <v/>
      </c>
      <c r="M2859" s="28">
        <f>IF($H2859="","",DATE(YEAR($H2859),MONTH($H2859),1))</f>
        <v/>
      </c>
      <c r="N2859" s="26">
        <f>IF($H2859="","",TODAY()-$H2859)</f>
        <v/>
      </c>
      <c r="O2859" s="15" t="n"/>
      <c r="P2859" s="26">
        <f>IF($A2859="","",COUNTIFS('Audit Versions'!$A$6:$A$605,$A2859,'Audit Versions'!$L$6:$L$605,"Active"))</f>
        <v/>
      </c>
      <c r="Q2859" s="15" t="n"/>
      <c r="R2859" s="26">
        <f>IF(OR($A2859="",$P2859=0),"",MOD(N($Q2859),$P2859)+1)</f>
        <v/>
      </c>
      <c r="S2859" s="15" t="n"/>
      <c r="T2859" s="25" t="n"/>
      <c r="U2859" s="26">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Builder'!$B$12="",N($S2859)&lt;='Assignment Builder'!$B$12)))</f>
        <v/>
      </c>
      <c r="V2859" s="23" t="n"/>
    </row>
    <row r="2860">
      <c r="A2860" s="23" t="n"/>
      <c r="B2860" s="23" t="n"/>
      <c r="C2860" s="24" t="n"/>
      <c r="D2860" s="15" t="n"/>
      <c r="E2860" s="23" t="n"/>
      <c r="F2860" s="15" t="n"/>
      <c r="G2860" s="23" t="n"/>
      <c r="H2860" s="25" t="n"/>
      <c r="I2860" s="15" t="n"/>
      <c r="J2860" s="26">
        <f>IF($A2860="","",LEN($C2860)-LEN(SUBSTITUTE($C2860,",",""))+1)</f>
        <v/>
      </c>
      <c r="K2860" s="26">
        <f>IF($A2860="","",SUMPRODUCT(--ISNUMBER(SEARCH('Category Dictionary'!$D$5:$D$135&amp;"",$C2860)),--('Category Dictionary'!$D$5:$D$135&lt;&gt;"")))</f>
        <v/>
      </c>
      <c r="L2860" s="27">
        <f>IF($A2860="","",TRIM(IF(ISERROR(FIND(",",$C2860)),$C2860,LEFT($C2860,FIND(",",$C2860)-1))))</f>
        <v/>
      </c>
      <c r="M2860" s="28">
        <f>IF($H2860="","",DATE(YEAR($H2860),MONTH($H2860),1))</f>
        <v/>
      </c>
      <c r="N2860" s="26">
        <f>IF($H2860="","",TODAY()-$H2860)</f>
        <v/>
      </c>
      <c r="O2860" s="15" t="n"/>
      <c r="P2860" s="26">
        <f>IF($A2860="","",COUNTIFS('Audit Versions'!$A$6:$A$605,$A2860,'Audit Versions'!$L$6:$L$605,"Active"))</f>
        <v/>
      </c>
      <c r="Q2860" s="15" t="n"/>
      <c r="R2860" s="26">
        <f>IF(OR($A2860="",$P2860=0),"",MOD(N($Q2860),$P2860)+1)</f>
        <v/>
      </c>
      <c r="S2860" s="15" t="n"/>
      <c r="T2860" s="25" t="n"/>
      <c r="U2860" s="26">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Builder'!$B$12="",N($S2860)&lt;='Assignment Builder'!$B$12)))</f>
        <v/>
      </c>
      <c r="V2860" s="23" t="n"/>
    </row>
    <row r="2861">
      <c r="A2861" s="23" t="n"/>
      <c r="B2861" s="23" t="n"/>
      <c r="C2861" s="24" t="n"/>
      <c r="D2861" s="15" t="n"/>
      <c r="E2861" s="23" t="n"/>
      <c r="F2861" s="15" t="n"/>
      <c r="G2861" s="23" t="n"/>
      <c r="H2861" s="25" t="n"/>
      <c r="I2861" s="15" t="n"/>
      <c r="J2861" s="26">
        <f>IF($A2861="","",LEN($C2861)-LEN(SUBSTITUTE($C2861,",",""))+1)</f>
        <v/>
      </c>
      <c r="K2861" s="26">
        <f>IF($A2861="","",SUMPRODUCT(--ISNUMBER(SEARCH('Category Dictionary'!$D$5:$D$135&amp;"",$C2861)),--('Category Dictionary'!$D$5:$D$135&lt;&gt;"")))</f>
        <v/>
      </c>
      <c r="L2861" s="27">
        <f>IF($A2861="","",TRIM(IF(ISERROR(FIND(",",$C2861)),$C2861,LEFT($C2861,FIND(",",$C2861)-1))))</f>
        <v/>
      </c>
      <c r="M2861" s="28">
        <f>IF($H2861="","",DATE(YEAR($H2861),MONTH($H2861),1))</f>
        <v/>
      </c>
      <c r="N2861" s="26">
        <f>IF($H2861="","",TODAY()-$H2861)</f>
        <v/>
      </c>
      <c r="O2861" s="15" t="n"/>
      <c r="P2861" s="26">
        <f>IF($A2861="","",COUNTIFS('Audit Versions'!$A$6:$A$605,$A2861,'Audit Versions'!$L$6:$L$605,"Active"))</f>
        <v/>
      </c>
      <c r="Q2861" s="15" t="n"/>
      <c r="R2861" s="26">
        <f>IF(OR($A2861="",$P2861=0),"",MOD(N($Q2861),$P2861)+1)</f>
        <v/>
      </c>
      <c r="S2861" s="15" t="n"/>
      <c r="T2861" s="25" t="n"/>
      <c r="U2861" s="26">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Builder'!$B$12="",N($S2861)&lt;='Assignment Builder'!$B$12)))</f>
        <v/>
      </c>
      <c r="V2861" s="23" t="n"/>
    </row>
    <row r="2862">
      <c r="A2862" s="23" t="n"/>
      <c r="B2862" s="23" t="n"/>
      <c r="C2862" s="24" t="n"/>
      <c r="D2862" s="15" t="n"/>
      <c r="E2862" s="23" t="n"/>
      <c r="F2862" s="15" t="n"/>
      <c r="G2862" s="23" t="n"/>
      <c r="H2862" s="25" t="n"/>
      <c r="I2862" s="15" t="n"/>
      <c r="J2862" s="26">
        <f>IF($A2862="","",LEN($C2862)-LEN(SUBSTITUTE($C2862,",",""))+1)</f>
        <v/>
      </c>
      <c r="K2862" s="26">
        <f>IF($A2862="","",SUMPRODUCT(--ISNUMBER(SEARCH('Category Dictionary'!$D$5:$D$135&amp;"",$C2862)),--('Category Dictionary'!$D$5:$D$135&lt;&gt;"")))</f>
        <v/>
      </c>
      <c r="L2862" s="27">
        <f>IF($A2862="","",TRIM(IF(ISERROR(FIND(",",$C2862)),$C2862,LEFT($C2862,FIND(",",$C2862)-1))))</f>
        <v/>
      </c>
      <c r="M2862" s="28">
        <f>IF($H2862="","",DATE(YEAR($H2862),MONTH($H2862),1))</f>
        <v/>
      </c>
      <c r="N2862" s="26">
        <f>IF($H2862="","",TODAY()-$H2862)</f>
        <v/>
      </c>
      <c r="O2862" s="15" t="n"/>
      <c r="P2862" s="26">
        <f>IF($A2862="","",COUNTIFS('Audit Versions'!$A$6:$A$605,$A2862,'Audit Versions'!$L$6:$L$605,"Active"))</f>
        <v/>
      </c>
      <c r="Q2862" s="15" t="n"/>
      <c r="R2862" s="26">
        <f>IF(OR($A2862="",$P2862=0),"",MOD(N($Q2862),$P2862)+1)</f>
        <v/>
      </c>
      <c r="S2862" s="15" t="n"/>
      <c r="T2862" s="25" t="n"/>
      <c r="U2862" s="26">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Builder'!$B$12="",N($S2862)&lt;='Assignment Builder'!$B$12)))</f>
        <v/>
      </c>
      <c r="V2862" s="23" t="n"/>
    </row>
    <row r="2863">
      <c r="A2863" s="23" t="n"/>
      <c r="B2863" s="23" t="n"/>
      <c r="C2863" s="24" t="n"/>
      <c r="D2863" s="15" t="n"/>
      <c r="E2863" s="23" t="n"/>
      <c r="F2863" s="15" t="n"/>
      <c r="G2863" s="23" t="n"/>
      <c r="H2863" s="25" t="n"/>
      <c r="I2863" s="15" t="n"/>
      <c r="J2863" s="26">
        <f>IF($A2863="","",LEN($C2863)-LEN(SUBSTITUTE($C2863,",",""))+1)</f>
        <v/>
      </c>
      <c r="K2863" s="26">
        <f>IF($A2863="","",SUMPRODUCT(--ISNUMBER(SEARCH('Category Dictionary'!$D$5:$D$135&amp;"",$C2863)),--('Category Dictionary'!$D$5:$D$135&lt;&gt;"")))</f>
        <v/>
      </c>
      <c r="L2863" s="27">
        <f>IF($A2863="","",TRIM(IF(ISERROR(FIND(",",$C2863)),$C2863,LEFT($C2863,FIND(",",$C2863)-1))))</f>
        <v/>
      </c>
      <c r="M2863" s="28">
        <f>IF($H2863="","",DATE(YEAR($H2863),MONTH($H2863),1))</f>
        <v/>
      </c>
      <c r="N2863" s="26">
        <f>IF($H2863="","",TODAY()-$H2863)</f>
        <v/>
      </c>
      <c r="O2863" s="15" t="n"/>
      <c r="P2863" s="26">
        <f>IF($A2863="","",COUNTIFS('Audit Versions'!$A$6:$A$605,$A2863,'Audit Versions'!$L$6:$L$605,"Active"))</f>
        <v/>
      </c>
      <c r="Q2863" s="15" t="n"/>
      <c r="R2863" s="26">
        <f>IF(OR($A2863="",$P2863=0),"",MOD(N($Q2863),$P2863)+1)</f>
        <v/>
      </c>
      <c r="S2863" s="15" t="n"/>
      <c r="T2863" s="25" t="n"/>
      <c r="U2863" s="26">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Builder'!$B$12="",N($S2863)&lt;='Assignment Builder'!$B$12)))</f>
        <v/>
      </c>
      <c r="V2863" s="23" t="n"/>
    </row>
    <row r="2864">
      <c r="A2864" s="23" t="n"/>
      <c r="B2864" s="23" t="n"/>
      <c r="C2864" s="24" t="n"/>
      <c r="D2864" s="15" t="n"/>
      <c r="E2864" s="23" t="n"/>
      <c r="F2864" s="15" t="n"/>
      <c r="G2864" s="23" t="n"/>
      <c r="H2864" s="25" t="n"/>
      <c r="I2864" s="15" t="n"/>
      <c r="J2864" s="26">
        <f>IF($A2864="","",LEN($C2864)-LEN(SUBSTITUTE($C2864,",",""))+1)</f>
        <v/>
      </c>
      <c r="K2864" s="26">
        <f>IF($A2864="","",SUMPRODUCT(--ISNUMBER(SEARCH('Category Dictionary'!$D$5:$D$135&amp;"",$C2864)),--('Category Dictionary'!$D$5:$D$135&lt;&gt;"")))</f>
        <v/>
      </c>
      <c r="L2864" s="27">
        <f>IF($A2864="","",TRIM(IF(ISERROR(FIND(",",$C2864)),$C2864,LEFT($C2864,FIND(",",$C2864)-1))))</f>
        <v/>
      </c>
      <c r="M2864" s="28">
        <f>IF($H2864="","",DATE(YEAR($H2864),MONTH($H2864),1))</f>
        <v/>
      </c>
      <c r="N2864" s="26">
        <f>IF($H2864="","",TODAY()-$H2864)</f>
        <v/>
      </c>
      <c r="O2864" s="15" t="n"/>
      <c r="P2864" s="26">
        <f>IF($A2864="","",COUNTIFS('Audit Versions'!$A$6:$A$605,$A2864,'Audit Versions'!$L$6:$L$605,"Active"))</f>
        <v/>
      </c>
      <c r="Q2864" s="15" t="n"/>
      <c r="R2864" s="26">
        <f>IF(OR($A2864="",$P2864=0),"",MOD(N($Q2864),$P2864)+1)</f>
        <v/>
      </c>
      <c r="S2864" s="15" t="n"/>
      <c r="T2864" s="25" t="n"/>
      <c r="U2864" s="26">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Builder'!$B$12="",N($S2864)&lt;='Assignment Builder'!$B$12)))</f>
        <v/>
      </c>
      <c r="V2864" s="23" t="n"/>
    </row>
    <row r="2865">
      <c r="A2865" s="23" t="n"/>
      <c r="B2865" s="23" t="n"/>
      <c r="C2865" s="24" t="n"/>
      <c r="D2865" s="15" t="n"/>
      <c r="E2865" s="23" t="n"/>
      <c r="F2865" s="15" t="n"/>
      <c r="G2865" s="23" t="n"/>
      <c r="H2865" s="25" t="n"/>
      <c r="I2865" s="15" t="n"/>
      <c r="J2865" s="26">
        <f>IF($A2865="","",LEN($C2865)-LEN(SUBSTITUTE($C2865,",",""))+1)</f>
        <v/>
      </c>
      <c r="K2865" s="26">
        <f>IF($A2865="","",SUMPRODUCT(--ISNUMBER(SEARCH('Category Dictionary'!$D$5:$D$135&amp;"",$C2865)),--('Category Dictionary'!$D$5:$D$135&lt;&gt;"")))</f>
        <v/>
      </c>
      <c r="L2865" s="27">
        <f>IF($A2865="","",TRIM(IF(ISERROR(FIND(",",$C2865)),$C2865,LEFT($C2865,FIND(",",$C2865)-1))))</f>
        <v/>
      </c>
      <c r="M2865" s="28">
        <f>IF($H2865="","",DATE(YEAR($H2865),MONTH($H2865),1))</f>
        <v/>
      </c>
      <c r="N2865" s="26">
        <f>IF($H2865="","",TODAY()-$H2865)</f>
        <v/>
      </c>
      <c r="O2865" s="15" t="n"/>
      <c r="P2865" s="26">
        <f>IF($A2865="","",COUNTIFS('Audit Versions'!$A$6:$A$605,$A2865,'Audit Versions'!$L$6:$L$605,"Active"))</f>
        <v/>
      </c>
      <c r="Q2865" s="15" t="n"/>
      <c r="R2865" s="26">
        <f>IF(OR($A2865="",$P2865=0),"",MOD(N($Q2865),$P2865)+1)</f>
        <v/>
      </c>
      <c r="S2865" s="15" t="n"/>
      <c r="T2865" s="25" t="n"/>
      <c r="U2865" s="26">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Builder'!$B$12="",N($S2865)&lt;='Assignment Builder'!$B$12)))</f>
        <v/>
      </c>
      <c r="V2865" s="23" t="n"/>
    </row>
    <row r="2866">
      <c r="A2866" s="23" t="n"/>
      <c r="B2866" s="23" t="n"/>
      <c r="C2866" s="24" t="n"/>
      <c r="D2866" s="15" t="n"/>
      <c r="E2866" s="23" t="n"/>
      <c r="F2866" s="15" t="n"/>
      <c r="G2866" s="23" t="n"/>
      <c r="H2866" s="25" t="n"/>
      <c r="I2866" s="15" t="n"/>
      <c r="J2866" s="26">
        <f>IF($A2866="","",LEN($C2866)-LEN(SUBSTITUTE($C2866,",",""))+1)</f>
        <v/>
      </c>
      <c r="K2866" s="26">
        <f>IF($A2866="","",SUMPRODUCT(--ISNUMBER(SEARCH('Category Dictionary'!$D$5:$D$135&amp;"",$C2866)),--('Category Dictionary'!$D$5:$D$135&lt;&gt;"")))</f>
        <v/>
      </c>
      <c r="L2866" s="27">
        <f>IF($A2866="","",TRIM(IF(ISERROR(FIND(",",$C2866)),$C2866,LEFT($C2866,FIND(",",$C2866)-1))))</f>
        <v/>
      </c>
      <c r="M2866" s="28">
        <f>IF($H2866="","",DATE(YEAR($H2866),MONTH($H2866),1))</f>
        <v/>
      </c>
      <c r="N2866" s="26">
        <f>IF($H2866="","",TODAY()-$H2866)</f>
        <v/>
      </c>
      <c r="O2866" s="15" t="n"/>
      <c r="P2866" s="26">
        <f>IF($A2866="","",COUNTIFS('Audit Versions'!$A$6:$A$605,$A2866,'Audit Versions'!$L$6:$L$605,"Active"))</f>
        <v/>
      </c>
      <c r="Q2866" s="15" t="n"/>
      <c r="R2866" s="26">
        <f>IF(OR($A2866="",$P2866=0),"",MOD(N($Q2866),$P2866)+1)</f>
        <v/>
      </c>
      <c r="S2866" s="15" t="n"/>
      <c r="T2866" s="25" t="n"/>
      <c r="U2866" s="26">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Builder'!$B$12="",N($S2866)&lt;='Assignment Builder'!$B$12)))</f>
        <v/>
      </c>
      <c r="V2866" s="23" t="n"/>
    </row>
    <row r="2867">
      <c r="A2867" s="23" t="n"/>
      <c r="B2867" s="23" t="n"/>
      <c r="C2867" s="24" t="n"/>
      <c r="D2867" s="15" t="n"/>
      <c r="E2867" s="23" t="n"/>
      <c r="F2867" s="15" t="n"/>
      <c r="G2867" s="23" t="n"/>
      <c r="H2867" s="25" t="n"/>
      <c r="I2867" s="15" t="n"/>
      <c r="J2867" s="26">
        <f>IF($A2867="","",LEN($C2867)-LEN(SUBSTITUTE($C2867,",",""))+1)</f>
        <v/>
      </c>
      <c r="K2867" s="26">
        <f>IF($A2867="","",SUMPRODUCT(--ISNUMBER(SEARCH('Category Dictionary'!$D$5:$D$135&amp;"",$C2867)),--('Category Dictionary'!$D$5:$D$135&lt;&gt;"")))</f>
        <v/>
      </c>
      <c r="L2867" s="27">
        <f>IF($A2867="","",TRIM(IF(ISERROR(FIND(",",$C2867)),$C2867,LEFT($C2867,FIND(",",$C2867)-1))))</f>
        <v/>
      </c>
      <c r="M2867" s="28">
        <f>IF($H2867="","",DATE(YEAR($H2867),MONTH($H2867),1))</f>
        <v/>
      </c>
      <c r="N2867" s="26">
        <f>IF($H2867="","",TODAY()-$H2867)</f>
        <v/>
      </c>
      <c r="O2867" s="15" t="n"/>
      <c r="P2867" s="26">
        <f>IF($A2867="","",COUNTIFS('Audit Versions'!$A$6:$A$605,$A2867,'Audit Versions'!$L$6:$L$605,"Active"))</f>
        <v/>
      </c>
      <c r="Q2867" s="15" t="n"/>
      <c r="R2867" s="26">
        <f>IF(OR($A2867="",$P2867=0),"",MOD(N($Q2867),$P2867)+1)</f>
        <v/>
      </c>
      <c r="S2867" s="15" t="n"/>
      <c r="T2867" s="25" t="n"/>
      <c r="U2867" s="26">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Builder'!$B$12="",N($S2867)&lt;='Assignment Builder'!$B$12)))</f>
        <v/>
      </c>
      <c r="V2867" s="23" t="n"/>
    </row>
    <row r="2868">
      <c r="A2868" s="23" t="n"/>
      <c r="B2868" s="23" t="n"/>
      <c r="C2868" s="24" t="n"/>
      <c r="D2868" s="15" t="n"/>
      <c r="E2868" s="23" t="n"/>
      <c r="F2868" s="15" t="n"/>
      <c r="G2868" s="23" t="n"/>
      <c r="H2868" s="25" t="n"/>
      <c r="I2868" s="15" t="n"/>
      <c r="J2868" s="26">
        <f>IF($A2868="","",LEN($C2868)-LEN(SUBSTITUTE($C2868,",",""))+1)</f>
        <v/>
      </c>
      <c r="K2868" s="26">
        <f>IF($A2868="","",SUMPRODUCT(--ISNUMBER(SEARCH('Category Dictionary'!$D$5:$D$135&amp;"",$C2868)),--('Category Dictionary'!$D$5:$D$135&lt;&gt;"")))</f>
        <v/>
      </c>
      <c r="L2868" s="27">
        <f>IF($A2868="","",TRIM(IF(ISERROR(FIND(",",$C2868)),$C2868,LEFT($C2868,FIND(",",$C2868)-1))))</f>
        <v/>
      </c>
      <c r="M2868" s="28">
        <f>IF($H2868="","",DATE(YEAR($H2868),MONTH($H2868),1))</f>
        <v/>
      </c>
      <c r="N2868" s="26">
        <f>IF($H2868="","",TODAY()-$H2868)</f>
        <v/>
      </c>
      <c r="O2868" s="15" t="n"/>
      <c r="P2868" s="26">
        <f>IF($A2868="","",COUNTIFS('Audit Versions'!$A$6:$A$605,$A2868,'Audit Versions'!$L$6:$L$605,"Active"))</f>
        <v/>
      </c>
      <c r="Q2868" s="15" t="n"/>
      <c r="R2868" s="26">
        <f>IF(OR($A2868="",$P2868=0),"",MOD(N($Q2868),$P2868)+1)</f>
        <v/>
      </c>
      <c r="S2868" s="15" t="n"/>
      <c r="T2868" s="25" t="n"/>
      <c r="U2868" s="26">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Builder'!$B$12="",N($S2868)&lt;='Assignment Builder'!$B$12)))</f>
        <v/>
      </c>
      <c r="V2868" s="23" t="n"/>
    </row>
    <row r="2869">
      <c r="A2869" s="23" t="n"/>
      <c r="B2869" s="23" t="n"/>
      <c r="C2869" s="24" t="n"/>
      <c r="D2869" s="15" t="n"/>
      <c r="E2869" s="23" t="n"/>
      <c r="F2869" s="15" t="n"/>
      <c r="G2869" s="23" t="n"/>
      <c r="H2869" s="25" t="n"/>
      <c r="I2869" s="15" t="n"/>
      <c r="J2869" s="26">
        <f>IF($A2869="","",LEN($C2869)-LEN(SUBSTITUTE($C2869,",",""))+1)</f>
        <v/>
      </c>
      <c r="K2869" s="26">
        <f>IF($A2869="","",SUMPRODUCT(--ISNUMBER(SEARCH('Category Dictionary'!$D$5:$D$135&amp;"",$C2869)),--('Category Dictionary'!$D$5:$D$135&lt;&gt;"")))</f>
        <v/>
      </c>
      <c r="L2869" s="27">
        <f>IF($A2869="","",TRIM(IF(ISERROR(FIND(",",$C2869)),$C2869,LEFT($C2869,FIND(",",$C2869)-1))))</f>
        <v/>
      </c>
      <c r="M2869" s="28">
        <f>IF($H2869="","",DATE(YEAR($H2869),MONTH($H2869),1))</f>
        <v/>
      </c>
      <c r="N2869" s="26">
        <f>IF($H2869="","",TODAY()-$H2869)</f>
        <v/>
      </c>
      <c r="O2869" s="15" t="n"/>
      <c r="P2869" s="26">
        <f>IF($A2869="","",COUNTIFS('Audit Versions'!$A$6:$A$605,$A2869,'Audit Versions'!$L$6:$L$605,"Active"))</f>
        <v/>
      </c>
      <c r="Q2869" s="15" t="n"/>
      <c r="R2869" s="26">
        <f>IF(OR($A2869="",$P2869=0),"",MOD(N($Q2869),$P2869)+1)</f>
        <v/>
      </c>
      <c r="S2869" s="15" t="n"/>
      <c r="T2869" s="25" t="n"/>
      <c r="U2869" s="26">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Builder'!$B$12="",N($S2869)&lt;='Assignment Builder'!$B$12)))</f>
        <v/>
      </c>
      <c r="V2869" s="23" t="n"/>
    </row>
    <row r="2870">
      <c r="A2870" s="23" t="n"/>
      <c r="B2870" s="23" t="n"/>
      <c r="C2870" s="24" t="n"/>
      <c r="D2870" s="15" t="n"/>
      <c r="E2870" s="23" t="n"/>
      <c r="F2870" s="15" t="n"/>
      <c r="G2870" s="23" t="n"/>
      <c r="H2870" s="25" t="n"/>
      <c r="I2870" s="15" t="n"/>
      <c r="J2870" s="26">
        <f>IF($A2870="","",LEN($C2870)-LEN(SUBSTITUTE($C2870,",",""))+1)</f>
        <v/>
      </c>
      <c r="K2870" s="26">
        <f>IF($A2870="","",SUMPRODUCT(--ISNUMBER(SEARCH('Category Dictionary'!$D$5:$D$135&amp;"",$C2870)),--('Category Dictionary'!$D$5:$D$135&lt;&gt;"")))</f>
        <v/>
      </c>
      <c r="L2870" s="27">
        <f>IF($A2870="","",TRIM(IF(ISERROR(FIND(",",$C2870)),$C2870,LEFT($C2870,FIND(",",$C2870)-1))))</f>
        <v/>
      </c>
      <c r="M2870" s="28">
        <f>IF($H2870="","",DATE(YEAR($H2870),MONTH($H2870),1))</f>
        <v/>
      </c>
      <c r="N2870" s="26">
        <f>IF($H2870="","",TODAY()-$H2870)</f>
        <v/>
      </c>
      <c r="O2870" s="15" t="n"/>
      <c r="P2870" s="26">
        <f>IF($A2870="","",COUNTIFS('Audit Versions'!$A$6:$A$605,$A2870,'Audit Versions'!$L$6:$L$605,"Active"))</f>
        <v/>
      </c>
      <c r="Q2870" s="15" t="n"/>
      <c r="R2870" s="26">
        <f>IF(OR($A2870="",$P2870=0),"",MOD(N($Q2870),$P2870)+1)</f>
        <v/>
      </c>
      <c r="S2870" s="15" t="n"/>
      <c r="T2870" s="25" t="n"/>
      <c r="U2870" s="26">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Builder'!$B$12="",N($S2870)&lt;='Assignment Builder'!$B$12)))</f>
        <v/>
      </c>
      <c r="V2870" s="23" t="n"/>
    </row>
    <row r="2871">
      <c r="A2871" s="23" t="n"/>
      <c r="B2871" s="23" t="n"/>
      <c r="C2871" s="24" t="n"/>
      <c r="D2871" s="15" t="n"/>
      <c r="E2871" s="23" t="n"/>
      <c r="F2871" s="15" t="n"/>
      <c r="G2871" s="23" t="n"/>
      <c r="H2871" s="25" t="n"/>
      <c r="I2871" s="15" t="n"/>
      <c r="J2871" s="26">
        <f>IF($A2871="","",LEN($C2871)-LEN(SUBSTITUTE($C2871,",",""))+1)</f>
        <v/>
      </c>
      <c r="K2871" s="26">
        <f>IF($A2871="","",SUMPRODUCT(--ISNUMBER(SEARCH('Category Dictionary'!$D$5:$D$135&amp;"",$C2871)),--('Category Dictionary'!$D$5:$D$135&lt;&gt;"")))</f>
        <v/>
      </c>
      <c r="L2871" s="27">
        <f>IF($A2871="","",TRIM(IF(ISERROR(FIND(",",$C2871)),$C2871,LEFT($C2871,FIND(",",$C2871)-1))))</f>
        <v/>
      </c>
      <c r="M2871" s="28">
        <f>IF($H2871="","",DATE(YEAR($H2871),MONTH($H2871),1))</f>
        <v/>
      </c>
      <c r="N2871" s="26">
        <f>IF($H2871="","",TODAY()-$H2871)</f>
        <v/>
      </c>
      <c r="O2871" s="15" t="n"/>
      <c r="P2871" s="26">
        <f>IF($A2871="","",COUNTIFS('Audit Versions'!$A$6:$A$605,$A2871,'Audit Versions'!$L$6:$L$605,"Active"))</f>
        <v/>
      </c>
      <c r="Q2871" s="15" t="n"/>
      <c r="R2871" s="26">
        <f>IF(OR($A2871="",$P2871=0),"",MOD(N($Q2871),$P2871)+1)</f>
        <v/>
      </c>
      <c r="S2871" s="15" t="n"/>
      <c r="T2871" s="25" t="n"/>
      <c r="U2871" s="26">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Builder'!$B$12="",N($S2871)&lt;='Assignment Builder'!$B$12)))</f>
        <v/>
      </c>
      <c r="V2871" s="23" t="n"/>
    </row>
    <row r="2872">
      <c r="A2872" s="23" t="n"/>
      <c r="B2872" s="23" t="n"/>
      <c r="C2872" s="24" t="n"/>
      <c r="D2872" s="15" t="n"/>
      <c r="E2872" s="23" t="n"/>
      <c r="F2872" s="15" t="n"/>
      <c r="G2872" s="23" t="n"/>
      <c r="H2872" s="25" t="n"/>
      <c r="I2872" s="15" t="n"/>
      <c r="J2872" s="26">
        <f>IF($A2872="","",LEN($C2872)-LEN(SUBSTITUTE($C2872,",",""))+1)</f>
        <v/>
      </c>
      <c r="K2872" s="26">
        <f>IF($A2872="","",SUMPRODUCT(--ISNUMBER(SEARCH('Category Dictionary'!$D$5:$D$135&amp;"",$C2872)),--('Category Dictionary'!$D$5:$D$135&lt;&gt;"")))</f>
        <v/>
      </c>
      <c r="L2872" s="27">
        <f>IF($A2872="","",TRIM(IF(ISERROR(FIND(",",$C2872)),$C2872,LEFT($C2872,FIND(",",$C2872)-1))))</f>
        <v/>
      </c>
      <c r="M2872" s="28">
        <f>IF($H2872="","",DATE(YEAR($H2872),MONTH($H2872),1))</f>
        <v/>
      </c>
      <c r="N2872" s="26">
        <f>IF($H2872="","",TODAY()-$H2872)</f>
        <v/>
      </c>
      <c r="O2872" s="15" t="n"/>
      <c r="P2872" s="26">
        <f>IF($A2872="","",COUNTIFS('Audit Versions'!$A$6:$A$605,$A2872,'Audit Versions'!$L$6:$L$605,"Active"))</f>
        <v/>
      </c>
      <c r="Q2872" s="15" t="n"/>
      <c r="R2872" s="26">
        <f>IF(OR($A2872="",$P2872=0),"",MOD(N($Q2872),$P2872)+1)</f>
        <v/>
      </c>
      <c r="S2872" s="15" t="n"/>
      <c r="T2872" s="25" t="n"/>
      <c r="U2872" s="26">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Builder'!$B$12="",N($S2872)&lt;='Assignment Builder'!$B$12)))</f>
        <v/>
      </c>
      <c r="V2872" s="23" t="n"/>
    </row>
    <row r="2873">
      <c r="A2873" s="23" t="n"/>
      <c r="B2873" s="23" t="n"/>
      <c r="C2873" s="24" t="n"/>
      <c r="D2873" s="15" t="n"/>
      <c r="E2873" s="23" t="n"/>
      <c r="F2873" s="15" t="n"/>
      <c r="G2873" s="23" t="n"/>
      <c r="H2873" s="25" t="n"/>
      <c r="I2873" s="15" t="n"/>
      <c r="J2873" s="26">
        <f>IF($A2873="","",LEN($C2873)-LEN(SUBSTITUTE($C2873,",",""))+1)</f>
        <v/>
      </c>
      <c r="K2873" s="26">
        <f>IF($A2873="","",SUMPRODUCT(--ISNUMBER(SEARCH('Category Dictionary'!$D$5:$D$135&amp;"",$C2873)),--('Category Dictionary'!$D$5:$D$135&lt;&gt;"")))</f>
        <v/>
      </c>
      <c r="L2873" s="27">
        <f>IF($A2873="","",TRIM(IF(ISERROR(FIND(",",$C2873)),$C2873,LEFT($C2873,FIND(",",$C2873)-1))))</f>
        <v/>
      </c>
      <c r="M2873" s="28">
        <f>IF($H2873="","",DATE(YEAR($H2873),MONTH($H2873),1))</f>
        <v/>
      </c>
      <c r="N2873" s="26">
        <f>IF($H2873="","",TODAY()-$H2873)</f>
        <v/>
      </c>
      <c r="O2873" s="15" t="n"/>
      <c r="P2873" s="26">
        <f>IF($A2873="","",COUNTIFS('Audit Versions'!$A$6:$A$605,$A2873,'Audit Versions'!$L$6:$L$605,"Active"))</f>
        <v/>
      </c>
      <c r="Q2873" s="15" t="n"/>
      <c r="R2873" s="26">
        <f>IF(OR($A2873="",$P2873=0),"",MOD(N($Q2873),$P2873)+1)</f>
        <v/>
      </c>
      <c r="S2873" s="15" t="n"/>
      <c r="T2873" s="25" t="n"/>
      <c r="U2873" s="26">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Builder'!$B$12="",N($S2873)&lt;='Assignment Builder'!$B$12)))</f>
        <v/>
      </c>
      <c r="V2873" s="23" t="n"/>
    </row>
    <row r="2874">
      <c r="A2874" s="23" t="n"/>
      <c r="B2874" s="23" t="n"/>
      <c r="C2874" s="24" t="n"/>
      <c r="D2874" s="15" t="n"/>
      <c r="E2874" s="23" t="n"/>
      <c r="F2874" s="15" t="n"/>
      <c r="G2874" s="23" t="n"/>
      <c r="H2874" s="25" t="n"/>
      <c r="I2874" s="15" t="n"/>
      <c r="J2874" s="26">
        <f>IF($A2874="","",LEN($C2874)-LEN(SUBSTITUTE($C2874,",",""))+1)</f>
        <v/>
      </c>
      <c r="K2874" s="26">
        <f>IF($A2874="","",SUMPRODUCT(--ISNUMBER(SEARCH('Category Dictionary'!$D$5:$D$135&amp;"",$C2874)),--('Category Dictionary'!$D$5:$D$135&lt;&gt;"")))</f>
        <v/>
      </c>
      <c r="L2874" s="27">
        <f>IF($A2874="","",TRIM(IF(ISERROR(FIND(",",$C2874)),$C2874,LEFT($C2874,FIND(",",$C2874)-1))))</f>
        <v/>
      </c>
      <c r="M2874" s="28">
        <f>IF($H2874="","",DATE(YEAR($H2874),MONTH($H2874),1))</f>
        <v/>
      </c>
      <c r="N2874" s="26">
        <f>IF($H2874="","",TODAY()-$H2874)</f>
        <v/>
      </c>
      <c r="O2874" s="15" t="n"/>
      <c r="P2874" s="26">
        <f>IF($A2874="","",COUNTIFS('Audit Versions'!$A$6:$A$605,$A2874,'Audit Versions'!$L$6:$L$605,"Active"))</f>
        <v/>
      </c>
      <c r="Q2874" s="15" t="n"/>
      <c r="R2874" s="26">
        <f>IF(OR($A2874="",$P2874=0),"",MOD(N($Q2874),$P2874)+1)</f>
        <v/>
      </c>
      <c r="S2874" s="15" t="n"/>
      <c r="T2874" s="25" t="n"/>
      <c r="U2874" s="26">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Builder'!$B$12="",N($S2874)&lt;='Assignment Builder'!$B$12)))</f>
        <v/>
      </c>
      <c r="V2874" s="23" t="n"/>
    </row>
    <row r="2875">
      <c r="A2875" s="23" t="n"/>
      <c r="B2875" s="23" t="n"/>
      <c r="C2875" s="24" t="n"/>
      <c r="D2875" s="15" t="n"/>
      <c r="E2875" s="23" t="n"/>
      <c r="F2875" s="15" t="n"/>
      <c r="G2875" s="23" t="n"/>
      <c r="H2875" s="25" t="n"/>
      <c r="I2875" s="15" t="n"/>
      <c r="J2875" s="26">
        <f>IF($A2875="","",LEN($C2875)-LEN(SUBSTITUTE($C2875,",",""))+1)</f>
        <v/>
      </c>
      <c r="K2875" s="26">
        <f>IF($A2875="","",SUMPRODUCT(--ISNUMBER(SEARCH('Category Dictionary'!$D$5:$D$135&amp;"",$C2875)),--('Category Dictionary'!$D$5:$D$135&lt;&gt;"")))</f>
        <v/>
      </c>
      <c r="L2875" s="27">
        <f>IF($A2875="","",TRIM(IF(ISERROR(FIND(",",$C2875)),$C2875,LEFT($C2875,FIND(",",$C2875)-1))))</f>
        <v/>
      </c>
      <c r="M2875" s="28">
        <f>IF($H2875="","",DATE(YEAR($H2875),MONTH($H2875),1))</f>
        <v/>
      </c>
      <c r="N2875" s="26">
        <f>IF($H2875="","",TODAY()-$H2875)</f>
        <v/>
      </c>
      <c r="O2875" s="15" t="n"/>
      <c r="P2875" s="26">
        <f>IF($A2875="","",COUNTIFS('Audit Versions'!$A$6:$A$605,$A2875,'Audit Versions'!$L$6:$L$605,"Active"))</f>
        <v/>
      </c>
      <c r="Q2875" s="15" t="n"/>
      <c r="R2875" s="26">
        <f>IF(OR($A2875="",$P2875=0),"",MOD(N($Q2875),$P2875)+1)</f>
        <v/>
      </c>
      <c r="S2875" s="15" t="n"/>
      <c r="T2875" s="25" t="n"/>
      <c r="U2875" s="26">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Builder'!$B$12="",N($S2875)&lt;='Assignment Builder'!$B$12)))</f>
        <v/>
      </c>
      <c r="V2875" s="23" t="n"/>
    </row>
    <row r="2876">
      <c r="A2876" s="23" t="n"/>
      <c r="B2876" s="23" t="n"/>
      <c r="C2876" s="24" t="n"/>
      <c r="D2876" s="15" t="n"/>
      <c r="E2876" s="23" t="n"/>
      <c r="F2876" s="15" t="n"/>
      <c r="G2876" s="23" t="n"/>
      <c r="H2876" s="25" t="n"/>
      <c r="I2876" s="15" t="n"/>
      <c r="J2876" s="26">
        <f>IF($A2876="","",LEN($C2876)-LEN(SUBSTITUTE($C2876,",",""))+1)</f>
        <v/>
      </c>
      <c r="K2876" s="26">
        <f>IF($A2876="","",SUMPRODUCT(--ISNUMBER(SEARCH('Category Dictionary'!$D$5:$D$135&amp;"",$C2876)),--('Category Dictionary'!$D$5:$D$135&lt;&gt;"")))</f>
        <v/>
      </c>
      <c r="L2876" s="27">
        <f>IF($A2876="","",TRIM(IF(ISERROR(FIND(",",$C2876)),$C2876,LEFT($C2876,FIND(",",$C2876)-1))))</f>
        <v/>
      </c>
      <c r="M2876" s="28">
        <f>IF($H2876="","",DATE(YEAR($H2876),MONTH($H2876),1))</f>
        <v/>
      </c>
      <c r="N2876" s="26">
        <f>IF($H2876="","",TODAY()-$H2876)</f>
        <v/>
      </c>
      <c r="O2876" s="15" t="n"/>
      <c r="P2876" s="26">
        <f>IF($A2876="","",COUNTIFS('Audit Versions'!$A$6:$A$605,$A2876,'Audit Versions'!$L$6:$L$605,"Active"))</f>
        <v/>
      </c>
      <c r="Q2876" s="15" t="n"/>
      <c r="R2876" s="26">
        <f>IF(OR($A2876="",$P2876=0),"",MOD(N($Q2876),$P2876)+1)</f>
        <v/>
      </c>
      <c r="S2876" s="15" t="n"/>
      <c r="T2876" s="25" t="n"/>
      <c r="U2876" s="26">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Builder'!$B$12="",N($S2876)&lt;='Assignment Builder'!$B$12)))</f>
        <v/>
      </c>
      <c r="V2876" s="23" t="n"/>
    </row>
    <row r="2877">
      <c r="A2877" s="23" t="n"/>
      <c r="B2877" s="23" t="n"/>
      <c r="C2877" s="24" t="n"/>
      <c r="D2877" s="15" t="n"/>
      <c r="E2877" s="23" t="n"/>
      <c r="F2877" s="15" t="n"/>
      <c r="G2877" s="23" t="n"/>
      <c r="H2877" s="25" t="n"/>
      <c r="I2877" s="15" t="n"/>
      <c r="J2877" s="26">
        <f>IF($A2877="","",LEN($C2877)-LEN(SUBSTITUTE($C2877,",",""))+1)</f>
        <v/>
      </c>
      <c r="K2877" s="26">
        <f>IF($A2877="","",SUMPRODUCT(--ISNUMBER(SEARCH('Category Dictionary'!$D$5:$D$135&amp;"",$C2877)),--('Category Dictionary'!$D$5:$D$135&lt;&gt;"")))</f>
        <v/>
      </c>
      <c r="L2877" s="27">
        <f>IF($A2877="","",TRIM(IF(ISERROR(FIND(",",$C2877)),$C2877,LEFT($C2877,FIND(",",$C2877)-1))))</f>
        <v/>
      </c>
      <c r="M2877" s="28">
        <f>IF($H2877="","",DATE(YEAR($H2877),MONTH($H2877),1))</f>
        <v/>
      </c>
      <c r="N2877" s="26">
        <f>IF($H2877="","",TODAY()-$H2877)</f>
        <v/>
      </c>
      <c r="O2877" s="15" t="n"/>
      <c r="P2877" s="26">
        <f>IF($A2877="","",COUNTIFS('Audit Versions'!$A$6:$A$605,$A2877,'Audit Versions'!$L$6:$L$605,"Active"))</f>
        <v/>
      </c>
      <c r="Q2877" s="15" t="n"/>
      <c r="R2877" s="26">
        <f>IF(OR($A2877="",$P2877=0),"",MOD(N($Q2877),$P2877)+1)</f>
        <v/>
      </c>
      <c r="S2877" s="15" t="n"/>
      <c r="T2877" s="25" t="n"/>
      <c r="U2877" s="26">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Builder'!$B$12="",N($S2877)&lt;='Assignment Builder'!$B$12)))</f>
        <v/>
      </c>
      <c r="V2877" s="23" t="n"/>
    </row>
    <row r="2878">
      <c r="A2878" s="23" t="n"/>
      <c r="B2878" s="23" t="n"/>
      <c r="C2878" s="24" t="n"/>
      <c r="D2878" s="15" t="n"/>
      <c r="E2878" s="23" t="n"/>
      <c r="F2878" s="15" t="n"/>
      <c r="G2878" s="23" t="n"/>
      <c r="H2878" s="25" t="n"/>
      <c r="I2878" s="15" t="n"/>
      <c r="J2878" s="26">
        <f>IF($A2878="","",LEN($C2878)-LEN(SUBSTITUTE($C2878,",",""))+1)</f>
        <v/>
      </c>
      <c r="K2878" s="26">
        <f>IF($A2878="","",SUMPRODUCT(--ISNUMBER(SEARCH('Category Dictionary'!$D$5:$D$135&amp;"",$C2878)),--('Category Dictionary'!$D$5:$D$135&lt;&gt;"")))</f>
        <v/>
      </c>
      <c r="L2878" s="27">
        <f>IF($A2878="","",TRIM(IF(ISERROR(FIND(",",$C2878)),$C2878,LEFT($C2878,FIND(",",$C2878)-1))))</f>
        <v/>
      </c>
      <c r="M2878" s="28">
        <f>IF($H2878="","",DATE(YEAR($H2878),MONTH($H2878),1))</f>
        <v/>
      </c>
      <c r="N2878" s="26">
        <f>IF($H2878="","",TODAY()-$H2878)</f>
        <v/>
      </c>
      <c r="O2878" s="15" t="n"/>
      <c r="P2878" s="26">
        <f>IF($A2878="","",COUNTIFS('Audit Versions'!$A$6:$A$605,$A2878,'Audit Versions'!$L$6:$L$605,"Active"))</f>
        <v/>
      </c>
      <c r="Q2878" s="15" t="n"/>
      <c r="R2878" s="26">
        <f>IF(OR($A2878="",$P2878=0),"",MOD(N($Q2878),$P2878)+1)</f>
        <v/>
      </c>
      <c r="S2878" s="15" t="n"/>
      <c r="T2878" s="25" t="n"/>
      <c r="U2878" s="26">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Builder'!$B$12="",N($S2878)&lt;='Assignment Builder'!$B$12)))</f>
        <v/>
      </c>
      <c r="V2878" s="23" t="n"/>
    </row>
    <row r="2879">
      <c r="A2879" s="23" t="n"/>
      <c r="B2879" s="23" t="n"/>
      <c r="C2879" s="24" t="n"/>
      <c r="D2879" s="15" t="n"/>
      <c r="E2879" s="23" t="n"/>
      <c r="F2879" s="15" t="n"/>
      <c r="G2879" s="23" t="n"/>
      <c r="H2879" s="25" t="n"/>
      <c r="I2879" s="15" t="n"/>
      <c r="J2879" s="26">
        <f>IF($A2879="","",LEN($C2879)-LEN(SUBSTITUTE($C2879,",",""))+1)</f>
        <v/>
      </c>
      <c r="K2879" s="26">
        <f>IF($A2879="","",SUMPRODUCT(--ISNUMBER(SEARCH('Category Dictionary'!$D$5:$D$135&amp;"",$C2879)),--('Category Dictionary'!$D$5:$D$135&lt;&gt;"")))</f>
        <v/>
      </c>
      <c r="L2879" s="27">
        <f>IF($A2879="","",TRIM(IF(ISERROR(FIND(",",$C2879)),$C2879,LEFT($C2879,FIND(",",$C2879)-1))))</f>
        <v/>
      </c>
      <c r="M2879" s="28">
        <f>IF($H2879="","",DATE(YEAR($H2879),MONTH($H2879),1))</f>
        <v/>
      </c>
      <c r="N2879" s="26">
        <f>IF($H2879="","",TODAY()-$H2879)</f>
        <v/>
      </c>
      <c r="O2879" s="15" t="n"/>
      <c r="P2879" s="26">
        <f>IF($A2879="","",COUNTIFS('Audit Versions'!$A$6:$A$605,$A2879,'Audit Versions'!$L$6:$L$605,"Active"))</f>
        <v/>
      </c>
      <c r="Q2879" s="15" t="n"/>
      <c r="R2879" s="26">
        <f>IF(OR($A2879="",$P2879=0),"",MOD(N($Q2879),$P2879)+1)</f>
        <v/>
      </c>
      <c r="S2879" s="15" t="n"/>
      <c r="T2879" s="25" t="n"/>
      <c r="U2879" s="26">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Builder'!$B$12="",N($S2879)&lt;='Assignment Builder'!$B$12)))</f>
        <v/>
      </c>
      <c r="V2879" s="23" t="n"/>
    </row>
    <row r="2880">
      <c r="A2880" s="23" t="n"/>
      <c r="B2880" s="23" t="n"/>
      <c r="C2880" s="24" t="n"/>
      <c r="D2880" s="15" t="n"/>
      <c r="E2880" s="23" t="n"/>
      <c r="F2880" s="15" t="n"/>
      <c r="G2880" s="23" t="n"/>
      <c r="H2880" s="25" t="n"/>
      <c r="I2880" s="15" t="n"/>
      <c r="J2880" s="26">
        <f>IF($A2880="","",LEN($C2880)-LEN(SUBSTITUTE($C2880,",",""))+1)</f>
        <v/>
      </c>
      <c r="K2880" s="26">
        <f>IF($A2880="","",SUMPRODUCT(--ISNUMBER(SEARCH('Category Dictionary'!$D$5:$D$135&amp;"",$C2880)),--('Category Dictionary'!$D$5:$D$135&lt;&gt;"")))</f>
        <v/>
      </c>
      <c r="L2880" s="27">
        <f>IF($A2880="","",TRIM(IF(ISERROR(FIND(",",$C2880)),$C2880,LEFT($C2880,FIND(",",$C2880)-1))))</f>
        <v/>
      </c>
      <c r="M2880" s="28">
        <f>IF($H2880="","",DATE(YEAR($H2880),MONTH($H2880),1))</f>
        <v/>
      </c>
      <c r="N2880" s="26">
        <f>IF($H2880="","",TODAY()-$H2880)</f>
        <v/>
      </c>
      <c r="O2880" s="15" t="n"/>
      <c r="P2880" s="26">
        <f>IF($A2880="","",COUNTIFS('Audit Versions'!$A$6:$A$605,$A2880,'Audit Versions'!$L$6:$L$605,"Active"))</f>
        <v/>
      </c>
      <c r="Q2880" s="15" t="n"/>
      <c r="R2880" s="26">
        <f>IF(OR($A2880="",$P2880=0),"",MOD(N($Q2880),$P2880)+1)</f>
        <v/>
      </c>
      <c r="S2880" s="15" t="n"/>
      <c r="T2880" s="25" t="n"/>
      <c r="U2880" s="26">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Builder'!$B$12="",N($S2880)&lt;='Assignment Builder'!$B$12)))</f>
        <v/>
      </c>
      <c r="V2880" s="23" t="n"/>
    </row>
    <row r="2881">
      <c r="A2881" s="23" t="n"/>
      <c r="B2881" s="23" t="n"/>
      <c r="C2881" s="24" t="n"/>
      <c r="D2881" s="15" t="n"/>
      <c r="E2881" s="23" t="n"/>
      <c r="F2881" s="15" t="n"/>
      <c r="G2881" s="23" t="n"/>
      <c r="H2881" s="25" t="n"/>
      <c r="I2881" s="15" t="n"/>
      <c r="J2881" s="26">
        <f>IF($A2881="","",LEN($C2881)-LEN(SUBSTITUTE($C2881,",",""))+1)</f>
        <v/>
      </c>
      <c r="K2881" s="26">
        <f>IF($A2881="","",SUMPRODUCT(--ISNUMBER(SEARCH('Category Dictionary'!$D$5:$D$135&amp;"",$C2881)),--('Category Dictionary'!$D$5:$D$135&lt;&gt;"")))</f>
        <v/>
      </c>
      <c r="L2881" s="27">
        <f>IF($A2881="","",TRIM(IF(ISERROR(FIND(",",$C2881)),$C2881,LEFT($C2881,FIND(",",$C2881)-1))))</f>
        <v/>
      </c>
      <c r="M2881" s="28">
        <f>IF($H2881="","",DATE(YEAR($H2881),MONTH($H2881),1))</f>
        <v/>
      </c>
      <c r="N2881" s="26">
        <f>IF($H2881="","",TODAY()-$H2881)</f>
        <v/>
      </c>
      <c r="O2881" s="15" t="n"/>
      <c r="P2881" s="26">
        <f>IF($A2881="","",COUNTIFS('Audit Versions'!$A$6:$A$605,$A2881,'Audit Versions'!$L$6:$L$605,"Active"))</f>
        <v/>
      </c>
      <c r="Q2881" s="15" t="n"/>
      <c r="R2881" s="26">
        <f>IF(OR($A2881="",$P2881=0),"",MOD(N($Q2881),$P2881)+1)</f>
        <v/>
      </c>
      <c r="S2881" s="15" t="n"/>
      <c r="T2881" s="25" t="n"/>
      <c r="U2881" s="26">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Builder'!$B$12="",N($S2881)&lt;='Assignment Builder'!$B$12)))</f>
        <v/>
      </c>
      <c r="V2881" s="23" t="n"/>
    </row>
    <row r="2882">
      <c r="A2882" s="23" t="n"/>
      <c r="B2882" s="23" t="n"/>
      <c r="C2882" s="24" t="n"/>
      <c r="D2882" s="15" t="n"/>
      <c r="E2882" s="23" t="n"/>
      <c r="F2882" s="15" t="n"/>
      <c r="G2882" s="23" t="n"/>
      <c r="H2882" s="25" t="n"/>
      <c r="I2882" s="15" t="n"/>
      <c r="J2882" s="26">
        <f>IF($A2882="","",LEN($C2882)-LEN(SUBSTITUTE($C2882,",",""))+1)</f>
        <v/>
      </c>
      <c r="K2882" s="26">
        <f>IF($A2882="","",SUMPRODUCT(--ISNUMBER(SEARCH('Category Dictionary'!$D$5:$D$135&amp;"",$C2882)),--('Category Dictionary'!$D$5:$D$135&lt;&gt;"")))</f>
        <v/>
      </c>
      <c r="L2882" s="27">
        <f>IF($A2882="","",TRIM(IF(ISERROR(FIND(",",$C2882)),$C2882,LEFT($C2882,FIND(",",$C2882)-1))))</f>
        <v/>
      </c>
      <c r="M2882" s="28">
        <f>IF($H2882="","",DATE(YEAR($H2882),MONTH($H2882),1))</f>
        <v/>
      </c>
      <c r="N2882" s="26">
        <f>IF($H2882="","",TODAY()-$H2882)</f>
        <v/>
      </c>
      <c r="O2882" s="15" t="n"/>
      <c r="P2882" s="26">
        <f>IF($A2882="","",COUNTIFS('Audit Versions'!$A$6:$A$605,$A2882,'Audit Versions'!$L$6:$L$605,"Active"))</f>
        <v/>
      </c>
      <c r="Q2882" s="15" t="n"/>
      <c r="R2882" s="26">
        <f>IF(OR($A2882="",$P2882=0),"",MOD(N($Q2882),$P2882)+1)</f>
        <v/>
      </c>
      <c r="S2882" s="15" t="n"/>
      <c r="T2882" s="25" t="n"/>
      <c r="U2882" s="26">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Builder'!$B$12="",N($S2882)&lt;='Assignment Builder'!$B$12)))</f>
        <v/>
      </c>
      <c r="V2882" s="23" t="n"/>
    </row>
    <row r="2883">
      <c r="A2883" s="23" t="n"/>
      <c r="B2883" s="23" t="n"/>
      <c r="C2883" s="24" t="n"/>
      <c r="D2883" s="15" t="n"/>
      <c r="E2883" s="23" t="n"/>
      <c r="F2883" s="15" t="n"/>
      <c r="G2883" s="23" t="n"/>
      <c r="H2883" s="25" t="n"/>
      <c r="I2883" s="15" t="n"/>
      <c r="J2883" s="26">
        <f>IF($A2883="","",LEN($C2883)-LEN(SUBSTITUTE($C2883,",",""))+1)</f>
        <v/>
      </c>
      <c r="K2883" s="26">
        <f>IF($A2883="","",SUMPRODUCT(--ISNUMBER(SEARCH('Category Dictionary'!$D$5:$D$135&amp;"",$C2883)),--('Category Dictionary'!$D$5:$D$135&lt;&gt;"")))</f>
        <v/>
      </c>
      <c r="L2883" s="27">
        <f>IF($A2883="","",TRIM(IF(ISERROR(FIND(",",$C2883)),$C2883,LEFT($C2883,FIND(",",$C2883)-1))))</f>
        <v/>
      </c>
      <c r="M2883" s="28">
        <f>IF($H2883="","",DATE(YEAR($H2883),MONTH($H2883),1))</f>
        <v/>
      </c>
      <c r="N2883" s="26">
        <f>IF($H2883="","",TODAY()-$H2883)</f>
        <v/>
      </c>
      <c r="O2883" s="15" t="n"/>
      <c r="P2883" s="26">
        <f>IF($A2883="","",COUNTIFS('Audit Versions'!$A$6:$A$605,$A2883,'Audit Versions'!$L$6:$L$605,"Active"))</f>
        <v/>
      </c>
      <c r="Q2883" s="15" t="n"/>
      <c r="R2883" s="26">
        <f>IF(OR($A2883="",$P2883=0),"",MOD(N($Q2883),$P2883)+1)</f>
        <v/>
      </c>
      <c r="S2883" s="15" t="n"/>
      <c r="T2883" s="25" t="n"/>
      <c r="U2883" s="26">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Builder'!$B$12="",N($S2883)&lt;='Assignment Builder'!$B$12)))</f>
        <v/>
      </c>
      <c r="V2883" s="23" t="n"/>
    </row>
    <row r="2884">
      <c r="A2884" s="23" t="n"/>
      <c r="B2884" s="23" t="n"/>
      <c r="C2884" s="24" t="n"/>
      <c r="D2884" s="15" t="n"/>
      <c r="E2884" s="23" t="n"/>
      <c r="F2884" s="15" t="n"/>
      <c r="G2884" s="23" t="n"/>
      <c r="H2884" s="25" t="n"/>
      <c r="I2884" s="15" t="n"/>
      <c r="J2884" s="26">
        <f>IF($A2884="","",LEN($C2884)-LEN(SUBSTITUTE($C2884,",",""))+1)</f>
        <v/>
      </c>
      <c r="K2884" s="26">
        <f>IF($A2884="","",SUMPRODUCT(--ISNUMBER(SEARCH('Category Dictionary'!$D$5:$D$135&amp;"",$C2884)),--('Category Dictionary'!$D$5:$D$135&lt;&gt;"")))</f>
        <v/>
      </c>
      <c r="L2884" s="27">
        <f>IF($A2884="","",TRIM(IF(ISERROR(FIND(",",$C2884)),$C2884,LEFT($C2884,FIND(",",$C2884)-1))))</f>
        <v/>
      </c>
      <c r="M2884" s="28">
        <f>IF($H2884="","",DATE(YEAR($H2884),MONTH($H2884),1))</f>
        <v/>
      </c>
      <c r="N2884" s="26">
        <f>IF($H2884="","",TODAY()-$H2884)</f>
        <v/>
      </c>
      <c r="O2884" s="15" t="n"/>
      <c r="P2884" s="26">
        <f>IF($A2884="","",COUNTIFS('Audit Versions'!$A$6:$A$605,$A2884,'Audit Versions'!$L$6:$L$605,"Active"))</f>
        <v/>
      </c>
      <c r="Q2884" s="15" t="n"/>
      <c r="R2884" s="26">
        <f>IF(OR($A2884="",$P2884=0),"",MOD(N($Q2884),$P2884)+1)</f>
        <v/>
      </c>
      <c r="S2884" s="15" t="n"/>
      <c r="T2884" s="25" t="n"/>
      <c r="U2884" s="26">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Builder'!$B$12="",N($S2884)&lt;='Assignment Builder'!$B$12)))</f>
        <v/>
      </c>
      <c r="V2884" s="23" t="n"/>
    </row>
    <row r="2885">
      <c r="A2885" s="23" t="n"/>
      <c r="B2885" s="23" t="n"/>
      <c r="C2885" s="24" t="n"/>
      <c r="D2885" s="15" t="n"/>
      <c r="E2885" s="23" t="n"/>
      <c r="F2885" s="15" t="n"/>
      <c r="G2885" s="23" t="n"/>
      <c r="H2885" s="25" t="n"/>
      <c r="I2885" s="15" t="n"/>
      <c r="J2885" s="26">
        <f>IF($A2885="","",LEN($C2885)-LEN(SUBSTITUTE($C2885,",",""))+1)</f>
        <v/>
      </c>
      <c r="K2885" s="26">
        <f>IF($A2885="","",SUMPRODUCT(--ISNUMBER(SEARCH('Category Dictionary'!$D$5:$D$135&amp;"",$C2885)),--('Category Dictionary'!$D$5:$D$135&lt;&gt;"")))</f>
        <v/>
      </c>
      <c r="L2885" s="27">
        <f>IF($A2885="","",TRIM(IF(ISERROR(FIND(",",$C2885)),$C2885,LEFT($C2885,FIND(",",$C2885)-1))))</f>
        <v/>
      </c>
      <c r="M2885" s="28">
        <f>IF($H2885="","",DATE(YEAR($H2885),MONTH($H2885),1))</f>
        <v/>
      </c>
      <c r="N2885" s="26">
        <f>IF($H2885="","",TODAY()-$H2885)</f>
        <v/>
      </c>
      <c r="O2885" s="15" t="n"/>
      <c r="P2885" s="26">
        <f>IF($A2885="","",COUNTIFS('Audit Versions'!$A$6:$A$605,$A2885,'Audit Versions'!$L$6:$L$605,"Active"))</f>
        <v/>
      </c>
      <c r="Q2885" s="15" t="n"/>
      <c r="R2885" s="26">
        <f>IF(OR($A2885="",$P2885=0),"",MOD(N($Q2885),$P2885)+1)</f>
        <v/>
      </c>
      <c r="S2885" s="15" t="n"/>
      <c r="T2885" s="25" t="n"/>
      <c r="U2885" s="26">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Builder'!$B$12="",N($S2885)&lt;='Assignment Builder'!$B$12)))</f>
        <v/>
      </c>
      <c r="V2885" s="23" t="n"/>
    </row>
    <row r="2886">
      <c r="A2886" s="23" t="n"/>
      <c r="B2886" s="23" t="n"/>
      <c r="C2886" s="24" t="n"/>
      <c r="D2886" s="15" t="n"/>
      <c r="E2886" s="23" t="n"/>
      <c r="F2886" s="15" t="n"/>
      <c r="G2886" s="23" t="n"/>
      <c r="H2886" s="25" t="n"/>
      <c r="I2886" s="15" t="n"/>
      <c r="J2886" s="26">
        <f>IF($A2886="","",LEN($C2886)-LEN(SUBSTITUTE($C2886,",",""))+1)</f>
        <v/>
      </c>
      <c r="K2886" s="26">
        <f>IF($A2886="","",SUMPRODUCT(--ISNUMBER(SEARCH('Category Dictionary'!$D$5:$D$135&amp;"",$C2886)),--('Category Dictionary'!$D$5:$D$135&lt;&gt;"")))</f>
        <v/>
      </c>
      <c r="L2886" s="27">
        <f>IF($A2886="","",TRIM(IF(ISERROR(FIND(",",$C2886)),$C2886,LEFT($C2886,FIND(",",$C2886)-1))))</f>
        <v/>
      </c>
      <c r="M2886" s="28">
        <f>IF($H2886="","",DATE(YEAR($H2886),MONTH($H2886),1))</f>
        <v/>
      </c>
      <c r="N2886" s="26">
        <f>IF($H2886="","",TODAY()-$H2886)</f>
        <v/>
      </c>
      <c r="O2886" s="15" t="n"/>
      <c r="P2886" s="26">
        <f>IF($A2886="","",COUNTIFS('Audit Versions'!$A$6:$A$605,$A2886,'Audit Versions'!$L$6:$L$605,"Active"))</f>
        <v/>
      </c>
      <c r="Q2886" s="15" t="n"/>
      <c r="R2886" s="26">
        <f>IF(OR($A2886="",$P2886=0),"",MOD(N($Q2886),$P2886)+1)</f>
        <v/>
      </c>
      <c r="S2886" s="15" t="n"/>
      <c r="T2886" s="25" t="n"/>
      <c r="U2886" s="26">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Builder'!$B$12="",N($S2886)&lt;='Assignment Builder'!$B$12)))</f>
        <v/>
      </c>
      <c r="V2886" s="23" t="n"/>
    </row>
    <row r="2887">
      <c r="A2887" s="23" t="n"/>
      <c r="B2887" s="23" t="n"/>
      <c r="C2887" s="24" t="n"/>
      <c r="D2887" s="15" t="n"/>
      <c r="E2887" s="23" t="n"/>
      <c r="F2887" s="15" t="n"/>
      <c r="G2887" s="23" t="n"/>
      <c r="H2887" s="25" t="n"/>
      <c r="I2887" s="15" t="n"/>
      <c r="J2887" s="26">
        <f>IF($A2887="","",LEN($C2887)-LEN(SUBSTITUTE($C2887,",",""))+1)</f>
        <v/>
      </c>
      <c r="K2887" s="26">
        <f>IF($A2887="","",SUMPRODUCT(--ISNUMBER(SEARCH('Category Dictionary'!$D$5:$D$135&amp;"",$C2887)),--('Category Dictionary'!$D$5:$D$135&lt;&gt;"")))</f>
        <v/>
      </c>
      <c r="L2887" s="27">
        <f>IF($A2887="","",TRIM(IF(ISERROR(FIND(",",$C2887)),$C2887,LEFT($C2887,FIND(",",$C2887)-1))))</f>
        <v/>
      </c>
      <c r="M2887" s="28">
        <f>IF($H2887="","",DATE(YEAR($H2887),MONTH($H2887),1))</f>
        <v/>
      </c>
      <c r="N2887" s="26">
        <f>IF($H2887="","",TODAY()-$H2887)</f>
        <v/>
      </c>
      <c r="O2887" s="15" t="n"/>
      <c r="P2887" s="26">
        <f>IF($A2887="","",COUNTIFS('Audit Versions'!$A$6:$A$605,$A2887,'Audit Versions'!$L$6:$L$605,"Active"))</f>
        <v/>
      </c>
      <c r="Q2887" s="15" t="n"/>
      <c r="R2887" s="26">
        <f>IF(OR($A2887="",$P2887=0),"",MOD(N($Q2887),$P2887)+1)</f>
        <v/>
      </c>
      <c r="S2887" s="15" t="n"/>
      <c r="T2887" s="25" t="n"/>
      <c r="U2887" s="26">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Builder'!$B$12="",N($S2887)&lt;='Assignment Builder'!$B$12)))</f>
        <v/>
      </c>
      <c r="V2887" s="23" t="n"/>
    </row>
    <row r="2888">
      <c r="A2888" s="23" t="n"/>
      <c r="B2888" s="23" t="n"/>
      <c r="C2888" s="24" t="n"/>
      <c r="D2888" s="15" t="n"/>
      <c r="E2888" s="23" t="n"/>
      <c r="F2888" s="15" t="n"/>
      <c r="G2888" s="23" t="n"/>
      <c r="H2888" s="25" t="n"/>
      <c r="I2888" s="15" t="n"/>
      <c r="J2888" s="26">
        <f>IF($A2888="","",LEN($C2888)-LEN(SUBSTITUTE($C2888,",",""))+1)</f>
        <v/>
      </c>
      <c r="K2888" s="26">
        <f>IF($A2888="","",SUMPRODUCT(--ISNUMBER(SEARCH('Category Dictionary'!$D$5:$D$135&amp;"",$C2888)),--('Category Dictionary'!$D$5:$D$135&lt;&gt;"")))</f>
        <v/>
      </c>
      <c r="L2888" s="27">
        <f>IF($A2888="","",TRIM(IF(ISERROR(FIND(",",$C2888)),$C2888,LEFT($C2888,FIND(",",$C2888)-1))))</f>
        <v/>
      </c>
      <c r="M2888" s="28">
        <f>IF($H2888="","",DATE(YEAR($H2888),MONTH($H2888),1))</f>
        <v/>
      </c>
      <c r="N2888" s="26">
        <f>IF($H2888="","",TODAY()-$H2888)</f>
        <v/>
      </c>
      <c r="O2888" s="15" t="n"/>
      <c r="P2888" s="26">
        <f>IF($A2888="","",COUNTIFS('Audit Versions'!$A$6:$A$605,$A2888,'Audit Versions'!$L$6:$L$605,"Active"))</f>
        <v/>
      </c>
      <c r="Q2888" s="15" t="n"/>
      <c r="R2888" s="26">
        <f>IF(OR($A2888="",$P2888=0),"",MOD(N($Q2888),$P2888)+1)</f>
        <v/>
      </c>
      <c r="S2888" s="15" t="n"/>
      <c r="T2888" s="25" t="n"/>
      <c r="U2888" s="26">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Builder'!$B$12="",N($S2888)&lt;='Assignment Builder'!$B$12)))</f>
        <v/>
      </c>
      <c r="V2888" s="23" t="n"/>
    </row>
    <row r="2889">
      <c r="A2889" s="23" t="n"/>
      <c r="B2889" s="23" t="n"/>
      <c r="C2889" s="24" t="n"/>
      <c r="D2889" s="15" t="n"/>
      <c r="E2889" s="23" t="n"/>
      <c r="F2889" s="15" t="n"/>
      <c r="G2889" s="23" t="n"/>
      <c r="H2889" s="25" t="n"/>
      <c r="I2889" s="15" t="n"/>
      <c r="J2889" s="26">
        <f>IF($A2889="","",LEN($C2889)-LEN(SUBSTITUTE($C2889,",",""))+1)</f>
        <v/>
      </c>
      <c r="K2889" s="26">
        <f>IF($A2889="","",SUMPRODUCT(--ISNUMBER(SEARCH('Category Dictionary'!$D$5:$D$135&amp;"",$C2889)),--('Category Dictionary'!$D$5:$D$135&lt;&gt;"")))</f>
        <v/>
      </c>
      <c r="L2889" s="27">
        <f>IF($A2889="","",TRIM(IF(ISERROR(FIND(",",$C2889)),$C2889,LEFT($C2889,FIND(",",$C2889)-1))))</f>
        <v/>
      </c>
      <c r="M2889" s="28">
        <f>IF($H2889="","",DATE(YEAR($H2889),MONTH($H2889),1))</f>
        <v/>
      </c>
      <c r="N2889" s="26">
        <f>IF($H2889="","",TODAY()-$H2889)</f>
        <v/>
      </c>
      <c r="O2889" s="15" t="n"/>
      <c r="P2889" s="26">
        <f>IF($A2889="","",COUNTIFS('Audit Versions'!$A$6:$A$605,$A2889,'Audit Versions'!$L$6:$L$605,"Active"))</f>
        <v/>
      </c>
      <c r="Q2889" s="15" t="n"/>
      <c r="R2889" s="26">
        <f>IF(OR($A2889="",$P2889=0),"",MOD(N($Q2889),$P2889)+1)</f>
        <v/>
      </c>
      <c r="S2889" s="15" t="n"/>
      <c r="T2889" s="25" t="n"/>
      <c r="U2889" s="26">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Builder'!$B$12="",N($S2889)&lt;='Assignment Builder'!$B$12)))</f>
        <v/>
      </c>
      <c r="V2889" s="23" t="n"/>
    </row>
    <row r="2890">
      <c r="A2890" s="23" t="n"/>
      <c r="B2890" s="23" t="n"/>
      <c r="C2890" s="24" t="n"/>
      <c r="D2890" s="15" t="n"/>
      <c r="E2890" s="23" t="n"/>
      <c r="F2890" s="15" t="n"/>
      <c r="G2890" s="23" t="n"/>
      <c r="H2890" s="25" t="n"/>
      <c r="I2890" s="15" t="n"/>
      <c r="J2890" s="26">
        <f>IF($A2890="","",LEN($C2890)-LEN(SUBSTITUTE($C2890,",",""))+1)</f>
        <v/>
      </c>
      <c r="K2890" s="26">
        <f>IF($A2890="","",SUMPRODUCT(--ISNUMBER(SEARCH('Category Dictionary'!$D$5:$D$135&amp;"",$C2890)),--('Category Dictionary'!$D$5:$D$135&lt;&gt;"")))</f>
        <v/>
      </c>
      <c r="L2890" s="27">
        <f>IF($A2890="","",TRIM(IF(ISERROR(FIND(",",$C2890)),$C2890,LEFT($C2890,FIND(",",$C2890)-1))))</f>
        <v/>
      </c>
      <c r="M2890" s="28">
        <f>IF($H2890="","",DATE(YEAR($H2890),MONTH($H2890),1))</f>
        <v/>
      </c>
      <c r="N2890" s="26">
        <f>IF($H2890="","",TODAY()-$H2890)</f>
        <v/>
      </c>
      <c r="O2890" s="15" t="n"/>
      <c r="P2890" s="26">
        <f>IF($A2890="","",COUNTIFS('Audit Versions'!$A$6:$A$605,$A2890,'Audit Versions'!$L$6:$L$605,"Active"))</f>
        <v/>
      </c>
      <c r="Q2890" s="15" t="n"/>
      <c r="R2890" s="26">
        <f>IF(OR($A2890="",$P2890=0),"",MOD(N($Q2890),$P2890)+1)</f>
        <v/>
      </c>
      <c r="S2890" s="15" t="n"/>
      <c r="T2890" s="25" t="n"/>
      <c r="U2890" s="26">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Builder'!$B$12="",N($S2890)&lt;='Assignment Builder'!$B$12)))</f>
        <v/>
      </c>
      <c r="V2890" s="23" t="n"/>
    </row>
    <row r="2891">
      <c r="A2891" s="23" t="n"/>
      <c r="B2891" s="23" t="n"/>
      <c r="C2891" s="24" t="n"/>
      <c r="D2891" s="15" t="n"/>
      <c r="E2891" s="23" t="n"/>
      <c r="F2891" s="15" t="n"/>
      <c r="G2891" s="23" t="n"/>
      <c r="H2891" s="25" t="n"/>
      <c r="I2891" s="15" t="n"/>
      <c r="J2891" s="26">
        <f>IF($A2891="","",LEN($C2891)-LEN(SUBSTITUTE($C2891,",",""))+1)</f>
        <v/>
      </c>
      <c r="K2891" s="26">
        <f>IF($A2891="","",SUMPRODUCT(--ISNUMBER(SEARCH('Category Dictionary'!$D$5:$D$135&amp;"",$C2891)),--('Category Dictionary'!$D$5:$D$135&lt;&gt;"")))</f>
        <v/>
      </c>
      <c r="L2891" s="27">
        <f>IF($A2891="","",TRIM(IF(ISERROR(FIND(",",$C2891)),$C2891,LEFT($C2891,FIND(",",$C2891)-1))))</f>
        <v/>
      </c>
      <c r="M2891" s="28">
        <f>IF($H2891="","",DATE(YEAR($H2891),MONTH($H2891),1))</f>
        <v/>
      </c>
      <c r="N2891" s="26">
        <f>IF($H2891="","",TODAY()-$H2891)</f>
        <v/>
      </c>
      <c r="O2891" s="15" t="n"/>
      <c r="P2891" s="26">
        <f>IF($A2891="","",COUNTIFS('Audit Versions'!$A$6:$A$605,$A2891,'Audit Versions'!$L$6:$L$605,"Active"))</f>
        <v/>
      </c>
      <c r="Q2891" s="15" t="n"/>
      <c r="R2891" s="26">
        <f>IF(OR($A2891="",$P2891=0),"",MOD(N($Q2891),$P2891)+1)</f>
        <v/>
      </c>
      <c r="S2891" s="15" t="n"/>
      <c r="T2891" s="25" t="n"/>
      <c r="U2891" s="26">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Builder'!$B$12="",N($S2891)&lt;='Assignment Builder'!$B$12)))</f>
        <v/>
      </c>
      <c r="V2891" s="23" t="n"/>
    </row>
    <row r="2892">
      <c r="A2892" s="23" t="n"/>
      <c r="B2892" s="23" t="n"/>
      <c r="C2892" s="24" t="n"/>
      <c r="D2892" s="15" t="n"/>
      <c r="E2892" s="23" t="n"/>
      <c r="F2892" s="15" t="n"/>
      <c r="G2892" s="23" t="n"/>
      <c r="H2892" s="25" t="n"/>
      <c r="I2892" s="15" t="n"/>
      <c r="J2892" s="26">
        <f>IF($A2892="","",LEN($C2892)-LEN(SUBSTITUTE($C2892,",",""))+1)</f>
        <v/>
      </c>
      <c r="K2892" s="26">
        <f>IF($A2892="","",SUMPRODUCT(--ISNUMBER(SEARCH('Category Dictionary'!$D$5:$D$135&amp;"",$C2892)),--('Category Dictionary'!$D$5:$D$135&lt;&gt;"")))</f>
        <v/>
      </c>
      <c r="L2892" s="27">
        <f>IF($A2892="","",TRIM(IF(ISERROR(FIND(",",$C2892)),$C2892,LEFT($C2892,FIND(",",$C2892)-1))))</f>
        <v/>
      </c>
      <c r="M2892" s="28">
        <f>IF($H2892="","",DATE(YEAR($H2892),MONTH($H2892),1))</f>
        <v/>
      </c>
      <c r="N2892" s="26">
        <f>IF($H2892="","",TODAY()-$H2892)</f>
        <v/>
      </c>
      <c r="O2892" s="15" t="n"/>
      <c r="P2892" s="26">
        <f>IF($A2892="","",COUNTIFS('Audit Versions'!$A$6:$A$605,$A2892,'Audit Versions'!$L$6:$L$605,"Active"))</f>
        <v/>
      </c>
      <c r="Q2892" s="15" t="n"/>
      <c r="R2892" s="26">
        <f>IF(OR($A2892="",$P2892=0),"",MOD(N($Q2892),$P2892)+1)</f>
        <v/>
      </c>
      <c r="S2892" s="15" t="n"/>
      <c r="T2892" s="25" t="n"/>
      <c r="U2892" s="26">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Builder'!$B$12="",N($S2892)&lt;='Assignment Builder'!$B$12)))</f>
        <v/>
      </c>
      <c r="V2892" s="23" t="n"/>
    </row>
    <row r="2893">
      <c r="A2893" s="23" t="n"/>
      <c r="B2893" s="23" t="n"/>
      <c r="C2893" s="24" t="n"/>
      <c r="D2893" s="15" t="n"/>
      <c r="E2893" s="23" t="n"/>
      <c r="F2893" s="15" t="n"/>
      <c r="G2893" s="23" t="n"/>
      <c r="H2893" s="25" t="n"/>
      <c r="I2893" s="15" t="n"/>
      <c r="J2893" s="26">
        <f>IF($A2893="","",LEN($C2893)-LEN(SUBSTITUTE($C2893,",",""))+1)</f>
        <v/>
      </c>
      <c r="K2893" s="26">
        <f>IF($A2893="","",SUMPRODUCT(--ISNUMBER(SEARCH('Category Dictionary'!$D$5:$D$135&amp;"",$C2893)),--('Category Dictionary'!$D$5:$D$135&lt;&gt;"")))</f>
        <v/>
      </c>
      <c r="L2893" s="27">
        <f>IF($A2893="","",TRIM(IF(ISERROR(FIND(",",$C2893)),$C2893,LEFT($C2893,FIND(",",$C2893)-1))))</f>
        <v/>
      </c>
      <c r="M2893" s="28">
        <f>IF($H2893="","",DATE(YEAR($H2893),MONTH($H2893),1))</f>
        <v/>
      </c>
      <c r="N2893" s="26">
        <f>IF($H2893="","",TODAY()-$H2893)</f>
        <v/>
      </c>
      <c r="O2893" s="15" t="n"/>
      <c r="P2893" s="26">
        <f>IF($A2893="","",COUNTIFS('Audit Versions'!$A$6:$A$605,$A2893,'Audit Versions'!$L$6:$L$605,"Active"))</f>
        <v/>
      </c>
      <c r="Q2893" s="15" t="n"/>
      <c r="R2893" s="26">
        <f>IF(OR($A2893="",$P2893=0),"",MOD(N($Q2893),$P2893)+1)</f>
        <v/>
      </c>
      <c r="S2893" s="15" t="n"/>
      <c r="T2893" s="25" t="n"/>
      <c r="U2893" s="26">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Builder'!$B$12="",N($S2893)&lt;='Assignment Builder'!$B$12)))</f>
        <v/>
      </c>
      <c r="V2893" s="23" t="n"/>
    </row>
    <row r="2894">
      <c r="A2894" s="23" t="n"/>
      <c r="B2894" s="23" t="n"/>
      <c r="C2894" s="24" t="n"/>
      <c r="D2894" s="15" t="n"/>
      <c r="E2894" s="23" t="n"/>
      <c r="F2894" s="15" t="n"/>
      <c r="G2894" s="23" t="n"/>
      <c r="H2894" s="25" t="n"/>
      <c r="I2894" s="15" t="n"/>
      <c r="J2894" s="26">
        <f>IF($A2894="","",LEN($C2894)-LEN(SUBSTITUTE($C2894,",",""))+1)</f>
        <v/>
      </c>
      <c r="K2894" s="26">
        <f>IF($A2894="","",SUMPRODUCT(--ISNUMBER(SEARCH('Category Dictionary'!$D$5:$D$135&amp;"",$C2894)),--('Category Dictionary'!$D$5:$D$135&lt;&gt;"")))</f>
        <v/>
      </c>
      <c r="L2894" s="27">
        <f>IF($A2894="","",TRIM(IF(ISERROR(FIND(",",$C2894)),$C2894,LEFT($C2894,FIND(",",$C2894)-1))))</f>
        <v/>
      </c>
      <c r="M2894" s="28">
        <f>IF($H2894="","",DATE(YEAR($H2894),MONTH($H2894),1))</f>
        <v/>
      </c>
      <c r="N2894" s="26">
        <f>IF($H2894="","",TODAY()-$H2894)</f>
        <v/>
      </c>
      <c r="O2894" s="15" t="n"/>
      <c r="P2894" s="26">
        <f>IF($A2894="","",COUNTIFS('Audit Versions'!$A$6:$A$605,$A2894,'Audit Versions'!$L$6:$L$605,"Active"))</f>
        <v/>
      </c>
      <c r="Q2894" s="15" t="n"/>
      <c r="R2894" s="26">
        <f>IF(OR($A2894="",$P2894=0),"",MOD(N($Q2894),$P2894)+1)</f>
        <v/>
      </c>
      <c r="S2894" s="15" t="n"/>
      <c r="T2894" s="25" t="n"/>
      <c r="U2894" s="26">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Builder'!$B$12="",N($S2894)&lt;='Assignment Builder'!$B$12)))</f>
        <v/>
      </c>
      <c r="V2894" s="23" t="n"/>
    </row>
    <row r="2895">
      <c r="A2895" s="23" t="n"/>
      <c r="B2895" s="23" t="n"/>
      <c r="C2895" s="24" t="n"/>
      <c r="D2895" s="15" t="n"/>
      <c r="E2895" s="23" t="n"/>
      <c r="F2895" s="15" t="n"/>
      <c r="G2895" s="23" t="n"/>
      <c r="H2895" s="25" t="n"/>
      <c r="I2895" s="15" t="n"/>
      <c r="J2895" s="26">
        <f>IF($A2895="","",LEN($C2895)-LEN(SUBSTITUTE($C2895,",",""))+1)</f>
        <v/>
      </c>
      <c r="K2895" s="26">
        <f>IF($A2895="","",SUMPRODUCT(--ISNUMBER(SEARCH('Category Dictionary'!$D$5:$D$135&amp;"",$C2895)),--('Category Dictionary'!$D$5:$D$135&lt;&gt;"")))</f>
        <v/>
      </c>
      <c r="L2895" s="27">
        <f>IF($A2895="","",TRIM(IF(ISERROR(FIND(",",$C2895)),$C2895,LEFT($C2895,FIND(",",$C2895)-1))))</f>
        <v/>
      </c>
      <c r="M2895" s="28">
        <f>IF($H2895="","",DATE(YEAR($H2895),MONTH($H2895),1))</f>
        <v/>
      </c>
      <c r="N2895" s="26">
        <f>IF($H2895="","",TODAY()-$H2895)</f>
        <v/>
      </c>
      <c r="O2895" s="15" t="n"/>
      <c r="P2895" s="26">
        <f>IF($A2895="","",COUNTIFS('Audit Versions'!$A$6:$A$605,$A2895,'Audit Versions'!$L$6:$L$605,"Active"))</f>
        <v/>
      </c>
      <c r="Q2895" s="15" t="n"/>
      <c r="R2895" s="26">
        <f>IF(OR($A2895="",$P2895=0),"",MOD(N($Q2895),$P2895)+1)</f>
        <v/>
      </c>
      <c r="S2895" s="15" t="n"/>
      <c r="T2895" s="25" t="n"/>
      <c r="U2895" s="26">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Builder'!$B$12="",N($S2895)&lt;='Assignment Builder'!$B$12)))</f>
        <v/>
      </c>
      <c r="V2895" s="23" t="n"/>
    </row>
    <row r="2896">
      <c r="A2896" s="23" t="n"/>
      <c r="B2896" s="23" t="n"/>
      <c r="C2896" s="24" t="n"/>
      <c r="D2896" s="15" t="n"/>
      <c r="E2896" s="23" t="n"/>
      <c r="F2896" s="15" t="n"/>
      <c r="G2896" s="23" t="n"/>
      <c r="H2896" s="25" t="n"/>
      <c r="I2896" s="15" t="n"/>
      <c r="J2896" s="26">
        <f>IF($A2896="","",LEN($C2896)-LEN(SUBSTITUTE($C2896,",",""))+1)</f>
        <v/>
      </c>
      <c r="K2896" s="26">
        <f>IF($A2896="","",SUMPRODUCT(--ISNUMBER(SEARCH('Category Dictionary'!$D$5:$D$135&amp;"",$C2896)),--('Category Dictionary'!$D$5:$D$135&lt;&gt;"")))</f>
        <v/>
      </c>
      <c r="L2896" s="27">
        <f>IF($A2896="","",TRIM(IF(ISERROR(FIND(",",$C2896)),$C2896,LEFT($C2896,FIND(",",$C2896)-1))))</f>
        <v/>
      </c>
      <c r="M2896" s="28">
        <f>IF($H2896="","",DATE(YEAR($H2896),MONTH($H2896),1))</f>
        <v/>
      </c>
      <c r="N2896" s="26">
        <f>IF($H2896="","",TODAY()-$H2896)</f>
        <v/>
      </c>
      <c r="O2896" s="15" t="n"/>
      <c r="P2896" s="26">
        <f>IF($A2896="","",COUNTIFS('Audit Versions'!$A$6:$A$605,$A2896,'Audit Versions'!$L$6:$L$605,"Active"))</f>
        <v/>
      </c>
      <c r="Q2896" s="15" t="n"/>
      <c r="R2896" s="26">
        <f>IF(OR($A2896="",$P2896=0),"",MOD(N($Q2896),$P2896)+1)</f>
        <v/>
      </c>
      <c r="S2896" s="15" t="n"/>
      <c r="T2896" s="25" t="n"/>
      <c r="U2896" s="26">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Builder'!$B$12="",N($S2896)&lt;='Assignment Builder'!$B$12)))</f>
        <v/>
      </c>
      <c r="V2896" s="23" t="n"/>
    </row>
    <row r="2897">
      <c r="A2897" s="23" t="n"/>
      <c r="B2897" s="23" t="n"/>
      <c r="C2897" s="24" t="n"/>
      <c r="D2897" s="15" t="n"/>
      <c r="E2897" s="23" t="n"/>
      <c r="F2897" s="15" t="n"/>
      <c r="G2897" s="23" t="n"/>
      <c r="H2897" s="25" t="n"/>
      <c r="I2897" s="15" t="n"/>
      <c r="J2897" s="26">
        <f>IF($A2897="","",LEN($C2897)-LEN(SUBSTITUTE($C2897,",",""))+1)</f>
        <v/>
      </c>
      <c r="K2897" s="26">
        <f>IF($A2897="","",SUMPRODUCT(--ISNUMBER(SEARCH('Category Dictionary'!$D$5:$D$135&amp;"",$C2897)),--('Category Dictionary'!$D$5:$D$135&lt;&gt;"")))</f>
        <v/>
      </c>
      <c r="L2897" s="27">
        <f>IF($A2897="","",TRIM(IF(ISERROR(FIND(",",$C2897)),$C2897,LEFT($C2897,FIND(",",$C2897)-1))))</f>
        <v/>
      </c>
      <c r="M2897" s="28">
        <f>IF($H2897="","",DATE(YEAR($H2897),MONTH($H2897),1))</f>
        <v/>
      </c>
      <c r="N2897" s="26">
        <f>IF($H2897="","",TODAY()-$H2897)</f>
        <v/>
      </c>
      <c r="O2897" s="15" t="n"/>
      <c r="P2897" s="26">
        <f>IF($A2897="","",COUNTIFS('Audit Versions'!$A$6:$A$605,$A2897,'Audit Versions'!$L$6:$L$605,"Active"))</f>
        <v/>
      </c>
      <c r="Q2897" s="15" t="n"/>
      <c r="R2897" s="26">
        <f>IF(OR($A2897="",$P2897=0),"",MOD(N($Q2897),$P2897)+1)</f>
        <v/>
      </c>
      <c r="S2897" s="15" t="n"/>
      <c r="T2897" s="25" t="n"/>
      <c r="U2897" s="26">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Builder'!$B$12="",N($S2897)&lt;='Assignment Builder'!$B$12)))</f>
        <v/>
      </c>
      <c r="V2897" s="23" t="n"/>
    </row>
    <row r="2898">
      <c r="A2898" s="23" t="n"/>
      <c r="B2898" s="23" t="n"/>
      <c r="C2898" s="24" t="n"/>
      <c r="D2898" s="15" t="n"/>
      <c r="E2898" s="23" t="n"/>
      <c r="F2898" s="15" t="n"/>
      <c r="G2898" s="23" t="n"/>
      <c r="H2898" s="25" t="n"/>
      <c r="I2898" s="15" t="n"/>
      <c r="J2898" s="26">
        <f>IF($A2898="","",LEN($C2898)-LEN(SUBSTITUTE($C2898,",",""))+1)</f>
        <v/>
      </c>
      <c r="K2898" s="26">
        <f>IF($A2898="","",SUMPRODUCT(--ISNUMBER(SEARCH('Category Dictionary'!$D$5:$D$135&amp;"",$C2898)),--('Category Dictionary'!$D$5:$D$135&lt;&gt;"")))</f>
        <v/>
      </c>
      <c r="L2898" s="27">
        <f>IF($A2898="","",TRIM(IF(ISERROR(FIND(",",$C2898)),$C2898,LEFT($C2898,FIND(",",$C2898)-1))))</f>
        <v/>
      </c>
      <c r="M2898" s="28">
        <f>IF($H2898="","",DATE(YEAR($H2898),MONTH($H2898),1))</f>
        <v/>
      </c>
      <c r="N2898" s="26">
        <f>IF($H2898="","",TODAY()-$H2898)</f>
        <v/>
      </c>
      <c r="O2898" s="15" t="n"/>
      <c r="P2898" s="26">
        <f>IF($A2898="","",COUNTIFS('Audit Versions'!$A$6:$A$605,$A2898,'Audit Versions'!$L$6:$L$605,"Active"))</f>
        <v/>
      </c>
      <c r="Q2898" s="15" t="n"/>
      <c r="R2898" s="26">
        <f>IF(OR($A2898="",$P2898=0),"",MOD(N($Q2898),$P2898)+1)</f>
        <v/>
      </c>
      <c r="S2898" s="15" t="n"/>
      <c r="T2898" s="25" t="n"/>
      <c r="U2898" s="26">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Builder'!$B$12="",N($S2898)&lt;='Assignment Builder'!$B$12)))</f>
        <v/>
      </c>
      <c r="V2898" s="23" t="n"/>
    </row>
    <row r="2899">
      <c r="A2899" s="23" t="n"/>
      <c r="B2899" s="23" t="n"/>
      <c r="C2899" s="24" t="n"/>
      <c r="D2899" s="15" t="n"/>
      <c r="E2899" s="23" t="n"/>
      <c r="F2899" s="15" t="n"/>
      <c r="G2899" s="23" t="n"/>
      <c r="H2899" s="25" t="n"/>
      <c r="I2899" s="15" t="n"/>
      <c r="J2899" s="26">
        <f>IF($A2899="","",LEN($C2899)-LEN(SUBSTITUTE($C2899,",",""))+1)</f>
        <v/>
      </c>
      <c r="K2899" s="26">
        <f>IF($A2899="","",SUMPRODUCT(--ISNUMBER(SEARCH('Category Dictionary'!$D$5:$D$135&amp;"",$C2899)),--('Category Dictionary'!$D$5:$D$135&lt;&gt;"")))</f>
        <v/>
      </c>
      <c r="L2899" s="27">
        <f>IF($A2899="","",TRIM(IF(ISERROR(FIND(",",$C2899)),$C2899,LEFT($C2899,FIND(",",$C2899)-1))))</f>
        <v/>
      </c>
      <c r="M2899" s="28">
        <f>IF($H2899="","",DATE(YEAR($H2899),MONTH($H2899),1))</f>
        <v/>
      </c>
      <c r="N2899" s="26">
        <f>IF($H2899="","",TODAY()-$H2899)</f>
        <v/>
      </c>
      <c r="O2899" s="15" t="n"/>
      <c r="P2899" s="26">
        <f>IF($A2899="","",COUNTIFS('Audit Versions'!$A$6:$A$605,$A2899,'Audit Versions'!$L$6:$L$605,"Active"))</f>
        <v/>
      </c>
      <c r="Q2899" s="15" t="n"/>
      <c r="R2899" s="26">
        <f>IF(OR($A2899="",$P2899=0),"",MOD(N($Q2899),$P2899)+1)</f>
        <v/>
      </c>
      <c r="S2899" s="15" t="n"/>
      <c r="T2899" s="25" t="n"/>
      <c r="U2899" s="26">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Builder'!$B$12="",N($S2899)&lt;='Assignment Builder'!$B$12)))</f>
        <v/>
      </c>
      <c r="V2899" s="23" t="n"/>
    </row>
    <row r="2900">
      <c r="A2900" s="23" t="n"/>
      <c r="B2900" s="23" t="n"/>
      <c r="C2900" s="24" t="n"/>
      <c r="D2900" s="15" t="n"/>
      <c r="E2900" s="23" t="n"/>
      <c r="F2900" s="15" t="n"/>
      <c r="G2900" s="23" t="n"/>
      <c r="H2900" s="25" t="n"/>
      <c r="I2900" s="15" t="n"/>
      <c r="J2900" s="26">
        <f>IF($A2900="","",LEN($C2900)-LEN(SUBSTITUTE($C2900,",",""))+1)</f>
        <v/>
      </c>
      <c r="K2900" s="26">
        <f>IF($A2900="","",SUMPRODUCT(--ISNUMBER(SEARCH('Category Dictionary'!$D$5:$D$135&amp;"",$C2900)),--('Category Dictionary'!$D$5:$D$135&lt;&gt;"")))</f>
        <v/>
      </c>
      <c r="L2900" s="27">
        <f>IF($A2900="","",TRIM(IF(ISERROR(FIND(",",$C2900)),$C2900,LEFT($C2900,FIND(",",$C2900)-1))))</f>
        <v/>
      </c>
      <c r="M2900" s="28">
        <f>IF($H2900="","",DATE(YEAR($H2900),MONTH($H2900),1))</f>
        <v/>
      </c>
      <c r="N2900" s="26">
        <f>IF($H2900="","",TODAY()-$H2900)</f>
        <v/>
      </c>
      <c r="O2900" s="15" t="n"/>
      <c r="P2900" s="26">
        <f>IF($A2900="","",COUNTIFS('Audit Versions'!$A$6:$A$605,$A2900,'Audit Versions'!$L$6:$L$605,"Active"))</f>
        <v/>
      </c>
      <c r="Q2900" s="15" t="n"/>
      <c r="R2900" s="26">
        <f>IF(OR($A2900="",$P2900=0),"",MOD(N($Q2900),$P2900)+1)</f>
        <v/>
      </c>
      <c r="S2900" s="15" t="n"/>
      <c r="T2900" s="25" t="n"/>
      <c r="U2900" s="26">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Builder'!$B$12="",N($S2900)&lt;='Assignment Builder'!$B$12)))</f>
        <v/>
      </c>
      <c r="V2900" s="23" t="n"/>
    </row>
    <row r="2901">
      <c r="A2901" s="23" t="n"/>
      <c r="B2901" s="23" t="n"/>
      <c r="C2901" s="24" t="n"/>
      <c r="D2901" s="15" t="n"/>
      <c r="E2901" s="23" t="n"/>
      <c r="F2901" s="15" t="n"/>
      <c r="G2901" s="23" t="n"/>
      <c r="H2901" s="25" t="n"/>
      <c r="I2901" s="15" t="n"/>
      <c r="J2901" s="26">
        <f>IF($A2901="","",LEN($C2901)-LEN(SUBSTITUTE($C2901,",",""))+1)</f>
        <v/>
      </c>
      <c r="K2901" s="26">
        <f>IF($A2901="","",SUMPRODUCT(--ISNUMBER(SEARCH('Category Dictionary'!$D$5:$D$135&amp;"",$C2901)),--('Category Dictionary'!$D$5:$D$135&lt;&gt;"")))</f>
        <v/>
      </c>
      <c r="L2901" s="27">
        <f>IF($A2901="","",TRIM(IF(ISERROR(FIND(",",$C2901)),$C2901,LEFT($C2901,FIND(",",$C2901)-1))))</f>
        <v/>
      </c>
      <c r="M2901" s="28">
        <f>IF($H2901="","",DATE(YEAR($H2901),MONTH($H2901),1))</f>
        <v/>
      </c>
      <c r="N2901" s="26">
        <f>IF($H2901="","",TODAY()-$H2901)</f>
        <v/>
      </c>
      <c r="O2901" s="15" t="n"/>
      <c r="P2901" s="26">
        <f>IF($A2901="","",COUNTIFS('Audit Versions'!$A$6:$A$605,$A2901,'Audit Versions'!$L$6:$L$605,"Active"))</f>
        <v/>
      </c>
      <c r="Q2901" s="15" t="n"/>
      <c r="R2901" s="26">
        <f>IF(OR($A2901="",$P2901=0),"",MOD(N($Q2901),$P2901)+1)</f>
        <v/>
      </c>
      <c r="S2901" s="15" t="n"/>
      <c r="T2901" s="25" t="n"/>
      <c r="U2901" s="26">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Builder'!$B$12="",N($S2901)&lt;='Assignment Builder'!$B$12)))</f>
        <v/>
      </c>
      <c r="V2901" s="23" t="n"/>
    </row>
    <row r="2902">
      <c r="A2902" s="23" t="n"/>
      <c r="B2902" s="23" t="n"/>
      <c r="C2902" s="24" t="n"/>
      <c r="D2902" s="15" t="n"/>
      <c r="E2902" s="23" t="n"/>
      <c r="F2902" s="15" t="n"/>
      <c r="G2902" s="23" t="n"/>
      <c r="H2902" s="25" t="n"/>
      <c r="I2902" s="15" t="n"/>
      <c r="J2902" s="26">
        <f>IF($A2902="","",LEN($C2902)-LEN(SUBSTITUTE($C2902,",",""))+1)</f>
        <v/>
      </c>
      <c r="K2902" s="26">
        <f>IF($A2902="","",SUMPRODUCT(--ISNUMBER(SEARCH('Category Dictionary'!$D$5:$D$135&amp;"",$C2902)),--('Category Dictionary'!$D$5:$D$135&lt;&gt;"")))</f>
        <v/>
      </c>
      <c r="L2902" s="27">
        <f>IF($A2902="","",TRIM(IF(ISERROR(FIND(",",$C2902)),$C2902,LEFT($C2902,FIND(",",$C2902)-1))))</f>
        <v/>
      </c>
      <c r="M2902" s="28">
        <f>IF($H2902="","",DATE(YEAR($H2902),MONTH($H2902),1))</f>
        <v/>
      </c>
      <c r="N2902" s="26">
        <f>IF($H2902="","",TODAY()-$H2902)</f>
        <v/>
      </c>
      <c r="O2902" s="15" t="n"/>
      <c r="P2902" s="26">
        <f>IF($A2902="","",COUNTIFS('Audit Versions'!$A$6:$A$605,$A2902,'Audit Versions'!$L$6:$L$605,"Active"))</f>
        <v/>
      </c>
      <c r="Q2902" s="15" t="n"/>
      <c r="R2902" s="26">
        <f>IF(OR($A2902="",$P2902=0),"",MOD(N($Q2902),$P2902)+1)</f>
        <v/>
      </c>
      <c r="S2902" s="15" t="n"/>
      <c r="T2902" s="25" t="n"/>
      <c r="U2902" s="26">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Builder'!$B$12="",N($S2902)&lt;='Assignment Builder'!$B$12)))</f>
        <v/>
      </c>
      <c r="V2902" s="23" t="n"/>
    </row>
    <row r="2903">
      <c r="A2903" s="23" t="n"/>
      <c r="B2903" s="23" t="n"/>
      <c r="C2903" s="24" t="n"/>
      <c r="D2903" s="15" t="n"/>
      <c r="E2903" s="23" t="n"/>
      <c r="F2903" s="15" t="n"/>
      <c r="G2903" s="23" t="n"/>
      <c r="H2903" s="25" t="n"/>
      <c r="I2903" s="15" t="n"/>
      <c r="J2903" s="26">
        <f>IF($A2903="","",LEN($C2903)-LEN(SUBSTITUTE($C2903,",",""))+1)</f>
        <v/>
      </c>
      <c r="K2903" s="26">
        <f>IF($A2903="","",SUMPRODUCT(--ISNUMBER(SEARCH('Category Dictionary'!$D$5:$D$135&amp;"",$C2903)),--('Category Dictionary'!$D$5:$D$135&lt;&gt;"")))</f>
        <v/>
      </c>
      <c r="L2903" s="27">
        <f>IF($A2903="","",TRIM(IF(ISERROR(FIND(",",$C2903)),$C2903,LEFT($C2903,FIND(",",$C2903)-1))))</f>
        <v/>
      </c>
      <c r="M2903" s="28">
        <f>IF($H2903="","",DATE(YEAR($H2903),MONTH($H2903),1))</f>
        <v/>
      </c>
      <c r="N2903" s="26">
        <f>IF($H2903="","",TODAY()-$H2903)</f>
        <v/>
      </c>
      <c r="O2903" s="15" t="n"/>
      <c r="P2903" s="26">
        <f>IF($A2903="","",COUNTIFS('Audit Versions'!$A$6:$A$605,$A2903,'Audit Versions'!$L$6:$L$605,"Active"))</f>
        <v/>
      </c>
      <c r="Q2903" s="15" t="n"/>
      <c r="R2903" s="26">
        <f>IF(OR($A2903="",$P2903=0),"",MOD(N($Q2903),$P2903)+1)</f>
        <v/>
      </c>
      <c r="S2903" s="15" t="n"/>
      <c r="T2903" s="25" t="n"/>
      <c r="U2903" s="26">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Builder'!$B$12="",N($S2903)&lt;='Assignment Builder'!$B$12)))</f>
        <v/>
      </c>
      <c r="V2903" s="23" t="n"/>
    </row>
    <row r="2904">
      <c r="A2904" s="23" t="n"/>
      <c r="B2904" s="23" t="n"/>
      <c r="C2904" s="24" t="n"/>
      <c r="D2904" s="15" t="n"/>
      <c r="E2904" s="23" t="n"/>
      <c r="F2904" s="15" t="n"/>
      <c r="G2904" s="23" t="n"/>
      <c r="H2904" s="25" t="n"/>
      <c r="I2904" s="15" t="n"/>
      <c r="J2904" s="26">
        <f>IF($A2904="","",LEN($C2904)-LEN(SUBSTITUTE($C2904,",",""))+1)</f>
        <v/>
      </c>
      <c r="K2904" s="26">
        <f>IF($A2904="","",SUMPRODUCT(--ISNUMBER(SEARCH('Category Dictionary'!$D$5:$D$135&amp;"",$C2904)),--('Category Dictionary'!$D$5:$D$135&lt;&gt;"")))</f>
        <v/>
      </c>
      <c r="L2904" s="27">
        <f>IF($A2904="","",TRIM(IF(ISERROR(FIND(",",$C2904)),$C2904,LEFT($C2904,FIND(",",$C2904)-1))))</f>
        <v/>
      </c>
      <c r="M2904" s="28">
        <f>IF($H2904="","",DATE(YEAR($H2904),MONTH($H2904),1))</f>
        <v/>
      </c>
      <c r="N2904" s="26">
        <f>IF($H2904="","",TODAY()-$H2904)</f>
        <v/>
      </c>
      <c r="O2904" s="15" t="n"/>
      <c r="P2904" s="26">
        <f>IF($A2904="","",COUNTIFS('Audit Versions'!$A$6:$A$605,$A2904,'Audit Versions'!$L$6:$L$605,"Active"))</f>
        <v/>
      </c>
      <c r="Q2904" s="15" t="n"/>
      <c r="R2904" s="26">
        <f>IF(OR($A2904="",$P2904=0),"",MOD(N($Q2904),$P2904)+1)</f>
        <v/>
      </c>
      <c r="S2904" s="15" t="n"/>
      <c r="T2904" s="25" t="n"/>
      <c r="U2904" s="26">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Builder'!$B$12="",N($S2904)&lt;='Assignment Builder'!$B$12)))</f>
        <v/>
      </c>
      <c r="V2904" s="23" t="n"/>
    </row>
    <row r="2905">
      <c r="A2905" s="23" t="n"/>
      <c r="B2905" s="23" t="n"/>
      <c r="C2905" s="24" t="n"/>
      <c r="D2905" s="15" t="n"/>
      <c r="E2905" s="23" t="n"/>
      <c r="F2905" s="15" t="n"/>
      <c r="G2905" s="23" t="n"/>
      <c r="H2905" s="25" t="n"/>
      <c r="I2905" s="15" t="n"/>
      <c r="J2905" s="26">
        <f>IF($A2905="","",LEN($C2905)-LEN(SUBSTITUTE($C2905,",",""))+1)</f>
        <v/>
      </c>
      <c r="K2905" s="26">
        <f>IF($A2905="","",SUMPRODUCT(--ISNUMBER(SEARCH('Category Dictionary'!$D$5:$D$135&amp;"",$C2905)),--('Category Dictionary'!$D$5:$D$135&lt;&gt;"")))</f>
        <v/>
      </c>
      <c r="L2905" s="27">
        <f>IF($A2905="","",TRIM(IF(ISERROR(FIND(",",$C2905)),$C2905,LEFT($C2905,FIND(",",$C2905)-1))))</f>
        <v/>
      </c>
      <c r="M2905" s="28">
        <f>IF($H2905="","",DATE(YEAR($H2905),MONTH($H2905),1))</f>
        <v/>
      </c>
      <c r="N2905" s="26">
        <f>IF($H2905="","",TODAY()-$H2905)</f>
        <v/>
      </c>
      <c r="O2905" s="15" t="n"/>
      <c r="P2905" s="26">
        <f>IF($A2905="","",COUNTIFS('Audit Versions'!$A$6:$A$605,$A2905,'Audit Versions'!$L$6:$L$605,"Active"))</f>
        <v/>
      </c>
      <c r="Q2905" s="15" t="n"/>
      <c r="R2905" s="26">
        <f>IF(OR($A2905="",$P2905=0),"",MOD(N($Q2905),$P2905)+1)</f>
        <v/>
      </c>
      <c r="S2905" s="15" t="n"/>
      <c r="T2905" s="25" t="n"/>
      <c r="U2905" s="26">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Builder'!$B$12="",N($S2905)&lt;='Assignment Builder'!$B$12)))</f>
        <v/>
      </c>
      <c r="V2905" s="23" t="n"/>
    </row>
    <row r="2906">
      <c r="A2906" s="23" t="n"/>
      <c r="B2906" s="23" t="n"/>
      <c r="C2906" s="24" t="n"/>
      <c r="D2906" s="15" t="n"/>
      <c r="E2906" s="23" t="n"/>
      <c r="F2906" s="15" t="n"/>
      <c r="G2906" s="23" t="n"/>
      <c r="H2906" s="25" t="n"/>
      <c r="I2906" s="15" t="n"/>
      <c r="J2906" s="26">
        <f>IF($A2906="","",LEN($C2906)-LEN(SUBSTITUTE($C2906,",",""))+1)</f>
        <v/>
      </c>
      <c r="K2906" s="26">
        <f>IF($A2906="","",SUMPRODUCT(--ISNUMBER(SEARCH('Category Dictionary'!$D$5:$D$135&amp;"",$C2906)),--('Category Dictionary'!$D$5:$D$135&lt;&gt;"")))</f>
        <v/>
      </c>
      <c r="L2906" s="27">
        <f>IF($A2906="","",TRIM(IF(ISERROR(FIND(",",$C2906)),$C2906,LEFT($C2906,FIND(",",$C2906)-1))))</f>
        <v/>
      </c>
      <c r="M2906" s="28">
        <f>IF($H2906="","",DATE(YEAR($H2906),MONTH($H2906),1))</f>
        <v/>
      </c>
      <c r="N2906" s="26">
        <f>IF($H2906="","",TODAY()-$H2906)</f>
        <v/>
      </c>
      <c r="O2906" s="15" t="n"/>
      <c r="P2906" s="26">
        <f>IF($A2906="","",COUNTIFS('Audit Versions'!$A$6:$A$605,$A2906,'Audit Versions'!$L$6:$L$605,"Active"))</f>
        <v/>
      </c>
      <c r="Q2906" s="15" t="n"/>
      <c r="R2906" s="26">
        <f>IF(OR($A2906="",$P2906=0),"",MOD(N($Q2906),$P2906)+1)</f>
        <v/>
      </c>
      <c r="S2906" s="15" t="n"/>
      <c r="T2906" s="25" t="n"/>
      <c r="U2906" s="26">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Builder'!$B$12="",N($S2906)&lt;='Assignment Builder'!$B$12)))</f>
        <v/>
      </c>
      <c r="V2906" s="23" t="n"/>
    </row>
    <row r="2907">
      <c r="A2907" s="23" t="n"/>
      <c r="B2907" s="23" t="n"/>
      <c r="C2907" s="24" t="n"/>
      <c r="D2907" s="15" t="n"/>
      <c r="E2907" s="23" t="n"/>
      <c r="F2907" s="15" t="n"/>
      <c r="G2907" s="23" t="n"/>
      <c r="H2907" s="25" t="n"/>
      <c r="I2907" s="15" t="n"/>
      <c r="J2907" s="26">
        <f>IF($A2907="","",LEN($C2907)-LEN(SUBSTITUTE($C2907,",",""))+1)</f>
        <v/>
      </c>
      <c r="K2907" s="26">
        <f>IF($A2907="","",SUMPRODUCT(--ISNUMBER(SEARCH('Category Dictionary'!$D$5:$D$135&amp;"",$C2907)),--('Category Dictionary'!$D$5:$D$135&lt;&gt;"")))</f>
        <v/>
      </c>
      <c r="L2907" s="27">
        <f>IF($A2907="","",TRIM(IF(ISERROR(FIND(",",$C2907)),$C2907,LEFT($C2907,FIND(",",$C2907)-1))))</f>
        <v/>
      </c>
      <c r="M2907" s="28">
        <f>IF($H2907="","",DATE(YEAR($H2907),MONTH($H2907),1))</f>
        <v/>
      </c>
      <c r="N2907" s="26">
        <f>IF($H2907="","",TODAY()-$H2907)</f>
        <v/>
      </c>
      <c r="O2907" s="15" t="n"/>
      <c r="P2907" s="26">
        <f>IF($A2907="","",COUNTIFS('Audit Versions'!$A$6:$A$605,$A2907,'Audit Versions'!$L$6:$L$605,"Active"))</f>
        <v/>
      </c>
      <c r="Q2907" s="15" t="n"/>
      <c r="R2907" s="26">
        <f>IF(OR($A2907="",$P2907=0),"",MOD(N($Q2907),$P2907)+1)</f>
        <v/>
      </c>
      <c r="S2907" s="15" t="n"/>
      <c r="T2907" s="25" t="n"/>
      <c r="U2907" s="26">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Builder'!$B$12="",N($S2907)&lt;='Assignment Builder'!$B$12)))</f>
        <v/>
      </c>
      <c r="V2907" s="23" t="n"/>
    </row>
    <row r="2908">
      <c r="A2908" s="23" t="n"/>
      <c r="B2908" s="23" t="n"/>
      <c r="C2908" s="24" t="n"/>
      <c r="D2908" s="15" t="n"/>
      <c r="E2908" s="23" t="n"/>
      <c r="F2908" s="15" t="n"/>
      <c r="G2908" s="23" t="n"/>
      <c r="H2908" s="25" t="n"/>
      <c r="I2908" s="15" t="n"/>
      <c r="J2908" s="26">
        <f>IF($A2908="","",LEN($C2908)-LEN(SUBSTITUTE($C2908,",",""))+1)</f>
        <v/>
      </c>
      <c r="K2908" s="26">
        <f>IF($A2908="","",SUMPRODUCT(--ISNUMBER(SEARCH('Category Dictionary'!$D$5:$D$135&amp;"",$C2908)),--('Category Dictionary'!$D$5:$D$135&lt;&gt;"")))</f>
        <v/>
      </c>
      <c r="L2908" s="27">
        <f>IF($A2908="","",TRIM(IF(ISERROR(FIND(",",$C2908)),$C2908,LEFT($C2908,FIND(",",$C2908)-1))))</f>
        <v/>
      </c>
      <c r="M2908" s="28">
        <f>IF($H2908="","",DATE(YEAR($H2908),MONTH($H2908),1))</f>
        <v/>
      </c>
      <c r="N2908" s="26">
        <f>IF($H2908="","",TODAY()-$H2908)</f>
        <v/>
      </c>
      <c r="O2908" s="15" t="n"/>
      <c r="P2908" s="26">
        <f>IF($A2908="","",COUNTIFS('Audit Versions'!$A$6:$A$605,$A2908,'Audit Versions'!$L$6:$L$605,"Active"))</f>
        <v/>
      </c>
      <c r="Q2908" s="15" t="n"/>
      <c r="R2908" s="26">
        <f>IF(OR($A2908="",$P2908=0),"",MOD(N($Q2908),$P2908)+1)</f>
        <v/>
      </c>
      <c r="S2908" s="15" t="n"/>
      <c r="T2908" s="25" t="n"/>
      <c r="U2908" s="26">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Builder'!$B$12="",N($S2908)&lt;='Assignment Builder'!$B$12)))</f>
        <v/>
      </c>
      <c r="V2908" s="23" t="n"/>
    </row>
    <row r="2909">
      <c r="A2909" s="23" t="n"/>
      <c r="B2909" s="23" t="n"/>
      <c r="C2909" s="24" t="n"/>
      <c r="D2909" s="15" t="n"/>
      <c r="E2909" s="23" t="n"/>
      <c r="F2909" s="15" t="n"/>
      <c r="G2909" s="23" t="n"/>
      <c r="H2909" s="25" t="n"/>
      <c r="I2909" s="15" t="n"/>
      <c r="J2909" s="26">
        <f>IF($A2909="","",LEN($C2909)-LEN(SUBSTITUTE($C2909,",",""))+1)</f>
        <v/>
      </c>
      <c r="K2909" s="26">
        <f>IF($A2909="","",SUMPRODUCT(--ISNUMBER(SEARCH('Category Dictionary'!$D$5:$D$135&amp;"",$C2909)),--('Category Dictionary'!$D$5:$D$135&lt;&gt;"")))</f>
        <v/>
      </c>
      <c r="L2909" s="27">
        <f>IF($A2909="","",TRIM(IF(ISERROR(FIND(",",$C2909)),$C2909,LEFT($C2909,FIND(",",$C2909)-1))))</f>
        <v/>
      </c>
      <c r="M2909" s="28">
        <f>IF($H2909="","",DATE(YEAR($H2909),MONTH($H2909),1))</f>
        <v/>
      </c>
      <c r="N2909" s="26">
        <f>IF($H2909="","",TODAY()-$H2909)</f>
        <v/>
      </c>
      <c r="O2909" s="15" t="n"/>
      <c r="P2909" s="26">
        <f>IF($A2909="","",COUNTIFS('Audit Versions'!$A$6:$A$605,$A2909,'Audit Versions'!$L$6:$L$605,"Active"))</f>
        <v/>
      </c>
      <c r="Q2909" s="15" t="n"/>
      <c r="R2909" s="26">
        <f>IF(OR($A2909="",$P2909=0),"",MOD(N($Q2909),$P2909)+1)</f>
        <v/>
      </c>
      <c r="S2909" s="15" t="n"/>
      <c r="T2909" s="25" t="n"/>
      <c r="U2909" s="26">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Builder'!$B$12="",N($S2909)&lt;='Assignment Builder'!$B$12)))</f>
        <v/>
      </c>
      <c r="V2909" s="23" t="n"/>
    </row>
    <row r="2910">
      <c r="A2910" s="23" t="n"/>
      <c r="B2910" s="23" t="n"/>
      <c r="C2910" s="24" t="n"/>
      <c r="D2910" s="15" t="n"/>
      <c r="E2910" s="23" t="n"/>
      <c r="F2910" s="15" t="n"/>
      <c r="G2910" s="23" t="n"/>
      <c r="H2910" s="25" t="n"/>
      <c r="I2910" s="15" t="n"/>
      <c r="J2910" s="26">
        <f>IF($A2910="","",LEN($C2910)-LEN(SUBSTITUTE($C2910,",",""))+1)</f>
        <v/>
      </c>
      <c r="K2910" s="26">
        <f>IF($A2910="","",SUMPRODUCT(--ISNUMBER(SEARCH('Category Dictionary'!$D$5:$D$135&amp;"",$C2910)),--('Category Dictionary'!$D$5:$D$135&lt;&gt;"")))</f>
        <v/>
      </c>
      <c r="L2910" s="27">
        <f>IF($A2910="","",TRIM(IF(ISERROR(FIND(",",$C2910)),$C2910,LEFT($C2910,FIND(",",$C2910)-1))))</f>
        <v/>
      </c>
      <c r="M2910" s="28">
        <f>IF($H2910="","",DATE(YEAR($H2910),MONTH($H2910),1))</f>
        <v/>
      </c>
      <c r="N2910" s="26">
        <f>IF($H2910="","",TODAY()-$H2910)</f>
        <v/>
      </c>
      <c r="O2910" s="15" t="n"/>
      <c r="P2910" s="26">
        <f>IF($A2910="","",COUNTIFS('Audit Versions'!$A$6:$A$605,$A2910,'Audit Versions'!$L$6:$L$605,"Active"))</f>
        <v/>
      </c>
      <c r="Q2910" s="15" t="n"/>
      <c r="R2910" s="26">
        <f>IF(OR($A2910="",$P2910=0),"",MOD(N($Q2910),$P2910)+1)</f>
        <v/>
      </c>
      <c r="S2910" s="15" t="n"/>
      <c r="T2910" s="25" t="n"/>
      <c r="U2910" s="26">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Builder'!$B$12="",N($S2910)&lt;='Assignment Builder'!$B$12)))</f>
        <v/>
      </c>
      <c r="V2910" s="23" t="n"/>
    </row>
    <row r="2911">
      <c r="A2911" s="23" t="n"/>
      <c r="B2911" s="23" t="n"/>
      <c r="C2911" s="24" t="n"/>
      <c r="D2911" s="15" t="n"/>
      <c r="E2911" s="23" t="n"/>
      <c r="F2911" s="15" t="n"/>
      <c r="G2911" s="23" t="n"/>
      <c r="H2911" s="25" t="n"/>
      <c r="I2911" s="15" t="n"/>
      <c r="J2911" s="26">
        <f>IF($A2911="","",LEN($C2911)-LEN(SUBSTITUTE($C2911,",",""))+1)</f>
        <v/>
      </c>
      <c r="K2911" s="26">
        <f>IF($A2911="","",SUMPRODUCT(--ISNUMBER(SEARCH('Category Dictionary'!$D$5:$D$135&amp;"",$C2911)),--('Category Dictionary'!$D$5:$D$135&lt;&gt;"")))</f>
        <v/>
      </c>
      <c r="L2911" s="27">
        <f>IF($A2911="","",TRIM(IF(ISERROR(FIND(",",$C2911)),$C2911,LEFT($C2911,FIND(",",$C2911)-1))))</f>
        <v/>
      </c>
      <c r="M2911" s="28">
        <f>IF($H2911="","",DATE(YEAR($H2911),MONTH($H2911),1))</f>
        <v/>
      </c>
      <c r="N2911" s="26">
        <f>IF($H2911="","",TODAY()-$H2911)</f>
        <v/>
      </c>
      <c r="O2911" s="15" t="n"/>
      <c r="P2911" s="26">
        <f>IF($A2911="","",COUNTIFS('Audit Versions'!$A$6:$A$605,$A2911,'Audit Versions'!$L$6:$L$605,"Active"))</f>
        <v/>
      </c>
      <c r="Q2911" s="15" t="n"/>
      <c r="R2911" s="26">
        <f>IF(OR($A2911="",$P2911=0),"",MOD(N($Q2911),$P2911)+1)</f>
        <v/>
      </c>
      <c r="S2911" s="15" t="n"/>
      <c r="T2911" s="25" t="n"/>
      <c r="U2911" s="26">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Builder'!$B$12="",N($S2911)&lt;='Assignment Builder'!$B$12)))</f>
        <v/>
      </c>
      <c r="V2911" s="23" t="n"/>
    </row>
    <row r="2912">
      <c r="A2912" s="23" t="n"/>
      <c r="B2912" s="23" t="n"/>
      <c r="C2912" s="24" t="n"/>
      <c r="D2912" s="15" t="n"/>
      <c r="E2912" s="23" t="n"/>
      <c r="F2912" s="15" t="n"/>
      <c r="G2912" s="23" t="n"/>
      <c r="H2912" s="25" t="n"/>
      <c r="I2912" s="15" t="n"/>
      <c r="J2912" s="26">
        <f>IF($A2912="","",LEN($C2912)-LEN(SUBSTITUTE($C2912,",",""))+1)</f>
        <v/>
      </c>
      <c r="K2912" s="26">
        <f>IF($A2912="","",SUMPRODUCT(--ISNUMBER(SEARCH('Category Dictionary'!$D$5:$D$135&amp;"",$C2912)),--('Category Dictionary'!$D$5:$D$135&lt;&gt;"")))</f>
        <v/>
      </c>
      <c r="L2912" s="27">
        <f>IF($A2912="","",TRIM(IF(ISERROR(FIND(",",$C2912)),$C2912,LEFT($C2912,FIND(",",$C2912)-1))))</f>
        <v/>
      </c>
      <c r="M2912" s="28">
        <f>IF($H2912="","",DATE(YEAR($H2912),MONTH($H2912),1))</f>
        <v/>
      </c>
      <c r="N2912" s="26">
        <f>IF($H2912="","",TODAY()-$H2912)</f>
        <v/>
      </c>
      <c r="O2912" s="15" t="n"/>
      <c r="P2912" s="26">
        <f>IF($A2912="","",COUNTIFS('Audit Versions'!$A$6:$A$605,$A2912,'Audit Versions'!$L$6:$L$605,"Active"))</f>
        <v/>
      </c>
      <c r="Q2912" s="15" t="n"/>
      <c r="R2912" s="26">
        <f>IF(OR($A2912="",$P2912=0),"",MOD(N($Q2912),$P2912)+1)</f>
        <v/>
      </c>
      <c r="S2912" s="15" t="n"/>
      <c r="T2912" s="25" t="n"/>
      <c r="U2912" s="26">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Builder'!$B$12="",N($S2912)&lt;='Assignment Builder'!$B$12)))</f>
        <v/>
      </c>
      <c r="V2912" s="23" t="n"/>
    </row>
    <row r="2913">
      <c r="A2913" s="23" t="n"/>
      <c r="B2913" s="23" t="n"/>
      <c r="C2913" s="24" t="n"/>
      <c r="D2913" s="15" t="n"/>
      <c r="E2913" s="23" t="n"/>
      <c r="F2913" s="15" t="n"/>
      <c r="G2913" s="23" t="n"/>
      <c r="H2913" s="25" t="n"/>
      <c r="I2913" s="15" t="n"/>
      <c r="J2913" s="26">
        <f>IF($A2913="","",LEN($C2913)-LEN(SUBSTITUTE($C2913,",",""))+1)</f>
        <v/>
      </c>
      <c r="K2913" s="26">
        <f>IF($A2913="","",SUMPRODUCT(--ISNUMBER(SEARCH('Category Dictionary'!$D$5:$D$135&amp;"",$C2913)),--('Category Dictionary'!$D$5:$D$135&lt;&gt;"")))</f>
        <v/>
      </c>
      <c r="L2913" s="27">
        <f>IF($A2913="","",TRIM(IF(ISERROR(FIND(",",$C2913)),$C2913,LEFT($C2913,FIND(",",$C2913)-1))))</f>
        <v/>
      </c>
      <c r="M2913" s="28">
        <f>IF($H2913="","",DATE(YEAR($H2913),MONTH($H2913),1))</f>
        <v/>
      </c>
      <c r="N2913" s="26">
        <f>IF($H2913="","",TODAY()-$H2913)</f>
        <v/>
      </c>
      <c r="O2913" s="15" t="n"/>
      <c r="P2913" s="26">
        <f>IF($A2913="","",COUNTIFS('Audit Versions'!$A$6:$A$605,$A2913,'Audit Versions'!$L$6:$L$605,"Active"))</f>
        <v/>
      </c>
      <c r="Q2913" s="15" t="n"/>
      <c r="R2913" s="26">
        <f>IF(OR($A2913="",$P2913=0),"",MOD(N($Q2913),$P2913)+1)</f>
        <v/>
      </c>
      <c r="S2913" s="15" t="n"/>
      <c r="T2913" s="25" t="n"/>
      <c r="U2913" s="26">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Builder'!$B$12="",N($S2913)&lt;='Assignment Builder'!$B$12)))</f>
        <v/>
      </c>
      <c r="V2913" s="23" t="n"/>
    </row>
    <row r="2914">
      <c r="A2914" s="23" t="n"/>
      <c r="B2914" s="23" t="n"/>
      <c r="C2914" s="24" t="n"/>
      <c r="D2914" s="15" t="n"/>
      <c r="E2914" s="23" t="n"/>
      <c r="F2914" s="15" t="n"/>
      <c r="G2914" s="23" t="n"/>
      <c r="H2914" s="25" t="n"/>
      <c r="I2914" s="15" t="n"/>
      <c r="J2914" s="26">
        <f>IF($A2914="","",LEN($C2914)-LEN(SUBSTITUTE($C2914,",",""))+1)</f>
        <v/>
      </c>
      <c r="K2914" s="26">
        <f>IF($A2914="","",SUMPRODUCT(--ISNUMBER(SEARCH('Category Dictionary'!$D$5:$D$135&amp;"",$C2914)),--('Category Dictionary'!$D$5:$D$135&lt;&gt;"")))</f>
        <v/>
      </c>
      <c r="L2914" s="27">
        <f>IF($A2914="","",TRIM(IF(ISERROR(FIND(",",$C2914)),$C2914,LEFT($C2914,FIND(",",$C2914)-1))))</f>
        <v/>
      </c>
      <c r="M2914" s="28">
        <f>IF($H2914="","",DATE(YEAR($H2914),MONTH($H2914),1))</f>
        <v/>
      </c>
      <c r="N2914" s="26">
        <f>IF($H2914="","",TODAY()-$H2914)</f>
        <v/>
      </c>
      <c r="O2914" s="15" t="n"/>
      <c r="P2914" s="26">
        <f>IF($A2914="","",COUNTIFS('Audit Versions'!$A$6:$A$605,$A2914,'Audit Versions'!$L$6:$L$605,"Active"))</f>
        <v/>
      </c>
      <c r="Q2914" s="15" t="n"/>
      <c r="R2914" s="26">
        <f>IF(OR($A2914="",$P2914=0),"",MOD(N($Q2914),$P2914)+1)</f>
        <v/>
      </c>
      <c r="S2914" s="15" t="n"/>
      <c r="T2914" s="25" t="n"/>
      <c r="U2914" s="26">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Builder'!$B$12="",N($S2914)&lt;='Assignment Builder'!$B$12)))</f>
        <v/>
      </c>
      <c r="V2914" s="23" t="n"/>
    </row>
    <row r="2915">
      <c r="A2915" s="23" t="n"/>
      <c r="B2915" s="23" t="n"/>
      <c r="C2915" s="24" t="n"/>
      <c r="D2915" s="15" t="n"/>
      <c r="E2915" s="23" t="n"/>
      <c r="F2915" s="15" t="n"/>
      <c r="G2915" s="23" t="n"/>
      <c r="H2915" s="25" t="n"/>
      <c r="I2915" s="15" t="n"/>
      <c r="J2915" s="26">
        <f>IF($A2915="","",LEN($C2915)-LEN(SUBSTITUTE($C2915,",",""))+1)</f>
        <v/>
      </c>
      <c r="K2915" s="26">
        <f>IF($A2915="","",SUMPRODUCT(--ISNUMBER(SEARCH('Category Dictionary'!$D$5:$D$135&amp;"",$C2915)),--('Category Dictionary'!$D$5:$D$135&lt;&gt;"")))</f>
        <v/>
      </c>
      <c r="L2915" s="27">
        <f>IF($A2915="","",TRIM(IF(ISERROR(FIND(",",$C2915)),$C2915,LEFT($C2915,FIND(",",$C2915)-1))))</f>
        <v/>
      </c>
      <c r="M2915" s="28">
        <f>IF($H2915="","",DATE(YEAR($H2915),MONTH($H2915),1))</f>
        <v/>
      </c>
      <c r="N2915" s="26">
        <f>IF($H2915="","",TODAY()-$H2915)</f>
        <v/>
      </c>
      <c r="O2915" s="15" t="n"/>
      <c r="P2915" s="26">
        <f>IF($A2915="","",COUNTIFS('Audit Versions'!$A$6:$A$605,$A2915,'Audit Versions'!$L$6:$L$605,"Active"))</f>
        <v/>
      </c>
      <c r="Q2915" s="15" t="n"/>
      <c r="R2915" s="26">
        <f>IF(OR($A2915="",$P2915=0),"",MOD(N($Q2915),$P2915)+1)</f>
        <v/>
      </c>
      <c r="S2915" s="15" t="n"/>
      <c r="T2915" s="25" t="n"/>
      <c r="U2915" s="26">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Builder'!$B$12="",N($S2915)&lt;='Assignment Builder'!$B$12)))</f>
        <v/>
      </c>
      <c r="V2915" s="23" t="n"/>
    </row>
    <row r="2916">
      <c r="A2916" s="23" t="n"/>
      <c r="B2916" s="23" t="n"/>
      <c r="C2916" s="24" t="n"/>
      <c r="D2916" s="15" t="n"/>
      <c r="E2916" s="23" t="n"/>
      <c r="F2916" s="15" t="n"/>
      <c r="G2916" s="23" t="n"/>
      <c r="H2916" s="25" t="n"/>
      <c r="I2916" s="15" t="n"/>
      <c r="J2916" s="26">
        <f>IF($A2916="","",LEN($C2916)-LEN(SUBSTITUTE($C2916,",",""))+1)</f>
        <v/>
      </c>
      <c r="K2916" s="26">
        <f>IF($A2916="","",SUMPRODUCT(--ISNUMBER(SEARCH('Category Dictionary'!$D$5:$D$135&amp;"",$C2916)),--('Category Dictionary'!$D$5:$D$135&lt;&gt;"")))</f>
        <v/>
      </c>
      <c r="L2916" s="27">
        <f>IF($A2916="","",TRIM(IF(ISERROR(FIND(",",$C2916)),$C2916,LEFT($C2916,FIND(",",$C2916)-1))))</f>
        <v/>
      </c>
      <c r="M2916" s="28">
        <f>IF($H2916="","",DATE(YEAR($H2916),MONTH($H2916),1))</f>
        <v/>
      </c>
      <c r="N2916" s="26">
        <f>IF($H2916="","",TODAY()-$H2916)</f>
        <v/>
      </c>
      <c r="O2916" s="15" t="n"/>
      <c r="P2916" s="26">
        <f>IF($A2916="","",COUNTIFS('Audit Versions'!$A$6:$A$605,$A2916,'Audit Versions'!$L$6:$L$605,"Active"))</f>
        <v/>
      </c>
      <c r="Q2916" s="15" t="n"/>
      <c r="R2916" s="26">
        <f>IF(OR($A2916="",$P2916=0),"",MOD(N($Q2916),$P2916)+1)</f>
        <v/>
      </c>
      <c r="S2916" s="15" t="n"/>
      <c r="T2916" s="25" t="n"/>
      <c r="U2916" s="26">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Builder'!$B$12="",N($S2916)&lt;='Assignment Builder'!$B$12)))</f>
        <v/>
      </c>
      <c r="V2916" s="23" t="n"/>
    </row>
    <row r="2917">
      <c r="A2917" s="23" t="n"/>
      <c r="B2917" s="23" t="n"/>
      <c r="C2917" s="24" t="n"/>
      <c r="D2917" s="15" t="n"/>
      <c r="E2917" s="23" t="n"/>
      <c r="F2917" s="15" t="n"/>
      <c r="G2917" s="23" t="n"/>
      <c r="H2917" s="25" t="n"/>
      <c r="I2917" s="15" t="n"/>
      <c r="J2917" s="26">
        <f>IF($A2917="","",LEN($C2917)-LEN(SUBSTITUTE($C2917,",",""))+1)</f>
        <v/>
      </c>
      <c r="K2917" s="26">
        <f>IF($A2917="","",SUMPRODUCT(--ISNUMBER(SEARCH('Category Dictionary'!$D$5:$D$135&amp;"",$C2917)),--('Category Dictionary'!$D$5:$D$135&lt;&gt;"")))</f>
        <v/>
      </c>
      <c r="L2917" s="27">
        <f>IF($A2917="","",TRIM(IF(ISERROR(FIND(",",$C2917)),$C2917,LEFT($C2917,FIND(",",$C2917)-1))))</f>
        <v/>
      </c>
      <c r="M2917" s="28">
        <f>IF($H2917="","",DATE(YEAR($H2917),MONTH($H2917),1))</f>
        <v/>
      </c>
      <c r="N2917" s="26">
        <f>IF($H2917="","",TODAY()-$H2917)</f>
        <v/>
      </c>
      <c r="O2917" s="15" t="n"/>
      <c r="P2917" s="26">
        <f>IF($A2917="","",COUNTIFS('Audit Versions'!$A$6:$A$605,$A2917,'Audit Versions'!$L$6:$L$605,"Active"))</f>
        <v/>
      </c>
      <c r="Q2917" s="15" t="n"/>
      <c r="R2917" s="26">
        <f>IF(OR($A2917="",$P2917=0),"",MOD(N($Q2917),$P2917)+1)</f>
        <v/>
      </c>
      <c r="S2917" s="15" t="n"/>
      <c r="T2917" s="25" t="n"/>
      <c r="U2917" s="26">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Builder'!$B$12="",N($S2917)&lt;='Assignment Builder'!$B$12)))</f>
        <v/>
      </c>
      <c r="V2917" s="23" t="n"/>
    </row>
    <row r="2918">
      <c r="A2918" s="23" t="n"/>
      <c r="B2918" s="23" t="n"/>
      <c r="C2918" s="24" t="n"/>
      <c r="D2918" s="15" t="n"/>
      <c r="E2918" s="23" t="n"/>
      <c r="F2918" s="15" t="n"/>
      <c r="G2918" s="23" t="n"/>
      <c r="H2918" s="25" t="n"/>
      <c r="I2918" s="15" t="n"/>
      <c r="J2918" s="26">
        <f>IF($A2918="","",LEN($C2918)-LEN(SUBSTITUTE($C2918,",",""))+1)</f>
        <v/>
      </c>
      <c r="K2918" s="26">
        <f>IF($A2918="","",SUMPRODUCT(--ISNUMBER(SEARCH('Category Dictionary'!$D$5:$D$135&amp;"",$C2918)),--('Category Dictionary'!$D$5:$D$135&lt;&gt;"")))</f>
        <v/>
      </c>
      <c r="L2918" s="27">
        <f>IF($A2918="","",TRIM(IF(ISERROR(FIND(",",$C2918)),$C2918,LEFT($C2918,FIND(",",$C2918)-1))))</f>
        <v/>
      </c>
      <c r="M2918" s="28">
        <f>IF($H2918="","",DATE(YEAR($H2918),MONTH($H2918),1))</f>
        <v/>
      </c>
      <c r="N2918" s="26">
        <f>IF($H2918="","",TODAY()-$H2918)</f>
        <v/>
      </c>
      <c r="O2918" s="15" t="n"/>
      <c r="P2918" s="26">
        <f>IF($A2918="","",COUNTIFS('Audit Versions'!$A$6:$A$605,$A2918,'Audit Versions'!$L$6:$L$605,"Active"))</f>
        <v/>
      </c>
      <c r="Q2918" s="15" t="n"/>
      <c r="R2918" s="26">
        <f>IF(OR($A2918="",$P2918=0),"",MOD(N($Q2918),$P2918)+1)</f>
        <v/>
      </c>
      <c r="S2918" s="15" t="n"/>
      <c r="T2918" s="25" t="n"/>
      <c r="U2918" s="26">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Builder'!$B$12="",N($S2918)&lt;='Assignment Builder'!$B$12)))</f>
        <v/>
      </c>
      <c r="V2918" s="23" t="n"/>
    </row>
    <row r="2919">
      <c r="A2919" s="23" t="n"/>
      <c r="B2919" s="23" t="n"/>
      <c r="C2919" s="24" t="n"/>
      <c r="D2919" s="15" t="n"/>
      <c r="E2919" s="23" t="n"/>
      <c r="F2919" s="15" t="n"/>
      <c r="G2919" s="23" t="n"/>
      <c r="H2919" s="25" t="n"/>
      <c r="I2919" s="15" t="n"/>
      <c r="J2919" s="26">
        <f>IF($A2919="","",LEN($C2919)-LEN(SUBSTITUTE($C2919,",",""))+1)</f>
        <v/>
      </c>
      <c r="K2919" s="26">
        <f>IF($A2919="","",SUMPRODUCT(--ISNUMBER(SEARCH('Category Dictionary'!$D$5:$D$135&amp;"",$C2919)),--('Category Dictionary'!$D$5:$D$135&lt;&gt;"")))</f>
        <v/>
      </c>
      <c r="L2919" s="27">
        <f>IF($A2919="","",TRIM(IF(ISERROR(FIND(",",$C2919)),$C2919,LEFT($C2919,FIND(",",$C2919)-1))))</f>
        <v/>
      </c>
      <c r="M2919" s="28">
        <f>IF($H2919="","",DATE(YEAR($H2919),MONTH($H2919),1))</f>
        <v/>
      </c>
      <c r="N2919" s="26">
        <f>IF($H2919="","",TODAY()-$H2919)</f>
        <v/>
      </c>
      <c r="O2919" s="15" t="n"/>
      <c r="P2919" s="26">
        <f>IF($A2919="","",COUNTIFS('Audit Versions'!$A$6:$A$605,$A2919,'Audit Versions'!$L$6:$L$605,"Active"))</f>
        <v/>
      </c>
      <c r="Q2919" s="15" t="n"/>
      <c r="R2919" s="26">
        <f>IF(OR($A2919="",$P2919=0),"",MOD(N($Q2919),$P2919)+1)</f>
        <v/>
      </c>
      <c r="S2919" s="15" t="n"/>
      <c r="T2919" s="25" t="n"/>
      <c r="U2919" s="26">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Builder'!$B$12="",N($S2919)&lt;='Assignment Builder'!$B$12)))</f>
        <v/>
      </c>
      <c r="V2919" s="23" t="n"/>
    </row>
    <row r="2920">
      <c r="A2920" s="23" t="n"/>
      <c r="B2920" s="23" t="n"/>
      <c r="C2920" s="24" t="n"/>
      <c r="D2920" s="15" t="n"/>
      <c r="E2920" s="23" t="n"/>
      <c r="F2920" s="15" t="n"/>
      <c r="G2920" s="23" t="n"/>
      <c r="H2920" s="25" t="n"/>
      <c r="I2920" s="15" t="n"/>
      <c r="J2920" s="26">
        <f>IF($A2920="","",LEN($C2920)-LEN(SUBSTITUTE($C2920,",",""))+1)</f>
        <v/>
      </c>
      <c r="K2920" s="26">
        <f>IF($A2920="","",SUMPRODUCT(--ISNUMBER(SEARCH('Category Dictionary'!$D$5:$D$135&amp;"",$C2920)),--('Category Dictionary'!$D$5:$D$135&lt;&gt;"")))</f>
        <v/>
      </c>
      <c r="L2920" s="27">
        <f>IF($A2920="","",TRIM(IF(ISERROR(FIND(",",$C2920)),$C2920,LEFT($C2920,FIND(",",$C2920)-1))))</f>
        <v/>
      </c>
      <c r="M2920" s="28">
        <f>IF($H2920="","",DATE(YEAR($H2920),MONTH($H2920),1))</f>
        <v/>
      </c>
      <c r="N2920" s="26">
        <f>IF($H2920="","",TODAY()-$H2920)</f>
        <v/>
      </c>
      <c r="O2920" s="15" t="n"/>
      <c r="P2920" s="26">
        <f>IF($A2920="","",COUNTIFS('Audit Versions'!$A$6:$A$605,$A2920,'Audit Versions'!$L$6:$L$605,"Active"))</f>
        <v/>
      </c>
      <c r="Q2920" s="15" t="n"/>
      <c r="R2920" s="26">
        <f>IF(OR($A2920="",$P2920=0),"",MOD(N($Q2920),$P2920)+1)</f>
        <v/>
      </c>
      <c r="S2920" s="15" t="n"/>
      <c r="T2920" s="25" t="n"/>
      <c r="U2920" s="26">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Builder'!$B$12="",N($S2920)&lt;='Assignment Builder'!$B$12)))</f>
        <v/>
      </c>
      <c r="V2920" s="23" t="n"/>
    </row>
    <row r="2921">
      <c r="A2921" s="23" t="n"/>
      <c r="B2921" s="23" t="n"/>
      <c r="C2921" s="24" t="n"/>
      <c r="D2921" s="15" t="n"/>
      <c r="E2921" s="23" t="n"/>
      <c r="F2921" s="15" t="n"/>
      <c r="G2921" s="23" t="n"/>
      <c r="H2921" s="25" t="n"/>
      <c r="I2921" s="15" t="n"/>
      <c r="J2921" s="26">
        <f>IF($A2921="","",LEN($C2921)-LEN(SUBSTITUTE($C2921,",",""))+1)</f>
        <v/>
      </c>
      <c r="K2921" s="26">
        <f>IF($A2921="","",SUMPRODUCT(--ISNUMBER(SEARCH('Category Dictionary'!$D$5:$D$135&amp;"",$C2921)),--('Category Dictionary'!$D$5:$D$135&lt;&gt;"")))</f>
        <v/>
      </c>
      <c r="L2921" s="27">
        <f>IF($A2921="","",TRIM(IF(ISERROR(FIND(",",$C2921)),$C2921,LEFT($C2921,FIND(",",$C2921)-1))))</f>
        <v/>
      </c>
      <c r="M2921" s="28">
        <f>IF($H2921="","",DATE(YEAR($H2921),MONTH($H2921),1))</f>
        <v/>
      </c>
      <c r="N2921" s="26">
        <f>IF($H2921="","",TODAY()-$H2921)</f>
        <v/>
      </c>
      <c r="O2921" s="15" t="n"/>
      <c r="P2921" s="26">
        <f>IF($A2921="","",COUNTIFS('Audit Versions'!$A$6:$A$605,$A2921,'Audit Versions'!$L$6:$L$605,"Active"))</f>
        <v/>
      </c>
      <c r="Q2921" s="15" t="n"/>
      <c r="R2921" s="26">
        <f>IF(OR($A2921="",$P2921=0),"",MOD(N($Q2921),$P2921)+1)</f>
        <v/>
      </c>
      <c r="S2921" s="15" t="n"/>
      <c r="T2921" s="25" t="n"/>
      <c r="U2921" s="26">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Builder'!$B$12="",N($S2921)&lt;='Assignment Builder'!$B$12)))</f>
        <v/>
      </c>
      <c r="V2921" s="23" t="n"/>
    </row>
    <row r="2922">
      <c r="A2922" s="23" t="n"/>
      <c r="B2922" s="23" t="n"/>
      <c r="C2922" s="24" t="n"/>
      <c r="D2922" s="15" t="n"/>
      <c r="E2922" s="23" t="n"/>
      <c r="F2922" s="15" t="n"/>
      <c r="G2922" s="23" t="n"/>
      <c r="H2922" s="25" t="n"/>
      <c r="I2922" s="15" t="n"/>
      <c r="J2922" s="26">
        <f>IF($A2922="","",LEN($C2922)-LEN(SUBSTITUTE($C2922,",",""))+1)</f>
        <v/>
      </c>
      <c r="K2922" s="26">
        <f>IF($A2922="","",SUMPRODUCT(--ISNUMBER(SEARCH('Category Dictionary'!$D$5:$D$135&amp;"",$C2922)),--('Category Dictionary'!$D$5:$D$135&lt;&gt;"")))</f>
        <v/>
      </c>
      <c r="L2922" s="27">
        <f>IF($A2922="","",TRIM(IF(ISERROR(FIND(",",$C2922)),$C2922,LEFT($C2922,FIND(",",$C2922)-1))))</f>
        <v/>
      </c>
      <c r="M2922" s="28">
        <f>IF($H2922="","",DATE(YEAR($H2922),MONTH($H2922),1))</f>
        <v/>
      </c>
      <c r="N2922" s="26">
        <f>IF($H2922="","",TODAY()-$H2922)</f>
        <v/>
      </c>
      <c r="O2922" s="15" t="n"/>
      <c r="P2922" s="26">
        <f>IF($A2922="","",COUNTIFS('Audit Versions'!$A$6:$A$605,$A2922,'Audit Versions'!$L$6:$L$605,"Active"))</f>
        <v/>
      </c>
      <c r="Q2922" s="15" t="n"/>
      <c r="R2922" s="26">
        <f>IF(OR($A2922="",$P2922=0),"",MOD(N($Q2922),$P2922)+1)</f>
        <v/>
      </c>
      <c r="S2922" s="15" t="n"/>
      <c r="T2922" s="25" t="n"/>
      <c r="U2922" s="26">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Builder'!$B$12="",N($S2922)&lt;='Assignment Builder'!$B$12)))</f>
        <v/>
      </c>
      <c r="V2922" s="23" t="n"/>
    </row>
    <row r="2923">
      <c r="A2923" s="23" t="n"/>
      <c r="B2923" s="23" t="n"/>
      <c r="C2923" s="24" t="n"/>
      <c r="D2923" s="15" t="n"/>
      <c r="E2923" s="23" t="n"/>
      <c r="F2923" s="15" t="n"/>
      <c r="G2923" s="23" t="n"/>
      <c r="H2923" s="25" t="n"/>
      <c r="I2923" s="15" t="n"/>
      <c r="J2923" s="26">
        <f>IF($A2923="","",LEN($C2923)-LEN(SUBSTITUTE($C2923,",",""))+1)</f>
        <v/>
      </c>
      <c r="K2923" s="26">
        <f>IF($A2923="","",SUMPRODUCT(--ISNUMBER(SEARCH('Category Dictionary'!$D$5:$D$135&amp;"",$C2923)),--('Category Dictionary'!$D$5:$D$135&lt;&gt;"")))</f>
        <v/>
      </c>
      <c r="L2923" s="27">
        <f>IF($A2923="","",TRIM(IF(ISERROR(FIND(",",$C2923)),$C2923,LEFT($C2923,FIND(",",$C2923)-1))))</f>
        <v/>
      </c>
      <c r="M2923" s="28">
        <f>IF($H2923="","",DATE(YEAR($H2923),MONTH($H2923),1))</f>
        <v/>
      </c>
      <c r="N2923" s="26">
        <f>IF($H2923="","",TODAY()-$H2923)</f>
        <v/>
      </c>
      <c r="O2923" s="15" t="n"/>
      <c r="P2923" s="26">
        <f>IF($A2923="","",COUNTIFS('Audit Versions'!$A$6:$A$605,$A2923,'Audit Versions'!$L$6:$L$605,"Active"))</f>
        <v/>
      </c>
      <c r="Q2923" s="15" t="n"/>
      <c r="R2923" s="26">
        <f>IF(OR($A2923="",$P2923=0),"",MOD(N($Q2923),$P2923)+1)</f>
        <v/>
      </c>
      <c r="S2923" s="15" t="n"/>
      <c r="T2923" s="25" t="n"/>
      <c r="U2923" s="26">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Builder'!$B$12="",N($S2923)&lt;='Assignment Builder'!$B$12)))</f>
        <v/>
      </c>
      <c r="V2923" s="23" t="n"/>
    </row>
    <row r="2924">
      <c r="A2924" s="23" t="n"/>
      <c r="B2924" s="23" t="n"/>
      <c r="C2924" s="24" t="n"/>
      <c r="D2924" s="15" t="n"/>
      <c r="E2924" s="23" t="n"/>
      <c r="F2924" s="15" t="n"/>
      <c r="G2924" s="23" t="n"/>
      <c r="H2924" s="25" t="n"/>
      <c r="I2924" s="15" t="n"/>
      <c r="J2924" s="26">
        <f>IF($A2924="","",LEN($C2924)-LEN(SUBSTITUTE($C2924,",",""))+1)</f>
        <v/>
      </c>
      <c r="K2924" s="26">
        <f>IF($A2924="","",SUMPRODUCT(--ISNUMBER(SEARCH('Category Dictionary'!$D$5:$D$135&amp;"",$C2924)),--('Category Dictionary'!$D$5:$D$135&lt;&gt;"")))</f>
        <v/>
      </c>
      <c r="L2924" s="27">
        <f>IF($A2924="","",TRIM(IF(ISERROR(FIND(",",$C2924)),$C2924,LEFT($C2924,FIND(",",$C2924)-1))))</f>
        <v/>
      </c>
      <c r="M2924" s="28">
        <f>IF($H2924="","",DATE(YEAR($H2924),MONTH($H2924),1))</f>
        <v/>
      </c>
      <c r="N2924" s="26">
        <f>IF($H2924="","",TODAY()-$H2924)</f>
        <v/>
      </c>
      <c r="O2924" s="15" t="n"/>
      <c r="P2924" s="26">
        <f>IF($A2924="","",COUNTIFS('Audit Versions'!$A$6:$A$605,$A2924,'Audit Versions'!$L$6:$L$605,"Active"))</f>
        <v/>
      </c>
      <c r="Q2924" s="15" t="n"/>
      <c r="R2924" s="26">
        <f>IF(OR($A2924="",$P2924=0),"",MOD(N($Q2924),$P2924)+1)</f>
        <v/>
      </c>
      <c r="S2924" s="15" t="n"/>
      <c r="T2924" s="25" t="n"/>
      <c r="U2924" s="26">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Builder'!$B$12="",N($S2924)&lt;='Assignment Builder'!$B$12)))</f>
        <v/>
      </c>
      <c r="V2924" s="23" t="n"/>
    </row>
    <row r="2925">
      <c r="A2925" s="23" t="n"/>
      <c r="B2925" s="23" t="n"/>
      <c r="C2925" s="24" t="n"/>
      <c r="D2925" s="15" t="n"/>
      <c r="E2925" s="23" t="n"/>
      <c r="F2925" s="15" t="n"/>
      <c r="G2925" s="23" t="n"/>
      <c r="H2925" s="25" t="n"/>
      <c r="I2925" s="15" t="n"/>
      <c r="J2925" s="26">
        <f>IF($A2925="","",LEN($C2925)-LEN(SUBSTITUTE($C2925,",",""))+1)</f>
        <v/>
      </c>
      <c r="K2925" s="26">
        <f>IF($A2925="","",SUMPRODUCT(--ISNUMBER(SEARCH('Category Dictionary'!$D$5:$D$135&amp;"",$C2925)),--('Category Dictionary'!$D$5:$D$135&lt;&gt;"")))</f>
        <v/>
      </c>
      <c r="L2925" s="27">
        <f>IF($A2925="","",TRIM(IF(ISERROR(FIND(",",$C2925)),$C2925,LEFT($C2925,FIND(",",$C2925)-1))))</f>
        <v/>
      </c>
      <c r="M2925" s="28">
        <f>IF($H2925="","",DATE(YEAR($H2925),MONTH($H2925),1))</f>
        <v/>
      </c>
      <c r="N2925" s="26">
        <f>IF($H2925="","",TODAY()-$H2925)</f>
        <v/>
      </c>
      <c r="O2925" s="15" t="n"/>
      <c r="P2925" s="26">
        <f>IF($A2925="","",COUNTIFS('Audit Versions'!$A$6:$A$605,$A2925,'Audit Versions'!$L$6:$L$605,"Active"))</f>
        <v/>
      </c>
      <c r="Q2925" s="15" t="n"/>
      <c r="R2925" s="26">
        <f>IF(OR($A2925="",$P2925=0),"",MOD(N($Q2925),$P2925)+1)</f>
        <v/>
      </c>
      <c r="S2925" s="15" t="n"/>
      <c r="T2925" s="25" t="n"/>
      <c r="U2925" s="26">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Builder'!$B$12="",N($S2925)&lt;='Assignment Builder'!$B$12)))</f>
        <v/>
      </c>
      <c r="V2925" s="23" t="n"/>
    </row>
    <row r="2926">
      <c r="A2926" s="23" t="n"/>
      <c r="B2926" s="23" t="n"/>
      <c r="C2926" s="24" t="n"/>
      <c r="D2926" s="15" t="n"/>
      <c r="E2926" s="23" t="n"/>
      <c r="F2926" s="15" t="n"/>
      <c r="G2926" s="23" t="n"/>
      <c r="H2926" s="25" t="n"/>
      <c r="I2926" s="15" t="n"/>
      <c r="J2926" s="26">
        <f>IF($A2926="","",LEN($C2926)-LEN(SUBSTITUTE($C2926,",",""))+1)</f>
        <v/>
      </c>
      <c r="K2926" s="26">
        <f>IF($A2926="","",SUMPRODUCT(--ISNUMBER(SEARCH('Category Dictionary'!$D$5:$D$135&amp;"",$C2926)),--('Category Dictionary'!$D$5:$D$135&lt;&gt;"")))</f>
        <v/>
      </c>
      <c r="L2926" s="27">
        <f>IF($A2926="","",TRIM(IF(ISERROR(FIND(",",$C2926)),$C2926,LEFT($C2926,FIND(",",$C2926)-1))))</f>
        <v/>
      </c>
      <c r="M2926" s="28">
        <f>IF($H2926="","",DATE(YEAR($H2926),MONTH($H2926),1))</f>
        <v/>
      </c>
      <c r="N2926" s="26">
        <f>IF($H2926="","",TODAY()-$H2926)</f>
        <v/>
      </c>
      <c r="O2926" s="15" t="n"/>
      <c r="P2926" s="26">
        <f>IF($A2926="","",COUNTIFS('Audit Versions'!$A$6:$A$605,$A2926,'Audit Versions'!$L$6:$L$605,"Active"))</f>
        <v/>
      </c>
      <c r="Q2926" s="15" t="n"/>
      <c r="R2926" s="26">
        <f>IF(OR($A2926="",$P2926=0),"",MOD(N($Q2926),$P2926)+1)</f>
        <v/>
      </c>
      <c r="S2926" s="15" t="n"/>
      <c r="T2926" s="25" t="n"/>
      <c r="U2926" s="26">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Builder'!$B$12="",N($S2926)&lt;='Assignment Builder'!$B$12)))</f>
        <v/>
      </c>
      <c r="V2926" s="23" t="n"/>
    </row>
    <row r="2927">
      <c r="A2927" s="23" t="n"/>
      <c r="B2927" s="23" t="n"/>
      <c r="C2927" s="24" t="n"/>
      <c r="D2927" s="15" t="n"/>
      <c r="E2927" s="23" t="n"/>
      <c r="F2927" s="15" t="n"/>
      <c r="G2927" s="23" t="n"/>
      <c r="H2927" s="25" t="n"/>
      <c r="I2927" s="15" t="n"/>
      <c r="J2927" s="26">
        <f>IF($A2927="","",LEN($C2927)-LEN(SUBSTITUTE($C2927,",",""))+1)</f>
        <v/>
      </c>
      <c r="K2927" s="26">
        <f>IF($A2927="","",SUMPRODUCT(--ISNUMBER(SEARCH('Category Dictionary'!$D$5:$D$135&amp;"",$C2927)),--('Category Dictionary'!$D$5:$D$135&lt;&gt;"")))</f>
        <v/>
      </c>
      <c r="L2927" s="27">
        <f>IF($A2927="","",TRIM(IF(ISERROR(FIND(",",$C2927)),$C2927,LEFT($C2927,FIND(",",$C2927)-1))))</f>
        <v/>
      </c>
      <c r="M2927" s="28">
        <f>IF($H2927="","",DATE(YEAR($H2927),MONTH($H2927),1))</f>
        <v/>
      </c>
      <c r="N2927" s="26">
        <f>IF($H2927="","",TODAY()-$H2927)</f>
        <v/>
      </c>
      <c r="O2927" s="15" t="n"/>
      <c r="P2927" s="26">
        <f>IF($A2927="","",COUNTIFS('Audit Versions'!$A$6:$A$605,$A2927,'Audit Versions'!$L$6:$L$605,"Active"))</f>
        <v/>
      </c>
      <c r="Q2927" s="15" t="n"/>
      <c r="R2927" s="26">
        <f>IF(OR($A2927="",$P2927=0),"",MOD(N($Q2927),$P2927)+1)</f>
        <v/>
      </c>
      <c r="S2927" s="15" t="n"/>
      <c r="T2927" s="25" t="n"/>
      <c r="U2927" s="26">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Builder'!$B$12="",N($S2927)&lt;='Assignment Builder'!$B$12)))</f>
        <v/>
      </c>
      <c r="V2927" s="23" t="n"/>
    </row>
    <row r="2928">
      <c r="A2928" s="23" t="n"/>
      <c r="B2928" s="23" t="n"/>
      <c r="C2928" s="24" t="n"/>
      <c r="D2928" s="15" t="n"/>
      <c r="E2928" s="23" t="n"/>
      <c r="F2928" s="15" t="n"/>
      <c r="G2928" s="23" t="n"/>
      <c r="H2928" s="25" t="n"/>
      <c r="I2928" s="15" t="n"/>
      <c r="J2928" s="26">
        <f>IF($A2928="","",LEN($C2928)-LEN(SUBSTITUTE($C2928,",",""))+1)</f>
        <v/>
      </c>
      <c r="K2928" s="26">
        <f>IF($A2928="","",SUMPRODUCT(--ISNUMBER(SEARCH('Category Dictionary'!$D$5:$D$135&amp;"",$C2928)),--('Category Dictionary'!$D$5:$D$135&lt;&gt;"")))</f>
        <v/>
      </c>
      <c r="L2928" s="27">
        <f>IF($A2928="","",TRIM(IF(ISERROR(FIND(",",$C2928)),$C2928,LEFT($C2928,FIND(",",$C2928)-1))))</f>
        <v/>
      </c>
      <c r="M2928" s="28">
        <f>IF($H2928="","",DATE(YEAR($H2928),MONTH($H2928),1))</f>
        <v/>
      </c>
      <c r="N2928" s="26">
        <f>IF($H2928="","",TODAY()-$H2928)</f>
        <v/>
      </c>
      <c r="O2928" s="15" t="n"/>
      <c r="P2928" s="26">
        <f>IF($A2928="","",COUNTIFS('Audit Versions'!$A$6:$A$605,$A2928,'Audit Versions'!$L$6:$L$605,"Active"))</f>
        <v/>
      </c>
      <c r="Q2928" s="15" t="n"/>
      <c r="R2928" s="26">
        <f>IF(OR($A2928="",$P2928=0),"",MOD(N($Q2928),$P2928)+1)</f>
        <v/>
      </c>
      <c r="S2928" s="15" t="n"/>
      <c r="T2928" s="25" t="n"/>
      <c r="U2928" s="26">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Builder'!$B$12="",N($S2928)&lt;='Assignment Builder'!$B$12)))</f>
        <v/>
      </c>
      <c r="V2928" s="23" t="n"/>
    </row>
    <row r="2929">
      <c r="A2929" s="23" t="n"/>
      <c r="B2929" s="23" t="n"/>
      <c r="C2929" s="24" t="n"/>
      <c r="D2929" s="15" t="n"/>
      <c r="E2929" s="23" t="n"/>
      <c r="F2929" s="15" t="n"/>
      <c r="G2929" s="23" t="n"/>
      <c r="H2929" s="25" t="n"/>
      <c r="I2929" s="15" t="n"/>
      <c r="J2929" s="26">
        <f>IF($A2929="","",LEN($C2929)-LEN(SUBSTITUTE($C2929,",",""))+1)</f>
        <v/>
      </c>
      <c r="K2929" s="26">
        <f>IF($A2929="","",SUMPRODUCT(--ISNUMBER(SEARCH('Category Dictionary'!$D$5:$D$135&amp;"",$C2929)),--('Category Dictionary'!$D$5:$D$135&lt;&gt;"")))</f>
        <v/>
      </c>
      <c r="L2929" s="27">
        <f>IF($A2929="","",TRIM(IF(ISERROR(FIND(",",$C2929)),$C2929,LEFT($C2929,FIND(",",$C2929)-1))))</f>
        <v/>
      </c>
      <c r="M2929" s="28">
        <f>IF($H2929="","",DATE(YEAR($H2929),MONTH($H2929),1))</f>
        <v/>
      </c>
      <c r="N2929" s="26">
        <f>IF($H2929="","",TODAY()-$H2929)</f>
        <v/>
      </c>
      <c r="O2929" s="15" t="n"/>
      <c r="P2929" s="26">
        <f>IF($A2929="","",COUNTIFS('Audit Versions'!$A$6:$A$605,$A2929,'Audit Versions'!$L$6:$L$605,"Active"))</f>
        <v/>
      </c>
      <c r="Q2929" s="15" t="n"/>
      <c r="R2929" s="26">
        <f>IF(OR($A2929="",$P2929=0),"",MOD(N($Q2929),$P2929)+1)</f>
        <v/>
      </c>
      <c r="S2929" s="15" t="n"/>
      <c r="T2929" s="25" t="n"/>
      <c r="U2929" s="26">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Builder'!$B$12="",N($S2929)&lt;='Assignment Builder'!$B$12)))</f>
        <v/>
      </c>
      <c r="V2929" s="23" t="n"/>
    </row>
    <row r="2930">
      <c r="A2930" s="23" t="n"/>
      <c r="B2930" s="23" t="n"/>
      <c r="C2930" s="24" t="n"/>
      <c r="D2930" s="15" t="n"/>
      <c r="E2930" s="23" t="n"/>
      <c r="F2930" s="15" t="n"/>
      <c r="G2930" s="23" t="n"/>
      <c r="H2930" s="25" t="n"/>
      <c r="I2930" s="15" t="n"/>
      <c r="J2930" s="26">
        <f>IF($A2930="","",LEN($C2930)-LEN(SUBSTITUTE($C2930,",",""))+1)</f>
        <v/>
      </c>
      <c r="K2930" s="26">
        <f>IF($A2930="","",SUMPRODUCT(--ISNUMBER(SEARCH('Category Dictionary'!$D$5:$D$135&amp;"",$C2930)),--('Category Dictionary'!$D$5:$D$135&lt;&gt;"")))</f>
        <v/>
      </c>
      <c r="L2930" s="27">
        <f>IF($A2930="","",TRIM(IF(ISERROR(FIND(",",$C2930)),$C2930,LEFT($C2930,FIND(",",$C2930)-1))))</f>
        <v/>
      </c>
      <c r="M2930" s="28">
        <f>IF($H2930="","",DATE(YEAR($H2930),MONTH($H2930),1))</f>
        <v/>
      </c>
      <c r="N2930" s="26">
        <f>IF($H2930="","",TODAY()-$H2930)</f>
        <v/>
      </c>
      <c r="O2930" s="15" t="n"/>
      <c r="P2930" s="26">
        <f>IF($A2930="","",COUNTIFS('Audit Versions'!$A$6:$A$605,$A2930,'Audit Versions'!$L$6:$L$605,"Active"))</f>
        <v/>
      </c>
      <c r="Q2930" s="15" t="n"/>
      <c r="R2930" s="26">
        <f>IF(OR($A2930="",$P2930=0),"",MOD(N($Q2930),$P2930)+1)</f>
        <v/>
      </c>
      <c r="S2930" s="15" t="n"/>
      <c r="T2930" s="25" t="n"/>
      <c r="U2930" s="26">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Builder'!$B$12="",N($S2930)&lt;='Assignment Builder'!$B$12)))</f>
        <v/>
      </c>
      <c r="V2930" s="23" t="n"/>
    </row>
    <row r="2931">
      <c r="A2931" s="23" t="n"/>
      <c r="B2931" s="23" t="n"/>
      <c r="C2931" s="24" t="n"/>
      <c r="D2931" s="15" t="n"/>
      <c r="E2931" s="23" t="n"/>
      <c r="F2931" s="15" t="n"/>
      <c r="G2931" s="23" t="n"/>
      <c r="H2931" s="25" t="n"/>
      <c r="I2931" s="15" t="n"/>
      <c r="J2931" s="26">
        <f>IF($A2931="","",LEN($C2931)-LEN(SUBSTITUTE($C2931,",",""))+1)</f>
        <v/>
      </c>
      <c r="K2931" s="26">
        <f>IF($A2931="","",SUMPRODUCT(--ISNUMBER(SEARCH('Category Dictionary'!$D$5:$D$135&amp;"",$C2931)),--('Category Dictionary'!$D$5:$D$135&lt;&gt;"")))</f>
        <v/>
      </c>
      <c r="L2931" s="27">
        <f>IF($A2931="","",TRIM(IF(ISERROR(FIND(",",$C2931)),$C2931,LEFT($C2931,FIND(",",$C2931)-1))))</f>
        <v/>
      </c>
      <c r="M2931" s="28">
        <f>IF($H2931="","",DATE(YEAR($H2931),MONTH($H2931),1))</f>
        <v/>
      </c>
      <c r="N2931" s="26">
        <f>IF($H2931="","",TODAY()-$H2931)</f>
        <v/>
      </c>
      <c r="O2931" s="15" t="n"/>
      <c r="P2931" s="26">
        <f>IF($A2931="","",COUNTIFS('Audit Versions'!$A$6:$A$605,$A2931,'Audit Versions'!$L$6:$L$605,"Active"))</f>
        <v/>
      </c>
      <c r="Q2931" s="15" t="n"/>
      <c r="R2931" s="26">
        <f>IF(OR($A2931="",$P2931=0),"",MOD(N($Q2931),$P2931)+1)</f>
        <v/>
      </c>
      <c r="S2931" s="15" t="n"/>
      <c r="T2931" s="25" t="n"/>
      <c r="U2931" s="26">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Builder'!$B$12="",N($S2931)&lt;='Assignment Builder'!$B$12)))</f>
        <v/>
      </c>
      <c r="V2931" s="23" t="n"/>
    </row>
    <row r="2932">
      <c r="A2932" s="23" t="n"/>
      <c r="B2932" s="23" t="n"/>
      <c r="C2932" s="24" t="n"/>
      <c r="D2932" s="15" t="n"/>
      <c r="E2932" s="23" t="n"/>
      <c r="F2932" s="15" t="n"/>
      <c r="G2932" s="23" t="n"/>
      <c r="H2932" s="25" t="n"/>
      <c r="I2932" s="15" t="n"/>
      <c r="J2932" s="26">
        <f>IF($A2932="","",LEN($C2932)-LEN(SUBSTITUTE($C2932,",",""))+1)</f>
        <v/>
      </c>
      <c r="K2932" s="26">
        <f>IF($A2932="","",SUMPRODUCT(--ISNUMBER(SEARCH('Category Dictionary'!$D$5:$D$135&amp;"",$C2932)),--('Category Dictionary'!$D$5:$D$135&lt;&gt;"")))</f>
        <v/>
      </c>
      <c r="L2932" s="27">
        <f>IF($A2932="","",TRIM(IF(ISERROR(FIND(",",$C2932)),$C2932,LEFT($C2932,FIND(",",$C2932)-1))))</f>
        <v/>
      </c>
      <c r="M2932" s="28">
        <f>IF($H2932="","",DATE(YEAR($H2932),MONTH($H2932),1))</f>
        <v/>
      </c>
      <c r="N2932" s="26">
        <f>IF($H2932="","",TODAY()-$H2932)</f>
        <v/>
      </c>
      <c r="O2932" s="15" t="n"/>
      <c r="P2932" s="26">
        <f>IF($A2932="","",COUNTIFS('Audit Versions'!$A$6:$A$605,$A2932,'Audit Versions'!$L$6:$L$605,"Active"))</f>
        <v/>
      </c>
      <c r="Q2932" s="15" t="n"/>
      <c r="R2932" s="26">
        <f>IF(OR($A2932="",$P2932=0),"",MOD(N($Q2932),$P2932)+1)</f>
        <v/>
      </c>
      <c r="S2932" s="15" t="n"/>
      <c r="T2932" s="25" t="n"/>
      <c r="U2932" s="26">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Builder'!$B$12="",N($S2932)&lt;='Assignment Builder'!$B$12)))</f>
        <v/>
      </c>
      <c r="V2932" s="23" t="n"/>
    </row>
    <row r="2933">
      <c r="A2933" s="23" t="n"/>
      <c r="B2933" s="23" t="n"/>
      <c r="C2933" s="24" t="n"/>
      <c r="D2933" s="15" t="n"/>
      <c r="E2933" s="23" t="n"/>
      <c r="F2933" s="15" t="n"/>
      <c r="G2933" s="23" t="n"/>
      <c r="H2933" s="25" t="n"/>
      <c r="I2933" s="15" t="n"/>
      <c r="J2933" s="26">
        <f>IF($A2933="","",LEN($C2933)-LEN(SUBSTITUTE($C2933,",",""))+1)</f>
        <v/>
      </c>
      <c r="K2933" s="26">
        <f>IF($A2933="","",SUMPRODUCT(--ISNUMBER(SEARCH('Category Dictionary'!$D$5:$D$135&amp;"",$C2933)),--('Category Dictionary'!$D$5:$D$135&lt;&gt;"")))</f>
        <v/>
      </c>
      <c r="L2933" s="27">
        <f>IF($A2933="","",TRIM(IF(ISERROR(FIND(",",$C2933)),$C2933,LEFT($C2933,FIND(",",$C2933)-1))))</f>
        <v/>
      </c>
      <c r="M2933" s="28">
        <f>IF($H2933="","",DATE(YEAR($H2933),MONTH($H2933),1))</f>
        <v/>
      </c>
      <c r="N2933" s="26">
        <f>IF($H2933="","",TODAY()-$H2933)</f>
        <v/>
      </c>
      <c r="O2933" s="15" t="n"/>
      <c r="P2933" s="26">
        <f>IF($A2933="","",COUNTIFS('Audit Versions'!$A$6:$A$605,$A2933,'Audit Versions'!$L$6:$L$605,"Active"))</f>
        <v/>
      </c>
      <c r="Q2933" s="15" t="n"/>
      <c r="R2933" s="26">
        <f>IF(OR($A2933="",$P2933=0),"",MOD(N($Q2933),$P2933)+1)</f>
        <v/>
      </c>
      <c r="S2933" s="15" t="n"/>
      <c r="T2933" s="25" t="n"/>
      <c r="U2933" s="26">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Builder'!$B$12="",N($S2933)&lt;='Assignment Builder'!$B$12)))</f>
        <v/>
      </c>
      <c r="V2933" s="23" t="n"/>
    </row>
    <row r="2934">
      <c r="A2934" s="23" t="n"/>
      <c r="B2934" s="23" t="n"/>
      <c r="C2934" s="24" t="n"/>
      <c r="D2934" s="15" t="n"/>
      <c r="E2934" s="23" t="n"/>
      <c r="F2934" s="15" t="n"/>
      <c r="G2934" s="23" t="n"/>
      <c r="H2934" s="25" t="n"/>
      <c r="I2934" s="15" t="n"/>
      <c r="J2934" s="26">
        <f>IF($A2934="","",LEN($C2934)-LEN(SUBSTITUTE($C2934,",",""))+1)</f>
        <v/>
      </c>
      <c r="K2934" s="26">
        <f>IF($A2934="","",SUMPRODUCT(--ISNUMBER(SEARCH('Category Dictionary'!$D$5:$D$135&amp;"",$C2934)),--('Category Dictionary'!$D$5:$D$135&lt;&gt;"")))</f>
        <v/>
      </c>
      <c r="L2934" s="27">
        <f>IF($A2934="","",TRIM(IF(ISERROR(FIND(",",$C2934)),$C2934,LEFT($C2934,FIND(",",$C2934)-1))))</f>
        <v/>
      </c>
      <c r="M2934" s="28">
        <f>IF($H2934="","",DATE(YEAR($H2934),MONTH($H2934),1))</f>
        <v/>
      </c>
      <c r="N2934" s="26">
        <f>IF($H2934="","",TODAY()-$H2934)</f>
        <v/>
      </c>
      <c r="O2934" s="15" t="n"/>
      <c r="P2934" s="26">
        <f>IF($A2934="","",COUNTIFS('Audit Versions'!$A$6:$A$605,$A2934,'Audit Versions'!$L$6:$L$605,"Active"))</f>
        <v/>
      </c>
      <c r="Q2934" s="15" t="n"/>
      <c r="R2934" s="26">
        <f>IF(OR($A2934="",$P2934=0),"",MOD(N($Q2934),$P2934)+1)</f>
        <v/>
      </c>
      <c r="S2934" s="15" t="n"/>
      <c r="T2934" s="25" t="n"/>
      <c r="U2934" s="26">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Builder'!$B$12="",N($S2934)&lt;='Assignment Builder'!$B$12)))</f>
        <v/>
      </c>
      <c r="V2934" s="23" t="n"/>
    </row>
    <row r="2935">
      <c r="A2935" s="23" t="n"/>
      <c r="B2935" s="23" t="n"/>
      <c r="C2935" s="24" t="n"/>
      <c r="D2935" s="15" t="n"/>
      <c r="E2935" s="23" t="n"/>
      <c r="F2935" s="15" t="n"/>
      <c r="G2935" s="23" t="n"/>
      <c r="H2935" s="25" t="n"/>
      <c r="I2935" s="15" t="n"/>
      <c r="J2935" s="26">
        <f>IF($A2935="","",LEN($C2935)-LEN(SUBSTITUTE($C2935,",",""))+1)</f>
        <v/>
      </c>
      <c r="K2935" s="26">
        <f>IF($A2935="","",SUMPRODUCT(--ISNUMBER(SEARCH('Category Dictionary'!$D$5:$D$135&amp;"",$C2935)),--('Category Dictionary'!$D$5:$D$135&lt;&gt;"")))</f>
        <v/>
      </c>
      <c r="L2935" s="27">
        <f>IF($A2935="","",TRIM(IF(ISERROR(FIND(",",$C2935)),$C2935,LEFT($C2935,FIND(",",$C2935)-1))))</f>
        <v/>
      </c>
      <c r="M2935" s="28">
        <f>IF($H2935="","",DATE(YEAR($H2935),MONTH($H2935),1))</f>
        <v/>
      </c>
      <c r="N2935" s="26">
        <f>IF($H2935="","",TODAY()-$H2935)</f>
        <v/>
      </c>
      <c r="O2935" s="15" t="n"/>
      <c r="P2935" s="26">
        <f>IF($A2935="","",COUNTIFS('Audit Versions'!$A$6:$A$605,$A2935,'Audit Versions'!$L$6:$L$605,"Active"))</f>
        <v/>
      </c>
      <c r="Q2935" s="15" t="n"/>
      <c r="R2935" s="26">
        <f>IF(OR($A2935="",$P2935=0),"",MOD(N($Q2935),$P2935)+1)</f>
        <v/>
      </c>
      <c r="S2935" s="15" t="n"/>
      <c r="T2935" s="25" t="n"/>
      <c r="U2935" s="26">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Builder'!$B$12="",N($S2935)&lt;='Assignment Builder'!$B$12)))</f>
        <v/>
      </c>
      <c r="V2935" s="23" t="n"/>
    </row>
    <row r="2936">
      <c r="A2936" s="23" t="n"/>
      <c r="B2936" s="23" t="n"/>
      <c r="C2936" s="24" t="n"/>
      <c r="D2936" s="15" t="n"/>
      <c r="E2936" s="23" t="n"/>
      <c r="F2936" s="15" t="n"/>
      <c r="G2936" s="23" t="n"/>
      <c r="H2936" s="25" t="n"/>
      <c r="I2936" s="15" t="n"/>
      <c r="J2936" s="26">
        <f>IF($A2936="","",LEN($C2936)-LEN(SUBSTITUTE($C2936,",",""))+1)</f>
        <v/>
      </c>
      <c r="K2936" s="26">
        <f>IF($A2936="","",SUMPRODUCT(--ISNUMBER(SEARCH('Category Dictionary'!$D$5:$D$135&amp;"",$C2936)),--('Category Dictionary'!$D$5:$D$135&lt;&gt;"")))</f>
        <v/>
      </c>
      <c r="L2936" s="27">
        <f>IF($A2936="","",TRIM(IF(ISERROR(FIND(",",$C2936)),$C2936,LEFT($C2936,FIND(",",$C2936)-1))))</f>
        <v/>
      </c>
      <c r="M2936" s="28">
        <f>IF($H2936="","",DATE(YEAR($H2936),MONTH($H2936),1))</f>
        <v/>
      </c>
      <c r="N2936" s="26">
        <f>IF($H2936="","",TODAY()-$H2936)</f>
        <v/>
      </c>
      <c r="O2936" s="15" t="n"/>
      <c r="P2936" s="26">
        <f>IF($A2936="","",COUNTIFS('Audit Versions'!$A$6:$A$605,$A2936,'Audit Versions'!$L$6:$L$605,"Active"))</f>
        <v/>
      </c>
      <c r="Q2936" s="15" t="n"/>
      <c r="R2936" s="26">
        <f>IF(OR($A2936="",$P2936=0),"",MOD(N($Q2936),$P2936)+1)</f>
        <v/>
      </c>
      <c r="S2936" s="15" t="n"/>
      <c r="T2936" s="25" t="n"/>
      <c r="U2936" s="26">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Builder'!$B$12="",N($S2936)&lt;='Assignment Builder'!$B$12)))</f>
        <v/>
      </c>
      <c r="V2936" s="23" t="n"/>
    </row>
    <row r="2937">
      <c r="A2937" s="23" t="n"/>
      <c r="B2937" s="23" t="n"/>
      <c r="C2937" s="24" t="n"/>
      <c r="D2937" s="15" t="n"/>
      <c r="E2937" s="23" t="n"/>
      <c r="F2937" s="15" t="n"/>
      <c r="G2937" s="23" t="n"/>
      <c r="H2937" s="25" t="n"/>
      <c r="I2937" s="15" t="n"/>
      <c r="J2937" s="26">
        <f>IF($A2937="","",LEN($C2937)-LEN(SUBSTITUTE($C2937,",",""))+1)</f>
        <v/>
      </c>
      <c r="K2937" s="26">
        <f>IF($A2937="","",SUMPRODUCT(--ISNUMBER(SEARCH('Category Dictionary'!$D$5:$D$135&amp;"",$C2937)),--('Category Dictionary'!$D$5:$D$135&lt;&gt;"")))</f>
        <v/>
      </c>
      <c r="L2937" s="27">
        <f>IF($A2937="","",TRIM(IF(ISERROR(FIND(",",$C2937)),$C2937,LEFT($C2937,FIND(",",$C2937)-1))))</f>
        <v/>
      </c>
      <c r="M2937" s="28">
        <f>IF($H2937="","",DATE(YEAR($H2937),MONTH($H2937),1))</f>
        <v/>
      </c>
      <c r="N2937" s="26">
        <f>IF($H2937="","",TODAY()-$H2937)</f>
        <v/>
      </c>
      <c r="O2937" s="15" t="n"/>
      <c r="P2937" s="26">
        <f>IF($A2937="","",COUNTIFS('Audit Versions'!$A$6:$A$605,$A2937,'Audit Versions'!$L$6:$L$605,"Active"))</f>
        <v/>
      </c>
      <c r="Q2937" s="15" t="n"/>
      <c r="R2937" s="26">
        <f>IF(OR($A2937="",$P2937=0),"",MOD(N($Q2937),$P2937)+1)</f>
        <v/>
      </c>
      <c r="S2937" s="15" t="n"/>
      <c r="T2937" s="25" t="n"/>
      <c r="U2937" s="26">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Builder'!$B$12="",N($S2937)&lt;='Assignment Builder'!$B$12)))</f>
        <v/>
      </c>
      <c r="V2937" s="23" t="n"/>
    </row>
    <row r="2938">
      <c r="A2938" s="23" t="n"/>
      <c r="B2938" s="23" t="n"/>
      <c r="C2938" s="24" t="n"/>
      <c r="D2938" s="15" t="n"/>
      <c r="E2938" s="23" t="n"/>
      <c r="F2938" s="15" t="n"/>
      <c r="G2938" s="23" t="n"/>
      <c r="H2938" s="25" t="n"/>
      <c r="I2938" s="15" t="n"/>
      <c r="J2938" s="26">
        <f>IF($A2938="","",LEN($C2938)-LEN(SUBSTITUTE($C2938,",",""))+1)</f>
        <v/>
      </c>
      <c r="K2938" s="26">
        <f>IF($A2938="","",SUMPRODUCT(--ISNUMBER(SEARCH('Category Dictionary'!$D$5:$D$135&amp;"",$C2938)),--('Category Dictionary'!$D$5:$D$135&lt;&gt;"")))</f>
        <v/>
      </c>
      <c r="L2938" s="27">
        <f>IF($A2938="","",TRIM(IF(ISERROR(FIND(",",$C2938)),$C2938,LEFT($C2938,FIND(",",$C2938)-1))))</f>
        <v/>
      </c>
      <c r="M2938" s="28">
        <f>IF($H2938="","",DATE(YEAR($H2938),MONTH($H2938),1))</f>
        <v/>
      </c>
      <c r="N2938" s="26">
        <f>IF($H2938="","",TODAY()-$H2938)</f>
        <v/>
      </c>
      <c r="O2938" s="15" t="n"/>
      <c r="P2938" s="26">
        <f>IF($A2938="","",COUNTIFS('Audit Versions'!$A$6:$A$605,$A2938,'Audit Versions'!$L$6:$L$605,"Active"))</f>
        <v/>
      </c>
      <c r="Q2938" s="15" t="n"/>
      <c r="R2938" s="26">
        <f>IF(OR($A2938="",$P2938=0),"",MOD(N($Q2938),$P2938)+1)</f>
        <v/>
      </c>
      <c r="S2938" s="15" t="n"/>
      <c r="T2938" s="25" t="n"/>
      <c r="U2938" s="26">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Builder'!$B$12="",N($S2938)&lt;='Assignment Builder'!$B$12)))</f>
        <v/>
      </c>
      <c r="V2938" s="23" t="n"/>
    </row>
    <row r="2939">
      <c r="A2939" s="23" t="n"/>
      <c r="B2939" s="23" t="n"/>
      <c r="C2939" s="24" t="n"/>
      <c r="D2939" s="15" t="n"/>
      <c r="E2939" s="23" t="n"/>
      <c r="F2939" s="15" t="n"/>
      <c r="G2939" s="23" t="n"/>
      <c r="H2939" s="25" t="n"/>
      <c r="I2939" s="15" t="n"/>
      <c r="J2939" s="26">
        <f>IF($A2939="","",LEN($C2939)-LEN(SUBSTITUTE($C2939,",",""))+1)</f>
        <v/>
      </c>
      <c r="K2939" s="26">
        <f>IF($A2939="","",SUMPRODUCT(--ISNUMBER(SEARCH('Category Dictionary'!$D$5:$D$135&amp;"",$C2939)),--('Category Dictionary'!$D$5:$D$135&lt;&gt;"")))</f>
        <v/>
      </c>
      <c r="L2939" s="27">
        <f>IF($A2939="","",TRIM(IF(ISERROR(FIND(",",$C2939)),$C2939,LEFT($C2939,FIND(",",$C2939)-1))))</f>
        <v/>
      </c>
      <c r="M2939" s="28">
        <f>IF($H2939="","",DATE(YEAR($H2939),MONTH($H2939),1))</f>
        <v/>
      </c>
      <c r="N2939" s="26">
        <f>IF($H2939="","",TODAY()-$H2939)</f>
        <v/>
      </c>
      <c r="O2939" s="15" t="n"/>
      <c r="P2939" s="26">
        <f>IF($A2939="","",COUNTIFS('Audit Versions'!$A$6:$A$605,$A2939,'Audit Versions'!$L$6:$L$605,"Active"))</f>
        <v/>
      </c>
      <c r="Q2939" s="15" t="n"/>
      <c r="R2939" s="26">
        <f>IF(OR($A2939="",$P2939=0),"",MOD(N($Q2939),$P2939)+1)</f>
        <v/>
      </c>
      <c r="S2939" s="15" t="n"/>
      <c r="T2939" s="25" t="n"/>
      <c r="U2939" s="26">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Builder'!$B$12="",N($S2939)&lt;='Assignment Builder'!$B$12)))</f>
        <v/>
      </c>
      <c r="V2939" s="23" t="n"/>
    </row>
    <row r="2940">
      <c r="A2940" s="23" t="n"/>
      <c r="B2940" s="23" t="n"/>
      <c r="C2940" s="24" t="n"/>
      <c r="D2940" s="15" t="n"/>
      <c r="E2940" s="23" t="n"/>
      <c r="F2940" s="15" t="n"/>
      <c r="G2940" s="23" t="n"/>
      <c r="H2940" s="25" t="n"/>
      <c r="I2940" s="15" t="n"/>
      <c r="J2940" s="26">
        <f>IF($A2940="","",LEN($C2940)-LEN(SUBSTITUTE($C2940,",",""))+1)</f>
        <v/>
      </c>
      <c r="K2940" s="26">
        <f>IF($A2940="","",SUMPRODUCT(--ISNUMBER(SEARCH('Category Dictionary'!$D$5:$D$135&amp;"",$C2940)),--('Category Dictionary'!$D$5:$D$135&lt;&gt;"")))</f>
        <v/>
      </c>
      <c r="L2940" s="27">
        <f>IF($A2940="","",TRIM(IF(ISERROR(FIND(",",$C2940)),$C2940,LEFT($C2940,FIND(",",$C2940)-1))))</f>
        <v/>
      </c>
      <c r="M2940" s="28">
        <f>IF($H2940="","",DATE(YEAR($H2940),MONTH($H2940),1))</f>
        <v/>
      </c>
      <c r="N2940" s="26">
        <f>IF($H2940="","",TODAY()-$H2940)</f>
        <v/>
      </c>
      <c r="O2940" s="15" t="n"/>
      <c r="P2940" s="26">
        <f>IF($A2940="","",COUNTIFS('Audit Versions'!$A$6:$A$605,$A2940,'Audit Versions'!$L$6:$L$605,"Active"))</f>
        <v/>
      </c>
      <c r="Q2940" s="15" t="n"/>
      <c r="R2940" s="26">
        <f>IF(OR($A2940="",$P2940=0),"",MOD(N($Q2940),$P2940)+1)</f>
        <v/>
      </c>
      <c r="S2940" s="15" t="n"/>
      <c r="T2940" s="25" t="n"/>
      <c r="U2940" s="26">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Builder'!$B$12="",N($S2940)&lt;='Assignment Builder'!$B$12)))</f>
        <v/>
      </c>
      <c r="V2940" s="23" t="n"/>
    </row>
    <row r="2941">
      <c r="A2941" s="23" t="n"/>
      <c r="B2941" s="23" t="n"/>
      <c r="C2941" s="24" t="n"/>
      <c r="D2941" s="15" t="n"/>
      <c r="E2941" s="23" t="n"/>
      <c r="F2941" s="15" t="n"/>
      <c r="G2941" s="23" t="n"/>
      <c r="H2941" s="25" t="n"/>
      <c r="I2941" s="15" t="n"/>
      <c r="J2941" s="26">
        <f>IF($A2941="","",LEN($C2941)-LEN(SUBSTITUTE($C2941,",",""))+1)</f>
        <v/>
      </c>
      <c r="K2941" s="26">
        <f>IF($A2941="","",SUMPRODUCT(--ISNUMBER(SEARCH('Category Dictionary'!$D$5:$D$135&amp;"",$C2941)),--('Category Dictionary'!$D$5:$D$135&lt;&gt;"")))</f>
        <v/>
      </c>
      <c r="L2941" s="27">
        <f>IF($A2941="","",TRIM(IF(ISERROR(FIND(",",$C2941)),$C2941,LEFT($C2941,FIND(",",$C2941)-1))))</f>
        <v/>
      </c>
      <c r="M2941" s="28">
        <f>IF($H2941="","",DATE(YEAR($H2941),MONTH($H2941),1))</f>
        <v/>
      </c>
      <c r="N2941" s="26">
        <f>IF($H2941="","",TODAY()-$H2941)</f>
        <v/>
      </c>
      <c r="O2941" s="15" t="n"/>
      <c r="P2941" s="26">
        <f>IF($A2941="","",COUNTIFS('Audit Versions'!$A$6:$A$605,$A2941,'Audit Versions'!$L$6:$L$605,"Active"))</f>
        <v/>
      </c>
      <c r="Q2941" s="15" t="n"/>
      <c r="R2941" s="26">
        <f>IF(OR($A2941="",$P2941=0),"",MOD(N($Q2941),$P2941)+1)</f>
        <v/>
      </c>
      <c r="S2941" s="15" t="n"/>
      <c r="T2941" s="25" t="n"/>
      <c r="U2941" s="26">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Builder'!$B$12="",N($S2941)&lt;='Assignment Builder'!$B$12)))</f>
        <v/>
      </c>
      <c r="V2941" s="23" t="n"/>
    </row>
    <row r="2942">
      <c r="A2942" s="23" t="n"/>
      <c r="B2942" s="23" t="n"/>
      <c r="C2942" s="24" t="n"/>
      <c r="D2942" s="15" t="n"/>
      <c r="E2942" s="23" t="n"/>
      <c r="F2942" s="15" t="n"/>
      <c r="G2942" s="23" t="n"/>
      <c r="H2942" s="25" t="n"/>
      <c r="I2942" s="15" t="n"/>
      <c r="J2942" s="26">
        <f>IF($A2942="","",LEN($C2942)-LEN(SUBSTITUTE($C2942,",",""))+1)</f>
        <v/>
      </c>
      <c r="K2942" s="26">
        <f>IF($A2942="","",SUMPRODUCT(--ISNUMBER(SEARCH('Category Dictionary'!$D$5:$D$135&amp;"",$C2942)),--('Category Dictionary'!$D$5:$D$135&lt;&gt;"")))</f>
        <v/>
      </c>
      <c r="L2942" s="27">
        <f>IF($A2942="","",TRIM(IF(ISERROR(FIND(",",$C2942)),$C2942,LEFT($C2942,FIND(",",$C2942)-1))))</f>
        <v/>
      </c>
      <c r="M2942" s="28">
        <f>IF($H2942="","",DATE(YEAR($H2942),MONTH($H2942),1))</f>
        <v/>
      </c>
      <c r="N2942" s="26">
        <f>IF($H2942="","",TODAY()-$H2942)</f>
        <v/>
      </c>
      <c r="O2942" s="15" t="n"/>
      <c r="P2942" s="26">
        <f>IF($A2942="","",COUNTIFS('Audit Versions'!$A$6:$A$605,$A2942,'Audit Versions'!$L$6:$L$605,"Active"))</f>
        <v/>
      </c>
      <c r="Q2942" s="15" t="n"/>
      <c r="R2942" s="26">
        <f>IF(OR($A2942="",$P2942=0),"",MOD(N($Q2942),$P2942)+1)</f>
        <v/>
      </c>
      <c r="S2942" s="15" t="n"/>
      <c r="T2942" s="25" t="n"/>
      <c r="U2942" s="26">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Builder'!$B$12="",N($S2942)&lt;='Assignment Builder'!$B$12)))</f>
        <v/>
      </c>
      <c r="V2942" s="23" t="n"/>
    </row>
    <row r="2943">
      <c r="A2943" s="23" t="n"/>
      <c r="B2943" s="23" t="n"/>
      <c r="C2943" s="24" t="n"/>
      <c r="D2943" s="15" t="n"/>
      <c r="E2943" s="23" t="n"/>
      <c r="F2943" s="15" t="n"/>
      <c r="G2943" s="23" t="n"/>
      <c r="H2943" s="25" t="n"/>
      <c r="I2943" s="15" t="n"/>
      <c r="J2943" s="26">
        <f>IF($A2943="","",LEN($C2943)-LEN(SUBSTITUTE($C2943,",",""))+1)</f>
        <v/>
      </c>
      <c r="K2943" s="26">
        <f>IF($A2943="","",SUMPRODUCT(--ISNUMBER(SEARCH('Category Dictionary'!$D$5:$D$135&amp;"",$C2943)),--('Category Dictionary'!$D$5:$D$135&lt;&gt;"")))</f>
        <v/>
      </c>
      <c r="L2943" s="27">
        <f>IF($A2943="","",TRIM(IF(ISERROR(FIND(",",$C2943)),$C2943,LEFT($C2943,FIND(",",$C2943)-1))))</f>
        <v/>
      </c>
      <c r="M2943" s="28">
        <f>IF($H2943="","",DATE(YEAR($H2943),MONTH($H2943),1))</f>
        <v/>
      </c>
      <c r="N2943" s="26">
        <f>IF($H2943="","",TODAY()-$H2943)</f>
        <v/>
      </c>
      <c r="O2943" s="15" t="n"/>
      <c r="P2943" s="26">
        <f>IF($A2943="","",COUNTIFS('Audit Versions'!$A$6:$A$605,$A2943,'Audit Versions'!$L$6:$L$605,"Active"))</f>
        <v/>
      </c>
      <c r="Q2943" s="15" t="n"/>
      <c r="R2943" s="26">
        <f>IF(OR($A2943="",$P2943=0),"",MOD(N($Q2943),$P2943)+1)</f>
        <v/>
      </c>
      <c r="S2943" s="15" t="n"/>
      <c r="T2943" s="25" t="n"/>
      <c r="U2943" s="26">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Builder'!$B$12="",N($S2943)&lt;='Assignment Builder'!$B$12)))</f>
        <v/>
      </c>
      <c r="V2943" s="23" t="n"/>
    </row>
    <row r="2944">
      <c r="A2944" s="23" t="n"/>
      <c r="B2944" s="23" t="n"/>
      <c r="C2944" s="24" t="n"/>
      <c r="D2944" s="15" t="n"/>
      <c r="E2944" s="23" t="n"/>
      <c r="F2944" s="15" t="n"/>
      <c r="G2944" s="23" t="n"/>
      <c r="H2944" s="25" t="n"/>
      <c r="I2944" s="15" t="n"/>
      <c r="J2944" s="26">
        <f>IF($A2944="","",LEN($C2944)-LEN(SUBSTITUTE($C2944,",",""))+1)</f>
        <v/>
      </c>
      <c r="K2944" s="26">
        <f>IF($A2944="","",SUMPRODUCT(--ISNUMBER(SEARCH('Category Dictionary'!$D$5:$D$135&amp;"",$C2944)),--('Category Dictionary'!$D$5:$D$135&lt;&gt;"")))</f>
        <v/>
      </c>
      <c r="L2944" s="27">
        <f>IF($A2944="","",TRIM(IF(ISERROR(FIND(",",$C2944)),$C2944,LEFT($C2944,FIND(",",$C2944)-1))))</f>
        <v/>
      </c>
      <c r="M2944" s="28">
        <f>IF($H2944="","",DATE(YEAR($H2944),MONTH($H2944),1))</f>
        <v/>
      </c>
      <c r="N2944" s="26">
        <f>IF($H2944="","",TODAY()-$H2944)</f>
        <v/>
      </c>
      <c r="O2944" s="15" t="n"/>
      <c r="P2944" s="26">
        <f>IF($A2944="","",COUNTIFS('Audit Versions'!$A$6:$A$605,$A2944,'Audit Versions'!$L$6:$L$605,"Active"))</f>
        <v/>
      </c>
      <c r="Q2944" s="15" t="n"/>
      <c r="R2944" s="26">
        <f>IF(OR($A2944="",$P2944=0),"",MOD(N($Q2944),$P2944)+1)</f>
        <v/>
      </c>
      <c r="S2944" s="15" t="n"/>
      <c r="T2944" s="25" t="n"/>
      <c r="U2944" s="26">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Builder'!$B$12="",N($S2944)&lt;='Assignment Builder'!$B$12)))</f>
        <v/>
      </c>
      <c r="V2944" s="23" t="n"/>
    </row>
    <row r="2945">
      <c r="A2945" s="23" t="n"/>
      <c r="B2945" s="23" t="n"/>
      <c r="C2945" s="24" t="n"/>
      <c r="D2945" s="15" t="n"/>
      <c r="E2945" s="23" t="n"/>
      <c r="F2945" s="15" t="n"/>
      <c r="G2945" s="23" t="n"/>
      <c r="H2945" s="25" t="n"/>
      <c r="I2945" s="15" t="n"/>
      <c r="J2945" s="26">
        <f>IF($A2945="","",LEN($C2945)-LEN(SUBSTITUTE($C2945,",",""))+1)</f>
        <v/>
      </c>
      <c r="K2945" s="26">
        <f>IF($A2945="","",SUMPRODUCT(--ISNUMBER(SEARCH('Category Dictionary'!$D$5:$D$135&amp;"",$C2945)),--('Category Dictionary'!$D$5:$D$135&lt;&gt;"")))</f>
        <v/>
      </c>
      <c r="L2945" s="27">
        <f>IF($A2945="","",TRIM(IF(ISERROR(FIND(",",$C2945)),$C2945,LEFT($C2945,FIND(",",$C2945)-1))))</f>
        <v/>
      </c>
      <c r="M2945" s="28">
        <f>IF($H2945="","",DATE(YEAR($H2945),MONTH($H2945),1))</f>
        <v/>
      </c>
      <c r="N2945" s="26">
        <f>IF($H2945="","",TODAY()-$H2945)</f>
        <v/>
      </c>
      <c r="O2945" s="15" t="n"/>
      <c r="P2945" s="26">
        <f>IF($A2945="","",COUNTIFS('Audit Versions'!$A$6:$A$605,$A2945,'Audit Versions'!$L$6:$L$605,"Active"))</f>
        <v/>
      </c>
      <c r="Q2945" s="15" t="n"/>
      <c r="R2945" s="26">
        <f>IF(OR($A2945="",$P2945=0),"",MOD(N($Q2945),$P2945)+1)</f>
        <v/>
      </c>
      <c r="S2945" s="15" t="n"/>
      <c r="T2945" s="25" t="n"/>
      <c r="U2945" s="26">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Builder'!$B$12="",N($S2945)&lt;='Assignment Builder'!$B$12)))</f>
        <v/>
      </c>
      <c r="V2945" s="23" t="n"/>
    </row>
    <row r="2946">
      <c r="A2946" s="23" t="n"/>
      <c r="B2946" s="23" t="n"/>
      <c r="C2946" s="24" t="n"/>
      <c r="D2946" s="15" t="n"/>
      <c r="E2946" s="23" t="n"/>
      <c r="F2946" s="15" t="n"/>
      <c r="G2946" s="23" t="n"/>
      <c r="H2946" s="25" t="n"/>
      <c r="I2946" s="15" t="n"/>
      <c r="J2946" s="26">
        <f>IF($A2946="","",LEN($C2946)-LEN(SUBSTITUTE($C2946,",",""))+1)</f>
        <v/>
      </c>
      <c r="K2946" s="26">
        <f>IF($A2946="","",SUMPRODUCT(--ISNUMBER(SEARCH('Category Dictionary'!$D$5:$D$135&amp;"",$C2946)),--('Category Dictionary'!$D$5:$D$135&lt;&gt;"")))</f>
        <v/>
      </c>
      <c r="L2946" s="27">
        <f>IF($A2946="","",TRIM(IF(ISERROR(FIND(",",$C2946)),$C2946,LEFT($C2946,FIND(",",$C2946)-1))))</f>
        <v/>
      </c>
      <c r="M2946" s="28">
        <f>IF($H2946="","",DATE(YEAR($H2946),MONTH($H2946),1))</f>
        <v/>
      </c>
      <c r="N2946" s="26">
        <f>IF($H2946="","",TODAY()-$H2946)</f>
        <v/>
      </c>
      <c r="O2946" s="15" t="n"/>
      <c r="P2946" s="26">
        <f>IF($A2946="","",COUNTIFS('Audit Versions'!$A$6:$A$605,$A2946,'Audit Versions'!$L$6:$L$605,"Active"))</f>
        <v/>
      </c>
      <c r="Q2946" s="15" t="n"/>
      <c r="R2946" s="26">
        <f>IF(OR($A2946="",$P2946=0),"",MOD(N($Q2946),$P2946)+1)</f>
        <v/>
      </c>
      <c r="S2946" s="15" t="n"/>
      <c r="T2946" s="25" t="n"/>
      <c r="U2946" s="26">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Builder'!$B$12="",N($S2946)&lt;='Assignment Builder'!$B$12)))</f>
        <v/>
      </c>
      <c r="V2946" s="23" t="n"/>
    </row>
    <row r="2947">
      <c r="A2947" s="23" t="n"/>
      <c r="B2947" s="23" t="n"/>
      <c r="C2947" s="24" t="n"/>
      <c r="D2947" s="15" t="n"/>
      <c r="E2947" s="23" t="n"/>
      <c r="F2947" s="15" t="n"/>
      <c r="G2947" s="23" t="n"/>
      <c r="H2947" s="25" t="n"/>
      <c r="I2947" s="15" t="n"/>
      <c r="J2947" s="26">
        <f>IF($A2947="","",LEN($C2947)-LEN(SUBSTITUTE($C2947,",",""))+1)</f>
        <v/>
      </c>
      <c r="K2947" s="26">
        <f>IF($A2947="","",SUMPRODUCT(--ISNUMBER(SEARCH('Category Dictionary'!$D$5:$D$135&amp;"",$C2947)),--('Category Dictionary'!$D$5:$D$135&lt;&gt;"")))</f>
        <v/>
      </c>
      <c r="L2947" s="27">
        <f>IF($A2947="","",TRIM(IF(ISERROR(FIND(",",$C2947)),$C2947,LEFT($C2947,FIND(",",$C2947)-1))))</f>
        <v/>
      </c>
      <c r="M2947" s="28">
        <f>IF($H2947="","",DATE(YEAR($H2947),MONTH($H2947),1))</f>
        <v/>
      </c>
      <c r="N2947" s="26">
        <f>IF($H2947="","",TODAY()-$H2947)</f>
        <v/>
      </c>
      <c r="O2947" s="15" t="n"/>
      <c r="P2947" s="26">
        <f>IF($A2947="","",COUNTIFS('Audit Versions'!$A$6:$A$605,$A2947,'Audit Versions'!$L$6:$L$605,"Active"))</f>
        <v/>
      </c>
      <c r="Q2947" s="15" t="n"/>
      <c r="R2947" s="26">
        <f>IF(OR($A2947="",$P2947=0),"",MOD(N($Q2947),$P2947)+1)</f>
        <v/>
      </c>
      <c r="S2947" s="15" t="n"/>
      <c r="T2947" s="25" t="n"/>
      <c r="U2947" s="26">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Builder'!$B$12="",N($S2947)&lt;='Assignment Builder'!$B$12)))</f>
        <v/>
      </c>
      <c r="V2947" s="23" t="n"/>
    </row>
    <row r="2948">
      <c r="A2948" s="23" t="n"/>
      <c r="B2948" s="23" t="n"/>
      <c r="C2948" s="24" t="n"/>
      <c r="D2948" s="15" t="n"/>
      <c r="E2948" s="23" t="n"/>
      <c r="F2948" s="15" t="n"/>
      <c r="G2948" s="23" t="n"/>
      <c r="H2948" s="25" t="n"/>
      <c r="I2948" s="15" t="n"/>
      <c r="J2948" s="26">
        <f>IF($A2948="","",LEN($C2948)-LEN(SUBSTITUTE($C2948,",",""))+1)</f>
        <v/>
      </c>
      <c r="K2948" s="26">
        <f>IF($A2948="","",SUMPRODUCT(--ISNUMBER(SEARCH('Category Dictionary'!$D$5:$D$135&amp;"",$C2948)),--('Category Dictionary'!$D$5:$D$135&lt;&gt;"")))</f>
        <v/>
      </c>
      <c r="L2948" s="27">
        <f>IF($A2948="","",TRIM(IF(ISERROR(FIND(",",$C2948)),$C2948,LEFT($C2948,FIND(",",$C2948)-1))))</f>
        <v/>
      </c>
      <c r="M2948" s="28">
        <f>IF($H2948="","",DATE(YEAR($H2948),MONTH($H2948),1))</f>
        <v/>
      </c>
      <c r="N2948" s="26">
        <f>IF($H2948="","",TODAY()-$H2948)</f>
        <v/>
      </c>
      <c r="O2948" s="15" t="n"/>
      <c r="P2948" s="26">
        <f>IF($A2948="","",COUNTIFS('Audit Versions'!$A$6:$A$605,$A2948,'Audit Versions'!$L$6:$L$605,"Active"))</f>
        <v/>
      </c>
      <c r="Q2948" s="15" t="n"/>
      <c r="R2948" s="26">
        <f>IF(OR($A2948="",$P2948=0),"",MOD(N($Q2948),$P2948)+1)</f>
        <v/>
      </c>
      <c r="S2948" s="15" t="n"/>
      <c r="T2948" s="25" t="n"/>
      <c r="U2948" s="26">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Builder'!$B$12="",N($S2948)&lt;='Assignment Builder'!$B$12)))</f>
        <v/>
      </c>
      <c r="V2948" s="23" t="n"/>
    </row>
    <row r="2949">
      <c r="A2949" s="23" t="n"/>
      <c r="B2949" s="23" t="n"/>
      <c r="C2949" s="24" t="n"/>
      <c r="D2949" s="15" t="n"/>
      <c r="E2949" s="23" t="n"/>
      <c r="F2949" s="15" t="n"/>
      <c r="G2949" s="23" t="n"/>
      <c r="H2949" s="25" t="n"/>
      <c r="I2949" s="15" t="n"/>
      <c r="J2949" s="26">
        <f>IF($A2949="","",LEN($C2949)-LEN(SUBSTITUTE($C2949,",",""))+1)</f>
        <v/>
      </c>
      <c r="K2949" s="26">
        <f>IF($A2949="","",SUMPRODUCT(--ISNUMBER(SEARCH('Category Dictionary'!$D$5:$D$135&amp;"",$C2949)),--('Category Dictionary'!$D$5:$D$135&lt;&gt;"")))</f>
        <v/>
      </c>
      <c r="L2949" s="27">
        <f>IF($A2949="","",TRIM(IF(ISERROR(FIND(",",$C2949)),$C2949,LEFT($C2949,FIND(",",$C2949)-1))))</f>
        <v/>
      </c>
      <c r="M2949" s="28">
        <f>IF($H2949="","",DATE(YEAR($H2949),MONTH($H2949),1))</f>
        <v/>
      </c>
      <c r="N2949" s="26">
        <f>IF($H2949="","",TODAY()-$H2949)</f>
        <v/>
      </c>
      <c r="O2949" s="15" t="n"/>
      <c r="P2949" s="26">
        <f>IF($A2949="","",COUNTIFS('Audit Versions'!$A$6:$A$605,$A2949,'Audit Versions'!$L$6:$L$605,"Active"))</f>
        <v/>
      </c>
      <c r="Q2949" s="15" t="n"/>
      <c r="R2949" s="26">
        <f>IF(OR($A2949="",$P2949=0),"",MOD(N($Q2949),$P2949)+1)</f>
        <v/>
      </c>
      <c r="S2949" s="15" t="n"/>
      <c r="T2949" s="25" t="n"/>
      <c r="U2949" s="26">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Builder'!$B$12="",N($S2949)&lt;='Assignment Builder'!$B$12)))</f>
        <v/>
      </c>
      <c r="V2949" s="23" t="n"/>
    </row>
    <row r="2950">
      <c r="A2950" s="23" t="n"/>
      <c r="B2950" s="23" t="n"/>
      <c r="C2950" s="24" t="n"/>
      <c r="D2950" s="15" t="n"/>
      <c r="E2950" s="23" t="n"/>
      <c r="F2950" s="15" t="n"/>
      <c r="G2950" s="23" t="n"/>
      <c r="H2950" s="25" t="n"/>
      <c r="I2950" s="15" t="n"/>
      <c r="J2950" s="26">
        <f>IF($A2950="","",LEN($C2950)-LEN(SUBSTITUTE($C2950,",",""))+1)</f>
        <v/>
      </c>
      <c r="K2950" s="26">
        <f>IF($A2950="","",SUMPRODUCT(--ISNUMBER(SEARCH('Category Dictionary'!$D$5:$D$135&amp;"",$C2950)),--('Category Dictionary'!$D$5:$D$135&lt;&gt;"")))</f>
        <v/>
      </c>
      <c r="L2950" s="27">
        <f>IF($A2950="","",TRIM(IF(ISERROR(FIND(",",$C2950)),$C2950,LEFT($C2950,FIND(",",$C2950)-1))))</f>
        <v/>
      </c>
      <c r="M2950" s="28">
        <f>IF($H2950="","",DATE(YEAR($H2950),MONTH($H2950),1))</f>
        <v/>
      </c>
      <c r="N2950" s="26">
        <f>IF($H2950="","",TODAY()-$H2950)</f>
        <v/>
      </c>
      <c r="O2950" s="15" t="n"/>
      <c r="P2950" s="26">
        <f>IF($A2950="","",COUNTIFS('Audit Versions'!$A$6:$A$605,$A2950,'Audit Versions'!$L$6:$L$605,"Active"))</f>
        <v/>
      </c>
      <c r="Q2950" s="15" t="n"/>
      <c r="R2950" s="26">
        <f>IF(OR($A2950="",$P2950=0),"",MOD(N($Q2950),$P2950)+1)</f>
        <v/>
      </c>
      <c r="S2950" s="15" t="n"/>
      <c r="T2950" s="25" t="n"/>
      <c r="U2950" s="26">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Builder'!$B$12="",N($S2950)&lt;='Assignment Builder'!$B$12)))</f>
        <v/>
      </c>
      <c r="V2950" s="23" t="n"/>
    </row>
    <row r="2951">
      <c r="A2951" s="23" t="n"/>
      <c r="B2951" s="23" t="n"/>
      <c r="C2951" s="24" t="n"/>
      <c r="D2951" s="15" t="n"/>
      <c r="E2951" s="23" t="n"/>
      <c r="F2951" s="15" t="n"/>
      <c r="G2951" s="23" t="n"/>
      <c r="H2951" s="25" t="n"/>
      <c r="I2951" s="15" t="n"/>
      <c r="J2951" s="26">
        <f>IF($A2951="","",LEN($C2951)-LEN(SUBSTITUTE($C2951,",",""))+1)</f>
        <v/>
      </c>
      <c r="K2951" s="26">
        <f>IF($A2951="","",SUMPRODUCT(--ISNUMBER(SEARCH('Category Dictionary'!$D$5:$D$135&amp;"",$C2951)),--('Category Dictionary'!$D$5:$D$135&lt;&gt;"")))</f>
        <v/>
      </c>
      <c r="L2951" s="27">
        <f>IF($A2951="","",TRIM(IF(ISERROR(FIND(",",$C2951)),$C2951,LEFT($C2951,FIND(",",$C2951)-1))))</f>
        <v/>
      </c>
      <c r="M2951" s="28">
        <f>IF($H2951="","",DATE(YEAR($H2951),MONTH($H2951),1))</f>
        <v/>
      </c>
      <c r="N2951" s="26">
        <f>IF($H2951="","",TODAY()-$H2951)</f>
        <v/>
      </c>
      <c r="O2951" s="15" t="n"/>
      <c r="P2951" s="26">
        <f>IF($A2951="","",COUNTIFS('Audit Versions'!$A$6:$A$605,$A2951,'Audit Versions'!$L$6:$L$605,"Active"))</f>
        <v/>
      </c>
      <c r="Q2951" s="15" t="n"/>
      <c r="R2951" s="26">
        <f>IF(OR($A2951="",$P2951=0),"",MOD(N($Q2951),$P2951)+1)</f>
        <v/>
      </c>
      <c r="S2951" s="15" t="n"/>
      <c r="T2951" s="25" t="n"/>
      <c r="U2951" s="26">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Builder'!$B$12="",N($S2951)&lt;='Assignment Builder'!$B$12)))</f>
        <v/>
      </c>
      <c r="V2951" s="23" t="n"/>
    </row>
    <row r="2952">
      <c r="A2952" s="23" t="n"/>
      <c r="B2952" s="23" t="n"/>
      <c r="C2952" s="24" t="n"/>
      <c r="D2952" s="15" t="n"/>
      <c r="E2952" s="23" t="n"/>
      <c r="F2952" s="15" t="n"/>
      <c r="G2952" s="23" t="n"/>
      <c r="H2952" s="25" t="n"/>
      <c r="I2952" s="15" t="n"/>
      <c r="J2952" s="26">
        <f>IF($A2952="","",LEN($C2952)-LEN(SUBSTITUTE($C2952,",",""))+1)</f>
        <v/>
      </c>
      <c r="K2952" s="26">
        <f>IF($A2952="","",SUMPRODUCT(--ISNUMBER(SEARCH('Category Dictionary'!$D$5:$D$135&amp;"",$C2952)),--('Category Dictionary'!$D$5:$D$135&lt;&gt;"")))</f>
        <v/>
      </c>
      <c r="L2952" s="27">
        <f>IF($A2952="","",TRIM(IF(ISERROR(FIND(",",$C2952)),$C2952,LEFT($C2952,FIND(",",$C2952)-1))))</f>
        <v/>
      </c>
      <c r="M2952" s="28">
        <f>IF($H2952="","",DATE(YEAR($H2952),MONTH($H2952),1))</f>
        <v/>
      </c>
      <c r="N2952" s="26">
        <f>IF($H2952="","",TODAY()-$H2952)</f>
        <v/>
      </c>
      <c r="O2952" s="15" t="n"/>
      <c r="P2952" s="26">
        <f>IF($A2952="","",COUNTIFS('Audit Versions'!$A$6:$A$605,$A2952,'Audit Versions'!$L$6:$L$605,"Active"))</f>
        <v/>
      </c>
      <c r="Q2952" s="15" t="n"/>
      <c r="R2952" s="26">
        <f>IF(OR($A2952="",$P2952=0),"",MOD(N($Q2952),$P2952)+1)</f>
        <v/>
      </c>
      <c r="S2952" s="15" t="n"/>
      <c r="T2952" s="25" t="n"/>
      <c r="U2952" s="26">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Builder'!$B$12="",N($S2952)&lt;='Assignment Builder'!$B$12)))</f>
        <v/>
      </c>
      <c r="V2952" s="23" t="n"/>
    </row>
    <row r="2953">
      <c r="A2953" s="23" t="n"/>
      <c r="B2953" s="23" t="n"/>
      <c r="C2953" s="24" t="n"/>
      <c r="D2953" s="15" t="n"/>
      <c r="E2953" s="23" t="n"/>
      <c r="F2953" s="15" t="n"/>
      <c r="G2953" s="23" t="n"/>
      <c r="H2953" s="25" t="n"/>
      <c r="I2953" s="15" t="n"/>
      <c r="J2953" s="26">
        <f>IF($A2953="","",LEN($C2953)-LEN(SUBSTITUTE($C2953,",",""))+1)</f>
        <v/>
      </c>
      <c r="K2953" s="26">
        <f>IF($A2953="","",SUMPRODUCT(--ISNUMBER(SEARCH('Category Dictionary'!$D$5:$D$135&amp;"",$C2953)),--('Category Dictionary'!$D$5:$D$135&lt;&gt;"")))</f>
        <v/>
      </c>
      <c r="L2953" s="27">
        <f>IF($A2953="","",TRIM(IF(ISERROR(FIND(",",$C2953)),$C2953,LEFT($C2953,FIND(",",$C2953)-1))))</f>
        <v/>
      </c>
      <c r="M2953" s="28">
        <f>IF($H2953="","",DATE(YEAR($H2953),MONTH($H2953),1))</f>
        <v/>
      </c>
      <c r="N2953" s="26">
        <f>IF($H2953="","",TODAY()-$H2953)</f>
        <v/>
      </c>
      <c r="O2953" s="15" t="n"/>
      <c r="P2953" s="26">
        <f>IF($A2953="","",COUNTIFS('Audit Versions'!$A$6:$A$605,$A2953,'Audit Versions'!$L$6:$L$605,"Active"))</f>
        <v/>
      </c>
      <c r="Q2953" s="15" t="n"/>
      <c r="R2953" s="26">
        <f>IF(OR($A2953="",$P2953=0),"",MOD(N($Q2953),$P2953)+1)</f>
        <v/>
      </c>
      <c r="S2953" s="15" t="n"/>
      <c r="T2953" s="25" t="n"/>
      <c r="U2953" s="26">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Builder'!$B$12="",N($S2953)&lt;='Assignment Builder'!$B$12)))</f>
        <v/>
      </c>
      <c r="V2953" s="23" t="n"/>
    </row>
    <row r="2954">
      <c r="A2954" s="23" t="n"/>
      <c r="B2954" s="23" t="n"/>
      <c r="C2954" s="24" t="n"/>
      <c r="D2954" s="15" t="n"/>
      <c r="E2954" s="23" t="n"/>
      <c r="F2954" s="15" t="n"/>
      <c r="G2954" s="23" t="n"/>
      <c r="H2954" s="25" t="n"/>
      <c r="I2954" s="15" t="n"/>
      <c r="J2954" s="26">
        <f>IF($A2954="","",LEN($C2954)-LEN(SUBSTITUTE($C2954,",",""))+1)</f>
        <v/>
      </c>
      <c r="K2954" s="26">
        <f>IF($A2954="","",SUMPRODUCT(--ISNUMBER(SEARCH('Category Dictionary'!$D$5:$D$135&amp;"",$C2954)),--('Category Dictionary'!$D$5:$D$135&lt;&gt;"")))</f>
        <v/>
      </c>
      <c r="L2954" s="27">
        <f>IF($A2954="","",TRIM(IF(ISERROR(FIND(",",$C2954)),$C2954,LEFT($C2954,FIND(",",$C2954)-1))))</f>
        <v/>
      </c>
      <c r="M2954" s="28">
        <f>IF($H2954="","",DATE(YEAR($H2954),MONTH($H2954),1))</f>
        <v/>
      </c>
      <c r="N2954" s="26">
        <f>IF($H2954="","",TODAY()-$H2954)</f>
        <v/>
      </c>
      <c r="O2954" s="15" t="n"/>
      <c r="P2954" s="26">
        <f>IF($A2954="","",COUNTIFS('Audit Versions'!$A$6:$A$605,$A2954,'Audit Versions'!$L$6:$L$605,"Active"))</f>
        <v/>
      </c>
      <c r="Q2954" s="15" t="n"/>
      <c r="R2954" s="26">
        <f>IF(OR($A2954="",$P2954=0),"",MOD(N($Q2954),$P2954)+1)</f>
        <v/>
      </c>
      <c r="S2954" s="15" t="n"/>
      <c r="T2954" s="25" t="n"/>
      <c r="U2954" s="26">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Builder'!$B$12="",N($S2954)&lt;='Assignment Builder'!$B$12)))</f>
        <v/>
      </c>
      <c r="V2954" s="23" t="n"/>
    </row>
    <row r="2955">
      <c r="A2955" s="23" t="n"/>
      <c r="B2955" s="23" t="n"/>
      <c r="C2955" s="24" t="n"/>
      <c r="D2955" s="15" t="n"/>
      <c r="E2955" s="23" t="n"/>
      <c r="F2955" s="15" t="n"/>
      <c r="G2955" s="23" t="n"/>
      <c r="H2955" s="25" t="n"/>
      <c r="I2955" s="15" t="n"/>
      <c r="J2955" s="26">
        <f>IF($A2955="","",LEN($C2955)-LEN(SUBSTITUTE($C2955,",",""))+1)</f>
        <v/>
      </c>
      <c r="K2955" s="26">
        <f>IF($A2955="","",SUMPRODUCT(--ISNUMBER(SEARCH('Category Dictionary'!$D$5:$D$135&amp;"",$C2955)),--('Category Dictionary'!$D$5:$D$135&lt;&gt;"")))</f>
        <v/>
      </c>
      <c r="L2955" s="27">
        <f>IF($A2955="","",TRIM(IF(ISERROR(FIND(",",$C2955)),$C2955,LEFT($C2955,FIND(",",$C2955)-1))))</f>
        <v/>
      </c>
      <c r="M2955" s="28">
        <f>IF($H2955="","",DATE(YEAR($H2955),MONTH($H2955),1))</f>
        <v/>
      </c>
      <c r="N2955" s="26">
        <f>IF($H2955="","",TODAY()-$H2955)</f>
        <v/>
      </c>
      <c r="O2955" s="15" t="n"/>
      <c r="P2955" s="26">
        <f>IF($A2955="","",COUNTIFS('Audit Versions'!$A$6:$A$605,$A2955,'Audit Versions'!$L$6:$L$605,"Active"))</f>
        <v/>
      </c>
      <c r="Q2955" s="15" t="n"/>
      <c r="R2955" s="26">
        <f>IF(OR($A2955="",$P2955=0),"",MOD(N($Q2955),$P2955)+1)</f>
        <v/>
      </c>
      <c r="S2955" s="15" t="n"/>
      <c r="T2955" s="25" t="n"/>
      <c r="U2955" s="26">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Builder'!$B$12="",N($S2955)&lt;='Assignment Builder'!$B$12)))</f>
        <v/>
      </c>
      <c r="V2955" s="23" t="n"/>
    </row>
    <row r="2956">
      <c r="A2956" s="23" t="n"/>
      <c r="B2956" s="23" t="n"/>
      <c r="C2956" s="24" t="n"/>
      <c r="D2956" s="15" t="n"/>
      <c r="E2956" s="23" t="n"/>
      <c r="F2956" s="15" t="n"/>
      <c r="G2956" s="23" t="n"/>
      <c r="H2956" s="25" t="n"/>
      <c r="I2956" s="15" t="n"/>
      <c r="J2956" s="26">
        <f>IF($A2956="","",LEN($C2956)-LEN(SUBSTITUTE($C2956,",",""))+1)</f>
        <v/>
      </c>
      <c r="K2956" s="26">
        <f>IF($A2956="","",SUMPRODUCT(--ISNUMBER(SEARCH('Category Dictionary'!$D$5:$D$135&amp;"",$C2956)),--('Category Dictionary'!$D$5:$D$135&lt;&gt;"")))</f>
        <v/>
      </c>
      <c r="L2956" s="27">
        <f>IF($A2956="","",TRIM(IF(ISERROR(FIND(",",$C2956)),$C2956,LEFT($C2956,FIND(",",$C2956)-1))))</f>
        <v/>
      </c>
      <c r="M2956" s="28">
        <f>IF($H2956="","",DATE(YEAR($H2956),MONTH($H2956),1))</f>
        <v/>
      </c>
      <c r="N2956" s="26">
        <f>IF($H2956="","",TODAY()-$H2956)</f>
        <v/>
      </c>
      <c r="O2956" s="15" t="n"/>
      <c r="P2956" s="26">
        <f>IF($A2956="","",COUNTIFS('Audit Versions'!$A$6:$A$605,$A2956,'Audit Versions'!$L$6:$L$605,"Active"))</f>
        <v/>
      </c>
      <c r="Q2956" s="15" t="n"/>
      <c r="R2956" s="26">
        <f>IF(OR($A2956="",$P2956=0),"",MOD(N($Q2956),$P2956)+1)</f>
        <v/>
      </c>
      <c r="S2956" s="15" t="n"/>
      <c r="T2956" s="25" t="n"/>
      <c r="U2956" s="26">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Builder'!$B$12="",N($S2956)&lt;='Assignment Builder'!$B$12)))</f>
        <v/>
      </c>
      <c r="V2956" s="23" t="n"/>
    </row>
    <row r="2957">
      <c r="A2957" s="23" t="n"/>
      <c r="B2957" s="23" t="n"/>
      <c r="C2957" s="24" t="n"/>
      <c r="D2957" s="15" t="n"/>
      <c r="E2957" s="23" t="n"/>
      <c r="F2957" s="15" t="n"/>
      <c r="G2957" s="23" t="n"/>
      <c r="H2957" s="25" t="n"/>
      <c r="I2957" s="15" t="n"/>
      <c r="J2957" s="26">
        <f>IF($A2957="","",LEN($C2957)-LEN(SUBSTITUTE($C2957,",",""))+1)</f>
        <v/>
      </c>
      <c r="K2957" s="26">
        <f>IF($A2957="","",SUMPRODUCT(--ISNUMBER(SEARCH('Category Dictionary'!$D$5:$D$135&amp;"",$C2957)),--('Category Dictionary'!$D$5:$D$135&lt;&gt;"")))</f>
        <v/>
      </c>
      <c r="L2957" s="27">
        <f>IF($A2957="","",TRIM(IF(ISERROR(FIND(",",$C2957)),$C2957,LEFT($C2957,FIND(",",$C2957)-1))))</f>
        <v/>
      </c>
      <c r="M2957" s="28">
        <f>IF($H2957="","",DATE(YEAR($H2957),MONTH($H2957),1))</f>
        <v/>
      </c>
      <c r="N2957" s="26">
        <f>IF($H2957="","",TODAY()-$H2957)</f>
        <v/>
      </c>
      <c r="O2957" s="15" t="n"/>
      <c r="P2957" s="26">
        <f>IF($A2957="","",COUNTIFS('Audit Versions'!$A$6:$A$605,$A2957,'Audit Versions'!$L$6:$L$605,"Active"))</f>
        <v/>
      </c>
      <c r="Q2957" s="15" t="n"/>
      <c r="R2957" s="26">
        <f>IF(OR($A2957="",$P2957=0),"",MOD(N($Q2957),$P2957)+1)</f>
        <v/>
      </c>
      <c r="S2957" s="15" t="n"/>
      <c r="T2957" s="25" t="n"/>
      <c r="U2957" s="26">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Builder'!$B$12="",N($S2957)&lt;='Assignment Builder'!$B$12)))</f>
        <v/>
      </c>
      <c r="V2957" s="23" t="n"/>
    </row>
    <row r="2958">
      <c r="A2958" s="23" t="n"/>
      <c r="B2958" s="23" t="n"/>
      <c r="C2958" s="24" t="n"/>
      <c r="D2958" s="15" t="n"/>
      <c r="E2958" s="23" t="n"/>
      <c r="F2958" s="15" t="n"/>
      <c r="G2958" s="23" t="n"/>
      <c r="H2958" s="25" t="n"/>
      <c r="I2958" s="15" t="n"/>
      <c r="J2958" s="26">
        <f>IF($A2958="","",LEN($C2958)-LEN(SUBSTITUTE($C2958,",",""))+1)</f>
        <v/>
      </c>
      <c r="K2958" s="26">
        <f>IF($A2958="","",SUMPRODUCT(--ISNUMBER(SEARCH('Category Dictionary'!$D$5:$D$135&amp;"",$C2958)),--('Category Dictionary'!$D$5:$D$135&lt;&gt;"")))</f>
        <v/>
      </c>
      <c r="L2958" s="27">
        <f>IF($A2958="","",TRIM(IF(ISERROR(FIND(",",$C2958)),$C2958,LEFT($C2958,FIND(",",$C2958)-1))))</f>
        <v/>
      </c>
      <c r="M2958" s="28">
        <f>IF($H2958="","",DATE(YEAR($H2958),MONTH($H2958),1))</f>
        <v/>
      </c>
      <c r="N2958" s="26">
        <f>IF($H2958="","",TODAY()-$H2958)</f>
        <v/>
      </c>
      <c r="O2958" s="15" t="n"/>
      <c r="P2958" s="26">
        <f>IF($A2958="","",COUNTIFS('Audit Versions'!$A$6:$A$605,$A2958,'Audit Versions'!$L$6:$L$605,"Active"))</f>
        <v/>
      </c>
      <c r="Q2958" s="15" t="n"/>
      <c r="R2958" s="26">
        <f>IF(OR($A2958="",$P2958=0),"",MOD(N($Q2958),$P2958)+1)</f>
        <v/>
      </c>
      <c r="S2958" s="15" t="n"/>
      <c r="T2958" s="25" t="n"/>
      <c r="U2958" s="26">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Builder'!$B$12="",N($S2958)&lt;='Assignment Builder'!$B$12)))</f>
        <v/>
      </c>
      <c r="V2958" s="23" t="n"/>
    </row>
    <row r="2959">
      <c r="A2959" s="23" t="n"/>
      <c r="B2959" s="23" t="n"/>
      <c r="C2959" s="24" t="n"/>
      <c r="D2959" s="15" t="n"/>
      <c r="E2959" s="23" t="n"/>
      <c r="F2959" s="15" t="n"/>
      <c r="G2959" s="23" t="n"/>
      <c r="H2959" s="25" t="n"/>
      <c r="I2959" s="15" t="n"/>
      <c r="J2959" s="26">
        <f>IF($A2959="","",LEN($C2959)-LEN(SUBSTITUTE($C2959,",",""))+1)</f>
        <v/>
      </c>
      <c r="K2959" s="26">
        <f>IF($A2959="","",SUMPRODUCT(--ISNUMBER(SEARCH('Category Dictionary'!$D$5:$D$135&amp;"",$C2959)),--('Category Dictionary'!$D$5:$D$135&lt;&gt;"")))</f>
        <v/>
      </c>
      <c r="L2959" s="27">
        <f>IF($A2959="","",TRIM(IF(ISERROR(FIND(",",$C2959)),$C2959,LEFT($C2959,FIND(",",$C2959)-1))))</f>
        <v/>
      </c>
      <c r="M2959" s="28">
        <f>IF($H2959="","",DATE(YEAR($H2959),MONTH($H2959),1))</f>
        <v/>
      </c>
      <c r="N2959" s="26">
        <f>IF($H2959="","",TODAY()-$H2959)</f>
        <v/>
      </c>
      <c r="O2959" s="15" t="n"/>
      <c r="P2959" s="26">
        <f>IF($A2959="","",COUNTIFS('Audit Versions'!$A$6:$A$605,$A2959,'Audit Versions'!$L$6:$L$605,"Active"))</f>
        <v/>
      </c>
      <c r="Q2959" s="15" t="n"/>
      <c r="R2959" s="26">
        <f>IF(OR($A2959="",$P2959=0),"",MOD(N($Q2959),$P2959)+1)</f>
        <v/>
      </c>
      <c r="S2959" s="15" t="n"/>
      <c r="T2959" s="25" t="n"/>
      <c r="U2959" s="26">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Builder'!$B$12="",N($S2959)&lt;='Assignment Builder'!$B$12)))</f>
        <v/>
      </c>
      <c r="V2959" s="23" t="n"/>
    </row>
    <row r="2960">
      <c r="A2960" s="23" t="n"/>
      <c r="B2960" s="23" t="n"/>
      <c r="C2960" s="24" t="n"/>
      <c r="D2960" s="15" t="n"/>
      <c r="E2960" s="23" t="n"/>
      <c r="F2960" s="15" t="n"/>
      <c r="G2960" s="23" t="n"/>
      <c r="H2960" s="25" t="n"/>
      <c r="I2960" s="15" t="n"/>
      <c r="J2960" s="26">
        <f>IF($A2960="","",LEN($C2960)-LEN(SUBSTITUTE($C2960,",",""))+1)</f>
        <v/>
      </c>
      <c r="K2960" s="26">
        <f>IF($A2960="","",SUMPRODUCT(--ISNUMBER(SEARCH('Category Dictionary'!$D$5:$D$135&amp;"",$C2960)),--('Category Dictionary'!$D$5:$D$135&lt;&gt;"")))</f>
        <v/>
      </c>
      <c r="L2960" s="27">
        <f>IF($A2960="","",TRIM(IF(ISERROR(FIND(",",$C2960)),$C2960,LEFT($C2960,FIND(",",$C2960)-1))))</f>
        <v/>
      </c>
      <c r="M2960" s="28">
        <f>IF($H2960="","",DATE(YEAR($H2960),MONTH($H2960),1))</f>
        <v/>
      </c>
      <c r="N2960" s="26">
        <f>IF($H2960="","",TODAY()-$H2960)</f>
        <v/>
      </c>
      <c r="O2960" s="15" t="n"/>
      <c r="P2960" s="26">
        <f>IF($A2960="","",COUNTIFS('Audit Versions'!$A$6:$A$605,$A2960,'Audit Versions'!$L$6:$L$605,"Active"))</f>
        <v/>
      </c>
      <c r="Q2960" s="15" t="n"/>
      <c r="R2960" s="26">
        <f>IF(OR($A2960="",$P2960=0),"",MOD(N($Q2960),$P2960)+1)</f>
        <v/>
      </c>
      <c r="S2960" s="15" t="n"/>
      <c r="T2960" s="25" t="n"/>
      <c r="U2960" s="26">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Builder'!$B$12="",N($S2960)&lt;='Assignment Builder'!$B$12)))</f>
        <v/>
      </c>
      <c r="V2960" s="23" t="n"/>
    </row>
    <row r="2961">
      <c r="A2961" s="23" t="n"/>
      <c r="B2961" s="23" t="n"/>
      <c r="C2961" s="24" t="n"/>
      <c r="D2961" s="15" t="n"/>
      <c r="E2961" s="23" t="n"/>
      <c r="F2961" s="15" t="n"/>
      <c r="G2961" s="23" t="n"/>
      <c r="H2961" s="25" t="n"/>
      <c r="I2961" s="15" t="n"/>
      <c r="J2961" s="26">
        <f>IF($A2961="","",LEN($C2961)-LEN(SUBSTITUTE($C2961,",",""))+1)</f>
        <v/>
      </c>
      <c r="K2961" s="26">
        <f>IF($A2961="","",SUMPRODUCT(--ISNUMBER(SEARCH('Category Dictionary'!$D$5:$D$135&amp;"",$C2961)),--('Category Dictionary'!$D$5:$D$135&lt;&gt;"")))</f>
        <v/>
      </c>
      <c r="L2961" s="27">
        <f>IF($A2961="","",TRIM(IF(ISERROR(FIND(",",$C2961)),$C2961,LEFT($C2961,FIND(",",$C2961)-1))))</f>
        <v/>
      </c>
      <c r="M2961" s="28">
        <f>IF($H2961="","",DATE(YEAR($H2961),MONTH($H2961),1))</f>
        <v/>
      </c>
      <c r="N2961" s="26">
        <f>IF($H2961="","",TODAY()-$H2961)</f>
        <v/>
      </c>
      <c r="O2961" s="15" t="n"/>
      <c r="P2961" s="26">
        <f>IF($A2961="","",COUNTIFS('Audit Versions'!$A$6:$A$605,$A2961,'Audit Versions'!$L$6:$L$605,"Active"))</f>
        <v/>
      </c>
      <c r="Q2961" s="15" t="n"/>
      <c r="R2961" s="26">
        <f>IF(OR($A2961="",$P2961=0),"",MOD(N($Q2961),$P2961)+1)</f>
        <v/>
      </c>
      <c r="S2961" s="15" t="n"/>
      <c r="T2961" s="25" t="n"/>
      <c r="U2961" s="26">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Builder'!$B$12="",N($S2961)&lt;='Assignment Builder'!$B$12)))</f>
        <v/>
      </c>
      <c r="V2961" s="23" t="n"/>
    </row>
    <row r="2962">
      <c r="A2962" s="23" t="n"/>
      <c r="B2962" s="23" t="n"/>
      <c r="C2962" s="24" t="n"/>
      <c r="D2962" s="15" t="n"/>
      <c r="E2962" s="23" t="n"/>
      <c r="F2962" s="15" t="n"/>
      <c r="G2962" s="23" t="n"/>
      <c r="H2962" s="25" t="n"/>
      <c r="I2962" s="15" t="n"/>
      <c r="J2962" s="26">
        <f>IF($A2962="","",LEN($C2962)-LEN(SUBSTITUTE($C2962,",",""))+1)</f>
        <v/>
      </c>
      <c r="K2962" s="26">
        <f>IF($A2962="","",SUMPRODUCT(--ISNUMBER(SEARCH('Category Dictionary'!$D$5:$D$135&amp;"",$C2962)),--('Category Dictionary'!$D$5:$D$135&lt;&gt;"")))</f>
        <v/>
      </c>
      <c r="L2962" s="27">
        <f>IF($A2962="","",TRIM(IF(ISERROR(FIND(",",$C2962)),$C2962,LEFT($C2962,FIND(",",$C2962)-1))))</f>
        <v/>
      </c>
      <c r="M2962" s="28">
        <f>IF($H2962="","",DATE(YEAR($H2962),MONTH($H2962),1))</f>
        <v/>
      </c>
      <c r="N2962" s="26">
        <f>IF($H2962="","",TODAY()-$H2962)</f>
        <v/>
      </c>
      <c r="O2962" s="15" t="n"/>
      <c r="P2962" s="26">
        <f>IF($A2962="","",COUNTIFS('Audit Versions'!$A$6:$A$605,$A2962,'Audit Versions'!$L$6:$L$605,"Active"))</f>
        <v/>
      </c>
      <c r="Q2962" s="15" t="n"/>
      <c r="R2962" s="26">
        <f>IF(OR($A2962="",$P2962=0),"",MOD(N($Q2962),$P2962)+1)</f>
        <v/>
      </c>
      <c r="S2962" s="15" t="n"/>
      <c r="T2962" s="25" t="n"/>
      <c r="U2962" s="26">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Builder'!$B$12="",N($S2962)&lt;='Assignment Builder'!$B$12)))</f>
        <v/>
      </c>
      <c r="V2962" s="23" t="n"/>
    </row>
    <row r="2963">
      <c r="A2963" s="23" t="n"/>
      <c r="B2963" s="23" t="n"/>
      <c r="C2963" s="24" t="n"/>
      <c r="D2963" s="15" t="n"/>
      <c r="E2963" s="23" t="n"/>
      <c r="F2963" s="15" t="n"/>
      <c r="G2963" s="23" t="n"/>
      <c r="H2963" s="25" t="n"/>
      <c r="I2963" s="15" t="n"/>
      <c r="J2963" s="26">
        <f>IF($A2963="","",LEN($C2963)-LEN(SUBSTITUTE($C2963,",",""))+1)</f>
        <v/>
      </c>
      <c r="K2963" s="26">
        <f>IF($A2963="","",SUMPRODUCT(--ISNUMBER(SEARCH('Category Dictionary'!$D$5:$D$135&amp;"",$C2963)),--('Category Dictionary'!$D$5:$D$135&lt;&gt;"")))</f>
        <v/>
      </c>
      <c r="L2963" s="27">
        <f>IF($A2963="","",TRIM(IF(ISERROR(FIND(",",$C2963)),$C2963,LEFT($C2963,FIND(",",$C2963)-1))))</f>
        <v/>
      </c>
      <c r="M2963" s="28">
        <f>IF($H2963="","",DATE(YEAR($H2963),MONTH($H2963),1))</f>
        <v/>
      </c>
      <c r="N2963" s="26">
        <f>IF($H2963="","",TODAY()-$H2963)</f>
        <v/>
      </c>
      <c r="O2963" s="15" t="n"/>
      <c r="P2963" s="26">
        <f>IF($A2963="","",COUNTIFS('Audit Versions'!$A$6:$A$605,$A2963,'Audit Versions'!$L$6:$L$605,"Active"))</f>
        <v/>
      </c>
      <c r="Q2963" s="15" t="n"/>
      <c r="R2963" s="26">
        <f>IF(OR($A2963="",$P2963=0),"",MOD(N($Q2963),$P2963)+1)</f>
        <v/>
      </c>
      <c r="S2963" s="15" t="n"/>
      <c r="T2963" s="25" t="n"/>
      <c r="U2963" s="26">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Builder'!$B$12="",N($S2963)&lt;='Assignment Builder'!$B$12)))</f>
        <v/>
      </c>
      <c r="V2963" s="23" t="n"/>
    </row>
    <row r="2964">
      <c r="A2964" s="23" t="n"/>
      <c r="B2964" s="23" t="n"/>
      <c r="C2964" s="24" t="n"/>
      <c r="D2964" s="15" t="n"/>
      <c r="E2964" s="23" t="n"/>
      <c r="F2964" s="15" t="n"/>
      <c r="G2964" s="23" t="n"/>
      <c r="H2964" s="25" t="n"/>
      <c r="I2964" s="15" t="n"/>
      <c r="J2964" s="26">
        <f>IF($A2964="","",LEN($C2964)-LEN(SUBSTITUTE($C2964,",",""))+1)</f>
        <v/>
      </c>
      <c r="K2964" s="26">
        <f>IF($A2964="","",SUMPRODUCT(--ISNUMBER(SEARCH('Category Dictionary'!$D$5:$D$135&amp;"",$C2964)),--('Category Dictionary'!$D$5:$D$135&lt;&gt;"")))</f>
        <v/>
      </c>
      <c r="L2964" s="27">
        <f>IF($A2964="","",TRIM(IF(ISERROR(FIND(",",$C2964)),$C2964,LEFT($C2964,FIND(",",$C2964)-1))))</f>
        <v/>
      </c>
      <c r="M2964" s="28">
        <f>IF($H2964="","",DATE(YEAR($H2964),MONTH($H2964),1))</f>
        <v/>
      </c>
      <c r="N2964" s="26">
        <f>IF($H2964="","",TODAY()-$H2964)</f>
        <v/>
      </c>
      <c r="O2964" s="15" t="n"/>
      <c r="P2964" s="26">
        <f>IF($A2964="","",COUNTIFS('Audit Versions'!$A$6:$A$605,$A2964,'Audit Versions'!$L$6:$L$605,"Active"))</f>
        <v/>
      </c>
      <c r="Q2964" s="15" t="n"/>
      <c r="R2964" s="26">
        <f>IF(OR($A2964="",$P2964=0),"",MOD(N($Q2964),$P2964)+1)</f>
        <v/>
      </c>
      <c r="S2964" s="15" t="n"/>
      <c r="T2964" s="25" t="n"/>
      <c r="U2964" s="26">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Builder'!$B$12="",N($S2964)&lt;='Assignment Builder'!$B$12)))</f>
        <v/>
      </c>
      <c r="V2964" s="23" t="n"/>
    </row>
    <row r="2965">
      <c r="A2965" s="23" t="n"/>
      <c r="B2965" s="23" t="n"/>
      <c r="C2965" s="24" t="n"/>
      <c r="D2965" s="15" t="n"/>
      <c r="E2965" s="23" t="n"/>
      <c r="F2965" s="15" t="n"/>
      <c r="G2965" s="23" t="n"/>
      <c r="H2965" s="25" t="n"/>
      <c r="I2965" s="15" t="n"/>
      <c r="J2965" s="26">
        <f>IF($A2965="","",LEN($C2965)-LEN(SUBSTITUTE($C2965,",",""))+1)</f>
        <v/>
      </c>
      <c r="K2965" s="26">
        <f>IF($A2965="","",SUMPRODUCT(--ISNUMBER(SEARCH('Category Dictionary'!$D$5:$D$135&amp;"",$C2965)),--('Category Dictionary'!$D$5:$D$135&lt;&gt;"")))</f>
        <v/>
      </c>
      <c r="L2965" s="27">
        <f>IF($A2965="","",TRIM(IF(ISERROR(FIND(",",$C2965)),$C2965,LEFT($C2965,FIND(",",$C2965)-1))))</f>
        <v/>
      </c>
      <c r="M2965" s="28">
        <f>IF($H2965="","",DATE(YEAR($H2965),MONTH($H2965),1))</f>
        <v/>
      </c>
      <c r="N2965" s="26">
        <f>IF($H2965="","",TODAY()-$H2965)</f>
        <v/>
      </c>
      <c r="O2965" s="15" t="n"/>
      <c r="P2965" s="26">
        <f>IF($A2965="","",COUNTIFS('Audit Versions'!$A$6:$A$605,$A2965,'Audit Versions'!$L$6:$L$605,"Active"))</f>
        <v/>
      </c>
      <c r="Q2965" s="15" t="n"/>
      <c r="R2965" s="26">
        <f>IF(OR($A2965="",$P2965=0),"",MOD(N($Q2965),$P2965)+1)</f>
        <v/>
      </c>
      <c r="S2965" s="15" t="n"/>
      <c r="T2965" s="25" t="n"/>
      <c r="U2965" s="26">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Builder'!$B$12="",N($S2965)&lt;='Assignment Builder'!$B$12)))</f>
        <v/>
      </c>
      <c r="V2965" s="23" t="n"/>
    </row>
    <row r="2966">
      <c r="A2966" s="23" t="n"/>
      <c r="B2966" s="23" t="n"/>
      <c r="C2966" s="24" t="n"/>
      <c r="D2966" s="15" t="n"/>
      <c r="E2966" s="23" t="n"/>
      <c r="F2966" s="15" t="n"/>
      <c r="G2966" s="23" t="n"/>
      <c r="H2966" s="25" t="n"/>
      <c r="I2966" s="15" t="n"/>
      <c r="J2966" s="26">
        <f>IF($A2966="","",LEN($C2966)-LEN(SUBSTITUTE($C2966,",",""))+1)</f>
        <v/>
      </c>
      <c r="K2966" s="26">
        <f>IF($A2966="","",SUMPRODUCT(--ISNUMBER(SEARCH('Category Dictionary'!$D$5:$D$135&amp;"",$C2966)),--('Category Dictionary'!$D$5:$D$135&lt;&gt;"")))</f>
        <v/>
      </c>
      <c r="L2966" s="27">
        <f>IF($A2966="","",TRIM(IF(ISERROR(FIND(",",$C2966)),$C2966,LEFT($C2966,FIND(",",$C2966)-1))))</f>
        <v/>
      </c>
      <c r="M2966" s="28">
        <f>IF($H2966="","",DATE(YEAR($H2966),MONTH($H2966),1))</f>
        <v/>
      </c>
      <c r="N2966" s="26">
        <f>IF($H2966="","",TODAY()-$H2966)</f>
        <v/>
      </c>
      <c r="O2966" s="15" t="n"/>
      <c r="P2966" s="26">
        <f>IF($A2966="","",COUNTIFS('Audit Versions'!$A$6:$A$605,$A2966,'Audit Versions'!$L$6:$L$605,"Active"))</f>
        <v/>
      </c>
      <c r="Q2966" s="15" t="n"/>
      <c r="R2966" s="26">
        <f>IF(OR($A2966="",$P2966=0),"",MOD(N($Q2966),$P2966)+1)</f>
        <v/>
      </c>
      <c r="S2966" s="15" t="n"/>
      <c r="T2966" s="25" t="n"/>
      <c r="U2966" s="26">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Builder'!$B$12="",N($S2966)&lt;='Assignment Builder'!$B$12)))</f>
        <v/>
      </c>
      <c r="V2966" s="23" t="n"/>
    </row>
    <row r="2967">
      <c r="A2967" s="23" t="n"/>
      <c r="B2967" s="23" t="n"/>
      <c r="C2967" s="24" t="n"/>
      <c r="D2967" s="15" t="n"/>
      <c r="E2967" s="23" t="n"/>
      <c r="F2967" s="15" t="n"/>
      <c r="G2967" s="23" t="n"/>
      <c r="H2967" s="25" t="n"/>
      <c r="I2967" s="15" t="n"/>
      <c r="J2967" s="26">
        <f>IF($A2967="","",LEN($C2967)-LEN(SUBSTITUTE($C2967,",",""))+1)</f>
        <v/>
      </c>
      <c r="K2967" s="26">
        <f>IF($A2967="","",SUMPRODUCT(--ISNUMBER(SEARCH('Category Dictionary'!$D$5:$D$135&amp;"",$C2967)),--('Category Dictionary'!$D$5:$D$135&lt;&gt;"")))</f>
        <v/>
      </c>
      <c r="L2967" s="27">
        <f>IF($A2967="","",TRIM(IF(ISERROR(FIND(",",$C2967)),$C2967,LEFT($C2967,FIND(",",$C2967)-1))))</f>
        <v/>
      </c>
      <c r="M2967" s="28">
        <f>IF($H2967="","",DATE(YEAR($H2967),MONTH($H2967),1))</f>
        <v/>
      </c>
      <c r="N2967" s="26">
        <f>IF($H2967="","",TODAY()-$H2967)</f>
        <v/>
      </c>
      <c r="O2967" s="15" t="n"/>
      <c r="P2967" s="26">
        <f>IF($A2967="","",COUNTIFS('Audit Versions'!$A$6:$A$605,$A2967,'Audit Versions'!$L$6:$L$605,"Active"))</f>
        <v/>
      </c>
      <c r="Q2967" s="15" t="n"/>
      <c r="R2967" s="26">
        <f>IF(OR($A2967="",$P2967=0),"",MOD(N($Q2967),$P2967)+1)</f>
        <v/>
      </c>
      <c r="S2967" s="15" t="n"/>
      <c r="T2967" s="25" t="n"/>
      <c r="U2967" s="26">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Builder'!$B$12="",N($S2967)&lt;='Assignment Builder'!$B$12)))</f>
        <v/>
      </c>
      <c r="V2967" s="23" t="n"/>
    </row>
    <row r="2968">
      <c r="A2968" s="23" t="n"/>
      <c r="B2968" s="23" t="n"/>
      <c r="C2968" s="24" t="n"/>
      <c r="D2968" s="15" t="n"/>
      <c r="E2968" s="23" t="n"/>
      <c r="F2968" s="15" t="n"/>
      <c r="G2968" s="23" t="n"/>
      <c r="H2968" s="25" t="n"/>
      <c r="I2968" s="15" t="n"/>
      <c r="J2968" s="26">
        <f>IF($A2968="","",LEN($C2968)-LEN(SUBSTITUTE($C2968,",",""))+1)</f>
        <v/>
      </c>
      <c r="K2968" s="26">
        <f>IF($A2968="","",SUMPRODUCT(--ISNUMBER(SEARCH('Category Dictionary'!$D$5:$D$135&amp;"",$C2968)),--('Category Dictionary'!$D$5:$D$135&lt;&gt;"")))</f>
        <v/>
      </c>
      <c r="L2968" s="27">
        <f>IF($A2968="","",TRIM(IF(ISERROR(FIND(",",$C2968)),$C2968,LEFT($C2968,FIND(",",$C2968)-1))))</f>
        <v/>
      </c>
      <c r="M2968" s="28">
        <f>IF($H2968="","",DATE(YEAR($H2968),MONTH($H2968),1))</f>
        <v/>
      </c>
      <c r="N2968" s="26">
        <f>IF($H2968="","",TODAY()-$H2968)</f>
        <v/>
      </c>
      <c r="O2968" s="15" t="n"/>
      <c r="P2968" s="26">
        <f>IF($A2968="","",COUNTIFS('Audit Versions'!$A$6:$A$605,$A2968,'Audit Versions'!$L$6:$L$605,"Active"))</f>
        <v/>
      </c>
      <c r="Q2968" s="15" t="n"/>
      <c r="R2968" s="26">
        <f>IF(OR($A2968="",$P2968=0),"",MOD(N($Q2968),$P2968)+1)</f>
        <v/>
      </c>
      <c r="S2968" s="15" t="n"/>
      <c r="T2968" s="25" t="n"/>
      <c r="U2968" s="26">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Builder'!$B$12="",N($S2968)&lt;='Assignment Builder'!$B$12)))</f>
        <v/>
      </c>
      <c r="V2968" s="23" t="n"/>
    </row>
    <row r="2969">
      <c r="A2969" s="23" t="n"/>
      <c r="B2969" s="23" t="n"/>
      <c r="C2969" s="24" t="n"/>
      <c r="D2969" s="15" t="n"/>
      <c r="E2969" s="23" t="n"/>
      <c r="F2969" s="15" t="n"/>
      <c r="G2969" s="23" t="n"/>
      <c r="H2969" s="25" t="n"/>
      <c r="I2969" s="15" t="n"/>
      <c r="J2969" s="26">
        <f>IF($A2969="","",LEN($C2969)-LEN(SUBSTITUTE($C2969,",",""))+1)</f>
        <v/>
      </c>
      <c r="K2969" s="26">
        <f>IF($A2969="","",SUMPRODUCT(--ISNUMBER(SEARCH('Category Dictionary'!$D$5:$D$135&amp;"",$C2969)),--('Category Dictionary'!$D$5:$D$135&lt;&gt;"")))</f>
        <v/>
      </c>
      <c r="L2969" s="27">
        <f>IF($A2969="","",TRIM(IF(ISERROR(FIND(",",$C2969)),$C2969,LEFT($C2969,FIND(",",$C2969)-1))))</f>
        <v/>
      </c>
      <c r="M2969" s="28">
        <f>IF($H2969="","",DATE(YEAR($H2969),MONTH($H2969),1))</f>
        <v/>
      </c>
      <c r="N2969" s="26">
        <f>IF($H2969="","",TODAY()-$H2969)</f>
        <v/>
      </c>
      <c r="O2969" s="15" t="n"/>
      <c r="P2969" s="26">
        <f>IF($A2969="","",COUNTIFS('Audit Versions'!$A$6:$A$605,$A2969,'Audit Versions'!$L$6:$L$605,"Active"))</f>
        <v/>
      </c>
      <c r="Q2969" s="15" t="n"/>
      <c r="R2969" s="26">
        <f>IF(OR($A2969="",$P2969=0),"",MOD(N($Q2969),$P2969)+1)</f>
        <v/>
      </c>
      <c r="S2969" s="15" t="n"/>
      <c r="T2969" s="25" t="n"/>
      <c r="U2969" s="26">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Builder'!$B$12="",N($S2969)&lt;='Assignment Builder'!$B$12)))</f>
        <v/>
      </c>
      <c r="V2969" s="23" t="n"/>
    </row>
    <row r="2970">
      <c r="A2970" s="23" t="n"/>
      <c r="B2970" s="23" t="n"/>
      <c r="C2970" s="24" t="n"/>
      <c r="D2970" s="15" t="n"/>
      <c r="E2970" s="23" t="n"/>
      <c r="F2970" s="15" t="n"/>
      <c r="G2970" s="23" t="n"/>
      <c r="H2970" s="25" t="n"/>
      <c r="I2970" s="15" t="n"/>
      <c r="J2970" s="26">
        <f>IF($A2970="","",LEN($C2970)-LEN(SUBSTITUTE($C2970,",",""))+1)</f>
        <v/>
      </c>
      <c r="K2970" s="26">
        <f>IF($A2970="","",SUMPRODUCT(--ISNUMBER(SEARCH('Category Dictionary'!$D$5:$D$135&amp;"",$C2970)),--('Category Dictionary'!$D$5:$D$135&lt;&gt;"")))</f>
        <v/>
      </c>
      <c r="L2970" s="27">
        <f>IF($A2970="","",TRIM(IF(ISERROR(FIND(",",$C2970)),$C2970,LEFT($C2970,FIND(",",$C2970)-1))))</f>
        <v/>
      </c>
      <c r="M2970" s="28">
        <f>IF($H2970="","",DATE(YEAR($H2970),MONTH($H2970),1))</f>
        <v/>
      </c>
      <c r="N2970" s="26">
        <f>IF($H2970="","",TODAY()-$H2970)</f>
        <v/>
      </c>
      <c r="O2970" s="15" t="n"/>
      <c r="P2970" s="26">
        <f>IF($A2970="","",COUNTIFS('Audit Versions'!$A$6:$A$605,$A2970,'Audit Versions'!$L$6:$L$605,"Active"))</f>
        <v/>
      </c>
      <c r="Q2970" s="15" t="n"/>
      <c r="R2970" s="26">
        <f>IF(OR($A2970="",$P2970=0),"",MOD(N($Q2970),$P2970)+1)</f>
        <v/>
      </c>
      <c r="S2970" s="15" t="n"/>
      <c r="T2970" s="25" t="n"/>
      <c r="U2970" s="26">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Builder'!$B$12="",N($S2970)&lt;='Assignment Builder'!$B$12)))</f>
        <v/>
      </c>
      <c r="V2970" s="23" t="n"/>
    </row>
    <row r="2971">
      <c r="A2971" s="23" t="n"/>
      <c r="B2971" s="23" t="n"/>
      <c r="C2971" s="24" t="n"/>
      <c r="D2971" s="15" t="n"/>
      <c r="E2971" s="23" t="n"/>
      <c r="F2971" s="15" t="n"/>
      <c r="G2971" s="23" t="n"/>
      <c r="H2971" s="25" t="n"/>
      <c r="I2971" s="15" t="n"/>
      <c r="J2971" s="26">
        <f>IF($A2971="","",LEN($C2971)-LEN(SUBSTITUTE($C2971,",",""))+1)</f>
        <v/>
      </c>
      <c r="K2971" s="26">
        <f>IF($A2971="","",SUMPRODUCT(--ISNUMBER(SEARCH('Category Dictionary'!$D$5:$D$135&amp;"",$C2971)),--('Category Dictionary'!$D$5:$D$135&lt;&gt;"")))</f>
        <v/>
      </c>
      <c r="L2971" s="27">
        <f>IF($A2971="","",TRIM(IF(ISERROR(FIND(",",$C2971)),$C2971,LEFT($C2971,FIND(",",$C2971)-1))))</f>
        <v/>
      </c>
      <c r="M2971" s="28">
        <f>IF($H2971="","",DATE(YEAR($H2971),MONTH($H2971),1))</f>
        <v/>
      </c>
      <c r="N2971" s="26">
        <f>IF($H2971="","",TODAY()-$H2971)</f>
        <v/>
      </c>
      <c r="O2971" s="15" t="n"/>
      <c r="P2971" s="26">
        <f>IF($A2971="","",COUNTIFS('Audit Versions'!$A$6:$A$605,$A2971,'Audit Versions'!$L$6:$L$605,"Active"))</f>
        <v/>
      </c>
      <c r="Q2971" s="15" t="n"/>
      <c r="R2971" s="26">
        <f>IF(OR($A2971="",$P2971=0),"",MOD(N($Q2971),$P2971)+1)</f>
        <v/>
      </c>
      <c r="S2971" s="15" t="n"/>
      <c r="T2971" s="25" t="n"/>
      <c r="U2971" s="26">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Builder'!$B$12="",N($S2971)&lt;='Assignment Builder'!$B$12)))</f>
        <v/>
      </c>
      <c r="V2971" s="23" t="n"/>
    </row>
    <row r="2972">
      <c r="A2972" s="23" t="n"/>
      <c r="B2972" s="23" t="n"/>
      <c r="C2972" s="24" t="n"/>
      <c r="D2972" s="15" t="n"/>
      <c r="E2972" s="23" t="n"/>
      <c r="F2972" s="15" t="n"/>
      <c r="G2972" s="23" t="n"/>
      <c r="H2972" s="25" t="n"/>
      <c r="I2972" s="15" t="n"/>
      <c r="J2972" s="26">
        <f>IF($A2972="","",LEN($C2972)-LEN(SUBSTITUTE($C2972,",",""))+1)</f>
        <v/>
      </c>
      <c r="K2972" s="26">
        <f>IF($A2972="","",SUMPRODUCT(--ISNUMBER(SEARCH('Category Dictionary'!$D$5:$D$135&amp;"",$C2972)),--('Category Dictionary'!$D$5:$D$135&lt;&gt;"")))</f>
        <v/>
      </c>
      <c r="L2972" s="27">
        <f>IF($A2972="","",TRIM(IF(ISERROR(FIND(",",$C2972)),$C2972,LEFT($C2972,FIND(",",$C2972)-1))))</f>
        <v/>
      </c>
      <c r="M2972" s="28">
        <f>IF($H2972="","",DATE(YEAR($H2972),MONTH($H2972),1))</f>
        <v/>
      </c>
      <c r="N2972" s="26">
        <f>IF($H2972="","",TODAY()-$H2972)</f>
        <v/>
      </c>
      <c r="O2972" s="15" t="n"/>
      <c r="P2972" s="26">
        <f>IF($A2972="","",COUNTIFS('Audit Versions'!$A$6:$A$605,$A2972,'Audit Versions'!$L$6:$L$605,"Active"))</f>
        <v/>
      </c>
      <c r="Q2972" s="15" t="n"/>
      <c r="R2972" s="26">
        <f>IF(OR($A2972="",$P2972=0),"",MOD(N($Q2972),$P2972)+1)</f>
        <v/>
      </c>
      <c r="S2972" s="15" t="n"/>
      <c r="T2972" s="25" t="n"/>
      <c r="U2972" s="26">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Builder'!$B$12="",N($S2972)&lt;='Assignment Builder'!$B$12)))</f>
        <v/>
      </c>
      <c r="V2972" s="23" t="n"/>
    </row>
    <row r="2973">
      <c r="A2973" s="23" t="n"/>
      <c r="B2973" s="23" t="n"/>
      <c r="C2973" s="24" t="n"/>
      <c r="D2973" s="15" t="n"/>
      <c r="E2973" s="23" t="n"/>
      <c r="F2973" s="15" t="n"/>
      <c r="G2973" s="23" t="n"/>
      <c r="H2973" s="25" t="n"/>
      <c r="I2973" s="15" t="n"/>
      <c r="J2973" s="26">
        <f>IF($A2973="","",LEN($C2973)-LEN(SUBSTITUTE($C2973,",",""))+1)</f>
        <v/>
      </c>
      <c r="K2973" s="26">
        <f>IF($A2973="","",SUMPRODUCT(--ISNUMBER(SEARCH('Category Dictionary'!$D$5:$D$135&amp;"",$C2973)),--('Category Dictionary'!$D$5:$D$135&lt;&gt;"")))</f>
        <v/>
      </c>
      <c r="L2973" s="27">
        <f>IF($A2973="","",TRIM(IF(ISERROR(FIND(",",$C2973)),$C2973,LEFT($C2973,FIND(",",$C2973)-1))))</f>
        <v/>
      </c>
      <c r="M2973" s="28">
        <f>IF($H2973="","",DATE(YEAR($H2973),MONTH($H2973),1))</f>
        <v/>
      </c>
      <c r="N2973" s="26">
        <f>IF($H2973="","",TODAY()-$H2973)</f>
        <v/>
      </c>
      <c r="O2973" s="15" t="n"/>
      <c r="P2973" s="26">
        <f>IF($A2973="","",COUNTIFS('Audit Versions'!$A$6:$A$605,$A2973,'Audit Versions'!$L$6:$L$605,"Active"))</f>
        <v/>
      </c>
      <c r="Q2973" s="15" t="n"/>
      <c r="R2973" s="26">
        <f>IF(OR($A2973="",$P2973=0),"",MOD(N($Q2973),$P2973)+1)</f>
        <v/>
      </c>
      <c r="S2973" s="15" t="n"/>
      <c r="T2973" s="25" t="n"/>
      <c r="U2973" s="26">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Builder'!$B$12="",N($S2973)&lt;='Assignment Builder'!$B$12)))</f>
        <v/>
      </c>
      <c r="V2973" s="23" t="n"/>
    </row>
    <row r="2974">
      <c r="A2974" s="23" t="n"/>
      <c r="B2974" s="23" t="n"/>
      <c r="C2974" s="24" t="n"/>
      <c r="D2974" s="15" t="n"/>
      <c r="E2974" s="23" t="n"/>
      <c r="F2974" s="15" t="n"/>
      <c r="G2974" s="23" t="n"/>
      <c r="H2974" s="25" t="n"/>
      <c r="I2974" s="15" t="n"/>
      <c r="J2974" s="26">
        <f>IF($A2974="","",LEN($C2974)-LEN(SUBSTITUTE($C2974,",",""))+1)</f>
        <v/>
      </c>
      <c r="K2974" s="26">
        <f>IF($A2974="","",SUMPRODUCT(--ISNUMBER(SEARCH('Category Dictionary'!$D$5:$D$135&amp;"",$C2974)),--('Category Dictionary'!$D$5:$D$135&lt;&gt;"")))</f>
        <v/>
      </c>
      <c r="L2974" s="27">
        <f>IF($A2974="","",TRIM(IF(ISERROR(FIND(",",$C2974)),$C2974,LEFT($C2974,FIND(",",$C2974)-1))))</f>
        <v/>
      </c>
      <c r="M2974" s="28">
        <f>IF($H2974="","",DATE(YEAR($H2974),MONTH($H2974),1))</f>
        <v/>
      </c>
      <c r="N2974" s="26">
        <f>IF($H2974="","",TODAY()-$H2974)</f>
        <v/>
      </c>
      <c r="O2974" s="15" t="n"/>
      <c r="P2974" s="26">
        <f>IF($A2974="","",COUNTIFS('Audit Versions'!$A$6:$A$605,$A2974,'Audit Versions'!$L$6:$L$605,"Active"))</f>
        <v/>
      </c>
      <c r="Q2974" s="15" t="n"/>
      <c r="R2974" s="26">
        <f>IF(OR($A2974="",$P2974=0),"",MOD(N($Q2974),$P2974)+1)</f>
        <v/>
      </c>
      <c r="S2974" s="15" t="n"/>
      <c r="T2974" s="25" t="n"/>
      <c r="U2974" s="26">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Builder'!$B$12="",N($S2974)&lt;='Assignment Builder'!$B$12)))</f>
        <v/>
      </c>
      <c r="V2974" s="23" t="n"/>
    </row>
    <row r="2975">
      <c r="A2975" s="23" t="n"/>
      <c r="B2975" s="23" t="n"/>
      <c r="C2975" s="24" t="n"/>
      <c r="D2975" s="15" t="n"/>
      <c r="E2975" s="23" t="n"/>
      <c r="F2975" s="15" t="n"/>
      <c r="G2975" s="23" t="n"/>
      <c r="H2975" s="25" t="n"/>
      <c r="I2975" s="15" t="n"/>
      <c r="J2975" s="26">
        <f>IF($A2975="","",LEN($C2975)-LEN(SUBSTITUTE($C2975,",",""))+1)</f>
        <v/>
      </c>
      <c r="K2975" s="26">
        <f>IF($A2975="","",SUMPRODUCT(--ISNUMBER(SEARCH('Category Dictionary'!$D$5:$D$135&amp;"",$C2975)),--('Category Dictionary'!$D$5:$D$135&lt;&gt;"")))</f>
        <v/>
      </c>
      <c r="L2975" s="27">
        <f>IF($A2975="","",TRIM(IF(ISERROR(FIND(",",$C2975)),$C2975,LEFT($C2975,FIND(",",$C2975)-1))))</f>
        <v/>
      </c>
      <c r="M2975" s="28">
        <f>IF($H2975="","",DATE(YEAR($H2975),MONTH($H2975),1))</f>
        <v/>
      </c>
      <c r="N2975" s="26">
        <f>IF($H2975="","",TODAY()-$H2975)</f>
        <v/>
      </c>
      <c r="O2975" s="15" t="n"/>
      <c r="P2975" s="26">
        <f>IF($A2975="","",COUNTIFS('Audit Versions'!$A$6:$A$605,$A2975,'Audit Versions'!$L$6:$L$605,"Active"))</f>
        <v/>
      </c>
      <c r="Q2975" s="15" t="n"/>
      <c r="R2975" s="26">
        <f>IF(OR($A2975="",$P2975=0),"",MOD(N($Q2975),$P2975)+1)</f>
        <v/>
      </c>
      <c r="S2975" s="15" t="n"/>
      <c r="T2975" s="25" t="n"/>
      <c r="U2975" s="26">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Builder'!$B$12="",N($S2975)&lt;='Assignment Builder'!$B$12)))</f>
        <v/>
      </c>
      <c r="V2975" s="23" t="n"/>
    </row>
    <row r="2976">
      <c r="A2976" s="23" t="n"/>
      <c r="B2976" s="23" t="n"/>
      <c r="C2976" s="24" t="n"/>
      <c r="D2976" s="15" t="n"/>
      <c r="E2976" s="23" t="n"/>
      <c r="F2976" s="15" t="n"/>
      <c r="G2976" s="23" t="n"/>
      <c r="H2976" s="25" t="n"/>
      <c r="I2976" s="15" t="n"/>
      <c r="J2976" s="26">
        <f>IF($A2976="","",LEN($C2976)-LEN(SUBSTITUTE($C2976,",",""))+1)</f>
        <v/>
      </c>
      <c r="K2976" s="26">
        <f>IF($A2976="","",SUMPRODUCT(--ISNUMBER(SEARCH('Category Dictionary'!$D$5:$D$135&amp;"",$C2976)),--('Category Dictionary'!$D$5:$D$135&lt;&gt;"")))</f>
        <v/>
      </c>
      <c r="L2976" s="27">
        <f>IF($A2976="","",TRIM(IF(ISERROR(FIND(",",$C2976)),$C2976,LEFT($C2976,FIND(",",$C2976)-1))))</f>
        <v/>
      </c>
      <c r="M2976" s="28">
        <f>IF($H2976="","",DATE(YEAR($H2976),MONTH($H2976),1))</f>
        <v/>
      </c>
      <c r="N2976" s="26">
        <f>IF($H2976="","",TODAY()-$H2976)</f>
        <v/>
      </c>
      <c r="O2976" s="15" t="n"/>
      <c r="P2976" s="26">
        <f>IF($A2976="","",COUNTIFS('Audit Versions'!$A$6:$A$605,$A2976,'Audit Versions'!$L$6:$L$605,"Active"))</f>
        <v/>
      </c>
      <c r="Q2976" s="15" t="n"/>
      <c r="R2976" s="26">
        <f>IF(OR($A2976="",$P2976=0),"",MOD(N($Q2976),$P2976)+1)</f>
        <v/>
      </c>
      <c r="S2976" s="15" t="n"/>
      <c r="T2976" s="25" t="n"/>
      <c r="U2976" s="26">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Builder'!$B$12="",N($S2976)&lt;='Assignment Builder'!$B$12)))</f>
        <v/>
      </c>
      <c r="V2976" s="23" t="n"/>
    </row>
    <row r="2977">
      <c r="A2977" s="23" t="n"/>
      <c r="B2977" s="23" t="n"/>
      <c r="C2977" s="24" t="n"/>
      <c r="D2977" s="15" t="n"/>
      <c r="E2977" s="23" t="n"/>
      <c r="F2977" s="15" t="n"/>
      <c r="G2977" s="23" t="n"/>
      <c r="H2977" s="25" t="n"/>
      <c r="I2977" s="15" t="n"/>
      <c r="J2977" s="26">
        <f>IF($A2977="","",LEN($C2977)-LEN(SUBSTITUTE($C2977,",",""))+1)</f>
        <v/>
      </c>
      <c r="K2977" s="26">
        <f>IF($A2977="","",SUMPRODUCT(--ISNUMBER(SEARCH('Category Dictionary'!$D$5:$D$135&amp;"",$C2977)),--('Category Dictionary'!$D$5:$D$135&lt;&gt;"")))</f>
        <v/>
      </c>
      <c r="L2977" s="27">
        <f>IF($A2977="","",TRIM(IF(ISERROR(FIND(",",$C2977)),$C2977,LEFT($C2977,FIND(",",$C2977)-1))))</f>
        <v/>
      </c>
      <c r="M2977" s="28">
        <f>IF($H2977="","",DATE(YEAR($H2977),MONTH($H2977),1))</f>
        <v/>
      </c>
      <c r="N2977" s="26">
        <f>IF($H2977="","",TODAY()-$H2977)</f>
        <v/>
      </c>
      <c r="O2977" s="15" t="n"/>
      <c r="P2977" s="26">
        <f>IF($A2977="","",COUNTIFS('Audit Versions'!$A$6:$A$605,$A2977,'Audit Versions'!$L$6:$L$605,"Active"))</f>
        <v/>
      </c>
      <c r="Q2977" s="15" t="n"/>
      <c r="R2977" s="26">
        <f>IF(OR($A2977="",$P2977=0),"",MOD(N($Q2977),$P2977)+1)</f>
        <v/>
      </c>
      <c r="S2977" s="15" t="n"/>
      <c r="T2977" s="25" t="n"/>
      <c r="U2977" s="26">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Builder'!$B$12="",N($S2977)&lt;='Assignment Builder'!$B$12)))</f>
        <v/>
      </c>
      <c r="V2977" s="23" t="n"/>
    </row>
    <row r="2978">
      <c r="A2978" s="23" t="n"/>
      <c r="B2978" s="23" t="n"/>
      <c r="C2978" s="24" t="n"/>
      <c r="D2978" s="15" t="n"/>
      <c r="E2978" s="23" t="n"/>
      <c r="F2978" s="15" t="n"/>
      <c r="G2978" s="23" t="n"/>
      <c r="H2978" s="25" t="n"/>
      <c r="I2978" s="15" t="n"/>
      <c r="J2978" s="26">
        <f>IF($A2978="","",LEN($C2978)-LEN(SUBSTITUTE($C2978,",",""))+1)</f>
        <v/>
      </c>
      <c r="K2978" s="26">
        <f>IF($A2978="","",SUMPRODUCT(--ISNUMBER(SEARCH('Category Dictionary'!$D$5:$D$135&amp;"",$C2978)),--('Category Dictionary'!$D$5:$D$135&lt;&gt;"")))</f>
        <v/>
      </c>
      <c r="L2978" s="27">
        <f>IF($A2978="","",TRIM(IF(ISERROR(FIND(",",$C2978)),$C2978,LEFT($C2978,FIND(",",$C2978)-1))))</f>
        <v/>
      </c>
      <c r="M2978" s="28">
        <f>IF($H2978="","",DATE(YEAR($H2978),MONTH($H2978),1))</f>
        <v/>
      </c>
      <c r="N2978" s="26">
        <f>IF($H2978="","",TODAY()-$H2978)</f>
        <v/>
      </c>
      <c r="O2978" s="15" t="n"/>
      <c r="P2978" s="26">
        <f>IF($A2978="","",COUNTIFS('Audit Versions'!$A$6:$A$605,$A2978,'Audit Versions'!$L$6:$L$605,"Active"))</f>
        <v/>
      </c>
      <c r="Q2978" s="15" t="n"/>
      <c r="R2978" s="26">
        <f>IF(OR($A2978="",$P2978=0),"",MOD(N($Q2978),$P2978)+1)</f>
        <v/>
      </c>
      <c r="S2978" s="15" t="n"/>
      <c r="T2978" s="25" t="n"/>
      <c r="U2978" s="26">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Builder'!$B$12="",N($S2978)&lt;='Assignment Builder'!$B$12)))</f>
        <v/>
      </c>
      <c r="V2978" s="23" t="n"/>
    </row>
    <row r="2979">
      <c r="A2979" s="23" t="n"/>
      <c r="B2979" s="23" t="n"/>
      <c r="C2979" s="24" t="n"/>
      <c r="D2979" s="15" t="n"/>
      <c r="E2979" s="23" t="n"/>
      <c r="F2979" s="15" t="n"/>
      <c r="G2979" s="23" t="n"/>
      <c r="H2979" s="25" t="n"/>
      <c r="I2979" s="15" t="n"/>
      <c r="J2979" s="26">
        <f>IF($A2979="","",LEN($C2979)-LEN(SUBSTITUTE($C2979,",",""))+1)</f>
        <v/>
      </c>
      <c r="K2979" s="26">
        <f>IF($A2979="","",SUMPRODUCT(--ISNUMBER(SEARCH('Category Dictionary'!$D$5:$D$135&amp;"",$C2979)),--('Category Dictionary'!$D$5:$D$135&lt;&gt;"")))</f>
        <v/>
      </c>
      <c r="L2979" s="27">
        <f>IF($A2979="","",TRIM(IF(ISERROR(FIND(",",$C2979)),$C2979,LEFT($C2979,FIND(",",$C2979)-1))))</f>
        <v/>
      </c>
      <c r="M2979" s="28">
        <f>IF($H2979="","",DATE(YEAR($H2979),MONTH($H2979),1))</f>
        <v/>
      </c>
      <c r="N2979" s="26">
        <f>IF($H2979="","",TODAY()-$H2979)</f>
        <v/>
      </c>
      <c r="O2979" s="15" t="n"/>
      <c r="P2979" s="26">
        <f>IF($A2979="","",COUNTIFS('Audit Versions'!$A$6:$A$605,$A2979,'Audit Versions'!$L$6:$L$605,"Active"))</f>
        <v/>
      </c>
      <c r="Q2979" s="15" t="n"/>
      <c r="R2979" s="26">
        <f>IF(OR($A2979="",$P2979=0),"",MOD(N($Q2979),$P2979)+1)</f>
        <v/>
      </c>
      <c r="S2979" s="15" t="n"/>
      <c r="T2979" s="25" t="n"/>
      <c r="U2979" s="26">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Builder'!$B$12="",N($S2979)&lt;='Assignment Builder'!$B$12)))</f>
        <v/>
      </c>
      <c r="V2979" s="23" t="n"/>
    </row>
    <row r="2980">
      <c r="A2980" s="23" t="n"/>
      <c r="B2980" s="23" t="n"/>
      <c r="C2980" s="24" t="n"/>
      <c r="D2980" s="15" t="n"/>
      <c r="E2980" s="23" t="n"/>
      <c r="F2980" s="15" t="n"/>
      <c r="G2980" s="23" t="n"/>
      <c r="H2980" s="25" t="n"/>
      <c r="I2980" s="15" t="n"/>
      <c r="J2980" s="26">
        <f>IF($A2980="","",LEN($C2980)-LEN(SUBSTITUTE($C2980,",",""))+1)</f>
        <v/>
      </c>
      <c r="K2980" s="26">
        <f>IF($A2980="","",SUMPRODUCT(--ISNUMBER(SEARCH('Category Dictionary'!$D$5:$D$135&amp;"",$C2980)),--('Category Dictionary'!$D$5:$D$135&lt;&gt;"")))</f>
        <v/>
      </c>
      <c r="L2980" s="27">
        <f>IF($A2980="","",TRIM(IF(ISERROR(FIND(",",$C2980)),$C2980,LEFT($C2980,FIND(",",$C2980)-1))))</f>
        <v/>
      </c>
      <c r="M2980" s="28">
        <f>IF($H2980="","",DATE(YEAR($H2980),MONTH($H2980),1))</f>
        <v/>
      </c>
      <c r="N2980" s="26">
        <f>IF($H2980="","",TODAY()-$H2980)</f>
        <v/>
      </c>
      <c r="O2980" s="15" t="n"/>
      <c r="P2980" s="26">
        <f>IF($A2980="","",COUNTIFS('Audit Versions'!$A$6:$A$605,$A2980,'Audit Versions'!$L$6:$L$605,"Active"))</f>
        <v/>
      </c>
      <c r="Q2980" s="15" t="n"/>
      <c r="R2980" s="26">
        <f>IF(OR($A2980="",$P2980=0),"",MOD(N($Q2980),$P2980)+1)</f>
        <v/>
      </c>
      <c r="S2980" s="15" t="n"/>
      <c r="T2980" s="25" t="n"/>
      <c r="U2980" s="26">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Builder'!$B$12="",N($S2980)&lt;='Assignment Builder'!$B$12)))</f>
        <v/>
      </c>
      <c r="V2980" s="23" t="n"/>
    </row>
    <row r="2981">
      <c r="A2981" s="23" t="n"/>
      <c r="B2981" s="23" t="n"/>
      <c r="C2981" s="24" t="n"/>
      <c r="D2981" s="15" t="n"/>
      <c r="E2981" s="23" t="n"/>
      <c r="F2981" s="15" t="n"/>
      <c r="G2981" s="23" t="n"/>
      <c r="H2981" s="25" t="n"/>
      <c r="I2981" s="15" t="n"/>
      <c r="J2981" s="26">
        <f>IF($A2981="","",LEN($C2981)-LEN(SUBSTITUTE($C2981,",",""))+1)</f>
        <v/>
      </c>
      <c r="K2981" s="26">
        <f>IF($A2981="","",SUMPRODUCT(--ISNUMBER(SEARCH('Category Dictionary'!$D$5:$D$135&amp;"",$C2981)),--('Category Dictionary'!$D$5:$D$135&lt;&gt;"")))</f>
        <v/>
      </c>
      <c r="L2981" s="27">
        <f>IF($A2981="","",TRIM(IF(ISERROR(FIND(",",$C2981)),$C2981,LEFT($C2981,FIND(",",$C2981)-1))))</f>
        <v/>
      </c>
      <c r="M2981" s="28">
        <f>IF($H2981="","",DATE(YEAR($H2981),MONTH($H2981),1))</f>
        <v/>
      </c>
      <c r="N2981" s="26">
        <f>IF($H2981="","",TODAY()-$H2981)</f>
        <v/>
      </c>
      <c r="O2981" s="15" t="n"/>
      <c r="P2981" s="26">
        <f>IF($A2981="","",COUNTIFS('Audit Versions'!$A$6:$A$605,$A2981,'Audit Versions'!$L$6:$L$605,"Active"))</f>
        <v/>
      </c>
      <c r="Q2981" s="15" t="n"/>
      <c r="R2981" s="26">
        <f>IF(OR($A2981="",$P2981=0),"",MOD(N($Q2981),$P2981)+1)</f>
        <v/>
      </c>
      <c r="S2981" s="15" t="n"/>
      <c r="T2981" s="25" t="n"/>
      <c r="U2981" s="26">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Builder'!$B$12="",N($S2981)&lt;='Assignment Builder'!$B$12)))</f>
        <v/>
      </c>
      <c r="V2981" s="23" t="n"/>
    </row>
    <row r="2982">
      <c r="A2982" s="23" t="n"/>
      <c r="B2982" s="23" t="n"/>
      <c r="C2982" s="24" t="n"/>
      <c r="D2982" s="15" t="n"/>
      <c r="E2982" s="23" t="n"/>
      <c r="F2982" s="15" t="n"/>
      <c r="G2982" s="23" t="n"/>
      <c r="H2982" s="25" t="n"/>
      <c r="I2982" s="15" t="n"/>
      <c r="J2982" s="26">
        <f>IF($A2982="","",LEN($C2982)-LEN(SUBSTITUTE($C2982,",",""))+1)</f>
        <v/>
      </c>
      <c r="K2982" s="26">
        <f>IF($A2982="","",SUMPRODUCT(--ISNUMBER(SEARCH('Category Dictionary'!$D$5:$D$135&amp;"",$C2982)),--('Category Dictionary'!$D$5:$D$135&lt;&gt;"")))</f>
        <v/>
      </c>
      <c r="L2982" s="27">
        <f>IF($A2982="","",TRIM(IF(ISERROR(FIND(",",$C2982)),$C2982,LEFT($C2982,FIND(",",$C2982)-1))))</f>
        <v/>
      </c>
      <c r="M2982" s="28">
        <f>IF($H2982="","",DATE(YEAR($H2982),MONTH($H2982),1))</f>
        <v/>
      </c>
      <c r="N2982" s="26">
        <f>IF($H2982="","",TODAY()-$H2982)</f>
        <v/>
      </c>
      <c r="O2982" s="15" t="n"/>
      <c r="P2982" s="26">
        <f>IF($A2982="","",COUNTIFS('Audit Versions'!$A$6:$A$605,$A2982,'Audit Versions'!$L$6:$L$605,"Active"))</f>
        <v/>
      </c>
      <c r="Q2982" s="15" t="n"/>
      <c r="R2982" s="26">
        <f>IF(OR($A2982="",$P2982=0),"",MOD(N($Q2982),$P2982)+1)</f>
        <v/>
      </c>
      <c r="S2982" s="15" t="n"/>
      <c r="T2982" s="25" t="n"/>
      <c r="U2982" s="26">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Builder'!$B$12="",N($S2982)&lt;='Assignment Builder'!$B$12)))</f>
        <v/>
      </c>
      <c r="V2982" s="23" t="n"/>
    </row>
    <row r="2983">
      <c r="A2983" s="23" t="n"/>
      <c r="B2983" s="23" t="n"/>
      <c r="C2983" s="24" t="n"/>
      <c r="D2983" s="15" t="n"/>
      <c r="E2983" s="23" t="n"/>
      <c r="F2983" s="15" t="n"/>
      <c r="G2983" s="23" t="n"/>
      <c r="H2983" s="25" t="n"/>
      <c r="I2983" s="15" t="n"/>
      <c r="J2983" s="26">
        <f>IF($A2983="","",LEN($C2983)-LEN(SUBSTITUTE($C2983,",",""))+1)</f>
        <v/>
      </c>
      <c r="K2983" s="26">
        <f>IF($A2983="","",SUMPRODUCT(--ISNUMBER(SEARCH('Category Dictionary'!$D$5:$D$135&amp;"",$C2983)),--('Category Dictionary'!$D$5:$D$135&lt;&gt;"")))</f>
        <v/>
      </c>
      <c r="L2983" s="27">
        <f>IF($A2983="","",TRIM(IF(ISERROR(FIND(",",$C2983)),$C2983,LEFT($C2983,FIND(",",$C2983)-1))))</f>
        <v/>
      </c>
      <c r="M2983" s="28">
        <f>IF($H2983="","",DATE(YEAR($H2983),MONTH($H2983),1))</f>
        <v/>
      </c>
      <c r="N2983" s="26">
        <f>IF($H2983="","",TODAY()-$H2983)</f>
        <v/>
      </c>
      <c r="O2983" s="15" t="n"/>
      <c r="P2983" s="26">
        <f>IF($A2983="","",COUNTIFS('Audit Versions'!$A$6:$A$605,$A2983,'Audit Versions'!$L$6:$L$605,"Active"))</f>
        <v/>
      </c>
      <c r="Q2983" s="15" t="n"/>
      <c r="R2983" s="26">
        <f>IF(OR($A2983="",$P2983=0),"",MOD(N($Q2983),$P2983)+1)</f>
        <v/>
      </c>
      <c r="S2983" s="15" t="n"/>
      <c r="T2983" s="25" t="n"/>
      <c r="U2983" s="26">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Builder'!$B$12="",N($S2983)&lt;='Assignment Builder'!$B$12)))</f>
        <v/>
      </c>
      <c r="V2983" s="23" t="n"/>
    </row>
    <row r="2984">
      <c r="A2984" s="23" t="n"/>
      <c r="B2984" s="23" t="n"/>
      <c r="C2984" s="24" t="n"/>
      <c r="D2984" s="15" t="n"/>
      <c r="E2984" s="23" t="n"/>
      <c r="F2984" s="15" t="n"/>
      <c r="G2984" s="23" t="n"/>
      <c r="H2984" s="25" t="n"/>
      <c r="I2984" s="15" t="n"/>
      <c r="J2984" s="26">
        <f>IF($A2984="","",LEN($C2984)-LEN(SUBSTITUTE($C2984,",",""))+1)</f>
        <v/>
      </c>
      <c r="K2984" s="26">
        <f>IF($A2984="","",SUMPRODUCT(--ISNUMBER(SEARCH('Category Dictionary'!$D$5:$D$135&amp;"",$C2984)),--('Category Dictionary'!$D$5:$D$135&lt;&gt;"")))</f>
        <v/>
      </c>
      <c r="L2984" s="27">
        <f>IF($A2984="","",TRIM(IF(ISERROR(FIND(",",$C2984)),$C2984,LEFT($C2984,FIND(",",$C2984)-1))))</f>
        <v/>
      </c>
      <c r="M2984" s="28">
        <f>IF($H2984="","",DATE(YEAR($H2984),MONTH($H2984),1))</f>
        <v/>
      </c>
      <c r="N2984" s="26">
        <f>IF($H2984="","",TODAY()-$H2984)</f>
        <v/>
      </c>
      <c r="O2984" s="15" t="n"/>
      <c r="P2984" s="26">
        <f>IF($A2984="","",COUNTIFS('Audit Versions'!$A$6:$A$605,$A2984,'Audit Versions'!$L$6:$L$605,"Active"))</f>
        <v/>
      </c>
      <c r="Q2984" s="15" t="n"/>
      <c r="R2984" s="26">
        <f>IF(OR($A2984="",$P2984=0),"",MOD(N($Q2984),$P2984)+1)</f>
        <v/>
      </c>
      <c r="S2984" s="15" t="n"/>
      <c r="T2984" s="25" t="n"/>
      <c r="U2984" s="26">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Builder'!$B$12="",N($S2984)&lt;='Assignment Builder'!$B$12)))</f>
        <v/>
      </c>
      <c r="V2984" s="23" t="n"/>
    </row>
    <row r="2985">
      <c r="A2985" s="23" t="n"/>
      <c r="B2985" s="23" t="n"/>
      <c r="C2985" s="24" t="n"/>
      <c r="D2985" s="15" t="n"/>
      <c r="E2985" s="23" t="n"/>
      <c r="F2985" s="15" t="n"/>
      <c r="G2985" s="23" t="n"/>
      <c r="H2985" s="25" t="n"/>
      <c r="I2985" s="15" t="n"/>
      <c r="J2985" s="26">
        <f>IF($A2985="","",LEN($C2985)-LEN(SUBSTITUTE($C2985,",",""))+1)</f>
        <v/>
      </c>
      <c r="K2985" s="26">
        <f>IF($A2985="","",SUMPRODUCT(--ISNUMBER(SEARCH('Category Dictionary'!$D$5:$D$135&amp;"",$C2985)),--('Category Dictionary'!$D$5:$D$135&lt;&gt;"")))</f>
        <v/>
      </c>
      <c r="L2985" s="27">
        <f>IF($A2985="","",TRIM(IF(ISERROR(FIND(",",$C2985)),$C2985,LEFT($C2985,FIND(",",$C2985)-1))))</f>
        <v/>
      </c>
      <c r="M2985" s="28">
        <f>IF($H2985="","",DATE(YEAR($H2985),MONTH($H2985),1))</f>
        <v/>
      </c>
      <c r="N2985" s="26">
        <f>IF($H2985="","",TODAY()-$H2985)</f>
        <v/>
      </c>
      <c r="O2985" s="15" t="n"/>
      <c r="P2985" s="26">
        <f>IF($A2985="","",COUNTIFS('Audit Versions'!$A$6:$A$605,$A2985,'Audit Versions'!$L$6:$L$605,"Active"))</f>
        <v/>
      </c>
      <c r="Q2985" s="15" t="n"/>
      <c r="R2985" s="26">
        <f>IF(OR($A2985="",$P2985=0),"",MOD(N($Q2985),$P2985)+1)</f>
        <v/>
      </c>
      <c r="S2985" s="15" t="n"/>
      <c r="T2985" s="25" t="n"/>
      <c r="U2985" s="26">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Builder'!$B$12="",N($S2985)&lt;='Assignment Builder'!$B$12)))</f>
        <v/>
      </c>
      <c r="V2985" s="23" t="n"/>
    </row>
    <row r="2986">
      <c r="A2986" s="23" t="n"/>
      <c r="B2986" s="23" t="n"/>
      <c r="C2986" s="24" t="n"/>
      <c r="D2986" s="15" t="n"/>
      <c r="E2986" s="23" t="n"/>
      <c r="F2986" s="15" t="n"/>
      <c r="G2986" s="23" t="n"/>
      <c r="H2986" s="25" t="n"/>
      <c r="I2986" s="15" t="n"/>
      <c r="J2986" s="26">
        <f>IF($A2986="","",LEN($C2986)-LEN(SUBSTITUTE($C2986,",",""))+1)</f>
        <v/>
      </c>
      <c r="K2986" s="26">
        <f>IF($A2986="","",SUMPRODUCT(--ISNUMBER(SEARCH('Category Dictionary'!$D$5:$D$135&amp;"",$C2986)),--('Category Dictionary'!$D$5:$D$135&lt;&gt;"")))</f>
        <v/>
      </c>
      <c r="L2986" s="27">
        <f>IF($A2986="","",TRIM(IF(ISERROR(FIND(",",$C2986)),$C2986,LEFT($C2986,FIND(",",$C2986)-1))))</f>
        <v/>
      </c>
      <c r="M2986" s="28">
        <f>IF($H2986="","",DATE(YEAR($H2986),MONTH($H2986),1))</f>
        <v/>
      </c>
      <c r="N2986" s="26">
        <f>IF($H2986="","",TODAY()-$H2986)</f>
        <v/>
      </c>
      <c r="O2986" s="15" t="n"/>
      <c r="P2986" s="26">
        <f>IF($A2986="","",COUNTIFS('Audit Versions'!$A$6:$A$605,$A2986,'Audit Versions'!$L$6:$L$605,"Active"))</f>
        <v/>
      </c>
      <c r="Q2986" s="15" t="n"/>
      <c r="R2986" s="26">
        <f>IF(OR($A2986="",$P2986=0),"",MOD(N($Q2986),$P2986)+1)</f>
        <v/>
      </c>
      <c r="S2986" s="15" t="n"/>
      <c r="T2986" s="25" t="n"/>
      <c r="U2986" s="26">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Builder'!$B$12="",N($S2986)&lt;='Assignment Builder'!$B$12)))</f>
        <v/>
      </c>
      <c r="V2986" s="23" t="n"/>
    </row>
    <row r="2987">
      <c r="A2987" s="23" t="n"/>
      <c r="B2987" s="23" t="n"/>
      <c r="C2987" s="24" t="n"/>
      <c r="D2987" s="15" t="n"/>
      <c r="E2987" s="23" t="n"/>
      <c r="F2987" s="15" t="n"/>
      <c r="G2987" s="23" t="n"/>
      <c r="H2987" s="25" t="n"/>
      <c r="I2987" s="15" t="n"/>
      <c r="J2987" s="26">
        <f>IF($A2987="","",LEN($C2987)-LEN(SUBSTITUTE($C2987,",",""))+1)</f>
        <v/>
      </c>
      <c r="K2987" s="26">
        <f>IF($A2987="","",SUMPRODUCT(--ISNUMBER(SEARCH('Category Dictionary'!$D$5:$D$135&amp;"",$C2987)),--('Category Dictionary'!$D$5:$D$135&lt;&gt;"")))</f>
        <v/>
      </c>
      <c r="L2987" s="27">
        <f>IF($A2987="","",TRIM(IF(ISERROR(FIND(",",$C2987)),$C2987,LEFT($C2987,FIND(",",$C2987)-1))))</f>
        <v/>
      </c>
      <c r="M2987" s="28">
        <f>IF($H2987="","",DATE(YEAR($H2987),MONTH($H2987),1))</f>
        <v/>
      </c>
      <c r="N2987" s="26">
        <f>IF($H2987="","",TODAY()-$H2987)</f>
        <v/>
      </c>
      <c r="O2987" s="15" t="n"/>
      <c r="P2987" s="26">
        <f>IF($A2987="","",COUNTIFS('Audit Versions'!$A$6:$A$605,$A2987,'Audit Versions'!$L$6:$L$605,"Active"))</f>
        <v/>
      </c>
      <c r="Q2987" s="15" t="n"/>
      <c r="R2987" s="26">
        <f>IF(OR($A2987="",$P2987=0),"",MOD(N($Q2987),$P2987)+1)</f>
        <v/>
      </c>
      <c r="S2987" s="15" t="n"/>
      <c r="T2987" s="25" t="n"/>
      <c r="U2987" s="26">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Builder'!$B$12="",N($S2987)&lt;='Assignment Builder'!$B$12)))</f>
        <v/>
      </c>
      <c r="V2987" s="23" t="n"/>
    </row>
    <row r="2988">
      <c r="A2988" s="23" t="n"/>
      <c r="B2988" s="23" t="n"/>
      <c r="C2988" s="24" t="n"/>
      <c r="D2988" s="15" t="n"/>
      <c r="E2988" s="23" t="n"/>
      <c r="F2988" s="15" t="n"/>
      <c r="G2988" s="23" t="n"/>
      <c r="H2988" s="25" t="n"/>
      <c r="I2988" s="15" t="n"/>
      <c r="J2988" s="26">
        <f>IF($A2988="","",LEN($C2988)-LEN(SUBSTITUTE($C2988,",",""))+1)</f>
        <v/>
      </c>
      <c r="K2988" s="26">
        <f>IF($A2988="","",SUMPRODUCT(--ISNUMBER(SEARCH('Category Dictionary'!$D$5:$D$135&amp;"",$C2988)),--('Category Dictionary'!$D$5:$D$135&lt;&gt;"")))</f>
        <v/>
      </c>
      <c r="L2988" s="27">
        <f>IF($A2988="","",TRIM(IF(ISERROR(FIND(",",$C2988)),$C2988,LEFT($C2988,FIND(",",$C2988)-1))))</f>
        <v/>
      </c>
      <c r="M2988" s="28">
        <f>IF($H2988="","",DATE(YEAR($H2988),MONTH($H2988),1))</f>
        <v/>
      </c>
      <c r="N2988" s="26">
        <f>IF($H2988="","",TODAY()-$H2988)</f>
        <v/>
      </c>
      <c r="O2988" s="15" t="n"/>
      <c r="P2988" s="26">
        <f>IF($A2988="","",COUNTIFS('Audit Versions'!$A$6:$A$605,$A2988,'Audit Versions'!$L$6:$L$605,"Active"))</f>
        <v/>
      </c>
      <c r="Q2988" s="15" t="n"/>
      <c r="R2988" s="26">
        <f>IF(OR($A2988="",$P2988=0),"",MOD(N($Q2988),$P2988)+1)</f>
        <v/>
      </c>
      <c r="S2988" s="15" t="n"/>
      <c r="T2988" s="25" t="n"/>
      <c r="U2988" s="26">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Builder'!$B$12="",N($S2988)&lt;='Assignment Builder'!$B$12)))</f>
        <v/>
      </c>
      <c r="V2988" s="23" t="n"/>
    </row>
    <row r="2989">
      <c r="A2989" s="23" t="n"/>
      <c r="B2989" s="23" t="n"/>
      <c r="C2989" s="24" t="n"/>
      <c r="D2989" s="15" t="n"/>
      <c r="E2989" s="23" t="n"/>
      <c r="F2989" s="15" t="n"/>
      <c r="G2989" s="23" t="n"/>
      <c r="H2989" s="25" t="n"/>
      <c r="I2989" s="15" t="n"/>
      <c r="J2989" s="26">
        <f>IF($A2989="","",LEN($C2989)-LEN(SUBSTITUTE($C2989,",",""))+1)</f>
        <v/>
      </c>
      <c r="K2989" s="26">
        <f>IF($A2989="","",SUMPRODUCT(--ISNUMBER(SEARCH('Category Dictionary'!$D$5:$D$135&amp;"",$C2989)),--('Category Dictionary'!$D$5:$D$135&lt;&gt;"")))</f>
        <v/>
      </c>
      <c r="L2989" s="27">
        <f>IF($A2989="","",TRIM(IF(ISERROR(FIND(",",$C2989)),$C2989,LEFT($C2989,FIND(",",$C2989)-1))))</f>
        <v/>
      </c>
      <c r="M2989" s="28">
        <f>IF($H2989="","",DATE(YEAR($H2989),MONTH($H2989),1))</f>
        <v/>
      </c>
      <c r="N2989" s="26">
        <f>IF($H2989="","",TODAY()-$H2989)</f>
        <v/>
      </c>
      <c r="O2989" s="15" t="n"/>
      <c r="P2989" s="26">
        <f>IF($A2989="","",COUNTIFS('Audit Versions'!$A$6:$A$605,$A2989,'Audit Versions'!$L$6:$L$605,"Active"))</f>
        <v/>
      </c>
      <c r="Q2989" s="15" t="n"/>
      <c r="R2989" s="26">
        <f>IF(OR($A2989="",$P2989=0),"",MOD(N($Q2989),$P2989)+1)</f>
        <v/>
      </c>
      <c r="S2989" s="15" t="n"/>
      <c r="T2989" s="25" t="n"/>
      <c r="U2989" s="26">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Builder'!$B$12="",N($S2989)&lt;='Assignment Builder'!$B$12)))</f>
        <v/>
      </c>
      <c r="V2989" s="23" t="n"/>
    </row>
    <row r="2990">
      <c r="A2990" s="23" t="n"/>
      <c r="B2990" s="23" t="n"/>
      <c r="C2990" s="24" t="n"/>
      <c r="D2990" s="15" t="n"/>
      <c r="E2990" s="23" t="n"/>
      <c r="F2990" s="15" t="n"/>
      <c r="G2990" s="23" t="n"/>
      <c r="H2990" s="25" t="n"/>
      <c r="I2990" s="15" t="n"/>
      <c r="J2990" s="26">
        <f>IF($A2990="","",LEN($C2990)-LEN(SUBSTITUTE($C2990,",",""))+1)</f>
        <v/>
      </c>
      <c r="K2990" s="26">
        <f>IF($A2990="","",SUMPRODUCT(--ISNUMBER(SEARCH('Category Dictionary'!$D$5:$D$135&amp;"",$C2990)),--('Category Dictionary'!$D$5:$D$135&lt;&gt;"")))</f>
        <v/>
      </c>
      <c r="L2990" s="27">
        <f>IF($A2990="","",TRIM(IF(ISERROR(FIND(",",$C2990)),$C2990,LEFT($C2990,FIND(",",$C2990)-1))))</f>
        <v/>
      </c>
      <c r="M2990" s="28">
        <f>IF($H2990="","",DATE(YEAR($H2990),MONTH($H2990),1))</f>
        <v/>
      </c>
      <c r="N2990" s="26">
        <f>IF($H2990="","",TODAY()-$H2990)</f>
        <v/>
      </c>
      <c r="O2990" s="15" t="n"/>
      <c r="P2990" s="26">
        <f>IF($A2990="","",COUNTIFS('Audit Versions'!$A$6:$A$605,$A2990,'Audit Versions'!$L$6:$L$605,"Active"))</f>
        <v/>
      </c>
      <c r="Q2990" s="15" t="n"/>
      <c r="R2990" s="26">
        <f>IF(OR($A2990="",$P2990=0),"",MOD(N($Q2990),$P2990)+1)</f>
        <v/>
      </c>
      <c r="S2990" s="15" t="n"/>
      <c r="T2990" s="25" t="n"/>
      <c r="U2990" s="26">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Builder'!$B$12="",N($S2990)&lt;='Assignment Builder'!$B$12)))</f>
        <v/>
      </c>
      <c r="V2990" s="23" t="n"/>
    </row>
    <row r="2991">
      <c r="A2991" s="23" t="n"/>
      <c r="B2991" s="23" t="n"/>
      <c r="C2991" s="24" t="n"/>
      <c r="D2991" s="15" t="n"/>
      <c r="E2991" s="23" t="n"/>
      <c r="F2991" s="15" t="n"/>
      <c r="G2991" s="23" t="n"/>
      <c r="H2991" s="25" t="n"/>
      <c r="I2991" s="15" t="n"/>
      <c r="J2991" s="26">
        <f>IF($A2991="","",LEN($C2991)-LEN(SUBSTITUTE($C2991,",",""))+1)</f>
        <v/>
      </c>
      <c r="K2991" s="26">
        <f>IF($A2991="","",SUMPRODUCT(--ISNUMBER(SEARCH('Category Dictionary'!$D$5:$D$135&amp;"",$C2991)),--('Category Dictionary'!$D$5:$D$135&lt;&gt;"")))</f>
        <v/>
      </c>
      <c r="L2991" s="27">
        <f>IF($A2991="","",TRIM(IF(ISERROR(FIND(",",$C2991)),$C2991,LEFT($C2991,FIND(",",$C2991)-1))))</f>
        <v/>
      </c>
      <c r="M2991" s="28">
        <f>IF($H2991="","",DATE(YEAR($H2991),MONTH($H2991),1))</f>
        <v/>
      </c>
      <c r="N2991" s="26">
        <f>IF($H2991="","",TODAY()-$H2991)</f>
        <v/>
      </c>
      <c r="O2991" s="15" t="n"/>
      <c r="P2991" s="26">
        <f>IF($A2991="","",COUNTIFS('Audit Versions'!$A$6:$A$605,$A2991,'Audit Versions'!$L$6:$L$605,"Active"))</f>
        <v/>
      </c>
      <c r="Q2991" s="15" t="n"/>
      <c r="R2991" s="26">
        <f>IF(OR($A2991="",$P2991=0),"",MOD(N($Q2991),$P2991)+1)</f>
        <v/>
      </c>
      <c r="S2991" s="15" t="n"/>
      <c r="T2991" s="25" t="n"/>
      <c r="U2991" s="26">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Builder'!$B$12="",N($S2991)&lt;='Assignment Builder'!$B$12)))</f>
        <v/>
      </c>
      <c r="V2991" s="23" t="n"/>
    </row>
    <row r="2992">
      <c r="A2992" s="23" t="n"/>
      <c r="B2992" s="23" t="n"/>
      <c r="C2992" s="24" t="n"/>
      <c r="D2992" s="15" t="n"/>
      <c r="E2992" s="23" t="n"/>
      <c r="F2992" s="15" t="n"/>
      <c r="G2992" s="23" t="n"/>
      <c r="H2992" s="25" t="n"/>
      <c r="I2992" s="15" t="n"/>
      <c r="J2992" s="26">
        <f>IF($A2992="","",LEN($C2992)-LEN(SUBSTITUTE($C2992,",",""))+1)</f>
        <v/>
      </c>
      <c r="K2992" s="26">
        <f>IF($A2992="","",SUMPRODUCT(--ISNUMBER(SEARCH('Category Dictionary'!$D$5:$D$135&amp;"",$C2992)),--('Category Dictionary'!$D$5:$D$135&lt;&gt;"")))</f>
        <v/>
      </c>
      <c r="L2992" s="27">
        <f>IF($A2992="","",TRIM(IF(ISERROR(FIND(",",$C2992)),$C2992,LEFT($C2992,FIND(",",$C2992)-1))))</f>
        <v/>
      </c>
      <c r="M2992" s="28">
        <f>IF($H2992="","",DATE(YEAR($H2992),MONTH($H2992),1))</f>
        <v/>
      </c>
      <c r="N2992" s="26">
        <f>IF($H2992="","",TODAY()-$H2992)</f>
        <v/>
      </c>
      <c r="O2992" s="15" t="n"/>
      <c r="P2992" s="26">
        <f>IF($A2992="","",COUNTIFS('Audit Versions'!$A$6:$A$605,$A2992,'Audit Versions'!$L$6:$L$605,"Active"))</f>
        <v/>
      </c>
      <c r="Q2992" s="15" t="n"/>
      <c r="R2992" s="26">
        <f>IF(OR($A2992="",$P2992=0),"",MOD(N($Q2992),$P2992)+1)</f>
        <v/>
      </c>
      <c r="S2992" s="15" t="n"/>
      <c r="T2992" s="25" t="n"/>
      <c r="U2992" s="26">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Builder'!$B$12="",N($S2992)&lt;='Assignment Builder'!$B$12)))</f>
        <v/>
      </c>
      <c r="V2992" s="23" t="n"/>
    </row>
    <row r="2993">
      <c r="A2993" s="23" t="n"/>
      <c r="B2993" s="23" t="n"/>
      <c r="C2993" s="24" t="n"/>
      <c r="D2993" s="15" t="n"/>
      <c r="E2993" s="23" t="n"/>
      <c r="F2993" s="15" t="n"/>
      <c r="G2993" s="23" t="n"/>
      <c r="H2993" s="25" t="n"/>
      <c r="I2993" s="15" t="n"/>
      <c r="J2993" s="26">
        <f>IF($A2993="","",LEN($C2993)-LEN(SUBSTITUTE($C2993,",",""))+1)</f>
        <v/>
      </c>
      <c r="K2993" s="26">
        <f>IF($A2993="","",SUMPRODUCT(--ISNUMBER(SEARCH('Category Dictionary'!$D$5:$D$135&amp;"",$C2993)),--('Category Dictionary'!$D$5:$D$135&lt;&gt;"")))</f>
        <v/>
      </c>
      <c r="L2993" s="27">
        <f>IF($A2993="","",TRIM(IF(ISERROR(FIND(",",$C2993)),$C2993,LEFT($C2993,FIND(",",$C2993)-1))))</f>
        <v/>
      </c>
      <c r="M2993" s="28">
        <f>IF($H2993="","",DATE(YEAR($H2993),MONTH($H2993),1))</f>
        <v/>
      </c>
      <c r="N2993" s="26">
        <f>IF($H2993="","",TODAY()-$H2993)</f>
        <v/>
      </c>
      <c r="O2993" s="15" t="n"/>
      <c r="P2993" s="26">
        <f>IF($A2993="","",COUNTIFS('Audit Versions'!$A$6:$A$605,$A2993,'Audit Versions'!$L$6:$L$605,"Active"))</f>
        <v/>
      </c>
      <c r="Q2993" s="15" t="n"/>
      <c r="R2993" s="26">
        <f>IF(OR($A2993="",$P2993=0),"",MOD(N($Q2993),$P2993)+1)</f>
        <v/>
      </c>
      <c r="S2993" s="15" t="n"/>
      <c r="T2993" s="25" t="n"/>
      <c r="U2993" s="26">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Builder'!$B$12="",N($S2993)&lt;='Assignment Builder'!$B$12)))</f>
        <v/>
      </c>
      <c r="V2993" s="23" t="n"/>
    </row>
    <row r="2994">
      <c r="A2994" s="23" t="n"/>
      <c r="B2994" s="23" t="n"/>
      <c r="C2994" s="24" t="n"/>
      <c r="D2994" s="15" t="n"/>
      <c r="E2994" s="23" t="n"/>
      <c r="F2994" s="15" t="n"/>
      <c r="G2994" s="23" t="n"/>
      <c r="H2994" s="25" t="n"/>
      <c r="I2994" s="15" t="n"/>
      <c r="J2994" s="26">
        <f>IF($A2994="","",LEN($C2994)-LEN(SUBSTITUTE($C2994,",",""))+1)</f>
        <v/>
      </c>
      <c r="K2994" s="26">
        <f>IF($A2994="","",SUMPRODUCT(--ISNUMBER(SEARCH('Category Dictionary'!$D$5:$D$135&amp;"",$C2994)),--('Category Dictionary'!$D$5:$D$135&lt;&gt;"")))</f>
        <v/>
      </c>
      <c r="L2994" s="27">
        <f>IF($A2994="","",TRIM(IF(ISERROR(FIND(",",$C2994)),$C2994,LEFT($C2994,FIND(",",$C2994)-1))))</f>
        <v/>
      </c>
      <c r="M2994" s="28">
        <f>IF($H2994="","",DATE(YEAR($H2994),MONTH($H2994),1))</f>
        <v/>
      </c>
      <c r="N2994" s="26">
        <f>IF($H2994="","",TODAY()-$H2994)</f>
        <v/>
      </c>
      <c r="O2994" s="15" t="n"/>
      <c r="P2994" s="26">
        <f>IF($A2994="","",COUNTIFS('Audit Versions'!$A$6:$A$605,$A2994,'Audit Versions'!$L$6:$L$605,"Active"))</f>
        <v/>
      </c>
      <c r="Q2994" s="15" t="n"/>
      <c r="R2994" s="26">
        <f>IF(OR($A2994="",$P2994=0),"",MOD(N($Q2994),$P2994)+1)</f>
        <v/>
      </c>
      <c r="S2994" s="15" t="n"/>
      <c r="T2994" s="25" t="n"/>
      <c r="U2994" s="26">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Builder'!$B$12="",N($S2994)&lt;='Assignment Builder'!$B$12)))</f>
        <v/>
      </c>
      <c r="V2994" s="23" t="n"/>
    </row>
    <row r="2995">
      <c r="A2995" s="23" t="n"/>
      <c r="B2995" s="23" t="n"/>
      <c r="C2995" s="24" t="n"/>
      <c r="D2995" s="15" t="n"/>
      <c r="E2995" s="23" t="n"/>
      <c r="F2995" s="15" t="n"/>
      <c r="G2995" s="23" t="n"/>
      <c r="H2995" s="25" t="n"/>
      <c r="I2995" s="15" t="n"/>
      <c r="J2995" s="26">
        <f>IF($A2995="","",LEN($C2995)-LEN(SUBSTITUTE($C2995,",",""))+1)</f>
        <v/>
      </c>
      <c r="K2995" s="26">
        <f>IF($A2995="","",SUMPRODUCT(--ISNUMBER(SEARCH('Category Dictionary'!$D$5:$D$135&amp;"",$C2995)),--('Category Dictionary'!$D$5:$D$135&lt;&gt;"")))</f>
        <v/>
      </c>
      <c r="L2995" s="27">
        <f>IF($A2995="","",TRIM(IF(ISERROR(FIND(",",$C2995)),$C2995,LEFT($C2995,FIND(",",$C2995)-1))))</f>
        <v/>
      </c>
      <c r="M2995" s="28">
        <f>IF($H2995="","",DATE(YEAR($H2995),MONTH($H2995),1))</f>
        <v/>
      </c>
      <c r="N2995" s="26">
        <f>IF($H2995="","",TODAY()-$H2995)</f>
        <v/>
      </c>
      <c r="O2995" s="15" t="n"/>
      <c r="P2995" s="26">
        <f>IF($A2995="","",COUNTIFS('Audit Versions'!$A$6:$A$605,$A2995,'Audit Versions'!$L$6:$L$605,"Active"))</f>
        <v/>
      </c>
      <c r="Q2995" s="15" t="n"/>
      <c r="R2995" s="26">
        <f>IF(OR($A2995="",$P2995=0),"",MOD(N($Q2995),$P2995)+1)</f>
        <v/>
      </c>
      <c r="S2995" s="15" t="n"/>
      <c r="T2995" s="25" t="n"/>
      <c r="U2995" s="26">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Builder'!$B$12="",N($S2995)&lt;='Assignment Builder'!$B$12)))</f>
        <v/>
      </c>
      <c r="V2995" s="23" t="n"/>
    </row>
    <row r="2996">
      <c r="A2996" s="23" t="n"/>
      <c r="B2996" s="23" t="n"/>
      <c r="C2996" s="24" t="n"/>
      <c r="D2996" s="15" t="n"/>
      <c r="E2996" s="23" t="n"/>
      <c r="F2996" s="15" t="n"/>
      <c r="G2996" s="23" t="n"/>
      <c r="H2996" s="25" t="n"/>
      <c r="I2996" s="15" t="n"/>
      <c r="J2996" s="26">
        <f>IF($A2996="","",LEN($C2996)-LEN(SUBSTITUTE($C2996,",",""))+1)</f>
        <v/>
      </c>
      <c r="K2996" s="26">
        <f>IF($A2996="","",SUMPRODUCT(--ISNUMBER(SEARCH('Category Dictionary'!$D$5:$D$135&amp;"",$C2996)),--('Category Dictionary'!$D$5:$D$135&lt;&gt;"")))</f>
        <v/>
      </c>
      <c r="L2996" s="27">
        <f>IF($A2996="","",TRIM(IF(ISERROR(FIND(",",$C2996)),$C2996,LEFT($C2996,FIND(",",$C2996)-1))))</f>
        <v/>
      </c>
      <c r="M2996" s="28">
        <f>IF($H2996="","",DATE(YEAR($H2996),MONTH($H2996),1))</f>
        <v/>
      </c>
      <c r="N2996" s="26">
        <f>IF($H2996="","",TODAY()-$H2996)</f>
        <v/>
      </c>
      <c r="O2996" s="15" t="n"/>
      <c r="P2996" s="26">
        <f>IF($A2996="","",COUNTIFS('Audit Versions'!$A$6:$A$605,$A2996,'Audit Versions'!$L$6:$L$605,"Active"))</f>
        <v/>
      </c>
      <c r="Q2996" s="15" t="n"/>
      <c r="R2996" s="26">
        <f>IF(OR($A2996="",$P2996=0),"",MOD(N($Q2996),$P2996)+1)</f>
        <v/>
      </c>
      <c r="S2996" s="15" t="n"/>
      <c r="T2996" s="25" t="n"/>
      <c r="U2996" s="26">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Builder'!$B$12="",N($S2996)&lt;='Assignment Builder'!$B$12)))</f>
        <v/>
      </c>
      <c r="V2996" s="23" t="n"/>
    </row>
    <row r="2997">
      <c r="A2997" s="23" t="n"/>
      <c r="B2997" s="23" t="n"/>
      <c r="C2997" s="24" t="n"/>
      <c r="D2997" s="15" t="n"/>
      <c r="E2997" s="23" t="n"/>
      <c r="F2997" s="15" t="n"/>
      <c r="G2997" s="23" t="n"/>
      <c r="H2997" s="25" t="n"/>
      <c r="I2997" s="15" t="n"/>
      <c r="J2997" s="26">
        <f>IF($A2997="","",LEN($C2997)-LEN(SUBSTITUTE($C2997,",",""))+1)</f>
        <v/>
      </c>
      <c r="K2997" s="26">
        <f>IF($A2997="","",SUMPRODUCT(--ISNUMBER(SEARCH('Category Dictionary'!$D$5:$D$135&amp;"",$C2997)),--('Category Dictionary'!$D$5:$D$135&lt;&gt;"")))</f>
        <v/>
      </c>
      <c r="L2997" s="27">
        <f>IF($A2997="","",TRIM(IF(ISERROR(FIND(",",$C2997)),$C2997,LEFT($C2997,FIND(",",$C2997)-1))))</f>
        <v/>
      </c>
      <c r="M2997" s="28">
        <f>IF($H2997="","",DATE(YEAR($H2997),MONTH($H2997),1))</f>
        <v/>
      </c>
      <c r="N2997" s="26">
        <f>IF($H2997="","",TODAY()-$H2997)</f>
        <v/>
      </c>
      <c r="O2997" s="15" t="n"/>
      <c r="P2997" s="26">
        <f>IF($A2997="","",COUNTIFS('Audit Versions'!$A$6:$A$605,$A2997,'Audit Versions'!$L$6:$L$605,"Active"))</f>
        <v/>
      </c>
      <c r="Q2997" s="15" t="n"/>
      <c r="R2997" s="26">
        <f>IF(OR($A2997="",$P2997=0),"",MOD(N($Q2997),$P2997)+1)</f>
        <v/>
      </c>
      <c r="S2997" s="15" t="n"/>
      <c r="T2997" s="25" t="n"/>
      <c r="U2997" s="26">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Builder'!$B$12="",N($S2997)&lt;='Assignment Builder'!$B$12)))</f>
        <v/>
      </c>
      <c r="V2997" s="23" t="n"/>
    </row>
    <row r="2998">
      <c r="A2998" s="23" t="n"/>
      <c r="B2998" s="23" t="n"/>
      <c r="C2998" s="24" t="n"/>
      <c r="D2998" s="15" t="n"/>
      <c r="E2998" s="23" t="n"/>
      <c r="F2998" s="15" t="n"/>
      <c r="G2998" s="23" t="n"/>
      <c r="H2998" s="25" t="n"/>
      <c r="I2998" s="15" t="n"/>
      <c r="J2998" s="26">
        <f>IF($A2998="","",LEN($C2998)-LEN(SUBSTITUTE($C2998,",",""))+1)</f>
        <v/>
      </c>
      <c r="K2998" s="26">
        <f>IF($A2998="","",SUMPRODUCT(--ISNUMBER(SEARCH('Category Dictionary'!$D$5:$D$135&amp;"",$C2998)),--('Category Dictionary'!$D$5:$D$135&lt;&gt;"")))</f>
        <v/>
      </c>
      <c r="L2998" s="27">
        <f>IF($A2998="","",TRIM(IF(ISERROR(FIND(",",$C2998)),$C2998,LEFT($C2998,FIND(",",$C2998)-1))))</f>
        <v/>
      </c>
      <c r="M2998" s="28">
        <f>IF($H2998="","",DATE(YEAR($H2998),MONTH($H2998),1))</f>
        <v/>
      </c>
      <c r="N2998" s="26">
        <f>IF($H2998="","",TODAY()-$H2998)</f>
        <v/>
      </c>
      <c r="O2998" s="15" t="n"/>
      <c r="P2998" s="26">
        <f>IF($A2998="","",COUNTIFS('Audit Versions'!$A$6:$A$605,$A2998,'Audit Versions'!$L$6:$L$605,"Active"))</f>
        <v/>
      </c>
      <c r="Q2998" s="15" t="n"/>
      <c r="R2998" s="26">
        <f>IF(OR($A2998="",$P2998=0),"",MOD(N($Q2998),$P2998)+1)</f>
        <v/>
      </c>
      <c r="S2998" s="15" t="n"/>
      <c r="T2998" s="25" t="n"/>
      <c r="U2998" s="26">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Builder'!$B$12="",N($S2998)&lt;='Assignment Builder'!$B$12)))</f>
        <v/>
      </c>
      <c r="V2998" s="23" t="n"/>
    </row>
    <row r="2999">
      <c r="A2999" s="23" t="n"/>
      <c r="B2999" s="23" t="n"/>
      <c r="C2999" s="24" t="n"/>
      <c r="D2999" s="15" t="n"/>
      <c r="E2999" s="23" t="n"/>
      <c r="F2999" s="15" t="n"/>
      <c r="G2999" s="23" t="n"/>
      <c r="H2999" s="25" t="n"/>
      <c r="I2999" s="15" t="n"/>
      <c r="J2999" s="26">
        <f>IF($A2999="","",LEN($C2999)-LEN(SUBSTITUTE($C2999,",",""))+1)</f>
        <v/>
      </c>
      <c r="K2999" s="26">
        <f>IF($A2999="","",SUMPRODUCT(--ISNUMBER(SEARCH('Category Dictionary'!$D$5:$D$135&amp;"",$C2999)),--('Category Dictionary'!$D$5:$D$135&lt;&gt;"")))</f>
        <v/>
      </c>
      <c r="L2999" s="27">
        <f>IF($A2999="","",TRIM(IF(ISERROR(FIND(",",$C2999)),$C2999,LEFT($C2999,FIND(",",$C2999)-1))))</f>
        <v/>
      </c>
      <c r="M2999" s="28">
        <f>IF($H2999="","",DATE(YEAR($H2999),MONTH($H2999),1))</f>
        <v/>
      </c>
      <c r="N2999" s="26">
        <f>IF($H2999="","",TODAY()-$H2999)</f>
        <v/>
      </c>
      <c r="O2999" s="15" t="n"/>
      <c r="P2999" s="26">
        <f>IF($A2999="","",COUNTIFS('Audit Versions'!$A$6:$A$605,$A2999,'Audit Versions'!$L$6:$L$605,"Active"))</f>
        <v/>
      </c>
      <c r="Q2999" s="15" t="n"/>
      <c r="R2999" s="26">
        <f>IF(OR($A2999="",$P2999=0),"",MOD(N($Q2999),$P2999)+1)</f>
        <v/>
      </c>
      <c r="S2999" s="15" t="n"/>
      <c r="T2999" s="25" t="n"/>
      <c r="U2999" s="26">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Builder'!$B$12="",N($S2999)&lt;='Assignment Builder'!$B$12)))</f>
        <v/>
      </c>
      <c r="V2999" s="23" t="n"/>
    </row>
    <row r="3000">
      <c r="A3000" s="23" t="n"/>
      <c r="B3000" s="23" t="n"/>
      <c r="C3000" s="24" t="n"/>
      <c r="D3000" s="15" t="n"/>
      <c r="E3000" s="23" t="n"/>
      <c r="F3000" s="15" t="n"/>
      <c r="G3000" s="23" t="n"/>
      <c r="H3000" s="25" t="n"/>
      <c r="I3000" s="15" t="n"/>
      <c r="J3000" s="26">
        <f>IF($A3000="","",LEN($C3000)-LEN(SUBSTITUTE($C3000,",",""))+1)</f>
        <v/>
      </c>
      <c r="K3000" s="26">
        <f>IF($A3000="","",SUMPRODUCT(--ISNUMBER(SEARCH('Category Dictionary'!$D$5:$D$135&amp;"",$C3000)),--('Category Dictionary'!$D$5:$D$135&lt;&gt;"")))</f>
        <v/>
      </c>
      <c r="L3000" s="27">
        <f>IF($A3000="","",TRIM(IF(ISERROR(FIND(",",$C3000)),$C3000,LEFT($C3000,FIND(",",$C3000)-1))))</f>
        <v/>
      </c>
      <c r="M3000" s="28">
        <f>IF($H3000="","",DATE(YEAR($H3000),MONTH($H3000),1))</f>
        <v/>
      </c>
      <c r="N3000" s="26">
        <f>IF($H3000="","",TODAY()-$H3000)</f>
        <v/>
      </c>
      <c r="O3000" s="15" t="n"/>
      <c r="P3000" s="26">
        <f>IF($A3000="","",COUNTIFS('Audit Versions'!$A$6:$A$605,$A3000,'Audit Versions'!$L$6:$L$605,"Active"))</f>
        <v/>
      </c>
      <c r="Q3000" s="15" t="n"/>
      <c r="R3000" s="26">
        <f>IF(OR($A3000="",$P3000=0),"",MOD(N($Q3000),$P3000)+1)</f>
        <v/>
      </c>
      <c r="S3000" s="15" t="n"/>
      <c r="T3000" s="25" t="n"/>
      <c r="U3000" s="26">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Builder'!$B$12="",N($S3000)&lt;='Assignment Builder'!$B$12)))</f>
        <v/>
      </c>
      <c r="V3000" s="23" t="n"/>
    </row>
    <row r="3001">
      <c r="A3001" s="23" t="n"/>
      <c r="B3001" s="23" t="n"/>
      <c r="C3001" s="24" t="n"/>
      <c r="D3001" s="15" t="n"/>
      <c r="E3001" s="23" t="n"/>
      <c r="F3001" s="15" t="n"/>
      <c r="G3001" s="23" t="n"/>
      <c r="H3001" s="25" t="n"/>
      <c r="I3001" s="15" t="n"/>
      <c r="J3001" s="26">
        <f>IF($A3001="","",LEN($C3001)-LEN(SUBSTITUTE($C3001,",",""))+1)</f>
        <v/>
      </c>
      <c r="K3001" s="26">
        <f>IF($A3001="","",SUMPRODUCT(--ISNUMBER(SEARCH('Category Dictionary'!$D$5:$D$135&amp;"",$C3001)),--('Category Dictionary'!$D$5:$D$135&lt;&gt;"")))</f>
        <v/>
      </c>
      <c r="L3001" s="27">
        <f>IF($A3001="","",TRIM(IF(ISERROR(FIND(",",$C3001)),$C3001,LEFT($C3001,FIND(",",$C3001)-1))))</f>
        <v/>
      </c>
      <c r="M3001" s="28">
        <f>IF($H3001="","",DATE(YEAR($H3001),MONTH($H3001),1))</f>
        <v/>
      </c>
      <c r="N3001" s="26">
        <f>IF($H3001="","",TODAY()-$H3001)</f>
        <v/>
      </c>
      <c r="O3001" s="15" t="n"/>
      <c r="P3001" s="26">
        <f>IF($A3001="","",COUNTIFS('Audit Versions'!$A$6:$A$605,$A3001,'Audit Versions'!$L$6:$L$605,"Active"))</f>
        <v/>
      </c>
      <c r="Q3001" s="15" t="n"/>
      <c r="R3001" s="26">
        <f>IF(OR($A3001="",$P3001=0),"",MOD(N($Q3001),$P3001)+1)</f>
        <v/>
      </c>
      <c r="S3001" s="15" t="n"/>
      <c r="T3001" s="25" t="n"/>
      <c r="U3001" s="26">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Builder'!$B$12="",N($S3001)&lt;='Assignment Builder'!$B$12)))</f>
        <v/>
      </c>
      <c r="V3001" s="23" t="n"/>
    </row>
    <row r="3002">
      <c r="A3002" s="23" t="n"/>
      <c r="B3002" s="23" t="n"/>
      <c r="C3002" s="24" t="n"/>
      <c r="D3002" s="15" t="n"/>
      <c r="E3002" s="23" t="n"/>
      <c r="F3002" s="15" t="n"/>
      <c r="G3002" s="23" t="n"/>
      <c r="H3002" s="25" t="n"/>
      <c r="I3002" s="15" t="n"/>
      <c r="J3002" s="26">
        <f>IF($A3002="","",LEN($C3002)-LEN(SUBSTITUTE($C3002,",",""))+1)</f>
        <v/>
      </c>
      <c r="K3002" s="26">
        <f>IF($A3002="","",SUMPRODUCT(--ISNUMBER(SEARCH('Category Dictionary'!$D$5:$D$135&amp;"",$C3002)),--('Category Dictionary'!$D$5:$D$135&lt;&gt;"")))</f>
        <v/>
      </c>
      <c r="L3002" s="27">
        <f>IF($A3002="","",TRIM(IF(ISERROR(FIND(",",$C3002)),$C3002,LEFT($C3002,FIND(",",$C3002)-1))))</f>
        <v/>
      </c>
      <c r="M3002" s="28">
        <f>IF($H3002="","",DATE(YEAR($H3002),MONTH($H3002),1))</f>
        <v/>
      </c>
      <c r="N3002" s="26">
        <f>IF($H3002="","",TODAY()-$H3002)</f>
        <v/>
      </c>
      <c r="O3002" s="15" t="n"/>
      <c r="P3002" s="26">
        <f>IF($A3002="","",COUNTIFS('Audit Versions'!$A$6:$A$605,$A3002,'Audit Versions'!$L$6:$L$605,"Active"))</f>
        <v/>
      </c>
      <c r="Q3002" s="15" t="n"/>
      <c r="R3002" s="26">
        <f>IF(OR($A3002="",$P3002=0),"",MOD(N($Q3002),$P3002)+1)</f>
        <v/>
      </c>
      <c r="S3002" s="15" t="n"/>
      <c r="T3002" s="25" t="n"/>
      <c r="U3002" s="26">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Builder'!$B$12="",N($S3002)&lt;='Assignment Builder'!$B$12)))</f>
        <v/>
      </c>
      <c r="V3002" s="23" t="n"/>
    </row>
    <row r="3003">
      <c r="A3003" s="23" t="n"/>
      <c r="B3003" s="23" t="n"/>
      <c r="C3003" s="24" t="n"/>
      <c r="D3003" s="15" t="n"/>
      <c r="E3003" s="23" t="n"/>
      <c r="F3003" s="15" t="n"/>
      <c r="G3003" s="23" t="n"/>
      <c r="H3003" s="25" t="n"/>
      <c r="I3003" s="15" t="n"/>
      <c r="J3003" s="26">
        <f>IF($A3003="","",LEN($C3003)-LEN(SUBSTITUTE($C3003,",",""))+1)</f>
        <v/>
      </c>
      <c r="K3003" s="26">
        <f>IF($A3003="","",SUMPRODUCT(--ISNUMBER(SEARCH('Category Dictionary'!$D$5:$D$135&amp;"",$C3003)),--('Category Dictionary'!$D$5:$D$135&lt;&gt;"")))</f>
        <v/>
      </c>
      <c r="L3003" s="27">
        <f>IF($A3003="","",TRIM(IF(ISERROR(FIND(",",$C3003)),$C3003,LEFT($C3003,FIND(",",$C3003)-1))))</f>
        <v/>
      </c>
      <c r="M3003" s="28">
        <f>IF($H3003="","",DATE(YEAR($H3003),MONTH($H3003),1))</f>
        <v/>
      </c>
      <c r="N3003" s="26">
        <f>IF($H3003="","",TODAY()-$H3003)</f>
        <v/>
      </c>
      <c r="O3003" s="15" t="n"/>
      <c r="P3003" s="26">
        <f>IF($A3003="","",COUNTIFS('Audit Versions'!$A$6:$A$605,$A3003,'Audit Versions'!$L$6:$L$605,"Active"))</f>
        <v/>
      </c>
      <c r="Q3003" s="15" t="n"/>
      <c r="R3003" s="26">
        <f>IF(OR($A3003="",$P3003=0),"",MOD(N($Q3003),$P3003)+1)</f>
        <v/>
      </c>
      <c r="S3003" s="15" t="n"/>
      <c r="T3003" s="25" t="n"/>
      <c r="U3003" s="26">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Builder'!$B$12="",N($S3003)&lt;='Assignment Builder'!$B$12)))</f>
        <v/>
      </c>
      <c r="V3003" s="23" t="n"/>
    </row>
    <row r="3004">
      <c r="A3004" s="23" t="n"/>
      <c r="B3004" s="23" t="n"/>
      <c r="C3004" s="24" t="n"/>
      <c r="D3004" s="15" t="n"/>
      <c r="E3004" s="23" t="n"/>
      <c r="F3004" s="15" t="n"/>
      <c r="G3004" s="23" t="n"/>
      <c r="H3004" s="25" t="n"/>
      <c r="I3004" s="15" t="n"/>
      <c r="J3004" s="26">
        <f>IF($A3004="","",LEN($C3004)-LEN(SUBSTITUTE($C3004,",",""))+1)</f>
        <v/>
      </c>
      <c r="K3004" s="26">
        <f>IF($A3004="","",SUMPRODUCT(--ISNUMBER(SEARCH('Category Dictionary'!$D$5:$D$135&amp;"",$C3004)),--('Category Dictionary'!$D$5:$D$135&lt;&gt;"")))</f>
        <v/>
      </c>
      <c r="L3004" s="27">
        <f>IF($A3004="","",TRIM(IF(ISERROR(FIND(",",$C3004)),$C3004,LEFT($C3004,FIND(",",$C3004)-1))))</f>
        <v/>
      </c>
      <c r="M3004" s="28">
        <f>IF($H3004="","",DATE(YEAR($H3004),MONTH($H3004),1))</f>
        <v/>
      </c>
      <c r="N3004" s="26">
        <f>IF($H3004="","",TODAY()-$H3004)</f>
        <v/>
      </c>
      <c r="O3004" s="15" t="n"/>
      <c r="P3004" s="26">
        <f>IF($A3004="","",COUNTIFS('Audit Versions'!$A$6:$A$605,$A3004,'Audit Versions'!$L$6:$L$605,"Active"))</f>
        <v/>
      </c>
      <c r="Q3004" s="15" t="n"/>
      <c r="R3004" s="26">
        <f>IF(OR($A3004="",$P3004=0),"",MOD(N($Q3004),$P3004)+1)</f>
        <v/>
      </c>
      <c r="S3004" s="15" t="n"/>
      <c r="T3004" s="25" t="n"/>
      <c r="U3004" s="26">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Builder'!$B$12="",N($S3004)&lt;='Assignment Builder'!$B$12)))</f>
        <v/>
      </c>
      <c r="V3004" s="23" t="n"/>
    </row>
    <row r="3005">
      <c r="A3005" s="23" t="n"/>
      <c r="B3005" s="23" t="n"/>
      <c r="C3005" s="24" t="n"/>
      <c r="D3005" s="15" t="n"/>
      <c r="E3005" s="23" t="n"/>
      <c r="F3005" s="15" t="n"/>
      <c r="G3005" s="23" t="n"/>
      <c r="H3005" s="25" t="n"/>
      <c r="I3005" s="15" t="n"/>
      <c r="J3005" s="26">
        <f>IF($A3005="","",LEN($C3005)-LEN(SUBSTITUTE($C3005,",",""))+1)</f>
        <v/>
      </c>
      <c r="K3005" s="26">
        <f>IF($A3005="","",SUMPRODUCT(--ISNUMBER(SEARCH('Category Dictionary'!$D$5:$D$135&amp;"",$C3005)),--('Category Dictionary'!$D$5:$D$135&lt;&gt;"")))</f>
        <v/>
      </c>
      <c r="L3005" s="27">
        <f>IF($A3005="","",TRIM(IF(ISERROR(FIND(",",$C3005)),$C3005,LEFT($C3005,FIND(",",$C3005)-1))))</f>
        <v/>
      </c>
      <c r="M3005" s="28">
        <f>IF($H3005="","",DATE(YEAR($H3005),MONTH($H3005),1))</f>
        <v/>
      </c>
      <c r="N3005" s="26">
        <f>IF($H3005="","",TODAY()-$H3005)</f>
        <v/>
      </c>
      <c r="O3005" s="15" t="n"/>
      <c r="P3005" s="26">
        <f>IF($A3005="","",COUNTIFS('Audit Versions'!$A$6:$A$605,$A3005,'Audit Versions'!$L$6:$L$605,"Active"))</f>
        <v/>
      </c>
      <c r="Q3005" s="15" t="n"/>
      <c r="R3005" s="26">
        <f>IF(OR($A3005="",$P3005=0),"",MOD(N($Q3005),$P3005)+1)</f>
        <v/>
      </c>
      <c r="S3005" s="15" t="n"/>
      <c r="T3005" s="25" t="n"/>
      <c r="U3005" s="26">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Builder'!$B$12="",N($S3005)&lt;='Assignment Builder'!$B$12)))</f>
        <v/>
      </c>
      <c r="V3005" s="23" t="n"/>
    </row>
    <row r="3006">
      <c r="A3006" s="23" t="n"/>
      <c r="B3006" s="23" t="n"/>
      <c r="C3006" s="24" t="n"/>
      <c r="D3006" s="15" t="n"/>
      <c r="E3006" s="23" t="n"/>
      <c r="F3006" s="15" t="n"/>
      <c r="G3006" s="23" t="n"/>
      <c r="H3006" s="25" t="n"/>
      <c r="I3006" s="15" t="n"/>
      <c r="J3006" s="26">
        <f>IF($A3006="","",LEN($C3006)-LEN(SUBSTITUTE($C3006,",",""))+1)</f>
        <v/>
      </c>
      <c r="K3006" s="26">
        <f>IF($A3006="","",SUMPRODUCT(--ISNUMBER(SEARCH('Category Dictionary'!$D$5:$D$135&amp;"",$C3006)),--('Category Dictionary'!$D$5:$D$135&lt;&gt;"")))</f>
        <v/>
      </c>
      <c r="L3006" s="27">
        <f>IF($A3006="","",TRIM(IF(ISERROR(FIND(",",$C3006)),$C3006,LEFT($C3006,FIND(",",$C3006)-1))))</f>
        <v/>
      </c>
      <c r="M3006" s="28">
        <f>IF($H3006="","",DATE(YEAR($H3006),MONTH($H3006),1))</f>
        <v/>
      </c>
      <c r="N3006" s="26">
        <f>IF($H3006="","",TODAY()-$H3006)</f>
        <v/>
      </c>
      <c r="O3006" s="15" t="n"/>
      <c r="P3006" s="26">
        <f>IF($A3006="","",COUNTIFS('Audit Versions'!$A$6:$A$605,$A3006,'Audit Versions'!$L$6:$L$605,"Active"))</f>
        <v/>
      </c>
      <c r="Q3006" s="15" t="n"/>
      <c r="R3006" s="26">
        <f>IF(OR($A3006="",$P3006=0),"",MOD(N($Q3006),$P3006)+1)</f>
        <v/>
      </c>
      <c r="S3006" s="15" t="n"/>
      <c r="T3006" s="25" t="n"/>
      <c r="U3006" s="26">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Builder'!$B$12="",N($S3006)&lt;='Assignment Builder'!$B$12)))</f>
        <v/>
      </c>
      <c r="V3006" s="23" t="n"/>
    </row>
    <row r="3007">
      <c r="A3007" s="23" t="n"/>
      <c r="B3007" s="23" t="n"/>
      <c r="C3007" s="24" t="n"/>
      <c r="D3007" s="15" t="n"/>
      <c r="E3007" s="23" t="n"/>
      <c r="F3007" s="15" t="n"/>
      <c r="G3007" s="23" t="n"/>
      <c r="H3007" s="25" t="n"/>
      <c r="I3007" s="15" t="n"/>
      <c r="J3007" s="26">
        <f>IF($A3007="","",LEN($C3007)-LEN(SUBSTITUTE($C3007,",",""))+1)</f>
        <v/>
      </c>
      <c r="K3007" s="26">
        <f>IF($A3007="","",SUMPRODUCT(--ISNUMBER(SEARCH('Category Dictionary'!$D$5:$D$135&amp;"",$C3007)),--('Category Dictionary'!$D$5:$D$135&lt;&gt;"")))</f>
        <v/>
      </c>
      <c r="L3007" s="27">
        <f>IF($A3007="","",TRIM(IF(ISERROR(FIND(",",$C3007)),$C3007,LEFT($C3007,FIND(",",$C3007)-1))))</f>
        <v/>
      </c>
      <c r="M3007" s="28">
        <f>IF($H3007="","",DATE(YEAR($H3007),MONTH($H3007),1))</f>
        <v/>
      </c>
      <c r="N3007" s="26">
        <f>IF($H3007="","",TODAY()-$H3007)</f>
        <v/>
      </c>
      <c r="O3007" s="15" t="n"/>
      <c r="P3007" s="26">
        <f>IF($A3007="","",COUNTIFS('Audit Versions'!$A$6:$A$605,$A3007,'Audit Versions'!$L$6:$L$605,"Active"))</f>
        <v/>
      </c>
      <c r="Q3007" s="15" t="n"/>
      <c r="R3007" s="26">
        <f>IF(OR($A3007="",$P3007=0),"",MOD(N($Q3007),$P3007)+1)</f>
        <v/>
      </c>
      <c r="S3007" s="15" t="n"/>
      <c r="T3007" s="25" t="n"/>
      <c r="U3007" s="26">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Builder'!$B$12="",N($S3007)&lt;='Assignment Builder'!$B$12)))</f>
        <v/>
      </c>
      <c r="V3007" s="23" t="n"/>
    </row>
    <row r="3008">
      <c r="A3008" s="23" t="n"/>
      <c r="B3008" s="23" t="n"/>
      <c r="C3008" s="24" t="n"/>
      <c r="D3008" s="15" t="n"/>
      <c r="E3008" s="23" t="n"/>
      <c r="F3008" s="15" t="n"/>
      <c r="G3008" s="23" t="n"/>
      <c r="H3008" s="25" t="n"/>
      <c r="I3008" s="15" t="n"/>
      <c r="J3008" s="26">
        <f>IF($A3008="","",LEN($C3008)-LEN(SUBSTITUTE($C3008,",",""))+1)</f>
        <v/>
      </c>
      <c r="K3008" s="26">
        <f>IF($A3008="","",SUMPRODUCT(--ISNUMBER(SEARCH('Category Dictionary'!$D$5:$D$135&amp;"",$C3008)),--('Category Dictionary'!$D$5:$D$135&lt;&gt;"")))</f>
        <v/>
      </c>
      <c r="L3008" s="27">
        <f>IF($A3008="","",TRIM(IF(ISERROR(FIND(",",$C3008)),$C3008,LEFT($C3008,FIND(",",$C3008)-1))))</f>
        <v/>
      </c>
      <c r="M3008" s="28">
        <f>IF($H3008="","",DATE(YEAR($H3008),MONTH($H3008),1))</f>
        <v/>
      </c>
      <c r="N3008" s="26">
        <f>IF($H3008="","",TODAY()-$H3008)</f>
        <v/>
      </c>
      <c r="O3008" s="15" t="n"/>
      <c r="P3008" s="26">
        <f>IF($A3008="","",COUNTIFS('Audit Versions'!$A$6:$A$605,$A3008,'Audit Versions'!$L$6:$L$605,"Active"))</f>
        <v/>
      </c>
      <c r="Q3008" s="15" t="n"/>
      <c r="R3008" s="26">
        <f>IF(OR($A3008="",$P3008=0),"",MOD(N($Q3008),$P3008)+1)</f>
        <v/>
      </c>
      <c r="S3008" s="15" t="n"/>
      <c r="T3008" s="25" t="n"/>
      <c r="U3008" s="26">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Builder'!$B$12="",N($S3008)&lt;='Assignment Builder'!$B$12)))</f>
        <v/>
      </c>
      <c r="V3008" s="23" t="n"/>
    </row>
    <row r="3009">
      <c r="A3009" s="23" t="n"/>
      <c r="B3009" s="23" t="n"/>
      <c r="C3009" s="24" t="n"/>
      <c r="D3009" s="15" t="n"/>
      <c r="E3009" s="23" t="n"/>
      <c r="F3009" s="15" t="n"/>
      <c r="G3009" s="23" t="n"/>
      <c r="H3009" s="25" t="n"/>
      <c r="I3009" s="15" t="n"/>
      <c r="J3009" s="26">
        <f>IF($A3009="","",LEN($C3009)-LEN(SUBSTITUTE($C3009,",",""))+1)</f>
        <v/>
      </c>
      <c r="K3009" s="26">
        <f>IF($A3009="","",SUMPRODUCT(--ISNUMBER(SEARCH('Category Dictionary'!$D$5:$D$135&amp;"",$C3009)),--('Category Dictionary'!$D$5:$D$135&lt;&gt;"")))</f>
        <v/>
      </c>
      <c r="L3009" s="27">
        <f>IF($A3009="","",TRIM(IF(ISERROR(FIND(",",$C3009)),$C3009,LEFT($C3009,FIND(",",$C3009)-1))))</f>
        <v/>
      </c>
      <c r="M3009" s="28">
        <f>IF($H3009="","",DATE(YEAR($H3009),MONTH($H3009),1))</f>
        <v/>
      </c>
      <c r="N3009" s="26">
        <f>IF($H3009="","",TODAY()-$H3009)</f>
        <v/>
      </c>
      <c r="O3009" s="15" t="n"/>
      <c r="P3009" s="26">
        <f>IF($A3009="","",COUNTIFS('Audit Versions'!$A$6:$A$605,$A3009,'Audit Versions'!$L$6:$L$605,"Active"))</f>
        <v/>
      </c>
      <c r="Q3009" s="15" t="n"/>
      <c r="R3009" s="26">
        <f>IF(OR($A3009="",$P3009=0),"",MOD(N($Q3009),$P3009)+1)</f>
        <v/>
      </c>
      <c r="S3009" s="15" t="n"/>
      <c r="T3009" s="25" t="n"/>
      <c r="U3009" s="26">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Builder'!$B$12="",N($S3009)&lt;='Assignment Builder'!$B$12)))</f>
        <v/>
      </c>
      <c r="V3009" s="23" t="n"/>
    </row>
    <row r="3010">
      <c r="A3010" s="23" t="n"/>
      <c r="B3010" s="23" t="n"/>
      <c r="C3010" s="24" t="n"/>
      <c r="D3010" s="15" t="n"/>
      <c r="E3010" s="23" t="n"/>
      <c r="F3010" s="15" t="n"/>
      <c r="G3010" s="23" t="n"/>
      <c r="H3010" s="25" t="n"/>
      <c r="I3010" s="15" t="n"/>
      <c r="J3010" s="26">
        <f>IF($A3010="","",LEN($C3010)-LEN(SUBSTITUTE($C3010,",",""))+1)</f>
        <v/>
      </c>
      <c r="K3010" s="26">
        <f>IF($A3010="","",SUMPRODUCT(--ISNUMBER(SEARCH('Category Dictionary'!$D$5:$D$135&amp;"",$C3010)),--('Category Dictionary'!$D$5:$D$135&lt;&gt;"")))</f>
        <v/>
      </c>
      <c r="L3010" s="27">
        <f>IF($A3010="","",TRIM(IF(ISERROR(FIND(",",$C3010)),$C3010,LEFT($C3010,FIND(",",$C3010)-1))))</f>
        <v/>
      </c>
      <c r="M3010" s="28">
        <f>IF($H3010="","",DATE(YEAR($H3010),MONTH($H3010),1))</f>
        <v/>
      </c>
      <c r="N3010" s="26">
        <f>IF($H3010="","",TODAY()-$H3010)</f>
        <v/>
      </c>
      <c r="O3010" s="15" t="n"/>
      <c r="P3010" s="26">
        <f>IF($A3010="","",COUNTIFS('Audit Versions'!$A$6:$A$605,$A3010,'Audit Versions'!$L$6:$L$605,"Active"))</f>
        <v/>
      </c>
      <c r="Q3010" s="15" t="n"/>
      <c r="R3010" s="26">
        <f>IF(OR($A3010="",$P3010=0),"",MOD(N($Q3010),$P3010)+1)</f>
        <v/>
      </c>
      <c r="S3010" s="15" t="n"/>
      <c r="T3010" s="25" t="n"/>
      <c r="U3010" s="26">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Builder'!$B$12="",N($S3010)&lt;='Assignment Builder'!$B$12)))</f>
        <v/>
      </c>
      <c r="V3010" s="23" t="n"/>
    </row>
    <row r="3011">
      <c r="A3011" s="23" t="n"/>
      <c r="B3011" s="23" t="n"/>
      <c r="C3011" s="24" t="n"/>
      <c r="D3011" s="15" t="n"/>
      <c r="E3011" s="23" t="n"/>
      <c r="F3011" s="15" t="n"/>
      <c r="G3011" s="23" t="n"/>
      <c r="H3011" s="25" t="n"/>
      <c r="I3011" s="15" t="n"/>
      <c r="J3011" s="26">
        <f>IF($A3011="","",LEN($C3011)-LEN(SUBSTITUTE($C3011,",",""))+1)</f>
        <v/>
      </c>
      <c r="K3011" s="26">
        <f>IF($A3011="","",SUMPRODUCT(--ISNUMBER(SEARCH('Category Dictionary'!$D$5:$D$135&amp;"",$C3011)),--('Category Dictionary'!$D$5:$D$135&lt;&gt;"")))</f>
        <v/>
      </c>
      <c r="L3011" s="27">
        <f>IF($A3011="","",TRIM(IF(ISERROR(FIND(",",$C3011)),$C3011,LEFT($C3011,FIND(",",$C3011)-1))))</f>
        <v/>
      </c>
      <c r="M3011" s="28">
        <f>IF($H3011="","",DATE(YEAR($H3011),MONTH($H3011),1))</f>
        <v/>
      </c>
      <c r="N3011" s="26">
        <f>IF($H3011="","",TODAY()-$H3011)</f>
        <v/>
      </c>
      <c r="O3011" s="15" t="n"/>
      <c r="P3011" s="26">
        <f>IF($A3011="","",COUNTIFS('Audit Versions'!$A$6:$A$605,$A3011,'Audit Versions'!$L$6:$L$605,"Active"))</f>
        <v/>
      </c>
      <c r="Q3011" s="15" t="n"/>
      <c r="R3011" s="26">
        <f>IF(OR($A3011="",$P3011=0),"",MOD(N($Q3011),$P3011)+1)</f>
        <v/>
      </c>
      <c r="S3011" s="15" t="n"/>
      <c r="T3011" s="25" t="n"/>
      <c r="U3011" s="26">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Builder'!$B$12="",N($S3011)&lt;='Assignment Builder'!$B$12)))</f>
        <v/>
      </c>
      <c r="V3011" s="23" t="n"/>
    </row>
    <row r="3012">
      <c r="A3012" s="23" t="n"/>
      <c r="B3012" s="23" t="n"/>
      <c r="C3012" s="24" t="n"/>
      <c r="D3012" s="15" t="n"/>
      <c r="E3012" s="23" t="n"/>
      <c r="F3012" s="15" t="n"/>
      <c r="G3012" s="23" t="n"/>
      <c r="H3012" s="25" t="n"/>
      <c r="I3012" s="15" t="n"/>
      <c r="J3012" s="26">
        <f>IF($A3012="","",LEN($C3012)-LEN(SUBSTITUTE($C3012,",",""))+1)</f>
        <v/>
      </c>
      <c r="K3012" s="26">
        <f>IF($A3012="","",SUMPRODUCT(--ISNUMBER(SEARCH('Category Dictionary'!$D$5:$D$135&amp;"",$C3012)),--('Category Dictionary'!$D$5:$D$135&lt;&gt;"")))</f>
        <v/>
      </c>
      <c r="L3012" s="27">
        <f>IF($A3012="","",TRIM(IF(ISERROR(FIND(",",$C3012)),$C3012,LEFT($C3012,FIND(",",$C3012)-1))))</f>
        <v/>
      </c>
      <c r="M3012" s="28">
        <f>IF($H3012="","",DATE(YEAR($H3012),MONTH($H3012),1))</f>
        <v/>
      </c>
      <c r="N3012" s="26">
        <f>IF($H3012="","",TODAY()-$H3012)</f>
        <v/>
      </c>
      <c r="O3012" s="15" t="n"/>
      <c r="P3012" s="26">
        <f>IF($A3012="","",COUNTIFS('Audit Versions'!$A$6:$A$605,$A3012,'Audit Versions'!$L$6:$L$605,"Active"))</f>
        <v/>
      </c>
      <c r="Q3012" s="15" t="n"/>
      <c r="R3012" s="26">
        <f>IF(OR($A3012="",$P3012=0),"",MOD(N($Q3012),$P3012)+1)</f>
        <v/>
      </c>
      <c r="S3012" s="15" t="n"/>
      <c r="T3012" s="25" t="n"/>
      <c r="U3012" s="26">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Builder'!$B$12="",N($S3012)&lt;='Assignment Builder'!$B$12)))</f>
        <v/>
      </c>
      <c r="V3012" s="23" t="n"/>
    </row>
    <row r="3013">
      <c r="A3013" s="23" t="n"/>
      <c r="B3013" s="23" t="n"/>
      <c r="C3013" s="24" t="n"/>
      <c r="D3013" s="15" t="n"/>
      <c r="E3013" s="23" t="n"/>
      <c r="F3013" s="15" t="n"/>
      <c r="G3013" s="23" t="n"/>
      <c r="H3013" s="25" t="n"/>
      <c r="I3013" s="15" t="n"/>
      <c r="J3013" s="26">
        <f>IF($A3013="","",LEN($C3013)-LEN(SUBSTITUTE($C3013,",",""))+1)</f>
        <v/>
      </c>
      <c r="K3013" s="26">
        <f>IF($A3013="","",SUMPRODUCT(--ISNUMBER(SEARCH('Category Dictionary'!$D$5:$D$135&amp;"",$C3013)),--('Category Dictionary'!$D$5:$D$135&lt;&gt;"")))</f>
        <v/>
      </c>
      <c r="L3013" s="27">
        <f>IF($A3013="","",TRIM(IF(ISERROR(FIND(",",$C3013)),$C3013,LEFT($C3013,FIND(",",$C3013)-1))))</f>
        <v/>
      </c>
      <c r="M3013" s="28">
        <f>IF($H3013="","",DATE(YEAR($H3013),MONTH($H3013),1))</f>
        <v/>
      </c>
      <c r="N3013" s="26">
        <f>IF($H3013="","",TODAY()-$H3013)</f>
        <v/>
      </c>
      <c r="O3013" s="15" t="n"/>
      <c r="P3013" s="26">
        <f>IF($A3013="","",COUNTIFS('Audit Versions'!$A$6:$A$605,$A3013,'Audit Versions'!$L$6:$L$605,"Active"))</f>
        <v/>
      </c>
      <c r="Q3013" s="15" t="n"/>
      <c r="R3013" s="26">
        <f>IF(OR($A3013="",$P3013=0),"",MOD(N($Q3013),$P3013)+1)</f>
        <v/>
      </c>
      <c r="S3013" s="15" t="n"/>
      <c r="T3013" s="25" t="n"/>
      <c r="U3013" s="26">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Builder'!$B$12="",N($S3013)&lt;='Assignment Builder'!$B$12)))</f>
        <v/>
      </c>
      <c r="V3013" s="23" t="n"/>
    </row>
    <row r="3014">
      <c r="A3014" s="23" t="n"/>
      <c r="B3014" s="23" t="n"/>
      <c r="C3014" s="24" t="n"/>
      <c r="D3014" s="15" t="n"/>
      <c r="E3014" s="23" t="n"/>
      <c r="F3014" s="15" t="n"/>
      <c r="G3014" s="23" t="n"/>
      <c r="H3014" s="25" t="n"/>
      <c r="I3014" s="15" t="n"/>
      <c r="J3014" s="26">
        <f>IF($A3014="","",LEN($C3014)-LEN(SUBSTITUTE($C3014,",",""))+1)</f>
        <v/>
      </c>
      <c r="K3014" s="26">
        <f>IF($A3014="","",SUMPRODUCT(--ISNUMBER(SEARCH('Category Dictionary'!$D$5:$D$135&amp;"",$C3014)),--('Category Dictionary'!$D$5:$D$135&lt;&gt;"")))</f>
        <v/>
      </c>
      <c r="L3014" s="27">
        <f>IF($A3014="","",TRIM(IF(ISERROR(FIND(",",$C3014)),$C3014,LEFT($C3014,FIND(",",$C3014)-1))))</f>
        <v/>
      </c>
      <c r="M3014" s="28">
        <f>IF($H3014="","",DATE(YEAR($H3014),MONTH($H3014),1))</f>
        <v/>
      </c>
      <c r="N3014" s="26">
        <f>IF($H3014="","",TODAY()-$H3014)</f>
        <v/>
      </c>
      <c r="O3014" s="15" t="n"/>
      <c r="P3014" s="26">
        <f>IF($A3014="","",COUNTIFS('Audit Versions'!$A$6:$A$605,$A3014,'Audit Versions'!$L$6:$L$605,"Active"))</f>
        <v/>
      </c>
      <c r="Q3014" s="15" t="n"/>
      <c r="R3014" s="26">
        <f>IF(OR($A3014="",$P3014=0),"",MOD(N($Q3014),$P3014)+1)</f>
        <v/>
      </c>
      <c r="S3014" s="15" t="n"/>
      <c r="T3014" s="25" t="n"/>
      <c r="U3014" s="26">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Builder'!$B$12="",N($S3014)&lt;='Assignment Builder'!$B$12)))</f>
        <v/>
      </c>
      <c r="V3014" s="23" t="n"/>
    </row>
    <row r="3015">
      <c r="A3015" s="23" t="n"/>
      <c r="B3015" s="23" t="n"/>
      <c r="C3015" s="24" t="n"/>
      <c r="D3015" s="15" t="n"/>
      <c r="E3015" s="23" t="n"/>
      <c r="F3015" s="15" t="n"/>
      <c r="G3015" s="23" t="n"/>
      <c r="H3015" s="25" t="n"/>
      <c r="I3015" s="15" t="n"/>
      <c r="J3015" s="26">
        <f>IF($A3015="","",LEN($C3015)-LEN(SUBSTITUTE($C3015,",",""))+1)</f>
        <v/>
      </c>
      <c r="K3015" s="26">
        <f>IF($A3015="","",SUMPRODUCT(--ISNUMBER(SEARCH('Category Dictionary'!$D$5:$D$135&amp;"",$C3015)),--('Category Dictionary'!$D$5:$D$135&lt;&gt;"")))</f>
        <v/>
      </c>
      <c r="L3015" s="27">
        <f>IF($A3015="","",TRIM(IF(ISERROR(FIND(",",$C3015)),$C3015,LEFT($C3015,FIND(",",$C3015)-1))))</f>
        <v/>
      </c>
      <c r="M3015" s="28">
        <f>IF($H3015="","",DATE(YEAR($H3015),MONTH($H3015),1))</f>
        <v/>
      </c>
      <c r="N3015" s="26">
        <f>IF($H3015="","",TODAY()-$H3015)</f>
        <v/>
      </c>
      <c r="O3015" s="15" t="n"/>
      <c r="P3015" s="26">
        <f>IF($A3015="","",COUNTIFS('Audit Versions'!$A$6:$A$605,$A3015,'Audit Versions'!$L$6:$L$605,"Active"))</f>
        <v/>
      </c>
      <c r="Q3015" s="15" t="n"/>
      <c r="R3015" s="26">
        <f>IF(OR($A3015="",$P3015=0),"",MOD(N($Q3015),$P3015)+1)</f>
        <v/>
      </c>
      <c r="S3015" s="15" t="n"/>
      <c r="T3015" s="25" t="n"/>
      <c r="U3015" s="26">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Builder'!$B$12="",N($S3015)&lt;='Assignment Builder'!$B$12)))</f>
        <v/>
      </c>
      <c r="V3015" s="23" t="n"/>
    </row>
    <row r="3016">
      <c r="A3016" s="23" t="n"/>
      <c r="B3016" s="23" t="n"/>
      <c r="C3016" s="24" t="n"/>
      <c r="D3016" s="15" t="n"/>
      <c r="E3016" s="23" t="n"/>
      <c r="F3016" s="15" t="n"/>
      <c r="G3016" s="23" t="n"/>
      <c r="H3016" s="25" t="n"/>
      <c r="I3016" s="15" t="n"/>
      <c r="J3016" s="26">
        <f>IF($A3016="","",LEN($C3016)-LEN(SUBSTITUTE($C3016,",",""))+1)</f>
        <v/>
      </c>
      <c r="K3016" s="26">
        <f>IF($A3016="","",SUMPRODUCT(--ISNUMBER(SEARCH('Category Dictionary'!$D$5:$D$135&amp;"",$C3016)),--('Category Dictionary'!$D$5:$D$135&lt;&gt;"")))</f>
        <v/>
      </c>
      <c r="L3016" s="27">
        <f>IF($A3016="","",TRIM(IF(ISERROR(FIND(",",$C3016)),$C3016,LEFT($C3016,FIND(",",$C3016)-1))))</f>
        <v/>
      </c>
      <c r="M3016" s="28">
        <f>IF($H3016="","",DATE(YEAR($H3016),MONTH($H3016),1))</f>
        <v/>
      </c>
      <c r="N3016" s="26">
        <f>IF($H3016="","",TODAY()-$H3016)</f>
        <v/>
      </c>
      <c r="O3016" s="15" t="n"/>
      <c r="P3016" s="26">
        <f>IF($A3016="","",COUNTIFS('Audit Versions'!$A$6:$A$605,$A3016,'Audit Versions'!$L$6:$L$605,"Active"))</f>
        <v/>
      </c>
      <c r="Q3016" s="15" t="n"/>
      <c r="R3016" s="26">
        <f>IF(OR($A3016="",$P3016=0),"",MOD(N($Q3016),$P3016)+1)</f>
        <v/>
      </c>
      <c r="S3016" s="15" t="n"/>
      <c r="T3016" s="25" t="n"/>
      <c r="U3016" s="26">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Builder'!$B$12="",N($S3016)&lt;='Assignment Builder'!$B$12)))</f>
        <v/>
      </c>
      <c r="V3016" s="23" t="n"/>
    </row>
    <row r="3017">
      <c r="A3017" s="23" t="n"/>
      <c r="B3017" s="23" t="n"/>
      <c r="C3017" s="24" t="n"/>
      <c r="D3017" s="15" t="n"/>
      <c r="E3017" s="23" t="n"/>
      <c r="F3017" s="15" t="n"/>
      <c r="G3017" s="23" t="n"/>
      <c r="H3017" s="25" t="n"/>
      <c r="I3017" s="15" t="n"/>
      <c r="J3017" s="26">
        <f>IF($A3017="","",LEN($C3017)-LEN(SUBSTITUTE($C3017,",",""))+1)</f>
        <v/>
      </c>
      <c r="K3017" s="26">
        <f>IF($A3017="","",SUMPRODUCT(--ISNUMBER(SEARCH('Category Dictionary'!$D$5:$D$135&amp;"",$C3017)),--('Category Dictionary'!$D$5:$D$135&lt;&gt;"")))</f>
        <v/>
      </c>
      <c r="L3017" s="27">
        <f>IF($A3017="","",TRIM(IF(ISERROR(FIND(",",$C3017)),$C3017,LEFT($C3017,FIND(",",$C3017)-1))))</f>
        <v/>
      </c>
      <c r="M3017" s="28">
        <f>IF($H3017="","",DATE(YEAR($H3017),MONTH($H3017),1))</f>
        <v/>
      </c>
      <c r="N3017" s="26">
        <f>IF($H3017="","",TODAY()-$H3017)</f>
        <v/>
      </c>
      <c r="O3017" s="15" t="n"/>
      <c r="P3017" s="26">
        <f>IF($A3017="","",COUNTIFS('Audit Versions'!$A$6:$A$605,$A3017,'Audit Versions'!$L$6:$L$605,"Active"))</f>
        <v/>
      </c>
      <c r="Q3017" s="15" t="n"/>
      <c r="R3017" s="26">
        <f>IF(OR($A3017="",$P3017=0),"",MOD(N($Q3017),$P3017)+1)</f>
        <v/>
      </c>
      <c r="S3017" s="15" t="n"/>
      <c r="T3017" s="25" t="n"/>
      <c r="U3017" s="26">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Builder'!$B$12="",N($S3017)&lt;='Assignment Builder'!$B$12)))</f>
        <v/>
      </c>
      <c r="V3017" s="23" t="n"/>
    </row>
    <row r="3018">
      <c r="A3018" s="23" t="n"/>
      <c r="B3018" s="23" t="n"/>
      <c r="C3018" s="24" t="n"/>
      <c r="D3018" s="15" t="n"/>
      <c r="E3018" s="23" t="n"/>
      <c r="F3018" s="15" t="n"/>
      <c r="G3018" s="23" t="n"/>
      <c r="H3018" s="25" t="n"/>
      <c r="I3018" s="15" t="n"/>
      <c r="J3018" s="26">
        <f>IF($A3018="","",LEN($C3018)-LEN(SUBSTITUTE($C3018,",",""))+1)</f>
        <v/>
      </c>
      <c r="K3018" s="26">
        <f>IF($A3018="","",SUMPRODUCT(--ISNUMBER(SEARCH('Category Dictionary'!$D$5:$D$135&amp;"",$C3018)),--('Category Dictionary'!$D$5:$D$135&lt;&gt;"")))</f>
        <v/>
      </c>
      <c r="L3018" s="27">
        <f>IF($A3018="","",TRIM(IF(ISERROR(FIND(",",$C3018)),$C3018,LEFT($C3018,FIND(",",$C3018)-1))))</f>
        <v/>
      </c>
      <c r="M3018" s="28">
        <f>IF($H3018="","",DATE(YEAR($H3018),MONTH($H3018),1))</f>
        <v/>
      </c>
      <c r="N3018" s="26">
        <f>IF($H3018="","",TODAY()-$H3018)</f>
        <v/>
      </c>
      <c r="O3018" s="15" t="n"/>
      <c r="P3018" s="26">
        <f>IF($A3018="","",COUNTIFS('Audit Versions'!$A$6:$A$605,$A3018,'Audit Versions'!$L$6:$L$605,"Active"))</f>
        <v/>
      </c>
      <c r="Q3018" s="15" t="n"/>
      <c r="R3018" s="26">
        <f>IF(OR($A3018="",$P3018=0),"",MOD(N($Q3018),$P3018)+1)</f>
        <v/>
      </c>
      <c r="S3018" s="15" t="n"/>
      <c r="T3018" s="25" t="n"/>
      <c r="U3018" s="26">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Builder'!$B$12="",N($S3018)&lt;='Assignment Builder'!$B$12)))</f>
        <v/>
      </c>
      <c r="V3018" s="23" t="n"/>
    </row>
    <row r="3019">
      <c r="A3019" s="23" t="n"/>
      <c r="B3019" s="23" t="n"/>
      <c r="C3019" s="24" t="n"/>
      <c r="D3019" s="15" t="n"/>
      <c r="E3019" s="23" t="n"/>
      <c r="F3019" s="15" t="n"/>
      <c r="G3019" s="23" t="n"/>
      <c r="H3019" s="25" t="n"/>
      <c r="I3019" s="15" t="n"/>
      <c r="J3019" s="26">
        <f>IF($A3019="","",LEN($C3019)-LEN(SUBSTITUTE($C3019,",",""))+1)</f>
        <v/>
      </c>
      <c r="K3019" s="26">
        <f>IF($A3019="","",SUMPRODUCT(--ISNUMBER(SEARCH('Category Dictionary'!$D$5:$D$135&amp;"",$C3019)),--('Category Dictionary'!$D$5:$D$135&lt;&gt;"")))</f>
        <v/>
      </c>
      <c r="L3019" s="27">
        <f>IF($A3019="","",TRIM(IF(ISERROR(FIND(",",$C3019)),$C3019,LEFT($C3019,FIND(",",$C3019)-1))))</f>
        <v/>
      </c>
      <c r="M3019" s="28">
        <f>IF($H3019="","",DATE(YEAR($H3019),MONTH($H3019),1))</f>
        <v/>
      </c>
      <c r="N3019" s="26">
        <f>IF($H3019="","",TODAY()-$H3019)</f>
        <v/>
      </c>
      <c r="O3019" s="15" t="n"/>
      <c r="P3019" s="26">
        <f>IF($A3019="","",COUNTIFS('Audit Versions'!$A$6:$A$605,$A3019,'Audit Versions'!$L$6:$L$605,"Active"))</f>
        <v/>
      </c>
      <c r="Q3019" s="15" t="n"/>
      <c r="R3019" s="26">
        <f>IF(OR($A3019="",$P3019=0),"",MOD(N($Q3019),$P3019)+1)</f>
        <v/>
      </c>
      <c r="S3019" s="15" t="n"/>
      <c r="T3019" s="25" t="n"/>
      <c r="U3019" s="26">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Builder'!$B$12="",N($S3019)&lt;='Assignment Builder'!$B$12)))</f>
        <v/>
      </c>
      <c r="V3019" s="23" t="n"/>
    </row>
    <row r="3020">
      <c r="A3020" s="23" t="n"/>
      <c r="B3020" s="23" t="n"/>
      <c r="C3020" s="24" t="n"/>
      <c r="D3020" s="15" t="n"/>
      <c r="E3020" s="23" t="n"/>
      <c r="F3020" s="15" t="n"/>
      <c r="G3020" s="23" t="n"/>
      <c r="H3020" s="25" t="n"/>
      <c r="I3020" s="15" t="n"/>
      <c r="J3020" s="26">
        <f>IF($A3020="","",LEN($C3020)-LEN(SUBSTITUTE($C3020,",",""))+1)</f>
        <v/>
      </c>
      <c r="K3020" s="26">
        <f>IF($A3020="","",SUMPRODUCT(--ISNUMBER(SEARCH('Category Dictionary'!$D$5:$D$135&amp;"",$C3020)),--('Category Dictionary'!$D$5:$D$135&lt;&gt;"")))</f>
        <v/>
      </c>
      <c r="L3020" s="27">
        <f>IF($A3020="","",TRIM(IF(ISERROR(FIND(",",$C3020)),$C3020,LEFT($C3020,FIND(",",$C3020)-1))))</f>
        <v/>
      </c>
      <c r="M3020" s="28">
        <f>IF($H3020="","",DATE(YEAR($H3020),MONTH($H3020),1))</f>
        <v/>
      </c>
      <c r="N3020" s="26">
        <f>IF($H3020="","",TODAY()-$H3020)</f>
        <v/>
      </c>
      <c r="O3020" s="15" t="n"/>
      <c r="P3020" s="26">
        <f>IF($A3020="","",COUNTIFS('Audit Versions'!$A$6:$A$605,$A3020,'Audit Versions'!$L$6:$L$605,"Active"))</f>
        <v/>
      </c>
      <c r="Q3020" s="15" t="n"/>
      <c r="R3020" s="26">
        <f>IF(OR($A3020="",$P3020=0),"",MOD(N($Q3020),$P3020)+1)</f>
        <v/>
      </c>
      <c r="S3020" s="15" t="n"/>
      <c r="T3020" s="25" t="n"/>
      <c r="U3020" s="26">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Builder'!$B$12="",N($S3020)&lt;='Assignment Builder'!$B$12)))</f>
        <v/>
      </c>
      <c r="V3020" s="23" t="n"/>
    </row>
    <row r="3021">
      <c r="A3021" s="23" t="n"/>
      <c r="B3021" s="23" t="n"/>
      <c r="C3021" s="24" t="n"/>
      <c r="D3021" s="15" t="n"/>
      <c r="E3021" s="23" t="n"/>
      <c r="F3021" s="15" t="n"/>
      <c r="G3021" s="23" t="n"/>
      <c r="H3021" s="25" t="n"/>
      <c r="I3021" s="15" t="n"/>
      <c r="J3021" s="26">
        <f>IF($A3021="","",LEN($C3021)-LEN(SUBSTITUTE($C3021,",",""))+1)</f>
        <v/>
      </c>
      <c r="K3021" s="26">
        <f>IF($A3021="","",SUMPRODUCT(--ISNUMBER(SEARCH('Category Dictionary'!$D$5:$D$135&amp;"",$C3021)),--('Category Dictionary'!$D$5:$D$135&lt;&gt;"")))</f>
        <v/>
      </c>
      <c r="L3021" s="27">
        <f>IF($A3021="","",TRIM(IF(ISERROR(FIND(",",$C3021)),$C3021,LEFT($C3021,FIND(",",$C3021)-1))))</f>
        <v/>
      </c>
      <c r="M3021" s="28">
        <f>IF($H3021="","",DATE(YEAR($H3021),MONTH($H3021),1))</f>
        <v/>
      </c>
      <c r="N3021" s="26">
        <f>IF($H3021="","",TODAY()-$H3021)</f>
        <v/>
      </c>
      <c r="O3021" s="15" t="n"/>
      <c r="P3021" s="26">
        <f>IF($A3021="","",COUNTIFS('Audit Versions'!$A$6:$A$605,$A3021,'Audit Versions'!$L$6:$L$605,"Active"))</f>
        <v/>
      </c>
      <c r="Q3021" s="15" t="n"/>
      <c r="R3021" s="26">
        <f>IF(OR($A3021="",$P3021=0),"",MOD(N($Q3021),$P3021)+1)</f>
        <v/>
      </c>
      <c r="S3021" s="15" t="n"/>
      <c r="T3021" s="25" t="n"/>
      <c r="U3021" s="26">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Builder'!$B$12="",N($S3021)&lt;='Assignment Builder'!$B$12)))</f>
        <v/>
      </c>
      <c r="V3021" s="23" t="n"/>
    </row>
    <row r="3022">
      <c r="A3022" s="23" t="n"/>
      <c r="B3022" s="23" t="n"/>
      <c r="C3022" s="24" t="n"/>
      <c r="D3022" s="15" t="n"/>
      <c r="E3022" s="23" t="n"/>
      <c r="F3022" s="15" t="n"/>
      <c r="G3022" s="23" t="n"/>
      <c r="H3022" s="25" t="n"/>
      <c r="I3022" s="15" t="n"/>
      <c r="J3022" s="26">
        <f>IF($A3022="","",LEN($C3022)-LEN(SUBSTITUTE($C3022,",",""))+1)</f>
        <v/>
      </c>
      <c r="K3022" s="26">
        <f>IF($A3022="","",SUMPRODUCT(--ISNUMBER(SEARCH('Category Dictionary'!$D$5:$D$135&amp;"",$C3022)),--('Category Dictionary'!$D$5:$D$135&lt;&gt;"")))</f>
        <v/>
      </c>
      <c r="L3022" s="27">
        <f>IF($A3022="","",TRIM(IF(ISERROR(FIND(",",$C3022)),$C3022,LEFT($C3022,FIND(",",$C3022)-1))))</f>
        <v/>
      </c>
      <c r="M3022" s="28">
        <f>IF($H3022="","",DATE(YEAR($H3022),MONTH($H3022),1))</f>
        <v/>
      </c>
      <c r="N3022" s="26">
        <f>IF($H3022="","",TODAY()-$H3022)</f>
        <v/>
      </c>
      <c r="O3022" s="15" t="n"/>
      <c r="P3022" s="26">
        <f>IF($A3022="","",COUNTIFS('Audit Versions'!$A$6:$A$605,$A3022,'Audit Versions'!$L$6:$L$605,"Active"))</f>
        <v/>
      </c>
      <c r="Q3022" s="15" t="n"/>
      <c r="R3022" s="26">
        <f>IF(OR($A3022="",$P3022=0),"",MOD(N($Q3022),$P3022)+1)</f>
        <v/>
      </c>
      <c r="S3022" s="15" t="n"/>
      <c r="T3022" s="25" t="n"/>
      <c r="U3022" s="26">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Builder'!$B$12="",N($S3022)&lt;='Assignment Builder'!$B$12)))</f>
        <v/>
      </c>
      <c r="V3022" s="23" t="n"/>
    </row>
    <row r="3023">
      <c r="A3023" s="23" t="n"/>
      <c r="B3023" s="23" t="n"/>
      <c r="C3023" s="24" t="n"/>
      <c r="D3023" s="15" t="n"/>
      <c r="E3023" s="23" t="n"/>
      <c r="F3023" s="15" t="n"/>
      <c r="G3023" s="23" t="n"/>
      <c r="H3023" s="25" t="n"/>
      <c r="I3023" s="15" t="n"/>
      <c r="J3023" s="26">
        <f>IF($A3023="","",LEN($C3023)-LEN(SUBSTITUTE($C3023,",",""))+1)</f>
        <v/>
      </c>
      <c r="K3023" s="26">
        <f>IF($A3023="","",SUMPRODUCT(--ISNUMBER(SEARCH('Category Dictionary'!$D$5:$D$135&amp;"",$C3023)),--('Category Dictionary'!$D$5:$D$135&lt;&gt;"")))</f>
        <v/>
      </c>
      <c r="L3023" s="27">
        <f>IF($A3023="","",TRIM(IF(ISERROR(FIND(",",$C3023)),$C3023,LEFT($C3023,FIND(",",$C3023)-1))))</f>
        <v/>
      </c>
      <c r="M3023" s="28">
        <f>IF($H3023="","",DATE(YEAR($H3023),MONTH($H3023),1))</f>
        <v/>
      </c>
      <c r="N3023" s="26">
        <f>IF($H3023="","",TODAY()-$H3023)</f>
        <v/>
      </c>
      <c r="O3023" s="15" t="n"/>
      <c r="P3023" s="26">
        <f>IF($A3023="","",COUNTIFS('Audit Versions'!$A$6:$A$605,$A3023,'Audit Versions'!$L$6:$L$605,"Active"))</f>
        <v/>
      </c>
      <c r="Q3023" s="15" t="n"/>
      <c r="R3023" s="26">
        <f>IF(OR($A3023="",$P3023=0),"",MOD(N($Q3023),$P3023)+1)</f>
        <v/>
      </c>
      <c r="S3023" s="15" t="n"/>
      <c r="T3023" s="25" t="n"/>
      <c r="U3023" s="26">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Builder'!$B$12="",N($S3023)&lt;='Assignment Builder'!$B$12)))</f>
        <v/>
      </c>
      <c r="V3023" s="23" t="n"/>
    </row>
    <row r="3024">
      <c r="A3024" s="23" t="n"/>
      <c r="B3024" s="23" t="n"/>
      <c r="C3024" s="24" t="n"/>
      <c r="D3024" s="15" t="n"/>
      <c r="E3024" s="23" t="n"/>
      <c r="F3024" s="15" t="n"/>
      <c r="G3024" s="23" t="n"/>
      <c r="H3024" s="25" t="n"/>
      <c r="I3024" s="15" t="n"/>
      <c r="J3024" s="26">
        <f>IF($A3024="","",LEN($C3024)-LEN(SUBSTITUTE($C3024,",",""))+1)</f>
        <v/>
      </c>
      <c r="K3024" s="26">
        <f>IF($A3024="","",SUMPRODUCT(--ISNUMBER(SEARCH('Category Dictionary'!$D$5:$D$135&amp;"",$C3024)),--('Category Dictionary'!$D$5:$D$135&lt;&gt;"")))</f>
        <v/>
      </c>
      <c r="L3024" s="27">
        <f>IF($A3024="","",TRIM(IF(ISERROR(FIND(",",$C3024)),$C3024,LEFT($C3024,FIND(",",$C3024)-1))))</f>
        <v/>
      </c>
      <c r="M3024" s="28">
        <f>IF($H3024="","",DATE(YEAR($H3024),MONTH($H3024),1))</f>
        <v/>
      </c>
      <c r="N3024" s="26">
        <f>IF($H3024="","",TODAY()-$H3024)</f>
        <v/>
      </c>
      <c r="O3024" s="15" t="n"/>
      <c r="P3024" s="26">
        <f>IF($A3024="","",COUNTIFS('Audit Versions'!$A$6:$A$605,$A3024,'Audit Versions'!$L$6:$L$605,"Active"))</f>
        <v/>
      </c>
      <c r="Q3024" s="15" t="n"/>
      <c r="R3024" s="26">
        <f>IF(OR($A3024="",$P3024=0),"",MOD(N($Q3024),$P3024)+1)</f>
        <v/>
      </c>
      <c r="S3024" s="15" t="n"/>
      <c r="T3024" s="25" t="n"/>
      <c r="U3024" s="26">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Builder'!$B$12="",N($S3024)&lt;='Assignment Builder'!$B$12)))</f>
        <v/>
      </c>
      <c r="V3024" s="23" t="n"/>
    </row>
    <row r="3025">
      <c r="A3025" s="23" t="n"/>
      <c r="B3025" s="23" t="n"/>
      <c r="C3025" s="24" t="n"/>
      <c r="D3025" s="15" t="n"/>
      <c r="E3025" s="23" t="n"/>
      <c r="F3025" s="15" t="n"/>
      <c r="G3025" s="23" t="n"/>
      <c r="H3025" s="25" t="n"/>
      <c r="I3025" s="15" t="n"/>
      <c r="J3025" s="26">
        <f>IF($A3025="","",LEN($C3025)-LEN(SUBSTITUTE($C3025,",",""))+1)</f>
        <v/>
      </c>
      <c r="K3025" s="26">
        <f>IF($A3025="","",SUMPRODUCT(--ISNUMBER(SEARCH('Category Dictionary'!$D$5:$D$135&amp;"",$C3025)),--('Category Dictionary'!$D$5:$D$135&lt;&gt;"")))</f>
        <v/>
      </c>
      <c r="L3025" s="27">
        <f>IF($A3025="","",TRIM(IF(ISERROR(FIND(",",$C3025)),$C3025,LEFT($C3025,FIND(",",$C3025)-1))))</f>
        <v/>
      </c>
      <c r="M3025" s="28">
        <f>IF($H3025="","",DATE(YEAR($H3025),MONTH($H3025),1))</f>
        <v/>
      </c>
      <c r="N3025" s="26">
        <f>IF($H3025="","",TODAY()-$H3025)</f>
        <v/>
      </c>
      <c r="O3025" s="15" t="n"/>
      <c r="P3025" s="26">
        <f>IF($A3025="","",COUNTIFS('Audit Versions'!$A$6:$A$605,$A3025,'Audit Versions'!$L$6:$L$605,"Active"))</f>
        <v/>
      </c>
      <c r="Q3025" s="15" t="n"/>
      <c r="R3025" s="26">
        <f>IF(OR($A3025="",$P3025=0),"",MOD(N($Q3025),$P3025)+1)</f>
        <v/>
      </c>
      <c r="S3025" s="15" t="n"/>
      <c r="T3025" s="25" t="n"/>
      <c r="U3025" s="26">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Builder'!$B$12="",N($S3025)&lt;='Assignment Builder'!$B$12)))</f>
        <v/>
      </c>
      <c r="V3025" s="23" t="n"/>
    </row>
    <row r="3026">
      <c r="A3026" s="23" t="n"/>
      <c r="B3026" s="23" t="n"/>
      <c r="C3026" s="24" t="n"/>
      <c r="D3026" s="15" t="n"/>
      <c r="E3026" s="23" t="n"/>
      <c r="F3026" s="15" t="n"/>
      <c r="G3026" s="23" t="n"/>
      <c r="H3026" s="25" t="n"/>
      <c r="I3026" s="15" t="n"/>
      <c r="J3026" s="26">
        <f>IF($A3026="","",LEN($C3026)-LEN(SUBSTITUTE($C3026,",",""))+1)</f>
        <v/>
      </c>
      <c r="K3026" s="26">
        <f>IF($A3026="","",SUMPRODUCT(--ISNUMBER(SEARCH('Category Dictionary'!$D$5:$D$135&amp;"",$C3026)),--('Category Dictionary'!$D$5:$D$135&lt;&gt;"")))</f>
        <v/>
      </c>
      <c r="L3026" s="27">
        <f>IF($A3026="","",TRIM(IF(ISERROR(FIND(",",$C3026)),$C3026,LEFT($C3026,FIND(",",$C3026)-1))))</f>
        <v/>
      </c>
      <c r="M3026" s="28">
        <f>IF($H3026="","",DATE(YEAR($H3026),MONTH($H3026),1))</f>
        <v/>
      </c>
      <c r="N3026" s="26">
        <f>IF($H3026="","",TODAY()-$H3026)</f>
        <v/>
      </c>
      <c r="O3026" s="15" t="n"/>
      <c r="P3026" s="26">
        <f>IF($A3026="","",COUNTIFS('Audit Versions'!$A$6:$A$605,$A3026,'Audit Versions'!$L$6:$L$605,"Active"))</f>
        <v/>
      </c>
      <c r="Q3026" s="15" t="n"/>
      <c r="R3026" s="26">
        <f>IF(OR($A3026="",$P3026=0),"",MOD(N($Q3026),$P3026)+1)</f>
        <v/>
      </c>
      <c r="S3026" s="15" t="n"/>
      <c r="T3026" s="25" t="n"/>
      <c r="U3026" s="26">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Builder'!$B$12="",N($S3026)&lt;='Assignment Builder'!$B$12)))</f>
        <v/>
      </c>
      <c r="V3026" s="23" t="n"/>
    </row>
    <row r="3027">
      <c r="A3027" s="23" t="n"/>
      <c r="B3027" s="23" t="n"/>
      <c r="C3027" s="24" t="n"/>
      <c r="D3027" s="15" t="n"/>
      <c r="E3027" s="23" t="n"/>
      <c r="F3027" s="15" t="n"/>
      <c r="G3027" s="23" t="n"/>
      <c r="H3027" s="25" t="n"/>
      <c r="I3027" s="15" t="n"/>
      <c r="J3027" s="26">
        <f>IF($A3027="","",LEN($C3027)-LEN(SUBSTITUTE($C3027,",",""))+1)</f>
        <v/>
      </c>
      <c r="K3027" s="26">
        <f>IF($A3027="","",SUMPRODUCT(--ISNUMBER(SEARCH('Category Dictionary'!$D$5:$D$135&amp;"",$C3027)),--('Category Dictionary'!$D$5:$D$135&lt;&gt;"")))</f>
        <v/>
      </c>
      <c r="L3027" s="27">
        <f>IF($A3027="","",TRIM(IF(ISERROR(FIND(",",$C3027)),$C3027,LEFT($C3027,FIND(",",$C3027)-1))))</f>
        <v/>
      </c>
      <c r="M3027" s="28">
        <f>IF($H3027="","",DATE(YEAR($H3027),MONTH($H3027),1))</f>
        <v/>
      </c>
      <c r="N3027" s="26">
        <f>IF($H3027="","",TODAY()-$H3027)</f>
        <v/>
      </c>
      <c r="O3027" s="15" t="n"/>
      <c r="P3027" s="26">
        <f>IF($A3027="","",COUNTIFS('Audit Versions'!$A$6:$A$605,$A3027,'Audit Versions'!$L$6:$L$605,"Active"))</f>
        <v/>
      </c>
      <c r="Q3027" s="15" t="n"/>
      <c r="R3027" s="26">
        <f>IF(OR($A3027="",$P3027=0),"",MOD(N($Q3027),$P3027)+1)</f>
        <v/>
      </c>
      <c r="S3027" s="15" t="n"/>
      <c r="T3027" s="25" t="n"/>
      <c r="U3027" s="26">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Builder'!$B$12="",N($S3027)&lt;='Assignment Builder'!$B$12)))</f>
        <v/>
      </c>
      <c r="V3027" s="23" t="n"/>
    </row>
    <row r="3028">
      <c r="A3028" s="23" t="n"/>
      <c r="B3028" s="23" t="n"/>
      <c r="C3028" s="24" t="n"/>
      <c r="D3028" s="15" t="n"/>
      <c r="E3028" s="23" t="n"/>
      <c r="F3028" s="15" t="n"/>
      <c r="G3028" s="23" t="n"/>
      <c r="H3028" s="25" t="n"/>
      <c r="I3028" s="15" t="n"/>
      <c r="J3028" s="26">
        <f>IF($A3028="","",LEN($C3028)-LEN(SUBSTITUTE($C3028,",",""))+1)</f>
        <v/>
      </c>
      <c r="K3028" s="26">
        <f>IF($A3028="","",SUMPRODUCT(--ISNUMBER(SEARCH('Category Dictionary'!$D$5:$D$135&amp;"",$C3028)),--('Category Dictionary'!$D$5:$D$135&lt;&gt;"")))</f>
        <v/>
      </c>
      <c r="L3028" s="27">
        <f>IF($A3028="","",TRIM(IF(ISERROR(FIND(",",$C3028)),$C3028,LEFT($C3028,FIND(",",$C3028)-1))))</f>
        <v/>
      </c>
      <c r="M3028" s="28">
        <f>IF($H3028="","",DATE(YEAR($H3028),MONTH($H3028),1))</f>
        <v/>
      </c>
      <c r="N3028" s="26">
        <f>IF($H3028="","",TODAY()-$H3028)</f>
        <v/>
      </c>
      <c r="O3028" s="15" t="n"/>
      <c r="P3028" s="26">
        <f>IF($A3028="","",COUNTIFS('Audit Versions'!$A$6:$A$605,$A3028,'Audit Versions'!$L$6:$L$605,"Active"))</f>
        <v/>
      </c>
      <c r="Q3028" s="15" t="n"/>
      <c r="R3028" s="26">
        <f>IF(OR($A3028="",$P3028=0),"",MOD(N($Q3028),$P3028)+1)</f>
        <v/>
      </c>
      <c r="S3028" s="15" t="n"/>
      <c r="T3028" s="25" t="n"/>
      <c r="U3028" s="26">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Builder'!$B$12="",N($S3028)&lt;='Assignment Builder'!$B$12)))</f>
        <v/>
      </c>
      <c r="V3028" s="23" t="n"/>
    </row>
    <row r="3029">
      <c r="A3029" s="23" t="n"/>
      <c r="B3029" s="23" t="n"/>
      <c r="C3029" s="24" t="n"/>
      <c r="D3029" s="15" t="n"/>
      <c r="E3029" s="23" t="n"/>
      <c r="F3029" s="15" t="n"/>
      <c r="G3029" s="23" t="n"/>
      <c r="H3029" s="25" t="n"/>
      <c r="I3029" s="15" t="n"/>
      <c r="J3029" s="26">
        <f>IF($A3029="","",LEN($C3029)-LEN(SUBSTITUTE($C3029,",",""))+1)</f>
        <v/>
      </c>
      <c r="K3029" s="26">
        <f>IF($A3029="","",SUMPRODUCT(--ISNUMBER(SEARCH('Category Dictionary'!$D$5:$D$135&amp;"",$C3029)),--('Category Dictionary'!$D$5:$D$135&lt;&gt;"")))</f>
        <v/>
      </c>
      <c r="L3029" s="27">
        <f>IF($A3029="","",TRIM(IF(ISERROR(FIND(",",$C3029)),$C3029,LEFT($C3029,FIND(",",$C3029)-1))))</f>
        <v/>
      </c>
      <c r="M3029" s="28">
        <f>IF($H3029="","",DATE(YEAR($H3029),MONTH($H3029),1))</f>
        <v/>
      </c>
      <c r="N3029" s="26">
        <f>IF($H3029="","",TODAY()-$H3029)</f>
        <v/>
      </c>
      <c r="O3029" s="15" t="n"/>
      <c r="P3029" s="26">
        <f>IF($A3029="","",COUNTIFS('Audit Versions'!$A$6:$A$605,$A3029,'Audit Versions'!$L$6:$L$605,"Active"))</f>
        <v/>
      </c>
      <c r="Q3029" s="15" t="n"/>
      <c r="R3029" s="26">
        <f>IF(OR($A3029="",$P3029=0),"",MOD(N($Q3029),$P3029)+1)</f>
        <v/>
      </c>
      <c r="S3029" s="15" t="n"/>
      <c r="T3029" s="25" t="n"/>
      <c r="U3029" s="26">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Builder'!$B$12="",N($S3029)&lt;='Assignment Builder'!$B$12)))</f>
        <v/>
      </c>
      <c r="V3029" s="23" t="n"/>
    </row>
    <row r="3030">
      <c r="A3030" s="23" t="n"/>
      <c r="B3030" s="23" t="n"/>
      <c r="C3030" s="24" t="n"/>
      <c r="D3030" s="15" t="n"/>
      <c r="E3030" s="23" t="n"/>
      <c r="F3030" s="15" t="n"/>
      <c r="G3030" s="23" t="n"/>
      <c r="H3030" s="25" t="n"/>
      <c r="I3030" s="15" t="n"/>
      <c r="J3030" s="26">
        <f>IF($A3030="","",LEN($C3030)-LEN(SUBSTITUTE($C3030,",",""))+1)</f>
        <v/>
      </c>
      <c r="K3030" s="26">
        <f>IF($A3030="","",SUMPRODUCT(--ISNUMBER(SEARCH('Category Dictionary'!$D$5:$D$135&amp;"",$C3030)),--('Category Dictionary'!$D$5:$D$135&lt;&gt;"")))</f>
        <v/>
      </c>
      <c r="L3030" s="27">
        <f>IF($A3030="","",TRIM(IF(ISERROR(FIND(",",$C3030)),$C3030,LEFT($C3030,FIND(",",$C3030)-1))))</f>
        <v/>
      </c>
      <c r="M3030" s="28">
        <f>IF($H3030="","",DATE(YEAR($H3030),MONTH($H3030),1))</f>
        <v/>
      </c>
      <c r="N3030" s="26">
        <f>IF($H3030="","",TODAY()-$H3030)</f>
        <v/>
      </c>
      <c r="O3030" s="15" t="n"/>
      <c r="P3030" s="26">
        <f>IF($A3030="","",COUNTIFS('Audit Versions'!$A$6:$A$605,$A3030,'Audit Versions'!$L$6:$L$605,"Active"))</f>
        <v/>
      </c>
      <c r="Q3030" s="15" t="n"/>
      <c r="R3030" s="26">
        <f>IF(OR($A3030="",$P3030=0),"",MOD(N($Q3030),$P3030)+1)</f>
        <v/>
      </c>
      <c r="S3030" s="15" t="n"/>
      <c r="T3030" s="25" t="n"/>
      <c r="U3030" s="26">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Builder'!$B$12="",N($S3030)&lt;='Assignment Builder'!$B$12)))</f>
        <v/>
      </c>
      <c r="V3030" s="23" t="n"/>
    </row>
    <row r="3031">
      <c r="A3031" s="23" t="n"/>
      <c r="B3031" s="23" t="n"/>
      <c r="C3031" s="24" t="n"/>
      <c r="D3031" s="15" t="n"/>
      <c r="E3031" s="23" t="n"/>
      <c r="F3031" s="15" t="n"/>
      <c r="G3031" s="23" t="n"/>
      <c r="H3031" s="25" t="n"/>
      <c r="I3031" s="15" t="n"/>
      <c r="J3031" s="26">
        <f>IF($A3031="","",LEN($C3031)-LEN(SUBSTITUTE($C3031,",",""))+1)</f>
        <v/>
      </c>
      <c r="K3031" s="26">
        <f>IF($A3031="","",SUMPRODUCT(--ISNUMBER(SEARCH('Category Dictionary'!$D$5:$D$135&amp;"",$C3031)),--('Category Dictionary'!$D$5:$D$135&lt;&gt;"")))</f>
        <v/>
      </c>
      <c r="L3031" s="27">
        <f>IF($A3031="","",TRIM(IF(ISERROR(FIND(",",$C3031)),$C3031,LEFT($C3031,FIND(",",$C3031)-1))))</f>
        <v/>
      </c>
      <c r="M3031" s="28">
        <f>IF($H3031="","",DATE(YEAR($H3031),MONTH($H3031),1))</f>
        <v/>
      </c>
      <c r="N3031" s="26">
        <f>IF($H3031="","",TODAY()-$H3031)</f>
        <v/>
      </c>
      <c r="O3031" s="15" t="n"/>
      <c r="P3031" s="26">
        <f>IF($A3031="","",COUNTIFS('Audit Versions'!$A$6:$A$605,$A3031,'Audit Versions'!$L$6:$L$605,"Active"))</f>
        <v/>
      </c>
      <c r="Q3031" s="15" t="n"/>
      <c r="R3031" s="26">
        <f>IF(OR($A3031="",$P3031=0),"",MOD(N($Q3031),$P3031)+1)</f>
        <v/>
      </c>
      <c r="S3031" s="15" t="n"/>
      <c r="T3031" s="25" t="n"/>
      <c r="U3031" s="26">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Builder'!$B$12="",N($S3031)&lt;='Assignment Builder'!$B$12)))</f>
        <v/>
      </c>
      <c r="V3031" s="23" t="n"/>
    </row>
    <row r="3032">
      <c r="A3032" s="23" t="n"/>
      <c r="B3032" s="23" t="n"/>
      <c r="C3032" s="24" t="n"/>
      <c r="D3032" s="15" t="n"/>
      <c r="E3032" s="23" t="n"/>
      <c r="F3032" s="15" t="n"/>
      <c r="G3032" s="23" t="n"/>
      <c r="H3032" s="25" t="n"/>
      <c r="I3032" s="15" t="n"/>
      <c r="J3032" s="26">
        <f>IF($A3032="","",LEN($C3032)-LEN(SUBSTITUTE($C3032,",",""))+1)</f>
        <v/>
      </c>
      <c r="K3032" s="26">
        <f>IF($A3032="","",SUMPRODUCT(--ISNUMBER(SEARCH('Category Dictionary'!$D$5:$D$135&amp;"",$C3032)),--('Category Dictionary'!$D$5:$D$135&lt;&gt;"")))</f>
        <v/>
      </c>
      <c r="L3032" s="27">
        <f>IF($A3032="","",TRIM(IF(ISERROR(FIND(",",$C3032)),$C3032,LEFT($C3032,FIND(",",$C3032)-1))))</f>
        <v/>
      </c>
      <c r="M3032" s="28">
        <f>IF($H3032="","",DATE(YEAR($H3032),MONTH($H3032),1))</f>
        <v/>
      </c>
      <c r="N3032" s="26">
        <f>IF($H3032="","",TODAY()-$H3032)</f>
        <v/>
      </c>
      <c r="O3032" s="15" t="n"/>
      <c r="P3032" s="26">
        <f>IF($A3032="","",COUNTIFS('Audit Versions'!$A$6:$A$605,$A3032,'Audit Versions'!$L$6:$L$605,"Active"))</f>
        <v/>
      </c>
      <c r="Q3032" s="15" t="n"/>
      <c r="R3032" s="26">
        <f>IF(OR($A3032="",$P3032=0),"",MOD(N($Q3032),$P3032)+1)</f>
        <v/>
      </c>
      <c r="S3032" s="15" t="n"/>
      <c r="T3032" s="25" t="n"/>
      <c r="U3032" s="26">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Builder'!$B$12="",N($S3032)&lt;='Assignment Builder'!$B$12)))</f>
        <v/>
      </c>
      <c r="V3032" s="23" t="n"/>
    </row>
    <row r="3033">
      <c r="A3033" s="23" t="n"/>
      <c r="B3033" s="23" t="n"/>
      <c r="C3033" s="24" t="n"/>
      <c r="D3033" s="15" t="n"/>
      <c r="E3033" s="23" t="n"/>
      <c r="F3033" s="15" t="n"/>
      <c r="G3033" s="23" t="n"/>
      <c r="H3033" s="25" t="n"/>
      <c r="I3033" s="15" t="n"/>
      <c r="J3033" s="26">
        <f>IF($A3033="","",LEN($C3033)-LEN(SUBSTITUTE($C3033,",",""))+1)</f>
        <v/>
      </c>
      <c r="K3033" s="26">
        <f>IF($A3033="","",SUMPRODUCT(--ISNUMBER(SEARCH('Category Dictionary'!$D$5:$D$135&amp;"",$C3033)),--('Category Dictionary'!$D$5:$D$135&lt;&gt;"")))</f>
        <v/>
      </c>
      <c r="L3033" s="27">
        <f>IF($A3033="","",TRIM(IF(ISERROR(FIND(",",$C3033)),$C3033,LEFT($C3033,FIND(",",$C3033)-1))))</f>
        <v/>
      </c>
      <c r="M3033" s="28">
        <f>IF($H3033="","",DATE(YEAR($H3033),MONTH($H3033),1))</f>
        <v/>
      </c>
      <c r="N3033" s="26">
        <f>IF($H3033="","",TODAY()-$H3033)</f>
        <v/>
      </c>
      <c r="O3033" s="15" t="n"/>
      <c r="P3033" s="26">
        <f>IF($A3033="","",COUNTIFS('Audit Versions'!$A$6:$A$605,$A3033,'Audit Versions'!$L$6:$L$605,"Active"))</f>
        <v/>
      </c>
      <c r="Q3033" s="15" t="n"/>
      <c r="R3033" s="26">
        <f>IF(OR($A3033="",$P3033=0),"",MOD(N($Q3033),$P3033)+1)</f>
        <v/>
      </c>
      <c r="S3033" s="15" t="n"/>
      <c r="T3033" s="25" t="n"/>
      <c r="U3033" s="26">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Builder'!$B$12="",N($S3033)&lt;='Assignment Builder'!$B$12)))</f>
        <v/>
      </c>
      <c r="V3033" s="23" t="n"/>
    </row>
    <row r="3034">
      <c r="A3034" s="23" t="n"/>
      <c r="B3034" s="23" t="n"/>
      <c r="C3034" s="24" t="n"/>
      <c r="D3034" s="15" t="n"/>
      <c r="E3034" s="23" t="n"/>
      <c r="F3034" s="15" t="n"/>
      <c r="G3034" s="23" t="n"/>
      <c r="H3034" s="25" t="n"/>
      <c r="I3034" s="15" t="n"/>
      <c r="J3034" s="26">
        <f>IF($A3034="","",LEN($C3034)-LEN(SUBSTITUTE($C3034,",",""))+1)</f>
        <v/>
      </c>
      <c r="K3034" s="26">
        <f>IF($A3034="","",SUMPRODUCT(--ISNUMBER(SEARCH('Category Dictionary'!$D$5:$D$135&amp;"",$C3034)),--('Category Dictionary'!$D$5:$D$135&lt;&gt;"")))</f>
        <v/>
      </c>
      <c r="L3034" s="27">
        <f>IF($A3034="","",TRIM(IF(ISERROR(FIND(",",$C3034)),$C3034,LEFT($C3034,FIND(",",$C3034)-1))))</f>
        <v/>
      </c>
      <c r="M3034" s="28">
        <f>IF($H3034="","",DATE(YEAR($H3034),MONTH($H3034),1))</f>
        <v/>
      </c>
      <c r="N3034" s="26">
        <f>IF($H3034="","",TODAY()-$H3034)</f>
        <v/>
      </c>
      <c r="O3034" s="15" t="n"/>
      <c r="P3034" s="26">
        <f>IF($A3034="","",COUNTIFS('Audit Versions'!$A$6:$A$605,$A3034,'Audit Versions'!$L$6:$L$605,"Active"))</f>
        <v/>
      </c>
      <c r="Q3034" s="15" t="n"/>
      <c r="R3034" s="26">
        <f>IF(OR($A3034="",$P3034=0),"",MOD(N($Q3034),$P3034)+1)</f>
        <v/>
      </c>
      <c r="S3034" s="15" t="n"/>
      <c r="T3034" s="25" t="n"/>
      <c r="U3034" s="26">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Builder'!$B$12="",N($S3034)&lt;='Assignment Builder'!$B$12)))</f>
        <v/>
      </c>
      <c r="V3034" s="23" t="n"/>
    </row>
    <row r="3035">
      <c r="A3035" s="23" t="n"/>
      <c r="B3035" s="23" t="n"/>
      <c r="C3035" s="24" t="n"/>
      <c r="D3035" s="15" t="n"/>
      <c r="E3035" s="23" t="n"/>
      <c r="F3035" s="15" t="n"/>
      <c r="G3035" s="23" t="n"/>
      <c r="H3035" s="25" t="n"/>
      <c r="I3035" s="15" t="n"/>
      <c r="J3035" s="26">
        <f>IF($A3035="","",LEN($C3035)-LEN(SUBSTITUTE($C3035,",",""))+1)</f>
        <v/>
      </c>
      <c r="K3035" s="26">
        <f>IF($A3035="","",SUMPRODUCT(--ISNUMBER(SEARCH('Category Dictionary'!$D$5:$D$135&amp;"",$C3035)),--('Category Dictionary'!$D$5:$D$135&lt;&gt;"")))</f>
        <v/>
      </c>
      <c r="L3035" s="27">
        <f>IF($A3035="","",TRIM(IF(ISERROR(FIND(",",$C3035)),$C3035,LEFT($C3035,FIND(",",$C3035)-1))))</f>
        <v/>
      </c>
      <c r="M3035" s="28">
        <f>IF($H3035="","",DATE(YEAR($H3035),MONTH($H3035),1))</f>
        <v/>
      </c>
      <c r="N3035" s="26">
        <f>IF($H3035="","",TODAY()-$H3035)</f>
        <v/>
      </c>
      <c r="O3035" s="15" t="n"/>
      <c r="P3035" s="26">
        <f>IF($A3035="","",COUNTIFS('Audit Versions'!$A$6:$A$605,$A3035,'Audit Versions'!$L$6:$L$605,"Active"))</f>
        <v/>
      </c>
      <c r="Q3035" s="15" t="n"/>
      <c r="R3035" s="26">
        <f>IF(OR($A3035="",$P3035=0),"",MOD(N($Q3035),$P3035)+1)</f>
        <v/>
      </c>
      <c r="S3035" s="15" t="n"/>
      <c r="T3035" s="25" t="n"/>
      <c r="U3035" s="26">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Builder'!$B$12="",N($S3035)&lt;='Assignment Builder'!$B$12)))</f>
        <v/>
      </c>
      <c r="V3035" s="23" t="n"/>
    </row>
    <row r="3036">
      <c r="A3036" s="23" t="n"/>
      <c r="B3036" s="23" t="n"/>
      <c r="C3036" s="24" t="n"/>
      <c r="D3036" s="15" t="n"/>
      <c r="E3036" s="23" t="n"/>
      <c r="F3036" s="15" t="n"/>
      <c r="G3036" s="23" t="n"/>
      <c r="H3036" s="25" t="n"/>
      <c r="I3036" s="15" t="n"/>
      <c r="J3036" s="26">
        <f>IF($A3036="","",LEN($C3036)-LEN(SUBSTITUTE($C3036,",",""))+1)</f>
        <v/>
      </c>
      <c r="K3036" s="26">
        <f>IF($A3036="","",SUMPRODUCT(--ISNUMBER(SEARCH('Category Dictionary'!$D$5:$D$135&amp;"",$C3036)),--('Category Dictionary'!$D$5:$D$135&lt;&gt;"")))</f>
        <v/>
      </c>
      <c r="L3036" s="27">
        <f>IF($A3036="","",TRIM(IF(ISERROR(FIND(",",$C3036)),$C3036,LEFT($C3036,FIND(",",$C3036)-1))))</f>
        <v/>
      </c>
      <c r="M3036" s="28">
        <f>IF($H3036="","",DATE(YEAR($H3036),MONTH($H3036),1))</f>
        <v/>
      </c>
      <c r="N3036" s="26">
        <f>IF($H3036="","",TODAY()-$H3036)</f>
        <v/>
      </c>
      <c r="O3036" s="15" t="n"/>
      <c r="P3036" s="26">
        <f>IF($A3036="","",COUNTIFS('Audit Versions'!$A$6:$A$605,$A3036,'Audit Versions'!$L$6:$L$605,"Active"))</f>
        <v/>
      </c>
      <c r="Q3036" s="15" t="n"/>
      <c r="R3036" s="26">
        <f>IF(OR($A3036="",$P3036=0),"",MOD(N($Q3036),$P3036)+1)</f>
        <v/>
      </c>
      <c r="S3036" s="15" t="n"/>
      <c r="T3036" s="25" t="n"/>
      <c r="U3036" s="26">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Builder'!$B$12="",N($S3036)&lt;='Assignment Builder'!$B$12)))</f>
        <v/>
      </c>
      <c r="V3036" s="23" t="n"/>
    </row>
    <row r="3037">
      <c r="A3037" s="23" t="n"/>
      <c r="B3037" s="23" t="n"/>
      <c r="C3037" s="24" t="n"/>
      <c r="D3037" s="15" t="n"/>
      <c r="E3037" s="23" t="n"/>
      <c r="F3037" s="15" t="n"/>
      <c r="G3037" s="23" t="n"/>
      <c r="H3037" s="25" t="n"/>
      <c r="I3037" s="15" t="n"/>
      <c r="J3037" s="26">
        <f>IF($A3037="","",LEN($C3037)-LEN(SUBSTITUTE($C3037,",",""))+1)</f>
        <v/>
      </c>
      <c r="K3037" s="26">
        <f>IF($A3037="","",SUMPRODUCT(--ISNUMBER(SEARCH('Category Dictionary'!$D$5:$D$135&amp;"",$C3037)),--('Category Dictionary'!$D$5:$D$135&lt;&gt;"")))</f>
        <v/>
      </c>
      <c r="L3037" s="27">
        <f>IF($A3037="","",TRIM(IF(ISERROR(FIND(",",$C3037)),$C3037,LEFT($C3037,FIND(",",$C3037)-1))))</f>
        <v/>
      </c>
      <c r="M3037" s="28">
        <f>IF($H3037="","",DATE(YEAR($H3037),MONTH($H3037),1))</f>
        <v/>
      </c>
      <c r="N3037" s="26">
        <f>IF($H3037="","",TODAY()-$H3037)</f>
        <v/>
      </c>
      <c r="O3037" s="15" t="n"/>
      <c r="P3037" s="26">
        <f>IF($A3037="","",COUNTIFS('Audit Versions'!$A$6:$A$605,$A3037,'Audit Versions'!$L$6:$L$605,"Active"))</f>
        <v/>
      </c>
      <c r="Q3037" s="15" t="n"/>
      <c r="R3037" s="26">
        <f>IF(OR($A3037="",$P3037=0),"",MOD(N($Q3037),$P3037)+1)</f>
        <v/>
      </c>
      <c r="S3037" s="15" t="n"/>
      <c r="T3037" s="25" t="n"/>
      <c r="U3037" s="26">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Builder'!$B$12="",N($S3037)&lt;='Assignment Builder'!$B$12)))</f>
        <v/>
      </c>
      <c r="V3037" s="23" t="n"/>
    </row>
    <row r="3038">
      <c r="A3038" s="23" t="n"/>
      <c r="B3038" s="23" t="n"/>
      <c r="C3038" s="24" t="n"/>
      <c r="D3038" s="15" t="n"/>
      <c r="E3038" s="23" t="n"/>
      <c r="F3038" s="15" t="n"/>
      <c r="G3038" s="23" t="n"/>
      <c r="H3038" s="25" t="n"/>
      <c r="I3038" s="15" t="n"/>
      <c r="J3038" s="26">
        <f>IF($A3038="","",LEN($C3038)-LEN(SUBSTITUTE($C3038,",",""))+1)</f>
        <v/>
      </c>
      <c r="K3038" s="26">
        <f>IF($A3038="","",SUMPRODUCT(--ISNUMBER(SEARCH('Category Dictionary'!$D$5:$D$135&amp;"",$C3038)),--('Category Dictionary'!$D$5:$D$135&lt;&gt;"")))</f>
        <v/>
      </c>
      <c r="L3038" s="27">
        <f>IF($A3038="","",TRIM(IF(ISERROR(FIND(",",$C3038)),$C3038,LEFT($C3038,FIND(",",$C3038)-1))))</f>
        <v/>
      </c>
      <c r="M3038" s="28">
        <f>IF($H3038="","",DATE(YEAR($H3038),MONTH($H3038),1))</f>
        <v/>
      </c>
      <c r="N3038" s="26">
        <f>IF($H3038="","",TODAY()-$H3038)</f>
        <v/>
      </c>
      <c r="O3038" s="15" t="n"/>
      <c r="P3038" s="26">
        <f>IF($A3038="","",COUNTIFS('Audit Versions'!$A$6:$A$605,$A3038,'Audit Versions'!$L$6:$L$605,"Active"))</f>
        <v/>
      </c>
      <c r="Q3038" s="15" t="n"/>
      <c r="R3038" s="26">
        <f>IF(OR($A3038="",$P3038=0),"",MOD(N($Q3038),$P3038)+1)</f>
        <v/>
      </c>
      <c r="S3038" s="15" t="n"/>
      <c r="T3038" s="25" t="n"/>
      <c r="U3038" s="26">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Builder'!$B$12="",N($S3038)&lt;='Assignment Builder'!$B$12)))</f>
        <v/>
      </c>
      <c r="V3038" s="23" t="n"/>
    </row>
    <row r="3039">
      <c r="A3039" s="23" t="n"/>
      <c r="B3039" s="23" t="n"/>
      <c r="C3039" s="24" t="n"/>
      <c r="D3039" s="15" t="n"/>
      <c r="E3039" s="23" t="n"/>
      <c r="F3039" s="15" t="n"/>
      <c r="G3039" s="23" t="n"/>
      <c r="H3039" s="25" t="n"/>
      <c r="I3039" s="15" t="n"/>
      <c r="J3039" s="26">
        <f>IF($A3039="","",LEN($C3039)-LEN(SUBSTITUTE($C3039,",",""))+1)</f>
        <v/>
      </c>
      <c r="K3039" s="26">
        <f>IF($A3039="","",SUMPRODUCT(--ISNUMBER(SEARCH('Category Dictionary'!$D$5:$D$135&amp;"",$C3039)),--('Category Dictionary'!$D$5:$D$135&lt;&gt;"")))</f>
        <v/>
      </c>
      <c r="L3039" s="27">
        <f>IF($A3039="","",TRIM(IF(ISERROR(FIND(",",$C3039)),$C3039,LEFT($C3039,FIND(",",$C3039)-1))))</f>
        <v/>
      </c>
      <c r="M3039" s="28">
        <f>IF($H3039="","",DATE(YEAR($H3039),MONTH($H3039),1))</f>
        <v/>
      </c>
      <c r="N3039" s="26">
        <f>IF($H3039="","",TODAY()-$H3039)</f>
        <v/>
      </c>
      <c r="O3039" s="15" t="n"/>
      <c r="P3039" s="26">
        <f>IF($A3039="","",COUNTIFS('Audit Versions'!$A$6:$A$605,$A3039,'Audit Versions'!$L$6:$L$605,"Active"))</f>
        <v/>
      </c>
      <c r="Q3039" s="15" t="n"/>
      <c r="R3039" s="26">
        <f>IF(OR($A3039="",$P3039=0),"",MOD(N($Q3039),$P3039)+1)</f>
        <v/>
      </c>
      <c r="S3039" s="15" t="n"/>
      <c r="T3039" s="25" t="n"/>
      <c r="U3039" s="26">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Builder'!$B$12="",N($S3039)&lt;='Assignment Builder'!$B$12)))</f>
        <v/>
      </c>
      <c r="V3039" s="23" t="n"/>
    </row>
    <row r="3040">
      <c r="A3040" s="23" t="n"/>
      <c r="B3040" s="23" t="n"/>
      <c r="C3040" s="24" t="n"/>
      <c r="D3040" s="15" t="n"/>
      <c r="E3040" s="23" t="n"/>
      <c r="F3040" s="15" t="n"/>
      <c r="G3040" s="23" t="n"/>
      <c r="H3040" s="25" t="n"/>
      <c r="I3040" s="15" t="n"/>
      <c r="J3040" s="26">
        <f>IF($A3040="","",LEN($C3040)-LEN(SUBSTITUTE($C3040,",",""))+1)</f>
        <v/>
      </c>
      <c r="K3040" s="26">
        <f>IF($A3040="","",SUMPRODUCT(--ISNUMBER(SEARCH('Category Dictionary'!$D$5:$D$135&amp;"",$C3040)),--('Category Dictionary'!$D$5:$D$135&lt;&gt;"")))</f>
        <v/>
      </c>
      <c r="L3040" s="27">
        <f>IF($A3040="","",TRIM(IF(ISERROR(FIND(",",$C3040)),$C3040,LEFT($C3040,FIND(",",$C3040)-1))))</f>
        <v/>
      </c>
      <c r="M3040" s="28">
        <f>IF($H3040="","",DATE(YEAR($H3040),MONTH($H3040),1))</f>
        <v/>
      </c>
      <c r="N3040" s="26">
        <f>IF($H3040="","",TODAY()-$H3040)</f>
        <v/>
      </c>
      <c r="O3040" s="15" t="n"/>
      <c r="P3040" s="26">
        <f>IF($A3040="","",COUNTIFS('Audit Versions'!$A$6:$A$605,$A3040,'Audit Versions'!$L$6:$L$605,"Active"))</f>
        <v/>
      </c>
      <c r="Q3040" s="15" t="n"/>
      <c r="R3040" s="26">
        <f>IF(OR($A3040="",$P3040=0),"",MOD(N($Q3040),$P3040)+1)</f>
        <v/>
      </c>
      <c r="S3040" s="15" t="n"/>
      <c r="T3040" s="25" t="n"/>
      <c r="U3040" s="26">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Builder'!$B$12="",N($S3040)&lt;='Assignment Builder'!$B$12)))</f>
        <v/>
      </c>
      <c r="V3040" s="23" t="n"/>
    </row>
    <row r="3041">
      <c r="A3041" s="23" t="n"/>
      <c r="B3041" s="23" t="n"/>
      <c r="C3041" s="24" t="n"/>
      <c r="D3041" s="15" t="n"/>
      <c r="E3041" s="23" t="n"/>
      <c r="F3041" s="15" t="n"/>
      <c r="G3041" s="23" t="n"/>
      <c r="H3041" s="25" t="n"/>
      <c r="I3041" s="15" t="n"/>
      <c r="J3041" s="26">
        <f>IF($A3041="","",LEN($C3041)-LEN(SUBSTITUTE($C3041,",",""))+1)</f>
        <v/>
      </c>
      <c r="K3041" s="26">
        <f>IF($A3041="","",SUMPRODUCT(--ISNUMBER(SEARCH('Category Dictionary'!$D$5:$D$135&amp;"",$C3041)),--('Category Dictionary'!$D$5:$D$135&lt;&gt;"")))</f>
        <v/>
      </c>
      <c r="L3041" s="27">
        <f>IF($A3041="","",TRIM(IF(ISERROR(FIND(",",$C3041)),$C3041,LEFT($C3041,FIND(",",$C3041)-1))))</f>
        <v/>
      </c>
      <c r="M3041" s="28">
        <f>IF($H3041="","",DATE(YEAR($H3041),MONTH($H3041),1))</f>
        <v/>
      </c>
      <c r="N3041" s="26">
        <f>IF($H3041="","",TODAY()-$H3041)</f>
        <v/>
      </c>
      <c r="O3041" s="15" t="n"/>
      <c r="P3041" s="26">
        <f>IF($A3041="","",COUNTIFS('Audit Versions'!$A$6:$A$605,$A3041,'Audit Versions'!$L$6:$L$605,"Active"))</f>
        <v/>
      </c>
      <c r="Q3041" s="15" t="n"/>
      <c r="R3041" s="26">
        <f>IF(OR($A3041="",$P3041=0),"",MOD(N($Q3041),$P3041)+1)</f>
        <v/>
      </c>
      <c r="S3041" s="15" t="n"/>
      <c r="T3041" s="25" t="n"/>
      <c r="U3041" s="26">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Builder'!$B$12="",N($S3041)&lt;='Assignment Builder'!$B$12)))</f>
        <v/>
      </c>
      <c r="V3041" s="23" t="n"/>
    </row>
    <row r="3042">
      <c r="A3042" s="23" t="n"/>
      <c r="B3042" s="23" t="n"/>
      <c r="C3042" s="24" t="n"/>
      <c r="D3042" s="15" t="n"/>
      <c r="E3042" s="23" t="n"/>
      <c r="F3042" s="15" t="n"/>
      <c r="G3042" s="23" t="n"/>
      <c r="H3042" s="25" t="n"/>
      <c r="I3042" s="15" t="n"/>
      <c r="J3042" s="26">
        <f>IF($A3042="","",LEN($C3042)-LEN(SUBSTITUTE($C3042,",",""))+1)</f>
        <v/>
      </c>
      <c r="K3042" s="26">
        <f>IF($A3042="","",SUMPRODUCT(--ISNUMBER(SEARCH('Category Dictionary'!$D$5:$D$135&amp;"",$C3042)),--('Category Dictionary'!$D$5:$D$135&lt;&gt;"")))</f>
        <v/>
      </c>
      <c r="L3042" s="27">
        <f>IF($A3042="","",TRIM(IF(ISERROR(FIND(",",$C3042)),$C3042,LEFT($C3042,FIND(",",$C3042)-1))))</f>
        <v/>
      </c>
      <c r="M3042" s="28">
        <f>IF($H3042="","",DATE(YEAR($H3042),MONTH($H3042),1))</f>
        <v/>
      </c>
      <c r="N3042" s="26">
        <f>IF($H3042="","",TODAY()-$H3042)</f>
        <v/>
      </c>
      <c r="O3042" s="15" t="n"/>
      <c r="P3042" s="26">
        <f>IF($A3042="","",COUNTIFS('Audit Versions'!$A$6:$A$605,$A3042,'Audit Versions'!$L$6:$L$605,"Active"))</f>
        <v/>
      </c>
      <c r="Q3042" s="15" t="n"/>
      <c r="R3042" s="26">
        <f>IF(OR($A3042="",$P3042=0),"",MOD(N($Q3042),$P3042)+1)</f>
        <v/>
      </c>
      <c r="S3042" s="15" t="n"/>
      <c r="T3042" s="25" t="n"/>
      <c r="U3042" s="26">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Builder'!$B$12="",N($S3042)&lt;='Assignment Builder'!$B$12)))</f>
        <v/>
      </c>
      <c r="V3042" s="23" t="n"/>
    </row>
    <row r="3043">
      <c r="A3043" s="23" t="n"/>
      <c r="B3043" s="23" t="n"/>
      <c r="C3043" s="24" t="n"/>
      <c r="D3043" s="15" t="n"/>
      <c r="E3043" s="23" t="n"/>
      <c r="F3043" s="15" t="n"/>
      <c r="G3043" s="23" t="n"/>
      <c r="H3043" s="25" t="n"/>
      <c r="I3043" s="15" t="n"/>
      <c r="J3043" s="26">
        <f>IF($A3043="","",LEN($C3043)-LEN(SUBSTITUTE($C3043,",",""))+1)</f>
        <v/>
      </c>
      <c r="K3043" s="26">
        <f>IF($A3043="","",SUMPRODUCT(--ISNUMBER(SEARCH('Category Dictionary'!$D$5:$D$135&amp;"",$C3043)),--('Category Dictionary'!$D$5:$D$135&lt;&gt;"")))</f>
        <v/>
      </c>
      <c r="L3043" s="27">
        <f>IF($A3043="","",TRIM(IF(ISERROR(FIND(",",$C3043)),$C3043,LEFT($C3043,FIND(",",$C3043)-1))))</f>
        <v/>
      </c>
      <c r="M3043" s="28">
        <f>IF($H3043="","",DATE(YEAR($H3043),MONTH($H3043),1))</f>
        <v/>
      </c>
      <c r="N3043" s="26">
        <f>IF($H3043="","",TODAY()-$H3043)</f>
        <v/>
      </c>
      <c r="O3043" s="15" t="n"/>
      <c r="P3043" s="26">
        <f>IF($A3043="","",COUNTIFS('Audit Versions'!$A$6:$A$605,$A3043,'Audit Versions'!$L$6:$L$605,"Active"))</f>
        <v/>
      </c>
      <c r="Q3043" s="15" t="n"/>
      <c r="R3043" s="26">
        <f>IF(OR($A3043="",$P3043=0),"",MOD(N($Q3043),$P3043)+1)</f>
        <v/>
      </c>
      <c r="S3043" s="15" t="n"/>
      <c r="T3043" s="25" t="n"/>
      <c r="U3043" s="26">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Builder'!$B$12="",N($S3043)&lt;='Assignment Builder'!$B$12)))</f>
        <v/>
      </c>
      <c r="V3043" s="23" t="n"/>
    </row>
    <row r="3044">
      <c r="A3044" s="23" t="n"/>
      <c r="B3044" s="23" t="n"/>
      <c r="C3044" s="24" t="n"/>
      <c r="D3044" s="15" t="n"/>
      <c r="E3044" s="23" t="n"/>
      <c r="F3044" s="15" t="n"/>
      <c r="G3044" s="23" t="n"/>
      <c r="H3044" s="25" t="n"/>
      <c r="I3044" s="15" t="n"/>
      <c r="J3044" s="26">
        <f>IF($A3044="","",LEN($C3044)-LEN(SUBSTITUTE($C3044,",",""))+1)</f>
        <v/>
      </c>
      <c r="K3044" s="26">
        <f>IF($A3044="","",SUMPRODUCT(--ISNUMBER(SEARCH('Category Dictionary'!$D$5:$D$135&amp;"",$C3044)),--('Category Dictionary'!$D$5:$D$135&lt;&gt;"")))</f>
        <v/>
      </c>
      <c r="L3044" s="27">
        <f>IF($A3044="","",TRIM(IF(ISERROR(FIND(",",$C3044)),$C3044,LEFT($C3044,FIND(",",$C3044)-1))))</f>
        <v/>
      </c>
      <c r="M3044" s="28">
        <f>IF($H3044="","",DATE(YEAR($H3044),MONTH($H3044),1))</f>
        <v/>
      </c>
      <c r="N3044" s="26">
        <f>IF($H3044="","",TODAY()-$H3044)</f>
        <v/>
      </c>
      <c r="O3044" s="15" t="n"/>
      <c r="P3044" s="26">
        <f>IF($A3044="","",COUNTIFS('Audit Versions'!$A$6:$A$605,$A3044,'Audit Versions'!$L$6:$L$605,"Active"))</f>
        <v/>
      </c>
      <c r="Q3044" s="15" t="n"/>
      <c r="R3044" s="26">
        <f>IF(OR($A3044="",$P3044=0),"",MOD(N($Q3044),$P3044)+1)</f>
        <v/>
      </c>
      <c r="S3044" s="15" t="n"/>
      <c r="T3044" s="25" t="n"/>
      <c r="U3044" s="26">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Builder'!$B$12="",N($S3044)&lt;='Assignment Builder'!$B$12)))</f>
        <v/>
      </c>
      <c r="V3044" s="23" t="n"/>
    </row>
    <row r="3045">
      <c r="A3045" s="23" t="n"/>
      <c r="B3045" s="23" t="n"/>
      <c r="C3045" s="24" t="n"/>
      <c r="D3045" s="15" t="n"/>
      <c r="E3045" s="23" t="n"/>
      <c r="F3045" s="15" t="n"/>
      <c r="G3045" s="23" t="n"/>
      <c r="H3045" s="25" t="n"/>
      <c r="I3045" s="15" t="n"/>
      <c r="J3045" s="26">
        <f>IF($A3045="","",LEN($C3045)-LEN(SUBSTITUTE($C3045,",",""))+1)</f>
        <v/>
      </c>
      <c r="K3045" s="26">
        <f>IF($A3045="","",SUMPRODUCT(--ISNUMBER(SEARCH('Category Dictionary'!$D$5:$D$135&amp;"",$C3045)),--('Category Dictionary'!$D$5:$D$135&lt;&gt;"")))</f>
        <v/>
      </c>
      <c r="L3045" s="27">
        <f>IF($A3045="","",TRIM(IF(ISERROR(FIND(",",$C3045)),$C3045,LEFT($C3045,FIND(",",$C3045)-1))))</f>
        <v/>
      </c>
      <c r="M3045" s="28">
        <f>IF($H3045="","",DATE(YEAR($H3045),MONTH($H3045),1))</f>
        <v/>
      </c>
      <c r="N3045" s="26">
        <f>IF($H3045="","",TODAY()-$H3045)</f>
        <v/>
      </c>
      <c r="O3045" s="15" t="n"/>
      <c r="P3045" s="26">
        <f>IF($A3045="","",COUNTIFS('Audit Versions'!$A$6:$A$605,$A3045,'Audit Versions'!$L$6:$L$605,"Active"))</f>
        <v/>
      </c>
      <c r="Q3045" s="15" t="n"/>
      <c r="R3045" s="26">
        <f>IF(OR($A3045="",$P3045=0),"",MOD(N($Q3045),$P3045)+1)</f>
        <v/>
      </c>
      <c r="S3045" s="15" t="n"/>
      <c r="T3045" s="25" t="n"/>
      <c r="U3045" s="26">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Builder'!$B$12="",N($S3045)&lt;='Assignment Builder'!$B$12)))</f>
        <v/>
      </c>
      <c r="V3045" s="23" t="n"/>
    </row>
    <row r="3046">
      <c r="A3046" s="23" t="n"/>
      <c r="B3046" s="23" t="n"/>
      <c r="C3046" s="24" t="n"/>
      <c r="D3046" s="15" t="n"/>
      <c r="E3046" s="23" t="n"/>
      <c r="F3046" s="15" t="n"/>
      <c r="G3046" s="23" t="n"/>
      <c r="H3046" s="25" t="n"/>
      <c r="I3046" s="15" t="n"/>
      <c r="J3046" s="26">
        <f>IF($A3046="","",LEN($C3046)-LEN(SUBSTITUTE($C3046,",",""))+1)</f>
        <v/>
      </c>
      <c r="K3046" s="26">
        <f>IF($A3046="","",SUMPRODUCT(--ISNUMBER(SEARCH('Category Dictionary'!$D$5:$D$135&amp;"",$C3046)),--('Category Dictionary'!$D$5:$D$135&lt;&gt;"")))</f>
        <v/>
      </c>
      <c r="L3046" s="27">
        <f>IF($A3046="","",TRIM(IF(ISERROR(FIND(",",$C3046)),$C3046,LEFT($C3046,FIND(",",$C3046)-1))))</f>
        <v/>
      </c>
      <c r="M3046" s="28">
        <f>IF($H3046="","",DATE(YEAR($H3046),MONTH($H3046),1))</f>
        <v/>
      </c>
      <c r="N3046" s="26">
        <f>IF($H3046="","",TODAY()-$H3046)</f>
        <v/>
      </c>
      <c r="O3046" s="15" t="n"/>
      <c r="P3046" s="26">
        <f>IF($A3046="","",COUNTIFS('Audit Versions'!$A$6:$A$605,$A3046,'Audit Versions'!$L$6:$L$605,"Active"))</f>
        <v/>
      </c>
      <c r="Q3046" s="15" t="n"/>
      <c r="R3046" s="26">
        <f>IF(OR($A3046="",$P3046=0),"",MOD(N($Q3046),$P3046)+1)</f>
        <v/>
      </c>
      <c r="S3046" s="15" t="n"/>
      <c r="T3046" s="25" t="n"/>
      <c r="U3046" s="26">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Builder'!$B$12="",N($S3046)&lt;='Assignment Builder'!$B$12)))</f>
        <v/>
      </c>
      <c r="V3046" s="23" t="n"/>
    </row>
    <row r="3047">
      <c r="A3047" s="23" t="n"/>
      <c r="B3047" s="23" t="n"/>
      <c r="C3047" s="24" t="n"/>
      <c r="D3047" s="15" t="n"/>
      <c r="E3047" s="23" t="n"/>
      <c r="F3047" s="15" t="n"/>
      <c r="G3047" s="23" t="n"/>
      <c r="H3047" s="25" t="n"/>
      <c r="I3047" s="15" t="n"/>
      <c r="J3047" s="26">
        <f>IF($A3047="","",LEN($C3047)-LEN(SUBSTITUTE($C3047,",",""))+1)</f>
        <v/>
      </c>
      <c r="K3047" s="26">
        <f>IF($A3047="","",SUMPRODUCT(--ISNUMBER(SEARCH('Category Dictionary'!$D$5:$D$135&amp;"",$C3047)),--('Category Dictionary'!$D$5:$D$135&lt;&gt;"")))</f>
        <v/>
      </c>
      <c r="L3047" s="27">
        <f>IF($A3047="","",TRIM(IF(ISERROR(FIND(",",$C3047)),$C3047,LEFT($C3047,FIND(",",$C3047)-1))))</f>
        <v/>
      </c>
      <c r="M3047" s="28">
        <f>IF($H3047="","",DATE(YEAR($H3047),MONTH($H3047),1))</f>
        <v/>
      </c>
      <c r="N3047" s="26">
        <f>IF($H3047="","",TODAY()-$H3047)</f>
        <v/>
      </c>
      <c r="O3047" s="15" t="n"/>
      <c r="P3047" s="26">
        <f>IF($A3047="","",COUNTIFS('Audit Versions'!$A$6:$A$605,$A3047,'Audit Versions'!$L$6:$L$605,"Active"))</f>
        <v/>
      </c>
      <c r="Q3047" s="15" t="n"/>
      <c r="R3047" s="26">
        <f>IF(OR($A3047="",$P3047=0),"",MOD(N($Q3047),$P3047)+1)</f>
        <v/>
      </c>
      <c r="S3047" s="15" t="n"/>
      <c r="T3047" s="25" t="n"/>
      <c r="U3047" s="26">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Builder'!$B$12="",N($S3047)&lt;='Assignment Builder'!$B$12)))</f>
        <v/>
      </c>
      <c r="V3047" s="23" t="n"/>
    </row>
    <row r="3048">
      <c r="A3048" s="23" t="n"/>
      <c r="B3048" s="23" t="n"/>
      <c r="C3048" s="24" t="n"/>
      <c r="D3048" s="15" t="n"/>
      <c r="E3048" s="23" t="n"/>
      <c r="F3048" s="15" t="n"/>
      <c r="G3048" s="23" t="n"/>
      <c r="H3048" s="25" t="n"/>
      <c r="I3048" s="15" t="n"/>
      <c r="J3048" s="26">
        <f>IF($A3048="","",LEN($C3048)-LEN(SUBSTITUTE($C3048,",",""))+1)</f>
        <v/>
      </c>
      <c r="K3048" s="26">
        <f>IF($A3048="","",SUMPRODUCT(--ISNUMBER(SEARCH('Category Dictionary'!$D$5:$D$135&amp;"",$C3048)),--('Category Dictionary'!$D$5:$D$135&lt;&gt;"")))</f>
        <v/>
      </c>
      <c r="L3048" s="27">
        <f>IF($A3048="","",TRIM(IF(ISERROR(FIND(",",$C3048)),$C3048,LEFT($C3048,FIND(",",$C3048)-1))))</f>
        <v/>
      </c>
      <c r="M3048" s="28">
        <f>IF($H3048="","",DATE(YEAR($H3048),MONTH($H3048),1))</f>
        <v/>
      </c>
      <c r="N3048" s="26">
        <f>IF($H3048="","",TODAY()-$H3048)</f>
        <v/>
      </c>
      <c r="O3048" s="15" t="n"/>
      <c r="P3048" s="26">
        <f>IF($A3048="","",COUNTIFS('Audit Versions'!$A$6:$A$605,$A3048,'Audit Versions'!$L$6:$L$605,"Active"))</f>
        <v/>
      </c>
      <c r="Q3048" s="15" t="n"/>
      <c r="R3048" s="26">
        <f>IF(OR($A3048="",$P3048=0),"",MOD(N($Q3048),$P3048)+1)</f>
        <v/>
      </c>
      <c r="S3048" s="15" t="n"/>
      <c r="T3048" s="25" t="n"/>
      <c r="U3048" s="26">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Builder'!$B$12="",N($S3048)&lt;='Assignment Builder'!$B$12)))</f>
        <v/>
      </c>
      <c r="V3048" s="23" t="n"/>
    </row>
    <row r="3049">
      <c r="A3049" s="23" t="n"/>
      <c r="B3049" s="23" t="n"/>
      <c r="C3049" s="24" t="n"/>
      <c r="D3049" s="15" t="n"/>
      <c r="E3049" s="23" t="n"/>
      <c r="F3049" s="15" t="n"/>
      <c r="G3049" s="23" t="n"/>
      <c r="H3049" s="25" t="n"/>
      <c r="I3049" s="15" t="n"/>
      <c r="J3049" s="26">
        <f>IF($A3049="","",LEN($C3049)-LEN(SUBSTITUTE($C3049,",",""))+1)</f>
        <v/>
      </c>
      <c r="K3049" s="26">
        <f>IF($A3049="","",SUMPRODUCT(--ISNUMBER(SEARCH('Category Dictionary'!$D$5:$D$135&amp;"",$C3049)),--('Category Dictionary'!$D$5:$D$135&lt;&gt;"")))</f>
        <v/>
      </c>
      <c r="L3049" s="27">
        <f>IF($A3049="","",TRIM(IF(ISERROR(FIND(",",$C3049)),$C3049,LEFT($C3049,FIND(",",$C3049)-1))))</f>
        <v/>
      </c>
      <c r="M3049" s="28">
        <f>IF($H3049="","",DATE(YEAR($H3049),MONTH($H3049),1))</f>
        <v/>
      </c>
      <c r="N3049" s="26">
        <f>IF($H3049="","",TODAY()-$H3049)</f>
        <v/>
      </c>
      <c r="O3049" s="15" t="n"/>
      <c r="P3049" s="26">
        <f>IF($A3049="","",COUNTIFS('Audit Versions'!$A$6:$A$605,$A3049,'Audit Versions'!$L$6:$L$605,"Active"))</f>
        <v/>
      </c>
      <c r="Q3049" s="15" t="n"/>
      <c r="R3049" s="26">
        <f>IF(OR($A3049="",$P3049=0),"",MOD(N($Q3049),$P3049)+1)</f>
        <v/>
      </c>
      <c r="S3049" s="15" t="n"/>
      <c r="T3049" s="25" t="n"/>
      <c r="U3049" s="26">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Builder'!$B$12="",N($S3049)&lt;='Assignment Builder'!$B$12)))</f>
        <v/>
      </c>
      <c r="V3049" s="23" t="n"/>
    </row>
    <row r="3050">
      <c r="A3050" s="23" t="n"/>
      <c r="B3050" s="23" t="n"/>
      <c r="C3050" s="24" t="n"/>
      <c r="D3050" s="15" t="n"/>
      <c r="E3050" s="23" t="n"/>
      <c r="F3050" s="15" t="n"/>
      <c r="G3050" s="23" t="n"/>
      <c r="H3050" s="25" t="n"/>
      <c r="I3050" s="15" t="n"/>
      <c r="J3050" s="26">
        <f>IF($A3050="","",LEN($C3050)-LEN(SUBSTITUTE($C3050,",",""))+1)</f>
        <v/>
      </c>
      <c r="K3050" s="26">
        <f>IF($A3050="","",SUMPRODUCT(--ISNUMBER(SEARCH('Category Dictionary'!$D$5:$D$135&amp;"",$C3050)),--('Category Dictionary'!$D$5:$D$135&lt;&gt;"")))</f>
        <v/>
      </c>
      <c r="L3050" s="27">
        <f>IF($A3050="","",TRIM(IF(ISERROR(FIND(",",$C3050)),$C3050,LEFT($C3050,FIND(",",$C3050)-1))))</f>
        <v/>
      </c>
      <c r="M3050" s="28">
        <f>IF($H3050="","",DATE(YEAR($H3050),MONTH($H3050),1))</f>
        <v/>
      </c>
      <c r="N3050" s="26">
        <f>IF($H3050="","",TODAY()-$H3050)</f>
        <v/>
      </c>
      <c r="O3050" s="15" t="n"/>
      <c r="P3050" s="26">
        <f>IF($A3050="","",COUNTIFS('Audit Versions'!$A$6:$A$605,$A3050,'Audit Versions'!$L$6:$L$605,"Active"))</f>
        <v/>
      </c>
      <c r="Q3050" s="15" t="n"/>
      <c r="R3050" s="26">
        <f>IF(OR($A3050="",$P3050=0),"",MOD(N($Q3050),$P3050)+1)</f>
        <v/>
      </c>
      <c r="S3050" s="15" t="n"/>
      <c r="T3050" s="25" t="n"/>
      <c r="U3050" s="26">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Builder'!$B$12="",N($S3050)&lt;='Assignment Builder'!$B$12)))</f>
        <v/>
      </c>
      <c r="V3050" s="23" t="n"/>
    </row>
    <row r="3051">
      <c r="A3051" s="23" t="n"/>
      <c r="B3051" s="23" t="n"/>
      <c r="C3051" s="24" t="n"/>
      <c r="D3051" s="15" t="n"/>
      <c r="E3051" s="23" t="n"/>
      <c r="F3051" s="15" t="n"/>
      <c r="G3051" s="23" t="n"/>
      <c r="H3051" s="25" t="n"/>
      <c r="I3051" s="15" t="n"/>
      <c r="J3051" s="26">
        <f>IF($A3051="","",LEN($C3051)-LEN(SUBSTITUTE($C3051,",",""))+1)</f>
        <v/>
      </c>
      <c r="K3051" s="26">
        <f>IF($A3051="","",SUMPRODUCT(--ISNUMBER(SEARCH('Category Dictionary'!$D$5:$D$135&amp;"",$C3051)),--('Category Dictionary'!$D$5:$D$135&lt;&gt;"")))</f>
        <v/>
      </c>
      <c r="L3051" s="27">
        <f>IF($A3051="","",TRIM(IF(ISERROR(FIND(",",$C3051)),$C3051,LEFT($C3051,FIND(",",$C3051)-1))))</f>
        <v/>
      </c>
      <c r="M3051" s="28">
        <f>IF($H3051="","",DATE(YEAR($H3051),MONTH($H3051),1))</f>
        <v/>
      </c>
      <c r="N3051" s="26">
        <f>IF($H3051="","",TODAY()-$H3051)</f>
        <v/>
      </c>
      <c r="O3051" s="15" t="n"/>
      <c r="P3051" s="26">
        <f>IF($A3051="","",COUNTIFS('Audit Versions'!$A$6:$A$605,$A3051,'Audit Versions'!$L$6:$L$605,"Active"))</f>
        <v/>
      </c>
      <c r="Q3051" s="15" t="n"/>
      <c r="R3051" s="26">
        <f>IF(OR($A3051="",$P3051=0),"",MOD(N($Q3051),$P3051)+1)</f>
        <v/>
      </c>
      <c r="S3051" s="15" t="n"/>
      <c r="T3051" s="25" t="n"/>
      <c r="U3051" s="26">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Builder'!$B$12="",N($S3051)&lt;='Assignment Builder'!$B$12)))</f>
        <v/>
      </c>
      <c r="V3051" s="23" t="n"/>
    </row>
    <row r="3052">
      <c r="A3052" s="23" t="n"/>
      <c r="B3052" s="23" t="n"/>
      <c r="C3052" s="24" t="n"/>
      <c r="D3052" s="15" t="n"/>
      <c r="E3052" s="23" t="n"/>
      <c r="F3052" s="15" t="n"/>
      <c r="G3052" s="23" t="n"/>
      <c r="H3052" s="25" t="n"/>
      <c r="I3052" s="15" t="n"/>
      <c r="J3052" s="26">
        <f>IF($A3052="","",LEN($C3052)-LEN(SUBSTITUTE($C3052,",",""))+1)</f>
        <v/>
      </c>
      <c r="K3052" s="26">
        <f>IF($A3052="","",SUMPRODUCT(--ISNUMBER(SEARCH('Category Dictionary'!$D$5:$D$135&amp;"",$C3052)),--('Category Dictionary'!$D$5:$D$135&lt;&gt;"")))</f>
        <v/>
      </c>
      <c r="L3052" s="27">
        <f>IF($A3052="","",TRIM(IF(ISERROR(FIND(",",$C3052)),$C3052,LEFT($C3052,FIND(",",$C3052)-1))))</f>
        <v/>
      </c>
      <c r="M3052" s="28">
        <f>IF($H3052="","",DATE(YEAR($H3052),MONTH($H3052),1))</f>
        <v/>
      </c>
      <c r="N3052" s="26">
        <f>IF($H3052="","",TODAY()-$H3052)</f>
        <v/>
      </c>
      <c r="O3052" s="15" t="n"/>
      <c r="P3052" s="26">
        <f>IF($A3052="","",COUNTIFS('Audit Versions'!$A$6:$A$605,$A3052,'Audit Versions'!$L$6:$L$605,"Active"))</f>
        <v/>
      </c>
      <c r="Q3052" s="15" t="n"/>
      <c r="R3052" s="26">
        <f>IF(OR($A3052="",$P3052=0),"",MOD(N($Q3052),$P3052)+1)</f>
        <v/>
      </c>
      <c r="S3052" s="15" t="n"/>
      <c r="T3052" s="25" t="n"/>
      <c r="U3052" s="26">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Builder'!$B$12="",N($S3052)&lt;='Assignment Builder'!$B$12)))</f>
        <v/>
      </c>
      <c r="V3052" s="23" t="n"/>
    </row>
    <row r="3053">
      <c r="A3053" s="23" t="n"/>
      <c r="B3053" s="23" t="n"/>
      <c r="C3053" s="24" t="n"/>
      <c r="D3053" s="15" t="n"/>
      <c r="E3053" s="23" t="n"/>
      <c r="F3053" s="15" t="n"/>
      <c r="G3053" s="23" t="n"/>
      <c r="H3053" s="25" t="n"/>
      <c r="I3053" s="15" t="n"/>
      <c r="J3053" s="26">
        <f>IF($A3053="","",LEN($C3053)-LEN(SUBSTITUTE($C3053,",",""))+1)</f>
        <v/>
      </c>
      <c r="K3053" s="26">
        <f>IF($A3053="","",SUMPRODUCT(--ISNUMBER(SEARCH('Category Dictionary'!$D$5:$D$135&amp;"",$C3053)),--('Category Dictionary'!$D$5:$D$135&lt;&gt;"")))</f>
        <v/>
      </c>
      <c r="L3053" s="27">
        <f>IF($A3053="","",TRIM(IF(ISERROR(FIND(",",$C3053)),$C3053,LEFT($C3053,FIND(",",$C3053)-1))))</f>
        <v/>
      </c>
      <c r="M3053" s="28">
        <f>IF($H3053="","",DATE(YEAR($H3053),MONTH($H3053),1))</f>
        <v/>
      </c>
      <c r="N3053" s="26">
        <f>IF($H3053="","",TODAY()-$H3053)</f>
        <v/>
      </c>
      <c r="O3053" s="15" t="n"/>
      <c r="P3053" s="26">
        <f>IF($A3053="","",COUNTIFS('Audit Versions'!$A$6:$A$605,$A3053,'Audit Versions'!$L$6:$L$605,"Active"))</f>
        <v/>
      </c>
      <c r="Q3053" s="15" t="n"/>
      <c r="R3053" s="26">
        <f>IF(OR($A3053="",$P3053=0),"",MOD(N($Q3053),$P3053)+1)</f>
        <v/>
      </c>
      <c r="S3053" s="15" t="n"/>
      <c r="T3053" s="25" t="n"/>
      <c r="U3053" s="26">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Builder'!$B$12="",N($S3053)&lt;='Assignment Builder'!$B$12)))</f>
        <v/>
      </c>
      <c r="V3053" s="23" t="n"/>
    </row>
    <row r="3054">
      <c r="A3054" s="23" t="n"/>
      <c r="B3054" s="23" t="n"/>
      <c r="C3054" s="24" t="n"/>
      <c r="D3054" s="15" t="n"/>
      <c r="E3054" s="23" t="n"/>
      <c r="F3054" s="15" t="n"/>
      <c r="G3054" s="23" t="n"/>
      <c r="H3054" s="25" t="n"/>
      <c r="I3054" s="15" t="n"/>
      <c r="J3054" s="26">
        <f>IF($A3054="","",LEN($C3054)-LEN(SUBSTITUTE($C3054,",",""))+1)</f>
        <v/>
      </c>
      <c r="K3054" s="26">
        <f>IF($A3054="","",SUMPRODUCT(--ISNUMBER(SEARCH('Category Dictionary'!$D$5:$D$135&amp;"",$C3054)),--('Category Dictionary'!$D$5:$D$135&lt;&gt;"")))</f>
        <v/>
      </c>
      <c r="L3054" s="27">
        <f>IF($A3054="","",TRIM(IF(ISERROR(FIND(",",$C3054)),$C3054,LEFT($C3054,FIND(",",$C3054)-1))))</f>
        <v/>
      </c>
      <c r="M3054" s="28">
        <f>IF($H3054="","",DATE(YEAR($H3054),MONTH($H3054),1))</f>
        <v/>
      </c>
      <c r="N3054" s="26">
        <f>IF($H3054="","",TODAY()-$H3054)</f>
        <v/>
      </c>
      <c r="O3054" s="15" t="n"/>
      <c r="P3054" s="26">
        <f>IF($A3054="","",COUNTIFS('Audit Versions'!$A$6:$A$605,$A3054,'Audit Versions'!$L$6:$L$605,"Active"))</f>
        <v/>
      </c>
      <c r="Q3054" s="15" t="n"/>
      <c r="R3054" s="26">
        <f>IF(OR($A3054="",$P3054=0),"",MOD(N($Q3054),$P3054)+1)</f>
        <v/>
      </c>
      <c r="S3054" s="15" t="n"/>
      <c r="T3054" s="25" t="n"/>
      <c r="U3054" s="26">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Builder'!$B$12="",N($S3054)&lt;='Assignment Builder'!$B$12)))</f>
        <v/>
      </c>
      <c r="V3054" s="23" t="n"/>
    </row>
    <row r="3055">
      <c r="A3055" s="23" t="n"/>
      <c r="B3055" s="23" t="n"/>
      <c r="C3055" s="24" t="n"/>
      <c r="D3055" s="15" t="n"/>
      <c r="E3055" s="23" t="n"/>
      <c r="F3055" s="15" t="n"/>
      <c r="G3055" s="23" t="n"/>
      <c r="H3055" s="25" t="n"/>
      <c r="I3055" s="15" t="n"/>
      <c r="J3055" s="26">
        <f>IF($A3055="","",LEN($C3055)-LEN(SUBSTITUTE($C3055,",",""))+1)</f>
        <v/>
      </c>
      <c r="K3055" s="26">
        <f>IF($A3055="","",SUMPRODUCT(--ISNUMBER(SEARCH('Category Dictionary'!$D$5:$D$135&amp;"",$C3055)),--('Category Dictionary'!$D$5:$D$135&lt;&gt;"")))</f>
        <v/>
      </c>
      <c r="L3055" s="27">
        <f>IF($A3055="","",TRIM(IF(ISERROR(FIND(",",$C3055)),$C3055,LEFT($C3055,FIND(",",$C3055)-1))))</f>
        <v/>
      </c>
      <c r="M3055" s="28">
        <f>IF($H3055="","",DATE(YEAR($H3055),MONTH($H3055),1))</f>
        <v/>
      </c>
      <c r="N3055" s="26">
        <f>IF($H3055="","",TODAY()-$H3055)</f>
        <v/>
      </c>
      <c r="O3055" s="15" t="n"/>
      <c r="P3055" s="26">
        <f>IF($A3055="","",COUNTIFS('Audit Versions'!$A$6:$A$605,$A3055,'Audit Versions'!$L$6:$L$605,"Active"))</f>
        <v/>
      </c>
      <c r="Q3055" s="15" t="n"/>
      <c r="R3055" s="26">
        <f>IF(OR($A3055="",$P3055=0),"",MOD(N($Q3055),$P3055)+1)</f>
        <v/>
      </c>
      <c r="S3055" s="15" t="n"/>
      <c r="T3055" s="25" t="n"/>
      <c r="U3055" s="26">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Builder'!$B$12="",N($S3055)&lt;='Assignment Builder'!$B$12)))</f>
        <v/>
      </c>
      <c r="V3055" s="23" t="n"/>
    </row>
    <row r="3056">
      <c r="A3056" s="23" t="n"/>
      <c r="B3056" s="23" t="n"/>
      <c r="C3056" s="24" t="n"/>
      <c r="D3056" s="15" t="n"/>
      <c r="E3056" s="23" t="n"/>
      <c r="F3056" s="15" t="n"/>
      <c r="G3056" s="23" t="n"/>
      <c r="H3056" s="25" t="n"/>
      <c r="I3056" s="15" t="n"/>
      <c r="J3056" s="26">
        <f>IF($A3056="","",LEN($C3056)-LEN(SUBSTITUTE($C3056,",",""))+1)</f>
        <v/>
      </c>
      <c r="K3056" s="26">
        <f>IF($A3056="","",SUMPRODUCT(--ISNUMBER(SEARCH('Category Dictionary'!$D$5:$D$135&amp;"",$C3056)),--('Category Dictionary'!$D$5:$D$135&lt;&gt;"")))</f>
        <v/>
      </c>
      <c r="L3056" s="27">
        <f>IF($A3056="","",TRIM(IF(ISERROR(FIND(",",$C3056)),$C3056,LEFT($C3056,FIND(",",$C3056)-1))))</f>
        <v/>
      </c>
      <c r="M3056" s="28">
        <f>IF($H3056="","",DATE(YEAR($H3056),MONTH($H3056),1))</f>
        <v/>
      </c>
      <c r="N3056" s="26">
        <f>IF($H3056="","",TODAY()-$H3056)</f>
        <v/>
      </c>
      <c r="O3056" s="15" t="n"/>
      <c r="P3056" s="26">
        <f>IF($A3056="","",COUNTIFS('Audit Versions'!$A$6:$A$605,$A3056,'Audit Versions'!$L$6:$L$605,"Active"))</f>
        <v/>
      </c>
      <c r="Q3056" s="15" t="n"/>
      <c r="R3056" s="26">
        <f>IF(OR($A3056="",$P3056=0),"",MOD(N($Q3056),$P3056)+1)</f>
        <v/>
      </c>
      <c r="S3056" s="15" t="n"/>
      <c r="T3056" s="25" t="n"/>
      <c r="U3056" s="26">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Builder'!$B$12="",N($S3056)&lt;='Assignment Builder'!$B$12)))</f>
        <v/>
      </c>
      <c r="V3056" s="23" t="n"/>
    </row>
    <row r="3057">
      <c r="A3057" s="23" t="n"/>
      <c r="B3057" s="23" t="n"/>
      <c r="C3057" s="24" t="n"/>
      <c r="D3057" s="15" t="n"/>
      <c r="E3057" s="23" t="n"/>
      <c r="F3057" s="15" t="n"/>
      <c r="G3057" s="23" t="n"/>
      <c r="H3057" s="25" t="n"/>
      <c r="I3057" s="15" t="n"/>
      <c r="J3057" s="26">
        <f>IF($A3057="","",LEN($C3057)-LEN(SUBSTITUTE($C3057,",",""))+1)</f>
        <v/>
      </c>
      <c r="K3057" s="26">
        <f>IF($A3057="","",SUMPRODUCT(--ISNUMBER(SEARCH('Category Dictionary'!$D$5:$D$135&amp;"",$C3057)),--('Category Dictionary'!$D$5:$D$135&lt;&gt;"")))</f>
        <v/>
      </c>
      <c r="L3057" s="27">
        <f>IF($A3057="","",TRIM(IF(ISERROR(FIND(",",$C3057)),$C3057,LEFT($C3057,FIND(",",$C3057)-1))))</f>
        <v/>
      </c>
      <c r="M3057" s="28">
        <f>IF($H3057="","",DATE(YEAR($H3057),MONTH($H3057),1))</f>
        <v/>
      </c>
      <c r="N3057" s="26">
        <f>IF($H3057="","",TODAY()-$H3057)</f>
        <v/>
      </c>
      <c r="O3057" s="15" t="n"/>
      <c r="P3057" s="26">
        <f>IF($A3057="","",COUNTIFS('Audit Versions'!$A$6:$A$605,$A3057,'Audit Versions'!$L$6:$L$605,"Active"))</f>
        <v/>
      </c>
      <c r="Q3057" s="15" t="n"/>
      <c r="R3057" s="26">
        <f>IF(OR($A3057="",$P3057=0),"",MOD(N($Q3057),$P3057)+1)</f>
        <v/>
      </c>
      <c r="S3057" s="15" t="n"/>
      <c r="T3057" s="25" t="n"/>
      <c r="U3057" s="26">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Builder'!$B$12="",N($S3057)&lt;='Assignment Builder'!$B$12)))</f>
        <v/>
      </c>
      <c r="V3057" s="23" t="n"/>
    </row>
    <row r="3058">
      <c r="A3058" s="23" t="n"/>
      <c r="B3058" s="23" t="n"/>
      <c r="C3058" s="24" t="n"/>
      <c r="D3058" s="15" t="n"/>
      <c r="E3058" s="23" t="n"/>
      <c r="F3058" s="15" t="n"/>
      <c r="G3058" s="23" t="n"/>
      <c r="H3058" s="25" t="n"/>
      <c r="I3058" s="15" t="n"/>
      <c r="J3058" s="26">
        <f>IF($A3058="","",LEN($C3058)-LEN(SUBSTITUTE($C3058,",",""))+1)</f>
        <v/>
      </c>
      <c r="K3058" s="26">
        <f>IF($A3058="","",SUMPRODUCT(--ISNUMBER(SEARCH('Category Dictionary'!$D$5:$D$135&amp;"",$C3058)),--('Category Dictionary'!$D$5:$D$135&lt;&gt;"")))</f>
        <v/>
      </c>
      <c r="L3058" s="27">
        <f>IF($A3058="","",TRIM(IF(ISERROR(FIND(",",$C3058)),$C3058,LEFT($C3058,FIND(",",$C3058)-1))))</f>
        <v/>
      </c>
      <c r="M3058" s="28">
        <f>IF($H3058="","",DATE(YEAR($H3058),MONTH($H3058),1))</f>
        <v/>
      </c>
      <c r="N3058" s="26">
        <f>IF($H3058="","",TODAY()-$H3058)</f>
        <v/>
      </c>
      <c r="O3058" s="15" t="n"/>
      <c r="P3058" s="26">
        <f>IF($A3058="","",COUNTIFS('Audit Versions'!$A$6:$A$605,$A3058,'Audit Versions'!$L$6:$L$605,"Active"))</f>
        <v/>
      </c>
      <c r="Q3058" s="15" t="n"/>
      <c r="R3058" s="26">
        <f>IF(OR($A3058="",$P3058=0),"",MOD(N($Q3058),$P3058)+1)</f>
        <v/>
      </c>
      <c r="S3058" s="15" t="n"/>
      <c r="T3058" s="25" t="n"/>
      <c r="U3058" s="26">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Builder'!$B$12="",N($S3058)&lt;='Assignment Builder'!$B$12)))</f>
        <v/>
      </c>
      <c r="V3058" s="23" t="n"/>
    </row>
    <row r="3059">
      <c r="A3059" s="23" t="n"/>
      <c r="B3059" s="23" t="n"/>
      <c r="C3059" s="24" t="n"/>
      <c r="D3059" s="15" t="n"/>
      <c r="E3059" s="23" t="n"/>
      <c r="F3059" s="15" t="n"/>
      <c r="G3059" s="23" t="n"/>
      <c r="H3059" s="25" t="n"/>
      <c r="I3059" s="15" t="n"/>
      <c r="J3059" s="26">
        <f>IF($A3059="","",LEN($C3059)-LEN(SUBSTITUTE($C3059,",",""))+1)</f>
        <v/>
      </c>
      <c r="K3059" s="26">
        <f>IF($A3059="","",SUMPRODUCT(--ISNUMBER(SEARCH('Category Dictionary'!$D$5:$D$135&amp;"",$C3059)),--('Category Dictionary'!$D$5:$D$135&lt;&gt;"")))</f>
        <v/>
      </c>
      <c r="L3059" s="27">
        <f>IF($A3059="","",TRIM(IF(ISERROR(FIND(",",$C3059)),$C3059,LEFT($C3059,FIND(",",$C3059)-1))))</f>
        <v/>
      </c>
      <c r="M3059" s="28">
        <f>IF($H3059="","",DATE(YEAR($H3059),MONTH($H3059),1))</f>
        <v/>
      </c>
      <c r="N3059" s="26">
        <f>IF($H3059="","",TODAY()-$H3059)</f>
        <v/>
      </c>
      <c r="O3059" s="15" t="n"/>
      <c r="P3059" s="26">
        <f>IF($A3059="","",COUNTIFS('Audit Versions'!$A$6:$A$605,$A3059,'Audit Versions'!$L$6:$L$605,"Active"))</f>
        <v/>
      </c>
      <c r="Q3059" s="15" t="n"/>
      <c r="R3059" s="26">
        <f>IF(OR($A3059="",$P3059=0),"",MOD(N($Q3059),$P3059)+1)</f>
        <v/>
      </c>
      <c r="S3059" s="15" t="n"/>
      <c r="T3059" s="25" t="n"/>
      <c r="U3059" s="26">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Builder'!$B$12="",N($S3059)&lt;='Assignment Builder'!$B$12)))</f>
        <v/>
      </c>
      <c r="V3059" s="23" t="n"/>
    </row>
    <row r="3060">
      <c r="A3060" s="23" t="n"/>
      <c r="B3060" s="23" t="n"/>
      <c r="C3060" s="24" t="n"/>
      <c r="D3060" s="15" t="n"/>
      <c r="E3060" s="23" t="n"/>
      <c r="F3060" s="15" t="n"/>
      <c r="G3060" s="23" t="n"/>
      <c r="H3060" s="25" t="n"/>
      <c r="I3060" s="15" t="n"/>
      <c r="J3060" s="26">
        <f>IF($A3060="","",LEN($C3060)-LEN(SUBSTITUTE($C3060,",",""))+1)</f>
        <v/>
      </c>
      <c r="K3060" s="26">
        <f>IF($A3060="","",SUMPRODUCT(--ISNUMBER(SEARCH('Category Dictionary'!$D$5:$D$135&amp;"",$C3060)),--('Category Dictionary'!$D$5:$D$135&lt;&gt;"")))</f>
        <v/>
      </c>
      <c r="L3060" s="27">
        <f>IF($A3060="","",TRIM(IF(ISERROR(FIND(",",$C3060)),$C3060,LEFT($C3060,FIND(",",$C3060)-1))))</f>
        <v/>
      </c>
      <c r="M3060" s="28">
        <f>IF($H3060="","",DATE(YEAR($H3060),MONTH($H3060),1))</f>
        <v/>
      </c>
      <c r="N3060" s="26">
        <f>IF($H3060="","",TODAY()-$H3060)</f>
        <v/>
      </c>
      <c r="O3060" s="15" t="n"/>
      <c r="P3060" s="26">
        <f>IF($A3060="","",COUNTIFS('Audit Versions'!$A$6:$A$605,$A3060,'Audit Versions'!$L$6:$L$605,"Active"))</f>
        <v/>
      </c>
      <c r="Q3060" s="15" t="n"/>
      <c r="R3060" s="26">
        <f>IF(OR($A3060="",$P3060=0),"",MOD(N($Q3060),$P3060)+1)</f>
        <v/>
      </c>
      <c r="S3060" s="15" t="n"/>
      <c r="T3060" s="25" t="n"/>
      <c r="U3060" s="26">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Builder'!$B$12="",N($S3060)&lt;='Assignment Builder'!$B$12)))</f>
        <v/>
      </c>
      <c r="V3060" s="23" t="n"/>
    </row>
    <row r="3061">
      <c r="A3061" s="23" t="n"/>
      <c r="B3061" s="23" t="n"/>
      <c r="C3061" s="24" t="n"/>
      <c r="D3061" s="15" t="n"/>
      <c r="E3061" s="23" t="n"/>
      <c r="F3061" s="15" t="n"/>
      <c r="G3061" s="23" t="n"/>
      <c r="H3061" s="25" t="n"/>
      <c r="I3061" s="15" t="n"/>
      <c r="J3061" s="26">
        <f>IF($A3061="","",LEN($C3061)-LEN(SUBSTITUTE($C3061,",",""))+1)</f>
        <v/>
      </c>
      <c r="K3061" s="26">
        <f>IF($A3061="","",SUMPRODUCT(--ISNUMBER(SEARCH('Category Dictionary'!$D$5:$D$135&amp;"",$C3061)),--('Category Dictionary'!$D$5:$D$135&lt;&gt;"")))</f>
        <v/>
      </c>
      <c r="L3061" s="27">
        <f>IF($A3061="","",TRIM(IF(ISERROR(FIND(",",$C3061)),$C3061,LEFT($C3061,FIND(",",$C3061)-1))))</f>
        <v/>
      </c>
      <c r="M3061" s="28">
        <f>IF($H3061="","",DATE(YEAR($H3061),MONTH($H3061),1))</f>
        <v/>
      </c>
      <c r="N3061" s="26">
        <f>IF($H3061="","",TODAY()-$H3061)</f>
        <v/>
      </c>
      <c r="O3061" s="15" t="n"/>
      <c r="P3061" s="26">
        <f>IF($A3061="","",COUNTIFS('Audit Versions'!$A$6:$A$605,$A3061,'Audit Versions'!$L$6:$L$605,"Active"))</f>
        <v/>
      </c>
      <c r="Q3061" s="15" t="n"/>
      <c r="R3061" s="26">
        <f>IF(OR($A3061="",$P3061=0),"",MOD(N($Q3061),$P3061)+1)</f>
        <v/>
      </c>
      <c r="S3061" s="15" t="n"/>
      <c r="T3061" s="25" t="n"/>
      <c r="U3061" s="26">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Builder'!$B$12="",N($S3061)&lt;='Assignment Builder'!$B$12)))</f>
        <v/>
      </c>
      <c r="V3061" s="23" t="n"/>
    </row>
    <row r="3062">
      <c r="A3062" s="23" t="n"/>
      <c r="B3062" s="23" t="n"/>
      <c r="C3062" s="24" t="n"/>
      <c r="D3062" s="15" t="n"/>
      <c r="E3062" s="23" t="n"/>
      <c r="F3062" s="15" t="n"/>
      <c r="G3062" s="23" t="n"/>
      <c r="H3062" s="25" t="n"/>
      <c r="I3062" s="15" t="n"/>
      <c r="J3062" s="26">
        <f>IF($A3062="","",LEN($C3062)-LEN(SUBSTITUTE($C3062,",",""))+1)</f>
        <v/>
      </c>
      <c r="K3062" s="26">
        <f>IF($A3062="","",SUMPRODUCT(--ISNUMBER(SEARCH('Category Dictionary'!$D$5:$D$135&amp;"",$C3062)),--('Category Dictionary'!$D$5:$D$135&lt;&gt;"")))</f>
        <v/>
      </c>
      <c r="L3062" s="27">
        <f>IF($A3062="","",TRIM(IF(ISERROR(FIND(",",$C3062)),$C3062,LEFT($C3062,FIND(",",$C3062)-1))))</f>
        <v/>
      </c>
      <c r="M3062" s="28">
        <f>IF($H3062="","",DATE(YEAR($H3062),MONTH($H3062),1))</f>
        <v/>
      </c>
      <c r="N3062" s="26">
        <f>IF($H3062="","",TODAY()-$H3062)</f>
        <v/>
      </c>
      <c r="O3062" s="15" t="n"/>
      <c r="P3062" s="26">
        <f>IF($A3062="","",COUNTIFS('Audit Versions'!$A$6:$A$605,$A3062,'Audit Versions'!$L$6:$L$605,"Active"))</f>
        <v/>
      </c>
      <c r="Q3062" s="15" t="n"/>
      <c r="R3062" s="26">
        <f>IF(OR($A3062="",$P3062=0),"",MOD(N($Q3062),$P3062)+1)</f>
        <v/>
      </c>
      <c r="S3062" s="15" t="n"/>
      <c r="T3062" s="25" t="n"/>
      <c r="U3062" s="26">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Builder'!$B$12="",N($S3062)&lt;='Assignment Builder'!$B$12)))</f>
        <v/>
      </c>
      <c r="V3062" s="23" t="n"/>
    </row>
    <row r="3063">
      <c r="A3063" s="23" t="n"/>
      <c r="B3063" s="23" t="n"/>
      <c r="C3063" s="24" t="n"/>
      <c r="D3063" s="15" t="n"/>
      <c r="E3063" s="23" t="n"/>
      <c r="F3063" s="15" t="n"/>
      <c r="G3063" s="23" t="n"/>
      <c r="H3063" s="25" t="n"/>
      <c r="I3063" s="15" t="n"/>
      <c r="J3063" s="26">
        <f>IF($A3063="","",LEN($C3063)-LEN(SUBSTITUTE($C3063,",",""))+1)</f>
        <v/>
      </c>
      <c r="K3063" s="26">
        <f>IF($A3063="","",SUMPRODUCT(--ISNUMBER(SEARCH('Category Dictionary'!$D$5:$D$135&amp;"",$C3063)),--('Category Dictionary'!$D$5:$D$135&lt;&gt;"")))</f>
        <v/>
      </c>
      <c r="L3063" s="27">
        <f>IF($A3063="","",TRIM(IF(ISERROR(FIND(",",$C3063)),$C3063,LEFT($C3063,FIND(",",$C3063)-1))))</f>
        <v/>
      </c>
      <c r="M3063" s="28">
        <f>IF($H3063="","",DATE(YEAR($H3063),MONTH($H3063),1))</f>
        <v/>
      </c>
      <c r="N3063" s="26">
        <f>IF($H3063="","",TODAY()-$H3063)</f>
        <v/>
      </c>
      <c r="O3063" s="15" t="n"/>
      <c r="P3063" s="26">
        <f>IF($A3063="","",COUNTIFS('Audit Versions'!$A$6:$A$605,$A3063,'Audit Versions'!$L$6:$L$605,"Active"))</f>
        <v/>
      </c>
      <c r="Q3063" s="15" t="n"/>
      <c r="R3063" s="26">
        <f>IF(OR($A3063="",$P3063=0),"",MOD(N($Q3063),$P3063)+1)</f>
        <v/>
      </c>
      <c r="S3063" s="15" t="n"/>
      <c r="T3063" s="25" t="n"/>
      <c r="U3063" s="26">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Builder'!$B$12="",N($S3063)&lt;='Assignment Builder'!$B$12)))</f>
        <v/>
      </c>
      <c r="V3063" s="23" t="n"/>
    </row>
    <row r="3064">
      <c r="A3064" s="23" t="n"/>
      <c r="B3064" s="23" t="n"/>
      <c r="C3064" s="24" t="n"/>
      <c r="D3064" s="15" t="n"/>
      <c r="E3064" s="23" t="n"/>
      <c r="F3064" s="15" t="n"/>
      <c r="G3064" s="23" t="n"/>
      <c r="H3064" s="25" t="n"/>
      <c r="I3064" s="15" t="n"/>
      <c r="J3064" s="26">
        <f>IF($A3064="","",LEN($C3064)-LEN(SUBSTITUTE($C3064,",",""))+1)</f>
        <v/>
      </c>
      <c r="K3064" s="26">
        <f>IF($A3064="","",SUMPRODUCT(--ISNUMBER(SEARCH('Category Dictionary'!$D$5:$D$135&amp;"",$C3064)),--('Category Dictionary'!$D$5:$D$135&lt;&gt;"")))</f>
        <v/>
      </c>
      <c r="L3064" s="27">
        <f>IF($A3064="","",TRIM(IF(ISERROR(FIND(",",$C3064)),$C3064,LEFT($C3064,FIND(",",$C3064)-1))))</f>
        <v/>
      </c>
      <c r="M3064" s="28">
        <f>IF($H3064="","",DATE(YEAR($H3064),MONTH($H3064),1))</f>
        <v/>
      </c>
      <c r="N3064" s="26">
        <f>IF($H3064="","",TODAY()-$H3064)</f>
        <v/>
      </c>
      <c r="O3064" s="15" t="n"/>
      <c r="P3064" s="26">
        <f>IF($A3064="","",COUNTIFS('Audit Versions'!$A$6:$A$605,$A3064,'Audit Versions'!$L$6:$L$605,"Active"))</f>
        <v/>
      </c>
      <c r="Q3064" s="15" t="n"/>
      <c r="R3064" s="26">
        <f>IF(OR($A3064="",$P3064=0),"",MOD(N($Q3064),$P3064)+1)</f>
        <v/>
      </c>
      <c r="S3064" s="15" t="n"/>
      <c r="T3064" s="25" t="n"/>
      <c r="U3064" s="26">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Builder'!$B$12="",N($S3064)&lt;='Assignment Builder'!$B$12)))</f>
        <v/>
      </c>
      <c r="V3064" s="23" t="n"/>
    </row>
    <row r="3065">
      <c r="A3065" s="23" t="n"/>
      <c r="B3065" s="23" t="n"/>
      <c r="C3065" s="24" t="n"/>
      <c r="D3065" s="15" t="n"/>
      <c r="E3065" s="23" t="n"/>
      <c r="F3065" s="15" t="n"/>
      <c r="G3065" s="23" t="n"/>
      <c r="H3065" s="25" t="n"/>
      <c r="I3065" s="15" t="n"/>
      <c r="J3065" s="26">
        <f>IF($A3065="","",LEN($C3065)-LEN(SUBSTITUTE($C3065,",",""))+1)</f>
        <v/>
      </c>
      <c r="K3065" s="26">
        <f>IF($A3065="","",SUMPRODUCT(--ISNUMBER(SEARCH('Category Dictionary'!$D$5:$D$135&amp;"",$C3065)),--('Category Dictionary'!$D$5:$D$135&lt;&gt;"")))</f>
        <v/>
      </c>
      <c r="L3065" s="27">
        <f>IF($A3065="","",TRIM(IF(ISERROR(FIND(",",$C3065)),$C3065,LEFT($C3065,FIND(",",$C3065)-1))))</f>
        <v/>
      </c>
      <c r="M3065" s="28">
        <f>IF($H3065="","",DATE(YEAR($H3065),MONTH($H3065),1))</f>
        <v/>
      </c>
      <c r="N3065" s="26">
        <f>IF($H3065="","",TODAY()-$H3065)</f>
        <v/>
      </c>
      <c r="O3065" s="15" t="n"/>
      <c r="P3065" s="26">
        <f>IF($A3065="","",COUNTIFS('Audit Versions'!$A$6:$A$605,$A3065,'Audit Versions'!$L$6:$L$605,"Active"))</f>
        <v/>
      </c>
      <c r="Q3065" s="15" t="n"/>
      <c r="R3065" s="26">
        <f>IF(OR($A3065="",$P3065=0),"",MOD(N($Q3065),$P3065)+1)</f>
        <v/>
      </c>
      <c r="S3065" s="15" t="n"/>
      <c r="T3065" s="25" t="n"/>
      <c r="U3065" s="26">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Builder'!$B$12="",N($S3065)&lt;='Assignment Builder'!$B$12)))</f>
        <v/>
      </c>
      <c r="V3065" s="23" t="n"/>
    </row>
    <row r="3066">
      <c r="A3066" s="23" t="n"/>
      <c r="B3066" s="23" t="n"/>
      <c r="C3066" s="24" t="n"/>
      <c r="D3066" s="15" t="n"/>
      <c r="E3066" s="23" t="n"/>
      <c r="F3066" s="15" t="n"/>
      <c r="G3066" s="23" t="n"/>
      <c r="H3066" s="25" t="n"/>
      <c r="I3066" s="15" t="n"/>
      <c r="J3066" s="26">
        <f>IF($A3066="","",LEN($C3066)-LEN(SUBSTITUTE($C3066,",",""))+1)</f>
        <v/>
      </c>
      <c r="K3066" s="26">
        <f>IF($A3066="","",SUMPRODUCT(--ISNUMBER(SEARCH('Category Dictionary'!$D$5:$D$135&amp;"",$C3066)),--('Category Dictionary'!$D$5:$D$135&lt;&gt;"")))</f>
        <v/>
      </c>
      <c r="L3066" s="27">
        <f>IF($A3066="","",TRIM(IF(ISERROR(FIND(",",$C3066)),$C3066,LEFT($C3066,FIND(",",$C3066)-1))))</f>
        <v/>
      </c>
      <c r="M3066" s="28">
        <f>IF($H3066="","",DATE(YEAR($H3066),MONTH($H3066),1))</f>
        <v/>
      </c>
      <c r="N3066" s="26">
        <f>IF($H3066="","",TODAY()-$H3066)</f>
        <v/>
      </c>
      <c r="O3066" s="15" t="n"/>
      <c r="P3066" s="26">
        <f>IF($A3066="","",COUNTIFS('Audit Versions'!$A$6:$A$605,$A3066,'Audit Versions'!$L$6:$L$605,"Active"))</f>
        <v/>
      </c>
      <c r="Q3066" s="15" t="n"/>
      <c r="R3066" s="26">
        <f>IF(OR($A3066="",$P3066=0),"",MOD(N($Q3066),$P3066)+1)</f>
        <v/>
      </c>
      <c r="S3066" s="15" t="n"/>
      <c r="T3066" s="25" t="n"/>
      <c r="U3066" s="26">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Builder'!$B$12="",N($S3066)&lt;='Assignment Builder'!$B$12)))</f>
        <v/>
      </c>
      <c r="V3066" s="23" t="n"/>
    </row>
    <row r="3067">
      <c r="A3067" s="23" t="n"/>
      <c r="B3067" s="23" t="n"/>
      <c r="C3067" s="24" t="n"/>
      <c r="D3067" s="15" t="n"/>
      <c r="E3067" s="23" t="n"/>
      <c r="F3067" s="15" t="n"/>
      <c r="G3067" s="23" t="n"/>
      <c r="H3067" s="25" t="n"/>
      <c r="I3067" s="15" t="n"/>
      <c r="J3067" s="26">
        <f>IF($A3067="","",LEN($C3067)-LEN(SUBSTITUTE($C3067,",",""))+1)</f>
        <v/>
      </c>
      <c r="K3067" s="26">
        <f>IF($A3067="","",SUMPRODUCT(--ISNUMBER(SEARCH('Category Dictionary'!$D$5:$D$135&amp;"",$C3067)),--('Category Dictionary'!$D$5:$D$135&lt;&gt;"")))</f>
        <v/>
      </c>
      <c r="L3067" s="27">
        <f>IF($A3067="","",TRIM(IF(ISERROR(FIND(",",$C3067)),$C3067,LEFT($C3067,FIND(",",$C3067)-1))))</f>
        <v/>
      </c>
      <c r="M3067" s="28">
        <f>IF($H3067="","",DATE(YEAR($H3067),MONTH($H3067),1))</f>
        <v/>
      </c>
      <c r="N3067" s="26">
        <f>IF($H3067="","",TODAY()-$H3067)</f>
        <v/>
      </c>
      <c r="O3067" s="15" t="n"/>
      <c r="P3067" s="26">
        <f>IF($A3067="","",COUNTIFS('Audit Versions'!$A$6:$A$605,$A3067,'Audit Versions'!$L$6:$L$605,"Active"))</f>
        <v/>
      </c>
      <c r="Q3067" s="15" t="n"/>
      <c r="R3067" s="26">
        <f>IF(OR($A3067="",$P3067=0),"",MOD(N($Q3067),$P3067)+1)</f>
        <v/>
      </c>
      <c r="S3067" s="15" t="n"/>
      <c r="T3067" s="25" t="n"/>
      <c r="U3067" s="26">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Builder'!$B$12="",N($S3067)&lt;='Assignment Builder'!$B$12)))</f>
        <v/>
      </c>
      <c r="V3067" s="23" t="n"/>
    </row>
    <row r="3068">
      <c r="A3068" s="23" t="n"/>
      <c r="B3068" s="23" t="n"/>
      <c r="C3068" s="24" t="n"/>
      <c r="D3068" s="15" t="n"/>
      <c r="E3068" s="23" t="n"/>
      <c r="F3068" s="15" t="n"/>
      <c r="G3068" s="23" t="n"/>
      <c r="H3068" s="25" t="n"/>
      <c r="I3068" s="15" t="n"/>
      <c r="J3068" s="26">
        <f>IF($A3068="","",LEN($C3068)-LEN(SUBSTITUTE($C3068,",",""))+1)</f>
        <v/>
      </c>
      <c r="K3068" s="26">
        <f>IF($A3068="","",SUMPRODUCT(--ISNUMBER(SEARCH('Category Dictionary'!$D$5:$D$135&amp;"",$C3068)),--('Category Dictionary'!$D$5:$D$135&lt;&gt;"")))</f>
        <v/>
      </c>
      <c r="L3068" s="27">
        <f>IF($A3068="","",TRIM(IF(ISERROR(FIND(",",$C3068)),$C3068,LEFT($C3068,FIND(",",$C3068)-1))))</f>
        <v/>
      </c>
      <c r="M3068" s="28">
        <f>IF($H3068="","",DATE(YEAR($H3068),MONTH($H3068),1))</f>
        <v/>
      </c>
      <c r="N3068" s="26">
        <f>IF($H3068="","",TODAY()-$H3068)</f>
        <v/>
      </c>
      <c r="O3068" s="15" t="n"/>
      <c r="P3068" s="26">
        <f>IF($A3068="","",COUNTIFS('Audit Versions'!$A$6:$A$605,$A3068,'Audit Versions'!$L$6:$L$605,"Active"))</f>
        <v/>
      </c>
      <c r="Q3068" s="15" t="n"/>
      <c r="R3068" s="26">
        <f>IF(OR($A3068="",$P3068=0),"",MOD(N($Q3068),$P3068)+1)</f>
        <v/>
      </c>
      <c r="S3068" s="15" t="n"/>
      <c r="T3068" s="25" t="n"/>
      <c r="U3068" s="26">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Builder'!$B$12="",N($S3068)&lt;='Assignment Builder'!$B$12)))</f>
        <v/>
      </c>
      <c r="V3068" s="23" t="n"/>
    </row>
    <row r="3069">
      <c r="A3069" s="23" t="n"/>
      <c r="B3069" s="23" t="n"/>
      <c r="C3069" s="24" t="n"/>
      <c r="D3069" s="15" t="n"/>
      <c r="E3069" s="23" t="n"/>
      <c r="F3069" s="15" t="n"/>
      <c r="G3069" s="23" t="n"/>
      <c r="H3069" s="25" t="n"/>
      <c r="I3069" s="15" t="n"/>
      <c r="J3069" s="26">
        <f>IF($A3069="","",LEN($C3069)-LEN(SUBSTITUTE($C3069,",",""))+1)</f>
        <v/>
      </c>
      <c r="K3069" s="26">
        <f>IF($A3069="","",SUMPRODUCT(--ISNUMBER(SEARCH('Category Dictionary'!$D$5:$D$135&amp;"",$C3069)),--('Category Dictionary'!$D$5:$D$135&lt;&gt;"")))</f>
        <v/>
      </c>
      <c r="L3069" s="27">
        <f>IF($A3069="","",TRIM(IF(ISERROR(FIND(",",$C3069)),$C3069,LEFT($C3069,FIND(",",$C3069)-1))))</f>
        <v/>
      </c>
      <c r="M3069" s="28">
        <f>IF($H3069="","",DATE(YEAR($H3069),MONTH($H3069),1))</f>
        <v/>
      </c>
      <c r="N3069" s="26">
        <f>IF($H3069="","",TODAY()-$H3069)</f>
        <v/>
      </c>
      <c r="O3069" s="15" t="n"/>
      <c r="P3069" s="26">
        <f>IF($A3069="","",COUNTIFS('Audit Versions'!$A$6:$A$605,$A3069,'Audit Versions'!$L$6:$L$605,"Active"))</f>
        <v/>
      </c>
      <c r="Q3069" s="15" t="n"/>
      <c r="R3069" s="26">
        <f>IF(OR($A3069="",$P3069=0),"",MOD(N($Q3069),$P3069)+1)</f>
        <v/>
      </c>
      <c r="S3069" s="15" t="n"/>
      <c r="T3069" s="25" t="n"/>
      <c r="U3069" s="26">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Builder'!$B$12="",N($S3069)&lt;='Assignment Builder'!$B$12)))</f>
        <v/>
      </c>
      <c r="V3069" s="23" t="n"/>
    </row>
    <row r="3070">
      <c r="A3070" s="23" t="n"/>
      <c r="B3070" s="23" t="n"/>
      <c r="C3070" s="24" t="n"/>
      <c r="D3070" s="15" t="n"/>
      <c r="E3070" s="23" t="n"/>
      <c r="F3070" s="15" t="n"/>
      <c r="G3070" s="23" t="n"/>
      <c r="H3070" s="25" t="n"/>
      <c r="I3070" s="15" t="n"/>
      <c r="J3070" s="26">
        <f>IF($A3070="","",LEN($C3070)-LEN(SUBSTITUTE($C3070,",",""))+1)</f>
        <v/>
      </c>
      <c r="K3070" s="26">
        <f>IF($A3070="","",SUMPRODUCT(--ISNUMBER(SEARCH('Category Dictionary'!$D$5:$D$135&amp;"",$C3070)),--('Category Dictionary'!$D$5:$D$135&lt;&gt;"")))</f>
        <v/>
      </c>
      <c r="L3070" s="27">
        <f>IF($A3070="","",TRIM(IF(ISERROR(FIND(",",$C3070)),$C3070,LEFT($C3070,FIND(",",$C3070)-1))))</f>
        <v/>
      </c>
      <c r="M3070" s="28">
        <f>IF($H3070="","",DATE(YEAR($H3070),MONTH($H3070),1))</f>
        <v/>
      </c>
      <c r="N3070" s="26">
        <f>IF($H3070="","",TODAY()-$H3070)</f>
        <v/>
      </c>
      <c r="O3070" s="15" t="n"/>
      <c r="P3070" s="26">
        <f>IF($A3070="","",COUNTIFS('Audit Versions'!$A$6:$A$605,$A3070,'Audit Versions'!$L$6:$L$605,"Active"))</f>
        <v/>
      </c>
      <c r="Q3070" s="15" t="n"/>
      <c r="R3070" s="26">
        <f>IF(OR($A3070="",$P3070=0),"",MOD(N($Q3070),$P3070)+1)</f>
        <v/>
      </c>
      <c r="S3070" s="15" t="n"/>
      <c r="T3070" s="25" t="n"/>
      <c r="U3070" s="26">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Builder'!$B$12="",N($S3070)&lt;='Assignment Builder'!$B$12)))</f>
        <v/>
      </c>
      <c r="V3070" s="23" t="n"/>
    </row>
    <row r="3071">
      <c r="A3071" s="23" t="n"/>
      <c r="B3071" s="23" t="n"/>
      <c r="C3071" s="24" t="n"/>
      <c r="D3071" s="15" t="n"/>
      <c r="E3071" s="23" t="n"/>
      <c r="F3071" s="15" t="n"/>
      <c r="G3071" s="23" t="n"/>
      <c r="H3071" s="25" t="n"/>
      <c r="I3071" s="15" t="n"/>
      <c r="J3071" s="26">
        <f>IF($A3071="","",LEN($C3071)-LEN(SUBSTITUTE($C3071,",",""))+1)</f>
        <v/>
      </c>
      <c r="K3071" s="26">
        <f>IF($A3071="","",SUMPRODUCT(--ISNUMBER(SEARCH('Category Dictionary'!$D$5:$D$135&amp;"",$C3071)),--('Category Dictionary'!$D$5:$D$135&lt;&gt;"")))</f>
        <v/>
      </c>
      <c r="L3071" s="27">
        <f>IF($A3071="","",TRIM(IF(ISERROR(FIND(",",$C3071)),$C3071,LEFT($C3071,FIND(",",$C3071)-1))))</f>
        <v/>
      </c>
      <c r="M3071" s="28">
        <f>IF($H3071="","",DATE(YEAR($H3071),MONTH($H3071),1))</f>
        <v/>
      </c>
      <c r="N3071" s="26">
        <f>IF($H3071="","",TODAY()-$H3071)</f>
        <v/>
      </c>
      <c r="O3071" s="15" t="n"/>
      <c r="P3071" s="26">
        <f>IF($A3071="","",COUNTIFS('Audit Versions'!$A$6:$A$605,$A3071,'Audit Versions'!$L$6:$L$605,"Active"))</f>
        <v/>
      </c>
      <c r="Q3071" s="15" t="n"/>
      <c r="R3071" s="26">
        <f>IF(OR($A3071="",$P3071=0),"",MOD(N($Q3071),$P3071)+1)</f>
        <v/>
      </c>
      <c r="S3071" s="15" t="n"/>
      <c r="T3071" s="25" t="n"/>
      <c r="U3071" s="26">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Builder'!$B$12="",N($S3071)&lt;='Assignment Builder'!$B$12)))</f>
        <v/>
      </c>
      <c r="V3071" s="23" t="n"/>
    </row>
    <row r="3072">
      <c r="A3072" s="23" t="n"/>
      <c r="B3072" s="23" t="n"/>
      <c r="C3072" s="24" t="n"/>
      <c r="D3072" s="15" t="n"/>
      <c r="E3072" s="23" t="n"/>
      <c r="F3072" s="15" t="n"/>
      <c r="G3072" s="23" t="n"/>
      <c r="H3072" s="25" t="n"/>
      <c r="I3072" s="15" t="n"/>
      <c r="J3072" s="26">
        <f>IF($A3072="","",LEN($C3072)-LEN(SUBSTITUTE($C3072,",",""))+1)</f>
        <v/>
      </c>
      <c r="K3072" s="26">
        <f>IF($A3072="","",SUMPRODUCT(--ISNUMBER(SEARCH('Category Dictionary'!$D$5:$D$135&amp;"",$C3072)),--('Category Dictionary'!$D$5:$D$135&lt;&gt;"")))</f>
        <v/>
      </c>
      <c r="L3072" s="27">
        <f>IF($A3072="","",TRIM(IF(ISERROR(FIND(",",$C3072)),$C3072,LEFT($C3072,FIND(",",$C3072)-1))))</f>
        <v/>
      </c>
      <c r="M3072" s="28">
        <f>IF($H3072="","",DATE(YEAR($H3072),MONTH($H3072),1))</f>
        <v/>
      </c>
      <c r="N3072" s="26">
        <f>IF($H3072="","",TODAY()-$H3072)</f>
        <v/>
      </c>
      <c r="O3072" s="15" t="n"/>
      <c r="P3072" s="26">
        <f>IF($A3072="","",COUNTIFS('Audit Versions'!$A$6:$A$605,$A3072,'Audit Versions'!$L$6:$L$605,"Active"))</f>
        <v/>
      </c>
      <c r="Q3072" s="15" t="n"/>
      <c r="R3072" s="26">
        <f>IF(OR($A3072="",$P3072=0),"",MOD(N($Q3072),$P3072)+1)</f>
        <v/>
      </c>
      <c r="S3072" s="15" t="n"/>
      <c r="T3072" s="25" t="n"/>
      <c r="U3072" s="26">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Builder'!$B$12="",N($S3072)&lt;='Assignment Builder'!$B$12)))</f>
        <v/>
      </c>
      <c r="V3072" s="23" t="n"/>
    </row>
    <row r="3073">
      <c r="A3073" s="23" t="n"/>
      <c r="B3073" s="23" t="n"/>
      <c r="C3073" s="24" t="n"/>
      <c r="D3073" s="15" t="n"/>
      <c r="E3073" s="23" t="n"/>
      <c r="F3073" s="15" t="n"/>
      <c r="G3073" s="23" t="n"/>
      <c r="H3073" s="25" t="n"/>
      <c r="I3073" s="15" t="n"/>
      <c r="J3073" s="26">
        <f>IF($A3073="","",LEN($C3073)-LEN(SUBSTITUTE($C3073,",",""))+1)</f>
        <v/>
      </c>
      <c r="K3073" s="26">
        <f>IF($A3073="","",SUMPRODUCT(--ISNUMBER(SEARCH('Category Dictionary'!$D$5:$D$135&amp;"",$C3073)),--('Category Dictionary'!$D$5:$D$135&lt;&gt;"")))</f>
        <v/>
      </c>
      <c r="L3073" s="27">
        <f>IF($A3073="","",TRIM(IF(ISERROR(FIND(",",$C3073)),$C3073,LEFT($C3073,FIND(",",$C3073)-1))))</f>
        <v/>
      </c>
      <c r="M3073" s="28">
        <f>IF($H3073="","",DATE(YEAR($H3073),MONTH($H3073),1))</f>
        <v/>
      </c>
      <c r="N3073" s="26">
        <f>IF($H3073="","",TODAY()-$H3073)</f>
        <v/>
      </c>
      <c r="O3073" s="15" t="n"/>
      <c r="P3073" s="26">
        <f>IF($A3073="","",COUNTIFS('Audit Versions'!$A$6:$A$605,$A3073,'Audit Versions'!$L$6:$L$605,"Active"))</f>
        <v/>
      </c>
      <c r="Q3073" s="15" t="n"/>
      <c r="R3073" s="26">
        <f>IF(OR($A3073="",$P3073=0),"",MOD(N($Q3073),$P3073)+1)</f>
        <v/>
      </c>
      <c r="S3073" s="15" t="n"/>
      <c r="T3073" s="25" t="n"/>
      <c r="U3073" s="26">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Builder'!$B$12="",N($S3073)&lt;='Assignment Builder'!$B$12)))</f>
        <v/>
      </c>
      <c r="V3073" s="23" t="n"/>
    </row>
    <row r="3074">
      <c r="A3074" s="23" t="n"/>
      <c r="B3074" s="23" t="n"/>
      <c r="C3074" s="24" t="n"/>
      <c r="D3074" s="15" t="n"/>
      <c r="E3074" s="23" t="n"/>
      <c r="F3074" s="15" t="n"/>
      <c r="G3074" s="23" t="n"/>
      <c r="H3074" s="25" t="n"/>
      <c r="I3074" s="15" t="n"/>
      <c r="J3074" s="26">
        <f>IF($A3074="","",LEN($C3074)-LEN(SUBSTITUTE($C3074,",",""))+1)</f>
        <v/>
      </c>
      <c r="K3074" s="26">
        <f>IF($A3074="","",SUMPRODUCT(--ISNUMBER(SEARCH('Category Dictionary'!$D$5:$D$135&amp;"",$C3074)),--('Category Dictionary'!$D$5:$D$135&lt;&gt;"")))</f>
        <v/>
      </c>
      <c r="L3074" s="27">
        <f>IF($A3074="","",TRIM(IF(ISERROR(FIND(",",$C3074)),$C3074,LEFT($C3074,FIND(",",$C3074)-1))))</f>
        <v/>
      </c>
      <c r="M3074" s="28">
        <f>IF($H3074="","",DATE(YEAR($H3074),MONTH($H3074),1))</f>
        <v/>
      </c>
      <c r="N3074" s="26">
        <f>IF($H3074="","",TODAY()-$H3074)</f>
        <v/>
      </c>
      <c r="O3074" s="15" t="n"/>
      <c r="P3074" s="26">
        <f>IF($A3074="","",COUNTIFS('Audit Versions'!$A$6:$A$605,$A3074,'Audit Versions'!$L$6:$L$605,"Active"))</f>
        <v/>
      </c>
      <c r="Q3074" s="15" t="n"/>
      <c r="R3074" s="26">
        <f>IF(OR($A3074="",$P3074=0),"",MOD(N($Q3074),$P3074)+1)</f>
        <v/>
      </c>
      <c r="S3074" s="15" t="n"/>
      <c r="T3074" s="25" t="n"/>
      <c r="U3074" s="26">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Builder'!$B$12="",N($S3074)&lt;='Assignment Builder'!$B$12)))</f>
        <v/>
      </c>
      <c r="V3074" s="23" t="n"/>
    </row>
    <row r="3075">
      <c r="A3075" s="23" t="n"/>
      <c r="B3075" s="23" t="n"/>
      <c r="C3075" s="24" t="n"/>
      <c r="D3075" s="15" t="n"/>
      <c r="E3075" s="23" t="n"/>
      <c r="F3075" s="15" t="n"/>
      <c r="G3075" s="23" t="n"/>
      <c r="H3075" s="25" t="n"/>
      <c r="I3075" s="15" t="n"/>
      <c r="J3075" s="26">
        <f>IF($A3075="","",LEN($C3075)-LEN(SUBSTITUTE($C3075,",",""))+1)</f>
        <v/>
      </c>
      <c r="K3075" s="26">
        <f>IF($A3075="","",SUMPRODUCT(--ISNUMBER(SEARCH('Category Dictionary'!$D$5:$D$135&amp;"",$C3075)),--('Category Dictionary'!$D$5:$D$135&lt;&gt;"")))</f>
        <v/>
      </c>
      <c r="L3075" s="27">
        <f>IF($A3075="","",TRIM(IF(ISERROR(FIND(",",$C3075)),$C3075,LEFT($C3075,FIND(",",$C3075)-1))))</f>
        <v/>
      </c>
      <c r="M3075" s="28">
        <f>IF($H3075="","",DATE(YEAR($H3075),MONTH($H3075),1))</f>
        <v/>
      </c>
      <c r="N3075" s="26">
        <f>IF($H3075="","",TODAY()-$H3075)</f>
        <v/>
      </c>
      <c r="O3075" s="15" t="n"/>
      <c r="P3075" s="26">
        <f>IF($A3075="","",COUNTIFS('Audit Versions'!$A$6:$A$605,$A3075,'Audit Versions'!$L$6:$L$605,"Active"))</f>
        <v/>
      </c>
      <c r="Q3075" s="15" t="n"/>
      <c r="R3075" s="26">
        <f>IF(OR($A3075="",$P3075=0),"",MOD(N($Q3075),$P3075)+1)</f>
        <v/>
      </c>
      <c r="S3075" s="15" t="n"/>
      <c r="T3075" s="25" t="n"/>
      <c r="U3075" s="26">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Builder'!$B$12="",N($S3075)&lt;='Assignment Builder'!$B$12)))</f>
        <v/>
      </c>
      <c r="V3075" s="23" t="n"/>
    </row>
    <row r="3076">
      <c r="A3076" s="23" t="n"/>
      <c r="B3076" s="23" t="n"/>
      <c r="C3076" s="24" t="n"/>
      <c r="D3076" s="15" t="n"/>
      <c r="E3076" s="23" t="n"/>
      <c r="F3076" s="15" t="n"/>
      <c r="G3076" s="23" t="n"/>
      <c r="H3076" s="25" t="n"/>
      <c r="I3076" s="15" t="n"/>
      <c r="J3076" s="26">
        <f>IF($A3076="","",LEN($C3076)-LEN(SUBSTITUTE($C3076,",",""))+1)</f>
        <v/>
      </c>
      <c r="K3076" s="26">
        <f>IF($A3076="","",SUMPRODUCT(--ISNUMBER(SEARCH('Category Dictionary'!$D$5:$D$135&amp;"",$C3076)),--('Category Dictionary'!$D$5:$D$135&lt;&gt;"")))</f>
        <v/>
      </c>
      <c r="L3076" s="27">
        <f>IF($A3076="","",TRIM(IF(ISERROR(FIND(",",$C3076)),$C3076,LEFT($C3076,FIND(",",$C3076)-1))))</f>
        <v/>
      </c>
      <c r="M3076" s="28">
        <f>IF($H3076="","",DATE(YEAR($H3076),MONTH($H3076),1))</f>
        <v/>
      </c>
      <c r="N3076" s="26">
        <f>IF($H3076="","",TODAY()-$H3076)</f>
        <v/>
      </c>
      <c r="O3076" s="15" t="n"/>
      <c r="P3076" s="26">
        <f>IF($A3076="","",COUNTIFS('Audit Versions'!$A$6:$A$605,$A3076,'Audit Versions'!$L$6:$L$605,"Active"))</f>
        <v/>
      </c>
      <c r="Q3076" s="15" t="n"/>
      <c r="R3076" s="26">
        <f>IF(OR($A3076="",$P3076=0),"",MOD(N($Q3076),$P3076)+1)</f>
        <v/>
      </c>
      <c r="S3076" s="15" t="n"/>
      <c r="T3076" s="25" t="n"/>
      <c r="U3076" s="26">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Builder'!$B$12="",N($S3076)&lt;='Assignment Builder'!$B$12)))</f>
        <v/>
      </c>
      <c r="V3076" s="23" t="n"/>
    </row>
    <row r="3077">
      <c r="A3077" s="23" t="n"/>
      <c r="B3077" s="23" t="n"/>
      <c r="C3077" s="24" t="n"/>
      <c r="D3077" s="15" t="n"/>
      <c r="E3077" s="23" t="n"/>
      <c r="F3077" s="15" t="n"/>
      <c r="G3077" s="23" t="n"/>
      <c r="H3077" s="25" t="n"/>
      <c r="I3077" s="15" t="n"/>
      <c r="J3077" s="26">
        <f>IF($A3077="","",LEN($C3077)-LEN(SUBSTITUTE($C3077,",",""))+1)</f>
        <v/>
      </c>
      <c r="K3077" s="26">
        <f>IF($A3077="","",SUMPRODUCT(--ISNUMBER(SEARCH('Category Dictionary'!$D$5:$D$135&amp;"",$C3077)),--('Category Dictionary'!$D$5:$D$135&lt;&gt;"")))</f>
        <v/>
      </c>
      <c r="L3077" s="27">
        <f>IF($A3077="","",TRIM(IF(ISERROR(FIND(",",$C3077)),$C3077,LEFT($C3077,FIND(",",$C3077)-1))))</f>
        <v/>
      </c>
      <c r="M3077" s="28">
        <f>IF($H3077="","",DATE(YEAR($H3077),MONTH($H3077),1))</f>
        <v/>
      </c>
      <c r="N3077" s="26">
        <f>IF($H3077="","",TODAY()-$H3077)</f>
        <v/>
      </c>
      <c r="O3077" s="15" t="n"/>
      <c r="P3077" s="26">
        <f>IF($A3077="","",COUNTIFS('Audit Versions'!$A$6:$A$605,$A3077,'Audit Versions'!$L$6:$L$605,"Active"))</f>
        <v/>
      </c>
      <c r="Q3077" s="15" t="n"/>
      <c r="R3077" s="26">
        <f>IF(OR($A3077="",$P3077=0),"",MOD(N($Q3077),$P3077)+1)</f>
        <v/>
      </c>
      <c r="S3077" s="15" t="n"/>
      <c r="T3077" s="25" t="n"/>
      <c r="U3077" s="26">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Builder'!$B$12="",N($S3077)&lt;='Assignment Builder'!$B$12)))</f>
        <v/>
      </c>
      <c r="V3077" s="23" t="n"/>
    </row>
    <row r="3078">
      <c r="A3078" s="23" t="n"/>
      <c r="B3078" s="23" t="n"/>
      <c r="C3078" s="24" t="n"/>
      <c r="D3078" s="15" t="n"/>
      <c r="E3078" s="23" t="n"/>
      <c r="F3078" s="15" t="n"/>
      <c r="G3078" s="23" t="n"/>
      <c r="H3078" s="25" t="n"/>
      <c r="I3078" s="15" t="n"/>
      <c r="J3078" s="26">
        <f>IF($A3078="","",LEN($C3078)-LEN(SUBSTITUTE($C3078,",",""))+1)</f>
        <v/>
      </c>
      <c r="K3078" s="26">
        <f>IF($A3078="","",SUMPRODUCT(--ISNUMBER(SEARCH('Category Dictionary'!$D$5:$D$135&amp;"",$C3078)),--('Category Dictionary'!$D$5:$D$135&lt;&gt;"")))</f>
        <v/>
      </c>
      <c r="L3078" s="27">
        <f>IF($A3078="","",TRIM(IF(ISERROR(FIND(",",$C3078)),$C3078,LEFT($C3078,FIND(",",$C3078)-1))))</f>
        <v/>
      </c>
      <c r="M3078" s="28">
        <f>IF($H3078="","",DATE(YEAR($H3078),MONTH($H3078),1))</f>
        <v/>
      </c>
      <c r="N3078" s="26">
        <f>IF($H3078="","",TODAY()-$H3078)</f>
        <v/>
      </c>
      <c r="O3078" s="15" t="n"/>
      <c r="P3078" s="26">
        <f>IF($A3078="","",COUNTIFS('Audit Versions'!$A$6:$A$605,$A3078,'Audit Versions'!$L$6:$L$605,"Active"))</f>
        <v/>
      </c>
      <c r="Q3078" s="15" t="n"/>
      <c r="R3078" s="26">
        <f>IF(OR($A3078="",$P3078=0),"",MOD(N($Q3078),$P3078)+1)</f>
        <v/>
      </c>
      <c r="S3078" s="15" t="n"/>
      <c r="T3078" s="25" t="n"/>
      <c r="U3078" s="26">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Builder'!$B$12="",N($S3078)&lt;='Assignment Builder'!$B$12)))</f>
        <v/>
      </c>
      <c r="V3078" s="23" t="n"/>
    </row>
    <row r="3079">
      <c r="A3079" s="23" t="n"/>
      <c r="B3079" s="23" t="n"/>
      <c r="C3079" s="24" t="n"/>
      <c r="D3079" s="15" t="n"/>
      <c r="E3079" s="23" t="n"/>
      <c r="F3079" s="15" t="n"/>
      <c r="G3079" s="23" t="n"/>
      <c r="H3079" s="25" t="n"/>
      <c r="I3079" s="15" t="n"/>
      <c r="J3079" s="26">
        <f>IF($A3079="","",LEN($C3079)-LEN(SUBSTITUTE($C3079,",",""))+1)</f>
        <v/>
      </c>
      <c r="K3079" s="26">
        <f>IF($A3079="","",SUMPRODUCT(--ISNUMBER(SEARCH('Category Dictionary'!$D$5:$D$135&amp;"",$C3079)),--('Category Dictionary'!$D$5:$D$135&lt;&gt;"")))</f>
        <v/>
      </c>
      <c r="L3079" s="27">
        <f>IF($A3079="","",TRIM(IF(ISERROR(FIND(",",$C3079)),$C3079,LEFT($C3079,FIND(",",$C3079)-1))))</f>
        <v/>
      </c>
      <c r="M3079" s="28">
        <f>IF($H3079="","",DATE(YEAR($H3079),MONTH($H3079),1))</f>
        <v/>
      </c>
      <c r="N3079" s="26">
        <f>IF($H3079="","",TODAY()-$H3079)</f>
        <v/>
      </c>
      <c r="O3079" s="15" t="n"/>
      <c r="P3079" s="26">
        <f>IF($A3079="","",COUNTIFS('Audit Versions'!$A$6:$A$605,$A3079,'Audit Versions'!$L$6:$L$605,"Active"))</f>
        <v/>
      </c>
      <c r="Q3079" s="15" t="n"/>
      <c r="R3079" s="26">
        <f>IF(OR($A3079="",$P3079=0),"",MOD(N($Q3079),$P3079)+1)</f>
        <v/>
      </c>
      <c r="S3079" s="15" t="n"/>
      <c r="T3079" s="25" t="n"/>
      <c r="U3079" s="26">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Builder'!$B$12="",N($S3079)&lt;='Assignment Builder'!$B$12)))</f>
        <v/>
      </c>
      <c r="V3079" s="23" t="n"/>
    </row>
    <row r="3080">
      <c r="A3080" s="23" t="n"/>
      <c r="B3080" s="23" t="n"/>
      <c r="C3080" s="24" t="n"/>
      <c r="D3080" s="15" t="n"/>
      <c r="E3080" s="23" t="n"/>
      <c r="F3080" s="15" t="n"/>
      <c r="G3080" s="23" t="n"/>
      <c r="H3080" s="25" t="n"/>
      <c r="I3080" s="15" t="n"/>
      <c r="J3080" s="26">
        <f>IF($A3080="","",LEN($C3080)-LEN(SUBSTITUTE($C3080,",",""))+1)</f>
        <v/>
      </c>
      <c r="K3080" s="26">
        <f>IF($A3080="","",SUMPRODUCT(--ISNUMBER(SEARCH('Category Dictionary'!$D$5:$D$135&amp;"",$C3080)),--('Category Dictionary'!$D$5:$D$135&lt;&gt;"")))</f>
        <v/>
      </c>
      <c r="L3080" s="27">
        <f>IF($A3080="","",TRIM(IF(ISERROR(FIND(",",$C3080)),$C3080,LEFT($C3080,FIND(",",$C3080)-1))))</f>
        <v/>
      </c>
      <c r="M3080" s="28">
        <f>IF($H3080="","",DATE(YEAR($H3080),MONTH($H3080),1))</f>
        <v/>
      </c>
      <c r="N3080" s="26">
        <f>IF($H3080="","",TODAY()-$H3080)</f>
        <v/>
      </c>
      <c r="O3080" s="15" t="n"/>
      <c r="P3080" s="26">
        <f>IF($A3080="","",COUNTIFS('Audit Versions'!$A$6:$A$605,$A3080,'Audit Versions'!$L$6:$L$605,"Active"))</f>
        <v/>
      </c>
      <c r="Q3080" s="15" t="n"/>
      <c r="R3080" s="26">
        <f>IF(OR($A3080="",$P3080=0),"",MOD(N($Q3080),$P3080)+1)</f>
        <v/>
      </c>
      <c r="S3080" s="15" t="n"/>
      <c r="T3080" s="25" t="n"/>
      <c r="U3080" s="26">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Builder'!$B$12="",N($S3080)&lt;='Assignment Builder'!$B$12)))</f>
        <v/>
      </c>
      <c r="V3080" s="23" t="n"/>
    </row>
    <row r="3081">
      <c r="A3081" s="23" t="n"/>
      <c r="B3081" s="23" t="n"/>
      <c r="C3081" s="24" t="n"/>
      <c r="D3081" s="15" t="n"/>
      <c r="E3081" s="23" t="n"/>
      <c r="F3081" s="15" t="n"/>
      <c r="G3081" s="23" t="n"/>
      <c r="H3081" s="25" t="n"/>
      <c r="I3081" s="15" t="n"/>
      <c r="J3081" s="26">
        <f>IF($A3081="","",LEN($C3081)-LEN(SUBSTITUTE($C3081,",",""))+1)</f>
        <v/>
      </c>
      <c r="K3081" s="26">
        <f>IF($A3081="","",SUMPRODUCT(--ISNUMBER(SEARCH('Category Dictionary'!$D$5:$D$135&amp;"",$C3081)),--('Category Dictionary'!$D$5:$D$135&lt;&gt;"")))</f>
        <v/>
      </c>
      <c r="L3081" s="27">
        <f>IF($A3081="","",TRIM(IF(ISERROR(FIND(",",$C3081)),$C3081,LEFT($C3081,FIND(",",$C3081)-1))))</f>
        <v/>
      </c>
      <c r="M3081" s="28">
        <f>IF($H3081="","",DATE(YEAR($H3081),MONTH($H3081),1))</f>
        <v/>
      </c>
      <c r="N3081" s="26">
        <f>IF($H3081="","",TODAY()-$H3081)</f>
        <v/>
      </c>
      <c r="O3081" s="15" t="n"/>
      <c r="P3081" s="26">
        <f>IF($A3081="","",COUNTIFS('Audit Versions'!$A$6:$A$605,$A3081,'Audit Versions'!$L$6:$L$605,"Active"))</f>
        <v/>
      </c>
      <c r="Q3081" s="15" t="n"/>
      <c r="R3081" s="26">
        <f>IF(OR($A3081="",$P3081=0),"",MOD(N($Q3081),$P3081)+1)</f>
        <v/>
      </c>
      <c r="S3081" s="15" t="n"/>
      <c r="T3081" s="25" t="n"/>
      <c r="U3081" s="26">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Builder'!$B$12="",N($S3081)&lt;='Assignment Builder'!$B$12)))</f>
        <v/>
      </c>
      <c r="V3081" s="23" t="n"/>
    </row>
    <row r="3082">
      <c r="A3082" s="23" t="n"/>
      <c r="B3082" s="23" t="n"/>
      <c r="C3082" s="24" t="n"/>
      <c r="D3082" s="15" t="n"/>
      <c r="E3082" s="23" t="n"/>
      <c r="F3082" s="15" t="n"/>
      <c r="G3082" s="23" t="n"/>
      <c r="H3082" s="25" t="n"/>
      <c r="I3082" s="15" t="n"/>
      <c r="J3082" s="26">
        <f>IF($A3082="","",LEN($C3082)-LEN(SUBSTITUTE($C3082,",",""))+1)</f>
        <v/>
      </c>
      <c r="K3082" s="26">
        <f>IF($A3082="","",SUMPRODUCT(--ISNUMBER(SEARCH('Category Dictionary'!$D$5:$D$135&amp;"",$C3082)),--('Category Dictionary'!$D$5:$D$135&lt;&gt;"")))</f>
        <v/>
      </c>
      <c r="L3082" s="27">
        <f>IF($A3082="","",TRIM(IF(ISERROR(FIND(",",$C3082)),$C3082,LEFT($C3082,FIND(",",$C3082)-1))))</f>
        <v/>
      </c>
      <c r="M3082" s="28">
        <f>IF($H3082="","",DATE(YEAR($H3082),MONTH($H3082),1))</f>
        <v/>
      </c>
      <c r="N3082" s="26">
        <f>IF($H3082="","",TODAY()-$H3082)</f>
        <v/>
      </c>
      <c r="O3082" s="15" t="n"/>
      <c r="P3082" s="26">
        <f>IF($A3082="","",COUNTIFS('Audit Versions'!$A$6:$A$605,$A3082,'Audit Versions'!$L$6:$L$605,"Active"))</f>
        <v/>
      </c>
      <c r="Q3082" s="15" t="n"/>
      <c r="R3082" s="26">
        <f>IF(OR($A3082="",$P3082=0),"",MOD(N($Q3082),$P3082)+1)</f>
        <v/>
      </c>
      <c r="S3082" s="15" t="n"/>
      <c r="T3082" s="25" t="n"/>
      <c r="U3082" s="26">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Builder'!$B$12="",N($S3082)&lt;='Assignment Builder'!$B$12)))</f>
        <v/>
      </c>
      <c r="V3082" s="23" t="n"/>
    </row>
    <row r="3083">
      <c r="A3083" s="23" t="n"/>
      <c r="B3083" s="23" t="n"/>
      <c r="C3083" s="24" t="n"/>
      <c r="D3083" s="15" t="n"/>
      <c r="E3083" s="23" t="n"/>
      <c r="F3083" s="15" t="n"/>
      <c r="G3083" s="23" t="n"/>
      <c r="H3083" s="25" t="n"/>
      <c r="I3083" s="15" t="n"/>
      <c r="J3083" s="26">
        <f>IF($A3083="","",LEN($C3083)-LEN(SUBSTITUTE($C3083,",",""))+1)</f>
        <v/>
      </c>
      <c r="K3083" s="26">
        <f>IF($A3083="","",SUMPRODUCT(--ISNUMBER(SEARCH('Category Dictionary'!$D$5:$D$135&amp;"",$C3083)),--('Category Dictionary'!$D$5:$D$135&lt;&gt;"")))</f>
        <v/>
      </c>
      <c r="L3083" s="27">
        <f>IF($A3083="","",TRIM(IF(ISERROR(FIND(",",$C3083)),$C3083,LEFT($C3083,FIND(",",$C3083)-1))))</f>
        <v/>
      </c>
      <c r="M3083" s="28">
        <f>IF($H3083="","",DATE(YEAR($H3083),MONTH($H3083),1))</f>
        <v/>
      </c>
      <c r="N3083" s="26">
        <f>IF($H3083="","",TODAY()-$H3083)</f>
        <v/>
      </c>
      <c r="O3083" s="15" t="n"/>
      <c r="P3083" s="26">
        <f>IF($A3083="","",COUNTIFS('Audit Versions'!$A$6:$A$605,$A3083,'Audit Versions'!$L$6:$L$605,"Active"))</f>
        <v/>
      </c>
      <c r="Q3083" s="15" t="n"/>
      <c r="R3083" s="26">
        <f>IF(OR($A3083="",$P3083=0),"",MOD(N($Q3083),$P3083)+1)</f>
        <v/>
      </c>
      <c r="S3083" s="15" t="n"/>
      <c r="T3083" s="25" t="n"/>
      <c r="U3083" s="26">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Builder'!$B$12="",N($S3083)&lt;='Assignment Builder'!$B$12)))</f>
        <v/>
      </c>
      <c r="V3083" s="23" t="n"/>
    </row>
    <row r="3084">
      <c r="A3084" s="23" t="n"/>
      <c r="B3084" s="23" t="n"/>
      <c r="C3084" s="24" t="n"/>
      <c r="D3084" s="15" t="n"/>
      <c r="E3084" s="23" t="n"/>
      <c r="F3084" s="15" t="n"/>
      <c r="G3084" s="23" t="n"/>
      <c r="H3084" s="25" t="n"/>
      <c r="I3084" s="15" t="n"/>
      <c r="J3084" s="26">
        <f>IF($A3084="","",LEN($C3084)-LEN(SUBSTITUTE($C3084,",",""))+1)</f>
        <v/>
      </c>
      <c r="K3084" s="26">
        <f>IF($A3084="","",SUMPRODUCT(--ISNUMBER(SEARCH('Category Dictionary'!$D$5:$D$135&amp;"",$C3084)),--('Category Dictionary'!$D$5:$D$135&lt;&gt;"")))</f>
        <v/>
      </c>
      <c r="L3084" s="27">
        <f>IF($A3084="","",TRIM(IF(ISERROR(FIND(",",$C3084)),$C3084,LEFT($C3084,FIND(",",$C3084)-1))))</f>
        <v/>
      </c>
      <c r="M3084" s="28">
        <f>IF($H3084="","",DATE(YEAR($H3084),MONTH($H3084),1))</f>
        <v/>
      </c>
      <c r="N3084" s="26">
        <f>IF($H3084="","",TODAY()-$H3084)</f>
        <v/>
      </c>
      <c r="O3084" s="15" t="n"/>
      <c r="P3084" s="26">
        <f>IF($A3084="","",COUNTIFS('Audit Versions'!$A$6:$A$605,$A3084,'Audit Versions'!$L$6:$L$605,"Active"))</f>
        <v/>
      </c>
      <c r="Q3084" s="15" t="n"/>
      <c r="R3084" s="26">
        <f>IF(OR($A3084="",$P3084=0),"",MOD(N($Q3084),$P3084)+1)</f>
        <v/>
      </c>
      <c r="S3084" s="15" t="n"/>
      <c r="T3084" s="25" t="n"/>
      <c r="U3084" s="26">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Builder'!$B$12="",N($S3084)&lt;='Assignment Builder'!$B$12)))</f>
        <v/>
      </c>
      <c r="V3084" s="23" t="n"/>
    </row>
    <row r="3085">
      <c r="A3085" s="23" t="n"/>
      <c r="B3085" s="23" t="n"/>
      <c r="C3085" s="24" t="n"/>
      <c r="D3085" s="15" t="n"/>
      <c r="E3085" s="23" t="n"/>
      <c r="F3085" s="15" t="n"/>
      <c r="G3085" s="23" t="n"/>
      <c r="H3085" s="25" t="n"/>
      <c r="I3085" s="15" t="n"/>
      <c r="J3085" s="26">
        <f>IF($A3085="","",LEN($C3085)-LEN(SUBSTITUTE($C3085,",",""))+1)</f>
        <v/>
      </c>
      <c r="K3085" s="26">
        <f>IF($A3085="","",SUMPRODUCT(--ISNUMBER(SEARCH('Category Dictionary'!$D$5:$D$135&amp;"",$C3085)),--('Category Dictionary'!$D$5:$D$135&lt;&gt;"")))</f>
        <v/>
      </c>
      <c r="L3085" s="27">
        <f>IF($A3085="","",TRIM(IF(ISERROR(FIND(",",$C3085)),$C3085,LEFT($C3085,FIND(",",$C3085)-1))))</f>
        <v/>
      </c>
      <c r="M3085" s="28">
        <f>IF($H3085="","",DATE(YEAR($H3085),MONTH($H3085),1))</f>
        <v/>
      </c>
      <c r="N3085" s="26">
        <f>IF($H3085="","",TODAY()-$H3085)</f>
        <v/>
      </c>
      <c r="O3085" s="15" t="n"/>
      <c r="P3085" s="26">
        <f>IF($A3085="","",COUNTIFS('Audit Versions'!$A$6:$A$605,$A3085,'Audit Versions'!$L$6:$L$605,"Active"))</f>
        <v/>
      </c>
      <c r="Q3085" s="15" t="n"/>
      <c r="R3085" s="26">
        <f>IF(OR($A3085="",$P3085=0),"",MOD(N($Q3085),$P3085)+1)</f>
        <v/>
      </c>
      <c r="S3085" s="15" t="n"/>
      <c r="T3085" s="25" t="n"/>
      <c r="U3085" s="26">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Builder'!$B$12="",N($S3085)&lt;='Assignment Builder'!$B$12)))</f>
        <v/>
      </c>
      <c r="V3085" s="23" t="n"/>
    </row>
    <row r="3086">
      <c r="A3086" s="23" t="n"/>
      <c r="B3086" s="23" t="n"/>
      <c r="C3086" s="24" t="n"/>
      <c r="D3086" s="15" t="n"/>
      <c r="E3086" s="23" t="n"/>
      <c r="F3086" s="15" t="n"/>
      <c r="G3086" s="23" t="n"/>
      <c r="H3086" s="25" t="n"/>
      <c r="I3086" s="15" t="n"/>
      <c r="J3086" s="26">
        <f>IF($A3086="","",LEN($C3086)-LEN(SUBSTITUTE($C3086,",",""))+1)</f>
        <v/>
      </c>
      <c r="K3086" s="26">
        <f>IF($A3086="","",SUMPRODUCT(--ISNUMBER(SEARCH('Category Dictionary'!$D$5:$D$135&amp;"",$C3086)),--('Category Dictionary'!$D$5:$D$135&lt;&gt;"")))</f>
        <v/>
      </c>
      <c r="L3086" s="27">
        <f>IF($A3086="","",TRIM(IF(ISERROR(FIND(",",$C3086)),$C3086,LEFT($C3086,FIND(",",$C3086)-1))))</f>
        <v/>
      </c>
      <c r="M3086" s="28">
        <f>IF($H3086="","",DATE(YEAR($H3086),MONTH($H3086),1))</f>
        <v/>
      </c>
      <c r="N3086" s="26">
        <f>IF($H3086="","",TODAY()-$H3086)</f>
        <v/>
      </c>
      <c r="O3086" s="15" t="n"/>
      <c r="P3086" s="26">
        <f>IF($A3086="","",COUNTIFS('Audit Versions'!$A$6:$A$605,$A3086,'Audit Versions'!$L$6:$L$605,"Active"))</f>
        <v/>
      </c>
      <c r="Q3086" s="15" t="n"/>
      <c r="R3086" s="26">
        <f>IF(OR($A3086="",$P3086=0),"",MOD(N($Q3086),$P3086)+1)</f>
        <v/>
      </c>
      <c r="S3086" s="15" t="n"/>
      <c r="T3086" s="25" t="n"/>
      <c r="U3086" s="26">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Builder'!$B$12="",N($S3086)&lt;='Assignment Builder'!$B$12)))</f>
        <v/>
      </c>
      <c r="V3086" s="23" t="n"/>
    </row>
    <row r="3087">
      <c r="A3087" s="23" t="n"/>
      <c r="B3087" s="23" t="n"/>
      <c r="C3087" s="24" t="n"/>
      <c r="D3087" s="15" t="n"/>
      <c r="E3087" s="23" t="n"/>
      <c r="F3087" s="15" t="n"/>
      <c r="G3087" s="23" t="n"/>
      <c r="H3087" s="25" t="n"/>
      <c r="I3087" s="15" t="n"/>
      <c r="J3087" s="26">
        <f>IF($A3087="","",LEN($C3087)-LEN(SUBSTITUTE($C3087,",",""))+1)</f>
        <v/>
      </c>
      <c r="K3087" s="26">
        <f>IF($A3087="","",SUMPRODUCT(--ISNUMBER(SEARCH('Category Dictionary'!$D$5:$D$135&amp;"",$C3087)),--('Category Dictionary'!$D$5:$D$135&lt;&gt;"")))</f>
        <v/>
      </c>
      <c r="L3087" s="27">
        <f>IF($A3087="","",TRIM(IF(ISERROR(FIND(",",$C3087)),$C3087,LEFT($C3087,FIND(",",$C3087)-1))))</f>
        <v/>
      </c>
      <c r="M3087" s="28">
        <f>IF($H3087="","",DATE(YEAR($H3087),MONTH($H3087),1))</f>
        <v/>
      </c>
      <c r="N3087" s="26">
        <f>IF($H3087="","",TODAY()-$H3087)</f>
        <v/>
      </c>
      <c r="O3087" s="15" t="n"/>
      <c r="P3087" s="26">
        <f>IF($A3087="","",COUNTIFS('Audit Versions'!$A$6:$A$605,$A3087,'Audit Versions'!$L$6:$L$605,"Active"))</f>
        <v/>
      </c>
      <c r="Q3087" s="15" t="n"/>
      <c r="R3087" s="26">
        <f>IF(OR($A3087="",$P3087=0),"",MOD(N($Q3087),$P3087)+1)</f>
        <v/>
      </c>
      <c r="S3087" s="15" t="n"/>
      <c r="T3087" s="25" t="n"/>
      <c r="U3087" s="26">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Builder'!$B$12="",N($S3087)&lt;='Assignment Builder'!$B$12)))</f>
        <v/>
      </c>
      <c r="V3087" s="23" t="n"/>
    </row>
    <row r="3088">
      <c r="A3088" s="23" t="n"/>
      <c r="B3088" s="23" t="n"/>
      <c r="C3088" s="24" t="n"/>
      <c r="D3088" s="15" t="n"/>
      <c r="E3088" s="23" t="n"/>
      <c r="F3088" s="15" t="n"/>
      <c r="G3088" s="23" t="n"/>
      <c r="H3088" s="25" t="n"/>
      <c r="I3088" s="15" t="n"/>
      <c r="J3088" s="26">
        <f>IF($A3088="","",LEN($C3088)-LEN(SUBSTITUTE($C3088,",",""))+1)</f>
        <v/>
      </c>
      <c r="K3088" s="26">
        <f>IF($A3088="","",SUMPRODUCT(--ISNUMBER(SEARCH('Category Dictionary'!$D$5:$D$135&amp;"",$C3088)),--('Category Dictionary'!$D$5:$D$135&lt;&gt;"")))</f>
        <v/>
      </c>
      <c r="L3088" s="27">
        <f>IF($A3088="","",TRIM(IF(ISERROR(FIND(",",$C3088)),$C3088,LEFT($C3088,FIND(",",$C3088)-1))))</f>
        <v/>
      </c>
      <c r="M3088" s="28">
        <f>IF($H3088="","",DATE(YEAR($H3088),MONTH($H3088),1))</f>
        <v/>
      </c>
      <c r="N3088" s="26">
        <f>IF($H3088="","",TODAY()-$H3088)</f>
        <v/>
      </c>
      <c r="O3088" s="15" t="n"/>
      <c r="P3088" s="26">
        <f>IF($A3088="","",COUNTIFS('Audit Versions'!$A$6:$A$605,$A3088,'Audit Versions'!$L$6:$L$605,"Active"))</f>
        <v/>
      </c>
      <c r="Q3088" s="15" t="n"/>
      <c r="R3088" s="26">
        <f>IF(OR($A3088="",$P3088=0),"",MOD(N($Q3088),$P3088)+1)</f>
        <v/>
      </c>
      <c r="S3088" s="15" t="n"/>
      <c r="T3088" s="25" t="n"/>
      <c r="U3088" s="26">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Builder'!$B$12="",N($S3088)&lt;='Assignment Builder'!$B$12)))</f>
        <v/>
      </c>
      <c r="V3088" s="23" t="n"/>
    </row>
    <row r="3089">
      <c r="A3089" s="23" t="n"/>
      <c r="B3089" s="23" t="n"/>
      <c r="C3089" s="24" t="n"/>
      <c r="D3089" s="15" t="n"/>
      <c r="E3089" s="23" t="n"/>
      <c r="F3089" s="15" t="n"/>
      <c r="G3089" s="23" t="n"/>
      <c r="H3089" s="25" t="n"/>
      <c r="I3089" s="15" t="n"/>
      <c r="J3089" s="26">
        <f>IF($A3089="","",LEN($C3089)-LEN(SUBSTITUTE($C3089,",",""))+1)</f>
        <v/>
      </c>
      <c r="K3089" s="26">
        <f>IF($A3089="","",SUMPRODUCT(--ISNUMBER(SEARCH('Category Dictionary'!$D$5:$D$135&amp;"",$C3089)),--('Category Dictionary'!$D$5:$D$135&lt;&gt;"")))</f>
        <v/>
      </c>
      <c r="L3089" s="27">
        <f>IF($A3089="","",TRIM(IF(ISERROR(FIND(",",$C3089)),$C3089,LEFT($C3089,FIND(",",$C3089)-1))))</f>
        <v/>
      </c>
      <c r="M3089" s="28">
        <f>IF($H3089="","",DATE(YEAR($H3089),MONTH($H3089),1))</f>
        <v/>
      </c>
      <c r="N3089" s="26">
        <f>IF($H3089="","",TODAY()-$H3089)</f>
        <v/>
      </c>
      <c r="O3089" s="15" t="n"/>
      <c r="P3089" s="26">
        <f>IF($A3089="","",COUNTIFS('Audit Versions'!$A$6:$A$605,$A3089,'Audit Versions'!$L$6:$L$605,"Active"))</f>
        <v/>
      </c>
      <c r="Q3089" s="15" t="n"/>
      <c r="R3089" s="26">
        <f>IF(OR($A3089="",$P3089=0),"",MOD(N($Q3089),$P3089)+1)</f>
        <v/>
      </c>
      <c r="S3089" s="15" t="n"/>
      <c r="T3089" s="25" t="n"/>
      <c r="U3089" s="26">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Builder'!$B$12="",N($S3089)&lt;='Assignment Builder'!$B$12)))</f>
        <v/>
      </c>
      <c r="V3089" s="23" t="n"/>
    </row>
    <row r="3090">
      <c r="A3090" s="23" t="n"/>
      <c r="B3090" s="23" t="n"/>
      <c r="C3090" s="24" t="n"/>
      <c r="D3090" s="15" t="n"/>
      <c r="E3090" s="23" t="n"/>
      <c r="F3090" s="15" t="n"/>
      <c r="G3090" s="23" t="n"/>
      <c r="H3090" s="25" t="n"/>
      <c r="I3090" s="15" t="n"/>
      <c r="J3090" s="26">
        <f>IF($A3090="","",LEN($C3090)-LEN(SUBSTITUTE($C3090,",",""))+1)</f>
        <v/>
      </c>
      <c r="K3090" s="26">
        <f>IF($A3090="","",SUMPRODUCT(--ISNUMBER(SEARCH('Category Dictionary'!$D$5:$D$135&amp;"",$C3090)),--('Category Dictionary'!$D$5:$D$135&lt;&gt;"")))</f>
        <v/>
      </c>
      <c r="L3090" s="27">
        <f>IF($A3090="","",TRIM(IF(ISERROR(FIND(",",$C3090)),$C3090,LEFT($C3090,FIND(",",$C3090)-1))))</f>
        <v/>
      </c>
      <c r="M3090" s="28">
        <f>IF($H3090="","",DATE(YEAR($H3090),MONTH($H3090),1))</f>
        <v/>
      </c>
      <c r="N3090" s="26">
        <f>IF($H3090="","",TODAY()-$H3090)</f>
        <v/>
      </c>
      <c r="O3090" s="15" t="n"/>
      <c r="P3090" s="26">
        <f>IF($A3090="","",COUNTIFS('Audit Versions'!$A$6:$A$605,$A3090,'Audit Versions'!$L$6:$L$605,"Active"))</f>
        <v/>
      </c>
      <c r="Q3090" s="15" t="n"/>
      <c r="R3090" s="26">
        <f>IF(OR($A3090="",$P3090=0),"",MOD(N($Q3090),$P3090)+1)</f>
        <v/>
      </c>
      <c r="S3090" s="15" t="n"/>
      <c r="T3090" s="25" t="n"/>
      <c r="U3090" s="26">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Builder'!$B$12="",N($S3090)&lt;='Assignment Builder'!$B$12)))</f>
        <v/>
      </c>
      <c r="V3090" s="23" t="n"/>
    </row>
    <row r="3091">
      <c r="A3091" s="23" t="n"/>
      <c r="B3091" s="23" t="n"/>
      <c r="C3091" s="24" t="n"/>
      <c r="D3091" s="15" t="n"/>
      <c r="E3091" s="23" t="n"/>
      <c r="F3091" s="15" t="n"/>
      <c r="G3091" s="23" t="n"/>
      <c r="H3091" s="25" t="n"/>
      <c r="I3091" s="15" t="n"/>
      <c r="J3091" s="26">
        <f>IF($A3091="","",LEN($C3091)-LEN(SUBSTITUTE($C3091,",",""))+1)</f>
        <v/>
      </c>
      <c r="K3091" s="26">
        <f>IF($A3091="","",SUMPRODUCT(--ISNUMBER(SEARCH('Category Dictionary'!$D$5:$D$135&amp;"",$C3091)),--('Category Dictionary'!$D$5:$D$135&lt;&gt;"")))</f>
        <v/>
      </c>
      <c r="L3091" s="27">
        <f>IF($A3091="","",TRIM(IF(ISERROR(FIND(",",$C3091)),$C3091,LEFT($C3091,FIND(",",$C3091)-1))))</f>
        <v/>
      </c>
      <c r="M3091" s="28">
        <f>IF($H3091="","",DATE(YEAR($H3091),MONTH($H3091),1))</f>
        <v/>
      </c>
      <c r="N3091" s="26">
        <f>IF($H3091="","",TODAY()-$H3091)</f>
        <v/>
      </c>
      <c r="O3091" s="15" t="n"/>
      <c r="P3091" s="26">
        <f>IF($A3091="","",COUNTIFS('Audit Versions'!$A$6:$A$605,$A3091,'Audit Versions'!$L$6:$L$605,"Active"))</f>
        <v/>
      </c>
      <c r="Q3091" s="15" t="n"/>
      <c r="R3091" s="26">
        <f>IF(OR($A3091="",$P3091=0),"",MOD(N($Q3091),$P3091)+1)</f>
        <v/>
      </c>
      <c r="S3091" s="15" t="n"/>
      <c r="T3091" s="25" t="n"/>
      <c r="U3091" s="26">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Builder'!$B$12="",N($S3091)&lt;='Assignment Builder'!$B$12)))</f>
        <v/>
      </c>
      <c r="V3091" s="23" t="n"/>
    </row>
    <row r="3092">
      <c r="A3092" s="23" t="n"/>
      <c r="B3092" s="23" t="n"/>
      <c r="C3092" s="24" t="n"/>
      <c r="D3092" s="15" t="n"/>
      <c r="E3092" s="23" t="n"/>
      <c r="F3092" s="15" t="n"/>
      <c r="G3092" s="23" t="n"/>
      <c r="H3092" s="25" t="n"/>
      <c r="I3092" s="15" t="n"/>
      <c r="J3092" s="26">
        <f>IF($A3092="","",LEN($C3092)-LEN(SUBSTITUTE($C3092,",",""))+1)</f>
        <v/>
      </c>
      <c r="K3092" s="26">
        <f>IF($A3092="","",SUMPRODUCT(--ISNUMBER(SEARCH('Category Dictionary'!$D$5:$D$135&amp;"",$C3092)),--('Category Dictionary'!$D$5:$D$135&lt;&gt;"")))</f>
        <v/>
      </c>
      <c r="L3092" s="27">
        <f>IF($A3092="","",TRIM(IF(ISERROR(FIND(",",$C3092)),$C3092,LEFT($C3092,FIND(",",$C3092)-1))))</f>
        <v/>
      </c>
      <c r="M3092" s="28">
        <f>IF($H3092="","",DATE(YEAR($H3092),MONTH($H3092),1))</f>
        <v/>
      </c>
      <c r="N3092" s="26">
        <f>IF($H3092="","",TODAY()-$H3092)</f>
        <v/>
      </c>
      <c r="O3092" s="15" t="n"/>
      <c r="P3092" s="26">
        <f>IF($A3092="","",COUNTIFS('Audit Versions'!$A$6:$A$605,$A3092,'Audit Versions'!$L$6:$L$605,"Active"))</f>
        <v/>
      </c>
      <c r="Q3092" s="15" t="n"/>
      <c r="R3092" s="26">
        <f>IF(OR($A3092="",$P3092=0),"",MOD(N($Q3092),$P3092)+1)</f>
        <v/>
      </c>
      <c r="S3092" s="15" t="n"/>
      <c r="T3092" s="25" t="n"/>
      <c r="U3092" s="26">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Builder'!$B$12="",N($S3092)&lt;='Assignment Builder'!$B$12)))</f>
        <v/>
      </c>
      <c r="V3092" s="23" t="n"/>
    </row>
    <row r="3093">
      <c r="A3093" s="23" t="n"/>
      <c r="B3093" s="23" t="n"/>
      <c r="C3093" s="24" t="n"/>
      <c r="D3093" s="15" t="n"/>
      <c r="E3093" s="23" t="n"/>
      <c r="F3093" s="15" t="n"/>
      <c r="G3093" s="23" t="n"/>
      <c r="H3093" s="25" t="n"/>
      <c r="I3093" s="15" t="n"/>
      <c r="J3093" s="26">
        <f>IF($A3093="","",LEN($C3093)-LEN(SUBSTITUTE($C3093,",",""))+1)</f>
        <v/>
      </c>
      <c r="K3093" s="26">
        <f>IF($A3093="","",SUMPRODUCT(--ISNUMBER(SEARCH('Category Dictionary'!$D$5:$D$135&amp;"",$C3093)),--('Category Dictionary'!$D$5:$D$135&lt;&gt;"")))</f>
        <v/>
      </c>
      <c r="L3093" s="27">
        <f>IF($A3093="","",TRIM(IF(ISERROR(FIND(",",$C3093)),$C3093,LEFT($C3093,FIND(",",$C3093)-1))))</f>
        <v/>
      </c>
      <c r="M3093" s="28">
        <f>IF($H3093="","",DATE(YEAR($H3093),MONTH($H3093),1))</f>
        <v/>
      </c>
      <c r="N3093" s="26">
        <f>IF($H3093="","",TODAY()-$H3093)</f>
        <v/>
      </c>
      <c r="O3093" s="15" t="n"/>
      <c r="P3093" s="26">
        <f>IF($A3093="","",COUNTIFS('Audit Versions'!$A$6:$A$605,$A3093,'Audit Versions'!$L$6:$L$605,"Active"))</f>
        <v/>
      </c>
      <c r="Q3093" s="15" t="n"/>
      <c r="R3093" s="26">
        <f>IF(OR($A3093="",$P3093=0),"",MOD(N($Q3093),$P3093)+1)</f>
        <v/>
      </c>
      <c r="S3093" s="15" t="n"/>
      <c r="T3093" s="25" t="n"/>
      <c r="U3093" s="26">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Builder'!$B$12="",N($S3093)&lt;='Assignment Builder'!$B$12)))</f>
        <v/>
      </c>
      <c r="V3093" s="23" t="n"/>
    </row>
    <row r="3094">
      <c r="A3094" s="23" t="n"/>
      <c r="B3094" s="23" t="n"/>
      <c r="C3094" s="24" t="n"/>
      <c r="D3094" s="15" t="n"/>
      <c r="E3094" s="23" t="n"/>
      <c r="F3094" s="15" t="n"/>
      <c r="G3094" s="23" t="n"/>
      <c r="H3094" s="25" t="n"/>
      <c r="I3094" s="15" t="n"/>
      <c r="J3094" s="26">
        <f>IF($A3094="","",LEN($C3094)-LEN(SUBSTITUTE($C3094,",",""))+1)</f>
        <v/>
      </c>
      <c r="K3094" s="26">
        <f>IF($A3094="","",SUMPRODUCT(--ISNUMBER(SEARCH('Category Dictionary'!$D$5:$D$135&amp;"",$C3094)),--('Category Dictionary'!$D$5:$D$135&lt;&gt;"")))</f>
        <v/>
      </c>
      <c r="L3094" s="27">
        <f>IF($A3094="","",TRIM(IF(ISERROR(FIND(",",$C3094)),$C3094,LEFT($C3094,FIND(",",$C3094)-1))))</f>
        <v/>
      </c>
      <c r="M3094" s="28">
        <f>IF($H3094="","",DATE(YEAR($H3094),MONTH($H3094),1))</f>
        <v/>
      </c>
      <c r="N3094" s="26">
        <f>IF($H3094="","",TODAY()-$H3094)</f>
        <v/>
      </c>
      <c r="O3094" s="15" t="n"/>
      <c r="P3094" s="26">
        <f>IF($A3094="","",COUNTIFS('Audit Versions'!$A$6:$A$605,$A3094,'Audit Versions'!$L$6:$L$605,"Active"))</f>
        <v/>
      </c>
      <c r="Q3094" s="15" t="n"/>
      <c r="R3094" s="26">
        <f>IF(OR($A3094="",$P3094=0),"",MOD(N($Q3094),$P3094)+1)</f>
        <v/>
      </c>
      <c r="S3094" s="15" t="n"/>
      <c r="T3094" s="25" t="n"/>
      <c r="U3094" s="26">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Builder'!$B$12="",N($S3094)&lt;='Assignment Builder'!$B$12)))</f>
        <v/>
      </c>
      <c r="V3094" s="23" t="n"/>
    </row>
    <row r="3095">
      <c r="A3095" s="23" t="n"/>
      <c r="B3095" s="23" t="n"/>
      <c r="C3095" s="24" t="n"/>
      <c r="D3095" s="15" t="n"/>
      <c r="E3095" s="23" t="n"/>
      <c r="F3095" s="15" t="n"/>
      <c r="G3095" s="23" t="n"/>
      <c r="H3095" s="25" t="n"/>
      <c r="I3095" s="15" t="n"/>
      <c r="J3095" s="26">
        <f>IF($A3095="","",LEN($C3095)-LEN(SUBSTITUTE($C3095,",",""))+1)</f>
        <v/>
      </c>
      <c r="K3095" s="26">
        <f>IF($A3095="","",SUMPRODUCT(--ISNUMBER(SEARCH('Category Dictionary'!$D$5:$D$135&amp;"",$C3095)),--('Category Dictionary'!$D$5:$D$135&lt;&gt;"")))</f>
        <v/>
      </c>
      <c r="L3095" s="27">
        <f>IF($A3095="","",TRIM(IF(ISERROR(FIND(",",$C3095)),$C3095,LEFT($C3095,FIND(",",$C3095)-1))))</f>
        <v/>
      </c>
      <c r="M3095" s="28">
        <f>IF($H3095="","",DATE(YEAR($H3095),MONTH($H3095),1))</f>
        <v/>
      </c>
      <c r="N3095" s="26">
        <f>IF($H3095="","",TODAY()-$H3095)</f>
        <v/>
      </c>
      <c r="O3095" s="15" t="n"/>
      <c r="P3095" s="26">
        <f>IF($A3095="","",COUNTIFS('Audit Versions'!$A$6:$A$605,$A3095,'Audit Versions'!$L$6:$L$605,"Active"))</f>
        <v/>
      </c>
      <c r="Q3095" s="15" t="n"/>
      <c r="R3095" s="26">
        <f>IF(OR($A3095="",$P3095=0),"",MOD(N($Q3095),$P3095)+1)</f>
        <v/>
      </c>
      <c r="S3095" s="15" t="n"/>
      <c r="T3095" s="25" t="n"/>
      <c r="U3095" s="26">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Builder'!$B$12="",N($S3095)&lt;='Assignment Builder'!$B$12)))</f>
        <v/>
      </c>
      <c r="V3095" s="23" t="n"/>
    </row>
    <row r="3096">
      <c r="A3096" s="23" t="n"/>
      <c r="B3096" s="23" t="n"/>
      <c r="C3096" s="24" t="n"/>
      <c r="D3096" s="15" t="n"/>
      <c r="E3096" s="23" t="n"/>
      <c r="F3096" s="15" t="n"/>
      <c r="G3096" s="23" t="n"/>
      <c r="H3096" s="25" t="n"/>
      <c r="I3096" s="15" t="n"/>
      <c r="J3096" s="26">
        <f>IF($A3096="","",LEN($C3096)-LEN(SUBSTITUTE($C3096,",",""))+1)</f>
        <v/>
      </c>
      <c r="K3096" s="26">
        <f>IF($A3096="","",SUMPRODUCT(--ISNUMBER(SEARCH('Category Dictionary'!$D$5:$D$135&amp;"",$C3096)),--('Category Dictionary'!$D$5:$D$135&lt;&gt;"")))</f>
        <v/>
      </c>
      <c r="L3096" s="27">
        <f>IF($A3096="","",TRIM(IF(ISERROR(FIND(",",$C3096)),$C3096,LEFT($C3096,FIND(",",$C3096)-1))))</f>
        <v/>
      </c>
      <c r="M3096" s="28">
        <f>IF($H3096="","",DATE(YEAR($H3096),MONTH($H3096),1))</f>
        <v/>
      </c>
      <c r="N3096" s="26">
        <f>IF($H3096="","",TODAY()-$H3096)</f>
        <v/>
      </c>
      <c r="O3096" s="15" t="n"/>
      <c r="P3096" s="26">
        <f>IF($A3096="","",COUNTIFS('Audit Versions'!$A$6:$A$605,$A3096,'Audit Versions'!$L$6:$L$605,"Active"))</f>
        <v/>
      </c>
      <c r="Q3096" s="15" t="n"/>
      <c r="R3096" s="26">
        <f>IF(OR($A3096="",$P3096=0),"",MOD(N($Q3096),$P3096)+1)</f>
        <v/>
      </c>
      <c r="S3096" s="15" t="n"/>
      <c r="T3096" s="25" t="n"/>
      <c r="U3096" s="26">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Builder'!$B$12="",N($S3096)&lt;='Assignment Builder'!$B$12)))</f>
        <v/>
      </c>
      <c r="V3096" s="23" t="n"/>
    </row>
    <row r="3097">
      <c r="A3097" s="23" t="n"/>
      <c r="B3097" s="23" t="n"/>
      <c r="C3097" s="24" t="n"/>
      <c r="D3097" s="15" t="n"/>
      <c r="E3097" s="23" t="n"/>
      <c r="F3097" s="15" t="n"/>
      <c r="G3097" s="23" t="n"/>
      <c r="H3097" s="25" t="n"/>
      <c r="I3097" s="15" t="n"/>
      <c r="J3097" s="26">
        <f>IF($A3097="","",LEN($C3097)-LEN(SUBSTITUTE($C3097,",",""))+1)</f>
        <v/>
      </c>
      <c r="K3097" s="26">
        <f>IF($A3097="","",SUMPRODUCT(--ISNUMBER(SEARCH('Category Dictionary'!$D$5:$D$135&amp;"",$C3097)),--('Category Dictionary'!$D$5:$D$135&lt;&gt;"")))</f>
        <v/>
      </c>
      <c r="L3097" s="27">
        <f>IF($A3097="","",TRIM(IF(ISERROR(FIND(",",$C3097)),$C3097,LEFT($C3097,FIND(",",$C3097)-1))))</f>
        <v/>
      </c>
      <c r="M3097" s="28">
        <f>IF($H3097="","",DATE(YEAR($H3097),MONTH($H3097),1))</f>
        <v/>
      </c>
      <c r="N3097" s="26">
        <f>IF($H3097="","",TODAY()-$H3097)</f>
        <v/>
      </c>
      <c r="O3097" s="15" t="n"/>
      <c r="P3097" s="26">
        <f>IF($A3097="","",COUNTIFS('Audit Versions'!$A$6:$A$605,$A3097,'Audit Versions'!$L$6:$L$605,"Active"))</f>
        <v/>
      </c>
      <c r="Q3097" s="15" t="n"/>
      <c r="R3097" s="26">
        <f>IF(OR($A3097="",$P3097=0),"",MOD(N($Q3097),$P3097)+1)</f>
        <v/>
      </c>
      <c r="S3097" s="15" t="n"/>
      <c r="T3097" s="25" t="n"/>
      <c r="U3097" s="26">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Builder'!$B$12="",N($S3097)&lt;='Assignment Builder'!$B$12)))</f>
        <v/>
      </c>
      <c r="V3097" s="23" t="n"/>
    </row>
    <row r="3098">
      <c r="A3098" s="23" t="n"/>
      <c r="B3098" s="23" t="n"/>
      <c r="C3098" s="24" t="n"/>
      <c r="D3098" s="15" t="n"/>
      <c r="E3098" s="23" t="n"/>
      <c r="F3098" s="15" t="n"/>
      <c r="G3098" s="23" t="n"/>
      <c r="H3098" s="25" t="n"/>
      <c r="I3098" s="15" t="n"/>
      <c r="J3098" s="26">
        <f>IF($A3098="","",LEN($C3098)-LEN(SUBSTITUTE($C3098,",",""))+1)</f>
        <v/>
      </c>
      <c r="K3098" s="26">
        <f>IF($A3098="","",SUMPRODUCT(--ISNUMBER(SEARCH('Category Dictionary'!$D$5:$D$135&amp;"",$C3098)),--('Category Dictionary'!$D$5:$D$135&lt;&gt;"")))</f>
        <v/>
      </c>
      <c r="L3098" s="27">
        <f>IF($A3098="","",TRIM(IF(ISERROR(FIND(",",$C3098)),$C3098,LEFT($C3098,FIND(",",$C3098)-1))))</f>
        <v/>
      </c>
      <c r="M3098" s="28">
        <f>IF($H3098="","",DATE(YEAR($H3098),MONTH($H3098),1))</f>
        <v/>
      </c>
      <c r="N3098" s="26">
        <f>IF($H3098="","",TODAY()-$H3098)</f>
        <v/>
      </c>
      <c r="O3098" s="15" t="n"/>
      <c r="P3098" s="26">
        <f>IF($A3098="","",COUNTIFS('Audit Versions'!$A$6:$A$605,$A3098,'Audit Versions'!$L$6:$L$605,"Active"))</f>
        <v/>
      </c>
      <c r="Q3098" s="15" t="n"/>
      <c r="R3098" s="26">
        <f>IF(OR($A3098="",$P3098=0),"",MOD(N($Q3098),$P3098)+1)</f>
        <v/>
      </c>
      <c r="S3098" s="15" t="n"/>
      <c r="T3098" s="25" t="n"/>
      <c r="U3098" s="26">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Builder'!$B$12="",N($S3098)&lt;='Assignment Builder'!$B$12)))</f>
        <v/>
      </c>
      <c r="V3098" s="23" t="n"/>
    </row>
    <row r="3099">
      <c r="A3099" s="23" t="n"/>
      <c r="B3099" s="23" t="n"/>
      <c r="C3099" s="24" t="n"/>
      <c r="D3099" s="15" t="n"/>
      <c r="E3099" s="23" t="n"/>
      <c r="F3099" s="15" t="n"/>
      <c r="G3099" s="23" t="n"/>
      <c r="H3099" s="25" t="n"/>
      <c r="I3099" s="15" t="n"/>
      <c r="J3099" s="26">
        <f>IF($A3099="","",LEN($C3099)-LEN(SUBSTITUTE($C3099,",",""))+1)</f>
        <v/>
      </c>
      <c r="K3099" s="26">
        <f>IF($A3099="","",SUMPRODUCT(--ISNUMBER(SEARCH('Category Dictionary'!$D$5:$D$135&amp;"",$C3099)),--('Category Dictionary'!$D$5:$D$135&lt;&gt;"")))</f>
        <v/>
      </c>
      <c r="L3099" s="27">
        <f>IF($A3099="","",TRIM(IF(ISERROR(FIND(",",$C3099)),$C3099,LEFT($C3099,FIND(",",$C3099)-1))))</f>
        <v/>
      </c>
      <c r="M3099" s="28">
        <f>IF($H3099="","",DATE(YEAR($H3099),MONTH($H3099),1))</f>
        <v/>
      </c>
      <c r="N3099" s="26">
        <f>IF($H3099="","",TODAY()-$H3099)</f>
        <v/>
      </c>
      <c r="O3099" s="15" t="n"/>
      <c r="P3099" s="26">
        <f>IF($A3099="","",COUNTIFS('Audit Versions'!$A$6:$A$605,$A3099,'Audit Versions'!$L$6:$L$605,"Active"))</f>
        <v/>
      </c>
      <c r="Q3099" s="15" t="n"/>
      <c r="R3099" s="26">
        <f>IF(OR($A3099="",$P3099=0),"",MOD(N($Q3099),$P3099)+1)</f>
        <v/>
      </c>
      <c r="S3099" s="15" t="n"/>
      <c r="T3099" s="25" t="n"/>
      <c r="U3099" s="26">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Builder'!$B$12="",N($S3099)&lt;='Assignment Builder'!$B$12)))</f>
        <v/>
      </c>
      <c r="V3099" s="23" t="n"/>
    </row>
    <row r="3100">
      <c r="A3100" s="23" t="n"/>
      <c r="B3100" s="23" t="n"/>
      <c r="C3100" s="24" t="n"/>
      <c r="D3100" s="15" t="n"/>
      <c r="E3100" s="23" t="n"/>
      <c r="F3100" s="15" t="n"/>
      <c r="G3100" s="23" t="n"/>
      <c r="H3100" s="25" t="n"/>
      <c r="I3100" s="15" t="n"/>
      <c r="J3100" s="26">
        <f>IF($A3100="","",LEN($C3100)-LEN(SUBSTITUTE($C3100,",",""))+1)</f>
        <v/>
      </c>
      <c r="K3100" s="26">
        <f>IF($A3100="","",SUMPRODUCT(--ISNUMBER(SEARCH('Category Dictionary'!$D$5:$D$135&amp;"",$C3100)),--('Category Dictionary'!$D$5:$D$135&lt;&gt;"")))</f>
        <v/>
      </c>
      <c r="L3100" s="27">
        <f>IF($A3100="","",TRIM(IF(ISERROR(FIND(",",$C3100)),$C3100,LEFT($C3100,FIND(",",$C3100)-1))))</f>
        <v/>
      </c>
      <c r="M3100" s="28">
        <f>IF($H3100="","",DATE(YEAR($H3100),MONTH($H3100),1))</f>
        <v/>
      </c>
      <c r="N3100" s="26">
        <f>IF($H3100="","",TODAY()-$H3100)</f>
        <v/>
      </c>
      <c r="O3100" s="15" t="n"/>
      <c r="P3100" s="26">
        <f>IF($A3100="","",COUNTIFS('Audit Versions'!$A$6:$A$605,$A3100,'Audit Versions'!$L$6:$L$605,"Active"))</f>
        <v/>
      </c>
      <c r="Q3100" s="15" t="n"/>
      <c r="R3100" s="26">
        <f>IF(OR($A3100="",$P3100=0),"",MOD(N($Q3100),$P3100)+1)</f>
        <v/>
      </c>
      <c r="S3100" s="15" t="n"/>
      <c r="T3100" s="25" t="n"/>
      <c r="U3100" s="26">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Builder'!$B$12="",N($S3100)&lt;='Assignment Builder'!$B$12)))</f>
        <v/>
      </c>
      <c r="V3100" s="23" t="n"/>
    </row>
    <row r="3101">
      <c r="A3101" s="23" t="n"/>
      <c r="B3101" s="23" t="n"/>
      <c r="C3101" s="24" t="n"/>
      <c r="D3101" s="15" t="n"/>
      <c r="E3101" s="23" t="n"/>
      <c r="F3101" s="15" t="n"/>
      <c r="G3101" s="23" t="n"/>
      <c r="H3101" s="25" t="n"/>
      <c r="I3101" s="15" t="n"/>
      <c r="J3101" s="26">
        <f>IF($A3101="","",LEN($C3101)-LEN(SUBSTITUTE($C3101,",",""))+1)</f>
        <v/>
      </c>
      <c r="K3101" s="26">
        <f>IF($A3101="","",SUMPRODUCT(--ISNUMBER(SEARCH('Category Dictionary'!$D$5:$D$135&amp;"",$C3101)),--('Category Dictionary'!$D$5:$D$135&lt;&gt;"")))</f>
        <v/>
      </c>
      <c r="L3101" s="27">
        <f>IF($A3101="","",TRIM(IF(ISERROR(FIND(",",$C3101)),$C3101,LEFT($C3101,FIND(",",$C3101)-1))))</f>
        <v/>
      </c>
      <c r="M3101" s="28">
        <f>IF($H3101="","",DATE(YEAR($H3101),MONTH($H3101),1))</f>
        <v/>
      </c>
      <c r="N3101" s="26">
        <f>IF($H3101="","",TODAY()-$H3101)</f>
        <v/>
      </c>
      <c r="O3101" s="15" t="n"/>
      <c r="P3101" s="26">
        <f>IF($A3101="","",COUNTIFS('Audit Versions'!$A$6:$A$605,$A3101,'Audit Versions'!$L$6:$L$605,"Active"))</f>
        <v/>
      </c>
      <c r="Q3101" s="15" t="n"/>
      <c r="R3101" s="26">
        <f>IF(OR($A3101="",$P3101=0),"",MOD(N($Q3101),$P3101)+1)</f>
        <v/>
      </c>
      <c r="S3101" s="15" t="n"/>
      <c r="T3101" s="25" t="n"/>
      <c r="U3101" s="26">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Builder'!$B$12="",N($S3101)&lt;='Assignment Builder'!$B$12)))</f>
        <v/>
      </c>
      <c r="V3101" s="23" t="n"/>
    </row>
    <row r="3102">
      <c r="A3102" s="23" t="n"/>
      <c r="B3102" s="23" t="n"/>
      <c r="C3102" s="24" t="n"/>
      <c r="D3102" s="15" t="n"/>
      <c r="E3102" s="23" t="n"/>
      <c r="F3102" s="15" t="n"/>
      <c r="G3102" s="23" t="n"/>
      <c r="H3102" s="25" t="n"/>
      <c r="I3102" s="15" t="n"/>
      <c r="J3102" s="26">
        <f>IF($A3102="","",LEN($C3102)-LEN(SUBSTITUTE($C3102,",",""))+1)</f>
        <v/>
      </c>
      <c r="K3102" s="26">
        <f>IF($A3102="","",SUMPRODUCT(--ISNUMBER(SEARCH('Category Dictionary'!$D$5:$D$135&amp;"",$C3102)),--('Category Dictionary'!$D$5:$D$135&lt;&gt;"")))</f>
        <v/>
      </c>
      <c r="L3102" s="27">
        <f>IF($A3102="","",TRIM(IF(ISERROR(FIND(",",$C3102)),$C3102,LEFT($C3102,FIND(",",$C3102)-1))))</f>
        <v/>
      </c>
      <c r="M3102" s="28">
        <f>IF($H3102="","",DATE(YEAR($H3102),MONTH($H3102),1))</f>
        <v/>
      </c>
      <c r="N3102" s="26">
        <f>IF($H3102="","",TODAY()-$H3102)</f>
        <v/>
      </c>
      <c r="O3102" s="15" t="n"/>
      <c r="P3102" s="26">
        <f>IF($A3102="","",COUNTIFS('Audit Versions'!$A$6:$A$605,$A3102,'Audit Versions'!$L$6:$L$605,"Active"))</f>
        <v/>
      </c>
      <c r="Q3102" s="15" t="n"/>
      <c r="R3102" s="26">
        <f>IF(OR($A3102="",$P3102=0),"",MOD(N($Q3102),$P3102)+1)</f>
        <v/>
      </c>
      <c r="S3102" s="15" t="n"/>
      <c r="T3102" s="25" t="n"/>
      <c r="U3102" s="26">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Builder'!$B$12="",N($S3102)&lt;='Assignment Builder'!$B$12)))</f>
        <v/>
      </c>
      <c r="V3102" s="23" t="n"/>
    </row>
    <row r="3103">
      <c r="A3103" s="23" t="n"/>
      <c r="B3103" s="23" t="n"/>
      <c r="C3103" s="24" t="n"/>
      <c r="D3103" s="15" t="n"/>
      <c r="E3103" s="23" t="n"/>
      <c r="F3103" s="15" t="n"/>
      <c r="G3103" s="23" t="n"/>
      <c r="H3103" s="25" t="n"/>
      <c r="I3103" s="15" t="n"/>
      <c r="J3103" s="26">
        <f>IF($A3103="","",LEN($C3103)-LEN(SUBSTITUTE($C3103,",",""))+1)</f>
        <v/>
      </c>
      <c r="K3103" s="26">
        <f>IF($A3103="","",SUMPRODUCT(--ISNUMBER(SEARCH('Category Dictionary'!$D$5:$D$135&amp;"",$C3103)),--('Category Dictionary'!$D$5:$D$135&lt;&gt;"")))</f>
        <v/>
      </c>
      <c r="L3103" s="27">
        <f>IF($A3103="","",TRIM(IF(ISERROR(FIND(",",$C3103)),$C3103,LEFT($C3103,FIND(",",$C3103)-1))))</f>
        <v/>
      </c>
      <c r="M3103" s="28">
        <f>IF($H3103="","",DATE(YEAR($H3103),MONTH($H3103),1))</f>
        <v/>
      </c>
      <c r="N3103" s="26">
        <f>IF($H3103="","",TODAY()-$H3103)</f>
        <v/>
      </c>
      <c r="O3103" s="15" t="n"/>
      <c r="P3103" s="26">
        <f>IF($A3103="","",COUNTIFS('Audit Versions'!$A$6:$A$605,$A3103,'Audit Versions'!$L$6:$L$605,"Active"))</f>
        <v/>
      </c>
      <c r="Q3103" s="15" t="n"/>
      <c r="R3103" s="26">
        <f>IF(OR($A3103="",$P3103=0),"",MOD(N($Q3103),$P3103)+1)</f>
        <v/>
      </c>
      <c r="S3103" s="15" t="n"/>
      <c r="T3103" s="25" t="n"/>
      <c r="U3103" s="26">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Builder'!$B$12="",N($S3103)&lt;='Assignment Builder'!$B$12)))</f>
        <v/>
      </c>
      <c r="V3103" s="23" t="n"/>
    </row>
    <row r="3104">
      <c r="A3104" s="23" t="n"/>
      <c r="B3104" s="23" t="n"/>
      <c r="C3104" s="24" t="n"/>
      <c r="D3104" s="15" t="n"/>
      <c r="E3104" s="23" t="n"/>
      <c r="F3104" s="15" t="n"/>
      <c r="G3104" s="23" t="n"/>
      <c r="H3104" s="25" t="n"/>
      <c r="I3104" s="15" t="n"/>
      <c r="J3104" s="26">
        <f>IF($A3104="","",LEN($C3104)-LEN(SUBSTITUTE($C3104,",",""))+1)</f>
        <v/>
      </c>
      <c r="K3104" s="26">
        <f>IF($A3104="","",SUMPRODUCT(--ISNUMBER(SEARCH('Category Dictionary'!$D$5:$D$135&amp;"",$C3104)),--('Category Dictionary'!$D$5:$D$135&lt;&gt;"")))</f>
        <v/>
      </c>
      <c r="L3104" s="27">
        <f>IF($A3104="","",TRIM(IF(ISERROR(FIND(",",$C3104)),$C3104,LEFT($C3104,FIND(",",$C3104)-1))))</f>
        <v/>
      </c>
      <c r="M3104" s="28">
        <f>IF($H3104="","",DATE(YEAR($H3104),MONTH($H3104),1))</f>
        <v/>
      </c>
      <c r="N3104" s="26">
        <f>IF($H3104="","",TODAY()-$H3104)</f>
        <v/>
      </c>
      <c r="O3104" s="15" t="n"/>
      <c r="P3104" s="26">
        <f>IF($A3104="","",COUNTIFS('Audit Versions'!$A$6:$A$605,$A3104,'Audit Versions'!$L$6:$L$605,"Active"))</f>
        <v/>
      </c>
      <c r="Q3104" s="15" t="n"/>
      <c r="R3104" s="26">
        <f>IF(OR($A3104="",$P3104=0),"",MOD(N($Q3104),$P3104)+1)</f>
        <v/>
      </c>
      <c r="S3104" s="15" t="n"/>
      <c r="T3104" s="25" t="n"/>
      <c r="U3104" s="26">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Builder'!$B$12="",N($S3104)&lt;='Assignment Builder'!$B$12)))</f>
        <v/>
      </c>
      <c r="V3104" s="23" t="n"/>
    </row>
    <row r="3105">
      <c r="A3105" s="23" t="n"/>
      <c r="B3105" s="23" t="n"/>
      <c r="C3105" s="24" t="n"/>
      <c r="D3105" s="15" t="n"/>
      <c r="E3105" s="23" t="n"/>
      <c r="F3105" s="15" t="n"/>
      <c r="G3105" s="23" t="n"/>
      <c r="H3105" s="25" t="n"/>
      <c r="I3105" s="15" t="n"/>
      <c r="J3105" s="26">
        <f>IF($A3105="","",LEN($C3105)-LEN(SUBSTITUTE($C3105,",",""))+1)</f>
        <v/>
      </c>
      <c r="K3105" s="26">
        <f>IF($A3105="","",SUMPRODUCT(--ISNUMBER(SEARCH('Category Dictionary'!$D$5:$D$135&amp;"",$C3105)),--('Category Dictionary'!$D$5:$D$135&lt;&gt;"")))</f>
        <v/>
      </c>
      <c r="L3105" s="27">
        <f>IF($A3105="","",TRIM(IF(ISERROR(FIND(",",$C3105)),$C3105,LEFT($C3105,FIND(",",$C3105)-1))))</f>
        <v/>
      </c>
      <c r="M3105" s="28">
        <f>IF($H3105="","",DATE(YEAR($H3105),MONTH($H3105),1))</f>
        <v/>
      </c>
      <c r="N3105" s="26">
        <f>IF($H3105="","",TODAY()-$H3105)</f>
        <v/>
      </c>
      <c r="O3105" s="15" t="n"/>
      <c r="P3105" s="26">
        <f>IF($A3105="","",COUNTIFS('Audit Versions'!$A$6:$A$605,$A3105,'Audit Versions'!$L$6:$L$605,"Active"))</f>
        <v/>
      </c>
      <c r="Q3105" s="15" t="n"/>
      <c r="R3105" s="26">
        <f>IF(OR($A3105="",$P3105=0),"",MOD(N($Q3105),$P3105)+1)</f>
        <v/>
      </c>
      <c r="S3105" s="15" t="n"/>
      <c r="T3105" s="25" t="n"/>
      <c r="U3105" s="26">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Builder'!$B$12="",N($S3105)&lt;='Assignment Builder'!$B$12)))</f>
        <v/>
      </c>
      <c r="V3105" s="23" t="n"/>
    </row>
    <row r="3106">
      <c r="A3106" s="23" t="n"/>
      <c r="B3106" s="23" t="n"/>
      <c r="C3106" s="24" t="n"/>
      <c r="D3106" s="15" t="n"/>
      <c r="E3106" s="23" t="n"/>
      <c r="F3106" s="15" t="n"/>
      <c r="G3106" s="23" t="n"/>
      <c r="H3106" s="25" t="n"/>
      <c r="I3106" s="15" t="n"/>
      <c r="J3106" s="26">
        <f>IF($A3106="","",LEN($C3106)-LEN(SUBSTITUTE($C3106,",",""))+1)</f>
        <v/>
      </c>
      <c r="K3106" s="26">
        <f>IF($A3106="","",SUMPRODUCT(--ISNUMBER(SEARCH('Category Dictionary'!$D$5:$D$135&amp;"",$C3106)),--('Category Dictionary'!$D$5:$D$135&lt;&gt;"")))</f>
        <v/>
      </c>
      <c r="L3106" s="27">
        <f>IF($A3106="","",TRIM(IF(ISERROR(FIND(",",$C3106)),$C3106,LEFT($C3106,FIND(",",$C3106)-1))))</f>
        <v/>
      </c>
      <c r="M3106" s="28">
        <f>IF($H3106="","",DATE(YEAR($H3106),MONTH($H3106),1))</f>
        <v/>
      </c>
      <c r="N3106" s="26">
        <f>IF($H3106="","",TODAY()-$H3106)</f>
        <v/>
      </c>
      <c r="O3106" s="15" t="n"/>
      <c r="P3106" s="26">
        <f>IF($A3106="","",COUNTIFS('Audit Versions'!$A$6:$A$605,$A3106,'Audit Versions'!$L$6:$L$605,"Active"))</f>
        <v/>
      </c>
      <c r="Q3106" s="15" t="n"/>
      <c r="R3106" s="26">
        <f>IF(OR($A3106="",$P3106=0),"",MOD(N($Q3106),$P3106)+1)</f>
        <v/>
      </c>
      <c r="S3106" s="15" t="n"/>
      <c r="T3106" s="25" t="n"/>
      <c r="U3106" s="26">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Builder'!$B$12="",N($S3106)&lt;='Assignment Builder'!$B$12)))</f>
        <v/>
      </c>
      <c r="V3106" s="23" t="n"/>
    </row>
    <row r="3107">
      <c r="A3107" s="23" t="n"/>
      <c r="B3107" s="23" t="n"/>
      <c r="C3107" s="24" t="n"/>
      <c r="D3107" s="15" t="n"/>
      <c r="E3107" s="23" t="n"/>
      <c r="F3107" s="15" t="n"/>
      <c r="G3107" s="23" t="n"/>
      <c r="H3107" s="25" t="n"/>
      <c r="I3107" s="15" t="n"/>
      <c r="J3107" s="26">
        <f>IF($A3107="","",LEN($C3107)-LEN(SUBSTITUTE($C3107,",",""))+1)</f>
        <v/>
      </c>
      <c r="K3107" s="26">
        <f>IF($A3107="","",SUMPRODUCT(--ISNUMBER(SEARCH('Category Dictionary'!$D$5:$D$135&amp;"",$C3107)),--('Category Dictionary'!$D$5:$D$135&lt;&gt;"")))</f>
        <v/>
      </c>
      <c r="L3107" s="27">
        <f>IF($A3107="","",TRIM(IF(ISERROR(FIND(",",$C3107)),$C3107,LEFT($C3107,FIND(",",$C3107)-1))))</f>
        <v/>
      </c>
      <c r="M3107" s="28">
        <f>IF($H3107="","",DATE(YEAR($H3107),MONTH($H3107),1))</f>
        <v/>
      </c>
      <c r="N3107" s="26">
        <f>IF($H3107="","",TODAY()-$H3107)</f>
        <v/>
      </c>
      <c r="O3107" s="15" t="n"/>
      <c r="P3107" s="26">
        <f>IF($A3107="","",COUNTIFS('Audit Versions'!$A$6:$A$605,$A3107,'Audit Versions'!$L$6:$L$605,"Active"))</f>
        <v/>
      </c>
      <c r="Q3107" s="15" t="n"/>
      <c r="R3107" s="26">
        <f>IF(OR($A3107="",$P3107=0),"",MOD(N($Q3107),$P3107)+1)</f>
        <v/>
      </c>
      <c r="S3107" s="15" t="n"/>
      <c r="T3107" s="25" t="n"/>
      <c r="U3107" s="26">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Builder'!$B$12="",N($S3107)&lt;='Assignment Builder'!$B$12)))</f>
        <v/>
      </c>
      <c r="V3107" s="23" t="n"/>
    </row>
    <row r="3108">
      <c r="A3108" s="23" t="n"/>
      <c r="B3108" s="23" t="n"/>
      <c r="C3108" s="24" t="n"/>
      <c r="D3108" s="15" t="n"/>
      <c r="E3108" s="23" t="n"/>
      <c r="F3108" s="15" t="n"/>
      <c r="G3108" s="23" t="n"/>
      <c r="H3108" s="25" t="n"/>
      <c r="I3108" s="15" t="n"/>
      <c r="J3108" s="26">
        <f>IF($A3108="","",LEN($C3108)-LEN(SUBSTITUTE($C3108,",",""))+1)</f>
        <v/>
      </c>
      <c r="K3108" s="26">
        <f>IF($A3108="","",SUMPRODUCT(--ISNUMBER(SEARCH('Category Dictionary'!$D$5:$D$135&amp;"",$C3108)),--('Category Dictionary'!$D$5:$D$135&lt;&gt;"")))</f>
        <v/>
      </c>
      <c r="L3108" s="27">
        <f>IF($A3108="","",TRIM(IF(ISERROR(FIND(",",$C3108)),$C3108,LEFT($C3108,FIND(",",$C3108)-1))))</f>
        <v/>
      </c>
      <c r="M3108" s="28">
        <f>IF($H3108="","",DATE(YEAR($H3108),MONTH($H3108),1))</f>
        <v/>
      </c>
      <c r="N3108" s="26">
        <f>IF($H3108="","",TODAY()-$H3108)</f>
        <v/>
      </c>
      <c r="O3108" s="15" t="n"/>
      <c r="P3108" s="26">
        <f>IF($A3108="","",COUNTIFS('Audit Versions'!$A$6:$A$605,$A3108,'Audit Versions'!$L$6:$L$605,"Active"))</f>
        <v/>
      </c>
      <c r="Q3108" s="15" t="n"/>
      <c r="R3108" s="26">
        <f>IF(OR($A3108="",$P3108=0),"",MOD(N($Q3108),$P3108)+1)</f>
        <v/>
      </c>
      <c r="S3108" s="15" t="n"/>
      <c r="T3108" s="25" t="n"/>
      <c r="U3108" s="26">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Builder'!$B$12="",N($S3108)&lt;='Assignment Builder'!$B$12)))</f>
        <v/>
      </c>
      <c r="V3108" s="23" t="n"/>
    </row>
    <row r="3109">
      <c r="A3109" s="23" t="n"/>
      <c r="B3109" s="23" t="n"/>
      <c r="C3109" s="24" t="n"/>
      <c r="D3109" s="15" t="n"/>
      <c r="E3109" s="23" t="n"/>
      <c r="F3109" s="15" t="n"/>
      <c r="G3109" s="23" t="n"/>
      <c r="H3109" s="25" t="n"/>
      <c r="I3109" s="15" t="n"/>
      <c r="J3109" s="26">
        <f>IF($A3109="","",LEN($C3109)-LEN(SUBSTITUTE($C3109,",",""))+1)</f>
        <v/>
      </c>
      <c r="K3109" s="26">
        <f>IF($A3109="","",SUMPRODUCT(--ISNUMBER(SEARCH('Category Dictionary'!$D$5:$D$135&amp;"",$C3109)),--('Category Dictionary'!$D$5:$D$135&lt;&gt;"")))</f>
        <v/>
      </c>
      <c r="L3109" s="27">
        <f>IF($A3109="","",TRIM(IF(ISERROR(FIND(",",$C3109)),$C3109,LEFT($C3109,FIND(",",$C3109)-1))))</f>
        <v/>
      </c>
      <c r="M3109" s="28">
        <f>IF($H3109="","",DATE(YEAR($H3109),MONTH($H3109),1))</f>
        <v/>
      </c>
      <c r="N3109" s="26">
        <f>IF($H3109="","",TODAY()-$H3109)</f>
        <v/>
      </c>
      <c r="O3109" s="15" t="n"/>
      <c r="P3109" s="26">
        <f>IF($A3109="","",COUNTIFS('Audit Versions'!$A$6:$A$605,$A3109,'Audit Versions'!$L$6:$L$605,"Active"))</f>
        <v/>
      </c>
      <c r="Q3109" s="15" t="n"/>
      <c r="R3109" s="26">
        <f>IF(OR($A3109="",$P3109=0),"",MOD(N($Q3109),$P3109)+1)</f>
        <v/>
      </c>
      <c r="S3109" s="15" t="n"/>
      <c r="T3109" s="25" t="n"/>
      <c r="U3109" s="26">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Builder'!$B$12="",N($S3109)&lt;='Assignment Builder'!$B$12)))</f>
        <v/>
      </c>
      <c r="V3109" s="23" t="n"/>
    </row>
    <row r="3110">
      <c r="A3110" s="23" t="n"/>
      <c r="B3110" s="23" t="n"/>
      <c r="C3110" s="24" t="n"/>
      <c r="D3110" s="15" t="n"/>
      <c r="E3110" s="23" t="n"/>
      <c r="F3110" s="15" t="n"/>
      <c r="G3110" s="23" t="n"/>
      <c r="H3110" s="25" t="n"/>
      <c r="I3110" s="15" t="n"/>
      <c r="J3110" s="26">
        <f>IF($A3110="","",LEN($C3110)-LEN(SUBSTITUTE($C3110,",",""))+1)</f>
        <v/>
      </c>
      <c r="K3110" s="26">
        <f>IF($A3110="","",SUMPRODUCT(--ISNUMBER(SEARCH('Category Dictionary'!$D$5:$D$135&amp;"",$C3110)),--('Category Dictionary'!$D$5:$D$135&lt;&gt;"")))</f>
        <v/>
      </c>
      <c r="L3110" s="27">
        <f>IF($A3110="","",TRIM(IF(ISERROR(FIND(",",$C3110)),$C3110,LEFT($C3110,FIND(",",$C3110)-1))))</f>
        <v/>
      </c>
      <c r="M3110" s="28">
        <f>IF($H3110="","",DATE(YEAR($H3110),MONTH($H3110),1))</f>
        <v/>
      </c>
      <c r="N3110" s="26">
        <f>IF($H3110="","",TODAY()-$H3110)</f>
        <v/>
      </c>
      <c r="O3110" s="15" t="n"/>
      <c r="P3110" s="26">
        <f>IF($A3110="","",COUNTIFS('Audit Versions'!$A$6:$A$605,$A3110,'Audit Versions'!$L$6:$L$605,"Active"))</f>
        <v/>
      </c>
      <c r="Q3110" s="15" t="n"/>
      <c r="R3110" s="26">
        <f>IF(OR($A3110="",$P3110=0),"",MOD(N($Q3110),$P3110)+1)</f>
        <v/>
      </c>
      <c r="S3110" s="15" t="n"/>
      <c r="T3110" s="25" t="n"/>
      <c r="U3110" s="26">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Builder'!$B$12="",N($S3110)&lt;='Assignment Builder'!$B$12)))</f>
        <v/>
      </c>
      <c r="V3110" s="23" t="n"/>
    </row>
    <row r="3111">
      <c r="A3111" s="23" t="n"/>
      <c r="B3111" s="23" t="n"/>
      <c r="C3111" s="24" t="n"/>
      <c r="D3111" s="15" t="n"/>
      <c r="E3111" s="23" t="n"/>
      <c r="F3111" s="15" t="n"/>
      <c r="G3111" s="23" t="n"/>
      <c r="H3111" s="25" t="n"/>
      <c r="I3111" s="15" t="n"/>
      <c r="J3111" s="26">
        <f>IF($A3111="","",LEN($C3111)-LEN(SUBSTITUTE($C3111,",",""))+1)</f>
        <v/>
      </c>
      <c r="K3111" s="26">
        <f>IF($A3111="","",SUMPRODUCT(--ISNUMBER(SEARCH('Category Dictionary'!$D$5:$D$135&amp;"",$C3111)),--('Category Dictionary'!$D$5:$D$135&lt;&gt;"")))</f>
        <v/>
      </c>
      <c r="L3111" s="27">
        <f>IF($A3111="","",TRIM(IF(ISERROR(FIND(",",$C3111)),$C3111,LEFT($C3111,FIND(",",$C3111)-1))))</f>
        <v/>
      </c>
      <c r="M3111" s="28">
        <f>IF($H3111="","",DATE(YEAR($H3111),MONTH($H3111),1))</f>
        <v/>
      </c>
      <c r="N3111" s="26">
        <f>IF($H3111="","",TODAY()-$H3111)</f>
        <v/>
      </c>
      <c r="O3111" s="15" t="n"/>
      <c r="P3111" s="26">
        <f>IF($A3111="","",COUNTIFS('Audit Versions'!$A$6:$A$605,$A3111,'Audit Versions'!$L$6:$L$605,"Active"))</f>
        <v/>
      </c>
      <c r="Q3111" s="15" t="n"/>
      <c r="R3111" s="26">
        <f>IF(OR($A3111="",$P3111=0),"",MOD(N($Q3111),$P3111)+1)</f>
        <v/>
      </c>
      <c r="S3111" s="15" t="n"/>
      <c r="T3111" s="25" t="n"/>
      <c r="U3111" s="26">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Builder'!$B$12="",N($S3111)&lt;='Assignment Builder'!$B$12)))</f>
        <v/>
      </c>
      <c r="V3111" s="23" t="n"/>
    </row>
    <row r="3112">
      <c r="A3112" s="23" t="n"/>
      <c r="B3112" s="23" t="n"/>
      <c r="C3112" s="24" t="n"/>
      <c r="D3112" s="15" t="n"/>
      <c r="E3112" s="23" t="n"/>
      <c r="F3112" s="15" t="n"/>
      <c r="G3112" s="23" t="n"/>
      <c r="H3112" s="25" t="n"/>
      <c r="I3112" s="15" t="n"/>
      <c r="J3112" s="26">
        <f>IF($A3112="","",LEN($C3112)-LEN(SUBSTITUTE($C3112,",",""))+1)</f>
        <v/>
      </c>
      <c r="K3112" s="26">
        <f>IF($A3112="","",SUMPRODUCT(--ISNUMBER(SEARCH('Category Dictionary'!$D$5:$D$135&amp;"",$C3112)),--('Category Dictionary'!$D$5:$D$135&lt;&gt;"")))</f>
        <v/>
      </c>
      <c r="L3112" s="27">
        <f>IF($A3112="","",TRIM(IF(ISERROR(FIND(",",$C3112)),$C3112,LEFT($C3112,FIND(",",$C3112)-1))))</f>
        <v/>
      </c>
      <c r="M3112" s="28">
        <f>IF($H3112="","",DATE(YEAR($H3112),MONTH($H3112),1))</f>
        <v/>
      </c>
      <c r="N3112" s="26">
        <f>IF($H3112="","",TODAY()-$H3112)</f>
        <v/>
      </c>
      <c r="O3112" s="15" t="n"/>
      <c r="P3112" s="26">
        <f>IF($A3112="","",COUNTIFS('Audit Versions'!$A$6:$A$605,$A3112,'Audit Versions'!$L$6:$L$605,"Active"))</f>
        <v/>
      </c>
      <c r="Q3112" s="15" t="n"/>
      <c r="R3112" s="26">
        <f>IF(OR($A3112="",$P3112=0),"",MOD(N($Q3112),$P3112)+1)</f>
        <v/>
      </c>
      <c r="S3112" s="15" t="n"/>
      <c r="T3112" s="25" t="n"/>
      <c r="U3112" s="26">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Builder'!$B$12="",N($S3112)&lt;='Assignment Builder'!$B$12)))</f>
        <v/>
      </c>
      <c r="V3112" s="23" t="n"/>
    </row>
    <row r="3113">
      <c r="A3113" s="23" t="n"/>
      <c r="B3113" s="23" t="n"/>
      <c r="C3113" s="24" t="n"/>
      <c r="D3113" s="15" t="n"/>
      <c r="E3113" s="23" t="n"/>
      <c r="F3113" s="15" t="n"/>
      <c r="G3113" s="23" t="n"/>
      <c r="H3113" s="25" t="n"/>
      <c r="I3113" s="15" t="n"/>
      <c r="J3113" s="26">
        <f>IF($A3113="","",LEN($C3113)-LEN(SUBSTITUTE($C3113,",",""))+1)</f>
        <v/>
      </c>
      <c r="K3113" s="26">
        <f>IF($A3113="","",SUMPRODUCT(--ISNUMBER(SEARCH('Category Dictionary'!$D$5:$D$135&amp;"",$C3113)),--('Category Dictionary'!$D$5:$D$135&lt;&gt;"")))</f>
        <v/>
      </c>
      <c r="L3113" s="27">
        <f>IF($A3113="","",TRIM(IF(ISERROR(FIND(",",$C3113)),$C3113,LEFT($C3113,FIND(",",$C3113)-1))))</f>
        <v/>
      </c>
      <c r="M3113" s="28">
        <f>IF($H3113="","",DATE(YEAR($H3113),MONTH($H3113),1))</f>
        <v/>
      </c>
      <c r="N3113" s="26">
        <f>IF($H3113="","",TODAY()-$H3113)</f>
        <v/>
      </c>
      <c r="O3113" s="15" t="n"/>
      <c r="P3113" s="26">
        <f>IF($A3113="","",COUNTIFS('Audit Versions'!$A$6:$A$605,$A3113,'Audit Versions'!$L$6:$L$605,"Active"))</f>
        <v/>
      </c>
      <c r="Q3113" s="15" t="n"/>
      <c r="R3113" s="26">
        <f>IF(OR($A3113="",$P3113=0),"",MOD(N($Q3113),$P3113)+1)</f>
        <v/>
      </c>
      <c r="S3113" s="15" t="n"/>
      <c r="T3113" s="25" t="n"/>
      <c r="U3113" s="26">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Builder'!$B$12="",N($S3113)&lt;='Assignment Builder'!$B$12)))</f>
        <v/>
      </c>
      <c r="V3113" s="23" t="n"/>
    </row>
    <row r="3114">
      <c r="A3114" s="23" t="n"/>
      <c r="B3114" s="23" t="n"/>
      <c r="C3114" s="24" t="n"/>
      <c r="D3114" s="15" t="n"/>
      <c r="E3114" s="23" t="n"/>
      <c r="F3114" s="15" t="n"/>
      <c r="G3114" s="23" t="n"/>
      <c r="H3114" s="25" t="n"/>
      <c r="I3114" s="15" t="n"/>
      <c r="J3114" s="26">
        <f>IF($A3114="","",LEN($C3114)-LEN(SUBSTITUTE($C3114,",",""))+1)</f>
        <v/>
      </c>
      <c r="K3114" s="26">
        <f>IF($A3114="","",SUMPRODUCT(--ISNUMBER(SEARCH('Category Dictionary'!$D$5:$D$135&amp;"",$C3114)),--('Category Dictionary'!$D$5:$D$135&lt;&gt;"")))</f>
        <v/>
      </c>
      <c r="L3114" s="27">
        <f>IF($A3114="","",TRIM(IF(ISERROR(FIND(",",$C3114)),$C3114,LEFT($C3114,FIND(",",$C3114)-1))))</f>
        <v/>
      </c>
      <c r="M3114" s="28">
        <f>IF($H3114="","",DATE(YEAR($H3114),MONTH($H3114),1))</f>
        <v/>
      </c>
      <c r="N3114" s="26">
        <f>IF($H3114="","",TODAY()-$H3114)</f>
        <v/>
      </c>
      <c r="O3114" s="15" t="n"/>
      <c r="P3114" s="26">
        <f>IF($A3114="","",COUNTIFS('Audit Versions'!$A$6:$A$605,$A3114,'Audit Versions'!$L$6:$L$605,"Active"))</f>
        <v/>
      </c>
      <c r="Q3114" s="15" t="n"/>
      <c r="R3114" s="26">
        <f>IF(OR($A3114="",$P3114=0),"",MOD(N($Q3114),$P3114)+1)</f>
        <v/>
      </c>
      <c r="S3114" s="15" t="n"/>
      <c r="T3114" s="25" t="n"/>
      <c r="U3114" s="26">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Builder'!$B$12="",N($S3114)&lt;='Assignment Builder'!$B$12)))</f>
        <v/>
      </c>
      <c r="V3114" s="23" t="n"/>
    </row>
    <row r="3115">
      <c r="A3115" s="23" t="n"/>
      <c r="B3115" s="23" t="n"/>
      <c r="C3115" s="24" t="n"/>
      <c r="D3115" s="15" t="n"/>
      <c r="E3115" s="23" t="n"/>
      <c r="F3115" s="15" t="n"/>
      <c r="G3115" s="23" t="n"/>
      <c r="H3115" s="25" t="n"/>
      <c r="I3115" s="15" t="n"/>
      <c r="J3115" s="26">
        <f>IF($A3115="","",LEN($C3115)-LEN(SUBSTITUTE($C3115,",",""))+1)</f>
        <v/>
      </c>
      <c r="K3115" s="26">
        <f>IF($A3115="","",SUMPRODUCT(--ISNUMBER(SEARCH('Category Dictionary'!$D$5:$D$135&amp;"",$C3115)),--('Category Dictionary'!$D$5:$D$135&lt;&gt;"")))</f>
        <v/>
      </c>
      <c r="L3115" s="27">
        <f>IF($A3115="","",TRIM(IF(ISERROR(FIND(",",$C3115)),$C3115,LEFT($C3115,FIND(",",$C3115)-1))))</f>
        <v/>
      </c>
      <c r="M3115" s="28">
        <f>IF($H3115="","",DATE(YEAR($H3115),MONTH($H3115),1))</f>
        <v/>
      </c>
      <c r="N3115" s="26">
        <f>IF($H3115="","",TODAY()-$H3115)</f>
        <v/>
      </c>
      <c r="O3115" s="15" t="n"/>
      <c r="P3115" s="26">
        <f>IF($A3115="","",COUNTIFS('Audit Versions'!$A$6:$A$605,$A3115,'Audit Versions'!$L$6:$L$605,"Active"))</f>
        <v/>
      </c>
      <c r="Q3115" s="15" t="n"/>
      <c r="R3115" s="26">
        <f>IF(OR($A3115="",$P3115=0),"",MOD(N($Q3115),$P3115)+1)</f>
        <v/>
      </c>
      <c r="S3115" s="15" t="n"/>
      <c r="T3115" s="25" t="n"/>
      <c r="U3115" s="26">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Builder'!$B$12="",N($S3115)&lt;='Assignment Builder'!$B$12)))</f>
        <v/>
      </c>
      <c r="V3115" s="23" t="n"/>
    </row>
    <row r="3116">
      <c r="A3116" s="23" t="n"/>
      <c r="B3116" s="23" t="n"/>
      <c r="C3116" s="24" t="n"/>
      <c r="D3116" s="15" t="n"/>
      <c r="E3116" s="23" t="n"/>
      <c r="F3116" s="15" t="n"/>
      <c r="G3116" s="23" t="n"/>
      <c r="H3116" s="25" t="n"/>
      <c r="I3116" s="15" t="n"/>
      <c r="J3116" s="26">
        <f>IF($A3116="","",LEN($C3116)-LEN(SUBSTITUTE($C3116,",",""))+1)</f>
        <v/>
      </c>
      <c r="K3116" s="26">
        <f>IF($A3116="","",SUMPRODUCT(--ISNUMBER(SEARCH('Category Dictionary'!$D$5:$D$135&amp;"",$C3116)),--('Category Dictionary'!$D$5:$D$135&lt;&gt;"")))</f>
        <v/>
      </c>
      <c r="L3116" s="27">
        <f>IF($A3116="","",TRIM(IF(ISERROR(FIND(",",$C3116)),$C3116,LEFT($C3116,FIND(",",$C3116)-1))))</f>
        <v/>
      </c>
      <c r="M3116" s="28">
        <f>IF($H3116="","",DATE(YEAR($H3116),MONTH($H3116),1))</f>
        <v/>
      </c>
      <c r="N3116" s="26">
        <f>IF($H3116="","",TODAY()-$H3116)</f>
        <v/>
      </c>
      <c r="O3116" s="15" t="n"/>
      <c r="P3116" s="26">
        <f>IF($A3116="","",COUNTIFS('Audit Versions'!$A$6:$A$605,$A3116,'Audit Versions'!$L$6:$L$605,"Active"))</f>
        <v/>
      </c>
      <c r="Q3116" s="15" t="n"/>
      <c r="R3116" s="26">
        <f>IF(OR($A3116="",$P3116=0),"",MOD(N($Q3116),$P3116)+1)</f>
        <v/>
      </c>
      <c r="S3116" s="15" t="n"/>
      <c r="T3116" s="25" t="n"/>
      <c r="U3116" s="26">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Builder'!$B$12="",N($S3116)&lt;='Assignment Builder'!$B$12)))</f>
        <v/>
      </c>
      <c r="V3116" s="23" t="n"/>
    </row>
    <row r="3117">
      <c r="A3117" s="23" t="n"/>
      <c r="B3117" s="23" t="n"/>
      <c r="C3117" s="24" t="n"/>
      <c r="D3117" s="15" t="n"/>
      <c r="E3117" s="23" t="n"/>
      <c r="F3117" s="15" t="n"/>
      <c r="G3117" s="23" t="n"/>
      <c r="H3117" s="25" t="n"/>
      <c r="I3117" s="15" t="n"/>
      <c r="J3117" s="26">
        <f>IF($A3117="","",LEN($C3117)-LEN(SUBSTITUTE($C3117,",",""))+1)</f>
        <v/>
      </c>
      <c r="K3117" s="26">
        <f>IF($A3117="","",SUMPRODUCT(--ISNUMBER(SEARCH('Category Dictionary'!$D$5:$D$135&amp;"",$C3117)),--('Category Dictionary'!$D$5:$D$135&lt;&gt;"")))</f>
        <v/>
      </c>
      <c r="L3117" s="27">
        <f>IF($A3117="","",TRIM(IF(ISERROR(FIND(",",$C3117)),$C3117,LEFT($C3117,FIND(",",$C3117)-1))))</f>
        <v/>
      </c>
      <c r="M3117" s="28">
        <f>IF($H3117="","",DATE(YEAR($H3117),MONTH($H3117),1))</f>
        <v/>
      </c>
      <c r="N3117" s="26">
        <f>IF($H3117="","",TODAY()-$H3117)</f>
        <v/>
      </c>
      <c r="O3117" s="15" t="n"/>
      <c r="P3117" s="26">
        <f>IF($A3117="","",COUNTIFS('Audit Versions'!$A$6:$A$605,$A3117,'Audit Versions'!$L$6:$L$605,"Active"))</f>
        <v/>
      </c>
      <c r="Q3117" s="15" t="n"/>
      <c r="R3117" s="26">
        <f>IF(OR($A3117="",$P3117=0),"",MOD(N($Q3117),$P3117)+1)</f>
        <v/>
      </c>
      <c r="S3117" s="15" t="n"/>
      <c r="T3117" s="25" t="n"/>
      <c r="U3117" s="26">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Builder'!$B$12="",N($S3117)&lt;='Assignment Builder'!$B$12)))</f>
        <v/>
      </c>
      <c r="V3117" s="23" t="n"/>
    </row>
    <row r="3118">
      <c r="A3118" s="23" t="n"/>
      <c r="B3118" s="23" t="n"/>
      <c r="C3118" s="24" t="n"/>
      <c r="D3118" s="15" t="n"/>
      <c r="E3118" s="23" t="n"/>
      <c r="F3118" s="15" t="n"/>
      <c r="G3118" s="23" t="n"/>
      <c r="H3118" s="25" t="n"/>
      <c r="I3118" s="15" t="n"/>
      <c r="J3118" s="26">
        <f>IF($A3118="","",LEN($C3118)-LEN(SUBSTITUTE($C3118,",",""))+1)</f>
        <v/>
      </c>
      <c r="K3118" s="26">
        <f>IF($A3118="","",SUMPRODUCT(--ISNUMBER(SEARCH('Category Dictionary'!$D$5:$D$135&amp;"",$C3118)),--('Category Dictionary'!$D$5:$D$135&lt;&gt;"")))</f>
        <v/>
      </c>
      <c r="L3118" s="27">
        <f>IF($A3118="","",TRIM(IF(ISERROR(FIND(",",$C3118)),$C3118,LEFT($C3118,FIND(",",$C3118)-1))))</f>
        <v/>
      </c>
      <c r="M3118" s="28">
        <f>IF($H3118="","",DATE(YEAR($H3118),MONTH($H3118),1))</f>
        <v/>
      </c>
      <c r="N3118" s="26">
        <f>IF($H3118="","",TODAY()-$H3118)</f>
        <v/>
      </c>
      <c r="O3118" s="15" t="n"/>
      <c r="P3118" s="26">
        <f>IF($A3118="","",COUNTIFS('Audit Versions'!$A$6:$A$605,$A3118,'Audit Versions'!$L$6:$L$605,"Active"))</f>
        <v/>
      </c>
      <c r="Q3118" s="15" t="n"/>
      <c r="R3118" s="26">
        <f>IF(OR($A3118="",$P3118=0),"",MOD(N($Q3118),$P3118)+1)</f>
        <v/>
      </c>
      <c r="S3118" s="15" t="n"/>
      <c r="T3118" s="25" t="n"/>
      <c r="U3118" s="26">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Builder'!$B$12="",N($S3118)&lt;='Assignment Builder'!$B$12)))</f>
        <v/>
      </c>
      <c r="V3118" s="23" t="n"/>
    </row>
    <row r="3119">
      <c r="A3119" s="23" t="n"/>
      <c r="B3119" s="23" t="n"/>
      <c r="C3119" s="24" t="n"/>
      <c r="D3119" s="15" t="n"/>
      <c r="E3119" s="23" t="n"/>
      <c r="F3119" s="15" t="n"/>
      <c r="G3119" s="23" t="n"/>
      <c r="H3119" s="25" t="n"/>
      <c r="I3119" s="15" t="n"/>
      <c r="J3119" s="26">
        <f>IF($A3119="","",LEN($C3119)-LEN(SUBSTITUTE($C3119,",",""))+1)</f>
        <v/>
      </c>
      <c r="K3119" s="26">
        <f>IF($A3119="","",SUMPRODUCT(--ISNUMBER(SEARCH('Category Dictionary'!$D$5:$D$135&amp;"",$C3119)),--('Category Dictionary'!$D$5:$D$135&lt;&gt;"")))</f>
        <v/>
      </c>
      <c r="L3119" s="27">
        <f>IF($A3119="","",TRIM(IF(ISERROR(FIND(",",$C3119)),$C3119,LEFT($C3119,FIND(",",$C3119)-1))))</f>
        <v/>
      </c>
      <c r="M3119" s="28">
        <f>IF($H3119="","",DATE(YEAR($H3119),MONTH($H3119),1))</f>
        <v/>
      </c>
      <c r="N3119" s="26">
        <f>IF($H3119="","",TODAY()-$H3119)</f>
        <v/>
      </c>
      <c r="O3119" s="15" t="n"/>
      <c r="P3119" s="26">
        <f>IF($A3119="","",COUNTIFS('Audit Versions'!$A$6:$A$605,$A3119,'Audit Versions'!$L$6:$L$605,"Active"))</f>
        <v/>
      </c>
      <c r="Q3119" s="15" t="n"/>
      <c r="R3119" s="26">
        <f>IF(OR($A3119="",$P3119=0),"",MOD(N($Q3119),$P3119)+1)</f>
        <v/>
      </c>
      <c r="S3119" s="15" t="n"/>
      <c r="T3119" s="25" t="n"/>
      <c r="U3119" s="26">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Builder'!$B$12="",N($S3119)&lt;='Assignment Builder'!$B$12)))</f>
        <v/>
      </c>
      <c r="V3119" s="23" t="n"/>
    </row>
    <row r="3120">
      <c r="A3120" s="23" t="n"/>
      <c r="B3120" s="23" t="n"/>
      <c r="C3120" s="24" t="n"/>
      <c r="D3120" s="15" t="n"/>
      <c r="E3120" s="23" t="n"/>
      <c r="F3120" s="15" t="n"/>
      <c r="G3120" s="23" t="n"/>
      <c r="H3120" s="25" t="n"/>
      <c r="I3120" s="15" t="n"/>
      <c r="J3120" s="26">
        <f>IF($A3120="","",LEN($C3120)-LEN(SUBSTITUTE($C3120,",",""))+1)</f>
        <v/>
      </c>
      <c r="K3120" s="26">
        <f>IF($A3120="","",SUMPRODUCT(--ISNUMBER(SEARCH('Category Dictionary'!$D$5:$D$135&amp;"",$C3120)),--('Category Dictionary'!$D$5:$D$135&lt;&gt;"")))</f>
        <v/>
      </c>
      <c r="L3120" s="27">
        <f>IF($A3120="","",TRIM(IF(ISERROR(FIND(",",$C3120)),$C3120,LEFT($C3120,FIND(",",$C3120)-1))))</f>
        <v/>
      </c>
      <c r="M3120" s="28">
        <f>IF($H3120="","",DATE(YEAR($H3120),MONTH($H3120),1))</f>
        <v/>
      </c>
      <c r="N3120" s="26">
        <f>IF($H3120="","",TODAY()-$H3120)</f>
        <v/>
      </c>
      <c r="O3120" s="15" t="n"/>
      <c r="P3120" s="26">
        <f>IF($A3120="","",COUNTIFS('Audit Versions'!$A$6:$A$605,$A3120,'Audit Versions'!$L$6:$L$605,"Active"))</f>
        <v/>
      </c>
      <c r="Q3120" s="15" t="n"/>
      <c r="R3120" s="26">
        <f>IF(OR($A3120="",$P3120=0),"",MOD(N($Q3120),$P3120)+1)</f>
        <v/>
      </c>
      <c r="S3120" s="15" t="n"/>
      <c r="T3120" s="25" t="n"/>
      <c r="U3120" s="26">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Builder'!$B$12="",N($S3120)&lt;='Assignment Builder'!$B$12)))</f>
        <v/>
      </c>
      <c r="V3120" s="23" t="n"/>
    </row>
    <row r="3121">
      <c r="A3121" s="23" t="n"/>
      <c r="B3121" s="23" t="n"/>
      <c r="C3121" s="24" t="n"/>
      <c r="D3121" s="15" t="n"/>
      <c r="E3121" s="23" t="n"/>
      <c r="F3121" s="15" t="n"/>
      <c r="G3121" s="23" t="n"/>
      <c r="H3121" s="25" t="n"/>
      <c r="I3121" s="15" t="n"/>
      <c r="J3121" s="26">
        <f>IF($A3121="","",LEN($C3121)-LEN(SUBSTITUTE($C3121,",",""))+1)</f>
        <v/>
      </c>
      <c r="K3121" s="26">
        <f>IF($A3121="","",SUMPRODUCT(--ISNUMBER(SEARCH('Category Dictionary'!$D$5:$D$135&amp;"",$C3121)),--('Category Dictionary'!$D$5:$D$135&lt;&gt;"")))</f>
        <v/>
      </c>
      <c r="L3121" s="27">
        <f>IF($A3121="","",TRIM(IF(ISERROR(FIND(",",$C3121)),$C3121,LEFT($C3121,FIND(",",$C3121)-1))))</f>
        <v/>
      </c>
      <c r="M3121" s="28">
        <f>IF($H3121="","",DATE(YEAR($H3121),MONTH($H3121),1))</f>
        <v/>
      </c>
      <c r="N3121" s="26">
        <f>IF($H3121="","",TODAY()-$H3121)</f>
        <v/>
      </c>
      <c r="O3121" s="15" t="n"/>
      <c r="P3121" s="26">
        <f>IF($A3121="","",COUNTIFS('Audit Versions'!$A$6:$A$605,$A3121,'Audit Versions'!$L$6:$L$605,"Active"))</f>
        <v/>
      </c>
      <c r="Q3121" s="15" t="n"/>
      <c r="R3121" s="26">
        <f>IF(OR($A3121="",$P3121=0),"",MOD(N($Q3121),$P3121)+1)</f>
        <v/>
      </c>
      <c r="S3121" s="15" t="n"/>
      <c r="T3121" s="25" t="n"/>
      <c r="U3121" s="26">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Builder'!$B$12="",N($S3121)&lt;='Assignment Builder'!$B$12)))</f>
        <v/>
      </c>
      <c r="V3121" s="23" t="n"/>
    </row>
    <row r="3122">
      <c r="A3122" s="23" t="n"/>
      <c r="B3122" s="23" t="n"/>
      <c r="C3122" s="24" t="n"/>
      <c r="D3122" s="15" t="n"/>
      <c r="E3122" s="23" t="n"/>
      <c r="F3122" s="15" t="n"/>
      <c r="G3122" s="23" t="n"/>
      <c r="H3122" s="25" t="n"/>
      <c r="I3122" s="15" t="n"/>
      <c r="J3122" s="26">
        <f>IF($A3122="","",LEN($C3122)-LEN(SUBSTITUTE($C3122,",",""))+1)</f>
        <v/>
      </c>
      <c r="K3122" s="26">
        <f>IF($A3122="","",SUMPRODUCT(--ISNUMBER(SEARCH('Category Dictionary'!$D$5:$D$135&amp;"",$C3122)),--('Category Dictionary'!$D$5:$D$135&lt;&gt;"")))</f>
        <v/>
      </c>
      <c r="L3122" s="27">
        <f>IF($A3122="","",TRIM(IF(ISERROR(FIND(",",$C3122)),$C3122,LEFT($C3122,FIND(",",$C3122)-1))))</f>
        <v/>
      </c>
      <c r="M3122" s="28">
        <f>IF($H3122="","",DATE(YEAR($H3122),MONTH($H3122),1))</f>
        <v/>
      </c>
      <c r="N3122" s="26">
        <f>IF($H3122="","",TODAY()-$H3122)</f>
        <v/>
      </c>
      <c r="O3122" s="15" t="n"/>
      <c r="P3122" s="26">
        <f>IF($A3122="","",COUNTIFS('Audit Versions'!$A$6:$A$605,$A3122,'Audit Versions'!$L$6:$L$605,"Active"))</f>
        <v/>
      </c>
      <c r="Q3122" s="15" t="n"/>
      <c r="R3122" s="26">
        <f>IF(OR($A3122="",$P3122=0),"",MOD(N($Q3122),$P3122)+1)</f>
        <v/>
      </c>
      <c r="S3122" s="15" t="n"/>
      <c r="T3122" s="25" t="n"/>
      <c r="U3122" s="26">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Builder'!$B$12="",N($S3122)&lt;='Assignment Builder'!$B$12)))</f>
        <v/>
      </c>
      <c r="V3122" s="23" t="n"/>
    </row>
    <row r="3123">
      <c r="A3123" s="23" t="n"/>
      <c r="B3123" s="23" t="n"/>
      <c r="C3123" s="24" t="n"/>
      <c r="D3123" s="15" t="n"/>
      <c r="E3123" s="23" t="n"/>
      <c r="F3123" s="15" t="n"/>
      <c r="G3123" s="23" t="n"/>
      <c r="H3123" s="25" t="n"/>
      <c r="I3123" s="15" t="n"/>
      <c r="J3123" s="26">
        <f>IF($A3123="","",LEN($C3123)-LEN(SUBSTITUTE($C3123,",",""))+1)</f>
        <v/>
      </c>
      <c r="K3123" s="26">
        <f>IF($A3123="","",SUMPRODUCT(--ISNUMBER(SEARCH('Category Dictionary'!$D$5:$D$135&amp;"",$C3123)),--('Category Dictionary'!$D$5:$D$135&lt;&gt;"")))</f>
        <v/>
      </c>
      <c r="L3123" s="27">
        <f>IF($A3123="","",TRIM(IF(ISERROR(FIND(",",$C3123)),$C3123,LEFT($C3123,FIND(",",$C3123)-1))))</f>
        <v/>
      </c>
      <c r="M3123" s="28">
        <f>IF($H3123="","",DATE(YEAR($H3123),MONTH($H3123),1))</f>
        <v/>
      </c>
      <c r="N3123" s="26">
        <f>IF($H3123="","",TODAY()-$H3123)</f>
        <v/>
      </c>
      <c r="O3123" s="15" t="n"/>
      <c r="P3123" s="26">
        <f>IF($A3123="","",COUNTIFS('Audit Versions'!$A$6:$A$605,$A3123,'Audit Versions'!$L$6:$L$605,"Active"))</f>
        <v/>
      </c>
      <c r="Q3123" s="15" t="n"/>
      <c r="R3123" s="26">
        <f>IF(OR($A3123="",$P3123=0),"",MOD(N($Q3123),$P3123)+1)</f>
        <v/>
      </c>
      <c r="S3123" s="15" t="n"/>
      <c r="T3123" s="25" t="n"/>
      <c r="U3123" s="26">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Builder'!$B$12="",N($S3123)&lt;='Assignment Builder'!$B$12)))</f>
        <v/>
      </c>
      <c r="V3123" s="23" t="n"/>
    </row>
    <row r="3124">
      <c r="A3124" s="23" t="n"/>
      <c r="B3124" s="23" t="n"/>
      <c r="C3124" s="24" t="n"/>
      <c r="D3124" s="15" t="n"/>
      <c r="E3124" s="23" t="n"/>
      <c r="F3124" s="15" t="n"/>
      <c r="G3124" s="23" t="n"/>
      <c r="H3124" s="25" t="n"/>
      <c r="I3124" s="15" t="n"/>
      <c r="J3124" s="26">
        <f>IF($A3124="","",LEN($C3124)-LEN(SUBSTITUTE($C3124,",",""))+1)</f>
        <v/>
      </c>
      <c r="K3124" s="26">
        <f>IF($A3124="","",SUMPRODUCT(--ISNUMBER(SEARCH('Category Dictionary'!$D$5:$D$135&amp;"",$C3124)),--('Category Dictionary'!$D$5:$D$135&lt;&gt;"")))</f>
        <v/>
      </c>
      <c r="L3124" s="27">
        <f>IF($A3124="","",TRIM(IF(ISERROR(FIND(",",$C3124)),$C3124,LEFT($C3124,FIND(",",$C3124)-1))))</f>
        <v/>
      </c>
      <c r="M3124" s="28">
        <f>IF($H3124="","",DATE(YEAR($H3124),MONTH($H3124),1))</f>
        <v/>
      </c>
      <c r="N3124" s="26">
        <f>IF($H3124="","",TODAY()-$H3124)</f>
        <v/>
      </c>
      <c r="O3124" s="15" t="n"/>
      <c r="P3124" s="26">
        <f>IF($A3124="","",COUNTIFS('Audit Versions'!$A$6:$A$605,$A3124,'Audit Versions'!$L$6:$L$605,"Active"))</f>
        <v/>
      </c>
      <c r="Q3124" s="15" t="n"/>
      <c r="R3124" s="26">
        <f>IF(OR($A3124="",$P3124=0),"",MOD(N($Q3124),$P3124)+1)</f>
        <v/>
      </c>
      <c r="S3124" s="15" t="n"/>
      <c r="T3124" s="25" t="n"/>
      <c r="U3124" s="26">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Builder'!$B$12="",N($S3124)&lt;='Assignment Builder'!$B$12)))</f>
        <v/>
      </c>
      <c r="V3124" s="23" t="n"/>
    </row>
    <row r="3125">
      <c r="A3125" s="23" t="n"/>
      <c r="B3125" s="23" t="n"/>
      <c r="C3125" s="24" t="n"/>
      <c r="D3125" s="15" t="n"/>
      <c r="E3125" s="23" t="n"/>
      <c r="F3125" s="15" t="n"/>
      <c r="G3125" s="23" t="n"/>
      <c r="H3125" s="25" t="n"/>
      <c r="I3125" s="15" t="n"/>
      <c r="J3125" s="26">
        <f>IF($A3125="","",LEN($C3125)-LEN(SUBSTITUTE($C3125,",",""))+1)</f>
        <v/>
      </c>
      <c r="K3125" s="26">
        <f>IF($A3125="","",SUMPRODUCT(--ISNUMBER(SEARCH('Category Dictionary'!$D$5:$D$135&amp;"",$C3125)),--('Category Dictionary'!$D$5:$D$135&lt;&gt;"")))</f>
        <v/>
      </c>
      <c r="L3125" s="27">
        <f>IF($A3125="","",TRIM(IF(ISERROR(FIND(",",$C3125)),$C3125,LEFT($C3125,FIND(",",$C3125)-1))))</f>
        <v/>
      </c>
      <c r="M3125" s="28">
        <f>IF($H3125="","",DATE(YEAR($H3125),MONTH($H3125),1))</f>
        <v/>
      </c>
      <c r="N3125" s="26">
        <f>IF($H3125="","",TODAY()-$H3125)</f>
        <v/>
      </c>
      <c r="O3125" s="15" t="n"/>
      <c r="P3125" s="26">
        <f>IF($A3125="","",COUNTIFS('Audit Versions'!$A$6:$A$605,$A3125,'Audit Versions'!$L$6:$L$605,"Active"))</f>
        <v/>
      </c>
      <c r="Q3125" s="15" t="n"/>
      <c r="R3125" s="26">
        <f>IF(OR($A3125="",$P3125=0),"",MOD(N($Q3125),$P3125)+1)</f>
        <v/>
      </c>
      <c r="S3125" s="15" t="n"/>
      <c r="T3125" s="25" t="n"/>
      <c r="U3125" s="26">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Builder'!$B$12="",N($S3125)&lt;='Assignment Builder'!$B$12)))</f>
        <v/>
      </c>
      <c r="V3125" s="23" t="n"/>
    </row>
    <row r="3126">
      <c r="A3126" s="23" t="n"/>
      <c r="B3126" s="23" t="n"/>
      <c r="C3126" s="24" t="n"/>
      <c r="D3126" s="15" t="n"/>
      <c r="E3126" s="23" t="n"/>
      <c r="F3126" s="15" t="n"/>
      <c r="G3126" s="23" t="n"/>
      <c r="H3126" s="25" t="n"/>
      <c r="I3126" s="15" t="n"/>
      <c r="J3126" s="26">
        <f>IF($A3126="","",LEN($C3126)-LEN(SUBSTITUTE($C3126,",",""))+1)</f>
        <v/>
      </c>
      <c r="K3126" s="26">
        <f>IF($A3126="","",SUMPRODUCT(--ISNUMBER(SEARCH('Category Dictionary'!$D$5:$D$135&amp;"",$C3126)),--('Category Dictionary'!$D$5:$D$135&lt;&gt;"")))</f>
        <v/>
      </c>
      <c r="L3126" s="27">
        <f>IF($A3126="","",TRIM(IF(ISERROR(FIND(",",$C3126)),$C3126,LEFT($C3126,FIND(",",$C3126)-1))))</f>
        <v/>
      </c>
      <c r="M3126" s="28">
        <f>IF($H3126="","",DATE(YEAR($H3126),MONTH($H3126),1))</f>
        <v/>
      </c>
      <c r="N3126" s="26">
        <f>IF($H3126="","",TODAY()-$H3126)</f>
        <v/>
      </c>
      <c r="O3126" s="15" t="n"/>
      <c r="P3126" s="26">
        <f>IF($A3126="","",COUNTIFS('Audit Versions'!$A$6:$A$605,$A3126,'Audit Versions'!$L$6:$L$605,"Active"))</f>
        <v/>
      </c>
      <c r="Q3126" s="15" t="n"/>
      <c r="R3126" s="26">
        <f>IF(OR($A3126="",$P3126=0),"",MOD(N($Q3126),$P3126)+1)</f>
        <v/>
      </c>
      <c r="S3126" s="15" t="n"/>
      <c r="T3126" s="25" t="n"/>
      <c r="U3126" s="26">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Builder'!$B$12="",N($S3126)&lt;='Assignment Builder'!$B$12)))</f>
        <v/>
      </c>
      <c r="V3126" s="23" t="n"/>
    </row>
    <row r="3127">
      <c r="A3127" s="23" t="n"/>
      <c r="B3127" s="23" t="n"/>
      <c r="C3127" s="24" t="n"/>
      <c r="D3127" s="15" t="n"/>
      <c r="E3127" s="23" t="n"/>
      <c r="F3127" s="15" t="n"/>
      <c r="G3127" s="23" t="n"/>
      <c r="H3127" s="25" t="n"/>
      <c r="I3127" s="15" t="n"/>
      <c r="J3127" s="26">
        <f>IF($A3127="","",LEN($C3127)-LEN(SUBSTITUTE($C3127,",",""))+1)</f>
        <v/>
      </c>
      <c r="K3127" s="26">
        <f>IF($A3127="","",SUMPRODUCT(--ISNUMBER(SEARCH('Category Dictionary'!$D$5:$D$135&amp;"",$C3127)),--('Category Dictionary'!$D$5:$D$135&lt;&gt;"")))</f>
        <v/>
      </c>
      <c r="L3127" s="27">
        <f>IF($A3127="","",TRIM(IF(ISERROR(FIND(",",$C3127)),$C3127,LEFT($C3127,FIND(",",$C3127)-1))))</f>
        <v/>
      </c>
      <c r="M3127" s="28">
        <f>IF($H3127="","",DATE(YEAR($H3127),MONTH($H3127),1))</f>
        <v/>
      </c>
      <c r="N3127" s="26">
        <f>IF($H3127="","",TODAY()-$H3127)</f>
        <v/>
      </c>
      <c r="O3127" s="15" t="n"/>
      <c r="P3127" s="26">
        <f>IF($A3127="","",COUNTIFS('Audit Versions'!$A$6:$A$605,$A3127,'Audit Versions'!$L$6:$L$605,"Active"))</f>
        <v/>
      </c>
      <c r="Q3127" s="15" t="n"/>
      <c r="R3127" s="26">
        <f>IF(OR($A3127="",$P3127=0),"",MOD(N($Q3127),$P3127)+1)</f>
        <v/>
      </c>
      <c r="S3127" s="15" t="n"/>
      <c r="T3127" s="25" t="n"/>
      <c r="U3127" s="26">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Builder'!$B$12="",N($S3127)&lt;='Assignment Builder'!$B$12)))</f>
        <v/>
      </c>
      <c r="V3127" s="23" t="n"/>
    </row>
    <row r="3128">
      <c r="A3128" s="23" t="n"/>
      <c r="B3128" s="23" t="n"/>
      <c r="C3128" s="24" t="n"/>
      <c r="D3128" s="15" t="n"/>
      <c r="E3128" s="23" t="n"/>
      <c r="F3128" s="15" t="n"/>
      <c r="G3128" s="23" t="n"/>
      <c r="H3128" s="25" t="n"/>
      <c r="I3128" s="15" t="n"/>
      <c r="J3128" s="26">
        <f>IF($A3128="","",LEN($C3128)-LEN(SUBSTITUTE($C3128,",",""))+1)</f>
        <v/>
      </c>
      <c r="K3128" s="26">
        <f>IF($A3128="","",SUMPRODUCT(--ISNUMBER(SEARCH('Category Dictionary'!$D$5:$D$135&amp;"",$C3128)),--('Category Dictionary'!$D$5:$D$135&lt;&gt;"")))</f>
        <v/>
      </c>
      <c r="L3128" s="27">
        <f>IF($A3128="","",TRIM(IF(ISERROR(FIND(",",$C3128)),$C3128,LEFT($C3128,FIND(",",$C3128)-1))))</f>
        <v/>
      </c>
      <c r="M3128" s="28">
        <f>IF($H3128="","",DATE(YEAR($H3128),MONTH($H3128),1))</f>
        <v/>
      </c>
      <c r="N3128" s="26">
        <f>IF($H3128="","",TODAY()-$H3128)</f>
        <v/>
      </c>
      <c r="O3128" s="15" t="n"/>
      <c r="P3128" s="26">
        <f>IF($A3128="","",COUNTIFS('Audit Versions'!$A$6:$A$605,$A3128,'Audit Versions'!$L$6:$L$605,"Active"))</f>
        <v/>
      </c>
      <c r="Q3128" s="15" t="n"/>
      <c r="R3128" s="26">
        <f>IF(OR($A3128="",$P3128=0),"",MOD(N($Q3128),$P3128)+1)</f>
        <v/>
      </c>
      <c r="S3128" s="15" t="n"/>
      <c r="T3128" s="25" t="n"/>
      <c r="U3128" s="26">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Builder'!$B$12="",N($S3128)&lt;='Assignment Builder'!$B$12)))</f>
        <v/>
      </c>
      <c r="V3128" s="23" t="n"/>
    </row>
    <row r="3129">
      <c r="A3129" s="23" t="n"/>
      <c r="B3129" s="23" t="n"/>
      <c r="C3129" s="24" t="n"/>
      <c r="D3129" s="15" t="n"/>
      <c r="E3129" s="23" t="n"/>
      <c r="F3129" s="15" t="n"/>
      <c r="G3129" s="23" t="n"/>
      <c r="H3129" s="25" t="n"/>
      <c r="I3129" s="15" t="n"/>
      <c r="J3129" s="26">
        <f>IF($A3129="","",LEN($C3129)-LEN(SUBSTITUTE($C3129,",",""))+1)</f>
        <v/>
      </c>
      <c r="K3129" s="26">
        <f>IF($A3129="","",SUMPRODUCT(--ISNUMBER(SEARCH('Category Dictionary'!$D$5:$D$135&amp;"",$C3129)),--('Category Dictionary'!$D$5:$D$135&lt;&gt;"")))</f>
        <v/>
      </c>
      <c r="L3129" s="27">
        <f>IF($A3129="","",TRIM(IF(ISERROR(FIND(",",$C3129)),$C3129,LEFT($C3129,FIND(",",$C3129)-1))))</f>
        <v/>
      </c>
      <c r="M3129" s="28">
        <f>IF($H3129="","",DATE(YEAR($H3129),MONTH($H3129),1))</f>
        <v/>
      </c>
      <c r="N3129" s="26">
        <f>IF($H3129="","",TODAY()-$H3129)</f>
        <v/>
      </c>
      <c r="O3129" s="15" t="n"/>
      <c r="P3129" s="26">
        <f>IF($A3129="","",COUNTIFS('Audit Versions'!$A$6:$A$605,$A3129,'Audit Versions'!$L$6:$L$605,"Active"))</f>
        <v/>
      </c>
      <c r="Q3129" s="15" t="n"/>
      <c r="R3129" s="26">
        <f>IF(OR($A3129="",$P3129=0),"",MOD(N($Q3129),$P3129)+1)</f>
        <v/>
      </c>
      <c r="S3129" s="15" t="n"/>
      <c r="T3129" s="25" t="n"/>
      <c r="U3129" s="26">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Builder'!$B$12="",N($S3129)&lt;='Assignment Builder'!$B$12)))</f>
        <v/>
      </c>
      <c r="V3129" s="23" t="n"/>
    </row>
    <row r="3130">
      <c r="A3130" s="23" t="n"/>
      <c r="B3130" s="23" t="n"/>
      <c r="C3130" s="24" t="n"/>
      <c r="D3130" s="15" t="n"/>
      <c r="E3130" s="23" t="n"/>
      <c r="F3130" s="15" t="n"/>
      <c r="G3130" s="23" t="n"/>
      <c r="H3130" s="25" t="n"/>
      <c r="I3130" s="15" t="n"/>
      <c r="J3130" s="26">
        <f>IF($A3130="","",LEN($C3130)-LEN(SUBSTITUTE($C3130,",",""))+1)</f>
        <v/>
      </c>
      <c r="K3130" s="26">
        <f>IF($A3130="","",SUMPRODUCT(--ISNUMBER(SEARCH('Category Dictionary'!$D$5:$D$135&amp;"",$C3130)),--('Category Dictionary'!$D$5:$D$135&lt;&gt;"")))</f>
        <v/>
      </c>
      <c r="L3130" s="27">
        <f>IF($A3130="","",TRIM(IF(ISERROR(FIND(",",$C3130)),$C3130,LEFT($C3130,FIND(",",$C3130)-1))))</f>
        <v/>
      </c>
      <c r="M3130" s="28">
        <f>IF($H3130="","",DATE(YEAR($H3130),MONTH($H3130),1))</f>
        <v/>
      </c>
      <c r="N3130" s="26">
        <f>IF($H3130="","",TODAY()-$H3130)</f>
        <v/>
      </c>
      <c r="O3130" s="15" t="n"/>
      <c r="P3130" s="26">
        <f>IF($A3130="","",COUNTIFS('Audit Versions'!$A$6:$A$605,$A3130,'Audit Versions'!$L$6:$L$605,"Active"))</f>
        <v/>
      </c>
      <c r="Q3130" s="15" t="n"/>
      <c r="R3130" s="26">
        <f>IF(OR($A3130="",$P3130=0),"",MOD(N($Q3130),$P3130)+1)</f>
        <v/>
      </c>
      <c r="S3130" s="15" t="n"/>
      <c r="T3130" s="25" t="n"/>
      <c r="U3130" s="26">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Builder'!$B$12="",N($S3130)&lt;='Assignment Builder'!$B$12)))</f>
        <v/>
      </c>
      <c r="V3130" s="23" t="n"/>
    </row>
    <row r="3131">
      <c r="A3131" s="23" t="n"/>
      <c r="B3131" s="23" t="n"/>
      <c r="C3131" s="24" t="n"/>
      <c r="D3131" s="15" t="n"/>
      <c r="E3131" s="23" t="n"/>
      <c r="F3131" s="15" t="n"/>
      <c r="G3131" s="23" t="n"/>
      <c r="H3131" s="25" t="n"/>
      <c r="I3131" s="15" t="n"/>
      <c r="J3131" s="26">
        <f>IF($A3131="","",LEN($C3131)-LEN(SUBSTITUTE($C3131,",",""))+1)</f>
        <v/>
      </c>
      <c r="K3131" s="26">
        <f>IF($A3131="","",SUMPRODUCT(--ISNUMBER(SEARCH('Category Dictionary'!$D$5:$D$135&amp;"",$C3131)),--('Category Dictionary'!$D$5:$D$135&lt;&gt;"")))</f>
        <v/>
      </c>
      <c r="L3131" s="27">
        <f>IF($A3131="","",TRIM(IF(ISERROR(FIND(",",$C3131)),$C3131,LEFT($C3131,FIND(",",$C3131)-1))))</f>
        <v/>
      </c>
      <c r="M3131" s="28">
        <f>IF($H3131="","",DATE(YEAR($H3131),MONTH($H3131),1))</f>
        <v/>
      </c>
      <c r="N3131" s="26">
        <f>IF($H3131="","",TODAY()-$H3131)</f>
        <v/>
      </c>
      <c r="O3131" s="15" t="n"/>
      <c r="P3131" s="26">
        <f>IF($A3131="","",COUNTIFS('Audit Versions'!$A$6:$A$605,$A3131,'Audit Versions'!$L$6:$L$605,"Active"))</f>
        <v/>
      </c>
      <c r="Q3131" s="15" t="n"/>
      <c r="R3131" s="26">
        <f>IF(OR($A3131="",$P3131=0),"",MOD(N($Q3131),$P3131)+1)</f>
        <v/>
      </c>
      <c r="S3131" s="15" t="n"/>
      <c r="T3131" s="25" t="n"/>
      <c r="U3131" s="26">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Builder'!$B$12="",N($S3131)&lt;='Assignment Builder'!$B$12)))</f>
        <v/>
      </c>
      <c r="V3131" s="23" t="n"/>
    </row>
    <row r="3132">
      <c r="A3132" s="23" t="n"/>
      <c r="B3132" s="23" t="n"/>
      <c r="C3132" s="24" t="n"/>
      <c r="D3132" s="15" t="n"/>
      <c r="E3132" s="23" t="n"/>
      <c r="F3132" s="15" t="n"/>
      <c r="G3132" s="23" t="n"/>
      <c r="H3132" s="25" t="n"/>
      <c r="I3132" s="15" t="n"/>
      <c r="J3132" s="26">
        <f>IF($A3132="","",LEN($C3132)-LEN(SUBSTITUTE($C3132,",",""))+1)</f>
        <v/>
      </c>
      <c r="K3132" s="26">
        <f>IF($A3132="","",SUMPRODUCT(--ISNUMBER(SEARCH('Category Dictionary'!$D$5:$D$135&amp;"",$C3132)),--('Category Dictionary'!$D$5:$D$135&lt;&gt;"")))</f>
        <v/>
      </c>
      <c r="L3132" s="27">
        <f>IF($A3132="","",TRIM(IF(ISERROR(FIND(",",$C3132)),$C3132,LEFT($C3132,FIND(",",$C3132)-1))))</f>
        <v/>
      </c>
      <c r="M3132" s="28">
        <f>IF($H3132="","",DATE(YEAR($H3132),MONTH($H3132),1))</f>
        <v/>
      </c>
      <c r="N3132" s="26">
        <f>IF($H3132="","",TODAY()-$H3132)</f>
        <v/>
      </c>
      <c r="O3132" s="15" t="n"/>
      <c r="P3132" s="26">
        <f>IF($A3132="","",COUNTIFS('Audit Versions'!$A$6:$A$605,$A3132,'Audit Versions'!$L$6:$L$605,"Active"))</f>
        <v/>
      </c>
      <c r="Q3132" s="15" t="n"/>
      <c r="R3132" s="26">
        <f>IF(OR($A3132="",$P3132=0),"",MOD(N($Q3132),$P3132)+1)</f>
        <v/>
      </c>
      <c r="S3132" s="15" t="n"/>
      <c r="T3132" s="25" t="n"/>
      <c r="U3132" s="26">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Builder'!$B$12="",N($S3132)&lt;='Assignment Builder'!$B$12)))</f>
        <v/>
      </c>
      <c r="V3132" s="23" t="n"/>
    </row>
    <row r="3133">
      <c r="A3133" s="23" t="n"/>
      <c r="B3133" s="23" t="n"/>
      <c r="C3133" s="24" t="n"/>
      <c r="D3133" s="15" t="n"/>
      <c r="E3133" s="23" t="n"/>
      <c r="F3133" s="15" t="n"/>
      <c r="G3133" s="23" t="n"/>
      <c r="H3133" s="25" t="n"/>
      <c r="I3133" s="15" t="n"/>
      <c r="J3133" s="26">
        <f>IF($A3133="","",LEN($C3133)-LEN(SUBSTITUTE($C3133,",",""))+1)</f>
        <v/>
      </c>
      <c r="K3133" s="26">
        <f>IF($A3133="","",SUMPRODUCT(--ISNUMBER(SEARCH('Category Dictionary'!$D$5:$D$135&amp;"",$C3133)),--('Category Dictionary'!$D$5:$D$135&lt;&gt;"")))</f>
        <v/>
      </c>
      <c r="L3133" s="27">
        <f>IF($A3133="","",TRIM(IF(ISERROR(FIND(",",$C3133)),$C3133,LEFT($C3133,FIND(",",$C3133)-1))))</f>
        <v/>
      </c>
      <c r="M3133" s="28">
        <f>IF($H3133="","",DATE(YEAR($H3133),MONTH($H3133),1))</f>
        <v/>
      </c>
      <c r="N3133" s="26">
        <f>IF($H3133="","",TODAY()-$H3133)</f>
        <v/>
      </c>
      <c r="O3133" s="15" t="n"/>
      <c r="P3133" s="26">
        <f>IF($A3133="","",COUNTIFS('Audit Versions'!$A$6:$A$605,$A3133,'Audit Versions'!$L$6:$L$605,"Active"))</f>
        <v/>
      </c>
      <c r="Q3133" s="15" t="n"/>
      <c r="R3133" s="26">
        <f>IF(OR($A3133="",$P3133=0),"",MOD(N($Q3133),$P3133)+1)</f>
        <v/>
      </c>
      <c r="S3133" s="15" t="n"/>
      <c r="T3133" s="25" t="n"/>
      <c r="U3133" s="26">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Builder'!$B$12="",N($S3133)&lt;='Assignment Builder'!$B$12)))</f>
        <v/>
      </c>
      <c r="V3133" s="23" t="n"/>
    </row>
    <row r="3134">
      <c r="A3134" s="23" t="n"/>
      <c r="B3134" s="23" t="n"/>
      <c r="C3134" s="24" t="n"/>
      <c r="D3134" s="15" t="n"/>
      <c r="E3134" s="23" t="n"/>
      <c r="F3134" s="15" t="n"/>
      <c r="G3134" s="23" t="n"/>
      <c r="H3134" s="25" t="n"/>
      <c r="I3134" s="15" t="n"/>
      <c r="J3134" s="26">
        <f>IF($A3134="","",LEN($C3134)-LEN(SUBSTITUTE($C3134,",",""))+1)</f>
        <v/>
      </c>
      <c r="K3134" s="26">
        <f>IF($A3134="","",SUMPRODUCT(--ISNUMBER(SEARCH('Category Dictionary'!$D$5:$D$135&amp;"",$C3134)),--('Category Dictionary'!$D$5:$D$135&lt;&gt;"")))</f>
        <v/>
      </c>
      <c r="L3134" s="27">
        <f>IF($A3134="","",TRIM(IF(ISERROR(FIND(",",$C3134)),$C3134,LEFT($C3134,FIND(",",$C3134)-1))))</f>
        <v/>
      </c>
      <c r="M3134" s="28">
        <f>IF($H3134="","",DATE(YEAR($H3134),MONTH($H3134),1))</f>
        <v/>
      </c>
      <c r="N3134" s="26">
        <f>IF($H3134="","",TODAY()-$H3134)</f>
        <v/>
      </c>
      <c r="O3134" s="15" t="n"/>
      <c r="P3134" s="26">
        <f>IF($A3134="","",COUNTIFS('Audit Versions'!$A$6:$A$605,$A3134,'Audit Versions'!$L$6:$L$605,"Active"))</f>
        <v/>
      </c>
      <c r="Q3134" s="15" t="n"/>
      <c r="R3134" s="26">
        <f>IF(OR($A3134="",$P3134=0),"",MOD(N($Q3134),$P3134)+1)</f>
        <v/>
      </c>
      <c r="S3134" s="15" t="n"/>
      <c r="T3134" s="25" t="n"/>
      <c r="U3134" s="26">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Builder'!$B$12="",N($S3134)&lt;='Assignment Builder'!$B$12)))</f>
        <v/>
      </c>
      <c r="V3134" s="23" t="n"/>
    </row>
    <row r="3135">
      <c r="A3135" s="23" t="n"/>
      <c r="B3135" s="23" t="n"/>
      <c r="C3135" s="24" t="n"/>
      <c r="D3135" s="15" t="n"/>
      <c r="E3135" s="23" t="n"/>
      <c r="F3135" s="15" t="n"/>
      <c r="G3135" s="23" t="n"/>
      <c r="H3135" s="25" t="n"/>
      <c r="I3135" s="15" t="n"/>
      <c r="J3135" s="26">
        <f>IF($A3135="","",LEN($C3135)-LEN(SUBSTITUTE($C3135,",",""))+1)</f>
        <v/>
      </c>
      <c r="K3135" s="26">
        <f>IF($A3135="","",SUMPRODUCT(--ISNUMBER(SEARCH('Category Dictionary'!$D$5:$D$135&amp;"",$C3135)),--('Category Dictionary'!$D$5:$D$135&lt;&gt;"")))</f>
        <v/>
      </c>
      <c r="L3135" s="27">
        <f>IF($A3135="","",TRIM(IF(ISERROR(FIND(",",$C3135)),$C3135,LEFT($C3135,FIND(",",$C3135)-1))))</f>
        <v/>
      </c>
      <c r="M3135" s="28">
        <f>IF($H3135="","",DATE(YEAR($H3135),MONTH($H3135),1))</f>
        <v/>
      </c>
      <c r="N3135" s="26">
        <f>IF($H3135="","",TODAY()-$H3135)</f>
        <v/>
      </c>
      <c r="O3135" s="15" t="n"/>
      <c r="P3135" s="26">
        <f>IF($A3135="","",COUNTIFS('Audit Versions'!$A$6:$A$605,$A3135,'Audit Versions'!$L$6:$L$605,"Active"))</f>
        <v/>
      </c>
      <c r="Q3135" s="15" t="n"/>
      <c r="R3135" s="26">
        <f>IF(OR($A3135="",$P3135=0),"",MOD(N($Q3135),$P3135)+1)</f>
        <v/>
      </c>
      <c r="S3135" s="15" t="n"/>
      <c r="T3135" s="25" t="n"/>
      <c r="U3135" s="26">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Builder'!$B$12="",N($S3135)&lt;='Assignment Builder'!$B$12)))</f>
        <v/>
      </c>
      <c r="V3135" s="23" t="n"/>
    </row>
    <row r="3136">
      <c r="A3136" s="23" t="n"/>
      <c r="B3136" s="23" t="n"/>
      <c r="C3136" s="24" t="n"/>
      <c r="D3136" s="15" t="n"/>
      <c r="E3136" s="23" t="n"/>
      <c r="F3136" s="15" t="n"/>
      <c r="G3136" s="23" t="n"/>
      <c r="H3136" s="25" t="n"/>
      <c r="I3136" s="15" t="n"/>
      <c r="J3136" s="26">
        <f>IF($A3136="","",LEN($C3136)-LEN(SUBSTITUTE($C3136,",",""))+1)</f>
        <v/>
      </c>
      <c r="K3136" s="26">
        <f>IF($A3136="","",SUMPRODUCT(--ISNUMBER(SEARCH('Category Dictionary'!$D$5:$D$135&amp;"",$C3136)),--('Category Dictionary'!$D$5:$D$135&lt;&gt;"")))</f>
        <v/>
      </c>
      <c r="L3136" s="27">
        <f>IF($A3136="","",TRIM(IF(ISERROR(FIND(",",$C3136)),$C3136,LEFT($C3136,FIND(",",$C3136)-1))))</f>
        <v/>
      </c>
      <c r="M3136" s="28">
        <f>IF($H3136="","",DATE(YEAR($H3136),MONTH($H3136),1))</f>
        <v/>
      </c>
      <c r="N3136" s="26">
        <f>IF($H3136="","",TODAY()-$H3136)</f>
        <v/>
      </c>
      <c r="O3136" s="15" t="n"/>
      <c r="P3136" s="26">
        <f>IF($A3136="","",COUNTIFS('Audit Versions'!$A$6:$A$605,$A3136,'Audit Versions'!$L$6:$L$605,"Active"))</f>
        <v/>
      </c>
      <c r="Q3136" s="15" t="n"/>
      <c r="R3136" s="26">
        <f>IF(OR($A3136="",$P3136=0),"",MOD(N($Q3136),$P3136)+1)</f>
        <v/>
      </c>
      <c r="S3136" s="15" t="n"/>
      <c r="T3136" s="25" t="n"/>
      <c r="U3136" s="26">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Builder'!$B$12="",N($S3136)&lt;='Assignment Builder'!$B$12)))</f>
        <v/>
      </c>
      <c r="V3136" s="23" t="n"/>
    </row>
    <row r="3137">
      <c r="A3137" s="23" t="n"/>
      <c r="B3137" s="23" t="n"/>
      <c r="C3137" s="24" t="n"/>
      <c r="D3137" s="15" t="n"/>
      <c r="E3137" s="23" t="n"/>
      <c r="F3137" s="15" t="n"/>
      <c r="G3137" s="23" t="n"/>
      <c r="H3137" s="25" t="n"/>
      <c r="I3137" s="15" t="n"/>
      <c r="J3137" s="26">
        <f>IF($A3137="","",LEN($C3137)-LEN(SUBSTITUTE($C3137,",",""))+1)</f>
        <v/>
      </c>
      <c r="K3137" s="26">
        <f>IF($A3137="","",SUMPRODUCT(--ISNUMBER(SEARCH('Category Dictionary'!$D$5:$D$135&amp;"",$C3137)),--('Category Dictionary'!$D$5:$D$135&lt;&gt;"")))</f>
        <v/>
      </c>
      <c r="L3137" s="27">
        <f>IF($A3137="","",TRIM(IF(ISERROR(FIND(",",$C3137)),$C3137,LEFT($C3137,FIND(",",$C3137)-1))))</f>
        <v/>
      </c>
      <c r="M3137" s="28">
        <f>IF($H3137="","",DATE(YEAR($H3137),MONTH($H3137),1))</f>
        <v/>
      </c>
      <c r="N3137" s="26">
        <f>IF($H3137="","",TODAY()-$H3137)</f>
        <v/>
      </c>
      <c r="O3137" s="15" t="n"/>
      <c r="P3137" s="26">
        <f>IF($A3137="","",COUNTIFS('Audit Versions'!$A$6:$A$605,$A3137,'Audit Versions'!$L$6:$L$605,"Active"))</f>
        <v/>
      </c>
      <c r="Q3137" s="15" t="n"/>
      <c r="R3137" s="26">
        <f>IF(OR($A3137="",$P3137=0),"",MOD(N($Q3137),$P3137)+1)</f>
        <v/>
      </c>
      <c r="S3137" s="15" t="n"/>
      <c r="T3137" s="25" t="n"/>
      <c r="U3137" s="26">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Builder'!$B$12="",N($S3137)&lt;='Assignment Builder'!$B$12)))</f>
        <v/>
      </c>
      <c r="V3137" s="23" t="n"/>
    </row>
    <row r="3138">
      <c r="A3138" s="23" t="n"/>
      <c r="B3138" s="23" t="n"/>
      <c r="C3138" s="24" t="n"/>
      <c r="D3138" s="15" t="n"/>
      <c r="E3138" s="23" t="n"/>
      <c r="F3138" s="15" t="n"/>
      <c r="G3138" s="23" t="n"/>
      <c r="H3138" s="25" t="n"/>
      <c r="I3138" s="15" t="n"/>
      <c r="J3138" s="26">
        <f>IF($A3138="","",LEN($C3138)-LEN(SUBSTITUTE($C3138,",",""))+1)</f>
        <v/>
      </c>
      <c r="K3138" s="26">
        <f>IF($A3138="","",SUMPRODUCT(--ISNUMBER(SEARCH('Category Dictionary'!$D$5:$D$135&amp;"",$C3138)),--('Category Dictionary'!$D$5:$D$135&lt;&gt;"")))</f>
        <v/>
      </c>
      <c r="L3138" s="27">
        <f>IF($A3138="","",TRIM(IF(ISERROR(FIND(",",$C3138)),$C3138,LEFT($C3138,FIND(",",$C3138)-1))))</f>
        <v/>
      </c>
      <c r="M3138" s="28">
        <f>IF($H3138="","",DATE(YEAR($H3138),MONTH($H3138),1))</f>
        <v/>
      </c>
      <c r="N3138" s="26">
        <f>IF($H3138="","",TODAY()-$H3138)</f>
        <v/>
      </c>
      <c r="O3138" s="15" t="n"/>
      <c r="P3138" s="26">
        <f>IF($A3138="","",COUNTIFS('Audit Versions'!$A$6:$A$605,$A3138,'Audit Versions'!$L$6:$L$605,"Active"))</f>
        <v/>
      </c>
      <c r="Q3138" s="15" t="n"/>
      <c r="R3138" s="26">
        <f>IF(OR($A3138="",$P3138=0),"",MOD(N($Q3138),$P3138)+1)</f>
        <v/>
      </c>
      <c r="S3138" s="15" t="n"/>
      <c r="T3138" s="25" t="n"/>
      <c r="U3138" s="26">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Builder'!$B$12="",N($S3138)&lt;='Assignment Builder'!$B$12)))</f>
        <v/>
      </c>
      <c r="V3138" s="23" t="n"/>
    </row>
    <row r="3139">
      <c r="A3139" s="23" t="n"/>
      <c r="B3139" s="23" t="n"/>
      <c r="C3139" s="24" t="n"/>
      <c r="D3139" s="15" t="n"/>
      <c r="E3139" s="23" t="n"/>
      <c r="F3139" s="15" t="n"/>
      <c r="G3139" s="23" t="n"/>
      <c r="H3139" s="25" t="n"/>
      <c r="I3139" s="15" t="n"/>
      <c r="J3139" s="26">
        <f>IF($A3139="","",LEN($C3139)-LEN(SUBSTITUTE($C3139,",",""))+1)</f>
        <v/>
      </c>
      <c r="K3139" s="26">
        <f>IF($A3139="","",SUMPRODUCT(--ISNUMBER(SEARCH('Category Dictionary'!$D$5:$D$135&amp;"",$C3139)),--('Category Dictionary'!$D$5:$D$135&lt;&gt;"")))</f>
        <v/>
      </c>
      <c r="L3139" s="27">
        <f>IF($A3139="","",TRIM(IF(ISERROR(FIND(",",$C3139)),$C3139,LEFT($C3139,FIND(",",$C3139)-1))))</f>
        <v/>
      </c>
      <c r="M3139" s="28">
        <f>IF($H3139="","",DATE(YEAR($H3139),MONTH($H3139),1))</f>
        <v/>
      </c>
      <c r="N3139" s="26">
        <f>IF($H3139="","",TODAY()-$H3139)</f>
        <v/>
      </c>
      <c r="O3139" s="15" t="n"/>
      <c r="P3139" s="26">
        <f>IF($A3139="","",COUNTIFS('Audit Versions'!$A$6:$A$605,$A3139,'Audit Versions'!$L$6:$L$605,"Active"))</f>
        <v/>
      </c>
      <c r="Q3139" s="15" t="n"/>
      <c r="R3139" s="26">
        <f>IF(OR($A3139="",$P3139=0),"",MOD(N($Q3139),$P3139)+1)</f>
        <v/>
      </c>
      <c r="S3139" s="15" t="n"/>
      <c r="T3139" s="25" t="n"/>
      <c r="U3139" s="26">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Builder'!$B$12="",N($S3139)&lt;='Assignment Builder'!$B$12)))</f>
        <v/>
      </c>
      <c r="V3139" s="23" t="n"/>
    </row>
    <row r="3140">
      <c r="A3140" s="23" t="n"/>
      <c r="B3140" s="23" t="n"/>
      <c r="C3140" s="24" t="n"/>
      <c r="D3140" s="15" t="n"/>
      <c r="E3140" s="23" t="n"/>
      <c r="F3140" s="15" t="n"/>
      <c r="G3140" s="23" t="n"/>
      <c r="H3140" s="25" t="n"/>
      <c r="I3140" s="15" t="n"/>
      <c r="J3140" s="26">
        <f>IF($A3140="","",LEN($C3140)-LEN(SUBSTITUTE($C3140,",",""))+1)</f>
        <v/>
      </c>
      <c r="K3140" s="26">
        <f>IF($A3140="","",SUMPRODUCT(--ISNUMBER(SEARCH('Category Dictionary'!$D$5:$D$135&amp;"",$C3140)),--('Category Dictionary'!$D$5:$D$135&lt;&gt;"")))</f>
        <v/>
      </c>
      <c r="L3140" s="27">
        <f>IF($A3140="","",TRIM(IF(ISERROR(FIND(",",$C3140)),$C3140,LEFT($C3140,FIND(",",$C3140)-1))))</f>
        <v/>
      </c>
      <c r="M3140" s="28">
        <f>IF($H3140="","",DATE(YEAR($H3140),MONTH($H3140),1))</f>
        <v/>
      </c>
      <c r="N3140" s="26">
        <f>IF($H3140="","",TODAY()-$H3140)</f>
        <v/>
      </c>
      <c r="O3140" s="15" t="n"/>
      <c r="P3140" s="26">
        <f>IF($A3140="","",COUNTIFS('Audit Versions'!$A$6:$A$605,$A3140,'Audit Versions'!$L$6:$L$605,"Active"))</f>
        <v/>
      </c>
      <c r="Q3140" s="15" t="n"/>
      <c r="R3140" s="26">
        <f>IF(OR($A3140="",$P3140=0),"",MOD(N($Q3140),$P3140)+1)</f>
        <v/>
      </c>
      <c r="S3140" s="15" t="n"/>
      <c r="T3140" s="25" t="n"/>
      <c r="U3140" s="26">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Builder'!$B$12="",N($S3140)&lt;='Assignment Builder'!$B$12)))</f>
        <v/>
      </c>
      <c r="V3140" s="23" t="n"/>
    </row>
    <row r="3141">
      <c r="A3141" s="23" t="n"/>
      <c r="B3141" s="23" t="n"/>
      <c r="C3141" s="24" t="n"/>
      <c r="D3141" s="15" t="n"/>
      <c r="E3141" s="23" t="n"/>
      <c r="F3141" s="15" t="n"/>
      <c r="G3141" s="23" t="n"/>
      <c r="H3141" s="25" t="n"/>
      <c r="I3141" s="15" t="n"/>
      <c r="J3141" s="26">
        <f>IF($A3141="","",LEN($C3141)-LEN(SUBSTITUTE($C3141,",",""))+1)</f>
        <v/>
      </c>
      <c r="K3141" s="26">
        <f>IF($A3141="","",SUMPRODUCT(--ISNUMBER(SEARCH('Category Dictionary'!$D$5:$D$135&amp;"",$C3141)),--('Category Dictionary'!$D$5:$D$135&lt;&gt;"")))</f>
        <v/>
      </c>
      <c r="L3141" s="27">
        <f>IF($A3141="","",TRIM(IF(ISERROR(FIND(",",$C3141)),$C3141,LEFT($C3141,FIND(",",$C3141)-1))))</f>
        <v/>
      </c>
      <c r="M3141" s="28">
        <f>IF($H3141="","",DATE(YEAR($H3141),MONTH($H3141),1))</f>
        <v/>
      </c>
      <c r="N3141" s="26">
        <f>IF($H3141="","",TODAY()-$H3141)</f>
        <v/>
      </c>
      <c r="O3141" s="15" t="n"/>
      <c r="P3141" s="26">
        <f>IF($A3141="","",COUNTIFS('Audit Versions'!$A$6:$A$605,$A3141,'Audit Versions'!$L$6:$L$605,"Active"))</f>
        <v/>
      </c>
      <c r="Q3141" s="15" t="n"/>
      <c r="R3141" s="26">
        <f>IF(OR($A3141="",$P3141=0),"",MOD(N($Q3141),$P3141)+1)</f>
        <v/>
      </c>
      <c r="S3141" s="15" t="n"/>
      <c r="T3141" s="25" t="n"/>
      <c r="U3141" s="26">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Builder'!$B$12="",N($S3141)&lt;='Assignment Builder'!$B$12)))</f>
        <v/>
      </c>
      <c r="V3141" s="23" t="n"/>
    </row>
    <row r="3142">
      <c r="A3142" s="23" t="n"/>
      <c r="B3142" s="23" t="n"/>
      <c r="C3142" s="24" t="n"/>
      <c r="D3142" s="15" t="n"/>
      <c r="E3142" s="23" t="n"/>
      <c r="F3142" s="15" t="n"/>
      <c r="G3142" s="23" t="n"/>
      <c r="H3142" s="25" t="n"/>
      <c r="I3142" s="15" t="n"/>
      <c r="J3142" s="26">
        <f>IF($A3142="","",LEN($C3142)-LEN(SUBSTITUTE($C3142,",",""))+1)</f>
        <v/>
      </c>
      <c r="K3142" s="26">
        <f>IF($A3142="","",SUMPRODUCT(--ISNUMBER(SEARCH('Category Dictionary'!$D$5:$D$135&amp;"",$C3142)),--('Category Dictionary'!$D$5:$D$135&lt;&gt;"")))</f>
        <v/>
      </c>
      <c r="L3142" s="27">
        <f>IF($A3142="","",TRIM(IF(ISERROR(FIND(",",$C3142)),$C3142,LEFT($C3142,FIND(",",$C3142)-1))))</f>
        <v/>
      </c>
      <c r="M3142" s="28">
        <f>IF($H3142="","",DATE(YEAR($H3142),MONTH($H3142),1))</f>
        <v/>
      </c>
      <c r="N3142" s="26">
        <f>IF($H3142="","",TODAY()-$H3142)</f>
        <v/>
      </c>
      <c r="O3142" s="15" t="n"/>
      <c r="P3142" s="26">
        <f>IF($A3142="","",COUNTIFS('Audit Versions'!$A$6:$A$605,$A3142,'Audit Versions'!$L$6:$L$605,"Active"))</f>
        <v/>
      </c>
      <c r="Q3142" s="15" t="n"/>
      <c r="R3142" s="26">
        <f>IF(OR($A3142="",$P3142=0),"",MOD(N($Q3142),$P3142)+1)</f>
        <v/>
      </c>
      <c r="S3142" s="15" t="n"/>
      <c r="T3142" s="25" t="n"/>
      <c r="U3142" s="26">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Builder'!$B$12="",N($S3142)&lt;='Assignment Builder'!$B$12)))</f>
        <v/>
      </c>
      <c r="V3142" s="23" t="n"/>
    </row>
    <row r="3143">
      <c r="A3143" s="23" t="n"/>
      <c r="B3143" s="23" t="n"/>
      <c r="C3143" s="24" t="n"/>
      <c r="D3143" s="15" t="n"/>
      <c r="E3143" s="23" t="n"/>
      <c r="F3143" s="15" t="n"/>
      <c r="G3143" s="23" t="n"/>
      <c r="H3143" s="25" t="n"/>
      <c r="I3143" s="15" t="n"/>
      <c r="J3143" s="26">
        <f>IF($A3143="","",LEN($C3143)-LEN(SUBSTITUTE($C3143,",",""))+1)</f>
        <v/>
      </c>
      <c r="K3143" s="26">
        <f>IF($A3143="","",SUMPRODUCT(--ISNUMBER(SEARCH('Category Dictionary'!$D$5:$D$135&amp;"",$C3143)),--('Category Dictionary'!$D$5:$D$135&lt;&gt;"")))</f>
        <v/>
      </c>
      <c r="L3143" s="27">
        <f>IF($A3143="","",TRIM(IF(ISERROR(FIND(",",$C3143)),$C3143,LEFT($C3143,FIND(",",$C3143)-1))))</f>
        <v/>
      </c>
      <c r="M3143" s="28">
        <f>IF($H3143="","",DATE(YEAR($H3143),MONTH($H3143),1))</f>
        <v/>
      </c>
      <c r="N3143" s="26">
        <f>IF($H3143="","",TODAY()-$H3143)</f>
        <v/>
      </c>
      <c r="O3143" s="15" t="n"/>
      <c r="P3143" s="26">
        <f>IF($A3143="","",COUNTIFS('Audit Versions'!$A$6:$A$605,$A3143,'Audit Versions'!$L$6:$L$605,"Active"))</f>
        <v/>
      </c>
      <c r="Q3143" s="15" t="n"/>
      <c r="R3143" s="26">
        <f>IF(OR($A3143="",$P3143=0),"",MOD(N($Q3143),$P3143)+1)</f>
        <v/>
      </c>
      <c r="S3143" s="15" t="n"/>
      <c r="T3143" s="25" t="n"/>
      <c r="U3143" s="26">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Builder'!$B$12="",N($S3143)&lt;='Assignment Builder'!$B$12)))</f>
        <v/>
      </c>
      <c r="V3143" s="23" t="n"/>
    </row>
    <row r="3144">
      <c r="A3144" s="23" t="n"/>
      <c r="B3144" s="23" t="n"/>
      <c r="C3144" s="24" t="n"/>
      <c r="D3144" s="15" t="n"/>
      <c r="E3144" s="23" t="n"/>
      <c r="F3144" s="15" t="n"/>
      <c r="G3144" s="23" t="n"/>
      <c r="H3144" s="25" t="n"/>
      <c r="I3144" s="15" t="n"/>
      <c r="J3144" s="26">
        <f>IF($A3144="","",LEN($C3144)-LEN(SUBSTITUTE($C3144,",",""))+1)</f>
        <v/>
      </c>
      <c r="K3144" s="26">
        <f>IF($A3144="","",SUMPRODUCT(--ISNUMBER(SEARCH('Category Dictionary'!$D$5:$D$135&amp;"",$C3144)),--('Category Dictionary'!$D$5:$D$135&lt;&gt;"")))</f>
        <v/>
      </c>
      <c r="L3144" s="27">
        <f>IF($A3144="","",TRIM(IF(ISERROR(FIND(",",$C3144)),$C3144,LEFT($C3144,FIND(",",$C3144)-1))))</f>
        <v/>
      </c>
      <c r="M3144" s="28">
        <f>IF($H3144="","",DATE(YEAR($H3144),MONTH($H3144),1))</f>
        <v/>
      </c>
      <c r="N3144" s="26">
        <f>IF($H3144="","",TODAY()-$H3144)</f>
        <v/>
      </c>
      <c r="O3144" s="15" t="n"/>
      <c r="P3144" s="26">
        <f>IF($A3144="","",COUNTIFS('Audit Versions'!$A$6:$A$605,$A3144,'Audit Versions'!$L$6:$L$605,"Active"))</f>
        <v/>
      </c>
      <c r="Q3144" s="15" t="n"/>
      <c r="R3144" s="26">
        <f>IF(OR($A3144="",$P3144=0),"",MOD(N($Q3144),$P3144)+1)</f>
        <v/>
      </c>
      <c r="S3144" s="15" t="n"/>
      <c r="T3144" s="25" t="n"/>
      <c r="U3144" s="26">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Builder'!$B$12="",N($S3144)&lt;='Assignment Builder'!$B$12)))</f>
        <v/>
      </c>
      <c r="V3144" s="23" t="n"/>
    </row>
    <row r="3145">
      <c r="A3145" s="23" t="n"/>
      <c r="B3145" s="23" t="n"/>
      <c r="C3145" s="24" t="n"/>
      <c r="D3145" s="15" t="n"/>
      <c r="E3145" s="23" t="n"/>
      <c r="F3145" s="15" t="n"/>
      <c r="G3145" s="23" t="n"/>
      <c r="H3145" s="25" t="n"/>
      <c r="I3145" s="15" t="n"/>
      <c r="J3145" s="26">
        <f>IF($A3145="","",LEN($C3145)-LEN(SUBSTITUTE($C3145,",",""))+1)</f>
        <v/>
      </c>
      <c r="K3145" s="26">
        <f>IF($A3145="","",SUMPRODUCT(--ISNUMBER(SEARCH('Category Dictionary'!$D$5:$D$135&amp;"",$C3145)),--('Category Dictionary'!$D$5:$D$135&lt;&gt;"")))</f>
        <v/>
      </c>
      <c r="L3145" s="27">
        <f>IF($A3145="","",TRIM(IF(ISERROR(FIND(",",$C3145)),$C3145,LEFT($C3145,FIND(",",$C3145)-1))))</f>
        <v/>
      </c>
      <c r="M3145" s="28">
        <f>IF($H3145="","",DATE(YEAR($H3145),MONTH($H3145),1))</f>
        <v/>
      </c>
      <c r="N3145" s="26">
        <f>IF($H3145="","",TODAY()-$H3145)</f>
        <v/>
      </c>
      <c r="O3145" s="15" t="n"/>
      <c r="P3145" s="26">
        <f>IF($A3145="","",COUNTIFS('Audit Versions'!$A$6:$A$605,$A3145,'Audit Versions'!$L$6:$L$605,"Active"))</f>
        <v/>
      </c>
      <c r="Q3145" s="15" t="n"/>
      <c r="R3145" s="26">
        <f>IF(OR($A3145="",$P3145=0),"",MOD(N($Q3145),$P3145)+1)</f>
        <v/>
      </c>
      <c r="S3145" s="15" t="n"/>
      <c r="T3145" s="25" t="n"/>
      <c r="U3145" s="26">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Builder'!$B$12="",N($S3145)&lt;='Assignment Builder'!$B$12)))</f>
        <v/>
      </c>
      <c r="V3145" s="23" t="n"/>
    </row>
    <row r="3146">
      <c r="A3146" s="23" t="n"/>
      <c r="B3146" s="23" t="n"/>
      <c r="C3146" s="24" t="n"/>
      <c r="D3146" s="15" t="n"/>
      <c r="E3146" s="23" t="n"/>
      <c r="F3146" s="15" t="n"/>
      <c r="G3146" s="23" t="n"/>
      <c r="H3146" s="25" t="n"/>
      <c r="I3146" s="15" t="n"/>
      <c r="J3146" s="26">
        <f>IF($A3146="","",LEN($C3146)-LEN(SUBSTITUTE($C3146,",",""))+1)</f>
        <v/>
      </c>
      <c r="K3146" s="26">
        <f>IF($A3146="","",SUMPRODUCT(--ISNUMBER(SEARCH('Category Dictionary'!$D$5:$D$135&amp;"",$C3146)),--('Category Dictionary'!$D$5:$D$135&lt;&gt;"")))</f>
        <v/>
      </c>
      <c r="L3146" s="27">
        <f>IF($A3146="","",TRIM(IF(ISERROR(FIND(",",$C3146)),$C3146,LEFT($C3146,FIND(",",$C3146)-1))))</f>
        <v/>
      </c>
      <c r="M3146" s="28">
        <f>IF($H3146="","",DATE(YEAR($H3146),MONTH($H3146),1))</f>
        <v/>
      </c>
      <c r="N3146" s="26">
        <f>IF($H3146="","",TODAY()-$H3146)</f>
        <v/>
      </c>
      <c r="O3146" s="15" t="n"/>
      <c r="P3146" s="26">
        <f>IF($A3146="","",COUNTIFS('Audit Versions'!$A$6:$A$605,$A3146,'Audit Versions'!$L$6:$L$605,"Active"))</f>
        <v/>
      </c>
      <c r="Q3146" s="15" t="n"/>
      <c r="R3146" s="26">
        <f>IF(OR($A3146="",$P3146=0),"",MOD(N($Q3146),$P3146)+1)</f>
        <v/>
      </c>
      <c r="S3146" s="15" t="n"/>
      <c r="T3146" s="25" t="n"/>
      <c r="U3146" s="26">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Builder'!$B$12="",N($S3146)&lt;='Assignment Builder'!$B$12)))</f>
        <v/>
      </c>
      <c r="V3146" s="23" t="n"/>
    </row>
    <row r="3147">
      <c r="A3147" s="23" t="n"/>
      <c r="B3147" s="23" t="n"/>
      <c r="C3147" s="24" t="n"/>
      <c r="D3147" s="15" t="n"/>
      <c r="E3147" s="23" t="n"/>
      <c r="F3147" s="15" t="n"/>
      <c r="G3147" s="23" t="n"/>
      <c r="H3147" s="25" t="n"/>
      <c r="I3147" s="15" t="n"/>
      <c r="J3147" s="26">
        <f>IF($A3147="","",LEN($C3147)-LEN(SUBSTITUTE($C3147,",",""))+1)</f>
        <v/>
      </c>
      <c r="K3147" s="26">
        <f>IF($A3147="","",SUMPRODUCT(--ISNUMBER(SEARCH('Category Dictionary'!$D$5:$D$135&amp;"",$C3147)),--('Category Dictionary'!$D$5:$D$135&lt;&gt;"")))</f>
        <v/>
      </c>
      <c r="L3147" s="27">
        <f>IF($A3147="","",TRIM(IF(ISERROR(FIND(",",$C3147)),$C3147,LEFT($C3147,FIND(",",$C3147)-1))))</f>
        <v/>
      </c>
      <c r="M3147" s="28">
        <f>IF($H3147="","",DATE(YEAR($H3147),MONTH($H3147),1))</f>
        <v/>
      </c>
      <c r="N3147" s="26">
        <f>IF($H3147="","",TODAY()-$H3147)</f>
        <v/>
      </c>
      <c r="O3147" s="15" t="n"/>
      <c r="P3147" s="26">
        <f>IF($A3147="","",COUNTIFS('Audit Versions'!$A$6:$A$605,$A3147,'Audit Versions'!$L$6:$L$605,"Active"))</f>
        <v/>
      </c>
      <c r="Q3147" s="15" t="n"/>
      <c r="R3147" s="26">
        <f>IF(OR($A3147="",$P3147=0),"",MOD(N($Q3147),$P3147)+1)</f>
        <v/>
      </c>
      <c r="S3147" s="15" t="n"/>
      <c r="T3147" s="25" t="n"/>
      <c r="U3147" s="26">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Builder'!$B$12="",N($S3147)&lt;='Assignment Builder'!$B$12)))</f>
        <v/>
      </c>
      <c r="V3147" s="23" t="n"/>
    </row>
    <row r="3148">
      <c r="A3148" s="23" t="n"/>
      <c r="B3148" s="23" t="n"/>
      <c r="C3148" s="24" t="n"/>
      <c r="D3148" s="15" t="n"/>
      <c r="E3148" s="23" t="n"/>
      <c r="F3148" s="15" t="n"/>
      <c r="G3148" s="23" t="n"/>
      <c r="H3148" s="25" t="n"/>
      <c r="I3148" s="15" t="n"/>
      <c r="J3148" s="26">
        <f>IF($A3148="","",LEN($C3148)-LEN(SUBSTITUTE($C3148,",",""))+1)</f>
        <v/>
      </c>
      <c r="K3148" s="26">
        <f>IF($A3148="","",SUMPRODUCT(--ISNUMBER(SEARCH('Category Dictionary'!$D$5:$D$135&amp;"",$C3148)),--('Category Dictionary'!$D$5:$D$135&lt;&gt;"")))</f>
        <v/>
      </c>
      <c r="L3148" s="27">
        <f>IF($A3148="","",TRIM(IF(ISERROR(FIND(",",$C3148)),$C3148,LEFT($C3148,FIND(",",$C3148)-1))))</f>
        <v/>
      </c>
      <c r="M3148" s="28">
        <f>IF($H3148="","",DATE(YEAR($H3148),MONTH($H3148),1))</f>
        <v/>
      </c>
      <c r="N3148" s="26">
        <f>IF($H3148="","",TODAY()-$H3148)</f>
        <v/>
      </c>
      <c r="O3148" s="15" t="n"/>
      <c r="P3148" s="26">
        <f>IF($A3148="","",COUNTIFS('Audit Versions'!$A$6:$A$605,$A3148,'Audit Versions'!$L$6:$L$605,"Active"))</f>
        <v/>
      </c>
      <c r="Q3148" s="15" t="n"/>
      <c r="R3148" s="26">
        <f>IF(OR($A3148="",$P3148=0),"",MOD(N($Q3148),$P3148)+1)</f>
        <v/>
      </c>
      <c r="S3148" s="15" t="n"/>
      <c r="T3148" s="25" t="n"/>
      <c r="U3148" s="26">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Builder'!$B$12="",N($S3148)&lt;='Assignment Builder'!$B$12)))</f>
        <v/>
      </c>
      <c r="V3148" s="23" t="n"/>
    </row>
    <row r="3149">
      <c r="A3149" s="23" t="n"/>
      <c r="B3149" s="23" t="n"/>
      <c r="C3149" s="24" t="n"/>
      <c r="D3149" s="15" t="n"/>
      <c r="E3149" s="23" t="n"/>
      <c r="F3149" s="15" t="n"/>
      <c r="G3149" s="23" t="n"/>
      <c r="H3149" s="25" t="n"/>
      <c r="I3149" s="15" t="n"/>
      <c r="J3149" s="26">
        <f>IF($A3149="","",LEN($C3149)-LEN(SUBSTITUTE($C3149,",",""))+1)</f>
        <v/>
      </c>
      <c r="K3149" s="26">
        <f>IF($A3149="","",SUMPRODUCT(--ISNUMBER(SEARCH('Category Dictionary'!$D$5:$D$135&amp;"",$C3149)),--('Category Dictionary'!$D$5:$D$135&lt;&gt;"")))</f>
        <v/>
      </c>
      <c r="L3149" s="27">
        <f>IF($A3149="","",TRIM(IF(ISERROR(FIND(",",$C3149)),$C3149,LEFT($C3149,FIND(",",$C3149)-1))))</f>
        <v/>
      </c>
      <c r="M3149" s="28">
        <f>IF($H3149="","",DATE(YEAR($H3149),MONTH($H3149),1))</f>
        <v/>
      </c>
      <c r="N3149" s="26">
        <f>IF($H3149="","",TODAY()-$H3149)</f>
        <v/>
      </c>
      <c r="O3149" s="15" t="n"/>
      <c r="P3149" s="26">
        <f>IF($A3149="","",COUNTIFS('Audit Versions'!$A$6:$A$605,$A3149,'Audit Versions'!$L$6:$L$605,"Active"))</f>
        <v/>
      </c>
      <c r="Q3149" s="15" t="n"/>
      <c r="R3149" s="26">
        <f>IF(OR($A3149="",$P3149=0),"",MOD(N($Q3149),$P3149)+1)</f>
        <v/>
      </c>
      <c r="S3149" s="15" t="n"/>
      <c r="T3149" s="25" t="n"/>
      <c r="U3149" s="26">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Builder'!$B$12="",N($S3149)&lt;='Assignment Builder'!$B$12)))</f>
        <v/>
      </c>
      <c r="V3149" s="23" t="n"/>
    </row>
    <row r="3150">
      <c r="A3150" s="23" t="n"/>
      <c r="B3150" s="23" t="n"/>
      <c r="C3150" s="24" t="n"/>
      <c r="D3150" s="15" t="n"/>
      <c r="E3150" s="23" t="n"/>
      <c r="F3150" s="15" t="n"/>
      <c r="G3150" s="23" t="n"/>
      <c r="H3150" s="25" t="n"/>
      <c r="I3150" s="15" t="n"/>
      <c r="J3150" s="26">
        <f>IF($A3150="","",LEN($C3150)-LEN(SUBSTITUTE($C3150,",",""))+1)</f>
        <v/>
      </c>
      <c r="K3150" s="26">
        <f>IF($A3150="","",SUMPRODUCT(--ISNUMBER(SEARCH('Category Dictionary'!$D$5:$D$135&amp;"",$C3150)),--('Category Dictionary'!$D$5:$D$135&lt;&gt;"")))</f>
        <v/>
      </c>
      <c r="L3150" s="27">
        <f>IF($A3150="","",TRIM(IF(ISERROR(FIND(",",$C3150)),$C3150,LEFT($C3150,FIND(",",$C3150)-1))))</f>
        <v/>
      </c>
      <c r="M3150" s="28">
        <f>IF($H3150="","",DATE(YEAR($H3150),MONTH($H3150),1))</f>
        <v/>
      </c>
      <c r="N3150" s="26">
        <f>IF($H3150="","",TODAY()-$H3150)</f>
        <v/>
      </c>
      <c r="O3150" s="15" t="n"/>
      <c r="P3150" s="26">
        <f>IF($A3150="","",COUNTIFS('Audit Versions'!$A$6:$A$605,$A3150,'Audit Versions'!$L$6:$L$605,"Active"))</f>
        <v/>
      </c>
      <c r="Q3150" s="15" t="n"/>
      <c r="R3150" s="26">
        <f>IF(OR($A3150="",$P3150=0),"",MOD(N($Q3150),$P3150)+1)</f>
        <v/>
      </c>
      <c r="S3150" s="15" t="n"/>
      <c r="T3150" s="25" t="n"/>
      <c r="U3150" s="26">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Builder'!$B$12="",N($S3150)&lt;='Assignment Builder'!$B$12)))</f>
        <v/>
      </c>
      <c r="V3150" s="23" t="n"/>
    </row>
    <row r="3151">
      <c r="A3151" s="23" t="n"/>
      <c r="B3151" s="23" t="n"/>
      <c r="C3151" s="24" t="n"/>
      <c r="D3151" s="15" t="n"/>
      <c r="E3151" s="23" t="n"/>
      <c r="F3151" s="15" t="n"/>
      <c r="G3151" s="23" t="n"/>
      <c r="H3151" s="25" t="n"/>
      <c r="I3151" s="15" t="n"/>
      <c r="J3151" s="26">
        <f>IF($A3151="","",LEN($C3151)-LEN(SUBSTITUTE($C3151,",",""))+1)</f>
        <v/>
      </c>
      <c r="K3151" s="26">
        <f>IF($A3151="","",SUMPRODUCT(--ISNUMBER(SEARCH('Category Dictionary'!$D$5:$D$135&amp;"",$C3151)),--('Category Dictionary'!$D$5:$D$135&lt;&gt;"")))</f>
        <v/>
      </c>
      <c r="L3151" s="27">
        <f>IF($A3151="","",TRIM(IF(ISERROR(FIND(",",$C3151)),$C3151,LEFT($C3151,FIND(",",$C3151)-1))))</f>
        <v/>
      </c>
      <c r="M3151" s="28">
        <f>IF($H3151="","",DATE(YEAR($H3151),MONTH($H3151),1))</f>
        <v/>
      </c>
      <c r="N3151" s="26">
        <f>IF($H3151="","",TODAY()-$H3151)</f>
        <v/>
      </c>
      <c r="O3151" s="15" t="n"/>
      <c r="P3151" s="26">
        <f>IF($A3151="","",COUNTIFS('Audit Versions'!$A$6:$A$605,$A3151,'Audit Versions'!$L$6:$L$605,"Active"))</f>
        <v/>
      </c>
      <c r="Q3151" s="15" t="n"/>
      <c r="R3151" s="26">
        <f>IF(OR($A3151="",$P3151=0),"",MOD(N($Q3151),$P3151)+1)</f>
        <v/>
      </c>
      <c r="S3151" s="15" t="n"/>
      <c r="T3151" s="25" t="n"/>
      <c r="U3151" s="26">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Builder'!$B$12="",N($S3151)&lt;='Assignment Builder'!$B$12)))</f>
        <v/>
      </c>
      <c r="V3151" s="23" t="n"/>
    </row>
    <row r="3152">
      <c r="A3152" s="23" t="n"/>
      <c r="B3152" s="23" t="n"/>
      <c r="C3152" s="24" t="n"/>
      <c r="D3152" s="15" t="n"/>
      <c r="E3152" s="23" t="n"/>
      <c r="F3152" s="15" t="n"/>
      <c r="G3152" s="23" t="n"/>
      <c r="H3152" s="25" t="n"/>
      <c r="I3152" s="15" t="n"/>
      <c r="J3152" s="26">
        <f>IF($A3152="","",LEN($C3152)-LEN(SUBSTITUTE($C3152,",",""))+1)</f>
        <v/>
      </c>
      <c r="K3152" s="26">
        <f>IF($A3152="","",SUMPRODUCT(--ISNUMBER(SEARCH('Category Dictionary'!$D$5:$D$135&amp;"",$C3152)),--('Category Dictionary'!$D$5:$D$135&lt;&gt;"")))</f>
        <v/>
      </c>
      <c r="L3152" s="27">
        <f>IF($A3152="","",TRIM(IF(ISERROR(FIND(",",$C3152)),$C3152,LEFT($C3152,FIND(",",$C3152)-1))))</f>
        <v/>
      </c>
      <c r="M3152" s="28">
        <f>IF($H3152="","",DATE(YEAR($H3152),MONTH($H3152),1))</f>
        <v/>
      </c>
      <c r="N3152" s="26">
        <f>IF($H3152="","",TODAY()-$H3152)</f>
        <v/>
      </c>
      <c r="O3152" s="15" t="n"/>
      <c r="P3152" s="26">
        <f>IF($A3152="","",COUNTIFS('Audit Versions'!$A$6:$A$605,$A3152,'Audit Versions'!$L$6:$L$605,"Active"))</f>
        <v/>
      </c>
      <c r="Q3152" s="15" t="n"/>
      <c r="R3152" s="26">
        <f>IF(OR($A3152="",$P3152=0),"",MOD(N($Q3152),$P3152)+1)</f>
        <v/>
      </c>
      <c r="S3152" s="15" t="n"/>
      <c r="T3152" s="25" t="n"/>
      <c r="U3152" s="26">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Builder'!$B$12="",N($S3152)&lt;='Assignment Builder'!$B$12)))</f>
        <v/>
      </c>
      <c r="V3152" s="23" t="n"/>
    </row>
    <row r="3153">
      <c r="A3153" s="23" t="n"/>
      <c r="B3153" s="23" t="n"/>
      <c r="C3153" s="24" t="n"/>
      <c r="D3153" s="15" t="n"/>
      <c r="E3153" s="23" t="n"/>
      <c r="F3153" s="15" t="n"/>
      <c r="G3153" s="23" t="n"/>
      <c r="H3153" s="25" t="n"/>
      <c r="I3153" s="15" t="n"/>
      <c r="J3153" s="26">
        <f>IF($A3153="","",LEN($C3153)-LEN(SUBSTITUTE($C3153,",",""))+1)</f>
        <v/>
      </c>
      <c r="K3153" s="26">
        <f>IF($A3153="","",SUMPRODUCT(--ISNUMBER(SEARCH('Category Dictionary'!$D$5:$D$135&amp;"",$C3153)),--('Category Dictionary'!$D$5:$D$135&lt;&gt;"")))</f>
        <v/>
      </c>
      <c r="L3153" s="27">
        <f>IF($A3153="","",TRIM(IF(ISERROR(FIND(",",$C3153)),$C3153,LEFT($C3153,FIND(",",$C3153)-1))))</f>
        <v/>
      </c>
      <c r="M3153" s="28">
        <f>IF($H3153="","",DATE(YEAR($H3153),MONTH($H3153),1))</f>
        <v/>
      </c>
      <c r="N3153" s="26">
        <f>IF($H3153="","",TODAY()-$H3153)</f>
        <v/>
      </c>
      <c r="O3153" s="15" t="n"/>
      <c r="P3153" s="26">
        <f>IF($A3153="","",COUNTIFS('Audit Versions'!$A$6:$A$605,$A3153,'Audit Versions'!$L$6:$L$605,"Active"))</f>
        <v/>
      </c>
      <c r="Q3153" s="15" t="n"/>
      <c r="R3153" s="26">
        <f>IF(OR($A3153="",$P3153=0),"",MOD(N($Q3153),$P3153)+1)</f>
        <v/>
      </c>
      <c r="S3153" s="15" t="n"/>
      <c r="T3153" s="25" t="n"/>
      <c r="U3153" s="26">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Builder'!$B$12="",N($S3153)&lt;='Assignment Builder'!$B$12)))</f>
        <v/>
      </c>
      <c r="V3153" s="23" t="n"/>
    </row>
    <row r="3154">
      <c r="A3154" s="23" t="n"/>
      <c r="B3154" s="23" t="n"/>
      <c r="C3154" s="24" t="n"/>
      <c r="D3154" s="15" t="n"/>
      <c r="E3154" s="23" t="n"/>
      <c r="F3154" s="15" t="n"/>
      <c r="G3154" s="23" t="n"/>
      <c r="H3154" s="25" t="n"/>
      <c r="I3154" s="15" t="n"/>
      <c r="J3154" s="26">
        <f>IF($A3154="","",LEN($C3154)-LEN(SUBSTITUTE($C3154,",",""))+1)</f>
        <v/>
      </c>
      <c r="K3154" s="26">
        <f>IF($A3154="","",SUMPRODUCT(--ISNUMBER(SEARCH('Category Dictionary'!$D$5:$D$135&amp;"",$C3154)),--('Category Dictionary'!$D$5:$D$135&lt;&gt;"")))</f>
        <v/>
      </c>
      <c r="L3154" s="27">
        <f>IF($A3154="","",TRIM(IF(ISERROR(FIND(",",$C3154)),$C3154,LEFT($C3154,FIND(",",$C3154)-1))))</f>
        <v/>
      </c>
      <c r="M3154" s="28">
        <f>IF($H3154="","",DATE(YEAR($H3154),MONTH($H3154),1))</f>
        <v/>
      </c>
      <c r="N3154" s="26">
        <f>IF($H3154="","",TODAY()-$H3154)</f>
        <v/>
      </c>
      <c r="O3154" s="15" t="n"/>
      <c r="P3154" s="26">
        <f>IF($A3154="","",COUNTIFS('Audit Versions'!$A$6:$A$605,$A3154,'Audit Versions'!$L$6:$L$605,"Active"))</f>
        <v/>
      </c>
      <c r="Q3154" s="15" t="n"/>
      <c r="R3154" s="26">
        <f>IF(OR($A3154="",$P3154=0),"",MOD(N($Q3154),$P3154)+1)</f>
        <v/>
      </c>
      <c r="S3154" s="15" t="n"/>
      <c r="T3154" s="25" t="n"/>
      <c r="U3154" s="26">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Builder'!$B$12="",N($S3154)&lt;='Assignment Builder'!$B$12)))</f>
        <v/>
      </c>
      <c r="V3154" s="23" t="n"/>
    </row>
    <row r="3155">
      <c r="A3155" s="23" t="n"/>
      <c r="B3155" s="23" t="n"/>
      <c r="C3155" s="24" t="n"/>
      <c r="D3155" s="15" t="n"/>
      <c r="E3155" s="23" t="n"/>
      <c r="F3155" s="15" t="n"/>
      <c r="G3155" s="23" t="n"/>
      <c r="H3155" s="25" t="n"/>
      <c r="I3155" s="15" t="n"/>
      <c r="J3155" s="26">
        <f>IF($A3155="","",LEN($C3155)-LEN(SUBSTITUTE($C3155,",",""))+1)</f>
        <v/>
      </c>
      <c r="K3155" s="26">
        <f>IF($A3155="","",SUMPRODUCT(--ISNUMBER(SEARCH('Category Dictionary'!$D$5:$D$135&amp;"",$C3155)),--('Category Dictionary'!$D$5:$D$135&lt;&gt;"")))</f>
        <v/>
      </c>
      <c r="L3155" s="27">
        <f>IF($A3155="","",TRIM(IF(ISERROR(FIND(",",$C3155)),$C3155,LEFT($C3155,FIND(",",$C3155)-1))))</f>
        <v/>
      </c>
      <c r="M3155" s="28">
        <f>IF($H3155="","",DATE(YEAR($H3155),MONTH($H3155),1))</f>
        <v/>
      </c>
      <c r="N3155" s="26">
        <f>IF($H3155="","",TODAY()-$H3155)</f>
        <v/>
      </c>
      <c r="O3155" s="15" t="n"/>
      <c r="P3155" s="26">
        <f>IF($A3155="","",COUNTIFS('Audit Versions'!$A$6:$A$605,$A3155,'Audit Versions'!$L$6:$L$605,"Active"))</f>
        <v/>
      </c>
      <c r="Q3155" s="15" t="n"/>
      <c r="R3155" s="26">
        <f>IF(OR($A3155="",$P3155=0),"",MOD(N($Q3155),$P3155)+1)</f>
        <v/>
      </c>
      <c r="S3155" s="15" t="n"/>
      <c r="T3155" s="25" t="n"/>
      <c r="U3155" s="26">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Builder'!$B$12="",N($S3155)&lt;='Assignment Builder'!$B$12)))</f>
        <v/>
      </c>
      <c r="V3155" s="23" t="n"/>
    </row>
    <row r="3156">
      <c r="A3156" s="23" t="n"/>
      <c r="B3156" s="23" t="n"/>
      <c r="C3156" s="24" t="n"/>
      <c r="D3156" s="15" t="n"/>
      <c r="E3156" s="23" t="n"/>
      <c r="F3156" s="15" t="n"/>
      <c r="G3156" s="23" t="n"/>
      <c r="H3156" s="25" t="n"/>
      <c r="I3156" s="15" t="n"/>
      <c r="J3156" s="26">
        <f>IF($A3156="","",LEN($C3156)-LEN(SUBSTITUTE($C3156,",",""))+1)</f>
        <v/>
      </c>
      <c r="K3156" s="26">
        <f>IF($A3156="","",SUMPRODUCT(--ISNUMBER(SEARCH('Category Dictionary'!$D$5:$D$135&amp;"",$C3156)),--('Category Dictionary'!$D$5:$D$135&lt;&gt;"")))</f>
        <v/>
      </c>
      <c r="L3156" s="27">
        <f>IF($A3156="","",TRIM(IF(ISERROR(FIND(",",$C3156)),$C3156,LEFT($C3156,FIND(",",$C3156)-1))))</f>
        <v/>
      </c>
      <c r="M3156" s="28">
        <f>IF($H3156="","",DATE(YEAR($H3156),MONTH($H3156),1))</f>
        <v/>
      </c>
      <c r="N3156" s="26">
        <f>IF($H3156="","",TODAY()-$H3156)</f>
        <v/>
      </c>
      <c r="O3156" s="15" t="n"/>
      <c r="P3156" s="26">
        <f>IF($A3156="","",COUNTIFS('Audit Versions'!$A$6:$A$605,$A3156,'Audit Versions'!$L$6:$L$605,"Active"))</f>
        <v/>
      </c>
      <c r="Q3156" s="15" t="n"/>
      <c r="R3156" s="26">
        <f>IF(OR($A3156="",$P3156=0),"",MOD(N($Q3156),$P3156)+1)</f>
        <v/>
      </c>
      <c r="S3156" s="15" t="n"/>
      <c r="T3156" s="25" t="n"/>
      <c r="U3156" s="26">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Builder'!$B$12="",N($S3156)&lt;='Assignment Builder'!$B$12)))</f>
        <v/>
      </c>
      <c r="V3156" s="23" t="n"/>
    </row>
    <row r="3157">
      <c r="A3157" s="23" t="n"/>
      <c r="B3157" s="23" t="n"/>
      <c r="C3157" s="24" t="n"/>
      <c r="D3157" s="15" t="n"/>
      <c r="E3157" s="23" t="n"/>
      <c r="F3157" s="15" t="n"/>
      <c r="G3157" s="23" t="n"/>
      <c r="H3157" s="25" t="n"/>
      <c r="I3157" s="15" t="n"/>
      <c r="J3157" s="26">
        <f>IF($A3157="","",LEN($C3157)-LEN(SUBSTITUTE($C3157,",",""))+1)</f>
        <v/>
      </c>
      <c r="K3157" s="26">
        <f>IF($A3157="","",SUMPRODUCT(--ISNUMBER(SEARCH('Category Dictionary'!$D$5:$D$135&amp;"",$C3157)),--('Category Dictionary'!$D$5:$D$135&lt;&gt;"")))</f>
        <v/>
      </c>
      <c r="L3157" s="27">
        <f>IF($A3157="","",TRIM(IF(ISERROR(FIND(",",$C3157)),$C3157,LEFT($C3157,FIND(",",$C3157)-1))))</f>
        <v/>
      </c>
      <c r="M3157" s="28">
        <f>IF($H3157="","",DATE(YEAR($H3157),MONTH($H3157),1))</f>
        <v/>
      </c>
      <c r="N3157" s="26">
        <f>IF($H3157="","",TODAY()-$H3157)</f>
        <v/>
      </c>
      <c r="O3157" s="15" t="n"/>
      <c r="P3157" s="26">
        <f>IF($A3157="","",COUNTIFS('Audit Versions'!$A$6:$A$605,$A3157,'Audit Versions'!$L$6:$L$605,"Active"))</f>
        <v/>
      </c>
      <c r="Q3157" s="15" t="n"/>
      <c r="R3157" s="26">
        <f>IF(OR($A3157="",$P3157=0),"",MOD(N($Q3157),$P3157)+1)</f>
        <v/>
      </c>
      <c r="S3157" s="15" t="n"/>
      <c r="T3157" s="25" t="n"/>
      <c r="U3157" s="26">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Builder'!$B$12="",N($S3157)&lt;='Assignment Builder'!$B$12)))</f>
        <v/>
      </c>
      <c r="V3157" s="23" t="n"/>
    </row>
    <row r="3158">
      <c r="A3158" s="23" t="n"/>
      <c r="B3158" s="23" t="n"/>
      <c r="C3158" s="24" t="n"/>
      <c r="D3158" s="15" t="n"/>
      <c r="E3158" s="23" t="n"/>
      <c r="F3158" s="15" t="n"/>
      <c r="G3158" s="23" t="n"/>
      <c r="H3158" s="25" t="n"/>
      <c r="I3158" s="15" t="n"/>
      <c r="J3158" s="26">
        <f>IF($A3158="","",LEN($C3158)-LEN(SUBSTITUTE($C3158,",",""))+1)</f>
        <v/>
      </c>
      <c r="K3158" s="26">
        <f>IF($A3158="","",SUMPRODUCT(--ISNUMBER(SEARCH('Category Dictionary'!$D$5:$D$135&amp;"",$C3158)),--('Category Dictionary'!$D$5:$D$135&lt;&gt;"")))</f>
        <v/>
      </c>
      <c r="L3158" s="27">
        <f>IF($A3158="","",TRIM(IF(ISERROR(FIND(",",$C3158)),$C3158,LEFT($C3158,FIND(",",$C3158)-1))))</f>
        <v/>
      </c>
      <c r="M3158" s="28">
        <f>IF($H3158="","",DATE(YEAR($H3158),MONTH($H3158),1))</f>
        <v/>
      </c>
      <c r="N3158" s="26">
        <f>IF($H3158="","",TODAY()-$H3158)</f>
        <v/>
      </c>
      <c r="O3158" s="15" t="n"/>
      <c r="P3158" s="26">
        <f>IF($A3158="","",COUNTIFS('Audit Versions'!$A$6:$A$605,$A3158,'Audit Versions'!$L$6:$L$605,"Active"))</f>
        <v/>
      </c>
      <c r="Q3158" s="15" t="n"/>
      <c r="R3158" s="26">
        <f>IF(OR($A3158="",$P3158=0),"",MOD(N($Q3158),$P3158)+1)</f>
        <v/>
      </c>
      <c r="S3158" s="15" t="n"/>
      <c r="T3158" s="25" t="n"/>
      <c r="U3158" s="26">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Builder'!$B$12="",N($S3158)&lt;='Assignment Builder'!$B$12)))</f>
        <v/>
      </c>
      <c r="V3158" s="23" t="n"/>
    </row>
    <row r="3159">
      <c r="A3159" s="23" t="n"/>
      <c r="B3159" s="23" t="n"/>
      <c r="C3159" s="24" t="n"/>
      <c r="D3159" s="15" t="n"/>
      <c r="E3159" s="23" t="n"/>
      <c r="F3159" s="15" t="n"/>
      <c r="G3159" s="23" t="n"/>
      <c r="H3159" s="25" t="n"/>
      <c r="I3159" s="15" t="n"/>
      <c r="J3159" s="26">
        <f>IF($A3159="","",LEN($C3159)-LEN(SUBSTITUTE($C3159,",",""))+1)</f>
        <v/>
      </c>
      <c r="K3159" s="26">
        <f>IF($A3159="","",SUMPRODUCT(--ISNUMBER(SEARCH('Category Dictionary'!$D$5:$D$135&amp;"",$C3159)),--('Category Dictionary'!$D$5:$D$135&lt;&gt;"")))</f>
        <v/>
      </c>
      <c r="L3159" s="27">
        <f>IF($A3159="","",TRIM(IF(ISERROR(FIND(",",$C3159)),$C3159,LEFT($C3159,FIND(",",$C3159)-1))))</f>
        <v/>
      </c>
      <c r="M3159" s="28">
        <f>IF($H3159="","",DATE(YEAR($H3159),MONTH($H3159),1))</f>
        <v/>
      </c>
      <c r="N3159" s="26">
        <f>IF($H3159="","",TODAY()-$H3159)</f>
        <v/>
      </c>
      <c r="O3159" s="15" t="n"/>
      <c r="P3159" s="26">
        <f>IF($A3159="","",COUNTIFS('Audit Versions'!$A$6:$A$605,$A3159,'Audit Versions'!$L$6:$L$605,"Active"))</f>
        <v/>
      </c>
      <c r="Q3159" s="15" t="n"/>
      <c r="R3159" s="26">
        <f>IF(OR($A3159="",$P3159=0),"",MOD(N($Q3159),$P3159)+1)</f>
        <v/>
      </c>
      <c r="S3159" s="15" t="n"/>
      <c r="T3159" s="25" t="n"/>
      <c r="U3159" s="26">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Builder'!$B$12="",N($S3159)&lt;='Assignment Builder'!$B$12)))</f>
        <v/>
      </c>
      <c r="V3159" s="23" t="n"/>
    </row>
    <row r="3160">
      <c r="A3160" s="23" t="n"/>
      <c r="B3160" s="23" t="n"/>
      <c r="C3160" s="24" t="n"/>
      <c r="D3160" s="15" t="n"/>
      <c r="E3160" s="23" t="n"/>
      <c r="F3160" s="15" t="n"/>
      <c r="G3160" s="23" t="n"/>
      <c r="H3160" s="25" t="n"/>
      <c r="I3160" s="15" t="n"/>
      <c r="J3160" s="26">
        <f>IF($A3160="","",LEN($C3160)-LEN(SUBSTITUTE($C3160,",",""))+1)</f>
        <v/>
      </c>
      <c r="K3160" s="26">
        <f>IF($A3160="","",SUMPRODUCT(--ISNUMBER(SEARCH('Category Dictionary'!$D$5:$D$135&amp;"",$C3160)),--('Category Dictionary'!$D$5:$D$135&lt;&gt;"")))</f>
        <v/>
      </c>
      <c r="L3160" s="27">
        <f>IF($A3160="","",TRIM(IF(ISERROR(FIND(",",$C3160)),$C3160,LEFT($C3160,FIND(",",$C3160)-1))))</f>
        <v/>
      </c>
      <c r="M3160" s="28">
        <f>IF($H3160="","",DATE(YEAR($H3160),MONTH($H3160),1))</f>
        <v/>
      </c>
      <c r="N3160" s="26">
        <f>IF($H3160="","",TODAY()-$H3160)</f>
        <v/>
      </c>
      <c r="O3160" s="15" t="n"/>
      <c r="P3160" s="26">
        <f>IF($A3160="","",COUNTIFS('Audit Versions'!$A$6:$A$605,$A3160,'Audit Versions'!$L$6:$L$605,"Active"))</f>
        <v/>
      </c>
      <c r="Q3160" s="15" t="n"/>
      <c r="R3160" s="26">
        <f>IF(OR($A3160="",$P3160=0),"",MOD(N($Q3160),$P3160)+1)</f>
        <v/>
      </c>
      <c r="S3160" s="15" t="n"/>
      <c r="T3160" s="25" t="n"/>
      <c r="U3160" s="26">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Builder'!$B$12="",N($S3160)&lt;='Assignment Builder'!$B$12)))</f>
        <v/>
      </c>
      <c r="V3160" s="23" t="n"/>
    </row>
    <row r="3161">
      <c r="A3161" s="23" t="n"/>
      <c r="B3161" s="23" t="n"/>
      <c r="C3161" s="24" t="n"/>
      <c r="D3161" s="15" t="n"/>
      <c r="E3161" s="23" t="n"/>
      <c r="F3161" s="15" t="n"/>
      <c r="G3161" s="23" t="n"/>
      <c r="H3161" s="25" t="n"/>
      <c r="I3161" s="15" t="n"/>
      <c r="J3161" s="26">
        <f>IF($A3161="","",LEN($C3161)-LEN(SUBSTITUTE($C3161,",",""))+1)</f>
        <v/>
      </c>
      <c r="K3161" s="26">
        <f>IF($A3161="","",SUMPRODUCT(--ISNUMBER(SEARCH('Category Dictionary'!$D$5:$D$135&amp;"",$C3161)),--('Category Dictionary'!$D$5:$D$135&lt;&gt;"")))</f>
        <v/>
      </c>
      <c r="L3161" s="27">
        <f>IF($A3161="","",TRIM(IF(ISERROR(FIND(",",$C3161)),$C3161,LEFT($C3161,FIND(",",$C3161)-1))))</f>
        <v/>
      </c>
      <c r="M3161" s="28">
        <f>IF($H3161="","",DATE(YEAR($H3161),MONTH($H3161),1))</f>
        <v/>
      </c>
      <c r="N3161" s="26">
        <f>IF($H3161="","",TODAY()-$H3161)</f>
        <v/>
      </c>
      <c r="O3161" s="15" t="n"/>
      <c r="P3161" s="26">
        <f>IF($A3161="","",COUNTIFS('Audit Versions'!$A$6:$A$605,$A3161,'Audit Versions'!$L$6:$L$605,"Active"))</f>
        <v/>
      </c>
      <c r="Q3161" s="15" t="n"/>
      <c r="R3161" s="26">
        <f>IF(OR($A3161="",$P3161=0),"",MOD(N($Q3161),$P3161)+1)</f>
        <v/>
      </c>
      <c r="S3161" s="15" t="n"/>
      <c r="T3161" s="25" t="n"/>
      <c r="U3161" s="26">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Builder'!$B$12="",N($S3161)&lt;='Assignment Builder'!$B$12)))</f>
        <v/>
      </c>
      <c r="V3161" s="23" t="n"/>
    </row>
    <row r="3162">
      <c r="A3162" s="23" t="n"/>
      <c r="B3162" s="23" t="n"/>
      <c r="C3162" s="24" t="n"/>
      <c r="D3162" s="15" t="n"/>
      <c r="E3162" s="23" t="n"/>
      <c r="F3162" s="15" t="n"/>
      <c r="G3162" s="23" t="n"/>
      <c r="H3162" s="25" t="n"/>
      <c r="I3162" s="15" t="n"/>
      <c r="J3162" s="26">
        <f>IF($A3162="","",LEN($C3162)-LEN(SUBSTITUTE($C3162,",",""))+1)</f>
        <v/>
      </c>
      <c r="K3162" s="26">
        <f>IF($A3162="","",SUMPRODUCT(--ISNUMBER(SEARCH('Category Dictionary'!$D$5:$D$135&amp;"",$C3162)),--('Category Dictionary'!$D$5:$D$135&lt;&gt;"")))</f>
        <v/>
      </c>
      <c r="L3162" s="27">
        <f>IF($A3162="","",TRIM(IF(ISERROR(FIND(",",$C3162)),$C3162,LEFT($C3162,FIND(",",$C3162)-1))))</f>
        <v/>
      </c>
      <c r="M3162" s="28">
        <f>IF($H3162="","",DATE(YEAR($H3162),MONTH($H3162),1))</f>
        <v/>
      </c>
      <c r="N3162" s="26">
        <f>IF($H3162="","",TODAY()-$H3162)</f>
        <v/>
      </c>
      <c r="O3162" s="15" t="n"/>
      <c r="P3162" s="26">
        <f>IF($A3162="","",COUNTIFS('Audit Versions'!$A$6:$A$605,$A3162,'Audit Versions'!$L$6:$L$605,"Active"))</f>
        <v/>
      </c>
      <c r="Q3162" s="15" t="n"/>
      <c r="R3162" s="26">
        <f>IF(OR($A3162="",$P3162=0),"",MOD(N($Q3162),$P3162)+1)</f>
        <v/>
      </c>
      <c r="S3162" s="15" t="n"/>
      <c r="T3162" s="25" t="n"/>
      <c r="U3162" s="26">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Builder'!$B$12="",N($S3162)&lt;='Assignment Builder'!$B$12)))</f>
        <v/>
      </c>
      <c r="V3162" s="23" t="n"/>
    </row>
    <row r="3163">
      <c r="A3163" s="23" t="n"/>
      <c r="B3163" s="23" t="n"/>
      <c r="C3163" s="24" t="n"/>
      <c r="D3163" s="15" t="n"/>
      <c r="E3163" s="23" t="n"/>
      <c r="F3163" s="15" t="n"/>
      <c r="G3163" s="23" t="n"/>
      <c r="H3163" s="25" t="n"/>
      <c r="I3163" s="15" t="n"/>
      <c r="J3163" s="26">
        <f>IF($A3163="","",LEN($C3163)-LEN(SUBSTITUTE($C3163,",",""))+1)</f>
        <v/>
      </c>
      <c r="K3163" s="26">
        <f>IF($A3163="","",SUMPRODUCT(--ISNUMBER(SEARCH('Category Dictionary'!$D$5:$D$135&amp;"",$C3163)),--('Category Dictionary'!$D$5:$D$135&lt;&gt;"")))</f>
        <v/>
      </c>
      <c r="L3163" s="27">
        <f>IF($A3163="","",TRIM(IF(ISERROR(FIND(",",$C3163)),$C3163,LEFT($C3163,FIND(",",$C3163)-1))))</f>
        <v/>
      </c>
      <c r="M3163" s="28">
        <f>IF($H3163="","",DATE(YEAR($H3163),MONTH($H3163),1))</f>
        <v/>
      </c>
      <c r="N3163" s="26">
        <f>IF($H3163="","",TODAY()-$H3163)</f>
        <v/>
      </c>
      <c r="O3163" s="15" t="n"/>
      <c r="P3163" s="26">
        <f>IF($A3163="","",COUNTIFS('Audit Versions'!$A$6:$A$605,$A3163,'Audit Versions'!$L$6:$L$605,"Active"))</f>
        <v/>
      </c>
      <c r="Q3163" s="15" t="n"/>
      <c r="R3163" s="26">
        <f>IF(OR($A3163="",$P3163=0),"",MOD(N($Q3163),$P3163)+1)</f>
        <v/>
      </c>
      <c r="S3163" s="15" t="n"/>
      <c r="T3163" s="25" t="n"/>
      <c r="U3163" s="26">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Builder'!$B$12="",N($S3163)&lt;='Assignment Builder'!$B$12)))</f>
        <v/>
      </c>
      <c r="V3163" s="23" t="n"/>
    </row>
    <row r="3164">
      <c r="A3164" s="23" t="n"/>
      <c r="B3164" s="23" t="n"/>
      <c r="C3164" s="24" t="n"/>
      <c r="D3164" s="15" t="n"/>
      <c r="E3164" s="23" t="n"/>
      <c r="F3164" s="15" t="n"/>
      <c r="G3164" s="23" t="n"/>
      <c r="H3164" s="25" t="n"/>
      <c r="I3164" s="15" t="n"/>
      <c r="J3164" s="26">
        <f>IF($A3164="","",LEN($C3164)-LEN(SUBSTITUTE($C3164,",",""))+1)</f>
        <v/>
      </c>
      <c r="K3164" s="26">
        <f>IF($A3164="","",SUMPRODUCT(--ISNUMBER(SEARCH('Category Dictionary'!$D$5:$D$135&amp;"",$C3164)),--('Category Dictionary'!$D$5:$D$135&lt;&gt;"")))</f>
        <v/>
      </c>
      <c r="L3164" s="27">
        <f>IF($A3164="","",TRIM(IF(ISERROR(FIND(",",$C3164)),$C3164,LEFT($C3164,FIND(",",$C3164)-1))))</f>
        <v/>
      </c>
      <c r="M3164" s="28">
        <f>IF($H3164="","",DATE(YEAR($H3164),MONTH($H3164),1))</f>
        <v/>
      </c>
      <c r="N3164" s="26">
        <f>IF($H3164="","",TODAY()-$H3164)</f>
        <v/>
      </c>
      <c r="O3164" s="15" t="n"/>
      <c r="P3164" s="26">
        <f>IF($A3164="","",COUNTIFS('Audit Versions'!$A$6:$A$605,$A3164,'Audit Versions'!$L$6:$L$605,"Active"))</f>
        <v/>
      </c>
      <c r="Q3164" s="15" t="n"/>
      <c r="R3164" s="26">
        <f>IF(OR($A3164="",$P3164=0),"",MOD(N($Q3164),$P3164)+1)</f>
        <v/>
      </c>
      <c r="S3164" s="15" t="n"/>
      <c r="T3164" s="25" t="n"/>
      <c r="U3164" s="26">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Builder'!$B$12="",N($S3164)&lt;='Assignment Builder'!$B$12)))</f>
        <v/>
      </c>
      <c r="V3164" s="23" t="n"/>
    </row>
    <row r="3165">
      <c r="A3165" s="23" t="n"/>
      <c r="B3165" s="23" t="n"/>
      <c r="C3165" s="24" t="n"/>
      <c r="D3165" s="15" t="n"/>
      <c r="E3165" s="23" t="n"/>
      <c r="F3165" s="15" t="n"/>
      <c r="G3165" s="23" t="n"/>
      <c r="H3165" s="25" t="n"/>
      <c r="I3165" s="15" t="n"/>
      <c r="J3165" s="26">
        <f>IF($A3165="","",LEN($C3165)-LEN(SUBSTITUTE($C3165,",",""))+1)</f>
        <v/>
      </c>
      <c r="K3165" s="26">
        <f>IF($A3165="","",SUMPRODUCT(--ISNUMBER(SEARCH('Category Dictionary'!$D$5:$D$135&amp;"",$C3165)),--('Category Dictionary'!$D$5:$D$135&lt;&gt;"")))</f>
        <v/>
      </c>
      <c r="L3165" s="27">
        <f>IF($A3165="","",TRIM(IF(ISERROR(FIND(",",$C3165)),$C3165,LEFT($C3165,FIND(",",$C3165)-1))))</f>
        <v/>
      </c>
      <c r="M3165" s="28">
        <f>IF($H3165="","",DATE(YEAR($H3165),MONTH($H3165),1))</f>
        <v/>
      </c>
      <c r="N3165" s="26">
        <f>IF($H3165="","",TODAY()-$H3165)</f>
        <v/>
      </c>
      <c r="O3165" s="15" t="n"/>
      <c r="P3165" s="26">
        <f>IF($A3165="","",COUNTIFS('Audit Versions'!$A$6:$A$605,$A3165,'Audit Versions'!$L$6:$L$605,"Active"))</f>
        <v/>
      </c>
      <c r="Q3165" s="15" t="n"/>
      <c r="R3165" s="26">
        <f>IF(OR($A3165="",$P3165=0),"",MOD(N($Q3165),$P3165)+1)</f>
        <v/>
      </c>
      <c r="S3165" s="15" t="n"/>
      <c r="T3165" s="25" t="n"/>
      <c r="U3165" s="26">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Builder'!$B$12="",N($S3165)&lt;='Assignment Builder'!$B$12)))</f>
        <v/>
      </c>
      <c r="V3165" s="23" t="n"/>
    </row>
    <row r="3166">
      <c r="A3166" s="23" t="n"/>
      <c r="B3166" s="23" t="n"/>
      <c r="C3166" s="24" t="n"/>
      <c r="D3166" s="15" t="n"/>
      <c r="E3166" s="23" t="n"/>
      <c r="F3166" s="15" t="n"/>
      <c r="G3166" s="23" t="n"/>
      <c r="H3166" s="25" t="n"/>
      <c r="I3166" s="15" t="n"/>
      <c r="J3166" s="26">
        <f>IF($A3166="","",LEN($C3166)-LEN(SUBSTITUTE($C3166,",",""))+1)</f>
        <v/>
      </c>
      <c r="K3166" s="26">
        <f>IF($A3166="","",SUMPRODUCT(--ISNUMBER(SEARCH('Category Dictionary'!$D$5:$D$135&amp;"",$C3166)),--('Category Dictionary'!$D$5:$D$135&lt;&gt;"")))</f>
        <v/>
      </c>
      <c r="L3166" s="27">
        <f>IF($A3166="","",TRIM(IF(ISERROR(FIND(",",$C3166)),$C3166,LEFT($C3166,FIND(",",$C3166)-1))))</f>
        <v/>
      </c>
      <c r="M3166" s="28">
        <f>IF($H3166="","",DATE(YEAR($H3166),MONTH($H3166),1))</f>
        <v/>
      </c>
      <c r="N3166" s="26">
        <f>IF($H3166="","",TODAY()-$H3166)</f>
        <v/>
      </c>
      <c r="O3166" s="15" t="n"/>
      <c r="P3166" s="26">
        <f>IF($A3166="","",COUNTIFS('Audit Versions'!$A$6:$A$605,$A3166,'Audit Versions'!$L$6:$L$605,"Active"))</f>
        <v/>
      </c>
      <c r="Q3166" s="15" t="n"/>
      <c r="R3166" s="26">
        <f>IF(OR($A3166="",$P3166=0),"",MOD(N($Q3166),$P3166)+1)</f>
        <v/>
      </c>
      <c r="S3166" s="15" t="n"/>
      <c r="T3166" s="25" t="n"/>
      <c r="U3166" s="26">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Builder'!$B$12="",N($S3166)&lt;='Assignment Builder'!$B$12)))</f>
        <v/>
      </c>
      <c r="V3166" s="23" t="n"/>
    </row>
    <row r="3167">
      <c r="A3167" s="23" t="n"/>
      <c r="B3167" s="23" t="n"/>
      <c r="C3167" s="24" t="n"/>
      <c r="D3167" s="15" t="n"/>
      <c r="E3167" s="23" t="n"/>
      <c r="F3167" s="15" t="n"/>
      <c r="G3167" s="23" t="n"/>
      <c r="H3167" s="25" t="n"/>
      <c r="I3167" s="15" t="n"/>
      <c r="J3167" s="26">
        <f>IF($A3167="","",LEN($C3167)-LEN(SUBSTITUTE($C3167,",",""))+1)</f>
        <v/>
      </c>
      <c r="K3167" s="26">
        <f>IF($A3167="","",SUMPRODUCT(--ISNUMBER(SEARCH('Category Dictionary'!$D$5:$D$135&amp;"",$C3167)),--('Category Dictionary'!$D$5:$D$135&lt;&gt;"")))</f>
        <v/>
      </c>
      <c r="L3167" s="27">
        <f>IF($A3167="","",TRIM(IF(ISERROR(FIND(",",$C3167)),$C3167,LEFT($C3167,FIND(",",$C3167)-1))))</f>
        <v/>
      </c>
      <c r="M3167" s="28">
        <f>IF($H3167="","",DATE(YEAR($H3167),MONTH($H3167),1))</f>
        <v/>
      </c>
      <c r="N3167" s="26">
        <f>IF($H3167="","",TODAY()-$H3167)</f>
        <v/>
      </c>
      <c r="O3167" s="15" t="n"/>
      <c r="P3167" s="26">
        <f>IF($A3167="","",COUNTIFS('Audit Versions'!$A$6:$A$605,$A3167,'Audit Versions'!$L$6:$L$605,"Active"))</f>
        <v/>
      </c>
      <c r="Q3167" s="15" t="n"/>
      <c r="R3167" s="26">
        <f>IF(OR($A3167="",$P3167=0),"",MOD(N($Q3167),$P3167)+1)</f>
        <v/>
      </c>
      <c r="S3167" s="15" t="n"/>
      <c r="T3167" s="25" t="n"/>
      <c r="U3167" s="26">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Builder'!$B$12="",N($S3167)&lt;='Assignment Builder'!$B$12)))</f>
        <v/>
      </c>
      <c r="V3167" s="23" t="n"/>
    </row>
    <row r="3168">
      <c r="A3168" s="23" t="n"/>
      <c r="B3168" s="23" t="n"/>
      <c r="C3168" s="24" t="n"/>
      <c r="D3168" s="15" t="n"/>
      <c r="E3168" s="23" t="n"/>
      <c r="F3168" s="15" t="n"/>
      <c r="G3168" s="23" t="n"/>
      <c r="H3168" s="25" t="n"/>
      <c r="I3168" s="15" t="n"/>
      <c r="J3168" s="26">
        <f>IF($A3168="","",LEN($C3168)-LEN(SUBSTITUTE($C3168,",",""))+1)</f>
        <v/>
      </c>
      <c r="K3168" s="26">
        <f>IF($A3168="","",SUMPRODUCT(--ISNUMBER(SEARCH('Category Dictionary'!$D$5:$D$135&amp;"",$C3168)),--('Category Dictionary'!$D$5:$D$135&lt;&gt;"")))</f>
        <v/>
      </c>
      <c r="L3168" s="27">
        <f>IF($A3168="","",TRIM(IF(ISERROR(FIND(",",$C3168)),$C3168,LEFT($C3168,FIND(",",$C3168)-1))))</f>
        <v/>
      </c>
      <c r="M3168" s="28">
        <f>IF($H3168="","",DATE(YEAR($H3168),MONTH($H3168),1))</f>
        <v/>
      </c>
      <c r="N3168" s="26">
        <f>IF($H3168="","",TODAY()-$H3168)</f>
        <v/>
      </c>
      <c r="O3168" s="15" t="n"/>
      <c r="P3168" s="26">
        <f>IF($A3168="","",COUNTIFS('Audit Versions'!$A$6:$A$605,$A3168,'Audit Versions'!$L$6:$L$605,"Active"))</f>
        <v/>
      </c>
      <c r="Q3168" s="15" t="n"/>
      <c r="R3168" s="26">
        <f>IF(OR($A3168="",$P3168=0),"",MOD(N($Q3168),$P3168)+1)</f>
        <v/>
      </c>
      <c r="S3168" s="15" t="n"/>
      <c r="T3168" s="25" t="n"/>
      <c r="U3168" s="26">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Builder'!$B$12="",N($S3168)&lt;='Assignment Builder'!$B$12)))</f>
        <v/>
      </c>
      <c r="V3168" s="23" t="n"/>
    </row>
    <row r="3169">
      <c r="A3169" s="23" t="n"/>
      <c r="B3169" s="23" t="n"/>
      <c r="C3169" s="24" t="n"/>
      <c r="D3169" s="15" t="n"/>
      <c r="E3169" s="23" t="n"/>
      <c r="F3169" s="15" t="n"/>
      <c r="G3169" s="23" t="n"/>
      <c r="H3169" s="25" t="n"/>
      <c r="I3169" s="15" t="n"/>
      <c r="J3169" s="26">
        <f>IF($A3169="","",LEN($C3169)-LEN(SUBSTITUTE($C3169,",",""))+1)</f>
        <v/>
      </c>
      <c r="K3169" s="26">
        <f>IF($A3169="","",SUMPRODUCT(--ISNUMBER(SEARCH('Category Dictionary'!$D$5:$D$135&amp;"",$C3169)),--('Category Dictionary'!$D$5:$D$135&lt;&gt;"")))</f>
        <v/>
      </c>
      <c r="L3169" s="27">
        <f>IF($A3169="","",TRIM(IF(ISERROR(FIND(",",$C3169)),$C3169,LEFT($C3169,FIND(",",$C3169)-1))))</f>
        <v/>
      </c>
      <c r="M3169" s="28">
        <f>IF($H3169="","",DATE(YEAR($H3169),MONTH($H3169),1))</f>
        <v/>
      </c>
      <c r="N3169" s="26">
        <f>IF($H3169="","",TODAY()-$H3169)</f>
        <v/>
      </c>
      <c r="O3169" s="15" t="n"/>
      <c r="P3169" s="26">
        <f>IF($A3169="","",COUNTIFS('Audit Versions'!$A$6:$A$605,$A3169,'Audit Versions'!$L$6:$L$605,"Active"))</f>
        <v/>
      </c>
      <c r="Q3169" s="15" t="n"/>
      <c r="R3169" s="26">
        <f>IF(OR($A3169="",$P3169=0),"",MOD(N($Q3169),$P3169)+1)</f>
        <v/>
      </c>
      <c r="S3169" s="15" t="n"/>
      <c r="T3169" s="25" t="n"/>
      <c r="U3169" s="26">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Builder'!$B$12="",N($S3169)&lt;='Assignment Builder'!$B$12)))</f>
        <v/>
      </c>
      <c r="V3169" s="23" t="n"/>
    </row>
    <row r="3170">
      <c r="A3170" s="23" t="n"/>
      <c r="B3170" s="23" t="n"/>
      <c r="C3170" s="24" t="n"/>
      <c r="D3170" s="15" t="n"/>
      <c r="E3170" s="23" t="n"/>
      <c r="F3170" s="15" t="n"/>
      <c r="G3170" s="23" t="n"/>
      <c r="H3170" s="25" t="n"/>
      <c r="I3170" s="15" t="n"/>
      <c r="J3170" s="26">
        <f>IF($A3170="","",LEN($C3170)-LEN(SUBSTITUTE($C3170,",",""))+1)</f>
        <v/>
      </c>
      <c r="K3170" s="26">
        <f>IF($A3170="","",SUMPRODUCT(--ISNUMBER(SEARCH('Category Dictionary'!$D$5:$D$135&amp;"",$C3170)),--('Category Dictionary'!$D$5:$D$135&lt;&gt;"")))</f>
        <v/>
      </c>
      <c r="L3170" s="27">
        <f>IF($A3170="","",TRIM(IF(ISERROR(FIND(",",$C3170)),$C3170,LEFT($C3170,FIND(",",$C3170)-1))))</f>
        <v/>
      </c>
      <c r="M3170" s="28">
        <f>IF($H3170="","",DATE(YEAR($H3170),MONTH($H3170),1))</f>
        <v/>
      </c>
      <c r="N3170" s="26">
        <f>IF($H3170="","",TODAY()-$H3170)</f>
        <v/>
      </c>
      <c r="O3170" s="15" t="n"/>
      <c r="P3170" s="26">
        <f>IF($A3170="","",COUNTIFS('Audit Versions'!$A$6:$A$605,$A3170,'Audit Versions'!$L$6:$L$605,"Active"))</f>
        <v/>
      </c>
      <c r="Q3170" s="15" t="n"/>
      <c r="R3170" s="26">
        <f>IF(OR($A3170="",$P3170=0),"",MOD(N($Q3170),$P3170)+1)</f>
        <v/>
      </c>
      <c r="S3170" s="15" t="n"/>
      <c r="T3170" s="25" t="n"/>
      <c r="U3170" s="26">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Builder'!$B$12="",N($S3170)&lt;='Assignment Builder'!$B$12)))</f>
        <v/>
      </c>
      <c r="V3170" s="23" t="n"/>
    </row>
    <row r="3171">
      <c r="A3171" s="23" t="n"/>
      <c r="B3171" s="23" t="n"/>
      <c r="C3171" s="24" t="n"/>
      <c r="D3171" s="15" t="n"/>
      <c r="E3171" s="23" t="n"/>
      <c r="F3171" s="15" t="n"/>
      <c r="G3171" s="23" t="n"/>
      <c r="H3171" s="25" t="n"/>
      <c r="I3171" s="15" t="n"/>
      <c r="J3171" s="26">
        <f>IF($A3171="","",LEN($C3171)-LEN(SUBSTITUTE($C3171,",",""))+1)</f>
        <v/>
      </c>
      <c r="K3171" s="26">
        <f>IF($A3171="","",SUMPRODUCT(--ISNUMBER(SEARCH('Category Dictionary'!$D$5:$D$135&amp;"",$C3171)),--('Category Dictionary'!$D$5:$D$135&lt;&gt;"")))</f>
        <v/>
      </c>
      <c r="L3171" s="27">
        <f>IF($A3171="","",TRIM(IF(ISERROR(FIND(",",$C3171)),$C3171,LEFT($C3171,FIND(",",$C3171)-1))))</f>
        <v/>
      </c>
      <c r="M3171" s="28">
        <f>IF($H3171="","",DATE(YEAR($H3171),MONTH($H3171),1))</f>
        <v/>
      </c>
      <c r="N3171" s="26">
        <f>IF($H3171="","",TODAY()-$H3171)</f>
        <v/>
      </c>
      <c r="O3171" s="15" t="n"/>
      <c r="P3171" s="26">
        <f>IF($A3171="","",COUNTIFS('Audit Versions'!$A$6:$A$605,$A3171,'Audit Versions'!$L$6:$L$605,"Active"))</f>
        <v/>
      </c>
      <c r="Q3171" s="15" t="n"/>
      <c r="R3171" s="26">
        <f>IF(OR($A3171="",$P3171=0),"",MOD(N($Q3171),$P3171)+1)</f>
        <v/>
      </c>
      <c r="S3171" s="15" t="n"/>
      <c r="T3171" s="25" t="n"/>
      <c r="U3171" s="26">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Builder'!$B$12="",N($S3171)&lt;='Assignment Builder'!$B$12)))</f>
        <v/>
      </c>
      <c r="V3171" s="23" t="n"/>
    </row>
    <row r="3172">
      <c r="A3172" s="23" t="n"/>
      <c r="B3172" s="23" t="n"/>
      <c r="C3172" s="24" t="n"/>
      <c r="D3172" s="15" t="n"/>
      <c r="E3172" s="23" t="n"/>
      <c r="F3172" s="15" t="n"/>
      <c r="G3172" s="23" t="n"/>
      <c r="H3172" s="25" t="n"/>
      <c r="I3172" s="15" t="n"/>
      <c r="J3172" s="26">
        <f>IF($A3172="","",LEN($C3172)-LEN(SUBSTITUTE($C3172,",",""))+1)</f>
        <v/>
      </c>
      <c r="K3172" s="26">
        <f>IF($A3172="","",SUMPRODUCT(--ISNUMBER(SEARCH('Category Dictionary'!$D$5:$D$135&amp;"",$C3172)),--('Category Dictionary'!$D$5:$D$135&lt;&gt;"")))</f>
        <v/>
      </c>
      <c r="L3172" s="27">
        <f>IF($A3172="","",TRIM(IF(ISERROR(FIND(",",$C3172)),$C3172,LEFT($C3172,FIND(",",$C3172)-1))))</f>
        <v/>
      </c>
      <c r="M3172" s="28">
        <f>IF($H3172="","",DATE(YEAR($H3172),MONTH($H3172),1))</f>
        <v/>
      </c>
      <c r="N3172" s="26">
        <f>IF($H3172="","",TODAY()-$H3172)</f>
        <v/>
      </c>
      <c r="O3172" s="15" t="n"/>
      <c r="P3172" s="26">
        <f>IF($A3172="","",COUNTIFS('Audit Versions'!$A$6:$A$605,$A3172,'Audit Versions'!$L$6:$L$605,"Active"))</f>
        <v/>
      </c>
      <c r="Q3172" s="15" t="n"/>
      <c r="R3172" s="26">
        <f>IF(OR($A3172="",$P3172=0),"",MOD(N($Q3172),$P3172)+1)</f>
        <v/>
      </c>
      <c r="S3172" s="15" t="n"/>
      <c r="T3172" s="25" t="n"/>
      <c r="U3172" s="26">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Builder'!$B$12="",N($S3172)&lt;='Assignment Builder'!$B$12)))</f>
        <v/>
      </c>
      <c r="V3172" s="23" t="n"/>
    </row>
    <row r="3173">
      <c r="A3173" s="23" t="n"/>
      <c r="B3173" s="23" t="n"/>
      <c r="C3173" s="24" t="n"/>
      <c r="D3173" s="15" t="n"/>
      <c r="E3173" s="23" t="n"/>
      <c r="F3173" s="15" t="n"/>
      <c r="G3173" s="23" t="n"/>
      <c r="H3173" s="25" t="n"/>
      <c r="I3173" s="15" t="n"/>
      <c r="J3173" s="26">
        <f>IF($A3173="","",LEN($C3173)-LEN(SUBSTITUTE($C3173,",",""))+1)</f>
        <v/>
      </c>
      <c r="K3173" s="26">
        <f>IF($A3173="","",SUMPRODUCT(--ISNUMBER(SEARCH('Category Dictionary'!$D$5:$D$135&amp;"",$C3173)),--('Category Dictionary'!$D$5:$D$135&lt;&gt;"")))</f>
        <v/>
      </c>
      <c r="L3173" s="27">
        <f>IF($A3173="","",TRIM(IF(ISERROR(FIND(",",$C3173)),$C3173,LEFT($C3173,FIND(",",$C3173)-1))))</f>
        <v/>
      </c>
      <c r="M3173" s="28">
        <f>IF($H3173="","",DATE(YEAR($H3173),MONTH($H3173),1))</f>
        <v/>
      </c>
      <c r="N3173" s="26">
        <f>IF($H3173="","",TODAY()-$H3173)</f>
        <v/>
      </c>
      <c r="O3173" s="15" t="n"/>
      <c r="P3173" s="26">
        <f>IF($A3173="","",COUNTIFS('Audit Versions'!$A$6:$A$605,$A3173,'Audit Versions'!$L$6:$L$605,"Active"))</f>
        <v/>
      </c>
      <c r="Q3173" s="15" t="n"/>
      <c r="R3173" s="26">
        <f>IF(OR($A3173="",$P3173=0),"",MOD(N($Q3173),$P3173)+1)</f>
        <v/>
      </c>
      <c r="S3173" s="15" t="n"/>
      <c r="T3173" s="25" t="n"/>
      <c r="U3173" s="26">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Builder'!$B$12="",N($S3173)&lt;='Assignment Builder'!$B$12)))</f>
        <v/>
      </c>
      <c r="V3173" s="23" t="n"/>
    </row>
    <row r="3174">
      <c r="A3174" s="23" t="n"/>
      <c r="B3174" s="23" t="n"/>
      <c r="C3174" s="24" t="n"/>
      <c r="D3174" s="15" t="n"/>
      <c r="E3174" s="23" t="n"/>
      <c r="F3174" s="15" t="n"/>
      <c r="G3174" s="23" t="n"/>
      <c r="H3174" s="25" t="n"/>
      <c r="I3174" s="15" t="n"/>
      <c r="J3174" s="26">
        <f>IF($A3174="","",LEN($C3174)-LEN(SUBSTITUTE($C3174,",",""))+1)</f>
        <v/>
      </c>
      <c r="K3174" s="26">
        <f>IF($A3174="","",SUMPRODUCT(--ISNUMBER(SEARCH('Category Dictionary'!$D$5:$D$135&amp;"",$C3174)),--('Category Dictionary'!$D$5:$D$135&lt;&gt;"")))</f>
        <v/>
      </c>
      <c r="L3174" s="27">
        <f>IF($A3174="","",TRIM(IF(ISERROR(FIND(",",$C3174)),$C3174,LEFT($C3174,FIND(",",$C3174)-1))))</f>
        <v/>
      </c>
      <c r="M3174" s="28">
        <f>IF($H3174="","",DATE(YEAR($H3174),MONTH($H3174),1))</f>
        <v/>
      </c>
      <c r="N3174" s="26">
        <f>IF($H3174="","",TODAY()-$H3174)</f>
        <v/>
      </c>
      <c r="O3174" s="15" t="n"/>
      <c r="P3174" s="26">
        <f>IF($A3174="","",COUNTIFS('Audit Versions'!$A$6:$A$605,$A3174,'Audit Versions'!$L$6:$L$605,"Active"))</f>
        <v/>
      </c>
      <c r="Q3174" s="15" t="n"/>
      <c r="R3174" s="26">
        <f>IF(OR($A3174="",$P3174=0),"",MOD(N($Q3174),$P3174)+1)</f>
        <v/>
      </c>
      <c r="S3174" s="15" t="n"/>
      <c r="T3174" s="25" t="n"/>
      <c r="U3174" s="26">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Builder'!$B$12="",N($S3174)&lt;='Assignment Builder'!$B$12)))</f>
        <v/>
      </c>
      <c r="V3174" s="23" t="n"/>
    </row>
    <row r="3175">
      <c r="A3175" s="23" t="n"/>
      <c r="B3175" s="23" t="n"/>
      <c r="C3175" s="24" t="n"/>
      <c r="D3175" s="15" t="n"/>
      <c r="E3175" s="23" t="n"/>
      <c r="F3175" s="15" t="n"/>
      <c r="G3175" s="23" t="n"/>
      <c r="H3175" s="25" t="n"/>
      <c r="I3175" s="15" t="n"/>
      <c r="J3175" s="26">
        <f>IF($A3175="","",LEN($C3175)-LEN(SUBSTITUTE($C3175,",",""))+1)</f>
        <v/>
      </c>
      <c r="K3175" s="26">
        <f>IF($A3175="","",SUMPRODUCT(--ISNUMBER(SEARCH('Category Dictionary'!$D$5:$D$135&amp;"",$C3175)),--('Category Dictionary'!$D$5:$D$135&lt;&gt;"")))</f>
        <v/>
      </c>
      <c r="L3175" s="27">
        <f>IF($A3175="","",TRIM(IF(ISERROR(FIND(",",$C3175)),$C3175,LEFT($C3175,FIND(",",$C3175)-1))))</f>
        <v/>
      </c>
      <c r="M3175" s="28">
        <f>IF($H3175="","",DATE(YEAR($H3175),MONTH($H3175),1))</f>
        <v/>
      </c>
      <c r="N3175" s="26">
        <f>IF($H3175="","",TODAY()-$H3175)</f>
        <v/>
      </c>
      <c r="O3175" s="15" t="n"/>
      <c r="P3175" s="26">
        <f>IF($A3175="","",COUNTIFS('Audit Versions'!$A$6:$A$605,$A3175,'Audit Versions'!$L$6:$L$605,"Active"))</f>
        <v/>
      </c>
      <c r="Q3175" s="15" t="n"/>
      <c r="R3175" s="26">
        <f>IF(OR($A3175="",$P3175=0),"",MOD(N($Q3175),$P3175)+1)</f>
        <v/>
      </c>
      <c r="S3175" s="15" t="n"/>
      <c r="T3175" s="25" t="n"/>
      <c r="U3175" s="26">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Builder'!$B$12="",N($S3175)&lt;='Assignment Builder'!$B$12)))</f>
        <v/>
      </c>
      <c r="V3175" s="23" t="n"/>
    </row>
    <row r="3176">
      <c r="A3176" s="23" t="n"/>
      <c r="B3176" s="23" t="n"/>
      <c r="C3176" s="24" t="n"/>
      <c r="D3176" s="15" t="n"/>
      <c r="E3176" s="23" t="n"/>
      <c r="F3176" s="15" t="n"/>
      <c r="G3176" s="23" t="n"/>
      <c r="H3176" s="25" t="n"/>
      <c r="I3176" s="15" t="n"/>
      <c r="J3176" s="26">
        <f>IF($A3176="","",LEN($C3176)-LEN(SUBSTITUTE($C3176,",",""))+1)</f>
        <v/>
      </c>
      <c r="K3176" s="26">
        <f>IF($A3176="","",SUMPRODUCT(--ISNUMBER(SEARCH('Category Dictionary'!$D$5:$D$135&amp;"",$C3176)),--('Category Dictionary'!$D$5:$D$135&lt;&gt;"")))</f>
        <v/>
      </c>
      <c r="L3176" s="27">
        <f>IF($A3176="","",TRIM(IF(ISERROR(FIND(",",$C3176)),$C3176,LEFT($C3176,FIND(",",$C3176)-1))))</f>
        <v/>
      </c>
      <c r="M3176" s="28">
        <f>IF($H3176="","",DATE(YEAR($H3176),MONTH($H3176),1))</f>
        <v/>
      </c>
      <c r="N3176" s="26">
        <f>IF($H3176="","",TODAY()-$H3176)</f>
        <v/>
      </c>
      <c r="O3176" s="15" t="n"/>
      <c r="P3176" s="26">
        <f>IF($A3176="","",COUNTIFS('Audit Versions'!$A$6:$A$605,$A3176,'Audit Versions'!$L$6:$L$605,"Active"))</f>
        <v/>
      </c>
      <c r="Q3176" s="15" t="n"/>
      <c r="R3176" s="26">
        <f>IF(OR($A3176="",$P3176=0),"",MOD(N($Q3176),$P3176)+1)</f>
        <v/>
      </c>
      <c r="S3176" s="15" t="n"/>
      <c r="T3176" s="25" t="n"/>
      <c r="U3176" s="26">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Builder'!$B$12="",N($S3176)&lt;='Assignment Builder'!$B$12)))</f>
        <v/>
      </c>
      <c r="V3176" s="23" t="n"/>
    </row>
    <row r="3177">
      <c r="A3177" s="23" t="n"/>
      <c r="B3177" s="23" t="n"/>
      <c r="C3177" s="24" t="n"/>
      <c r="D3177" s="15" t="n"/>
      <c r="E3177" s="23" t="n"/>
      <c r="F3177" s="15" t="n"/>
      <c r="G3177" s="23" t="n"/>
      <c r="H3177" s="25" t="n"/>
      <c r="I3177" s="15" t="n"/>
      <c r="J3177" s="26">
        <f>IF($A3177="","",LEN($C3177)-LEN(SUBSTITUTE($C3177,",",""))+1)</f>
        <v/>
      </c>
      <c r="K3177" s="26">
        <f>IF($A3177="","",SUMPRODUCT(--ISNUMBER(SEARCH('Category Dictionary'!$D$5:$D$135&amp;"",$C3177)),--('Category Dictionary'!$D$5:$D$135&lt;&gt;"")))</f>
        <v/>
      </c>
      <c r="L3177" s="27">
        <f>IF($A3177="","",TRIM(IF(ISERROR(FIND(",",$C3177)),$C3177,LEFT($C3177,FIND(",",$C3177)-1))))</f>
        <v/>
      </c>
      <c r="M3177" s="28">
        <f>IF($H3177="","",DATE(YEAR($H3177),MONTH($H3177),1))</f>
        <v/>
      </c>
      <c r="N3177" s="26">
        <f>IF($H3177="","",TODAY()-$H3177)</f>
        <v/>
      </c>
      <c r="O3177" s="15" t="n"/>
      <c r="P3177" s="26">
        <f>IF($A3177="","",COUNTIFS('Audit Versions'!$A$6:$A$605,$A3177,'Audit Versions'!$L$6:$L$605,"Active"))</f>
        <v/>
      </c>
      <c r="Q3177" s="15" t="n"/>
      <c r="R3177" s="26">
        <f>IF(OR($A3177="",$P3177=0),"",MOD(N($Q3177),$P3177)+1)</f>
        <v/>
      </c>
      <c r="S3177" s="15" t="n"/>
      <c r="T3177" s="25" t="n"/>
      <c r="U3177" s="26">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Builder'!$B$12="",N($S3177)&lt;='Assignment Builder'!$B$12)))</f>
        <v/>
      </c>
      <c r="V3177" s="23" t="n"/>
    </row>
    <row r="3178">
      <c r="A3178" s="23" t="n"/>
      <c r="B3178" s="23" t="n"/>
      <c r="C3178" s="24" t="n"/>
      <c r="D3178" s="15" t="n"/>
      <c r="E3178" s="23" t="n"/>
      <c r="F3178" s="15" t="n"/>
      <c r="G3178" s="23" t="n"/>
      <c r="H3178" s="25" t="n"/>
      <c r="I3178" s="15" t="n"/>
      <c r="J3178" s="26">
        <f>IF($A3178="","",LEN($C3178)-LEN(SUBSTITUTE($C3178,",",""))+1)</f>
        <v/>
      </c>
      <c r="K3178" s="26">
        <f>IF($A3178="","",SUMPRODUCT(--ISNUMBER(SEARCH('Category Dictionary'!$D$5:$D$135&amp;"",$C3178)),--('Category Dictionary'!$D$5:$D$135&lt;&gt;"")))</f>
        <v/>
      </c>
      <c r="L3178" s="27">
        <f>IF($A3178="","",TRIM(IF(ISERROR(FIND(",",$C3178)),$C3178,LEFT($C3178,FIND(",",$C3178)-1))))</f>
        <v/>
      </c>
      <c r="M3178" s="28">
        <f>IF($H3178="","",DATE(YEAR($H3178),MONTH($H3178),1))</f>
        <v/>
      </c>
      <c r="N3178" s="26">
        <f>IF($H3178="","",TODAY()-$H3178)</f>
        <v/>
      </c>
      <c r="O3178" s="15" t="n"/>
      <c r="P3178" s="26">
        <f>IF($A3178="","",COUNTIFS('Audit Versions'!$A$6:$A$605,$A3178,'Audit Versions'!$L$6:$L$605,"Active"))</f>
        <v/>
      </c>
      <c r="Q3178" s="15" t="n"/>
      <c r="R3178" s="26">
        <f>IF(OR($A3178="",$P3178=0),"",MOD(N($Q3178),$P3178)+1)</f>
        <v/>
      </c>
      <c r="S3178" s="15" t="n"/>
      <c r="T3178" s="25" t="n"/>
      <c r="U3178" s="26">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Builder'!$B$12="",N($S3178)&lt;='Assignment Builder'!$B$12)))</f>
        <v/>
      </c>
      <c r="V3178" s="23" t="n"/>
    </row>
    <row r="3179">
      <c r="A3179" s="23" t="n"/>
      <c r="B3179" s="23" t="n"/>
      <c r="C3179" s="24" t="n"/>
      <c r="D3179" s="15" t="n"/>
      <c r="E3179" s="23" t="n"/>
      <c r="F3179" s="15" t="n"/>
      <c r="G3179" s="23" t="n"/>
      <c r="H3179" s="25" t="n"/>
      <c r="I3179" s="15" t="n"/>
      <c r="J3179" s="26">
        <f>IF($A3179="","",LEN($C3179)-LEN(SUBSTITUTE($C3179,",",""))+1)</f>
        <v/>
      </c>
      <c r="K3179" s="26">
        <f>IF($A3179="","",SUMPRODUCT(--ISNUMBER(SEARCH('Category Dictionary'!$D$5:$D$135&amp;"",$C3179)),--('Category Dictionary'!$D$5:$D$135&lt;&gt;"")))</f>
        <v/>
      </c>
      <c r="L3179" s="27">
        <f>IF($A3179="","",TRIM(IF(ISERROR(FIND(",",$C3179)),$C3179,LEFT($C3179,FIND(",",$C3179)-1))))</f>
        <v/>
      </c>
      <c r="M3179" s="28">
        <f>IF($H3179="","",DATE(YEAR($H3179),MONTH($H3179),1))</f>
        <v/>
      </c>
      <c r="N3179" s="26">
        <f>IF($H3179="","",TODAY()-$H3179)</f>
        <v/>
      </c>
      <c r="O3179" s="15" t="n"/>
      <c r="P3179" s="26">
        <f>IF($A3179="","",COUNTIFS('Audit Versions'!$A$6:$A$605,$A3179,'Audit Versions'!$L$6:$L$605,"Active"))</f>
        <v/>
      </c>
      <c r="Q3179" s="15" t="n"/>
      <c r="R3179" s="26">
        <f>IF(OR($A3179="",$P3179=0),"",MOD(N($Q3179),$P3179)+1)</f>
        <v/>
      </c>
      <c r="S3179" s="15" t="n"/>
      <c r="T3179" s="25" t="n"/>
      <c r="U3179" s="26">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Builder'!$B$12="",N($S3179)&lt;='Assignment Builder'!$B$12)))</f>
        <v/>
      </c>
      <c r="V3179" s="23" t="n"/>
    </row>
    <row r="3180">
      <c r="A3180" s="23" t="n"/>
      <c r="B3180" s="23" t="n"/>
      <c r="C3180" s="24" t="n"/>
      <c r="D3180" s="15" t="n"/>
      <c r="E3180" s="23" t="n"/>
      <c r="F3180" s="15" t="n"/>
      <c r="G3180" s="23" t="n"/>
      <c r="H3180" s="25" t="n"/>
      <c r="I3180" s="15" t="n"/>
      <c r="J3180" s="26">
        <f>IF($A3180="","",LEN($C3180)-LEN(SUBSTITUTE($C3180,",",""))+1)</f>
        <v/>
      </c>
      <c r="K3180" s="26">
        <f>IF($A3180="","",SUMPRODUCT(--ISNUMBER(SEARCH('Category Dictionary'!$D$5:$D$135&amp;"",$C3180)),--('Category Dictionary'!$D$5:$D$135&lt;&gt;"")))</f>
        <v/>
      </c>
      <c r="L3180" s="27">
        <f>IF($A3180="","",TRIM(IF(ISERROR(FIND(",",$C3180)),$C3180,LEFT($C3180,FIND(",",$C3180)-1))))</f>
        <v/>
      </c>
      <c r="M3180" s="28">
        <f>IF($H3180="","",DATE(YEAR($H3180),MONTH($H3180),1))</f>
        <v/>
      </c>
      <c r="N3180" s="26">
        <f>IF($H3180="","",TODAY()-$H3180)</f>
        <v/>
      </c>
      <c r="O3180" s="15" t="n"/>
      <c r="P3180" s="26">
        <f>IF($A3180="","",COUNTIFS('Audit Versions'!$A$6:$A$605,$A3180,'Audit Versions'!$L$6:$L$605,"Active"))</f>
        <v/>
      </c>
      <c r="Q3180" s="15" t="n"/>
      <c r="R3180" s="26">
        <f>IF(OR($A3180="",$P3180=0),"",MOD(N($Q3180),$P3180)+1)</f>
        <v/>
      </c>
      <c r="S3180" s="15" t="n"/>
      <c r="T3180" s="25" t="n"/>
      <c r="U3180" s="26">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Builder'!$B$12="",N($S3180)&lt;='Assignment Builder'!$B$12)))</f>
        <v/>
      </c>
      <c r="V3180" s="23" t="n"/>
    </row>
    <row r="3181">
      <c r="A3181" s="23" t="n"/>
      <c r="B3181" s="23" t="n"/>
      <c r="C3181" s="24" t="n"/>
      <c r="D3181" s="15" t="n"/>
      <c r="E3181" s="23" t="n"/>
      <c r="F3181" s="15" t="n"/>
      <c r="G3181" s="23" t="n"/>
      <c r="H3181" s="25" t="n"/>
      <c r="I3181" s="15" t="n"/>
      <c r="J3181" s="26">
        <f>IF($A3181="","",LEN($C3181)-LEN(SUBSTITUTE($C3181,",",""))+1)</f>
        <v/>
      </c>
      <c r="K3181" s="26">
        <f>IF($A3181="","",SUMPRODUCT(--ISNUMBER(SEARCH('Category Dictionary'!$D$5:$D$135&amp;"",$C3181)),--('Category Dictionary'!$D$5:$D$135&lt;&gt;"")))</f>
        <v/>
      </c>
      <c r="L3181" s="27">
        <f>IF($A3181="","",TRIM(IF(ISERROR(FIND(",",$C3181)),$C3181,LEFT($C3181,FIND(",",$C3181)-1))))</f>
        <v/>
      </c>
      <c r="M3181" s="28">
        <f>IF($H3181="","",DATE(YEAR($H3181),MONTH($H3181),1))</f>
        <v/>
      </c>
      <c r="N3181" s="26">
        <f>IF($H3181="","",TODAY()-$H3181)</f>
        <v/>
      </c>
      <c r="O3181" s="15" t="n"/>
      <c r="P3181" s="26">
        <f>IF($A3181="","",COUNTIFS('Audit Versions'!$A$6:$A$605,$A3181,'Audit Versions'!$L$6:$L$605,"Active"))</f>
        <v/>
      </c>
      <c r="Q3181" s="15" t="n"/>
      <c r="R3181" s="26">
        <f>IF(OR($A3181="",$P3181=0),"",MOD(N($Q3181),$P3181)+1)</f>
        <v/>
      </c>
      <c r="S3181" s="15" t="n"/>
      <c r="T3181" s="25" t="n"/>
      <c r="U3181" s="26">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Builder'!$B$12="",N($S3181)&lt;='Assignment Builder'!$B$12)))</f>
        <v/>
      </c>
      <c r="V3181" s="23" t="n"/>
    </row>
    <row r="3182">
      <c r="A3182" s="23" t="n"/>
      <c r="B3182" s="23" t="n"/>
      <c r="C3182" s="24" t="n"/>
      <c r="D3182" s="15" t="n"/>
      <c r="E3182" s="23" t="n"/>
      <c r="F3182" s="15" t="n"/>
      <c r="G3182" s="23" t="n"/>
      <c r="H3182" s="25" t="n"/>
      <c r="I3182" s="15" t="n"/>
      <c r="J3182" s="26">
        <f>IF($A3182="","",LEN($C3182)-LEN(SUBSTITUTE($C3182,",",""))+1)</f>
        <v/>
      </c>
      <c r="K3182" s="26">
        <f>IF($A3182="","",SUMPRODUCT(--ISNUMBER(SEARCH('Category Dictionary'!$D$5:$D$135&amp;"",$C3182)),--('Category Dictionary'!$D$5:$D$135&lt;&gt;"")))</f>
        <v/>
      </c>
      <c r="L3182" s="27">
        <f>IF($A3182="","",TRIM(IF(ISERROR(FIND(",",$C3182)),$C3182,LEFT($C3182,FIND(",",$C3182)-1))))</f>
        <v/>
      </c>
      <c r="M3182" s="28">
        <f>IF($H3182="","",DATE(YEAR($H3182),MONTH($H3182),1))</f>
        <v/>
      </c>
      <c r="N3182" s="26">
        <f>IF($H3182="","",TODAY()-$H3182)</f>
        <v/>
      </c>
      <c r="O3182" s="15" t="n"/>
      <c r="P3182" s="26">
        <f>IF($A3182="","",COUNTIFS('Audit Versions'!$A$6:$A$605,$A3182,'Audit Versions'!$L$6:$L$605,"Active"))</f>
        <v/>
      </c>
      <c r="Q3182" s="15" t="n"/>
      <c r="R3182" s="26">
        <f>IF(OR($A3182="",$P3182=0),"",MOD(N($Q3182),$P3182)+1)</f>
        <v/>
      </c>
      <c r="S3182" s="15" t="n"/>
      <c r="T3182" s="25" t="n"/>
      <c r="U3182" s="26">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Builder'!$B$12="",N($S3182)&lt;='Assignment Builder'!$B$12)))</f>
        <v/>
      </c>
      <c r="V3182" s="23" t="n"/>
    </row>
    <row r="3183">
      <c r="A3183" s="23" t="n"/>
      <c r="B3183" s="23" t="n"/>
      <c r="C3183" s="24" t="n"/>
      <c r="D3183" s="15" t="n"/>
      <c r="E3183" s="23" t="n"/>
      <c r="F3183" s="15" t="n"/>
      <c r="G3183" s="23" t="n"/>
      <c r="H3183" s="25" t="n"/>
      <c r="I3183" s="15" t="n"/>
      <c r="J3183" s="26">
        <f>IF($A3183="","",LEN($C3183)-LEN(SUBSTITUTE($C3183,",",""))+1)</f>
        <v/>
      </c>
      <c r="K3183" s="26">
        <f>IF($A3183="","",SUMPRODUCT(--ISNUMBER(SEARCH('Category Dictionary'!$D$5:$D$135&amp;"",$C3183)),--('Category Dictionary'!$D$5:$D$135&lt;&gt;"")))</f>
        <v/>
      </c>
      <c r="L3183" s="27">
        <f>IF($A3183="","",TRIM(IF(ISERROR(FIND(",",$C3183)),$C3183,LEFT($C3183,FIND(",",$C3183)-1))))</f>
        <v/>
      </c>
      <c r="M3183" s="28">
        <f>IF($H3183="","",DATE(YEAR($H3183),MONTH($H3183),1))</f>
        <v/>
      </c>
      <c r="N3183" s="26">
        <f>IF($H3183="","",TODAY()-$H3183)</f>
        <v/>
      </c>
      <c r="O3183" s="15" t="n"/>
      <c r="P3183" s="26">
        <f>IF($A3183="","",COUNTIFS('Audit Versions'!$A$6:$A$605,$A3183,'Audit Versions'!$L$6:$L$605,"Active"))</f>
        <v/>
      </c>
      <c r="Q3183" s="15" t="n"/>
      <c r="R3183" s="26">
        <f>IF(OR($A3183="",$P3183=0),"",MOD(N($Q3183),$P3183)+1)</f>
        <v/>
      </c>
      <c r="S3183" s="15" t="n"/>
      <c r="T3183" s="25" t="n"/>
      <c r="U3183" s="26">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Builder'!$B$12="",N($S3183)&lt;='Assignment Builder'!$B$12)))</f>
        <v/>
      </c>
      <c r="V3183" s="23" t="n"/>
    </row>
    <row r="3184">
      <c r="A3184" s="23" t="n"/>
      <c r="B3184" s="23" t="n"/>
      <c r="C3184" s="24" t="n"/>
      <c r="D3184" s="15" t="n"/>
      <c r="E3184" s="23" t="n"/>
      <c r="F3184" s="15" t="n"/>
      <c r="G3184" s="23" t="n"/>
      <c r="H3184" s="25" t="n"/>
      <c r="I3184" s="15" t="n"/>
      <c r="J3184" s="26">
        <f>IF($A3184="","",LEN($C3184)-LEN(SUBSTITUTE($C3184,",",""))+1)</f>
        <v/>
      </c>
      <c r="K3184" s="26">
        <f>IF($A3184="","",SUMPRODUCT(--ISNUMBER(SEARCH('Category Dictionary'!$D$5:$D$135&amp;"",$C3184)),--('Category Dictionary'!$D$5:$D$135&lt;&gt;"")))</f>
        <v/>
      </c>
      <c r="L3184" s="27">
        <f>IF($A3184="","",TRIM(IF(ISERROR(FIND(",",$C3184)),$C3184,LEFT($C3184,FIND(",",$C3184)-1))))</f>
        <v/>
      </c>
      <c r="M3184" s="28">
        <f>IF($H3184="","",DATE(YEAR($H3184),MONTH($H3184),1))</f>
        <v/>
      </c>
      <c r="N3184" s="26">
        <f>IF($H3184="","",TODAY()-$H3184)</f>
        <v/>
      </c>
      <c r="O3184" s="15" t="n"/>
      <c r="P3184" s="26">
        <f>IF($A3184="","",COUNTIFS('Audit Versions'!$A$6:$A$605,$A3184,'Audit Versions'!$L$6:$L$605,"Active"))</f>
        <v/>
      </c>
      <c r="Q3184" s="15" t="n"/>
      <c r="R3184" s="26">
        <f>IF(OR($A3184="",$P3184=0),"",MOD(N($Q3184),$P3184)+1)</f>
        <v/>
      </c>
      <c r="S3184" s="15" t="n"/>
      <c r="T3184" s="25" t="n"/>
      <c r="U3184" s="26">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Builder'!$B$12="",N($S3184)&lt;='Assignment Builder'!$B$12)))</f>
        <v/>
      </c>
      <c r="V3184" s="23" t="n"/>
    </row>
    <row r="3185">
      <c r="A3185" s="23" t="n"/>
      <c r="B3185" s="23" t="n"/>
      <c r="C3185" s="24" t="n"/>
      <c r="D3185" s="15" t="n"/>
      <c r="E3185" s="23" t="n"/>
      <c r="F3185" s="15" t="n"/>
      <c r="G3185" s="23" t="n"/>
      <c r="H3185" s="25" t="n"/>
      <c r="I3185" s="15" t="n"/>
      <c r="J3185" s="26">
        <f>IF($A3185="","",LEN($C3185)-LEN(SUBSTITUTE($C3185,",",""))+1)</f>
        <v/>
      </c>
      <c r="K3185" s="26">
        <f>IF($A3185="","",SUMPRODUCT(--ISNUMBER(SEARCH('Category Dictionary'!$D$5:$D$135&amp;"",$C3185)),--('Category Dictionary'!$D$5:$D$135&lt;&gt;"")))</f>
        <v/>
      </c>
      <c r="L3185" s="27">
        <f>IF($A3185="","",TRIM(IF(ISERROR(FIND(",",$C3185)),$C3185,LEFT($C3185,FIND(",",$C3185)-1))))</f>
        <v/>
      </c>
      <c r="M3185" s="28">
        <f>IF($H3185="","",DATE(YEAR($H3185),MONTH($H3185),1))</f>
        <v/>
      </c>
      <c r="N3185" s="26">
        <f>IF($H3185="","",TODAY()-$H3185)</f>
        <v/>
      </c>
      <c r="O3185" s="15" t="n"/>
      <c r="P3185" s="26">
        <f>IF($A3185="","",COUNTIFS('Audit Versions'!$A$6:$A$605,$A3185,'Audit Versions'!$L$6:$L$605,"Active"))</f>
        <v/>
      </c>
      <c r="Q3185" s="15" t="n"/>
      <c r="R3185" s="26">
        <f>IF(OR($A3185="",$P3185=0),"",MOD(N($Q3185),$P3185)+1)</f>
        <v/>
      </c>
      <c r="S3185" s="15" t="n"/>
      <c r="T3185" s="25" t="n"/>
      <c r="U3185" s="26">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Builder'!$B$12="",N($S3185)&lt;='Assignment Builder'!$B$12)))</f>
        <v/>
      </c>
      <c r="V3185" s="23" t="n"/>
    </row>
    <row r="3186">
      <c r="A3186" s="23" t="n"/>
      <c r="B3186" s="23" t="n"/>
      <c r="C3186" s="24" t="n"/>
      <c r="D3186" s="15" t="n"/>
      <c r="E3186" s="23" t="n"/>
      <c r="F3186" s="15" t="n"/>
      <c r="G3186" s="23" t="n"/>
      <c r="H3186" s="25" t="n"/>
      <c r="I3186" s="15" t="n"/>
      <c r="J3186" s="26">
        <f>IF($A3186="","",LEN($C3186)-LEN(SUBSTITUTE($C3186,",",""))+1)</f>
        <v/>
      </c>
      <c r="K3186" s="26">
        <f>IF($A3186="","",SUMPRODUCT(--ISNUMBER(SEARCH('Category Dictionary'!$D$5:$D$135&amp;"",$C3186)),--('Category Dictionary'!$D$5:$D$135&lt;&gt;"")))</f>
        <v/>
      </c>
      <c r="L3186" s="27">
        <f>IF($A3186="","",TRIM(IF(ISERROR(FIND(",",$C3186)),$C3186,LEFT($C3186,FIND(",",$C3186)-1))))</f>
        <v/>
      </c>
      <c r="M3186" s="28">
        <f>IF($H3186="","",DATE(YEAR($H3186),MONTH($H3186),1))</f>
        <v/>
      </c>
      <c r="N3186" s="26">
        <f>IF($H3186="","",TODAY()-$H3186)</f>
        <v/>
      </c>
      <c r="O3186" s="15" t="n"/>
      <c r="P3186" s="26">
        <f>IF($A3186="","",COUNTIFS('Audit Versions'!$A$6:$A$605,$A3186,'Audit Versions'!$L$6:$L$605,"Active"))</f>
        <v/>
      </c>
      <c r="Q3186" s="15" t="n"/>
      <c r="R3186" s="26">
        <f>IF(OR($A3186="",$P3186=0),"",MOD(N($Q3186),$P3186)+1)</f>
        <v/>
      </c>
      <c r="S3186" s="15" t="n"/>
      <c r="T3186" s="25" t="n"/>
      <c r="U3186" s="26">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Builder'!$B$12="",N($S3186)&lt;='Assignment Builder'!$B$12)))</f>
        <v/>
      </c>
      <c r="V3186" s="23" t="n"/>
    </row>
    <row r="3187">
      <c r="A3187" s="23" t="n"/>
      <c r="B3187" s="23" t="n"/>
      <c r="C3187" s="24" t="n"/>
      <c r="D3187" s="15" t="n"/>
      <c r="E3187" s="23" t="n"/>
      <c r="F3187" s="15" t="n"/>
      <c r="G3187" s="23" t="n"/>
      <c r="H3187" s="25" t="n"/>
      <c r="I3187" s="15" t="n"/>
      <c r="J3187" s="26">
        <f>IF($A3187="","",LEN($C3187)-LEN(SUBSTITUTE($C3187,",",""))+1)</f>
        <v/>
      </c>
      <c r="K3187" s="26">
        <f>IF($A3187="","",SUMPRODUCT(--ISNUMBER(SEARCH('Category Dictionary'!$D$5:$D$135&amp;"",$C3187)),--('Category Dictionary'!$D$5:$D$135&lt;&gt;"")))</f>
        <v/>
      </c>
      <c r="L3187" s="27">
        <f>IF($A3187="","",TRIM(IF(ISERROR(FIND(",",$C3187)),$C3187,LEFT($C3187,FIND(",",$C3187)-1))))</f>
        <v/>
      </c>
      <c r="M3187" s="28">
        <f>IF($H3187="","",DATE(YEAR($H3187),MONTH($H3187),1))</f>
        <v/>
      </c>
      <c r="N3187" s="26">
        <f>IF($H3187="","",TODAY()-$H3187)</f>
        <v/>
      </c>
      <c r="O3187" s="15" t="n"/>
      <c r="P3187" s="26">
        <f>IF($A3187="","",COUNTIFS('Audit Versions'!$A$6:$A$605,$A3187,'Audit Versions'!$L$6:$L$605,"Active"))</f>
        <v/>
      </c>
      <c r="Q3187" s="15" t="n"/>
      <c r="R3187" s="26">
        <f>IF(OR($A3187="",$P3187=0),"",MOD(N($Q3187),$P3187)+1)</f>
        <v/>
      </c>
      <c r="S3187" s="15" t="n"/>
      <c r="T3187" s="25" t="n"/>
      <c r="U3187" s="26">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Builder'!$B$12="",N($S3187)&lt;='Assignment Builder'!$B$12)))</f>
        <v/>
      </c>
      <c r="V3187" s="23" t="n"/>
    </row>
    <row r="3188">
      <c r="A3188" s="23" t="n"/>
      <c r="B3188" s="23" t="n"/>
      <c r="C3188" s="24" t="n"/>
      <c r="D3188" s="15" t="n"/>
      <c r="E3188" s="23" t="n"/>
      <c r="F3188" s="15" t="n"/>
      <c r="G3188" s="23" t="n"/>
      <c r="H3188" s="25" t="n"/>
      <c r="I3188" s="15" t="n"/>
      <c r="J3188" s="26">
        <f>IF($A3188="","",LEN($C3188)-LEN(SUBSTITUTE($C3188,",",""))+1)</f>
        <v/>
      </c>
      <c r="K3188" s="26">
        <f>IF($A3188="","",SUMPRODUCT(--ISNUMBER(SEARCH('Category Dictionary'!$D$5:$D$135&amp;"",$C3188)),--('Category Dictionary'!$D$5:$D$135&lt;&gt;"")))</f>
        <v/>
      </c>
      <c r="L3188" s="27">
        <f>IF($A3188="","",TRIM(IF(ISERROR(FIND(",",$C3188)),$C3188,LEFT($C3188,FIND(",",$C3188)-1))))</f>
        <v/>
      </c>
      <c r="M3188" s="28">
        <f>IF($H3188="","",DATE(YEAR($H3188),MONTH($H3188),1))</f>
        <v/>
      </c>
      <c r="N3188" s="26">
        <f>IF($H3188="","",TODAY()-$H3188)</f>
        <v/>
      </c>
      <c r="O3188" s="15" t="n"/>
      <c r="P3188" s="26">
        <f>IF($A3188="","",COUNTIFS('Audit Versions'!$A$6:$A$605,$A3188,'Audit Versions'!$L$6:$L$605,"Active"))</f>
        <v/>
      </c>
      <c r="Q3188" s="15" t="n"/>
      <c r="R3188" s="26">
        <f>IF(OR($A3188="",$P3188=0),"",MOD(N($Q3188),$P3188)+1)</f>
        <v/>
      </c>
      <c r="S3188" s="15" t="n"/>
      <c r="T3188" s="25" t="n"/>
      <c r="U3188" s="26">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Builder'!$B$12="",N($S3188)&lt;='Assignment Builder'!$B$12)))</f>
        <v/>
      </c>
      <c r="V3188" s="23" t="n"/>
    </row>
    <row r="3189">
      <c r="A3189" s="23" t="n"/>
      <c r="B3189" s="23" t="n"/>
      <c r="C3189" s="24" t="n"/>
      <c r="D3189" s="15" t="n"/>
      <c r="E3189" s="23" t="n"/>
      <c r="F3189" s="15" t="n"/>
      <c r="G3189" s="23" t="n"/>
      <c r="H3189" s="25" t="n"/>
      <c r="I3189" s="15" t="n"/>
      <c r="J3189" s="26">
        <f>IF($A3189="","",LEN($C3189)-LEN(SUBSTITUTE($C3189,",",""))+1)</f>
        <v/>
      </c>
      <c r="K3189" s="26">
        <f>IF($A3189="","",SUMPRODUCT(--ISNUMBER(SEARCH('Category Dictionary'!$D$5:$D$135&amp;"",$C3189)),--('Category Dictionary'!$D$5:$D$135&lt;&gt;"")))</f>
        <v/>
      </c>
      <c r="L3189" s="27">
        <f>IF($A3189="","",TRIM(IF(ISERROR(FIND(",",$C3189)),$C3189,LEFT($C3189,FIND(",",$C3189)-1))))</f>
        <v/>
      </c>
      <c r="M3189" s="28">
        <f>IF($H3189="","",DATE(YEAR($H3189),MONTH($H3189),1))</f>
        <v/>
      </c>
      <c r="N3189" s="26">
        <f>IF($H3189="","",TODAY()-$H3189)</f>
        <v/>
      </c>
      <c r="O3189" s="15" t="n"/>
      <c r="P3189" s="26">
        <f>IF($A3189="","",COUNTIFS('Audit Versions'!$A$6:$A$605,$A3189,'Audit Versions'!$L$6:$L$605,"Active"))</f>
        <v/>
      </c>
      <c r="Q3189" s="15" t="n"/>
      <c r="R3189" s="26">
        <f>IF(OR($A3189="",$P3189=0),"",MOD(N($Q3189),$P3189)+1)</f>
        <v/>
      </c>
      <c r="S3189" s="15" t="n"/>
      <c r="T3189" s="25" t="n"/>
      <c r="U3189" s="26">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Builder'!$B$12="",N($S3189)&lt;='Assignment Builder'!$B$12)))</f>
        <v/>
      </c>
      <c r="V3189" s="23" t="n"/>
    </row>
    <row r="3190">
      <c r="A3190" s="23" t="n"/>
      <c r="B3190" s="23" t="n"/>
      <c r="C3190" s="24" t="n"/>
      <c r="D3190" s="15" t="n"/>
      <c r="E3190" s="23" t="n"/>
      <c r="F3190" s="15" t="n"/>
      <c r="G3190" s="23" t="n"/>
      <c r="H3190" s="25" t="n"/>
      <c r="I3190" s="15" t="n"/>
      <c r="J3190" s="26">
        <f>IF($A3190="","",LEN($C3190)-LEN(SUBSTITUTE($C3190,",",""))+1)</f>
        <v/>
      </c>
      <c r="K3190" s="26">
        <f>IF($A3190="","",SUMPRODUCT(--ISNUMBER(SEARCH('Category Dictionary'!$D$5:$D$135&amp;"",$C3190)),--('Category Dictionary'!$D$5:$D$135&lt;&gt;"")))</f>
        <v/>
      </c>
      <c r="L3190" s="27">
        <f>IF($A3190="","",TRIM(IF(ISERROR(FIND(",",$C3190)),$C3190,LEFT($C3190,FIND(",",$C3190)-1))))</f>
        <v/>
      </c>
      <c r="M3190" s="28">
        <f>IF($H3190="","",DATE(YEAR($H3190),MONTH($H3190),1))</f>
        <v/>
      </c>
      <c r="N3190" s="26">
        <f>IF($H3190="","",TODAY()-$H3190)</f>
        <v/>
      </c>
      <c r="O3190" s="15" t="n"/>
      <c r="P3190" s="26">
        <f>IF($A3190="","",COUNTIFS('Audit Versions'!$A$6:$A$605,$A3190,'Audit Versions'!$L$6:$L$605,"Active"))</f>
        <v/>
      </c>
      <c r="Q3190" s="15" t="n"/>
      <c r="R3190" s="26">
        <f>IF(OR($A3190="",$P3190=0),"",MOD(N($Q3190),$P3190)+1)</f>
        <v/>
      </c>
      <c r="S3190" s="15" t="n"/>
      <c r="T3190" s="25" t="n"/>
      <c r="U3190" s="26">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Builder'!$B$12="",N($S3190)&lt;='Assignment Builder'!$B$12)))</f>
        <v/>
      </c>
      <c r="V3190" s="23" t="n"/>
    </row>
    <row r="3191">
      <c r="A3191" s="23" t="n"/>
      <c r="B3191" s="23" t="n"/>
      <c r="C3191" s="24" t="n"/>
      <c r="D3191" s="15" t="n"/>
      <c r="E3191" s="23" t="n"/>
      <c r="F3191" s="15" t="n"/>
      <c r="G3191" s="23" t="n"/>
      <c r="H3191" s="25" t="n"/>
      <c r="I3191" s="15" t="n"/>
      <c r="J3191" s="26">
        <f>IF($A3191="","",LEN($C3191)-LEN(SUBSTITUTE($C3191,",",""))+1)</f>
        <v/>
      </c>
      <c r="K3191" s="26">
        <f>IF($A3191="","",SUMPRODUCT(--ISNUMBER(SEARCH('Category Dictionary'!$D$5:$D$135&amp;"",$C3191)),--('Category Dictionary'!$D$5:$D$135&lt;&gt;"")))</f>
        <v/>
      </c>
      <c r="L3191" s="27">
        <f>IF($A3191="","",TRIM(IF(ISERROR(FIND(",",$C3191)),$C3191,LEFT($C3191,FIND(",",$C3191)-1))))</f>
        <v/>
      </c>
      <c r="M3191" s="28">
        <f>IF($H3191="","",DATE(YEAR($H3191),MONTH($H3191),1))</f>
        <v/>
      </c>
      <c r="N3191" s="26">
        <f>IF($H3191="","",TODAY()-$H3191)</f>
        <v/>
      </c>
      <c r="O3191" s="15" t="n"/>
      <c r="P3191" s="26">
        <f>IF($A3191="","",COUNTIFS('Audit Versions'!$A$6:$A$605,$A3191,'Audit Versions'!$L$6:$L$605,"Active"))</f>
        <v/>
      </c>
      <c r="Q3191" s="15" t="n"/>
      <c r="R3191" s="26">
        <f>IF(OR($A3191="",$P3191=0),"",MOD(N($Q3191),$P3191)+1)</f>
        <v/>
      </c>
      <c r="S3191" s="15" t="n"/>
      <c r="T3191" s="25" t="n"/>
      <c r="U3191" s="26">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Builder'!$B$12="",N($S3191)&lt;='Assignment Builder'!$B$12)))</f>
        <v/>
      </c>
      <c r="V3191" s="23" t="n"/>
    </row>
    <row r="3192">
      <c r="A3192" s="23" t="n"/>
      <c r="B3192" s="23" t="n"/>
      <c r="C3192" s="24" t="n"/>
      <c r="D3192" s="15" t="n"/>
      <c r="E3192" s="23" t="n"/>
      <c r="F3192" s="15" t="n"/>
      <c r="G3192" s="23" t="n"/>
      <c r="H3192" s="25" t="n"/>
      <c r="I3192" s="15" t="n"/>
      <c r="J3192" s="26">
        <f>IF($A3192="","",LEN($C3192)-LEN(SUBSTITUTE($C3192,",",""))+1)</f>
        <v/>
      </c>
      <c r="K3192" s="26">
        <f>IF($A3192="","",SUMPRODUCT(--ISNUMBER(SEARCH('Category Dictionary'!$D$5:$D$135&amp;"",$C3192)),--('Category Dictionary'!$D$5:$D$135&lt;&gt;"")))</f>
        <v/>
      </c>
      <c r="L3192" s="27">
        <f>IF($A3192="","",TRIM(IF(ISERROR(FIND(",",$C3192)),$C3192,LEFT($C3192,FIND(",",$C3192)-1))))</f>
        <v/>
      </c>
      <c r="M3192" s="28">
        <f>IF($H3192="","",DATE(YEAR($H3192),MONTH($H3192),1))</f>
        <v/>
      </c>
      <c r="N3192" s="26">
        <f>IF($H3192="","",TODAY()-$H3192)</f>
        <v/>
      </c>
      <c r="O3192" s="15" t="n"/>
      <c r="P3192" s="26">
        <f>IF($A3192="","",COUNTIFS('Audit Versions'!$A$6:$A$605,$A3192,'Audit Versions'!$L$6:$L$605,"Active"))</f>
        <v/>
      </c>
      <c r="Q3192" s="15" t="n"/>
      <c r="R3192" s="26">
        <f>IF(OR($A3192="",$P3192=0),"",MOD(N($Q3192),$P3192)+1)</f>
        <v/>
      </c>
      <c r="S3192" s="15" t="n"/>
      <c r="T3192" s="25" t="n"/>
      <c r="U3192" s="26">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Builder'!$B$12="",N($S3192)&lt;='Assignment Builder'!$B$12)))</f>
        <v/>
      </c>
      <c r="V3192" s="23" t="n"/>
    </row>
    <row r="3193">
      <c r="A3193" s="23" t="n"/>
      <c r="B3193" s="23" t="n"/>
      <c r="C3193" s="24" t="n"/>
      <c r="D3193" s="15" t="n"/>
      <c r="E3193" s="23" t="n"/>
      <c r="F3193" s="15" t="n"/>
      <c r="G3193" s="23" t="n"/>
      <c r="H3193" s="25" t="n"/>
      <c r="I3193" s="15" t="n"/>
      <c r="J3193" s="26">
        <f>IF($A3193="","",LEN($C3193)-LEN(SUBSTITUTE($C3193,",",""))+1)</f>
        <v/>
      </c>
      <c r="K3193" s="26">
        <f>IF($A3193="","",SUMPRODUCT(--ISNUMBER(SEARCH('Category Dictionary'!$D$5:$D$135&amp;"",$C3193)),--('Category Dictionary'!$D$5:$D$135&lt;&gt;"")))</f>
        <v/>
      </c>
      <c r="L3193" s="27">
        <f>IF($A3193="","",TRIM(IF(ISERROR(FIND(",",$C3193)),$C3193,LEFT($C3193,FIND(",",$C3193)-1))))</f>
        <v/>
      </c>
      <c r="M3193" s="28">
        <f>IF($H3193="","",DATE(YEAR($H3193),MONTH($H3193),1))</f>
        <v/>
      </c>
      <c r="N3193" s="26">
        <f>IF($H3193="","",TODAY()-$H3193)</f>
        <v/>
      </c>
      <c r="O3193" s="15" t="n"/>
      <c r="P3193" s="26">
        <f>IF($A3193="","",COUNTIFS('Audit Versions'!$A$6:$A$605,$A3193,'Audit Versions'!$L$6:$L$605,"Active"))</f>
        <v/>
      </c>
      <c r="Q3193" s="15" t="n"/>
      <c r="R3193" s="26">
        <f>IF(OR($A3193="",$P3193=0),"",MOD(N($Q3193),$P3193)+1)</f>
        <v/>
      </c>
      <c r="S3193" s="15" t="n"/>
      <c r="T3193" s="25" t="n"/>
      <c r="U3193" s="26">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Builder'!$B$12="",N($S3193)&lt;='Assignment Builder'!$B$12)))</f>
        <v/>
      </c>
      <c r="V3193" s="23" t="n"/>
    </row>
    <row r="3194">
      <c r="A3194" s="23" t="n"/>
      <c r="B3194" s="23" t="n"/>
      <c r="C3194" s="24" t="n"/>
      <c r="D3194" s="15" t="n"/>
      <c r="E3194" s="23" t="n"/>
      <c r="F3194" s="15" t="n"/>
      <c r="G3194" s="23" t="n"/>
      <c r="H3194" s="25" t="n"/>
      <c r="I3194" s="15" t="n"/>
      <c r="J3194" s="26">
        <f>IF($A3194="","",LEN($C3194)-LEN(SUBSTITUTE($C3194,",",""))+1)</f>
        <v/>
      </c>
      <c r="K3194" s="26">
        <f>IF($A3194="","",SUMPRODUCT(--ISNUMBER(SEARCH('Category Dictionary'!$D$5:$D$135&amp;"",$C3194)),--('Category Dictionary'!$D$5:$D$135&lt;&gt;"")))</f>
        <v/>
      </c>
      <c r="L3194" s="27">
        <f>IF($A3194="","",TRIM(IF(ISERROR(FIND(",",$C3194)),$C3194,LEFT($C3194,FIND(",",$C3194)-1))))</f>
        <v/>
      </c>
      <c r="M3194" s="28">
        <f>IF($H3194="","",DATE(YEAR($H3194),MONTH($H3194),1))</f>
        <v/>
      </c>
      <c r="N3194" s="26">
        <f>IF($H3194="","",TODAY()-$H3194)</f>
        <v/>
      </c>
      <c r="O3194" s="15" t="n"/>
      <c r="P3194" s="26">
        <f>IF($A3194="","",COUNTIFS('Audit Versions'!$A$6:$A$605,$A3194,'Audit Versions'!$L$6:$L$605,"Active"))</f>
        <v/>
      </c>
      <c r="Q3194" s="15" t="n"/>
      <c r="R3194" s="26">
        <f>IF(OR($A3194="",$P3194=0),"",MOD(N($Q3194),$P3194)+1)</f>
        <v/>
      </c>
      <c r="S3194" s="15" t="n"/>
      <c r="T3194" s="25" t="n"/>
      <c r="U3194" s="26">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Builder'!$B$12="",N($S3194)&lt;='Assignment Builder'!$B$12)))</f>
        <v/>
      </c>
      <c r="V3194" s="23" t="n"/>
    </row>
    <row r="3195">
      <c r="A3195" s="23" t="n"/>
      <c r="B3195" s="23" t="n"/>
      <c r="C3195" s="24" t="n"/>
      <c r="D3195" s="15" t="n"/>
      <c r="E3195" s="23" t="n"/>
      <c r="F3195" s="15" t="n"/>
      <c r="G3195" s="23" t="n"/>
      <c r="H3195" s="25" t="n"/>
      <c r="I3195" s="15" t="n"/>
      <c r="J3195" s="26">
        <f>IF($A3195="","",LEN($C3195)-LEN(SUBSTITUTE($C3195,",",""))+1)</f>
        <v/>
      </c>
      <c r="K3195" s="26">
        <f>IF($A3195="","",SUMPRODUCT(--ISNUMBER(SEARCH('Category Dictionary'!$D$5:$D$135&amp;"",$C3195)),--('Category Dictionary'!$D$5:$D$135&lt;&gt;"")))</f>
        <v/>
      </c>
      <c r="L3195" s="27">
        <f>IF($A3195="","",TRIM(IF(ISERROR(FIND(",",$C3195)),$C3195,LEFT($C3195,FIND(",",$C3195)-1))))</f>
        <v/>
      </c>
      <c r="M3195" s="28">
        <f>IF($H3195="","",DATE(YEAR($H3195),MONTH($H3195),1))</f>
        <v/>
      </c>
      <c r="N3195" s="26">
        <f>IF($H3195="","",TODAY()-$H3195)</f>
        <v/>
      </c>
      <c r="O3195" s="15" t="n"/>
      <c r="P3195" s="26">
        <f>IF($A3195="","",COUNTIFS('Audit Versions'!$A$6:$A$605,$A3195,'Audit Versions'!$L$6:$L$605,"Active"))</f>
        <v/>
      </c>
      <c r="Q3195" s="15" t="n"/>
      <c r="R3195" s="26">
        <f>IF(OR($A3195="",$P3195=0),"",MOD(N($Q3195),$P3195)+1)</f>
        <v/>
      </c>
      <c r="S3195" s="15" t="n"/>
      <c r="T3195" s="25" t="n"/>
      <c r="U3195" s="26">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Builder'!$B$12="",N($S3195)&lt;='Assignment Builder'!$B$12)))</f>
        <v/>
      </c>
      <c r="V3195" s="23" t="n"/>
    </row>
    <row r="3196">
      <c r="A3196" s="23" t="n"/>
      <c r="B3196" s="23" t="n"/>
      <c r="C3196" s="24" t="n"/>
      <c r="D3196" s="15" t="n"/>
      <c r="E3196" s="23" t="n"/>
      <c r="F3196" s="15" t="n"/>
      <c r="G3196" s="23" t="n"/>
      <c r="H3196" s="25" t="n"/>
      <c r="I3196" s="15" t="n"/>
      <c r="J3196" s="26">
        <f>IF($A3196="","",LEN($C3196)-LEN(SUBSTITUTE($C3196,",",""))+1)</f>
        <v/>
      </c>
      <c r="K3196" s="26">
        <f>IF($A3196="","",SUMPRODUCT(--ISNUMBER(SEARCH('Category Dictionary'!$D$5:$D$135&amp;"",$C3196)),--('Category Dictionary'!$D$5:$D$135&lt;&gt;"")))</f>
        <v/>
      </c>
      <c r="L3196" s="27">
        <f>IF($A3196="","",TRIM(IF(ISERROR(FIND(",",$C3196)),$C3196,LEFT($C3196,FIND(",",$C3196)-1))))</f>
        <v/>
      </c>
      <c r="M3196" s="28">
        <f>IF($H3196="","",DATE(YEAR($H3196),MONTH($H3196),1))</f>
        <v/>
      </c>
      <c r="N3196" s="26">
        <f>IF($H3196="","",TODAY()-$H3196)</f>
        <v/>
      </c>
      <c r="O3196" s="15" t="n"/>
      <c r="P3196" s="26">
        <f>IF($A3196="","",COUNTIFS('Audit Versions'!$A$6:$A$605,$A3196,'Audit Versions'!$L$6:$L$605,"Active"))</f>
        <v/>
      </c>
      <c r="Q3196" s="15" t="n"/>
      <c r="R3196" s="26">
        <f>IF(OR($A3196="",$P3196=0),"",MOD(N($Q3196),$P3196)+1)</f>
        <v/>
      </c>
      <c r="S3196" s="15" t="n"/>
      <c r="T3196" s="25" t="n"/>
      <c r="U3196" s="26">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Builder'!$B$12="",N($S3196)&lt;='Assignment Builder'!$B$12)))</f>
        <v/>
      </c>
      <c r="V3196" s="23" t="n"/>
    </row>
    <row r="3197">
      <c r="A3197" s="23" t="n"/>
      <c r="B3197" s="23" t="n"/>
      <c r="C3197" s="24" t="n"/>
      <c r="D3197" s="15" t="n"/>
      <c r="E3197" s="23" t="n"/>
      <c r="F3197" s="15" t="n"/>
      <c r="G3197" s="23" t="n"/>
      <c r="H3197" s="25" t="n"/>
      <c r="I3197" s="15" t="n"/>
      <c r="J3197" s="26">
        <f>IF($A3197="","",LEN($C3197)-LEN(SUBSTITUTE($C3197,",",""))+1)</f>
        <v/>
      </c>
      <c r="K3197" s="26">
        <f>IF($A3197="","",SUMPRODUCT(--ISNUMBER(SEARCH('Category Dictionary'!$D$5:$D$135&amp;"",$C3197)),--('Category Dictionary'!$D$5:$D$135&lt;&gt;"")))</f>
        <v/>
      </c>
      <c r="L3197" s="27">
        <f>IF($A3197="","",TRIM(IF(ISERROR(FIND(",",$C3197)),$C3197,LEFT($C3197,FIND(",",$C3197)-1))))</f>
        <v/>
      </c>
      <c r="M3197" s="28">
        <f>IF($H3197="","",DATE(YEAR($H3197),MONTH($H3197),1))</f>
        <v/>
      </c>
      <c r="N3197" s="26">
        <f>IF($H3197="","",TODAY()-$H3197)</f>
        <v/>
      </c>
      <c r="O3197" s="15" t="n"/>
      <c r="P3197" s="26">
        <f>IF($A3197="","",COUNTIFS('Audit Versions'!$A$6:$A$605,$A3197,'Audit Versions'!$L$6:$L$605,"Active"))</f>
        <v/>
      </c>
      <c r="Q3197" s="15" t="n"/>
      <c r="R3197" s="26">
        <f>IF(OR($A3197="",$P3197=0),"",MOD(N($Q3197),$P3197)+1)</f>
        <v/>
      </c>
      <c r="S3197" s="15" t="n"/>
      <c r="T3197" s="25" t="n"/>
      <c r="U3197" s="26">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Builder'!$B$12="",N($S3197)&lt;='Assignment Builder'!$B$12)))</f>
        <v/>
      </c>
      <c r="V3197" s="23" t="n"/>
    </row>
    <row r="3198">
      <c r="A3198" s="23" t="n"/>
      <c r="B3198" s="23" t="n"/>
      <c r="C3198" s="24" t="n"/>
      <c r="D3198" s="15" t="n"/>
      <c r="E3198" s="23" t="n"/>
      <c r="F3198" s="15" t="n"/>
      <c r="G3198" s="23" t="n"/>
      <c r="H3198" s="25" t="n"/>
      <c r="I3198" s="15" t="n"/>
      <c r="J3198" s="26">
        <f>IF($A3198="","",LEN($C3198)-LEN(SUBSTITUTE($C3198,",",""))+1)</f>
        <v/>
      </c>
      <c r="K3198" s="26">
        <f>IF($A3198="","",SUMPRODUCT(--ISNUMBER(SEARCH('Category Dictionary'!$D$5:$D$135&amp;"",$C3198)),--('Category Dictionary'!$D$5:$D$135&lt;&gt;"")))</f>
        <v/>
      </c>
      <c r="L3198" s="27">
        <f>IF($A3198="","",TRIM(IF(ISERROR(FIND(",",$C3198)),$C3198,LEFT($C3198,FIND(",",$C3198)-1))))</f>
        <v/>
      </c>
      <c r="M3198" s="28">
        <f>IF($H3198="","",DATE(YEAR($H3198),MONTH($H3198),1))</f>
        <v/>
      </c>
      <c r="N3198" s="26">
        <f>IF($H3198="","",TODAY()-$H3198)</f>
        <v/>
      </c>
      <c r="O3198" s="15" t="n"/>
      <c r="P3198" s="26">
        <f>IF($A3198="","",COUNTIFS('Audit Versions'!$A$6:$A$605,$A3198,'Audit Versions'!$L$6:$L$605,"Active"))</f>
        <v/>
      </c>
      <c r="Q3198" s="15" t="n"/>
      <c r="R3198" s="26">
        <f>IF(OR($A3198="",$P3198=0),"",MOD(N($Q3198),$P3198)+1)</f>
        <v/>
      </c>
      <c r="S3198" s="15" t="n"/>
      <c r="T3198" s="25" t="n"/>
      <c r="U3198" s="26">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Builder'!$B$12="",N($S3198)&lt;='Assignment Builder'!$B$12)))</f>
        <v/>
      </c>
      <c r="V3198" s="23" t="n"/>
    </row>
    <row r="3199">
      <c r="A3199" s="23" t="n"/>
      <c r="B3199" s="23" t="n"/>
      <c r="C3199" s="24" t="n"/>
      <c r="D3199" s="15" t="n"/>
      <c r="E3199" s="23" t="n"/>
      <c r="F3199" s="15" t="n"/>
      <c r="G3199" s="23" t="n"/>
      <c r="H3199" s="25" t="n"/>
      <c r="I3199" s="15" t="n"/>
      <c r="J3199" s="26">
        <f>IF($A3199="","",LEN($C3199)-LEN(SUBSTITUTE($C3199,",",""))+1)</f>
        <v/>
      </c>
      <c r="K3199" s="26">
        <f>IF($A3199="","",SUMPRODUCT(--ISNUMBER(SEARCH('Category Dictionary'!$D$5:$D$135&amp;"",$C3199)),--('Category Dictionary'!$D$5:$D$135&lt;&gt;"")))</f>
        <v/>
      </c>
      <c r="L3199" s="27">
        <f>IF($A3199="","",TRIM(IF(ISERROR(FIND(",",$C3199)),$C3199,LEFT($C3199,FIND(",",$C3199)-1))))</f>
        <v/>
      </c>
      <c r="M3199" s="28">
        <f>IF($H3199="","",DATE(YEAR($H3199),MONTH($H3199),1))</f>
        <v/>
      </c>
      <c r="N3199" s="26">
        <f>IF($H3199="","",TODAY()-$H3199)</f>
        <v/>
      </c>
      <c r="O3199" s="15" t="n"/>
      <c r="P3199" s="26">
        <f>IF($A3199="","",COUNTIFS('Audit Versions'!$A$6:$A$605,$A3199,'Audit Versions'!$L$6:$L$605,"Active"))</f>
        <v/>
      </c>
      <c r="Q3199" s="15" t="n"/>
      <c r="R3199" s="26">
        <f>IF(OR($A3199="",$P3199=0),"",MOD(N($Q3199),$P3199)+1)</f>
        <v/>
      </c>
      <c r="S3199" s="15" t="n"/>
      <c r="T3199" s="25" t="n"/>
      <c r="U3199" s="26">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Builder'!$B$12="",N($S3199)&lt;='Assignment Builder'!$B$12)))</f>
        <v/>
      </c>
      <c r="V3199" s="23" t="n"/>
    </row>
    <row r="3200">
      <c r="A3200" s="23" t="n"/>
      <c r="B3200" s="23" t="n"/>
      <c r="C3200" s="24" t="n"/>
      <c r="D3200" s="15" t="n"/>
      <c r="E3200" s="23" t="n"/>
      <c r="F3200" s="15" t="n"/>
      <c r="G3200" s="23" t="n"/>
      <c r="H3200" s="25" t="n"/>
      <c r="I3200" s="15" t="n"/>
      <c r="J3200" s="26">
        <f>IF($A3200="","",LEN($C3200)-LEN(SUBSTITUTE($C3200,",",""))+1)</f>
        <v/>
      </c>
      <c r="K3200" s="26">
        <f>IF($A3200="","",SUMPRODUCT(--ISNUMBER(SEARCH('Category Dictionary'!$D$5:$D$135&amp;"",$C3200)),--('Category Dictionary'!$D$5:$D$135&lt;&gt;"")))</f>
        <v/>
      </c>
      <c r="L3200" s="27">
        <f>IF($A3200="","",TRIM(IF(ISERROR(FIND(",",$C3200)),$C3200,LEFT($C3200,FIND(",",$C3200)-1))))</f>
        <v/>
      </c>
      <c r="M3200" s="28">
        <f>IF($H3200="","",DATE(YEAR($H3200),MONTH($H3200),1))</f>
        <v/>
      </c>
      <c r="N3200" s="26">
        <f>IF($H3200="","",TODAY()-$H3200)</f>
        <v/>
      </c>
      <c r="O3200" s="15" t="n"/>
      <c r="P3200" s="26">
        <f>IF($A3200="","",COUNTIFS('Audit Versions'!$A$6:$A$605,$A3200,'Audit Versions'!$L$6:$L$605,"Active"))</f>
        <v/>
      </c>
      <c r="Q3200" s="15" t="n"/>
      <c r="R3200" s="26">
        <f>IF(OR($A3200="",$P3200=0),"",MOD(N($Q3200),$P3200)+1)</f>
        <v/>
      </c>
      <c r="S3200" s="15" t="n"/>
      <c r="T3200" s="25" t="n"/>
      <c r="U3200" s="26">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Builder'!$B$12="",N($S3200)&lt;='Assignment Builder'!$B$12)))</f>
        <v/>
      </c>
      <c r="V3200" s="23" t="n"/>
    </row>
    <row r="3201">
      <c r="A3201" s="23" t="n"/>
      <c r="B3201" s="23" t="n"/>
      <c r="C3201" s="24" t="n"/>
      <c r="D3201" s="15" t="n"/>
      <c r="E3201" s="23" t="n"/>
      <c r="F3201" s="15" t="n"/>
      <c r="G3201" s="23" t="n"/>
      <c r="H3201" s="25" t="n"/>
      <c r="I3201" s="15" t="n"/>
      <c r="J3201" s="26">
        <f>IF($A3201="","",LEN($C3201)-LEN(SUBSTITUTE($C3201,",",""))+1)</f>
        <v/>
      </c>
      <c r="K3201" s="26">
        <f>IF($A3201="","",SUMPRODUCT(--ISNUMBER(SEARCH('Category Dictionary'!$D$5:$D$135&amp;"",$C3201)),--('Category Dictionary'!$D$5:$D$135&lt;&gt;"")))</f>
        <v/>
      </c>
      <c r="L3201" s="27">
        <f>IF($A3201="","",TRIM(IF(ISERROR(FIND(",",$C3201)),$C3201,LEFT($C3201,FIND(",",$C3201)-1))))</f>
        <v/>
      </c>
      <c r="M3201" s="28">
        <f>IF($H3201="","",DATE(YEAR($H3201),MONTH($H3201),1))</f>
        <v/>
      </c>
      <c r="N3201" s="26">
        <f>IF($H3201="","",TODAY()-$H3201)</f>
        <v/>
      </c>
      <c r="O3201" s="15" t="n"/>
      <c r="P3201" s="26">
        <f>IF($A3201="","",COUNTIFS('Audit Versions'!$A$6:$A$605,$A3201,'Audit Versions'!$L$6:$L$605,"Active"))</f>
        <v/>
      </c>
      <c r="Q3201" s="15" t="n"/>
      <c r="R3201" s="26">
        <f>IF(OR($A3201="",$P3201=0),"",MOD(N($Q3201),$P3201)+1)</f>
        <v/>
      </c>
      <c r="S3201" s="15" t="n"/>
      <c r="T3201" s="25" t="n"/>
      <c r="U3201" s="26">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Builder'!$B$12="",N($S3201)&lt;='Assignment Builder'!$B$12)))</f>
        <v/>
      </c>
      <c r="V3201" s="23" t="n"/>
    </row>
    <row r="3202">
      <c r="A3202" s="23" t="n"/>
      <c r="B3202" s="23" t="n"/>
      <c r="C3202" s="24" t="n"/>
      <c r="D3202" s="15" t="n"/>
      <c r="E3202" s="23" t="n"/>
      <c r="F3202" s="15" t="n"/>
      <c r="G3202" s="23" t="n"/>
      <c r="H3202" s="25" t="n"/>
      <c r="I3202" s="15" t="n"/>
      <c r="J3202" s="26">
        <f>IF($A3202="","",LEN($C3202)-LEN(SUBSTITUTE($C3202,",",""))+1)</f>
        <v/>
      </c>
      <c r="K3202" s="26">
        <f>IF($A3202="","",SUMPRODUCT(--ISNUMBER(SEARCH('Category Dictionary'!$D$5:$D$135&amp;"",$C3202)),--('Category Dictionary'!$D$5:$D$135&lt;&gt;"")))</f>
        <v/>
      </c>
      <c r="L3202" s="27">
        <f>IF($A3202="","",TRIM(IF(ISERROR(FIND(",",$C3202)),$C3202,LEFT($C3202,FIND(",",$C3202)-1))))</f>
        <v/>
      </c>
      <c r="M3202" s="28">
        <f>IF($H3202="","",DATE(YEAR($H3202),MONTH($H3202),1))</f>
        <v/>
      </c>
      <c r="N3202" s="26">
        <f>IF($H3202="","",TODAY()-$H3202)</f>
        <v/>
      </c>
      <c r="O3202" s="15" t="n"/>
      <c r="P3202" s="26">
        <f>IF($A3202="","",COUNTIFS('Audit Versions'!$A$6:$A$605,$A3202,'Audit Versions'!$L$6:$L$605,"Active"))</f>
        <v/>
      </c>
      <c r="Q3202" s="15" t="n"/>
      <c r="R3202" s="26">
        <f>IF(OR($A3202="",$P3202=0),"",MOD(N($Q3202),$P3202)+1)</f>
        <v/>
      </c>
      <c r="S3202" s="15" t="n"/>
      <c r="T3202" s="25" t="n"/>
      <c r="U3202" s="26">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Builder'!$B$12="",N($S3202)&lt;='Assignment Builder'!$B$12)))</f>
        <v/>
      </c>
      <c r="V3202" s="23" t="n"/>
    </row>
    <row r="3203">
      <c r="A3203" s="23" t="n"/>
      <c r="B3203" s="23" t="n"/>
      <c r="C3203" s="24" t="n"/>
      <c r="D3203" s="15" t="n"/>
      <c r="E3203" s="23" t="n"/>
      <c r="F3203" s="15" t="n"/>
      <c r="G3203" s="23" t="n"/>
      <c r="H3203" s="25" t="n"/>
      <c r="I3203" s="15" t="n"/>
      <c r="J3203" s="26">
        <f>IF($A3203="","",LEN($C3203)-LEN(SUBSTITUTE($C3203,",",""))+1)</f>
        <v/>
      </c>
      <c r="K3203" s="26">
        <f>IF($A3203="","",SUMPRODUCT(--ISNUMBER(SEARCH('Category Dictionary'!$D$5:$D$135&amp;"",$C3203)),--('Category Dictionary'!$D$5:$D$135&lt;&gt;"")))</f>
        <v/>
      </c>
      <c r="L3203" s="27">
        <f>IF($A3203="","",TRIM(IF(ISERROR(FIND(",",$C3203)),$C3203,LEFT($C3203,FIND(",",$C3203)-1))))</f>
        <v/>
      </c>
      <c r="M3203" s="28">
        <f>IF($H3203="","",DATE(YEAR($H3203),MONTH($H3203),1))</f>
        <v/>
      </c>
      <c r="N3203" s="26">
        <f>IF($H3203="","",TODAY()-$H3203)</f>
        <v/>
      </c>
      <c r="O3203" s="15" t="n"/>
      <c r="P3203" s="26">
        <f>IF($A3203="","",COUNTIFS('Audit Versions'!$A$6:$A$605,$A3203,'Audit Versions'!$L$6:$L$605,"Active"))</f>
        <v/>
      </c>
      <c r="Q3203" s="15" t="n"/>
      <c r="R3203" s="26">
        <f>IF(OR($A3203="",$P3203=0),"",MOD(N($Q3203),$P3203)+1)</f>
        <v/>
      </c>
      <c r="S3203" s="15" t="n"/>
      <c r="T3203" s="25" t="n"/>
      <c r="U3203" s="26">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Builder'!$B$12="",N($S3203)&lt;='Assignment Builder'!$B$12)))</f>
        <v/>
      </c>
      <c r="V3203" s="23" t="n"/>
    </row>
    <row r="3204">
      <c r="A3204" s="23" t="n"/>
      <c r="B3204" s="23" t="n"/>
      <c r="C3204" s="24" t="n"/>
      <c r="D3204" s="15" t="n"/>
      <c r="E3204" s="23" t="n"/>
      <c r="F3204" s="15" t="n"/>
      <c r="G3204" s="23" t="n"/>
      <c r="H3204" s="25" t="n"/>
      <c r="I3204" s="15" t="n"/>
      <c r="J3204" s="26">
        <f>IF($A3204="","",LEN($C3204)-LEN(SUBSTITUTE($C3204,",",""))+1)</f>
        <v/>
      </c>
      <c r="K3204" s="26">
        <f>IF($A3204="","",SUMPRODUCT(--ISNUMBER(SEARCH('Category Dictionary'!$D$5:$D$135&amp;"",$C3204)),--('Category Dictionary'!$D$5:$D$135&lt;&gt;"")))</f>
        <v/>
      </c>
      <c r="L3204" s="27">
        <f>IF($A3204="","",TRIM(IF(ISERROR(FIND(",",$C3204)),$C3204,LEFT($C3204,FIND(",",$C3204)-1))))</f>
        <v/>
      </c>
      <c r="M3204" s="28">
        <f>IF($H3204="","",DATE(YEAR($H3204),MONTH($H3204),1))</f>
        <v/>
      </c>
      <c r="N3204" s="26">
        <f>IF($H3204="","",TODAY()-$H3204)</f>
        <v/>
      </c>
      <c r="O3204" s="15" t="n"/>
      <c r="P3204" s="26">
        <f>IF($A3204="","",COUNTIFS('Audit Versions'!$A$6:$A$605,$A3204,'Audit Versions'!$L$6:$L$605,"Active"))</f>
        <v/>
      </c>
      <c r="Q3204" s="15" t="n"/>
      <c r="R3204" s="26">
        <f>IF(OR($A3204="",$P3204=0),"",MOD(N($Q3204),$P3204)+1)</f>
        <v/>
      </c>
      <c r="S3204" s="15" t="n"/>
      <c r="T3204" s="25" t="n"/>
      <c r="U3204" s="26">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Builder'!$B$12="",N($S3204)&lt;='Assignment Builder'!$B$12)))</f>
        <v/>
      </c>
      <c r="V3204" s="23" t="n"/>
    </row>
    <row r="3205">
      <c r="A3205" s="23" t="n"/>
      <c r="B3205" s="23" t="n"/>
      <c r="C3205" s="24" t="n"/>
      <c r="D3205" s="15" t="n"/>
      <c r="E3205" s="23" t="n"/>
      <c r="F3205" s="15" t="n"/>
      <c r="G3205" s="23" t="n"/>
      <c r="H3205" s="25" t="n"/>
      <c r="I3205" s="15" t="n"/>
      <c r="J3205" s="26">
        <f>IF($A3205="","",LEN($C3205)-LEN(SUBSTITUTE($C3205,",",""))+1)</f>
        <v/>
      </c>
      <c r="K3205" s="26">
        <f>IF($A3205="","",SUMPRODUCT(--ISNUMBER(SEARCH('Category Dictionary'!$D$5:$D$135&amp;"",$C3205)),--('Category Dictionary'!$D$5:$D$135&lt;&gt;"")))</f>
        <v/>
      </c>
      <c r="L3205" s="27">
        <f>IF($A3205="","",TRIM(IF(ISERROR(FIND(",",$C3205)),$C3205,LEFT($C3205,FIND(",",$C3205)-1))))</f>
        <v/>
      </c>
      <c r="M3205" s="28">
        <f>IF($H3205="","",DATE(YEAR($H3205),MONTH($H3205),1))</f>
        <v/>
      </c>
      <c r="N3205" s="26">
        <f>IF($H3205="","",TODAY()-$H3205)</f>
        <v/>
      </c>
      <c r="O3205" s="15" t="n"/>
      <c r="P3205" s="26">
        <f>IF($A3205="","",COUNTIFS('Audit Versions'!$A$6:$A$605,$A3205,'Audit Versions'!$L$6:$L$605,"Active"))</f>
        <v/>
      </c>
      <c r="Q3205" s="15" t="n"/>
      <c r="R3205" s="26">
        <f>IF(OR($A3205="",$P3205=0),"",MOD(N($Q3205),$P3205)+1)</f>
        <v/>
      </c>
      <c r="S3205" s="15" t="n"/>
      <c r="T3205" s="25" t="n"/>
      <c r="U3205" s="26">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Builder'!$B$12="",N($S3205)&lt;='Assignment Builder'!$B$12)))</f>
        <v/>
      </c>
      <c r="V3205" s="23" t="n"/>
    </row>
    <row r="3206">
      <c r="A3206" s="23" t="n"/>
      <c r="B3206" s="23" t="n"/>
      <c r="C3206" s="24" t="n"/>
      <c r="D3206" s="15" t="n"/>
      <c r="E3206" s="23" t="n"/>
      <c r="F3206" s="15" t="n"/>
      <c r="G3206" s="23" t="n"/>
      <c r="H3206" s="25" t="n"/>
      <c r="I3206" s="15" t="n"/>
      <c r="J3206" s="26">
        <f>IF($A3206="","",LEN($C3206)-LEN(SUBSTITUTE($C3206,",",""))+1)</f>
        <v/>
      </c>
      <c r="K3206" s="26">
        <f>IF($A3206="","",SUMPRODUCT(--ISNUMBER(SEARCH('Category Dictionary'!$D$5:$D$135&amp;"",$C3206)),--('Category Dictionary'!$D$5:$D$135&lt;&gt;"")))</f>
        <v/>
      </c>
      <c r="L3206" s="27">
        <f>IF($A3206="","",TRIM(IF(ISERROR(FIND(",",$C3206)),$C3206,LEFT($C3206,FIND(",",$C3206)-1))))</f>
        <v/>
      </c>
      <c r="M3206" s="28">
        <f>IF($H3206="","",DATE(YEAR($H3206),MONTH($H3206),1))</f>
        <v/>
      </c>
      <c r="N3206" s="26">
        <f>IF($H3206="","",TODAY()-$H3206)</f>
        <v/>
      </c>
      <c r="O3206" s="15" t="n"/>
      <c r="P3206" s="26">
        <f>IF($A3206="","",COUNTIFS('Audit Versions'!$A$6:$A$605,$A3206,'Audit Versions'!$L$6:$L$605,"Active"))</f>
        <v/>
      </c>
      <c r="Q3206" s="15" t="n"/>
      <c r="R3206" s="26">
        <f>IF(OR($A3206="",$P3206=0),"",MOD(N($Q3206),$P3206)+1)</f>
        <v/>
      </c>
      <c r="S3206" s="15" t="n"/>
      <c r="T3206" s="25" t="n"/>
      <c r="U3206" s="26">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Builder'!$B$12="",N($S3206)&lt;='Assignment Builder'!$B$12)))</f>
        <v/>
      </c>
      <c r="V3206" s="23" t="n"/>
    </row>
    <row r="3207">
      <c r="A3207" s="23" t="n"/>
      <c r="B3207" s="23" t="n"/>
      <c r="C3207" s="24" t="n"/>
      <c r="D3207" s="15" t="n"/>
      <c r="E3207" s="23" t="n"/>
      <c r="F3207" s="15" t="n"/>
      <c r="G3207" s="23" t="n"/>
      <c r="H3207" s="25" t="n"/>
      <c r="I3207" s="15" t="n"/>
      <c r="J3207" s="26">
        <f>IF($A3207="","",LEN($C3207)-LEN(SUBSTITUTE($C3207,",",""))+1)</f>
        <v/>
      </c>
      <c r="K3207" s="26">
        <f>IF($A3207="","",SUMPRODUCT(--ISNUMBER(SEARCH('Category Dictionary'!$D$5:$D$135&amp;"",$C3207)),--('Category Dictionary'!$D$5:$D$135&lt;&gt;"")))</f>
        <v/>
      </c>
      <c r="L3207" s="27">
        <f>IF($A3207="","",TRIM(IF(ISERROR(FIND(",",$C3207)),$C3207,LEFT($C3207,FIND(",",$C3207)-1))))</f>
        <v/>
      </c>
      <c r="M3207" s="28">
        <f>IF($H3207="","",DATE(YEAR($H3207),MONTH($H3207),1))</f>
        <v/>
      </c>
      <c r="N3207" s="26">
        <f>IF($H3207="","",TODAY()-$H3207)</f>
        <v/>
      </c>
      <c r="O3207" s="15" t="n"/>
      <c r="P3207" s="26">
        <f>IF($A3207="","",COUNTIFS('Audit Versions'!$A$6:$A$605,$A3207,'Audit Versions'!$L$6:$L$605,"Active"))</f>
        <v/>
      </c>
      <c r="Q3207" s="15" t="n"/>
      <c r="R3207" s="26">
        <f>IF(OR($A3207="",$P3207=0),"",MOD(N($Q3207),$P3207)+1)</f>
        <v/>
      </c>
      <c r="S3207" s="15" t="n"/>
      <c r="T3207" s="25" t="n"/>
      <c r="U3207" s="26">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Builder'!$B$12="",N($S3207)&lt;='Assignment Builder'!$B$12)))</f>
        <v/>
      </c>
      <c r="V3207" s="23" t="n"/>
    </row>
    <row r="3208">
      <c r="A3208" s="23" t="n"/>
      <c r="B3208" s="23" t="n"/>
      <c r="C3208" s="24" t="n"/>
      <c r="D3208" s="15" t="n"/>
      <c r="E3208" s="23" t="n"/>
      <c r="F3208" s="15" t="n"/>
      <c r="G3208" s="23" t="n"/>
      <c r="H3208" s="25" t="n"/>
      <c r="I3208" s="15" t="n"/>
      <c r="J3208" s="26">
        <f>IF($A3208="","",LEN($C3208)-LEN(SUBSTITUTE($C3208,",",""))+1)</f>
        <v/>
      </c>
      <c r="K3208" s="26">
        <f>IF($A3208="","",SUMPRODUCT(--ISNUMBER(SEARCH('Category Dictionary'!$D$5:$D$135&amp;"",$C3208)),--('Category Dictionary'!$D$5:$D$135&lt;&gt;"")))</f>
        <v/>
      </c>
      <c r="L3208" s="27">
        <f>IF($A3208="","",TRIM(IF(ISERROR(FIND(",",$C3208)),$C3208,LEFT($C3208,FIND(",",$C3208)-1))))</f>
        <v/>
      </c>
      <c r="M3208" s="28">
        <f>IF($H3208="","",DATE(YEAR($H3208),MONTH($H3208),1))</f>
        <v/>
      </c>
      <c r="N3208" s="26">
        <f>IF($H3208="","",TODAY()-$H3208)</f>
        <v/>
      </c>
      <c r="O3208" s="15" t="n"/>
      <c r="P3208" s="26">
        <f>IF($A3208="","",COUNTIFS('Audit Versions'!$A$6:$A$605,$A3208,'Audit Versions'!$L$6:$L$605,"Active"))</f>
        <v/>
      </c>
      <c r="Q3208" s="15" t="n"/>
      <c r="R3208" s="26">
        <f>IF(OR($A3208="",$P3208=0),"",MOD(N($Q3208),$P3208)+1)</f>
        <v/>
      </c>
      <c r="S3208" s="15" t="n"/>
      <c r="T3208" s="25" t="n"/>
      <c r="U3208" s="26">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Builder'!$B$12="",N($S3208)&lt;='Assignment Builder'!$B$12)))</f>
        <v/>
      </c>
      <c r="V3208" s="23" t="n"/>
    </row>
    <row r="3209">
      <c r="A3209" s="23" t="n"/>
      <c r="B3209" s="23" t="n"/>
      <c r="C3209" s="24" t="n"/>
      <c r="D3209" s="15" t="n"/>
      <c r="E3209" s="23" t="n"/>
      <c r="F3209" s="15" t="n"/>
      <c r="G3209" s="23" t="n"/>
      <c r="H3209" s="25" t="n"/>
      <c r="I3209" s="15" t="n"/>
      <c r="J3209" s="26">
        <f>IF($A3209="","",LEN($C3209)-LEN(SUBSTITUTE($C3209,",",""))+1)</f>
        <v/>
      </c>
      <c r="K3209" s="26">
        <f>IF($A3209="","",SUMPRODUCT(--ISNUMBER(SEARCH('Category Dictionary'!$D$5:$D$135&amp;"",$C3209)),--('Category Dictionary'!$D$5:$D$135&lt;&gt;"")))</f>
        <v/>
      </c>
      <c r="L3209" s="27">
        <f>IF($A3209="","",TRIM(IF(ISERROR(FIND(",",$C3209)),$C3209,LEFT($C3209,FIND(",",$C3209)-1))))</f>
        <v/>
      </c>
      <c r="M3209" s="28">
        <f>IF($H3209="","",DATE(YEAR($H3209),MONTH($H3209),1))</f>
        <v/>
      </c>
      <c r="N3209" s="26">
        <f>IF($H3209="","",TODAY()-$H3209)</f>
        <v/>
      </c>
      <c r="O3209" s="15" t="n"/>
      <c r="P3209" s="26">
        <f>IF($A3209="","",COUNTIFS('Audit Versions'!$A$6:$A$605,$A3209,'Audit Versions'!$L$6:$L$605,"Active"))</f>
        <v/>
      </c>
      <c r="Q3209" s="15" t="n"/>
      <c r="R3209" s="26">
        <f>IF(OR($A3209="",$P3209=0),"",MOD(N($Q3209),$P3209)+1)</f>
        <v/>
      </c>
      <c r="S3209" s="15" t="n"/>
      <c r="T3209" s="25" t="n"/>
      <c r="U3209" s="26">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Builder'!$B$12="",N($S3209)&lt;='Assignment Builder'!$B$12)))</f>
        <v/>
      </c>
      <c r="V3209" s="23" t="n"/>
    </row>
    <row r="3210">
      <c r="A3210" s="23" t="n"/>
      <c r="B3210" s="23" t="n"/>
      <c r="C3210" s="24" t="n"/>
      <c r="D3210" s="15" t="n"/>
      <c r="E3210" s="23" t="n"/>
      <c r="F3210" s="15" t="n"/>
      <c r="G3210" s="23" t="n"/>
      <c r="H3210" s="25" t="n"/>
      <c r="I3210" s="15" t="n"/>
      <c r="J3210" s="26">
        <f>IF($A3210="","",LEN($C3210)-LEN(SUBSTITUTE($C3210,",",""))+1)</f>
        <v/>
      </c>
      <c r="K3210" s="26">
        <f>IF($A3210="","",SUMPRODUCT(--ISNUMBER(SEARCH('Category Dictionary'!$D$5:$D$135&amp;"",$C3210)),--('Category Dictionary'!$D$5:$D$135&lt;&gt;"")))</f>
        <v/>
      </c>
      <c r="L3210" s="27">
        <f>IF($A3210="","",TRIM(IF(ISERROR(FIND(",",$C3210)),$C3210,LEFT($C3210,FIND(",",$C3210)-1))))</f>
        <v/>
      </c>
      <c r="M3210" s="28">
        <f>IF($H3210="","",DATE(YEAR($H3210),MONTH($H3210),1))</f>
        <v/>
      </c>
      <c r="N3210" s="26">
        <f>IF($H3210="","",TODAY()-$H3210)</f>
        <v/>
      </c>
      <c r="O3210" s="15" t="n"/>
      <c r="P3210" s="26">
        <f>IF($A3210="","",COUNTIFS('Audit Versions'!$A$6:$A$605,$A3210,'Audit Versions'!$L$6:$L$605,"Active"))</f>
        <v/>
      </c>
      <c r="Q3210" s="15" t="n"/>
      <c r="R3210" s="26">
        <f>IF(OR($A3210="",$P3210=0),"",MOD(N($Q3210),$P3210)+1)</f>
        <v/>
      </c>
      <c r="S3210" s="15" t="n"/>
      <c r="T3210" s="25" t="n"/>
      <c r="U3210" s="26">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Builder'!$B$12="",N($S3210)&lt;='Assignment Builder'!$B$12)))</f>
        <v/>
      </c>
      <c r="V3210" s="23" t="n"/>
    </row>
    <row r="3211">
      <c r="A3211" s="23" t="n"/>
      <c r="B3211" s="23" t="n"/>
      <c r="C3211" s="24" t="n"/>
      <c r="D3211" s="15" t="n"/>
      <c r="E3211" s="23" t="n"/>
      <c r="F3211" s="15" t="n"/>
      <c r="G3211" s="23" t="n"/>
      <c r="H3211" s="25" t="n"/>
      <c r="I3211" s="15" t="n"/>
      <c r="J3211" s="26">
        <f>IF($A3211="","",LEN($C3211)-LEN(SUBSTITUTE($C3211,",",""))+1)</f>
        <v/>
      </c>
      <c r="K3211" s="26">
        <f>IF($A3211="","",SUMPRODUCT(--ISNUMBER(SEARCH('Category Dictionary'!$D$5:$D$135&amp;"",$C3211)),--('Category Dictionary'!$D$5:$D$135&lt;&gt;"")))</f>
        <v/>
      </c>
      <c r="L3211" s="27">
        <f>IF($A3211="","",TRIM(IF(ISERROR(FIND(",",$C3211)),$C3211,LEFT($C3211,FIND(",",$C3211)-1))))</f>
        <v/>
      </c>
      <c r="M3211" s="28">
        <f>IF($H3211="","",DATE(YEAR($H3211),MONTH($H3211),1))</f>
        <v/>
      </c>
      <c r="N3211" s="26">
        <f>IF($H3211="","",TODAY()-$H3211)</f>
        <v/>
      </c>
      <c r="O3211" s="15" t="n"/>
      <c r="P3211" s="26">
        <f>IF($A3211="","",COUNTIFS('Audit Versions'!$A$6:$A$605,$A3211,'Audit Versions'!$L$6:$L$605,"Active"))</f>
        <v/>
      </c>
      <c r="Q3211" s="15" t="n"/>
      <c r="R3211" s="26">
        <f>IF(OR($A3211="",$P3211=0),"",MOD(N($Q3211),$P3211)+1)</f>
        <v/>
      </c>
      <c r="S3211" s="15" t="n"/>
      <c r="T3211" s="25" t="n"/>
      <c r="U3211" s="26">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Builder'!$B$12="",N($S3211)&lt;='Assignment Builder'!$B$12)))</f>
        <v/>
      </c>
      <c r="V3211" s="23" t="n"/>
    </row>
    <row r="3212">
      <c r="A3212" s="23" t="n"/>
      <c r="B3212" s="23" t="n"/>
      <c r="C3212" s="24" t="n"/>
      <c r="D3212" s="15" t="n"/>
      <c r="E3212" s="23" t="n"/>
      <c r="F3212" s="15" t="n"/>
      <c r="G3212" s="23" t="n"/>
      <c r="H3212" s="25" t="n"/>
      <c r="I3212" s="15" t="n"/>
      <c r="J3212" s="26">
        <f>IF($A3212="","",LEN($C3212)-LEN(SUBSTITUTE($C3212,",",""))+1)</f>
        <v/>
      </c>
      <c r="K3212" s="26">
        <f>IF($A3212="","",SUMPRODUCT(--ISNUMBER(SEARCH('Category Dictionary'!$D$5:$D$135&amp;"",$C3212)),--('Category Dictionary'!$D$5:$D$135&lt;&gt;"")))</f>
        <v/>
      </c>
      <c r="L3212" s="27">
        <f>IF($A3212="","",TRIM(IF(ISERROR(FIND(",",$C3212)),$C3212,LEFT($C3212,FIND(",",$C3212)-1))))</f>
        <v/>
      </c>
      <c r="M3212" s="28">
        <f>IF($H3212="","",DATE(YEAR($H3212),MONTH($H3212),1))</f>
        <v/>
      </c>
      <c r="N3212" s="26">
        <f>IF($H3212="","",TODAY()-$H3212)</f>
        <v/>
      </c>
      <c r="O3212" s="15" t="n"/>
      <c r="P3212" s="26">
        <f>IF($A3212="","",COUNTIFS('Audit Versions'!$A$6:$A$605,$A3212,'Audit Versions'!$L$6:$L$605,"Active"))</f>
        <v/>
      </c>
      <c r="Q3212" s="15" t="n"/>
      <c r="R3212" s="26">
        <f>IF(OR($A3212="",$P3212=0),"",MOD(N($Q3212),$P3212)+1)</f>
        <v/>
      </c>
      <c r="S3212" s="15" t="n"/>
      <c r="T3212" s="25" t="n"/>
      <c r="U3212" s="26">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Builder'!$B$12="",N($S3212)&lt;='Assignment Builder'!$B$12)))</f>
        <v/>
      </c>
      <c r="V3212" s="23" t="n"/>
    </row>
    <row r="3213">
      <c r="A3213" s="23" t="n"/>
      <c r="B3213" s="23" t="n"/>
      <c r="C3213" s="24" t="n"/>
      <c r="D3213" s="15" t="n"/>
      <c r="E3213" s="23" t="n"/>
      <c r="F3213" s="15" t="n"/>
      <c r="G3213" s="23" t="n"/>
      <c r="H3213" s="25" t="n"/>
      <c r="I3213" s="15" t="n"/>
      <c r="J3213" s="26">
        <f>IF($A3213="","",LEN($C3213)-LEN(SUBSTITUTE($C3213,",",""))+1)</f>
        <v/>
      </c>
      <c r="K3213" s="26">
        <f>IF($A3213="","",SUMPRODUCT(--ISNUMBER(SEARCH('Category Dictionary'!$D$5:$D$135&amp;"",$C3213)),--('Category Dictionary'!$D$5:$D$135&lt;&gt;"")))</f>
        <v/>
      </c>
      <c r="L3213" s="27">
        <f>IF($A3213="","",TRIM(IF(ISERROR(FIND(",",$C3213)),$C3213,LEFT($C3213,FIND(",",$C3213)-1))))</f>
        <v/>
      </c>
      <c r="M3213" s="28">
        <f>IF($H3213="","",DATE(YEAR($H3213),MONTH($H3213),1))</f>
        <v/>
      </c>
      <c r="N3213" s="26">
        <f>IF($H3213="","",TODAY()-$H3213)</f>
        <v/>
      </c>
      <c r="O3213" s="15" t="n"/>
      <c r="P3213" s="26">
        <f>IF($A3213="","",COUNTIFS('Audit Versions'!$A$6:$A$605,$A3213,'Audit Versions'!$L$6:$L$605,"Active"))</f>
        <v/>
      </c>
      <c r="Q3213" s="15" t="n"/>
      <c r="R3213" s="26">
        <f>IF(OR($A3213="",$P3213=0),"",MOD(N($Q3213),$P3213)+1)</f>
        <v/>
      </c>
      <c r="S3213" s="15" t="n"/>
      <c r="T3213" s="25" t="n"/>
      <c r="U3213" s="26">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Builder'!$B$12="",N($S3213)&lt;='Assignment Builder'!$B$12)))</f>
        <v/>
      </c>
      <c r="V3213" s="23" t="n"/>
    </row>
    <row r="3214">
      <c r="A3214" s="23" t="n"/>
      <c r="B3214" s="23" t="n"/>
      <c r="C3214" s="24" t="n"/>
      <c r="D3214" s="15" t="n"/>
      <c r="E3214" s="23" t="n"/>
      <c r="F3214" s="15" t="n"/>
      <c r="G3214" s="23" t="n"/>
      <c r="H3214" s="25" t="n"/>
      <c r="I3214" s="15" t="n"/>
      <c r="J3214" s="26">
        <f>IF($A3214="","",LEN($C3214)-LEN(SUBSTITUTE($C3214,",",""))+1)</f>
        <v/>
      </c>
      <c r="K3214" s="26">
        <f>IF($A3214="","",SUMPRODUCT(--ISNUMBER(SEARCH('Category Dictionary'!$D$5:$D$135&amp;"",$C3214)),--('Category Dictionary'!$D$5:$D$135&lt;&gt;"")))</f>
        <v/>
      </c>
      <c r="L3214" s="27">
        <f>IF($A3214="","",TRIM(IF(ISERROR(FIND(",",$C3214)),$C3214,LEFT($C3214,FIND(",",$C3214)-1))))</f>
        <v/>
      </c>
      <c r="M3214" s="28">
        <f>IF($H3214="","",DATE(YEAR($H3214),MONTH($H3214),1))</f>
        <v/>
      </c>
      <c r="N3214" s="26">
        <f>IF($H3214="","",TODAY()-$H3214)</f>
        <v/>
      </c>
      <c r="O3214" s="15" t="n"/>
      <c r="P3214" s="26">
        <f>IF($A3214="","",COUNTIFS('Audit Versions'!$A$6:$A$605,$A3214,'Audit Versions'!$L$6:$L$605,"Active"))</f>
        <v/>
      </c>
      <c r="Q3214" s="15" t="n"/>
      <c r="R3214" s="26">
        <f>IF(OR($A3214="",$P3214=0),"",MOD(N($Q3214),$P3214)+1)</f>
        <v/>
      </c>
      <c r="S3214" s="15" t="n"/>
      <c r="T3214" s="25" t="n"/>
      <c r="U3214" s="26">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Builder'!$B$12="",N($S3214)&lt;='Assignment Builder'!$B$12)))</f>
        <v/>
      </c>
      <c r="V3214" s="23" t="n"/>
    </row>
    <row r="3215">
      <c r="A3215" s="23" t="n"/>
      <c r="B3215" s="23" t="n"/>
      <c r="C3215" s="24" t="n"/>
      <c r="D3215" s="15" t="n"/>
      <c r="E3215" s="23" t="n"/>
      <c r="F3215" s="15" t="n"/>
      <c r="G3215" s="23" t="n"/>
      <c r="H3215" s="25" t="n"/>
      <c r="I3215" s="15" t="n"/>
      <c r="J3215" s="26">
        <f>IF($A3215="","",LEN($C3215)-LEN(SUBSTITUTE($C3215,",",""))+1)</f>
        <v/>
      </c>
      <c r="K3215" s="26">
        <f>IF($A3215="","",SUMPRODUCT(--ISNUMBER(SEARCH('Category Dictionary'!$D$5:$D$135&amp;"",$C3215)),--('Category Dictionary'!$D$5:$D$135&lt;&gt;"")))</f>
        <v/>
      </c>
      <c r="L3215" s="27">
        <f>IF($A3215="","",TRIM(IF(ISERROR(FIND(",",$C3215)),$C3215,LEFT($C3215,FIND(",",$C3215)-1))))</f>
        <v/>
      </c>
      <c r="M3215" s="28">
        <f>IF($H3215="","",DATE(YEAR($H3215),MONTH($H3215),1))</f>
        <v/>
      </c>
      <c r="N3215" s="26">
        <f>IF($H3215="","",TODAY()-$H3215)</f>
        <v/>
      </c>
      <c r="O3215" s="15" t="n"/>
      <c r="P3215" s="26">
        <f>IF($A3215="","",COUNTIFS('Audit Versions'!$A$6:$A$605,$A3215,'Audit Versions'!$L$6:$L$605,"Active"))</f>
        <v/>
      </c>
      <c r="Q3215" s="15" t="n"/>
      <c r="R3215" s="26">
        <f>IF(OR($A3215="",$P3215=0),"",MOD(N($Q3215),$P3215)+1)</f>
        <v/>
      </c>
      <c r="S3215" s="15" t="n"/>
      <c r="T3215" s="25" t="n"/>
      <c r="U3215" s="26">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Builder'!$B$12="",N($S3215)&lt;='Assignment Builder'!$B$12)))</f>
        <v/>
      </c>
      <c r="V3215" s="23" t="n"/>
    </row>
    <row r="3216">
      <c r="A3216" s="23" t="n"/>
      <c r="B3216" s="23" t="n"/>
      <c r="C3216" s="24" t="n"/>
      <c r="D3216" s="15" t="n"/>
      <c r="E3216" s="23" t="n"/>
      <c r="F3216" s="15" t="n"/>
      <c r="G3216" s="23" t="n"/>
      <c r="H3216" s="25" t="n"/>
      <c r="I3216" s="15" t="n"/>
      <c r="J3216" s="26">
        <f>IF($A3216="","",LEN($C3216)-LEN(SUBSTITUTE($C3216,",",""))+1)</f>
        <v/>
      </c>
      <c r="K3216" s="26">
        <f>IF($A3216="","",SUMPRODUCT(--ISNUMBER(SEARCH('Category Dictionary'!$D$5:$D$135&amp;"",$C3216)),--('Category Dictionary'!$D$5:$D$135&lt;&gt;"")))</f>
        <v/>
      </c>
      <c r="L3216" s="27">
        <f>IF($A3216="","",TRIM(IF(ISERROR(FIND(",",$C3216)),$C3216,LEFT($C3216,FIND(",",$C3216)-1))))</f>
        <v/>
      </c>
      <c r="M3216" s="28">
        <f>IF($H3216="","",DATE(YEAR($H3216),MONTH($H3216),1))</f>
        <v/>
      </c>
      <c r="N3216" s="26">
        <f>IF($H3216="","",TODAY()-$H3216)</f>
        <v/>
      </c>
      <c r="O3216" s="15" t="n"/>
      <c r="P3216" s="26">
        <f>IF($A3216="","",COUNTIFS('Audit Versions'!$A$6:$A$605,$A3216,'Audit Versions'!$L$6:$L$605,"Active"))</f>
        <v/>
      </c>
      <c r="Q3216" s="15" t="n"/>
      <c r="R3216" s="26">
        <f>IF(OR($A3216="",$P3216=0),"",MOD(N($Q3216),$P3216)+1)</f>
        <v/>
      </c>
      <c r="S3216" s="15" t="n"/>
      <c r="T3216" s="25" t="n"/>
      <c r="U3216" s="26">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Builder'!$B$12="",N($S3216)&lt;='Assignment Builder'!$B$12)))</f>
        <v/>
      </c>
      <c r="V3216" s="23" t="n"/>
    </row>
    <row r="3217">
      <c r="A3217" s="23" t="n"/>
      <c r="B3217" s="23" t="n"/>
      <c r="C3217" s="24" t="n"/>
      <c r="D3217" s="15" t="n"/>
      <c r="E3217" s="23" t="n"/>
      <c r="F3217" s="15" t="n"/>
      <c r="G3217" s="23" t="n"/>
      <c r="H3217" s="25" t="n"/>
      <c r="I3217" s="15" t="n"/>
      <c r="J3217" s="26">
        <f>IF($A3217="","",LEN($C3217)-LEN(SUBSTITUTE($C3217,",",""))+1)</f>
        <v/>
      </c>
      <c r="K3217" s="26">
        <f>IF($A3217="","",SUMPRODUCT(--ISNUMBER(SEARCH('Category Dictionary'!$D$5:$D$135&amp;"",$C3217)),--('Category Dictionary'!$D$5:$D$135&lt;&gt;"")))</f>
        <v/>
      </c>
      <c r="L3217" s="27">
        <f>IF($A3217="","",TRIM(IF(ISERROR(FIND(",",$C3217)),$C3217,LEFT($C3217,FIND(",",$C3217)-1))))</f>
        <v/>
      </c>
      <c r="M3217" s="28">
        <f>IF($H3217="","",DATE(YEAR($H3217),MONTH($H3217),1))</f>
        <v/>
      </c>
      <c r="N3217" s="26">
        <f>IF($H3217="","",TODAY()-$H3217)</f>
        <v/>
      </c>
      <c r="O3217" s="15" t="n"/>
      <c r="P3217" s="26">
        <f>IF($A3217="","",COUNTIFS('Audit Versions'!$A$6:$A$605,$A3217,'Audit Versions'!$L$6:$L$605,"Active"))</f>
        <v/>
      </c>
      <c r="Q3217" s="15" t="n"/>
      <c r="R3217" s="26">
        <f>IF(OR($A3217="",$P3217=0),"",MOD(N($Q3217),$P3217)+1)</f>
        <v/>
      </c>
      <c r="S3217" s="15" t="n"/>
      <c r="T3217" s="25" t="n"/>
      <c r="U3217" s="26">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Builder'!$B$12="",N($S3217)&lt;='Assignment Builder'!$B$12)))</f>
        <v/>
      </c>
      <c r="V3217" s="23" t="n"/>
    </row>
    <row r="3218">
      <c r="A3218" s="23" t="n"/>
      <c r="B3218" s="23" t="n"/>
      <c r="C3218" s="24" t="n"/>
      <c r="D3218" s="15" t="n"/>
      <c r="E3218" s="23" t="n"/>
      <c r="F3218" s="15" t="n"/>
      <c r="G3218" s="23" t="n"/>
      <c r="H3218" s="25" t="n"/>
      <c r="I3218" s="15" t="n"/>
      <c r="J3218" s="26">
        <f>IF($A3218="","",LEN($C3218)-LEN(SUBSTITUTE($C3218,",",""))+1)</f>
        <v/>
      </c>
      <c r="K3218" s="26">
        <f>IF($A3218="","",SUMPRODUCT(--ISNUMBER(SEARCH('Category Dictionary'!$D$5:$D$135&amp;"",$C3218)),--('Category Dictionary'!$D$5:$D$135&lt;&gt;"")))</f>
        <v/>
      </c>
      <c r="L3218" s="27">
        <f>IF($A3218="","",TRIM(IF(ISERROR(FIND(",",$C3218)),$C3218,LEFT($C3218,FIND(",",$C3218)-1))))</f>
        <v/>
      </c>
      <c r="M3218" s="28">
        <f>IF($H3218="","",DATE(YEAR($H3218),MONTH($H3218),1))</f>
        <v/>
      </c>
      <c r="N3218" s="26">
        <f>IF($H3218="","",TODAY()-$H3218)</f>
        <v/>
      </c>
      <c r="O3218" s="15" t="n"/>
      <c r="P3218" s="26">
        <f>IF($A3218="","",COUNTIFS('Audit Versions'!$A$6:$A$605,$A3218,'Audit Versions'!$L$6:$L$605,"Active"))</f>
        <v/>
      </c>
      <c r="Q3218" s="15" t="n"/>
      <c r="R3218" s="26">
        <f>IF(OR($A3218="",$P3218=0),"",MOD(N($Q3218),$P3218)+1)</f>
        <v/>
      </c>
      <c r="S3218" s="15" t="n"/>
      <c r="T3218" s="25" t="n"/>
      <c r="U3218" s="26">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Builder'!$B$12="",N($S3218)&lt;='Assignment Builder'!$B$12)))</f>
        <v/>
      </c>
      <c r="V3218" s="23" t="n"/>
    </row>
    <row r="3219">
      <c r="A3219" s="23" t="n"/>
      <c r="B3219" s="23" t="n"/>
      <c r="C3219" s="24" t="n"/>
      <c r="D3219" s="15" t="n"/>
      <c r="E3219" s="23" t="n"/>
      <c r="F3219" s="15" t="n"/>
      <c r="G3219" s="23" t="n"/>
      <c r="H3219" s="25" t="n"/>
      <c r="I3219" s="15" t="n"/>
      <c r="J3219" s="26">
        <f>IF($A3219="","",LEN($C3219)-LEN(SUBSTITUTE($C3219,",",""))+1)</f>
        <v/>
      </c>
      <c r="K3219" s="26">
        <f>IF($A3219="","",SUMPRODUCT(--ISNUMBER(SEARCH('Category Dictionary'!$D$5:$D$135&amp;"",$C3219)),--('Category Dictionary'!$D$5:$D$135&lt;&gt;"")))</f>
        <v/>
      </c>
      <c r="L3219" s="27">
        <f>IF($A3219="","",TRIM(IF(ISERROR(FIND(",",$C3219)),$C3219,LEFT($C3219,FIND(",",$C3219)-1))))</f>
        <v/>
      </c>
      <c r="M3219" s="28">
        <f>IF($H3219="","",DATE(YEAR($H3219),MONTH($H3219),1))</f>
        <v/>
      </c>
      <c r="N3219" s="26">
        <f>IF($H3219="","",TODAY()-$H3219)</f>
        <v/>
      </c>
      <c r="O3219" s="15" t="n"/>
      <c r="P3219" s="26">
        <f>IF($A3219="","",COUNTIFS('Audit Versions'!$A$6:$A$605,$A3219,'Audit Versions'!$L$6:$L$605,"Active"))</f>
        <v/>
      </c>
      <c r="Q3219" s="15" t="n"/>
      <c r="R3219" s="26">
        <f>IF(OR($A3219="",$P3219=0),"",MOD(N($Q3219),$P3219)+1)</f>
        <v/>
      </c>
      <c r="S3219" s="15" t="n"/>
      <c r="T3219" s="25" t="n"/>
      <c r="U3219" s="26">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Builder'!$B$12="",N($S3219)&lt;='Assignment Builder'!$B$12)))</f>
        <v/>
      </c>
      <c r="V3219" s="23" t="n"/>
    </row>
    <row r="3220">
      <c r="A3220" s="23" t="n"/>
      <c r="B3220" s="23" t="n"/>
      <c r="C3220" s="24" t="n"/>
      <c r="D3220" s="15" t="n"/>
      <c r="E3220" s="23" t="n"/>
      <c r="F3220" s="15" t="n"/>
      <c r="G3220" s="23" t="n"/>
      <c r="H3220" s="25" t="n"/>
      <c r="I3220" s="15" t="n"/>
      <c r="J3220" s="26">
        <f>IF($A3220="","",LEN($C3220)-LEN(SUBSTITUTE($C3220,",",""))+1)</f>
        <v/>
      </c>
      <c r="K3220" s="26">
        <f>IF($A3220="","",SUMPRODUCT(--ISNUMBER(SEARCH('Category Dictionary'!$D$5:$D$135&amp;"",$C3220)),--('Category Dictionary'!$D$5:$D$135&lt;&gt;"")))</f>
        <v/>
      </c>
      <c r="L3220" s="27">
        <f>IF($A3220="","",TRIM(IF(ISERROR(FIND(",",$C3220)),$C3220,LEFT($C3220,FIND(",",$C3220)-1))))</f>
        <v/>
      </c>
      <c r="M3220" s="28">
        <f>IF($H3220="","",DATE(YEAR($H3220),MONTH($H3220),1))</f>
        <v/>
      </c>
      <c r="N3220" s="26">
        <f>IF($H3220="","",TODAY()-$H3220)</f>
        <v/>
      </c>
      <c r="O3220" s="15" t="n"/>
      <c r="P3220" s="26">
        <f>IF($A3220="","",COUNTIFS('Audit Versions'!$A$6:$A$605,$A3220,'Audit Versions'!$L$6:$L$605,"Active"))</f>
        <v/>
      </c>
      <c r="Q3220" s="15" t="n"/>
      <c r="R3220" s="26">
        <f>IF(OR($A3220="",$P3220=0),"",MOD(N($Q3220),$P3220)+1)</f>
        <v/>
      </c>
      <c r="S3220" s="15" t="n"/>
      <c r="T3220" s="25" t="n"/>
      <c r="U3220" s="26">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Builder'!$B$12="",N($S3220)&lt;='Assignment Builder'!$B$12)))</f>
        <v/>
      </c>
      <c r="V3220" s="23" t="n"/>
    </row>
    <row r="3221">
      <c r="A3221" s="23" t="n"/>
      <c r="B3221" s="23" t="n"/>
      <c r="C3221" s="24" t="n"/>
      <c r="D3221" s="15" t="n"/>
      <c r="E3221" s="23" t="n"/>
      <c r="F3221" s="15" t="n"/>
      <c r="G3221" s="23" t="n"/>
      <c r="H3221" s="25" t="n"/>
      <c r="I3221" s="15" t="n"/>
      <c r="J3221" s="26">
        <f>IF($A3221="","",LEN($C3221)-LEN(SUBSTITUTE($C3221,",",""))+1)</f>
        <v/>
      </c>
      <c r="K3221" s="26">
        <f>IF($A3221="","",SUMPRODUCT(--ISNUMBER(SEARCH('Category Dictionary'!$D$5:$D$135&amp;"",$C3221)),--('Category Dictionary'!$D$5:$D$135&lt;&gt;"")))</f>
        <v/>
      </c>
      <c r="L3221" s="27">
        <f>IF($A3221="","",TRIM(IF(ISERROR(FIND(",",$C3221)),$C3221,LEFT($C3221,FIND(",",$C3221)-1))))</f>
        <v/>
      </c>
      <c r="M3221" s="28">
        <f>IF($H3221="","",DATE(YEAR($H3221),MONTH($H3221),1))</f>
        <v/>
      </c>
      <c r="N3221" s="26">
        <f>IF($H3221="","",TODAY()-$H3221)</f>
        <v/>
      </c>
      <c r="O3221" s="15" t="n"/>
      <c r="P3221" s="26">
        <f>IF($A3221="","",COUNTIFS('Audit Versions'!$A$6:$A$605,$A3221,'Audit Versions'!$L$6:$L$605,"Active"))</f>
        <v/>
      </c>
      <c r="Q3221" s="15" t="n"/>
      <c r="R3221" s="26">
        <f>IF(OR($A3221="",$P3221=0),"",MOD(N($Q3221),$P3221)+1)</f>
        <v/>
      </c>
      <c r="S3221" s="15" t="n"/>
      <c r="T3221" s="25" t="n"/>
      <c r="U3221" s="26">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Builder'!$B$12="",N($S3221)&lt;='Assignment Builder'!$B$12)))</f>
        <v/>
      </c>
      <c r="V3221" s="23" t="n"/>
    </row>
    <row r="3222">
      <c r="A3222" s="23" t="n"/>
      <c r="B3222" s="23" t="n"/>
      <c r="C3222" s="24" t="n"/>
      <c r="D3222" s="15" t="n"/>
      <c r="E3222" s="23" t="n"/>
      <c r="F3222" s="15" t="n"/>
      <c r="G3222" s="23" t="n"/>
      <c r="H3222" s="25" t="n"/>
      <c r="I3222" s="15" t="n"/>
      <c r="J3222" s="26">
        <f>IF($A3222="","",LEN($C3222)-LEN(SUBSTITUTE($C3222,",",""))+1)</f>
        <v/>
      </c>
      <c r="K3222" s="26">
        <f>IF($A3222="","",SUMPRODUCT(--ISNUMBER(SEARCH('Category Dictionary'!$D$5:$D$135&amp;"",$C3222)),--('Category Dictionary'!$D$5:$D$135&lt;&gt;"")))</f>
        <v/>
      </c>
      <c r="L3222" s="27">
        <f>IF($A3222="","",TRIM(IF(ISERROR(FIND(",",$C3222)),$C3222,LEFT($C3222,FIND(",",$C3222)-1))))</f>
        <v/>
      </c>
      <c r="M3222" s="28">
        <f>IF($H3222="","",DATE(YEAR($H3222),MONTH($H3222),1))</f>
        <v/>
      </c>
      <c r="N3222" s="26">
        <f>IF($H3222="","",TODAY()-$H3222)</f>
        <v/>
      </c>
      <c r="O3222" s="15" t="n"/>
      <c r="P3222" s="26">
        <f>IF($A3222="","",COUNTIFS('Audit Versions'!$A$6:$A$605,$A3222,'Audit Versions'!$L$6:$L$605,"Active"))</f>
        <v/>
      </c>
      <c r="Q3222" s="15" t="n"/>
      <c r="R3222" s="26">
        <f>IF(OR($A3222="",$P3222=0),"",MOD(N($Q3222),$P3222)+1)</f>
        <v/>
      </c>
      <c r="S3222" s="15" t="n"/>
      <c r="T3222" s="25" t="n"/>
      <c r="U3222" s="26">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Builder'!$B$12="",N($S3222)&lt;='Assignment Builder'!$B$12)))</f>
        <v/>
      </c>
      <c r="V3222" s="23" t="n"/>
    </row>
    <row r="3223">
      <c r="A3223" s="23" t="n"/>
      <c r="B3223" s="23" t="n"/>
      <c r="C3223" s="24" t="n"/>
      <c r="D3223" s="15" t="n"/>
      <c r="E3223" s="23" t="n"/>
      <c r="F3223" s="15" t="n"/>
      <c r="G3223" s="23" t="n"/>
      <c r="H3223" s="25" t="n"/>
      <c r="I3223" s="15" t="n"/>
      <c r="J3223" s="26">
        <f>IF($A3223="","",LEN($C3223)-LEN(SUBSTITUTE($C3223,",",""))+1)</f>
        <v/>
      </c>
      <c r="K3223" s="26">
        <f>IF($A3223="","",SUMPRODUCT(--ISNUMBER(SEARCH('Category Dictionary'!$D$5:$D$135&amp;"",$C3223)),--('Category Dictionary'!$D$5:$D$135&lt;&gt;"")))</f>
        <v/>
      </c>
      <c r="L3223" s="27">
        <f>IF($A3223="","",TRIM(IF(ISERROR(FIND(",",$C3223)),$C3223,LEFT($C3223,FIND(",",$C3223)-1))))</f>
        <v/>
      </c>
      <c r="M3223" s="28">
        <f>IF($H3223="","",DATE(YEAR($H3223),MONTH($H3223),1))</f>
        <v/>
      </c>
      <c r="N3223" s="26">
        <f>IF($H3223="","",TODAY()-$H3223)</f>
        <v/>
      </c>
      <c r="O3223" s="15" t="n"/>
      <c r="P3223" s="26">
        <f>IF($A3223="","",COUNTIFS('Audit Versions'!$A$6:$A$605,$A3223,'Audit Versions'!$L$6:$L$605,"Active"))</f>
        <v/>
      </c>
      <c r="Q3223" s="15" t="n"/>
      <c r="R3223" s="26">
        <f>IF(OR($A3223="",$P3223=0),"",MOD(N($Q3223),$P3223)+1)</f>
        <v/>
      </c>
      <c r="S3223" s="15" t="n"/>
      <c r="T3223" s="25" t="n"/>
      <c r="U3223" s="26">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Builder'!$B$12="",N($S3223)&lt;='Assignment Builder'!$B$12)))</f>
        <v/>
      </c>
      <c r="V3223" s="23" t="n"/>
    </row>
    <row r="3224">
      <c r="A3224" s="23" t="n"/>
      <c r="B3224" s="23" t="n"/>
      <c r="C3224" s="24" t="n"/>
      <c r="D3224" s="15" t="n"/>
      <c r="E3224" s="23" t="n"/>
      <c r="F3224" s="15" t="n"/>
      <c r="G3224" s="23" t="n"/>
      <c r="H3224" s="25" t="n"/>
      <c r="I3224" s="15" t="n"/>
      <c r="J3224" s="26">
        <f>IF($A3224="","",LEN($C3224)-LEN(SUBSTITUTE($C3224,",",""))+1)</f>
        <v/>
      </c>
      <c r="K3224" s="26">
        <f>IF($A3224="","",SUMPRODUCT(--ISNUMBER(SEARCH('Category Dictionary'!$D$5:$D$135&amp;"",$C3224)),--('Category Dictionary'!$D$5:$D$135&lt;&gt;"")))</f>
        <v/>
      </c>
      <c r="L3224" s="27">
        <f>IF($A3224="","",TRIM(IF(ISERROR(FIND(",",$C3224)),$C3224,LEFT($C3224,FIND(",",$C3224)-1))))</f>
        <v/>
      </c>
      <c r="M3224" s="28">
        <f>IF($H3224="","",DATE(YEAR($H3224),MONTH($H3224),1))</f>
        <v/>
      </c>
      <c r="N3224" s="26">
        <f>IF($H3224="","",TODAY()-$H3224)</f>
        <v/>
      </c>
      <c r="O3224" s="15" t="n"/>
      <c r="P3224" s="26">
        <f>IF($A3224="","",COUNTIFS('Audit Versions'!$A$6:$A$605,$A3224,'Audit Versions'!$L$6:$L$605,"Active"))</f>
        <v/>
      </c>
      <c r="Q3224" s="15" t="n"/>
      <c r="R3224" s="26">
        <f>IF(OR($A3224="",$P3224=0),"",MOD(N($Q3224),$P3224)+1)</f>
        <v/>
      </c>
      <c r="S3224" s="15" t="n"/>
      <c r="T3224" s="25" t="n"/>
      <c r="U3224" s="26">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Builder'!$B$12="",N($S3224)&lt;='Assignment Builder'!$B$12)))</f>
        <v/>
      </c>
      <c r="V3224" s="23" t="n"/>
    </row>
    <row r="3225">
      <c r="A3225" s="23" t="n"/>
      <c r="B3225" s="23" t="n"/>
      <c r="C3225" s="24" t="n"/>
      <c r="D3225" s="15" t="n"/>
      <c r="E3225" s="23" t="n"/>
      <c r="F3225" s="15" t="n"/>
      <c r="G3225" s="23" t="n"/>
      <c r="H3225" s="25" t="n"/>
      <c r="I3225" s="15" t="n"/>
      <c r="J3225" s="26">
        <f>IF($A3225="","",LEN($C3225)-LEN(SUBSTITUTE($C3225,",",""))+1)</f>
        <v/>
      </c>
      <c r="K3225" s="26">
        <f>IF($A3225="","",SUMPRODUCT(--ISNUMBER(SEARCH('Category Dictionary'!$D$5:$D$135&amp;"",$C3225)),--('Category Dictionary'!$D$5:$D$135&lt;&gt;"")))</f>
        <v/>
      </c>
      <c r="L3225" s="27">
        <f>IF($A3225="","",TRIM(IF(ISERROR(FIND(",",$C3225)),$C3225,LEFT($C3225,FIND(",",$C3225)-1))))</f>
        <v/>
      </c>
      <c r="M3225" s="28">
        <f>IF($H3225="","",DATE(YEAR($H3225),MONTH($H3225),1))</f>
        <v/>
      </c>
      <c r="N3225" s="26">
        <f>IF($H3225="","",TODAY()-$H3225)</f>
        <v/>
      </c>
      <c r="O3225" s="15" t="n"/>
      <c r="P3225" s="26">
        <f>IF($A3225="","",COUNTIFS('Audit Versions'!$A$6:$A$605,$A3225,'Audit Versions'!$L$6:$L$605,"Active"))</f>
        <v/>
      </c>
      <c r="Q3225" s="15" t="n"/>
      <c r="R3225" s="26">
        <f>IF(OR($A3225="",$P3225=0),"",MOD(N($Q3225),$P3225)+1)</f>
        <v/>
      </c>
      <c r="S3225" s="15" t="n"/>
      <c r="T3225" s="25" t="n"/>
      <c r="U3225" s="26">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Builder'!$B$12="",N($S3225)&lt;='Assignment Builder'!$B$12)))</f>
        <v/>
      </c>
      <c r="V3225" s="23" t="n"/>
    </row>
    <row r="3226">
      <c r="A3226" s="23" t="n"/>
      <c r="B3226" s="23" t="n"/>
      <c r="C3226" s="24" t="n"/>
      <c r="D3226" s="15" t="n"/>
      <c r="E3226" s="23" t="n"/>
      <c r="F3226" s="15" t="n"/>
      <c r="G3226" s="23" t="n"/>
      <c r="H3226" s="25" t="n"/>
      <c r="I3226" s="15" t="n"/>
      <c r="J3226" s="26">
        <f>IF($A3226="","",LEN($C3226)-LEN(SUBSTITUTE($C3226,",",""))+1)</f>
        <v/>
      </c>
      <c r="K3226" s="26">
        <f>IF($A3226="","",SUMPRODUCT(--ISNUMBER(SEARCH('Category Dictionary'!$D$5:$D$135&amp;"",$C3226)),--('Category Dictionary'!$D$5:$D$135&lt;&gt;"")))</f>
        <v/>
      </c>
      <c r="L3226" s="27">
        <f>IF($A3226="","",TRIM(IF(ISERROR(FIND(",",$C3226)),$C3226,LEFT($C3226,FIND(",",$C3226)-1))))</f>
        <v/>
      </c>
      <c r="M3226" s="28">
        <f>IF($H3226="","",DATE(YEAR($H3226),MONTH($H3226),1))</f>
        <v/>
      </c>
      <c r="N3226" s="26">
        <f>IF($H3226="","",TODAY()-$H3226)</f>
        <v/>
      </c>
      <c r="O3226" s="15" t="n"/>
      <c r="P3226" s="26">
        <f>IF($A3226="","",COUNTIFS('Audit Versions'!$A$6:$A$605,$A3226,'Audit Versions'!$L$6:$L$605,"Active"))</f>
        <v/>
      </c>
      <c r="Q3226" s="15" t="n"/>
      <c r="R3226" s="26">
        <f>IF(OR($A3226="",$P3226=0),"",MOD(N($Q3226),$P3226)+1)</f>
        <v/>
      </c>
      <c r="S3226" s="15" t="n"/>
      <c r="T3226" s="25" t="n"/>
      <c r="U3226" s="26">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Builder'!$B$12="",N($S3226)&lt;='Assignment Builder'!$B$12)))</f>
        <v/>
      </c>
      <c r="V3226" s="23" t="n"/>
    </row>
    <row r="3227">
      <c r="A3227" s="23" t="n"/>
      <c r="B3227" s="23" t="n"/>
      <c r="C3227" s="24" t="n"/>
      <c r="D3227" s="15" t="n"/>
      <c r="E3227" s="23" t="n"/>
      <c r="F3227" s="15" t="n"/>
      <c r="G3227" s="23" t="n"/>
      <c r="H3227" s="25" t="n"/>
      <c r="I3227" s="15" t="n"/>
      <c r="J3227" s="26">
        <f>IF($A3227="","",LEN($C3227)-LEN(SUBSTITUTE($C3227,",",""))+1)</f>
        <v/>
      </c>
      <c r="K3227" s="26">
        <f>IF($A3227="","",SUMPRODUCT(--ISNUMBER(SEARCH('Category Dictionary'!$D$5:$D$135&amp;"",$C3227)),--('Category Dictionary'!$D$5:$D$135&lt;&gt;"")))</f>
        <v/>
      </c>
      <c r="L3227" s="27">
        <f>IF($A3227="","",TRIM(IF(ISERROR(FIND(",",$C3227)),$C3227,LEFT($C3227,FIND(",",$C3227)-1))))</f>
        <v/>
      </c>
      <c r="M3227" s="28">
        <f>IF($H3227="","",DATE(YEAR($H3227),MONTH($H3227),1))</f>
        <v/>
      </c>
      <c r="N3227" s="26">
        <f>IF($H3227="","",TODAY()-$H3227)</f>
        <v/>
      </c>
      <c r="O3227" s="15" t="n"/>
      <c r="P3227" s="26">
        <f>IF($A3227="","",COUNTIFS('Audit Versions'!$A$6:$A$605,$A3227,'Audit Versions'!$L$6:$L$605,"Active"))</f>
        <v/>
      </c>
      <c r="Q3227" s="15" t="n"/>
      <c r="R3227" s="26">
        <f>IF(OR($A3227="",$P3227=0),"",MOD(N($Q3227),$P3227)+1)</f>
        <v/>
      </c>
      <c r="S3227" s="15" t="n"/>
      <c r="T3227" s="25" t="n"/>
      <c r="U3227" s="26">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Builder'!$B$12="",N($S3227)&lt;='Assignment Builder'!$B$12)))</f>
        <v/>
      </c>
      <c r="V3227" s="23" t="n"/>
    </row>
    <row r="3228">
      <c r="A3228" s="23" t="n"/>
      <c r="B3228" s="23" t="n"/>
      <c r="C3228" s="24" t="n"/>
      <c r="D3228" s="15" t="n"/>
      <c r="E3228" s="23" t="n"/>
      <c r="F3228" s="15" t="n"/>
      <c r="G3228" s="23" t="n"/>
      <c r="H3228" s="25" t="n"/>
      <c r="I3228" s="15" t="n"/>
      <c r="J3228" s="26">
        <f>IF($A3228="","",LEN($C3228)-LEN(SUBSTITUTE($C3228,",",""))+1)</f>
        <v/>
      </c>
      <c r="K3228" s="26">
        <f>IF($A3228="","",SUMPRODUCT(--ISNUMBER(SEARCH('Category Dictionary'!$D$5:$D$135&amp;"",$C3228)),--('Category Dictionary'!$D$5:$D$135&lt;&gt;"")))</f>
        <v/>
      </c>
      <c r="L3228" s="27">
        <f>IF($A3228="","",TRIM(IF(ISERROR(FIND(",",$C3228)),$C3228,LEFT($C3228,FIND(",",$C3228)-1))))</f>
        <v/>
      </c>
      <c r="M3228" s="28">
        <f>IF($H3228="","",DATE(YEAR($H3228),MONTH($H3228),1))</f>
        <v/>
      </c>
      <c r="N3228" s="26">
        <f>IF($H3228="","",TODAY()-$H3228)</f>
        <v/>
      </c>
      <c r="O3228" s="15" t="n"/>
      <c r="P3228" s="26">
        <f>IF($A3228="","",COUNTIFS('Audit Versions'!$A$6:$A$605,$A3228,'Audit Versions'!$L$6:$L$605,"Active"))</f>
        <v/>
      </c>
      <c r="Q3228" s="15" t="n"/>
      <c r="R3228" s="26">
        <f>IF(OR($A3228="",$P3228=0),"",MOD(N($Q3228),$P3228)+1)</f>
        <v/>
      </c>
      <c r="S3228" s="15" t="n"/>
      <c r="T3228" s="25" t="n"/>
      <c r="U3228" s="26">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Builder'!$B$12="",N($S3228)&lt;='Assignment Builder'!$B$12)))</f>
        <v/>
      </c>
      <c r="V3228" s="23" t="n"/>
    </row>
    <row r="3229">
      <c r="A3229" s="23" t="n"/>
      <c r="B3229" s="23" t="n"/>
      <c r="C3229" s="24" t="n"/>
      <c r="D3229" s="15" t="n"/>
      <c r="E3229" s="23" t="n"/>
      <c r="F3229" s="15" t="n"/>
      <c r="G3229" s="23" t="n"/>
      <c r="H3229" s="25" t="n"/>
      <c r="I3229" s="15" t="n"/>
      <c r="J3229" s="26">
        <f>IF($A3229="","",LEN($C3229)-LEN(SUBSTITUTE($C3229,",",""))+1)</f>
        <v/>
      </c>
      <c r="K3229" s="26">
        <f>IF($A3229="","",SUMPRODUCT(--ISNUMBER(SEARCH('Category Dictionary'!$D$5:$D$135&amp;"",$C3229)),--('Category Dictionary'!$D$5:$D$135&lt;&gt;"")))</f>
        <v/>
      </c>
      <c r="L3229" s="27">
        <f>IF($A3229="","",TRIM(IF(ISERROR(FIND(",",$C3229)),$C3229,LEFT($C3229,FIND(",",$C3229)-1))))</f>
        <v/>
      </c>
      <c r="M3229" s="28">
        <f>IF($H3229="","",DATE(YEAR($H3229),MONTH($H3229),1))</f>
        <v/>
      </c>
      <c r="N3229" s="26">
        <f>IF($H3229="","",TODAY()-$H3229)</f>
        <v/>
      </c>
      <c r="O3229" s="15" t="n"/>
      <c r="P3229" s="26">
        <f>IF($A3229="","",COUNTIFS('Audit Versions'!$A$6:$A$605,$A3229,'Audit Versions'!$L$6:$L$605,"Active"))</f>
        <v/>
      </c>
      <c r="Q3229" s="15" t="n"/>
      <c r="R3229" s="26">
        <f>IF(OR($A3229="",$P3229=0),"",MOD(N($Q3229),$P3229)+1)</f>
        <v/>
      </c>
      <c r="S3229" s="15" t="n"/>
      <c r="T3229" s="25" t="n"/>
      <c r="U3229" s="26">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Builder'!$B$12="",N($S3229)&lt;='Assignment Builder'!$B$12)))</f>
        <v/>
      </c>
      <c r="V3229" s="23" t="n"/>
    </row>
    <row r="3230">
      <c r="A3230" s="23" t="n"/>
      <c r="B3230" s="23" t="n"/>
      <c r="C3230" s="24" t="n"/>
      <c r="D3230" s="15" t="n"/>
      <c r="E3230" s="23" t="n"/>
      <c r="F3230" s="15" t="n"/>
      <c r="G3230" s="23" t="n"/>
      <c r="H3230" s="25" t="n"/>
      <c r="I3230" s="15" t="n"/>
      <c r="J3230" s="26">
        <f>IF($A3230="","",LEN($C3230)-LEN(SUBSTITUTE($C3230,",",""))+1)</f>
        <v/>
      </c>
      <c r="K3230" s="26">
        <f>IF($A3230="","",SUMPRODUCT(--ISNUMBER(SEARCH('Category Dictionary'!$D$5:$D$135&amp;"",$C3230)),--('Category Dictionary'!$D$5:$D$135&lt;&gt;"")))</f>
        <v/>
      </c>
      <c r="L3230" s="27">
        <f>IF($A3230="","",TRIM(IF(ISERROR(FIND(",",$C3230)),$C3230,LEFT($C3230,FIND(",",$C3230)-1))))</f>
        <v/>
      </c>
      <c r="M3230" s="28">
        <f>IF($H3230="","",DATE(YEAR($H3230),MONTH($H3230),1))</f>
        <v/>
      </c>
      <c r="N3230" s="26">
        <f>IF($H3230="","",TODAY()-$H3230)</f>
        <v/>
      </c>
      <c r="O3230" s="15" t="n"/>
      <c r="P3230" s="26">
        <f>IF($A3230="","",COUNTIFS('Audit Versions'!$A$6:$A$605,$A3230,'Audit Versions'!$L$6:$L$605,"Active"))</f>
        <v/>
      </c>
      <c r="Q3230" s="15" t="n"/>
      <c r="R3230" s="26">
        <f>IF(OR($A3230="",$P3230=0),"",MOD(N($Q3230),$P3230)+1)</f>
        <v/>
      </c>
      <c r="S3230" s="15" t="n"/>
      <c r="T3230" s="25" t="n"/>
      <c r="U3230" s="26">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Builder'!$B$12="",N($S3230)&lt;='Assignment Builder'!$B$12)))</f>
        <v/>
      </c>
      <c r="V3230" s="23" t="n"/>
    </row>
    <row r="3231">
      <c r="A3231" s="23" t="n"/>
      <c r="B3231" s="23" t="n"/>
      <c r="C3231" s="24" t="n"/>
      <c r="D3231" s="15" t="n"/>
      <c r="E3231" s="23" t="n"/>
      <c r="F3231" s="15" t="n"/>
      <c r="G3231" s="23" t="n"/>
      <c r="H3231" s="25" t="n"/>
      <c r="I3231" s="15" t="n"/>
      <c r="J3231" s="26">
        <f>IF($A3231="","",LEN($C3231)-LEN(SUBSTITUTE($C3231,",",""))+1)</f>
        <v/>
      </c>
      <c r="K3231" s="26">
        <f>IF($A3231="","",SUMPRODUCT(--ISNUMBER(SEARCH('Category Dictionary'!$D$5:$D$135&amp;"",$C3231)),--('Category Dictionary'!$D$5:$D$135&lt;&gt;"")))</f>
        <v/>
      </c>
      <c r="L3231" s="27">
        <f>IF($A3231="","",TRIM(IF(ISERROR(FIND(",",$C3231)),$C3231,LEFT($C3231,FIND(",",$C3231)-1))))</f>
        <v/>
      </c>
      <c r="M3231" s="28">
        <f>IF($H3231="","",DATE(YEAR($H3231),MONTH($H3231),1))</f>
        <v/>
      </c>
      <c r="N3231" s="26">
        <f>IF($H3231="","",TODAY()-$H3231)</f>
        <v/>
      </c>
      <c r="O3231" s="15" t="n"/>
      <c r="P3231" s="26">
        <f>IF($A3231="","",COUNTIFS('Audit Versions'!$A$6:$A$605,$A3231,'Audit Versions'!$L$6:$L$605,"Active"))</f>
        <v/>
      </c>
      <c r="Q3231" s="15" t="n"/>
      <c r="R3231" s="26">
        <f>IF(OR($A3231="",$P3231=0),"",MOD(N($Q3231),$P3231)+1)</f>
        <v/>
      </c>
      <c r="S3231" s="15" t="n"/>
      <c r="T3231" s="25" t="n"/>
      <c r="U3231" s="26">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Builder'!$B$12="",N($S3231)&lt;='Assignment Builder'!$B$12)))</f>
        <v/>
      </c>
      <c r="V3231" s="23" t="n"/>
    </row>
    <row r="3232">
      <c r="A3232" s="23" t="n"/>
      <c r="B3232" s="23" t="n"/>
      <c r="C3232" s="24" t="n"/>
      <c r="D3232" s="15" t="n"/>
      <c r="E3232" s="23" t="n"/>
      <c r="F3232" s="15" t="n"/>
      <c r="G3232" s="23" t="n"/>
      <c r="H3232" s="25" t="n"/>
      <c r="I3232" s="15" t="n"/>
      <c r="J3232" s="26">
        <f>IF($A3232="","",LEN($C3232)-LEN(SUBSTITUTE($C3232,",",""))+1)</f>
        <v/>
      </c>
      <c r="K3232" s="26">
        <f>IF($A3232="","",SUMPRODUCT(--ISNUMBER(SEARCH('Category Dictionary'!$D$5:$D$135&amp;"",$C3232)),--('Category Dictionary'!$D$5:$D$135&lt;&gt;"")))</f>
        <v/>
      </c>
      <c r="L3232" s="27">
        <f>IF($A3232="","",TRIM(IF(ISERROR(FIND(",",$C3232)),$C3232,LEFT($C3232,FIND(",",$C3232)-1))))</f>
        <v/>
      </c>
      <c r="M3232" s="28">
        <f>IF($H3232="","",DATE(YEAR($H3232),MONTH($H3232),1))</f>
        <v/>
      </c>
      <c r="N3232" s="26">
        <f>IF($H3232="","",TODAY()-$H3232)</f>
        <v/>
      </c>
      <c r="O3232" s="15" t="n"/>
      <c r="P3232" s="26">
        <f>IF($A3232="","",COUNTIFS('Audit Versions'!$A$6:$A$605,$A3232,'Audit Versions'!$L$6:$L$605,"Active"))</f>
        <v/>
      </c>
      <c r="Q3232" s="15" t="n"/>
      <c r="R3232" s="26">
        <f>IF(OR($A3232="",$P3232=0),"",MOD(N($Q3232),$P3232)+1)</f>
        <v/>
      </c>
      <c r="S3232" s="15" t="n"/>
      <c r="T3232" s="25" t="n"/>
      <c r="U3232" s="26">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Builder'!$B$12="",N($S3232)&lt;='Assignment Builder'!$B$12)))</f>
        <v/>
      </c>
      <c r="V3232" s="23" t="n"/>
    </row>
    <row r="3233">
      <c r="A3233" s="23" t="n"/>
      <c r="B3233" s="23" t="n"/>
      <c r="C3233" s="24" t="n"/>
      <c r="D3233" s="15" t="n"/>
      <c r="E3233" s="23" t="n"/>
      <c r="F3233" s="15" t="n"/>
      <c r="G3233" s="23" t="n"/>
      <c r="H3233" s="25" t="n"/>
      <c r="I3233" s="15" t="n"/>
      <c r="J3233" s="26">
        <f>IF($A3233="","",LEN($C3233)-LEN(SUBSTITUTE($C3233,",",""))+1)</f>
        <v/>
      </c>
      <c r="K3233" s="26">
        <f>IF($A3233="","",SUMPRODUCT(--ISNUMBER(SEARCH('Category Dictionary'!$D$5:$D$135&amp;"",$C3233)),--('Category Dictionary'!$D$5:$D$135&lt;&gt;"")))</f>
        <v/>
      </c>
      <c r="L3233" s="27">
        <f>IF($A3233="","",TRIM(IF(ISERROR(FIND(",",$C3233)),$C3233,LEFT($C3233,FIND(",",$C3233)-1))))</f>
        <v/>
      </c>
      <c r="M3233" s="28">
        <f>IF($H3233="","",DATE(YEAR($H3233),MONTH($H3233),1))</f>
        <v/>
      </c>
      <c r="N3233" s="26">
        <f>IF($H3233="","",TODAY()-$H3233)</f>
        <v/>
      </c>
      <c r="O3233" s="15" t="n"/>
      <c r="P3233" s="26">
        <f>IF($A3233="","",COUNTIFS('Audit Versions'!$A$6:$A$605,$A3233,'Audit Versions'!$L$6:$L$605,"Active"))</f>
        <v/>
      </c>
      <c r="Q3233" s="15" t="n"/>
      <c r="R3233" s="26">
        <f>IF(OR($A3233="",$P3233=0),"",MOD(N($Q3233),$P3233)+1)</f>
        <v/>
      </c>
      <c r="S3233" s="15" t="n"/>
      <c r="T3233" s="25" t="n"/>
      <c r="U3233" s="26">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Builder'!$B$12="",N($S3233)&lt;='Assignment Builder'!$B$12)))</f>
        <v/>
      </c>
      <c r="V3233" s="23" t="n"/>
    </row>
    <row r="3234">
      <c r="A3234" s="23" t="n"/>
      <c r="B3234" s="23" t="n"/>
      <c r="C3234" s="24" t="n"/>
      <c r="D3234" s="15" t="n"/>
      <c r="E3234" s="23" t="n"/>
      <c r="F3234" s="15" t="n"/>
      <c r="G3234" s="23" t="n"/>
      <c r="H3234" s="25" t="n"/>
      <c r="I3234" s="15" t="n"/>
      <c r="J3234" s="26">
        <f>IF($A3234="","",LEN($C3234)-LEN(SUBSTITUTE($C3234,",",""))+1)</f>
        <v/>
      </c>
      <c r="K3234" s="26">
        <f>IF($A3234="","",SUMPRODUCT(--ISNUMBER(SEARCH('Category Dictionary'!$D$5:$D$135&amp;"",$C3234)),--('Category Dictionary'!$D$5:$D$135&lt;&gt;"")))</f>
        <v/>
      </c>
      <c r="L3234" s="27">
        <f>IF($A3234="","",TRIM(IF(ISERROR(FIND(",",$C3234)),$C3234,LEFT($C3234,FIND(",",$C3234)-1))))</f>
        <v/>
      </c>
      <c r="M3234" s="28">
        <f>IF($H3234="","",DATE(YEAR($H3234),MONTH($H3234),1))</f>
        <v/>
      </c>
      <c r="N3234" s="26">
        <f>IF($H3234="","",TODAY()-$H3234)</f>
        <v/>
      </c>
      <c r="O3234" s="15" t="n"/>
      <c r="P3234" s="26">
        <f>IF($A3234="","",COUNTIFS('Audit Versions'!$A$6:$A$605,$A3234,'Audit Versions'!$L$6:$L$605,"Active"))</f>
        <v/>
      </c>
      <c r="Q3234" s="15" t="n"/>
      <c r="R3234" s="26">
        <f>IF(OR($A3234="",$P3234=0),"",MOD(N($Q3234),$P3234)+1)</f>
        <v/>
      </c>
      <c r="S3234" s="15" t="n"/>
      <c r="T3234" s="25" t="n"/>
      <c r="U3234" s="26">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Builder'!$B$12="",N($S3234)&lt;='Assignment Builder'!$B$12)))</f>
        <v/>
      </c>
      <c r="V3234" s="23" t="n"/>
    </row>
    <row r="3235">
      <c r="A3235" s="23" t="n"/>
      <c r="B3235" s="23" t="n"/>
      <c r="C3235" s="24" t="n"/>
      <c r="D3235" s="15" t="n"/>
      <c r="E3235" s="23" t="n"/>
      <c r="F3235" s="15" t="n"/>
      <c r="G3235" s="23" t="n"/>
      <c r="H3235" s="25" t="n"/>
      <c r="I3235" s="15" t="n"/>
      <c r="J3235" s="26">
        <f>IF($A3235="","",LEN($C3235)-LEN(SUBSTITUTE($C3235,",",""))+1)</f>
        <v/>
      </c>
      <c r="K3235" s="26">
        <f>IF($A3235="","",SUMPRODUCT(--ISNUMBER(SEARCH('Category Dictionary'!$D$5:$D$135&amp;"",$C3235)),--('Category Dictionary'!$D$5:$D$135&lt;&gt;"")))</f>
        <v/>
      </c>
      <c r="L3235" s="27">
        <f>IF($A3235="","",TRIM(IF(ISERROR(FIND(",",$C3235)),$C3235,LEFT($C3235,FIND(",",$C3235)-1))))</f>
        <v/>
      </c>
      <c r="M3235" s="28">
        <f>IF($H3235="","",DATE(YEAR($H3235),MONTH($H3235),1))</f>
        <v/>
      </c>
      <c r="N3235" s="26">
        <f>IF($H3235="","",TODAY()-$H3235)</f>
        <v/>
      </c>
      <c r="O3235" s="15" t="n"/>
      <c r="P3235" s="26">
        <f>IF($A3235="","",COUNTIFS('Audit Versions'!$A$6:$A$605,$A3235,'Audit Versions'!$L$6:$L$605,"Active"))</f>
        <v/>
      </c>
      <c r="Q3235" s="15" t="n"/>
      <c r="R3235" s="26">
        <f>IF(OR($A3235="",$P3235=0),"",MOD(N($Q3235),$P3235)+1)</f>
        <v/>
      </c>
      <c r="S3235" s="15" t="n"/>
      <c r="T3235" s="25" t="n"/>
      <c r="U3235" s="26">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Builder'!$B$12="",N($S3235)&lt;='Assignment Builder'!$B$12)))</f>
        <v/>
      </c>
      <c r="V3235" s="23" t="n"/>
    </row>
    <row r="3236">
      <c r="A3236" s="23" t="n"/>
      <c r="B3236" s="23" t="n"/>
      <c r="C3236" s="24" t="n"/>
      <c r="D3236" s="15" t="n"/>
      <c r="E3236" s="23" t="n"/>
      <c r="F3236" s="15" t="n"/>
      <c r="G3236" s="23" t="n"/>
      <c r="H3236" s="25" t="n"/>
      <c r="I3236" s="15" t="n"/>
      <c r="J3236" s="26">
        <f>IF($A3236="","",LEN($C3236)-LEN(SUBSTITUTE($C3236,",",""))+1)</f>
        <v/>
      </c>
      <c r="K3236" s="26">
        <f>IF($A3236="","",SUMPRODUCT(--ISNUMBER(SEARCH('Category Dictionary'!$D$5:$D$135&amp;"",$C3236)),--('Category Dictionary'!$D$5:$D$135&lt;&gt;"")))</f>
        <v/>
      </c>
      <c r="L3236" s="27">
        <f>IF($A3236="","",TRIM(IF(ISERROR(FIND(",",$C3236)),$C3236,LEFT($C3236,FIND(",",$C3236)-1))))</f>
        <v/>
      </c>
      <c r="M3236" s="28">
        <f>IF($H3236="","",DATE(YEAR($H3236),MONTH($H3236),1))</f>
        <v/>
      </c>
      <c r="N3236" s="26">
        <f>IF($H3236="","",TODAY()-$H3236)</f>
        <v/>
      </c>
      <c r="O3236" s="15" t="n"/>
      <c r="P3236" s="26">
        <f>IF($A3236="","",COUNTIFS('Audit Versions'!$A$6:$A$605,$A3236,'Audit Versions'!$L$6:$L$605,"Active"))</f>
        <v/>
      </c>
      <c r="Q3236" s="15" t="n"/>
      <c r="R3236" s="26">
        <f>IF(OR($A3236="",$P3236=0),"",MOD(N($Q3236),$P3236)+1)</f>
        <v/>
      </c>
      <c r="S3236" s="15" t="n"/>
      <c r="T3236" s="25" t="n"/>
      <c r="U3236" s="26">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Builder'!$B$12="",N($S3236)&lt;='Assignment Builder'!$B$12)))</f>
        <v/>
      </c>
      <c r="V3236" s="23" t="n"/>
    </row>
    <row r="3237">
      <c r="A3237" s="23" t="n"/>
      <c r="B3237" s="23" t="n"/>
      <c r="C3237" s="24" t="n"/>
      <c r="D3237" s="15" t="n"/>
      <c r="E3237" s="23" t="n"/>
      <c r="F3237" s="15" t="n"/>
      <c r="G3237" s="23" t="n"/>
      <c r="H3237" s="25" t="n"/>
      <c r="I3237" s="15" t="n"/>
      <c r="J3237" s="26">
        <f>IF($A3237="","",LEN($C3237)-LEN(SUBSTITUTE($C3237,",",""))+1)</f>
        <v/>
      </c>
      <c r="K3237" s="26">
        <f>IF($A3237="","",SUMPRODUCT(--ISNUMBER(SEARCH('Category Dictionary'!$D$5:$D$135&amp;"",$C3237)),--('Category Dictionary'!$D$5:$D$135&lt;&gt;"")))</f>
        <v/>
      </c>
      <c r="L3237" s="27">
        <f>IF($A3237="","",TRIM(IF(ISERROR(FIND(",",$C3237)),$C3237,LEFT($C3237,FIND(",",$C3237)-1))))</f>
        <v/>
      </c>
      <c r="M3237" s="28">
        <f>IF($H3237="","",DATE(YEAR($H3237),MONTH($H3237),1))</f>
        <v/>
      </c>
      <c r="N3237" s="26">
        <f>IF($H3237="","",TODAY()-$H3237)</f>
        <v/>
      </c>
      <c r="O3237" s="15" t="n"/>
      <c r="P3237" s="26">
        <f>IF($A3237="","",COUNTIFS('Audit Versions'!$A$6:$A$605,$A3237,'Audit Versions'!$L$6:$L$605,"Active"))</f>
        <v/>
      </c>
      <c r="Q3237" s="15" t="n"/>
      <c r="R3237" s="26">
        <f>IF(OR($A3237="",$P3237=0),"",MOD(N($Q3237),$P3237)+1)</f>
        <v/>
      </c>
      <c r="S3237" s="15" t="n"/>
      <c r="T3237" s="25" t="n"/>
      <c r="U3237" s="26">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Builder'!$B$12="",N($S3237)&lt;='Assignment Builder'!$B$12)))</f>
        <v/>
      </c>
      <c r="V3237" s="23" t="n"/>
    </row>
    <row r="3238">
      <c r="A3238" s="23" t="n"/>
      <c r="B3238" s="23" t="n"/>
      <c r="C3238" s="24" t="n"/>
      <c r="D3238" s="15" t="n"/>
      <c r="E3238" s="23" t="n"/>
      <c r="F3238" s="15" t="n"/>
      <c r="G3238" s="23" t="n"/>
      <c r="H3238" s="25" t="n"/>
      <c r="I3238" s="15" t="n"/>
      <c r="J3238" s="26">
        <f>IF($A3238="","",LEN($C3238)-LEN(SUBSTITUTE($C3238,",",""))+1)</f>
        <v/>
      </c>
      <c r="K3238" s="26">
        <f>IF($A3238="","",SUMPRODUCT(--ISNUMBER(SEARCH('Category Dictionary'!$D$5:$D$135&amp;"",$C3238)),--('Category Dictionary'!$D$5:$D$135&lt;&gt;"")))</f>
        <v/>
      </c>
      <c r="L3238" s="27">
        <f>IF($A3238="","",TRIM(IF(ISERROR(FIND(",",$C3238)),$C3238,LEFT($C3238,FIND(",",$C3238)-1))))</f>
        <v/>
      </c>
      <c r="M3238" s="28">
        <f>IF($H3238="","",DATE(YEAR($H3238),MONTH($H3238),1))</f>
        <v/>
      </c>
      <c r="N3238" s="26">
        <f>IF($H3238="","",TODAY()-$H3238)</f>
        <v/>
      </c>
      <c r="O3238" s="15" t="n"/>
      <c r="P3238" s="26">
        <f>IF($A3238="","",COUNTIFS('Audit Versions'!$A$6:$A$605,$A3238,'Audit Versions'!$L$6:$L$605,"Active"))</f>
        <v/>
      </c>
      <c r="Q3238" s="15" t="n"/>
      <c r="R3238" s="26">
        <f>IF(OR($A3238="",$P3238=0),"",MOD(N($Q3238),$P3238)+1)</f>
        <v/>
      </c>
      <c r="S3238" s="15" t="n"/>
      <c r="T3238" s="25" t="n"/>
      <c r="U3238" s="26">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Builder'!$B$12="",N($S3238)&lt;='Assignment Builder'!$B$12)))</f>
        <v/>
      </c>
      <c r="V3238" s="23" t="n"/>
    </row>
    <row r="3239">
      <c r="A3239" s="23" t="n"/>
      <c r="B3239" s="23" t="n"/>
      <c r="C3239" s="24" t="n"/>
      <c r="D3239" s="15" t="n"/>
      <c r="E3239" s="23" t="n"/>
      <c r="F3239" s="15" t="n"/>
      <c r="G3239" s="23" t="n"/>
      <c r="H3239" s="25" t="n"/>
      <c r="I3239" s="15" t="n"/>
      <c r="J3239" s="26">
        <f>IF($A3239="","",LEN($C3239)-LEN(SUBSTITUTE($C3239,",",""))+1)</f>
        <v/>
      </c>
      <c r="K3239" s="26">
        <f>IF($A3239="","",SUMPRODUCT(--ISNUMBER(SEARCH('Category Dictionary'!$D$5:$D$135&amp;"",$C3239)),--('Category Dictionary'!$D$5:$D$135&lt;&gt;"")))</f>
        <v/>
      </c>
      <c r="L3239" s="27">
        <f>IF($A3239="","",TRIM(IF(ISERROR(FIND(",",$C3239)),$C3239,LEFT($C3239,FIND(",",$C3239)-1))))</f>
        <v/>
      </c>
      <c r="M3239" s="28">
        <f>IF($H3239="","",DATE(YEAR($H3239),MONTH($H3239),1))</f>
        <v/>
      </c>
      <c r="N3239" s="26">
        <f>IF($H3239="","",TODAY()-$H3239)</f>
        <v/>
      </c>
      <c r="O3239" s="15" t="n"/>
      <c r="P3239" s="26">
        <f>IF($A3239="","",COUNTIFS('Audit Versions'!$A$6:$A$605,$A3239,'Audit Versions'!$L$6:$L$605,"Active"))</f>
        <v/>
      </c>
      <c r="Q3239" s="15" t="n"/>
      <c r="R3239" s="26">
        <f>IF(OR($A3239="",$P3239=0),"",MOD(N($Q3239),$P3239)+1)</f>
        <v/>
      </c>
      <c r="S3239" s="15" t="n"/>
      <c r="T3239" s="25" t="n"/>
      <c r="U3239" s="26">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Builder'!$B$12="",N($S3239)&lt;='Assignment Builder'!$B$12)))</f>
        <v/>
      </c>
      <c r="V3239" s="23" t="n"/>
    </row>
    <row r="3240">
      <c r="A3240" s="23" t="n"/>
      <c r="B3240" s="23" t="n"/>
      <c r="C3240" s="24" t="n"/>
      <c r="D3240" s="15" t="n"/>
      <c r="E3240" s="23" t="n"/>
      <c r="F3240" s="15" t="n"/>
      <c r="G3240" s="23" t="n"/>
      <c r="H3240" s="25" t="n"/>
      <c r="I3240" s="15" t="n"/>
      <c r="J3240" s="26">
        <f>IF($A3240="","",LEN($C3240)-LEN(SUBSTITUTE($C3240,",",""))+1)</f>
        <v/>
      </c>
      <c r="K3240" s="26">
        <f>IF($A3240="","",SUMPRODUCT(--ISNUMBER(SEARCH('Category Dictionary'!$D$5:$D$135&amp;"",$C3240)),--('Category Dictionary'!$D$5:$D$135&lt;&gt;"")))</f>
        <v/>
      </c>
      <c r="L3240" s="27">
        <f>IF($A3240="","",TRIM(IF(ISERROR(FIND(",",$C3240)),$C3240,LEFT($C3240,FIND(",",$C3240)-1))))</f>
        <v/>
      </c>
      <c r="M3240" s="28">
        <f>IF($H3240="","",DATE(YEAR($H3240),MONTH($H3240),1))</f>
        <v/>
      </c>
      <c r="N3240" s="26">
        <f>IF($H3240="","",TODAY()-$H3240)</f>
        <v/>
      </c>
      <c r="O3240" s="15" t="n"/>
      <c r="P3240" s="26">
        <f>IF($A3240="","",COUNTIFS('Audit Versions'!$A$6:$A$605,$A3240,'Audit Versions'!$L$6:$L$605,"Active"))</f>
        <v/>
      </c>
      <c r="Q3240" s="15" t="n"/>
      <c r="R3240" s="26">
        <f>IF(OR($A3240="",$P3240=0),"",MOD(N($Q3240),$P3240)+1)</f>
        <v/>
      </c>
      <c r="S3240" s="15" t="n"/>
      <c r="T3240" s="25" t="n"/>
      <c r="U3240" s="26">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Builder'!$B$12="",N($S3240)&lt;='Assignment Builder'!$B$12)))</f>
        <v/>
      </c>
      <c r="V3240" s="23" t="n"/>
    </row>
    <row r="3241">
      <c r="A3241" s="23" t="n"/>
      <c r="B3241" s="23" t="n"/>
      <c r="C3241" s="24" t="n"/>
      <c r="D3241" s="15" t="n"/>
      <c r="E3241" s="23" t="n"/>
      <c r="F3241" s="15" t="n"/>
      <c r="G3241" s="23" t="n"/>
      <c r="H3241" s="25" t="n"/>
      <c r="I3241" s="15" t="n"/>
      <c r="J3241" s="26">
        <f>IF($A3241="","",LEN($C3241)-LEN(SUBSTITUTE($C3241,",",""))+1)</f>
        <v/>
      </c>
      <c r="K3241" s="26">
        <f>IF($A3241="","",SUMPRODUCT(--ISNUMBER(SEARCH('Category Dictionary'!$D$5:$D$135&amp;"",$C3241)),--('Category Dictionary'!$D$5:$D$135&lt;&gt;"")))</f>
        <v/>
      </c>
      <c r="L3241" s="27">
        <f>IF($A3241="","",TRIM(IF(ISERROR(FIND(",",$C3241)),$C3241,LEFT($C3241,FIND(",",$C3241)-1))))</f>
        <v/>
      </c>
      <c r="M3241" s="28">
        <f>IF($H3241="","",DATE(YEAR($H3241),MONTH($H3241),1))</f>
        <v/>
      </c>
      <c r="N3241" s="26">
        <f>IF($H3241="","",TODAY()-$H3241)</f>
        <v/>
      </c>
      <c r="O3241" s="15" t="n"/>
      <c r="P3241" s="26">
        <f>IF($A3241="","",COUNTIFS('Audit Versions'!$A$6:$A$605,$A3241,'Audit Versions'!$L$6:$L$605,"Active"))</f>
        <v/>
      </c>
      <c r="Q3241" s="15" t="n"/>
      <c r="R3241" s="26">
        <f>IF(OR($A3241="",$P3241=0),"",MOD(N($Q3241),$P3241)+1)</f>
        <v/>
      </c>
      <c r="S3241" s="15" t="n"/>
      <c r="T3241" s="25" t="n"/>
      <c r="U3241" s="26">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Builder'!$B$12="",N($S3241)&lt;='Assignment Builder'!$B$12)))</f>
        <v/>
      </c>
      <c r="V3241" s="23" t="n"/>
    </row>
    <row r="3242">
      <c r="A3242" s="23" t="n"/>
      <c r="B3242" s="23" t="n"/>
      <c r="C3242" s="24" t="n"/>
      <c r="D3242" s="15" t="n"/>
      <c r="E3242" s="23" t="n"/>
      <c r="F3242" s="15" t="n"/>
      <c r="G3242" s="23" t="n"/>
      <c r="H3242" s="25" t="n"/>
      <c r="I3242" s="15" t="n"/>
      <c r="J3242" s="26">
        <f>IF($A3242="","",LEN($C3242)-LEN(SUBSTITUTE($C3242,",",""))+1)</f>
        <v/>
      </c>
      <c r="K3242" s="26">
        <f>IF($A3242="","",SUMPRODUCT(--ISNUMBER(SEARCH('Category Dictionary'!$D$5:$D$135&amp;"",$C3242)),--('Category Dictionary'!$D$5:$D$135&lt;&gt;"")))</f>
        <v/>
      </c>
      <c r="L3242" s="27">
        <f>IF($A3242="","",TRIM(IF(ISERROR(FIND(",",$C3242)),$C3242,LEFT($C3242,FIND(",",$C3242)-1))))</f>
        <v/>
      </c>
      <c r="M3242" s="28">
        <f>IF($H3242="","",DATE(YEAR($H3242),MONTH($H3242),1))</f>
        <v/>
      </c>
      <c r="N3242" s="26">
        <f>IF($H3242="","",TODAY()-$H3242)</f>
        <v/>
      </c>
      <c r="O3242" s="15" t="n"/>
      <c r="P3242" s="26">
        <f>IF($A3242="","",COUNTIFS('Audit Versions'!$A$6:$A$605,$A3242,'Audit Versions'!$L$6:$L$605,"Active"))</f>
        <v/>
      </c>
      <c r="Q3242" s="15" t="n"/>
      <c r="R3242" s="26">
        <f>IF(OR($A3242="",$P3242=0),"",MOD(N($Q3242),$P3242)+1)</f>
        <v/>
      </c>
      <c r="S3242" s="15" t="n"/>
      <c r="T3242" s="25" t="n"/>
      <c r="U3242" s="26">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Builder'!$B$12="",N($S3242)&lt;='Assignment Builder'!$B$12)))</f>
        <v/>
      </c>
      <c r="V3242" s="23" t="n"/>
    </row>
    <row r="3243">
      <c r="A3243" s="23" t="n"/>
      <c r="B3243" s="23" t="n"/>
      <c r="C3243" s="24" t="n"/>
      <c r="D3243" s="15" t="n"/>
      <c r="E3243" s="23" t="n"/>
      <c r="F3243" s="15" t="n"/>
      <c r="G3243" s="23" t="n"/>
      <c r="H3243" s="25" t="n"/>
      <c r="I3243" s="15" t="n"/>
      <c r="J3243" s="26">
        <f>IF($A3243="","",LEN($C3243)-LEN(SUBSTITUTE($C3243,",",""))+1)</f>
        <v/>
      </c>
      <c r="K3243" s="26">
        <f>IF($A3243="","",SUMPRODUCT(--ISNUMBER(SEARCH('Category Dictionary'!$D$5:$D$135&amp;"",$C3243)),--('Category Dictionary'!$D$5:$D$135&lt;&gt;"")))</f>
        <v/>
      </c>
      <c r="L3243" s="27">
        <f>IF($A3243="","",TRIM(IF(ISERROR(FIND(",",$C3243)),$C3243,LEFT($C3243,FIND(",",$C3243)-1))))</f>
        <v/>
      </c>
      <c r="M3243" s="28">
        <f>IF($H3243="","",DATE(YEAR($H3243),MONTH($H3243),1))</f>
        <v/>
      </c>
      <c r="N3243" s="26">
        <f>IF($H3243="","",TODAY()-$H3243)</f>
        <v/>
      </c>
      <c r="O3243" s="15" t="n"/>
      <c r="P3243" s="26">
        <f>IF($A3243="","",COUNTIFS('Audit Versions'!$A$6:$A$605,$A3243,'Audit Versions'!$L$6:$L$605,"Active"))</f>
        <v/>
      </c>
      <c r="Q3243" s="15" t="n"/>
      <c r="R3243" s="26">
        <f>IF(OR($A3243="",$P3243=0),"",MOD(N($Q3243),$P3243)+1)</f>
        <v/>
      </c>
      <c r="S3243" s="15" t="n"/>
      <c r="T3243" s="25" t="n"/>
      <c r="U3243" s="26">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Builder'!$B$12="",N($S3243)&lt;='Assignment Builder'!$B$12)))</f>
        <v/>
      </c>
      <c r="V3243" s="23" t="n"/>
    </row>
    <row r="3244">
      <c r="A3244" s="23" t="n"/>
      <c r="B3244" s="23" t="n"/>
      <c r="C3244" s="24" t="n"/>
      <c r="D3244" s="15" t="n"/>
      <c r="E3244" s="23" t="n"/>
      <c r="F3244" s="15" t="n"/>
      <c r="G3244" s="23" t="n"/>
      <c r="H3244" s="25" t="n"/>
      <c r="I3244" s="15" t="n"/>
      <c r="J3244" s="26">
        <f>IF($A3244="","",LEN($C3244)-LEN(SUBSTITUTE($C3244,",",""))+1)</f>
        <v/>
      </c>
      <c r="K3244" s="26">
        <f>IF($A3244="","",SUMPRODUCT(--ISNUMBER(SEARCH('Category Dictionary'!$D$5:$D$135&amp;"",$C3244)),--('Category Dictionary'!$D$5:$D$135&lt;&gt;"")))</f>
        <v/>
      </c>
      <c r="L3244" s="27">
        <f>IF($A3244="","",TRIM(IF(ISERROR(FIND(",",$C3244)),$C3244,LEFT($C3244,FIND(",",$C3244)-1))))</f>
        <v/>
      </c>
      <c r="M3244" s="28">
        <f>IF($H3244="","",DATE(YEAR($H3244),MONTH($H3244),1))</f>
        <v/>
      </c>
      <c r="N3244" s="26">
        <f>IF($H3244="","",TODAY()-$H3244)</f>
        <v/>
      </c>
      <c r="O3244" s="15" t="n"/>
      <c r="P3244" s="26">
        <f>IF($A3244="","",COUNTIFS('Audit Versions'!$A$6:$A$605,$A3244,'Audit Versions'!$L$6:$L$605,"Active"))</f>
        <v/>
      </c>
      <c r="Q3244" s="15" t="n"/>
      <c r="R3244" s="26">
        <f>IF(OR($A3244="",$P3244=0),"",MOD(N($Q3244),$P3244)+1)</f>
        <v/>
      </c>
      <c r="S3244" s="15" t="n"/>
      <c r="T3244" s="25" t="n"/>
      <c r="U3244" s="26">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Builder'!$B$12="",N($S3244)&lt;='Assignment Builder'!$B$12)))</f>
        <v/>
      </c>
      <c r="V3244" s="23" t="n"/>
    </row>
    <row r="3245">
      <c r="A3245" s="23" t="n"/>
      <c r="B3245" s="23" t="n"/>
      <c r="C3245" s="24" t="n"/>
      <c r="D3245" s="15" t="n"/>
      <c r="E3245" s="23" t="n"/>
      <c r="F3245" s="15" t="n"/>
      <c r="G3245" s="23" t="n"/>
      <c r="H3245" s="25" t="n"/>
      <c r="I3245" s="15" t="n"/>
      <c r="J3245" s="26">
        <f>IF($A3245="","",LEN($C3245)-LEN(SUBSTITUTE($C3245,",",""))+1)</f>
        <v/>
      </c>
      <c r="K3245" s="26">
        <f>IF($A3245="","",SUMPRODUCT(--ISNUMBER(SEARCH('Category Dictionary'!$D$5:$D$135&amp;"",$C3245)),--('Category Dictionary'!$D$5:$D$135&lt;&gt;"")))</f>
        <v/>
      </c>
      <c r="L3245" s="27">
        <f>IF($A3245="","",TRIM(IF(ISERROR(FIND(",",$C3245)),$C3245,LEFT($C3245,FIND(",",$C3245)-1))))</f>
        <v/>
      </c>
      <c r="M3245" s="28">
        <f>IF($H3245="","",DATE(YEAR($H3245),MONTH($H3245),1))</f>
        <v/>
      </c>
      <c r="N3245" s="26">
        <f>IF($H3245="","",TODAY()-$H3245)</f>
        <v/>
      </c>
      <c r="O3245" s="15" t="n"/>
      <c r="P3245" s="26">
        <f>IF($A3245="","",COUNTIFS('Audit Versions'!$A$6:$A$605,$A3245,'Audit Versions'!$L$6:$L$605,"Active"))</f>
        <v/>
      </c>
      <c r="Q3245" s="15" t="n"/>
      <c r="R3245" s="26">
        <f>IF(OR($A3245="",$P3245=0),"",MOD(N($Q3245),$P3245)+1)</f>
        <v/>
      </c>
      <c r="S3245" s="15" t="n"/>
      <c r="T3245" s="25" t="n"/>
      <c r="U3245" s="26">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Builder'!$B$12="",N($S3245)&lt;='Assignment Builder'!$B$12)))</f>
        <v/>
      </c>
      <c r="V3245" s="23" t="n"/>
    </row>
    <row r="3246">
      <c r="A3246" s="23" t="n"/>
      <c r="B3246" s="23" t="n"/>
      <c r="C3246" s="24" t="n"/>
      <c r="D3246" s="15" t="n"/>
      <c r="E3246" s="23" t="n"/>
      <c r="F3246" s="15" t="n"/>
      <c r="G3246" s="23" t="n"/>
      <c r="H3246" s="25" t="n"/>
      <c r="I3246" s="15" t="n"/>
      <c r="J3246" s="26">
        <f>IF($A3246="","",LEN($C3246)-LEN(SUBSTITUTE($C3246,",",""))+1)</f>
        <v/>
      </c>
      <c r="K3246" s="26">
        <f>IF($A3246="","",SUMPRODUCT(--ISNUMBER(SEARCH('Category Dictionary'!$D$5:$D$135&amp;"",$C3246)),--('Category Dictionary'!$D$5:$D$135&lt;&gt;"")))</f>
        <v/>
      </c>
      <c r="L3246" s="27">
        <f>IF($A3246="","",TRIM(IF(ISERROR(FIND(",",$C3246)),$C3246,LEFT($C3246,FIND(",",$C3246)-1))))</f>
        <v/>
      </c>
      <c r="M3246" s="28">
        <f>IF($H3246="","",DATE(YEAR($H3246),MONTH($H3246),1))</f>
        <v/>
      </c>
      <c r="N3246" s="26">
        <f>IF($H3246="","",TODAY()-$H3246)</f>
        <v/>
      </c>
      <c r="O3246" s="15" t="n"/>
      <c r="P3246" s="26">
        <f>IF($A3246="","",COUNTIFS('Audit Versions'!$A$6:$A$605,$A3246,'Audit Versions'!$L$6:$L$605,"Active"))</f>
        <v/>
      </c>
      <c r="Q3246" s="15" t="n"/>
      <c r="R3246" s="26">
        <f>IF(OR($A3246="",$P3246=0),"",MOD(N($Q3246),$P3246)+1)</f>
        <v/>
      </c>
      <c r="S3246" s="15" t="n"/>
      <c r="T3246" s="25" t="n"/>
      <c r="U3246" s="26">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Builder'!$B$12="",N($S3246)&lt;='Assignment Builder'!$B$12)))</f>
        <v/>
      </c>
      <c r="V3246" s="23" t="n"/>
    </row>
    <row r="3247">
      <c r="A3247" s="23" t="n"/>
      <c r="B3247" s="23" t="n"/>
      <c r="C3247" s="24" t="n"/>
      <c r="D3247" s="15" t="n"/>
      <c r="E3247" s="23" t="n"/>
      <c r="F3247" s="15" t="n"/>
      <c r="G3247" s="23" t="n"/>
      <c r="H3247" s="25" t="n"/>
      <c r="I3247" s="15" t="n"/>
      <c r="J3247" s="26">
        <f>IF($A3247="","",LEN($C3247)-LEN(SUBSTITUTE($C3247,",",""))+1)</f>
        <v/>
      </c>
      <c r="K3247" s="26">
        <f>IF($A3247="","",SUMPRODUCT(--ISNUMBER(SEARCH('Category Dictionary'!$D$5:$D$135&amp;"",$C3247)),--('Category Dictionary'!$D$5:$D$135&lt;&gt;"")))</f>
        <v/>
      </c>
      <c r="L3247" s="27">
        <f>IF($A3247="","",TRIM(IF(ISERROR(FIND(",",$C3247)),$C3247,LEFT($C3247,FIND(",",$C3247)-1))))</f>
        <v/>
      </c>
      <c r="M3247" s="28">
        <f>IF($H3247="","",DATE(YEAR($H3247),MONTH($H3247),1))</f>
        <v/>
      </c>
      <c r="N3247" s="26">
        <f>IF($H3247="","",TODAY()-$H3247)</f>
        <v/>
      </c>
      <c r="O3247" s="15" t="n"/>
      <c r="P3247" s="26">
        <f>IF($A3247="","",COUNTIFS('Audit Versions'!$A$6:$A$605,$A3247,'Audit Versions'!$L$6:$L$605,"Active"))</f>
        <v/>
      </c>
      <c r="Q3247" s="15" t="n"/>
      <c r="R3247" s="26">
        <f>IF(OR($A3247="",$P3247=0),"",MOD(N($Q3247),$P3247)+1)</f>
        <v/>
      </c>
      <c r="S3247" s="15" t="n"/>
      <c r="T3247" s="25" t="n"/>
      <c r="U3247" s="26">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Builder'!$B$12="",N($S3247)&lt;='Assignment Builder'!$B$12)))</f>
        <v/>
      </c>
      <c r="V3247" s="23" t="n"/>
    </row>
    <row r="3248">
      <c r="A3248" s="23" t="n"/>
      <c r="B3248" s="23" t="n"/>
      <c r="C3248" s="24" t="n"/>
      <c r="D3248" s="15" t="n"/>
      <c r="E3248" s="23" t="n"/>
      <c r="F3248" s="15" t="n"/>
      <c r="G3248" s="23" t="n"/>
      <c r="H3248" s="25" t="n"/>
      <c r="I3248" s="15" t="n"/>
      <c r="J3248" s="26">
        <f>IF($A3248="","",LEN($C3248)-LEN(SUBSTITUTE($C3248,",",""))+1)</f>
        <v/>
      </c>
      <c r="K3248" s="26">
        <f>IF($A3248="","",SUMPRODUCT(--ISNUMBER(SEARCH('Category Dictionary'!$D$5:$D$135&amp;"",$C3248)),--('Category Dictionary'!$D$5:$D$135&lt;&gt;"")))</f>
        <v/>
      </c>
      <c r="L3248" s="27">
        <f>IF($A3248="","",TRIM(IF(ISERROR(FIND(",",$C3248)),$C3248,LEFT($C3248,FIND(",",$C3248)-1))))</f>
        <v/>
      </c>
      <c r="M3248" s="28">
        <f>IF($H3248="","",DATE(YEAR($H3248),MONTH($H3248),1))</f>
        <v/>
      </c>
      <c r="N3248" s="26">
        <f>IF($H3248="","",TODAY()-$H3248)</f>
        <v/>
      </c>
      <c r="O3248" s="15" t="n"/>
      <c r="P3248" s="26">
        <f>IF($A3248="","",COUNTIFS('Audit Versions'!$A$6:$A$605,$A3248,'Audit Versions'!$L$6:$L$605,"Active"))</f>
        <v/>
      </c>
      <c r="Q3248" s="15" t="n"/>
      <c r="R3248" s="26">
        <f>IF(OR($A3248="",$P3248=0),"",MOD(N($Q3248),$P3248)+1)</f>
        <v/>
      </c>
      <c r="S3248" s="15" t="n"/>
      <c r="T3248" s="25" t="n"/>
      <c r="U3248" s="26">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Builder'!$B$12="",N($S3248)&lt;='Assignment Builder'!$B$12)))</f>
        <v/>
      </c>
      <c r="V3248" s="23" t="n"/>
    </row>
    <row r="3249">
      <c r="A3249" s="23" t="n"/>
      <c r="B3249" s="23" t="n"/>
      <c r="C3249" s="24" t="n"/>
      <c r="D3249" s="15" t="n"/>
      <c r="E3249" s="23" t="n"/>
      <c r="F3249" s="15" t="n"/>
      <c r="G3249" s="23" t="n"/>
      <c r="H3249" s="25" t="n"/>
      <c r="I3249" s="15" t="n"/>
      <c r="J3249" s="26">
        <f>IF($A3249="","",LEN($C3249)-LEN(SUBSTITUTE($C3249,",",""))+1)</f>
        <v/>
      </c>
      <c r="K3249" s="26">
        <f>IF($A3249="","",SUMPRODUCT(--ISNUMBER(SEARCH('Category Dictionary'!$D$5:$D$135&amp;"",$C3249)),--('Category Dictionary'!$D$5:$D$135&lt;&gt;"")))</f>
        <v/>
      </c>
      <c r="L3249" s="27">
        <f>IF($A3249="","",TRIM(IF(ISERROR(FIND(",",$C3249)),$C3249,LEFT($C3249,FIND(",",$C3249)-1))))</f>
        <v/>
      </c>
      <c r="M3249" s="28">
        <f>IF($H3249="","",DATE(YEAR($H3249),MONTH($H3249),1))</f>
        <v/>
      </c>
      <c r="N3249" s="26">
        <f>IF($H3249="","",TODAY()-$H3249)</f>
        <v/>
      </c>
      <c r="O3249" s="15" t="n"/>
      <c r="P3249" s="26">
        <f>IF($A3249="","",COUNTIFS('Audit Versions'!$A$6:$A$605,$A3249,'Audit Versions'!$L$6:$L$605,"Active"))</f>
        <v/>
      </c>
      <c r="Q3249" s="15" t="n"/>
      <c r="R3249" s="26">
        <f>IF(OR($A3249="",$P3249=0),"",MOD(N($Q3249),$P3249)+1)</f>
        <v/>
      </c>
      <c r="S3249" s="15" t="n"/>
      <c r="T3249" s="25" t="n"/>
      <c r="U3249" s="26">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Builder'!$B$12="",N($S3249)&lt;='Assignment Builder'!$B$12)))</f>
        <v/>
      </c>
      <c r="V3249" s="23" t="n"/>
    </row>
    <row r="3250">
      <c r="A3250" s="23" t="n"/>
      <c r="B3250" s="23" t="n"/>
      <c r="C3250" s="24" t="n"/>
      <c r="D3250" s="15" t="n"/>
      <c r="E3250" s="23" t="n"/>
      <c r="F3250" s="15" t="n"/>
      <c r="G3250" s="23" t="n"/>
      <c r="H3250" s="25" t="n"/>
      <c r="I3250" s="15" t="n"/>
      <c r="J3250" s="26">
        <f>IF($A3250="","",LEN($C3250)-LEN(SUBSTITUTE($C3250,",",""))+1)</f>
        <v/>
      </c>
      <c r="K3250" s="26">
        <f>IF($A3250="","",SUMPRODUCT(--ISNUMBER(SEARCH('Category Dictionary'!$D$5:$D$135&amp;"",$C3250)),--('Category Dictionary'!$D$5:$D$135&lt;&gt;"")))</f>
        <v/>
      </c>
      <c r="L3250" s="27">
        <f>IF($A3250="","",TRIM(IF(ISERROR(FIND(",",$C3250)),$C3250,LEFT($C3250,FIND(",",$C3250)-1))))</f>
        <v/>
      </c>
      <c r="M3250" s="28">
        <f>IF($H3250="","",DATE(YEAR($H3250),MONTH($H3250),1))</f>
        <v/>
      </c>
      <c r="N3250" s="26">
        <f>IF($H3250="","",TODAY()-$H3250)</f>
        <v/>
      </c>
      <c r="O3250" s="15" t="n"/>
      <c r="P3250" s="26">
        <f>IF($A3250="","",COUNTIFS('Audit Versions'!$A$6:$A$605,$A3250,'Audit Versions'!$L$6:$L$605,"Active"))</f>
        <v/>
      </c>
      <c r="Q3250" s="15" t="n"/>
      <c r="R3250" s="26">
        <f>IF(OR($A3250="",$P3250=0),"",MOD(N($Q3250),$P3250)+1)</f>
        <v/>
      </c>
      <c r="S3250" s="15" t="n"/>
      <c r="T3250" s="25" t="n"/>
      <c r="U3250" s="26">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Builder'!$B$12="",N($S3250)&lt;='Assignment Builder'!$B$12)))</f>
        <v/>
      </c>
      <c r="V3250" s="23" t="n"/>
    </row>
    <row r="3251">
      <c r="A3251" s="23" t="n"/>
      <c r="B3251" s="23" t="n"/>
      <c r="C3251" s="24" t="n"/>
      <c r="D3251" s="15" t="n"/>
      <c r="E3251" s="23" t="n"/>
      <c r="F3251" s="15" t="n"/>
      <c r="G3251" s="23" t="n"/>
      <c r="H3251" s="25" t="n"/>
      <c r="I3251" s="15" t="n"/>
      <c r="J3251" s="26">
        <f>IF($A3251="","",LEN($C3251)-LEN(SUBSTITUTE($C3251,",",""))+1)</f>
        <v/>
      </c>
      <c r="K3251" s="26">
        <f>IF($A3251="","",SUMPRODUCT(--ISNUMBER(SEARCH('Category Dictionary'!$D$5:$D$135&amp;"",$C3251)),--('Category Dictionary'!$D$5:$D$135&lt;&gt;"")))</f>
        <v/>
      </c>
      <c r="L3251" s="27">
        <f>IF($A3251="","",TRIM(IF(ISERROR(FIND(",",$C3251)),$C3251,LEFT($C3251,FIND(",",$C3251)-1))))</f>
        <v/>
      </c>
      <c r="M3251" s="28">
        <f>IF($H3251="","",DATE(YEAR($H3251),MONTH($H3251),1))</f>
        <v/>
      </c>
      <c r="N3251" s="26">
        <f>IF($H3251="","",TODAY()-$H3251)</f>
        <v/>
      </c>
      <c r="O3251" s="15" t="n"/>
      <c r="P3251" s="26">
        <f>IF($A3251="","",COUNTIFS('Audit Versions'!$A$6:$A$605,$A3251,'Audit Versions'!$L$6:$L$605,"Active"))</f>
        <v/>
      </c>
      <c r="Q3251" s="15" t="n"/>
      <c r="R3251" s="26">
        <f>IF(OR($A3251="",$P3251=0),"",MOD(N($Q3251),$P3251)+1)</f>
        <v/>
      </c>
      <c r="S3251" s="15" t="n"/>
      <c r="T3251" s="25" t="n"/>
      <c r="U3251" s="26">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Builder'!$B$12="",N($S3251)&lt;='Assignment Builder'!$B$12)))</f>
        <v/>
      </c>
      <c r="V3251" s="23" t="n"/>
    </row>
    <row r="3252">
      <c r="A3252" s="23" t="n"/>
      <c r="B3252" s="23" t="n"/>
      <c r="C3252" s="24" t="n"/>
      <c r="D3252" s="15" t="n"/>
      <c r="E3252" s="23" t="n"/>
      <c r="F3252" s="15" t="n"/>
      <c r="G3252" s="23" t="n"/>
      <c r="H3252" s="25" t="n"/>
      <c r="I3252" s="15" t="n"/>
      <c r="J3252" s="26">
        <f>IF($A3252="","",LEN($C3252)-LEN(SUBSTITUTE($C3252,",",""))+1)</f>
        <v/>
      </c>
      <c r="K3252" s="26">
        <f>IF($A3252="","",SUMPRODUCT(--ISNUMBER(SEARCH('Category Dictionary'!$D$5:$D$135&amp;"",$C3252)),--('Category Dictionary'!$D$5:$D$135&lt;&gt;"")))</f>
        <v/>
      </c>
      <c r="L3252" s="27">
        <f>IF($A3252="","",TRIM(IF(ISERROR(FIND(",",$C3252)),$C3252,LEFT($C3252,FIND(",",$C3252)-1))))</f>
        <v/>
      </c>
      <c r="M3252" s="28">
        <f>IF($H3252="","",DATE(YEAR($H3252),MONTH($H3252),1))</f>
        <v/>
      </c>
      <c r="N3252" s="26">
        <f>IF($H3252="","",TODAY()-$H3252)</f>
        <v/>
      </c>
      <c r="O3252" s="15" t="n"/>
      <c r="P3252" s="26">
        <f>IF($A3252="","",COUNTIFS('Audit Versions'!$A$6:$A$605,$A3252,'Audit Versions'!$L$6:$L$605,"Active"))</f>
        <v/>
      </c>
      <c r="Q3252" s="15" t="n"/>
      <c r="R3252" s="26">
        <f>IF(OR($A3252="",$P3252=0),"",MOD(N($Q3252),$P3252)+1)</f>
        <v/>
      </c>
      <c r="S3252" s="15" t="n"/>
      <c r="T3252" s="25" t="n"/>
      <c r="U3252" s="26">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Builder'!$B$12="",N($S3252)&lt;='Assignment Builder'!$B$12)))</f>
        <v/>
      </c>
      <c r="V3252" s="23" t="n"/>
    </row>
    <row r="3253">
      <c r="A3253" s="23" t="n"/>
      <c r="B3253" s="23" t="n"/>
      <c r="C3253" s="24" t="n"/>
      <c r="D3253" s="15" t="n"/>
      <c r="E3253" s="23" t="n"/>
      <c r="F3253" s="15" t="n"/>
      <c r="G3253" s="23" t="n"/>
      <c r="H3253" s="25" t="n"/>
      <c r="I3253" s="15" t="n"/>
      <c r="J3253" s="26">
        <f>IF($A3253="","",LEN($C3253)-LEN(SUBSTITUTE($C3253,",",""))+1)</f>
        <v/>
      </c>
      <c r="K3253" s="26">
        <f>IF($A3253="","",SUMPRODUCT(--ISNUMBER(SEARCH('Category Dictionary'!$D$5:$D$135&amp;"",$C3253)),--('Category Dictionary'!$D$5:$D$135&lt;&gt;"")))</f>
        <v/>
      </c>
      <c r="L3253" s="27">
        <f>IF($A3253="","",TRIM(IF(ISERROR(FIND(",",$C3253)),$C3253,LEFT($C3253,FIND(",",$C3253)-1))))</f>
        <v/>
      </c>
      <c r="M3253" s="28">
        <f>IF($H3253="","",DATE(YEAR($H3253),MONTH($H3253),1))</f>
        <v/>
      </c>
      <c r="N3253" s="26">
        <f>IF($H3253="","",TODAY()-$H3253)</f>
        <v/>
      </c>
      <c r="O3253" s="15" t="n"/>
      <c r="P3253" s="26">
        <f>IF($A3253="","",COUNTIFS('Audit Versions'!$A$6:$A$605,$A3253,'Audit Versions'!$L$6:$L$605,"Active"))</f>
        <v/>
      </c>
      <c r="Q3253" s="15" t="n"/>
      <c r="R3253" s="26">
        <f>IF(OR($A3253="",$P3253=0),"",MOD(N($Q3253),$P3253)+1)</f>
        <v/>
      </c>
      <c r="S3253" s="15" t="n"/>
      <c r="T3253" s="25" t="n"/>
      <c r="U3253" s="26">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Builder'!$B$12="",N($S3253)&lt;='Assignment Builder'!$B$12)))</f>
        <v/>
      </c>
      <c r="V3253" s="23" t="n"/>
    </row>
    <row r="3254">
      <c r="A3254" s="23" t="n"/>
      <c r="B3254" s="23" t="n"/>
      <c r="C3254" s="24" t="n"/>
      <c r="D3254" s="15" t="n"/>
      <c r="E3254" s="23" t="n"/>
      <c r="F3254" s="15" t="n"/>
      <c r="G3254" s="23" t="n"/>
      <c r="H3254" s="25" t="n"/>
      <c r="I3254" s="15" t="n"/>
      <c r="J3254" s="26">
        <f>IF($A3254="","",LEN($C3254)-LEN(SUBSTITUTE($C3254,",",""))+1)</f>
        <v/>
      </c>
      <c r="K3254" s="26">
        <f>IF($A3254="","",SUMPRODUCT(--ISNUMBER(SEARCH('Category Dictionary'!$D$5:$D$135&amp;"",$C3254)),--('Category Dictionary'!$D$5:$D$135&lt;&gt;"")))</f>
        <v/>
      </c>
      <c r="L3254" s="27">
        <f>IF($A3254="","",TRIM(IF(ISERROR(FIND(",",$C3254)),$C3254,LEFT($C3254,FIND(",",$C3254)-1))))</f>
        <v/>
      </c>
      <c r="M3254" s="28">
        <f>IF($H3254="","",DATE(YEAR($H3254),MONTH($H3254),1))</f>
        <v/>
      </c>
      <c r="N3254" s="26">
        <f>IF($H3254="","",TODAY()-$H3254)</f>
        <v/>
      </c>
      <c r="O3254" s="15" t="n"/>
      <c r="P3254" s="26">
        <f>IF($A3254="","",COUNTIFS('Audit Versions'!$A$6:$A$605,$A3254,'Audit Versions'!$L$6:$L$605,"Active"))</f>
        <v/>
      </c>
      <c r="Q3254" s="15" t="n"/>
      <c r="R3254" s="26">
        <f>IF(OR($A3254="",$P3254=0),"",MOD(N($Q3254),$P3254)+1)</f>
        <v/>
      </c>
      <c r="S3254" s="15" t="n"/>
      <c r="T3254" s="25" t="n"/>
      <c r="U3254" s="26">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Builder'!$B$12="",N($S3254)&lt;='Assignment Builder'!$B$12)))</f>
        <v/>
      </c>
      <c r="V3254" s="23" t="n"/>
    </row>
    <row r="3255">
      <c r="A3255" s="23" t="n"/>
      <c r="B3255" s="23" t="n"/>
      <c r="C3255" s="24" t="n"/>
      <c r="D3255" s="15" t="n"/>
      <c r="E3255" s="23" t="n"/>
      <c r="F3255" s="15" t="n"/>
      <c r="G3255" s="23" t="n"/>
      <c r="H3255" s="25" t="n"/>
      <c r="I3255" s="15" t="n"/>
      <c r="J3255" s="26">
        <f>IF($A3255="","",LEN($C3255)-LEN(SUBSTITUTE($C3255,",",""))+1)</f>
        <v/>
      </c>
      <c r="K3255" s="26">
        <f>IF($A3255="","",SUMPRODUCT(--ISNUMBER(SEARCH('Category Dictionary'!$D$5:$D$135&amp;"",$C3255)),--('Category Dictionary'!$D$5:$D$135&lt;&gt;"")))</f>
        <v/>
      </c>
      <c r="L3255" s="27">
        <f>IF($A3255="","",TRIM(IF(ISERROR(FIND(",",$C3255)),$C3255,LEFT($C3255,FIND(",",$C3255)-1))))</f>
        <v/>
      </c>
      <c r="M3255" s="28">
        <f>IF($H3255="","",DATE(YEAR($H3255),MONTH($H3255),1))</f>
        <v/>
      </c>
      <c r="N3255" s="26">
        <f>IF($H3255="","",TODAY()-$H3255)</f>
        <v/>
      </c>
      <c r="O3255" s="15" t="n"/>
      <c r="P3255" s="26">
        <f>IF($A3255="","",COUNTIFS('Audit Versions'!$A$6:$A$605,$A3255,'Audit Versions'!$L$6:$L$605,"Active"))</f>
        <v/>
      </c>
      <c r="Q3255" s="15" t="n"/>
      <c r="R3255" s="26">
        <f>IF(OR($A3255="",$P3255=0),"",MOD(N($Q3255),$P3255)+1)</f>
        <v/>
      </c>
      <c r="S3255" s="15" t="n"/>
      <c r="T3255" s="25" t="n"/>
      <c r="U3255" s="26">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Builder'!$B$12="",N($S3255)&lt;='Assignment Builder'!$B$12)))</f>
        <v/>
      </c>
      <c r="V3255" s="23" t="n"/>
    </row>
    <row r="3256">
      <c r="A3256" s="23" t="n"/>
      <c r="B3256" s="23" t="n"/>
      <c r="C3256" s="24" t="n"/>
      <c r="D3256" s="15" t="n"/>
      <c r="E3256" s="23" t="n"/>
      <c r="F3256" s="15" t="n"/>
      <c r="G3256" s="23" t="n"/>
      <c r="H3256" s="25" t="n"/>
      <c r="I3256" s="15" t="n"/>
      <c r="J3256" s="26">
        <f>IF($A3256="","",LEN($C3256)-LEN(SUBSTITUTE($C3256,",",""))+1)</f>
        <v/>
      </c>
      <c r="K3256" s="26">
        <f>IF($A3256="","",SUMPRODUCT(--ISNUMBER(SEARCH('Category Dictionary'!$D$5:$D$135&amp;"",$C3256)),--('Category Dictionary'!$D$5:$D$135&lt;&gt;"")))</f>
        <v/>
      </c>
      <c r="L3256" s="27">
        <f>IF($A3256="","",TRIM(IF(ISERROR(FIND(",",$C3256)),$C3256,LEFT($C3256,FIND(",",$C3256)-1))))</f>
        <v/>
      </c>
      <c r="M3256" s="28">
        <f>IF($H3256="","",DATE(YEAR($H3256),MONTH($H3256),1))</f>
        <v/>
      </c>
      <c r="N3256" s="26">
        <f>IF($H3256="","",TODAY()-$H3256)</f>
        <v/>
      </c>
      <c r="O3256" s="15" t="n"/>
      <c r="P3256" s="26">
        <f>IF($A3256="","",COUNTIFS('Audit Versions'!$A$6:$A$605,$A3256,'Audit Versions'!$L$6:$L$605,"Active"))</f>
        <v/>
      </c>
      <c r="Q3256" s="15" t="n"/>
      <c r="R3256" s="26">
        <f>IF(OR($A3256="",$P3256=0),"",MOD(N($Q3256),$P3256)+1)</f>
        <v/>
      </c>
      <c r="S3256" s="15" t="n"/>
      <c r="T3256" s="25" t="n"/>
      <c r="U3256" s="26">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Builder'!$B$12="",N($S3256)&lt;='Assignment Builder'!$B$12)))</f>
        <v/>
      </c>
      <c r="V3256" s="23" t="n"/>
    </row>
    <row r="3257">
      <c r="A3257" s="23" t="n"/>
      <c r="B3257" s="23" t="n"/>
      <c r="C3257" s="24" t="n"/>
      <c r="D3257" s="15" t="n"/>
      <c r="E3257" s="23" t="n"/>
      <c r="F3257" s="15" t="n"/>
      <c r="G3257" s="23" t="n"/>
      <c r="H3257" s="25" t="n"/>
      <c r="I3257" s="15" t="n"/>
      <c r="J3257" s="26">
        <f>IF($A3257="","",LEN($C3257)-LEN(SUBSTITUTE($C3257,",",""))+1)</f>
        <v/>
      </c>
      <c r="K3257" s="26">
        <f>IF($A3257="","",SUMPRODUCT(--ISNUMBER(SEARCH('Category Dictionary'!$D$5:$D$135&amp;"",$C3257)),--('Category Dictionary'!$D$5:$D$135&lt;&gt;"")))</f>
        <v/>
      </c>
      <c r="L3257" s="27">
        <f>IF($A3257="","",TRIM(IF(ISERROR(FIND(",",$C3257)),$C3257,LEFT($C3257,FIND(",",$C3257)-1))))</f>
        <v/>
      </c>
      <c r="M3257" s="28">
        <f>IF($H3257="","",DATE(YEAR($H3257),MONTH($H3257),1))</f>
        <v/>
      </c>
      <c r="N3257" s="26">
        <f>IF($H3257="","",TODAY()-$H3257)</f>
        <v/>
      </c>
      <c r="O3257" s="15" t="n"/>
      <c r="P3257" s="26">
        <f>IF($A3257="","",COUNTIFS('Audit Versions'!$A$6:$A$605,$A3257,'Audit Versions'!$L$6:$L$605,"Active"))</f>
        <v/>
      </c>
      <c r="Q3257" s="15" t="n"/>
      <c r="R3257" s="26">
        <f>IF(OR($A3257="",$P3257=0),"",MOD(N($Q3257),$P3257)+1)</f>
        <v/>
      </c>
      <c r="S3257" s="15" t="n"/>
      <c r="T3257" s="25" t="n"/>
      <c r="U3257" s="26">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Builder'!$B$12="",N($S3257)&lt;='Assignment Builder'!$B$12)))</f>
        <v/>
      </c>
      <c r="V3257" s="23" t="n"/>
    </row>
    <row r="3258">
      <c r="A3258" s="23" t="n"/>
      <c r="B3258" s="23" t="n"/>
      <c r="C3258" s="24" t="n"/>
      <c r="D3258" s="15" t="n"/>
      <c r="E3258" s="23" t="n"/>
      <c r="F3258" s="15" t="n"/>
      <c r="G3258" s="23" t="n"/>
      <c r="H3258" s="25" t="n"/>
      <c r="I3258" s="15" t="n"/>
      <c r="J3258" s="26">
        <f>IF($A3258="","",LEN($C3258)-LEN(SUBSTITUTE($C3258,",",""))+1)</f>
        <v/>
      </c>
      <c r="K3258" s="26">
        <f>IF($A3258="","",SUMPRODUCT(--ISNUMBER(SEARCH('Category Dictionary'!$D$5:$D$135&amp;"",$C3258)),--('Category Dictionary'!$D$5:$D$135&lt;&gt;"")))</f>
        <v/>
      </c>
      <c r="L3258" s="27">
        <f>IF($A3258="","",TRIM(IF(ISERROR(FIND(",",$C3258)),$C3258,LEFT($C3258,FIND(",",$C3258)-1))))</f>
        <v/>
      </c>
      <c r="M3258" s="28">
        <f>IF($H3258="","",DATE(YEAR($H3258),MONTH($H3258),1))</f>
        <v/>
      </c>
      <c r="N3258" s="26">
        <f>IF($H3258="","",TODAY()-$H3258)</f>
        <v/>
      </c>
      <c r="O3258" s="15" t="n"/>
      <c r="P3258" s="26">
        <f>IF($A3258="","",COUNTIFS('Audit Versions'!$A$6:$A$605,$A3258,'Audit Versions'!$L$6:$L$605,"Active"))</f>
        <v/>
      </c>
      <c r="Q3258" s="15" t="n"/>
      <c r="R3258" s="26">
        <f>IF(OR($A3258="",$P3258=0),"",MOD(N($Q3258),$P3258)+1)</f>
        <v/>
      </c>
      <c r="S3258" s="15" t="n"/>
      <c r="T3258" s="25" t="n"/>
      <c r="U3258" s="26">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Builder'!$B$12="",N($S3258)&lt;='Assignment Builder'!$B$12)))</f>
        <v/>
      </c>
      <c r="V3258" s="23" t="n"/>
    </row>
    <row r="3259">
      <c r="A3259" s="23" t="n"/>
      <c r="B3259" s="23" t="n"/>
      <c r="C3259" s="24" t="n"/>
      <c r="D3259" s="15" t="n"/>
      <c r="E3259" s="23" t="n"/>
      <c r="F3259" s="15" t="n"/>
      <c r="G3259" s="23" t="n"/>
      <c r="H3259" s="25" t="n"/>
      <c r="I3259" s="15" t="n"/>
      <c r="J3259" s="26">
        <f>IF($A3259="","",LEN($C3259)-LEN(SUBSTITUTE($C3259,",",""))+1)</f>
        <v/>
      </c>
      <c r="K3259" s="26">
        <f>IF($A3259="","",SUMPRODUCT(--ISNUMBER(SEARCH('Category Dictionary'!$D$5:$D$135&amp;"",$C3259)),--('Category Dictionary'!$D$5:$D$135&lt;&gt;"")))</f>
        <v/>
      </c>
      <c r="L3259" s="27">
        <f>IF($A3259="","",TRIM(IF(ISERROR(FIND(",",$C3259)),$C3259,LEFT($C3259,FIND(",",$C3259)-1))))</f>
        <v/>
      </c>
      <c r="M3259" s="28">
        <f>IF($H3259="","",DATE(YEAR($H3259),MONTH($H3259),1))</f>
        <v/>
      </c>
      <c r="N3259" s="26">
        <f>IF($H3259="","",TODAY()-$H3259)</f>
        <v/>
      </c>
      <c r="O3259" s="15" t="n"/>
      <c r="P3259" s="26">
        <f>IF($A3259="","",COUNTIFS('Audit Versions'!$A$6:$A$605,$A3259,'Audit Versions'!$L$6:$L$605,"Active"))</f>
        <v/>
      </c>
      <c r="Q3259" s="15" t="n"/>
      <c r="R3259" s="26">
        <f>IF(OR($A3259="",$P3259=0),"",MOD(N($Q3259),$P3259)+1)</f>
        <v/>
      </c>
      <c r="S3259" s="15" t="n"/>
      <c r="T3259" s="25" t="n"/>
      <c r="U3259" s="26">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Builder'!$B$12="",N($S3259)&lt;='Assignment Builder'!$B$12)))</f>
        <v/>
      </c>
      <c r="V3259" s="23" t="n"/>
    </row>
    <row r="3260">
      <c r="A3260" s="23" t="n"/>
      <c r="B3260" s="23" t="n"/>
      <c r="C3260" s="24" t="n"/>
      <c r="D3260" s="15" t="n"/>
      <c r="E3260" s="23" t="n"/>
      <c r="F3260" s="15" t="n"/>
      <c r="G3260" s="23" t="n"/>
      <c r="H3260" s="25" t="n"/>
      <c r="I3260" s="15" t="n"/>
      <c r="J3260" s="26">
        <f>IF($A3260="","",LEN($C3260)-LEN(SUBSTITUTE($C3260,",",""))+1)</f>
        <v/>
      </c>
      <c r="K3260" s="26">
        <f>IF($A3260="","",SUMPRODUCT(--ISNUMBER(SEARCH('Category Dictionary'!$D$5:$D$135&amp;"",$C3260)),--('Category Dictionary'!$D$5:$D$135&lt;&gt;"")))</f>
        <v/>
      </c>
      <c r="L3260" s="27">
        <f>IF($A3260="","",TRIM(IF(ISERROR(FIND(",",$C3260)),$C3260,LEFT($C3260,FIND(",",$C3260)-1))))</f>
        <v/>
      </c>
      <c r="M3260" s="28">
        <f>IF($H3260="","",DATE(YEAR($H3260),MONTH($H3260),1))</f>
        <v/>
      </c>
      <c r="N3260" s="26">
        <f>IF($H3260="","",TODAY()-$H3260)</f>
        <v/>
      </c>
      <c r="O3260" s="15" t="n"/>
      <c r="P3260" s="26">
        <f>IF($A3260="","",COUNTIFS('Audit Versions'!$A$6:$A$605,$A3260,'Audit Versions'!$L$6:$L$605,"Active"))</f>
        <v/>
      </c>
      <c r="Q3260" s="15" t="n"/>
      <c r="R3260" s="26">
        <f>IF(OR($A3260="",$P3260=0),"",MOD(N($Q3260),$P3260)+1)</f>
        <v/>
      </c>
      <c r="S3260" s="15" t="n"/>
      <c r="T3260" s="25" t="n"/>
      <c r="U3260" s="26">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Builder'!$B$12="",N($S3260)&lt;='Assignment Builder'!$B$12)))</f>
        <v/>
      </c>
      <c r="V3260" s="23" t="n"/>
    </row>
    <row r="3261">
      <c r="A3261" s="23" t="n"/>
      <c r="B3261" s="23" t="n"/>
      <c r="C3261" s="24" t="n"/>
      <c r="D3261" s="15" t="n"/>
      <c r="E3261" s="23" t="n"/>
      <c r="F3261" s="15" t="n"/>
      <c r="G3261" s="23" t="n"/>
      <c r="H3261" s="25" t="n"/>
      <c r="I3261" s="15" t="n"/>
      <c r="J3261" s="26">
        <f>IF($A3261="","",LEN($C3261)-LEN(SUBSTITUTE($C3261,",",""))+1)</f>
        <v/>
      </c>
      <c r="K3261" s="26">
        <f>IF($A3261="","",SUMPRODUCT(--ISNUMBER(SEARCH('Category Dictionary'!$D$5:$D$135&amp;"",$C3261)),--('Category Dictionary'!$D$5:$D$135&lt;&gt;"")))</f>
        <v/>
      </c>
      <c r="L3261" s="27">
        <f>IF($A3261="","",TRIM(IF(ISERROR(FIND(",",$C3261)),$C3261,LEFT($C3261,FIND(",",$C3261)-1))))</f>
        <v/>
      </c>
      <c r="M3261" s="28">
        <f>IF($H3261="","",DATE(YEAR($H3261),MONTH($H3261),1))</f>
        <v/>
      </c>
      <c r="N3261" s="26">
        <f>IF($H3261="","",TODAY()-$H3261)</f>
        <v/>
      </c>
      <c r="O3261" s="15" t="n"/>
      <c r="P3261" s="26">
        <f>IF($A3261="","",COUNTIFS('Audit Versions'!$A$6:$A$605,$A3261,'Audit Versions'!$L$6:$L$605,"Active"))</f>
        <v/>
      </c>
      <c r="Q3261" s="15" t="n"/>
      <c r="R3261" s="26">
        <f>IF(OR($A3261="",$P3261=0),"",MOD(N($Q3261),$P3261)+1)</f>
        <v/>
      </c>
      <c r="S3261" s="15" t="n"/>
      <c r="T3261" s="25" t="n"/>
      <c r="U3261" s="26">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Builder'!$B$12="",N($S3261)&lt;='Assignment Builder'!$B$12)))</f>
        <v/>
      </c>
      <c r="V3261" s="23" t="n"/>
    </row>
    <row r="3262">
      <c r="A3262" s="23" t="n"/>
      <c r="B3262" s="23" t="n"/>
      <c r="C3262" s="24" t="n"/>
      <c r="D3262" s="15" t="n"/>
      <c r="E3262" s="23" t="n"/>
      <c r="F3262" s="15" t="n"/>
      <c r="G3262" s="23" t="n"/>
      <c r="H3262" s="25" t="n"/>
      <c r="I3262" s="15" t="n"/>
      <c r="J3262" s="26">
        <f>IF($A3262="","",LEN($C3262)-LEN(SUBSTITUTE($C3262,",",""))+1)</f>
        <v/>
      </c>
      <c r="K3262" s="26">
        <f>IF($A3262="","",SUMPRODUCT(--ISNUMBER(SEARCH('Category Dictionary'!$D$5:$D$135&amp;"",$C3262)),--('Category Dictionary'!$D$5:$D$135&lt;&gt;"")))</f>
        <v/>
      </c>
      <c r="L3262" s="27">
        <f>IF($A3262="","",TRIM(IF(ISERROR(FIND(",",$C3262)),$C3262,LEFT($C3262,FIND(",",$C3262)-1))))</f>
        <v/>
      </c>
      <c r="M3262" s="28">
        <f>IF($H3262="","",DATE(YEAR($H3262),MONTH($H3262),1))</f>
        <v/>
      </c>
      <c r="N3262" s="26">
        <f>IF($H3262="","",TODAY()-$H3262)</f>
        <v/>
      </c>
      <c r="O3262" s="15" t="n"/>
      <c r="P3262" s="26">
        <f>IF($A3262="","",COUNTIFS('Audit Versions'!$A$6:$A$605,$A3262,'Audit Versions'!$L$6:$L$605,"Active"))</f>
        <v/>
      </c>
      <c r="Q3262" s="15" t="n"/>
      <c r="R3262" s="26">
        <f>IF(OR($A3262="",$P3262=0),"",MOD(N($Q3262),$P3262)+1)</f>
        <v/>
      </c>
      <c r="S3262" s="15" t="n"/>
      <c r="T3262" s="25" t="n"/>
      <c r="U3262" s="26">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Builder'!$B$12="",N($S3262)&lt;='Assignment Builder'!$B$12)))</f>
        <v/>
      </c>
      <c r="V3262" s="23" t="n"/>
    </row>
    <row r="3263">
      <c r="A3263" s="23" t="n"/>
      <c r="B3263" s="23" t="n"/>
      <c r="C3263" s="24" t="n"/>
      <c r="D3263" s="15" t="n"/>
      <c r="E3263" s="23" t="n"/>
      <c r="F3263" s="15" t="n"/>
      <c r="G3263" s="23" t="n"/>
      <c r="H3263" s="25" t="n"/>
      <c r="I3263" s="15" t="n"/>
      <c r="J3263" s="26">
        <f>IF($A3263="","",LEN($C3263)-LEN(SUBSTITUTE($C3263,",",""))+1)</f>
        <v/>
      </c>
      <c r="K3263" s="26">
        <f>IF($A3263="","",SUMPRODUCT(--ISNUMBER(SEARCH('Category Dictionary'!$D$5:$D$135&amp;"",$C3263)),--('Category Dictionary'!$D$5:$D$135&lt;&gt;"")))</f>
        <v/>
      </c>
      <c r="L3263" s="27">
        <f>IF($A3263="","",TRIM(IF(ISERROR(FIND(",",$C3263)),$C3263,LEFT($C3263,FIND(",",$C3263)-1))))</f>
        <v/>
      </c>
      <c r="M3263" s="28">
        <f>IF($H3263="","",DATE(YEAR($H3263),MONTH($H3263),1))</f>
        <v/>
      </c>
      <c r="N3263" s="26">
        <f>IF($H3263="","",TODAY()-$H3263)</f>
        <v/>
      </c>
      <c r="O3263" s="15" t="n"/>
      <c r="P3263" s="26">
        <f>IF($A3263="","",COUNTIFS('Audit Versions'!$A$6:$A$605,$A3263,'Audit Versions'!$L$6:$L$605,"Active"))</f>
        <v/>
      </c>
      <c r="Q3263" s="15" t="n"/>
      <c r="R3263" s="26">
        <f>IF(OR($A3263="",$P3263=0),"",MOD(N($Q3263),$P3263)+1)</f>
        <v/>
      </c>
      <c r="S3263" s="15" t="n"/>
      <c r="T3263" s="25" t="n"/>
      <c r="U3263" s="26">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Builder'!$B$12="",N($S3263)&lt;='Assignment Builder'!$B$12)))</f>
        <v/>
      </c>
      <c r="V3263" s="23" t="n"/>
    </row>
    <row r="3264">
      <c r="A3264" s="23" t="n"/>
      <c r="B3264" s="23" t="n"/>
      <c r="C3264" s="24" t="n"/>
      <c r="D3264" s="15" t="n"/>
      <c r="E3264" s="23" t="n"/>
      <c r="F3264" s="15" t="n"/>
      <c r="G3264" s="23" t="n"/>
      <c r="H3264" s="25" t="n"/>
      <c r="I3264" s="15" t="n"/>
      <c r="J3264" s="26">
        <f>IF($A3264="","",LEN($C3264)-LEN(SUBSTITUTE($C3264,",",""))+1)</f>
        <v/>
      </c>
      <c r="K3264" s="26">
        <f>IF($A3264="","",SUMPRODUCT(--ISNUMBER(SEARCH('Category Dictionary'!$D$5:$D$135&amp;"",$C3264)),--('Category Dictionary'!$D$5:$D$135&lt;&gt;"")))</f>
        <v/>
      </c>
      <c r="L3264" s="27">
        <f>IF($A3264="","",TRIM(IF(ISERROR(FIND(",",$C3264)),$C3264,LEFT($C3264,FIND(",",$C3264)-1))))</f>
        <v/>
      </c>
      <c r="M3264" s="28">
        <f>IF($H3264="","",DATE(YEAR($H3264),MONTH($H3264),1))</f>
        <v/>
      </c>
      <c r="N3264" s="26">
        <f>IF($H3264="","",TODAY()-$H3264)</f>
        <v/>
      </c>
      <c r="O3264" s="15" t="n"/>
      <c r="P3264" s="26">
        <f>IF($A3264="","",COUNTIFS('Audit Versions'!$A$6:$A$605,$A3264,'Audit Versions'!$L$6:$L$605,"Active"))</f>
        <v/>
      </c>
      <c r="Q3264" s="15" t="n"/>
      <c r="R3264" s="26">
        <f>IF(OR($A3264="",$P3264=0),"",MOD(N($Q3264),$P3264)+1)</f>
        <v/>
      </c>
      <c r="S3264" s="15" t="n"/>
      <c r="T3264" s="25" t="n"/>
      <c r="U3264" s="26">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Builder'!$B$12="",N($S3264)&lt;='Assignment Builder'!$B$12)))</f>
        <v/>
      </c>
      <c r="V3264" s="23" t="n"/>
    </row>
    <row r="3265">
      <c r="A3265" s="23" t="n"/>
      <c r="B3265" s="23" t="n"/>
      <c r="C3265" s="24" t="n"/>
      <c r="D3265" s="15" t="n"/>
      <c r="E3265" s="23" t="n"/>
      <c r="F3265" s="15" t="n"/>
      <c r="G3265" s="23" t="n"/>
      <c r="H3265" s="25" t="n"/>
      <c r="I3265" s="15" t="n"/>
      <c r="J3265" s="26">
        <f>IF($A3265="","",LEN($C3265)-LEN(SUBSTITUTE($C3265,",",""))+1)</f>
        <v/>
      </c>
      <c r="K3265" s="26">
        <f>IF($A3265="","",SUMPRODUCT(--ISNUMBER(SEARCH('Category Dictionary'!$D$5:$D$135&amp;"",$C3265)),--('Category Dictionary'!$D$5:$D$135&lt;&gt;"")))</f>
        <v/>
      </c>
      <c r="L3265" s="27">
        <f>IF($A3265="","",TRIM(IF(ISERROR(FIND(",",$C3265)),$C3265,LEFT($C3265,FIND(",",$C3265)-1))))</f>
        <v/>
      </c>
      <c r="M3265" s="28">
        <f>IF($H3265="","",DATE(YEAR($H3265),MONTH($H3265),1))</f>
        <v/>
      </c>
      <c r="N3265" s="26">
        <f>IF($H3265="","",TODAY()-$H3265)</f>
        <v/>
      </c>
      <c r="O3265" s="15" t="n"/>
      <c r="P3265" s="26">
        <f>IF($A3265="","",COUNTIFS('Audit Versions'!$A$6:$A$605,$A3265,'Audit Versions'!$L$6:$L$605,"Active"))</f>
        <v/>
      </c>
      <c r="Q3265" s="15" t="n"/>
      <c r="R3265" s="26">
        <f>IF(OR($A3265="",$P3265=0),"",MOD(N($Q3265),$P3265)+1)</f>
        <v/>
      </c>
      <c r="S3265" s="15" t="n"/>
      <c r="T3265" s="25" t="n"/>
      <c r="U3265" s="26">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Builder'!$B$12="",N($S3265)&lt;='Assignment Builder'!$B$12)))</f>
        <v/>
      </c>
      <c r="V3265" s="23" t="n"/>
    </row>
    <row r="3266">
      <c r="A3266" s="23" t="n"/>
      <c r="B3266" s="23" t="n"/>
      <c r="C3266" s="24" t="n"/>
      <c r="D3266" s="15" t="n"/>
      <c r="E3266" s="23" t="n"/>
      <c r="F3266" s="15" t="n"/>
      <c r="G3266" s="23" t="n"/>
      <c r="H3266" s="25" t="n"/>
      <c r="I3266" s="15" t="n"/>
      <c r="J3266" s="26">
        <f>IF($A3266="","",LEN($C3266)-LEN(SUBSTITUTE($C3266,",",""))+1)</f>
        <v/>
      </c>
      <c r="K3266" s="26">
        <f>IF($A3266="","",SUMPRODUCT(--ISNUMBER(SEARCH('Category Dictionary'!$D$5:$D$135&amp;"",$C3266)),--('Category Dictionary'!$D$5:$D$135&lt;&gt;"")))</f>
        <v/>
      </c>
      <c r="L3266" s="27">
        <f>IF($A3266="","",TRIM(IF(ISERROR(FIND(",",$C3266)),$C3266,LEFT($C3266,FIND(",",$C3266)-1))))</f>
        <v/>
      </c>
      <c r="M3266" s="28">
        <f>IF($H3266="","",DATE(YEAR($H3266),MONTH($H3266),1))</f>
        <v/>
      </c>
      <c r="N3266" s="26">
        <f>IF($H3266="","",TODAY()-$H3266)</f>
        <v/>
      </c>
      <c r="O3266" s="15" t="n"/>
      <c r="P3266" s="26">
        <f>IF($A3266="","",COUNTIFS('Audit Versions'!$A$6:$A$605,$A3266,'Audit Versions'!$L$6:$L$605,"Active"))</f>
        <v/>
      </c>
      <c r="Q3266" s="15" t="n"/>
      <c r="R3266" s="26">
        <f>IF(OR($A3266="",$P3266=0),"",MOD(N($Q3266),$P3266)+1)</f>
        <v/>
      </c>
      <c r="S3266" s="15" t="n"/>
      <c r="T3266" s="25" t="n"/>
      <c r="U3266" s="26">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Builder'!$B$12="",N($S3266)&lt;='Assignment Builder'!$B$12)))</f>
        <v/>
      </c>
      <c r="V3266" s="23" t="n"/>
    </row>
    <row r="3267">
      <c r="A3267" s="23" t="n"/>
      <c r="B3267" s="23" t="n"/>
      <c r="C3267" s="24" t="n"/>
      <c r="D3267" s="15" t="n"/>
      <c r="E3267" s="23" t="n"/>
      <c r="F3267" s="15" t="n"/>
      <c r="G3267" s="23" t="n"/>
      <c r="H3267" s="25" t="n"/>
      <c r="I3267" s="15" t="n"/>
      <c r="J3267" s="26">
        <f>IF($A3267="","",LEN($C3267)-LEN(SUBSTITUTE($C3267,",",""))+1)</f>
        <v/>
      </c>
      <c r="K3267" s="26">
        <f>IF($A3267="","",SUMPRODUCT(--ISNUMBER(SEARCH('Category Dictionary'!$D$5:$D$135&amp;"",$C3267)),--('Category Dictionary'!$D$5:$D$135&lt;&gt;"")))</f>
        <v/>
      </c>
      <c r="L3267" s="27">
        <f>IF($A3267="","",TRIM(IF(ISERROR(FIND(",",$C3267)),$C3267,LEFT($C3267,FIND(",",$C3267)-1))))</f>
        <v/>
      </c>
      <c r="M3267" s="28">
        <f>IF($H3267="","",DATE(YEAR($H3267),MONTH($H3267),1))</f>
        <v/>
      </c>
      <c r="N3267" s="26">
        <f>IF($H3267="","",TODAY()-$H3267)</f>
        <v/>
      </c>
      <c r="O3267" s="15" t="n"/>
      <c r="P3267" s="26">
        <f>IF($A3267="","",COUNTIFS('Audit Versions'!$A$6:$A$605,$A3267,'Audit Versions'!$L$6:$L$605,"Active"))</f>
        <v/>
      </c>
      <c r="Q3267" s="15" t="n"/>
      <c r="R3267" s="26">
        <f>IF(OR($A3267="",$P3267=0),"",MOD(N($Q3267),$P3267)+1)</f>
        <v/>
      </c>
      <c r="S3267" s="15" t="n"/>
      <c r="T3267" s="25" t="n"/>
      <c r="U3267" s="26">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Builder'!$B$12="",N($S3267)&lt;='Assignment Builder'!$B$12)))</f>
        <v/>
      </c>
      <c r="V3267" s="23" t="n"/>
    </row>
    <row r="3268">
      <c r="A3268" s="23" t="n"/>
      <c r="B3268" s="23" t="n"/>
      <c r="C3268" s="24" t="n"/>
      <c r="D3268" s="15" t="n"/>
      <c r="E3268" s="23" t="n"/>
      <c r="F3268" s="15" t="n"/>
      <c r="G3268" s="23" t="n"/>
      <c r="H3268" s="25" t="n"/>
      <c r="I3268" s="15" t="n"/>
      <c r="J3268" s="26">
        <f>IF($A3268="","",LEN($C3268)-LEN(SUBSTITUTE($C3268,",",""))+1)</f>
        <v/>
      </c>
      <c r="K3268" s="26">
        <f>IF($A3268="","",SUMPRODUCT(--ISNUMBER(SEARCH('Category Dictionary'!$D$5:$D$135&amp;"",$C3268)),--('Category Dictionary'!$D$5:$D$135&lt;&gt;"")))</f>
        <v/>
      </c>
      <c r="L3268" s="27">
        <f>IF($A3268="","",TRIM(IF(ISERROR(FIND(",",$C3268)),$C3268,LEFT($C3268,FIND(",",$C3268)-1))))</f>
        <v/>
      </c>
      <c r="M3268" s="28">
        <f>IF($H3268="","",DATE(YEAR($H3268),MONTH($H3268),1))</f>
        <v/>
      </c>
      <c r="N3268" s="26">
        <f>IF($H3268="","",TODAY()-$H3268)</f>
        <v/>
      </c>
      <c r="O3268" s="15" t="n"/>
      <c r="P3268" s="26">
        <f>IF($A3268="","",COUNTIFS('Audit Versions'!$A$6:$A$605,$A3268,'Audit Versions'!$L$6:$L$605,"Active"))</f>
        <v/>
      </c>
      <c r="Q3268" s="15" t="n"/>
      <c r="R3268" s="26">
        <f>IF(OR($A3268="",$P3268=0),"",MOD(N($Q3268),$P3268)+1)</f>
        <v/>
      </c>
      <c r="S3268" s="15" t="n"/>
      <c r="T3268" s="25" t="n"/>
      <c r="U3268" s="26">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Builder'!$B$12="",N($S3268)&lt;='Assignment Builder'!$B$12)))</f>
        <v/>
      </c>
      <c r="V3268" s="23" t="n"/>
    </row>
    <row r="3269">
      <c r="A3269" s="23" t="n"/>
      <c r="B3269" s="23" t="n"/>
      <c r="C3269" s="24" t="n"/>
      <c r="D3269" s="15" t="n"/>
      <c r="E3269" s="23" t="n"/>
      <c r="F3269" s="15" t="n"/>
      <c r="G3269" s="23" t="n"/>
      <c r="H3269" s="25" t="n"/>
      <c r="I3269" s="15" t="n"/>
      <c r="J3269" s="26">
        <f>IF($A3269="","",LEN($C3269)-LEN(SUBSTITUTE($C3269,",",""))+1)</f>
        <v/>
      </c>
      <c r="K3269" s="26">
        <f>IF($A3269="","",SUMPRODUCT(--ISNUMBER(SEARCH('Category Dictionary'!$D$5:$D$135&amp;"",$C3269)),--('Category Dictionary'!$D$5:$D$135&lt;&gt;"")))</f>
        <v/>
      </c>
      <c r="L3269" s="27">
        <f>IF($A3269="","",TRIM(IF(ISERROR(FIND(",",$C3269)),$C3269,LEFT($C3269,FIND(",",$C3269)-1))))</f>
        <v/>
      </c>
      <c r="M3269" s="28">
        <f>IF($H3269="","",DATE(YEAR($H3269),MONTH($H3269),1))</f>
        <v/>
      </c>
      <c r="N3269" s="26">
        <f>IF($H3269="","",TODAY()-$H3269)</f>
        <v/>
      </c>
      <c r="O3269" s="15" t="n"/>
      <c r="P3269" s="26">
        <f>IF($A3269="","",COUNTIFS('Audit Versions'!$A$6:$A$605,$A3269,'Audit Versions'!$L$6:$L$605,"Active"))</f>
        <v/>
      </c>
      <c r="Q3269" s="15" t="n"/>
      <c r="R3269" s="26">
        <f>IF(OR($A3269="",$P3269=0),"",MOD(N($Q3269),$P3269)+1)</f>
        <v/>
      </c>
      <c r="S3269" s="15" t="n"/>
      <c r="T3269" s="25" t="n"/>
      <c r="U3269" s="26">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Builder'!$B$12="",N($S3269)&lt;='Assignment Builder'!$B$12)))</f>
        <v/>
      </c>
      <c r="V3269" s="23" t="n"/>
    </row>
    <row r="3270">
      <c r="A3270" s="23" t="n"/>
      <c r="B3270" s="23" t="n"/>
      <c r="C3270" s="24" t="n"/>
      <c r="D3270" s="15" t="n"/>
      <c r="E3270" s="23" t="n"/>
      <c r="F3270" s="15" t="n"/>
      <c r="G3270" s="23" t="n"/>
      <c r="H3270" s="25" t="n"/>
      <c r="I3270" s="15" t="n"/>
      <c r="J3270" s="26">
        <f>IF($A3270="","",LEN($C3270)-LEN(SUBSTITUTE($C3270,",",""))+1)</f>
        <v/>
      </c>
      <c r="K3270" s="26">
        <f>IF($A3270="","",SUMPRODUCT(--ISNUMBER(SEARCH('Category Dictionary'!$D$5:$D$135&amp;"",$C3270)),--('Category Dictionary'!$D$5:$D$135&lt;&gt;"")))</f>
        <v/>
      </c>
      <c r="L3270" s="27">
        <f>IF($A3270="","",TRIM(IF(ISERROR(FIND(",",$C3270)),$C3270,LEFT($C3270,FIND(",",$C3270)-1))))</f>
        <v/>
      </c>
      <c r="M3270" s="28">
        <f>IF($H3270="","",DATE(YEAR($H3270),MONTH($H3270),1))</f>
        <v/>
      </c>
      <c r="N3270" s="26">
        <f>IF($H3270="","",TODAY()-$H3270)</f>
        <v/>
      </c>
      <c r="O3270" s="15" t="n"/>
      <c r="P3270" s="26">
        <f>IF($A3270="","",COUNTIFS('Audit Versions'!$A$6:$A$605,$A3270,'Audit Versions'!$L$6:$L$605,"Active"))</f>
        <v/>
      </c>
      <c r="Q3270" s="15" t="n"/>
      <c r="R3270" s="26">
        <f>IF(OR($A3270="",$P3270=0),"",MOD(N($Q3270),$P3270)+1)</f>
        <v/>
      </c>
      <c r="S3270" s="15" t="n"/>
      <c r="T3270" s="25" t="n"/>
      <c r="U3270" s="26">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Builder'!$B$12="",N($S3270)&lt;='Assignment Builder'!$B$12)))</f>
        <v/>
      </c>
      <c r="V3270" s="23" t="n"/>
    </row>
    <row r="3271">
      <c r="A3271" s="23" t="n"/>
      <c r="B3271" s="23" t="n"/>
      <c r="C3271" s="24" t="n"/>
      <c r="D3271" s="15" t="n"/>
      <c r="E3271" s="23" t="n"/>
      <c r="F3271" s="15" t="n"/>
      <c r="G3271" s="23" t="n"/>
      <c r="H3271" s="25" t="n"/>
      <c r="I3271" s="15" t="n"/>
      <c r="J3271" s="26">
        <f>IF($A3271="","",LEN($C3271)-LEN(SUBSTITUTE($C3271,",",""))+1)</f>
        <v/>
      </c>
      <c r="K3271" s="26">
        <f>IF($A3271="","",SUMPRODUCT(--ISNUMBER(SEARCH('Category Dictionary'!$D$5:$D$135&amp;"",$C3271)),--('Category Dictionary'!$D$5:$D$135&lt;&gt;"")))</f>
        <v/>
      </c>
      <c r="L3271" s="27">
        <f>IF($A3271="","",TRIM(IF(ISERROR(FIND(",",$C3271)),$C3271,LEFT($C3271,FIND(",",$C3271)-1))))</f>
        <v/>
      </c>
      <c r="M3271" s="28">
        <f>IF($H3271="","",DATE(YEAR($H3271),MONTH($H3271),1))</f>
        <v/>
      </c>
      <c r="N3271" s="26">
        <f>IF($H3271="","",TODAY()-$H3271)</f>
        <v/>
      </c>
      <c r="O3271" s="15" t="n"/>
      <c r="P3271" s="26">
        <f>IF($A3271="","",COUNTIFS('Audit Versions'!$A$6:$A$605,$A3271,'Audit Versions'!$L$6:$L$605,"Active"))</f>
        <v/>
      </c>
      <c r="Q3271" s="15" t="n"/>
      <c r="R3271" s="26">
        <f>IF(OR($A3271="",$P3271=0),"",MOD(N($Q3271),$P3271)+1)</f>
        <v/>
      </c>
      <c r="S3271" s="15" t="n"/>
      <c r="T3271" s="25" t="n"/>
      <c r="U3271" s="26">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Builder'!$B$12="",N($S3271)&lt;='Assignment Builder'!$B$12)))</f>
        <v/>
      </c>
      <c r="V3271" s="23" t="n"/>
    </row>
    <row r="3272">
      <c r="A3272" s="23" t="n"/>
      <c r="B3272" s="23" t="n"/>
      <c r="C3272" s="24" t="n"/>
      <c r="D3272" s="15" t="n"/>
      <c r="E3272" s="23" t="n"/>
      <c r="F3272" s="15" t="n"/>
      <c r="G3272" s="23" t="n"/>
      <c r="H3272" s="25" t="n"/>
      <c r="I3272" s="15" t="n"/>
      <c r="J3272" s="26">
        <f>IF($A3272="","",LEN($C3272)-LEN(SUBSTITUTE($C3272,",",""))+1)</f>
        <v/>
      </c>
      <c r="K3272" s="26">
        <f>IF($A3272="","",SUMPRODUCT(--ISNUMBER(SEARCH('Category Dictionary'!$D$5:$D$135&amp;"",$C3272)),--('Category Dictionary'!$D$5:$D$135&lt;&gt;"")))</f>
        <v/>
      </c>
      <c r="L3272" s="27">
        <f>IF($A3272="","",TRIM(IF(ISERROR(FIND(",",$C3272)),$C3272,LEFT($C3272,FIND(",",$C3272)-1))))</f>
        <v/>
      </c>
      <c r="M3272" s="28">
        <f>IF($H3272="","",DATE(YEAR($H3272),MONTH($H3272),1))</f>
        <v/>
      </c>
      <c r="N3272" s="26">
        <f>IF($H3272="","",TODAY()-$H3272)</f>
        <v/>
      </c>
      <c r="O3272" s="15" t="n"/>
      <c r="P3272" s="26">
        <f>IF($A3272="","",COUNTIFS('Audit Versions'!$A$6:$A$605,$A3272,'Audit Versions'!$L$6:$L$605,"Active"))</f>
        <v/>
      </c>
      <c r="Q3272" s="15" t="n"/>
      <c r="R3272" s="26">
        <f>IF(OR($A3272="",$P3272=0),"",MOD(N($Q3272),$P3272)+1)</f>
        <v/>
      </c>
      <c r="S3272" s="15" t="n"/>
      <c r="T3272" s="25" t="n"/>
      <c r="U3272" s="26">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Builder'!$B$12="",N($S3272)&lt;='Assignment Builder'!$B$12)))</f>
        <v/>
      </c>
      <c r="V3272" s="23" t="n"/>
    </row>
    <row r="3273">
      <c r="A3273" s="23" t="n"/>
      <c r="B3273" s="23" t="n"/>
      <c r="C3273" s="24" t="n"/>
      <c r="D3273" s="15" t="n"/>
      <c r="E3273" s="23" t="n"/>
      <c r="F3273" s="15" t="n"/>
      <c r="G3273" s="23" t="n"/>
      <c r="H3273" s="25" t="n"/>
      <c r="I3273" s="15" t="n"/>
      <c r="J3273" s="26">
        <f>IF($A3273="","",LEN($C3273)-LEN(SUBSTITUTE($C3273,",",""))+1)</f>
        <v/>
      </c>
      <c r="K3273" s="26">
        <f>IF($A3273="","",SUMPRODUCT(--ISNUMBER(SEARCH('Category Dictionary'!$D$5:$D$135&amp;"",$C3273)),--('Category Dictionary'!$D$5:$D$135&lt;&gt;"")))</f>
        <v/>
      </c>
      <c r="L3273" s="27">
        <f>IF($A3273="","",TRIM(IF(ISERROR(FIND(",",$C3273)),$C3273,LEFT($C3273,FIND(",",$C3273)-1))))</f>
        <v/>
      </c>
      <c r="M3273" s="28">
        <f>IF($H3273="","",DATE(YEAR($H3273),MONTH($H3273),1))</f>
        <v/>
      </c>
      <c r="N3273" s="26">
        <f>IF($H3273="","",TODAY()-$H3273)</f>
        <v/>
      </c>
      <c r="O3273" s="15" t="n"/>
      <c r="P3273" s="26">
        <f>IF($A3273="","",COUNTIFS('Audit Versions'!$A$6:$A$605,$A3273,'Audit Versions'!$L$6:$L$605,"Active"))</f>
        <v/>
      </c>
      <c r="Q3273" s="15" t="n"/>
      <c r="R3273" s="26">
        <f>IF(OR($A3273="",$P3273=0),"",MOD(N($Q3273),$P3273)+1)</f>
        <v/>
      </c>
      <c r="S3273" s="15" t="n"/>
      <c r="T3273" s="25" t="n"/>
      <c r="U3273" s="26">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Builder'!$B$12="",N($S3273)&lt;='Assignment Builder'!$B$12)))</f>
        <v/>
      </c>
      <c r="V3273" s="23" t="n"/>
    </row>
    <row r="3274">
      <c r="A3274" s="23" t="n"/>
      <c r="B3274" s="23" t="n"/>
      <c r="C3274" s="24" t="n"/>
      <c r="D3274" s="15" t="n"/>
      <c r="E3274" s="23" t="n"/>
      <c r="F3274" s="15" t="n"/>
      <c r="G3274" s="23" t="n"/>
      <c r="H3274" s="25" t="n"/>
      <c r="I3274" s="15" t="n"/>
      <c r="J3274" s="26">
        <f>IF($A3274="","",LEN($C3274)-LEN(SUBSTITUTE($C3274,",",""))+1)</f>
        <v/>
      </c>
      <c r="K3274" s="26">
        <f>IF($A3274="","",SUMPRODUCT(--ISNUMBER(SEARCH('Category Dictionary'!$D$5:$D$135&amp;"",$C3274)),--('Category Dictionary'!$D$5:$D$135&lt;&gt;"")))</f>
        <v/>
      </c>
      <c r="L3274" s="27">
        <f>IF($A3274="","",TRIM(IF(ISERROR(FIND(",",$C3274)),$C3274,LEFT($C3274,FIND(",",$C3274)-1))))</f>
        <v/>
      </c>
      <c r="M3274" s="28">
        <f>IF($H3274="","",DATE(YEAR($H3274),MONTH($H3274),1))</f>
        <v/>
      </c>
      <c r="N3274" s="26">
        <f>IF($H3274="","",TODAY()-$H3274)</f>
        <v/>
      </c>
      <c r="O3274" s="15" t="n"/>
      <c r="P3274" s="26">
        <f>IF($A3274="","",COUNTIFS('Audit Versions'!$A$6:$A$605,$A3274,'Audit Versions'!$L$6:$L$605,"Active"))</f>
        <v/>
      </c>
      <c r="Q3274" s="15" t="n"/>
      <c r="R3274" s="26">
        <f>IF(OR($A3274="",$P3274=0),"",MOD(N($Q3274),$P3274)+1)</f>
        <v/>
      </c>
      <c r="S3274" s="15" t="n"/>
      <c r="T3274" s="25" t="n"/>
      <c r="U3274" s="26">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Builder'!$B$12="",N($S3274)&lt;='Assignment Builder'!$B$12)))</f>
        <v/>
      </c>
      <c r="V3274" s="23" t="n"/>
    </row>
    <row r="3275">
      <c r="A3275" s="23" t="n"/>
      <c r="B3275" s="23" t="n"/>
      <c r="C3275" s="24" t="n"/>
      <c r="D3275" s="15" t="n"/>
      <c r="E3275" s="23" t="n"/>
      <c r="F3275" s="15" t="n"/>
      <c r="G3275" s="23" t="n"/>
      <c r="H3275" s="25" t="n"/>
      <c r="I3275" s="15" t="n"/>
      <c r="J3275" s="26">
        <f>IF($A3275="","",LEN($C3275)-LEN(SUBSTITUTE($C3275,",",""))+1)</f>
        <v/>
      </c>
      <c r="K3275" s="26">
        <f>IF($A3275="","",SUMPRODUCT(--ISNUMBER(SEARCH('Category Dictionary'!$D$5:$D$135&amp;"",$C3275)),--('Category Dictionary'!$D$5:$D$135&lt;&gt;"")))</f>
        <v/>
      </c>
      <c r="L3275" s="27">
        <f>IF($A3275="","",TRIM(IF(ISERROR(FIND(",",$C3275)),$C3275,LEFT($C3275,FIND(",",$C3275)-1))))</f>
        <v/>
      </c>
      <c r="M3275" s="28">
        <f>IF($H3275="","",DATE(YEAR($H3275),MONTH($H3275),1))</f>
        <v/>
      </c>
      <c r="N3275" s="26">
        <f>IF($H3275="","",TODAY()-$H3275)</f>
        <v/>
      </c>
      <c r="O3275" s="15" t="n"/>
      <c r="P3275" s="26">
        <f>IF($A3275="","",COUNTIFS('Audit Versions'!$A$6:$A$605,$A3275,'Audit Versions'!$L$6:$L$605,"Active"))</f>
        <v/>
      </c>
      <c r="Q3275" s="15" t="n"/>
      <c r="R3275" s="26">
        <f>IF(OR($A3275="",$P3275=0),"",MOD(N($Q3275),$P3275)+1)</f>
        <v/>
      </c>
      <c r="S3275" s="15" t="n"/>
      <c r="T3275" s="25" t="n"/>
      <c r="U3275" s="26">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Builder'!$B$12="",N($S3275)&lt;='Assignment Builder'!$B$12)))</f>
        <v/>
      </c>
      <c r="V3275" s="23" t="n"/>
    </row>
    <row r="3276">
      <c r="A3276" s="23" t="n"/>
      <c r="B3276" s="23" t="n"/>
      <c r="C3276" s="24" t="n"/>
      <c r="D3276" s="15" t="n"/>
      <c r="E3276" s="23" t="n"/>
      <c r="F3276" s="15" t="n"/>
      <c r="G3276" s="23" t="n"/>
      <c r="H3276" s="25" t="n"/>
      <c r="I3276" s="15" t="n"/>
      <c r="J3276" s="26">
        <f>IF($A3276="","",LEN($C3276)-LEN(SUBSTITUTE($C3276,",",""))+1)</f>
        <v/>
      </c>
      <c r="K3276" s="26">
        <f>IF($A3276="","",SUMPRODUCT(--ISNUMBER(SEARCH('Category Dictionary'!$D$5:$D$135&amp;"",$C3276)),--('Category Dictionary'!$D$5:$D$135&lt;&gt;"")))</f>
        <v/>
      </c>
      <c r="L3276" s="27">
        <f>IF($A3276="","",TRIM(IF(ISERROR(FIND(",",$C3276)),$C3276,LEFT($C3276,FIND(",",$C3276)-1))))</f>
        <v/>
      </c>
      <c r="M3276" s="28">
        <f>IF($H3276="","",DATE(YEAR($H3276),MONTH($H3276),1))</f>
        <v/>
      </c>
      <c r="N3276" s="26">
        <f>IF($H3276="","",TODAY()-$H3276)</f>
        <v/>
      </c>
      <c r="O3276" s="15" t="n"/>
      <c r="P3276" s="26">
        <f>IF($A3276="","",COUNTIFS('Audit Versions'!$A$6:$A$605,$A3276,'Audit Versions'!$L$6:$L$605,"Active"))</f>
        <v/>
      </c>
      <c r="Q3276" s="15" t="n"/>
      <c r="R3276" s="26">
        <f>IF(OR($A3276="",$P3276=0),"",MOD(N($Q3276),$P3276)+1)</f>
        <v/>
      </c>
      <c r="S3276" s="15" t="n"/>
      <c r="T3276" s="25" t="n"/>
      <c r="U3276" s="26">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Builder'!$B$12="",N($S3276)&lt;='Assignment Builder'!$B$12)))</f>
        <v/>
      </c>
      <c r="V3276" s="23" t="n"/>
    </row>
    <row r="3277">
      <c r="A3277" s="23" t="n"/>
      <c r="B3277" s="23" t="n"/>
      <c r="C3277" s="24" t="n"/>
      <c r="D3277" s="15" t="n"/>
      <c r="E3277" s="23" t="n"/>
      <c r="F3277" s="15" t="n"/>
      <c r="G3277" s="23" t="n"/>
      <c r="H3277" s="25" t="n"/>
      <c r="I3277" s="15" t="n"/>
      <c r="J3277" s="26">
        <f>IF($A3277="","",LEN($C3277)-LEN(SUBSTITUTE($C3277,",",""))+1)</f>
        <v/>
      </c>
      <c r="K3277" s="26">
        <f>IF($A3277="","",SUMPRODUCT(--ISNUMBER(SEARCH('Category Dictionary'!$D$5:$D$135&amp;"",$C3277)),--('Category Dictionary'!$D$5:$D$135&lt;&gt;"")))</f>
        <v/>
      </c>
      <c r="L3277" s="27">
        <f>IF($A3277="","",TRIM(IF(ISERROR(FIND(",",$C3277)),$C3277,LEFT($C3277,FIND(",",$C3277)-1))))</f>
        <v/>
      </c>
      <c r="M3277" s="28">
        <f>IF($H3277="","",DATE(YEAR($H3277),MONTH($H3277),1))</f>
        <v/>
      </c>
      <c r="N3277" s="26">
        <f>IF($H3277="","",TODAY()-$H3277)</f>
        <v/>
      </c>
      <c r="O3277" s="15" t="n"/>
      <c r="P3277" s="26">
        <f>IF($A3277="","",COUNTIFS('Audit Versions'!$A$6:$A$605,$A3277,'Audit Versions'!$L$6:$L$605,"Active"))</f>
        <v/>
      </c>
      <c r="Q3277" s="15" t="n"/>
      <c r="R3277" s="26">
        <f>IF(OR($A3277="",$P3277=0),"",MOD(N($Q3277),$P3277)+1)</f>
        <v/>
      </c>
      <c r="S3277" s="15" t="n"/>
      <c r="T3277" s="25" t="n"/>
      <c r="U3277" s="26">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Builder'!$B$12="",N($S3277)&lt;='Assignment Builder'!$B$12)))</f>
        <v/>
      </c>
      <c r="V3277" s="23" t="n"/>
    </row>
    <row r="3278">
      <c r="A3278" s="23" t="n"/>
      <c r="B3278" s="23" t="n"/>
      <c r="C3278" s="24" t="n"/>
      <c r="D3278" s="15" t="n"/>
      <c r="E3278" s="23" t="n"/>
      <c r="F3278" s="15" t="n"/>
      <c r="G3278" s="23" t="n"/>
      <c r="H3278" s="25" t="n"/>
      <c r="I3278" s="15" t="n"/>
      <c r="J3278" s="26">
        <f>IF($A3278="","",LEN($C3278)-LEN(SUBSTITUTE($C3278,",",""))+1)</f>
        <v/>
      </c>
      <c r="K3278" s="26">
        <f>IF($A3278="","",SUMPRODUCT(--ISNUMBER(SEARCH('Category Dictionary'!$D$5:$D$135&amp;"",$C3278)),--('Category Dictionary'!$D$5:$D$135&lt;&gt;"")))</f>
        <v/>
      </c>
      <c r="L3278" s="27">
        <f>IF($A3278="","",TRIM(IF(ISERROR(FIND(",",$C3278)),$C3278,LEFT($C3278,FIND(",",$C3278)-1))))</f>
        <v/>
      </c>
      <c r="M3278" s="28">
        <f>IF($H3278="","",DATE(YEAR($H3278),MONTH($H3278),1))</f>
        <v/>
      </c>
      <c r="N3278" s="26">
        <f>IF($H3278="","",TODAY()-$H3278)</f>
        <v/>
      </c>
      <c r="O3278" s="15" t="n"/>
      <c r="P3278" s="26">
        <f>IF($A3278="","",COUNTIFS('Audit Versions'!$A$6:$A$605,$A3278,'Audit Versions'!$L$6:$L$605,"Active"))</f>
        <v/>
      </c>
      <c r="Q3278" s="15" t="n"/>
      <c r="R3278" s="26">
        <f>IF(OR($A3278="",$P3278=0),"",MOD(N($Q3278),$P3278)+1)</f>
        <v/>
      </c>
      <c r="S3278" s="15" t="n"/>
      <c r="T3278" s="25" t="n"/>
      <c r="U3278" s="26">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Builder'!$B$12="",N($S3278)&lt;='Assignment Builder'!$B$12)))</f>
        <v/>
      </c>
      <c r="V3278" s="23" t="n"/>
    </row>
    <row r="3279">
      <c r="A3279" s="23" t="n"/>
      <c r="B3279" s="23" t="n"/>
      <c r="C3279" s="24" t="n"/>
      <c r="D3279" s="15" t="n"/>
      <c r="E3279" s="23" t="n"/>
      <c r="F3279" s="15" t="n"/>
      <c r="G3279" s="23" t="n"/>
      <c r="H3279" s="25" t="n"/>
      <c r="I3279" s="15" t="n"/>
      <c r="J3279" s="26">
        <f>IF($A3279="","",LEN($C3279)-LEN(SUBSTITUTE($C3279,",",""))+1)</f>
        <v/>
      </c>
      <c r="K3279" s="26">
        <f>IF($A3279="","",SUMPRODUCT(--ISNUMBER(SEARCH('Category Dictionary'!$D$5:$D$135&amp;"",$C3279)),--('Category Dictionary'!$D$5:$D$135&lt;&gt;"")))</f>
        <v/>
      </c>
      <c r="L3279" s="27">
        <f>IF($A3279="","",TRIM(IF(ISERROR(FIND(",",$C3279)),$C3279,LEFT($C3279,FIND(",",$C3279)-1))))</f>
        <v/>
      </c>
      <c r="M3279" s="28">
        <f>IF($H3279="","",DATE(YEAR($H3279),MONTH($H3279),1))</f>
        <v/>
      </c>
      <c r="N3279" s="26">
        <f>IF($H3279="","",TODAY()-$H3279)</f>
        <v/>
      </c>
      <c r="O3279" s="15" t="n"/>
      <c r="P3279" s="26">
        <f>IF($A3279="","",COUNTIFS('Audit Versions'!$A$6:$A$605,$A3279,'Audit Versions'!$L$6:$L$605,"Active"))</f>
        <v/>
      </c>
      <c r="Q3279" s="15" t="n"/>
      <c r="R3279" s="26">
        <f>IF(OR($A3279="",$P3279=0),"",MOD(N($Q3279),$P3279)+1)</f>
        <v/>
      </c>
      <c r="S3279" s="15" t="n"/>
      <c r="T3279" s="25" t="n"/>
      <c r="U3279" s="26">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Builder'!$B$12="",N($S3279)&lt;='Assignment Builder'!$B$12)))</f>
        <v/>
      </c>
      <c r="V3279" s="23" t="n"/>
    </row>
    <row r="3280">
      <c r="A3280" s="23" t="n"/>
      <c r="B3280" s="23" t="n"/>
      <c r="C3280" s="24" t="n"/>
      <c r="D3280" s="15" t="n"/>
      <c r="E3280" s="23" t="n"/>
      <c r="F3280" s="15" t="n"/>
      <c r="G3280" s="23" t="n"/>
      <c r="H3280" s="25" t="n"/>
      <c r="I3280" s="15" t="n"/>
      <c r="J3280" s="26">
        <f>IF($A3280="","",LEN($C3280)-LEN(SUBSTITUTE($C3280,",",""))+1)</f>
        <v/>
      </c>
      <c r="K3280" s="26">
        <f>IF($A3280="","",SUMPRODUCT(--ISNUMBER(SEARCH('Category Dictionary'!$D$5:$D$135&amp;"",$C3280)),--('Category Dictionary'!$D$5:$D$135&lt;&gt;"")))</f>
        <v/>
      </c>
      <c r="L3280" s="27">
        <f>IF($A3280="","",TRIM(IF(ISERROR(FIND(",",$C3280)),$C3280,LEFT($C3280,FIND(",",$C3280)-1))))</f>
        <v/>
      </c>
      <c r="M3280" s="28">
        <f>IF($H3280="","",DATE(YEAR($H3280),MONTH($H3280),1))</f>
        <v/>
      </c>
      <c r="N3280" s="26">
        <f>IF($H3280="","",TODAY()-$H3280)</f>
        <v/>
      </c>
      <c r="O3280" s="15" t="n"/>
      <c r="P3280" s="26">
        <f>IF($A3280="","",COUNTIFS('Audit Versions'!$A$6:$A$605,$A3280,'Audit Versions'!$L$6:$L$605,"Active"))</f>
        <v/>
      </c>
      <c r="Q3280" s="15" t="n"/>
      <c r="R3280" s="26">
        <f>IF(OR($A3280="",$P3280=0),"",MOD(N($Q3280),$P3280)+1)</f>
        <v/>
      </c>
      <c r="S3280" s="15" t="n"/>
      <c r="T3280" s="25" t="n"/>
      <c r="U3280" s="26">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Builder'!$B$12="",N($S3280)&lt;='Assignment Builder'!$B$12)))</f>
        <v/>
      </c>
      <c r="V3280" s="23" t="n"/>
    </row>
    <row r="3281">
      <c r="A3281" s="23" t="n"/>
      <c r="B3281" s="23" t="n"/>
      <c r="C3281" s="24" t="n"/>
      <c r="D3281" s="15" t="n"/>
      <c r="E3281" s="23" t="n"/>
      <c r="F3281" s="15" t="n"/>
      <c r="G3281" s="23" t="n"/>
      <c r="H3281" s="25" t="n"/>
      <c r="I3281" s="15" t="n"/>
      <c r="J3281" s="26">
        <f>IF($A3281="","",LEN($C3281)-LEN(SUBSTITUTE($C3281,",",""))+1)</f>
        <v/>
      </c>
      <c r="K3281" s="26">
        <f>IF($A3281="","",SUMPRODUCT(--ISNUMBER(SEARCH('Category Dictionary'!$D$5:$D$135&amp;"",$C3281)),--('Category Dictionary'!$D$5:$D$135&lt;&gt;"")))</f>
        <v/>
      </c>
      <c r="L3281" s="27">
        <f>IF($A3281="","",TRIM(IF(ISERROR(FIND(",",$C3281)),$C3281,LEFT($C3281,FIND(",",$C3281)-1))))</f>
        <v/>
      </c>
      <c r="M3281" s="28">
        <f>IF($H3281="","",DATE(YEAR($H3281),MONTH($H3281),1))</f>
        <v/>
      </c>
      <c r="N3281" s="26">
        <f>IF($H3281="","",TODAY()-$H3281)</f>
        <v/>
      </c>
      <c r="O3281" s="15" t="n"/>
      <c r="P3281" s="26">
        <f>IF($A3281="","",COUNTIFS('Audit Versions'!$A$6:$A$605,$A3281,'Audit Versions'!$L$6:$L$605,"Active"))</f>
        <v/>
      </c>
      <c r="Q3281" s="15" t="n"/>
      <c r="R3281" s="26">
        <f>IF(OR($A3281="",$P3281=0),"",MOD(N($Q3281),$P3281)+1)</f>
        <v/>
      </c>
      <c r="S3281" s="15" t="n"/>
      <c r="T3281" s="25" t="n"/>
      <c r="U3281" s="26">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Builder'!$B$12="",N($S3281)&lt;='Assignment Builder'!$B$12)))</f>
        <v/>
      </c>
      <c r="V3281" s="23" t="n"/>
    </row>
    <row r="3282">
      <c r="A3282" s="23" t="n"/>
      <c r="B3282" s="23" t="n"/>
      <c r="C3282" s="24" t="n"/>
      <c r="D3282" s="15" t="n"/>
      <c r="E3282" s="23" t="n"/>
      <c r="F3282" s="15" t="n"/>
      <c r="G3282" s="23" t="n"/>
      <c r="H3282" s="25" t="n"/>
      <c r="I3282" s="15" t="n"/>
      <c r="J3282" s="26">
        <f>IF($A3282="","",LEN($C3282)-LEN(SUBSTITUTE($C3282,",",""))+1)</f>
        <v/>
      </c>
      <c r="K3282" s="26">
        <f>IF($A3282="","",SUMPRODUCT(--ISNUMBER(SEARCH('Category Dictionary'!$D$5:$D$135&amp;"",$C3282)),--('Category Dictionary'!$D$5:$D$135&lt;&gt;"")))</f>
        <v/>
      </c>
      <c r="L3282" s="27">
        <f>IF($A3282="","",TRIM(IF(ISERROR(FIND(",",$C3282)),$C3282,LEFT($C3282,FIND(",",$C3282)-1))))</f>
        <v/>
      </c>
      <c r="M3282" s="28">
        <f>IF($H3282="","",DATE(YEAR($H3282),MONTH($H3282),1))</f>
        <v/>
      </c>
      <c r="N3282" s="26">
        <f>IF($H3282="","",TODAY()-$H3282)</f>
        <v/>
      </c>
      <c r="O3282" s="15" t="n"/>
      <c r="P3282" s="26">
        <f>IF($A3282="","",COUNTIFS('Audit Versions'!$A$6:$A$605,$A3282,'Audit Versions'!$L$6:$L$605,"Active"))</f>
        <v/>
      </c>
      <c r="Q3282" s="15" t="n"/>
      <c r="R3282" s="26">
        <f>IF(OR($A3282="",$P3282=0),"",MOD(N($Q3282),$P3282)+1)</f>
        <v/>
      </c>
      <c r="S3282" s="15" t="n"/>
      <c r="T3282" s="25" t="n"/>
      <c r="U3282" s="26">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Builder'!$B$12="",N($S3282)&lt;='Assignment Builder'!$B$12)))</f>
        <v/>
      </c>
      <c r="V3282" s="23" t="n"/>
    </row>
    <row r="3283">
      <c r="A3283" s="23" t="n"/>
      <c r="B3283" s="23" t="n"/>
      <c r="C3283" s="24" t="n"/>
      <c r="D3283" s="15" t="n"/>
      <c r="E3283" s="23" t="n"/>
      <c r="F3283" s="15" t="n"/>
      <c r="G3283" s="23" t="n"/>
      <c r="H3283" s="25" t="n"/>
      <c r="I3283" s="15" t="n"/>
      <c r="J3283" s="26">
        <f>IF($A3283="","",LEN($C3283)-LEN(SUBSTITUTE($C3283,",",""))+1)</f>
        <v/>
      </c>
      <c r="K3283" s="26">
        <f>IF($A3283="","",SUMPRODUCT(--ISNUMBER(SEARCH('Category Dictionary'!$D$5:$D$135&amp;"",$C3283)),--('Category Dictionary'!$D$5:$D$135&lt;&gt;"")))</f>
        <v/>
      </c>
      <c r="L3283" s="27">
        <f>IF($A3283="","",TRIM(IF(ISERROR(FIND(",",$C3283)),$C3283,LEFT($C3283,FIND(",",$C3283)-1))))</f>
        <v/>
      </c>
      <c r="M3283" s="28">
        <f>IF($H3283="","",DATE(YEAR($H3283),MONTH($H3283),1))</f>
        <v/>
      </c>
      <c r="N3283" s="26">
        <f>IF($H3283="","",TODAY()-$H3283)</f>
        <v/>
      </c>
      <c r="O3283" s="15" t="n"/>
      <c r="P3283" s="26">
        <f>IF($A3283="","",COUNTIFS('Audit Versions'!$A$6:$A$605,$A3283,'Audit Versions'!$L$6:$L$605,"Active"))</f>
        <v/>
      </c>
      <c r="Q3283" s="15" t="n"/>
      <c r="R3283" s="26">
        <f>IF(OR($A3283="",$P3283=0),"",MOD(N($Q3283),$P3283)+1)</f>
        <v/>
      </c>
      <c r="S3283" s="15" t="n"/>
      <c r="T3283" s="25" t="n"/>
      <c r="U3283" s="26">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Builder'!$B$12="",N($S3283)&lt;='Assignment Builder'!$B$12)))</f>
        <v/>
      </c>
      <c r="V3283" s="23" t="n"/>
    </row>
    <row r="3284">
      <c r="A3284" s="23" t="n"/>
      <c r="B3284" s="23" t="n"/>
      <c r="C3284" s="24" t="n"/>
      <c r="D3284" s="15" t="n"/>
      <c r="E3284" s="23" t="n"/>
      <c r="F3284" s="15" t="n"/>
      <c r="G3284" s="23" t="n"/>
      <c r="H3284" s="25" t="n"/>
      <c r="I3284" s="15" t="n"/>
      <c r="J3284" s="26">
        <f>IF($A3284="","",LEN($C3284)-LEN(SUBSTITUTE($C3284,",",""))+1)</f>
        <v/>
      </c>
      <c r="K3284" s="26">
        <f>IF($A3284="","",SUMPRODUCT(--ISNUMBER(SEARCH('Category Dictionary'!$D$5:$D$135&amp;"",$C3284)),--('Category Dictionary'!$D$5:$D$135&lt;&gt;"")))</f>
        <v/>
      </c>
      <c r="L3284" s="27">
        <f>IF($A3284="","",TRIM(IF(ISERROR(FIND(",",$C3284)),$C3284,LEFT($C3284,FIND(",",$C3284)-1))))</f>
        <v/>
      </c>
      <c r="M3284" s="28">
        <f>IF($H3284="","",DATE(YEAR($H3284),MONTH($H3284),1))</f>
        <v/>
      </c>
      <c r="N3284" s="26">
        <f>IF($H3284="","",TODAY()-$H3284)</f>
        <v/>
      </c>
      <c r="O3284" s="15" t="n"/>
      <c r="P3284" s="26">
        <f>IF($A3284="","",COUNTIFS('Audit Versions'!$A$6:$A$605,$A3284,'Audit Versions'!$L$6:$L$605,"Active"))</f>
        <v/>
      </c>
      <c r="Q3284" s="15" t="n"/>
      <c r="R3284" s="26">
        <f>IF(OR($A3284="",$P3284=0),"",MOD(N($Q3284),$P3284)+1)</f>
        <v/>
      </c>
      <c r="S3284" s="15" t="n"/>
      <c r="T3284" s="25" t="n"/>
      <c r="U3284" s="26">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Builder'!$B$12="",N($S3284)&lt;='Assignment Builder'!$B$12)))</f>
        <v/>
      </c>
      <c r="V3284" s="23" t="n"/>
    </row>
    <row r="3285">
      <c r="A3285" s="23" t="n"/>
      <c r="B3285" s="23" t="n"/>
      <c r="C3285" s="24" t="n"/>
      <c r="D3285" s="15" t="n"/>
      <c r="E3285" s="23" t="n"/>
      <c r="F3285" s="15" t="n"/>
      <c r="G3285" s="23" t="n"/>
      <c r="H3285" s="25" t="n"/>
      <c r="I3285" s="15" t="n"/>
      <c r="J3285" s="26">
        <f>IF($A3285="","",LEN($C3285)-LEN(SUBSTITUTE($C3285,",",""))+1)</f>
        <v/>
      </c>
      <c r="K3285" s="26">
        <f>IF($A3285="","",SUMPRODUCT(--ISNUMBER(SEARCH('Category Dictionary'!$D$5:$D$135&amp;"",$C3285)),--('Category Dictionary'!$D$5:$D$135&lt;&gt;"")))</f>
        <v/>
      </c>
      <c r="L3285" s="27">
        <f>IF($A3285="","",TRIM(IF(ISERROR(FIND(",",$C3285)),$C3285,LEFT($C3285,FIND(",",$C3285)-1))))</f>
        <v/>
      </c>
      <c r="M3285" s="28">
        <f>IF($H3285="","",DATE(YEAR($H3285),MONTH($H3285),1))</f>
        <v/>
      </c>
      <c r="N3285" s="26">
        <f>IF($H3285="","",TODAY()-$H3285)</f>
        <v/>
      </c>
      <c r="O3285" s="15" t="n"/>
      <c r="P3285" s="26">
        <f>IF($A3285="","",COUNTIFS('Audit Versions'!$A$6:$A$605,$A3285,'Audit Versions'!$L$6:$L$605,"Active"))</f>
        <v/>
      </c>
      <c r="Q3285" s="15" t="n"/>
      <c r="R3285" s="26">
        <f>IF(OR($A3285="",$P3285=0),"",MOD(N($Q3285),$P3285)+1)</f>
        <v/>
      </c>
      <c r="S3285" s="15" t="n"/>
      <c r="T3285" s="25" t="n"/>
      <c r="U3285" s="26">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Builder'!$B$12="",N($S3285)&lt;='Assignment Builder'!$B$12)))</f>
        <v/>
      </c>
      <c r="V3285" s="23" t="n"/>
    </row>
    <row r="3286">
      <c r="A3286" s="23" t="n"/>
      <c r="B3286" s="23" t="n"/>
      <c r="C3286" s="24" t="n"/>
      <c r="D3286" s="15" t="n"/>
      <c r="E3286" s="23" t="n"/>
      <c r="F3286" s="15" t="n"/>
      <c r="G3286" s="23" t="n"/>
      <c r="H3286" s="25" t="n"/>
      <c r="I3286" s="15" t="n"/>
      <c r="J3286" s="26">
        <f>IF($A3286="","",LEN($C3286)-LEN(SUBSTITUTE($C3286,",",""))+1)</f>
        <v/>
      </c>
      <c r="K3286" s="26">
        <f>IF($A3286="","",SUMPRODUCT(--ISNUMBER(SEARCH('Category Dictionary'!$D$5:$D$135&amp;"",$C3286)),--('Category Dictionary'!$D$5:$D$135&lt;&gt;"")))</f>
        <v/>
      </c>
      <c r="L3286" s="27">
        <f>IF($A3286="","",TRIM(IF(ISERROR(FIND(",",$C3286)),$C3286,LEFT($C3286,FIND(",",$C3286)-1))))</f>
        <v/>
      </c>
      <c r="M3286" s="28">
        <f>IF($H3286="","",DATE(YEAR($H3286),MONTH($H3286),1))</f>
        <v/>
      </c>
      <c r="N3286" s="26">
        <f>IF($H3286="","",TODAY()-$H3286)</f>
        <v/>
      </c>
      <c r="O3286" s="15" t="n"/>
      <c r="P3286" s="26">
        <f>IF($A3286="","",COUNTIFS('Audit Versions'!$A$6:$A$605,$A3286,'Audit Versions'!$L$6:$L$605,"Active"))</f>
        <v/>
      </c>
      <c r="Q3286" s="15" t="n"/>
      <c r="R3286" s="26">
        <f>IF(OR($A3286="",$P3286=0),"",MOD(N($Q3286),$P3286)+1)</f>
        <v/>
      </c>
      <c r="S3286" s="15" t="n"/>
      <c r="T3286" s="25" t="n"/>
      <c r="U3286" s="26">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Builder'!$B$12="",N($S3286)&lt;='Assignment Builder'!$B$12)))</f>
        <v/>
      </c>
      <c r="V3286" s="23" t="n"/>
    </row>
    <row r="3287">
      <c r="A3287" s="23" t="n"/>
      <c r="B3287" s="23" t="n"/>
      <c r="C3287" s="24" t="n"/>
      <c r="D3287" s="15" t="n"/>
      <c r="E3287" s="23" t="n"/>
      <c r="F3287" s="15" t="n"/>
      <c r="G3287" s="23" t="n"/>
      <c r="H3287" s="25" t="n"/>
      <c r="I3287" s="15" t="n"/>
      <c r="J3287" s="26">
        <f>IF($A3287="","",LEN($C3287)-LEN(SUBSTITUTE($C3287,",",""))+1)</f>
        <v/>
      </c>
      <c r="K3287" s="26">
        <f>IF($A3287="","",SUMPRODUCT(--ISNUMBER(SEARCH('Category Dictionary'!$D$5:$D$135&amp;"",$C3287)),--('Category Dictionary'!$D$5:$D$135&lt;&gt;"")))</f>
        <v/>
      </c>
      <c r="L3287" s="27">
        <f>IF($A3287="","",TRIM(IF(ISERROR(FIND(",",$C3287)),$C3287,LEFT($C3287,FIND(",",$C3287)-1))))</f>
        <v/>
      </c>
      <c r="M3287" s="28">
        <f>IF($H3287="","",DATE(YEAR($H3287),MONTH($H3287),1))</f>
        <v/>
      </c>
      <c r="N3287" s="26">
        <f>IF($H3287="","",TODAY()-$H3287)</f>
        <v/>
      </c>
      <c r="O3287" s="15" t="n"/>
      <c r="P3287" s="26">
        <f>IF($A3287="","",COUNTIFS('Audit Versions'!$A$6:$A$605,$A3287,'Audit Versions'!$L$6:$L$605,"Active"))</f>
        <v/>
      </c>
      <c r="Q3287" s="15" t="n"/>
      <c r="R3287" s="26">
        <f>IF(OR($A3287="",$P3287=0),"",MOD(N($Q3287),$P3287)+1)</f>
        <v/>
      </c>
      <c r="S3287" s="15" t="n"/>
      <c r="T3287" s="25" t="n"/>
      <c r="U3287" s="26">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Builder'!$B$12="",N($S3287)&lt;='Assignment Builder'!$B$12)))</f>
        <v/>
      </c>
      <c r="V3287" s="23" t="n"/>
    </row>
    <row r="3288">
      <c r="A3288" s="23" t="n"/>
      <c r="B3288" s="23" t="n"/>
      <c r="C3288" s="24" t="n"/>
      <c r="D3288" s="15" t="n"/>
      <c r="E3288" s="23" t="n"/>
      <c r="F3288" s="15" t="n"/>
      <c r="G3288" s="23" t="n"/>
      <c r="H3288" s="25" t="n"/>
      <c r="I3288" s="15" t="n"/>
      <c r="J3288" s="26">
        <f>IF($A3288="","",LEN($C3288)-LEN(SUBSTITUTE($C3288,",",""))+1)</f>
        <v/>
      </c>
      <c r="K3288" s="26">
        <f>IF($A3288="","",SUMPRODUCT(--ISNUMBER(SEARCH('Category Dictionary'!$D$5:$D$135&amp;"",$C3288)),--('Category Dictionary'!$D$5:$D$135&lt;&gt;"")))</f>
        <v/>
      </c>
      <c r="L3288" s="27">
        <f>IF($A3288="","",TRIM(IF(ISERROR(FIND(",",$C3288)),$C3288,LEFT($C3288,FIND(",",$C3288)-1))))</f>
        <v/>
      </c>
      <c r="M3288" s="28">
        <f>IF($H3288="","",DATE(YEAR($H3288),MONTH($H3288),1))</f>
        <v/>
      </c>
      <c r="N3288" s="26">
        <f>IF($H3288="","",TODAY()-$H3288)</f>
        <v/>
      </c>
      <c r="O3288" s="15" t="n"/>
      <c r="P3288" s="26">
        <f>IF($A3288="","",COUNTIFS('Audit Versions'!$A$6:$A$605,$A3288,'Audit Versions'!$L$6:$L$605,"Active"))</f>
        <v/>
      </c>
      <c r="Q3288" s="15" t="n"/>
      <c r="R3288" s="26">
        <f>IF(OR($A3288="",$P3288=0),"",MOD(N($Q3288),$P3288)+1)</f>
        <v/>
      </c>
      <c r="S3288" s="15" t="n"/>
      <c r="T3288" s="25" t="n"/>
      <c r="U3288" s="26">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Builder'!$B$12="",N($S3288)&lt;='Assignment Builder'!$B$12)))</f>
        <v/>
      </c>
      <c r="V3288" s="23" t="n"/>
    </row>
    <row r="3289">
      <c r="A3289" s="23" t="n"/>
      <c r="B3289" s="23" t="n"/>
      <c r="C3289" s="24" t="n"/>
      <c r="D3289" s="15" t="n"/>
      <c r="E3289" s="23" t="n"/>
      <c r="F3289" s="15" t="n"/>
      <c r="G3289" s="23" t="n"/>
      <c r="H3289" s="25" t="n"/>
      <c r="I3289" s="15" t="n"/>
      <c r="J3289" s="26">
        <f>IF($A3289="","",LEN($C3289)-LEN(SUBSTITUTE($C3289,",",""))+1)</f>
        <v/>
      </c>
      <c r="K3289" s="26">
        <f>IF($A3289="","",SUMPRODUCT(--ISNUMBER(SEARCH('Category Dictionary'!$D$5:$D$135&amp;"",$C3289)),--('Category Dictionary'!$D$5:$D$135&lt;&gt;"")))</f>
        <v/>
      </c>
      <c r="L3289" s="27">
        <f>IF($A3289="","",TRIM(IF(ISERROR(FIND(",",$C3289)),$C3289,LEFT($C3289,FIND(",",$C3289)-1))))</f>
        <v/>
      </c>
      <c r="M3289" s="28">
        <f>IF($H3289="","",DATE(YEAR($H3289),MONTH($H3289),1))</f>
        <v/>
      </c>
      <c r="N3289" s="26">
        <f>IF($H3289="","",TODAY()-$H3289)</f>
        <v/>
      </c>
      <c r="O3289" s="15" t="n"/>
      <c r="P3289" s="26">
        <f>IF($A3289="","",COUNTIFS('Audit Versions'!$A$6:$A$605,$A3289,'Audit Versions'!$L$6:$L$605,"Active"))</f>
        <v/>
      </c>
      <c r="Q3289" s="15" t="n"/>
      <c r="R3289" s="26">
        <f>IF(OR($A3289="",$P3289=0),"",MOD(N($Q3289),$P3289)+1)</f>
        <v/>
      </c>
      <c r="S3289" s="15" t="n"/>
      <c r="T3289" s="25" t="n"/>
      <c r="U3289" s="26">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Builder'!$B$12="",N($S3289)&lt;='Assignment Builder'!$B$12)))</f>
        <v/>
      </c>
      <c r="V3289" s="23" t="n"/>
    </row>
    <row r="3290">
      <c r="A3290" s="23" t="n"/>
      <c r="B3290" s="23" t="n"/>
      <c r="C3290" s="24" t="n"/>
      <c r="D3290" s="15" t="n"/>
      <c r="E3290" s="23" t="n"/>
      <c r="F3290" s="15" t="n"/>
      <c r="G3290" s="23" t="n"/>
      <c r="H3290" s="25" t="n"/>
      <c r="I3290" s="15" t="n"/>
      <c r="J3290" s="26">
        <f>IF($A3290="","",LEN($C3290)-LEN(SUBSTITUTE($C3290,",",""))+1)</f>
        <v/>
      </c>
      <c r="K3290" s="26">
        <f>IF($A3290="","",SUMPRODUCT(--ISNUMBER(SEARCH('Category Dictionary'!$D$5:$D$135&amp;"",$C3290)),--('Category Dictionary'!$D$5:$D$135&lt;&gt;"")))</f>
        <v/>
      </c>
      <c r="L3290" s="27">
        <f>IF($A3290="","",TRIM(IF(ISERROR(FIND(",",$C3290)),$C3290,LEFT($C3290,FIND(",",$C3290)-1))))</f>
        <v/>
      </c>
      <c r="M3290" s="28">
        <f>IF($H3290="","",DATE(YEAR($H3290),MONTH($H3290),1))</f>
        <v/>
      </c>
      <c r="N3290" s="26">
        <f>IF($H3290="","",TODAY()-$H3290)</f>
        <v/>
      </c>
      <c r="O3290" s="15" t="n"/>
      <c r="P3290" s="26">
        <f>IF($A3290="","",COUNTIFS('Audit Versions'!$A$6:$A$605,$A3290,'Audit Versions'!$L$6:$L$605,"Active"))</f>
        <v/>
      </c>
      <c r="Q3290" s="15" t="n"/>
      <c r="R3290" s="26">
        <f>IF(OR($A3290="",$P3290=0),"",MOD(N($Q3290),$P3290)+1)</f>
        <v/>
      </c>
      <c r="S3290" s="15" t="n"/>
      <c r="T3290" s="25" t="n"/>
      <c r="U3290" s="26">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Builder'!$B$12="",N($S3290)&lt;='Assignment Builder'!$B$12)))</f>
        <v/>
      </c>
      <c r="V3290" s="23" t="n"/>
    </row>
    <row r="3291">
      <c r="A3291" s="23" t="n"/>
      <c r="B3291" s="23" t="n"/>
      <c r="C3291" s="24" t="n"/>
      <c r="D3291" s="15" t="n"/>
      <c r="E3291" s="23" t="n"/>
      <c r="F3291" s="15" t="n"/>
      <c r="G3291" s="23" t="n"/>
      <c r="H3291" s="25" t="n"/>
      <c r="I3291" s="15" t="n"/>
      <c r="J3291" s="26">
        <f>IF($A3291="","",LEN($C3291)-LEN(SUBSTITUTE($C3291,",",""))+1)</f>
        <v/>
      </c>
      <c r="K3291" s="26">
        <f>IF($A3291="","",SUMPRODUCT(--ISNUMBER(SEARCH('Category Dictionary'!$D$5:$D$135&amp;"",$C3291)),--('Category Dictionary'!$D$5:$D$135&lt;&gt;"")))</f>
        <v/>
      </c>
      <c r="L3291" s="27">
        <f>IF($A3291="","",TRIM(IF(ISERROR(FIND(",",$C3291)),$C3291,LEFT($C3291,FIND(",",$C3291)-1))))</f>
        <v/>
      </c>
      <c r="M3291" s="28">
        <f>IF($H3291="","",DATE(YEAR($H3291),MONTH($H3291),1))</f>
        <v/>
      </c>
      <c r="N3291" s="26">
        <f>IF($H3291="","",TODAY()-$H3291)</f>
        <v/>
      </c>
      <c r="O3291" s="15" t="n"/>
      <c r="P3291" s="26">
        <f>IF($A3291="","",COUNTIFS('Audit Versions'!$A$6:$A$605,$A3291,'Audit Versions'!$L$6:$L$605,"Active"))</f>
        <v/>
      </c>
      <c r="Q3291" s="15" t="n"/>
      <c r="R3291" s="26">
        <f>IF(OR($A3291="",$P3291=0),"",MOD(N($Q3291),$P3291)+1)</f>
        <v/>
      </c>
      <c r="S3291" s="15" t="n"/>
      <c r="T3291" s="25" t="n"/>
      <c r="U3291" s="26">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Builder'!$B$12="",N($S3291)&lt;='Assignment Builder'!$B$12)))</f>
        <v/>
      </c>
      <c r="V3291" s="23" t="n"/>
    </row>
    <row r="3292">
      <c r="A3292" s="23" t="n"/>
      <c r="B3292" s="23" t="n"/>
      <c r="C3292" s="24" t="n"/>
      <c r="D3292" s="15" t="n"/>
      <c r="E3292" s="23" t="n"/>
      <c r="F3292" s="15" t="n"/>
      <c r="G3292" s="23" t="n"/>
      <c r="H3292" s="25" t="n"/>
      <c r="I3292" s="15" t="n"/>
      <c r="J3292" s="26">
        <f>IF($A3292="","",LEN($C3292)-LEN(SUBSTITUTE($C3292,",",""))+1)</f>
        <v/>
      </c>
      <c r="K3292" s="26">
        <f>IF($A3292="","",SUMPRODUCT(--ISNUMBER(SEARCH('Category Dictionary'!$D$5:$D$135&amp;"",$C3292)),--('Category Dictionary'!$D$5:$D$135&lt;&gt;"")))</f>
        <v/>
      </c>
      <c r="L3292" s="27">
        <f>IF($A3292="","",TRIM(IF(ISERROR(FIND(",",$C3292)),$C3292,LEFT($C3292,FIND(",",$C3292)-1))))</f>
        <v/>
      </c>
      <c r="M3292" s="28">
        <f>IF($H3292="","",DATE(YEAR($H3292),MONTH($H3292),1))</f>
        <v/>
      </c>
      <c r="N3292" s="26">
        <f>IF($H3292="","",TODAY()-$H3292)</f>
        <v/>
      </c>
      <c r="O3292" s="15" t="n"/>
      <c r="P3292" s="26">
        <f>IF($A3292="","",COUNTIFS('Audit Versions'!$A$6:$A$605,$A3292,'Audit Versions'!$L$6:$L$605,"Active"))</f>
        <v/>
      </c>
      <c r="Q3292" s="15" t="n"/>
      <c r="R3292" s="26">
        <f>IF(OR($A3292="",$P3292=0),"",MOD(N($Q3292),$P3292)+1)</f>
        <v/>
      </c>
      <c r="S3292" s="15" t="n"/>
      <c r="T3292" s="25" t="n"/>
      <c r="U3292" s="26">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Builder'!$B$12="",N($S3292)&lt;='Assignment Builder'!$B$12)))</f>
        <v/>
      </c>
      <c r="V3292" s="23" t="n"/>
    </row>
    <row r="3293">
      <c r="A3293" s="23" t="n"/>
      <c r="B3293" s="23" t="n"/>
      <c r="C3293" s="24" t="n"/>
      <c r="D3293" s="15" t="n"/>
      <c r="E3293" s="23" t="n"/>
      <c r="F3293" s="15" t="n"/>
      <c r="G3293" s="23" t="n"/>
      <c r="H3293" s="25" t="n"/>
      <c r="I3293" s="15" t="n"/>
      <c r="J3293" s="26">
        <f>IF($A3293="","",LEN($C3293)-LEN(SUBSTITUTE($C3293,",",""))+1)</f>
        <v/>
      </c>
      <c r="K3293" s="26">
        <f>IF($A3293="","",SUMPRODUCT(--ISNUMBER(SEARCH('Category Dictionary'!$D$5:$D$135&amp;"",$C3293)),--('Category Dictionary'!$D$5:$D$135&lt;&gt;"")))</f>
        <v/>
      </c>
      <c r="L3293" s="27">
        <f>IF($A3293="","",TRIM(IF(ISERROR(FIND(",",$C3293)),$C3293,LEFT($C3293,FIND(",",$C3293)-1))))</f>
        <v/>
      </c>
      <c r="M3293" s="28">
        <f>IF($H3293="","",DATE(YEAR($H3293),MONTH($H3293),1))</f>
        <v/>
      </c>
      <c r="N3293" s="26">
        <f>IF($H3293="","",TODAY()-$H3293)</f>
        <v/>
      </c>
      <c r="O3293" s="15" t="n"/>
      <c r="P3293" s="26">
        <f>IF($A3293="","",COUNTIFS('Audit Versions'!$A$6:$A$605,$A3293,'Audit Versions'!$L$6:$L$605,"Active"))</f>
        <v/>
      </c>
      <c r="Q3293" s="15" t="n"/>
      <c r="R3293" s="26">
        <f>IF(OR($A3293="",$P3293=0),"",MOD(N($Q3293),$P3293)+1)</f>
        <v/>
      </c>
      <c r="S3293" s="15" t="n"/>
      <c r="T3293" s="25" t="n"/>
      <c r="U3293" s="26">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Builder'!$B$12="",N($S3293)&lt;='Assignment Builder'!$B$12)))</f>
        <v/>
      </c>
      <c r="V3293" s="23" t="n"/>
    </row>
    <row r="3294">
      <c r="A3294" s="23" t="n"/>
      <c r="B3294" s="23" t="n"/>
      <c r="C3294" s="24" t="n"/>
      <c r="D3294" s="15" t="n"/>
      <c r="E3294" s="23" t="n"/>
      <c r="F3294" s="15" t="n"/>
      <c r="G3294" s="23" t="n"/>
      <c r="H3294" s="25" t="n"/>
      <c r="I3294" s="15" t="n"/>
      <c r="J3294" s="26">
        <f>IF($A3294="","",LEN($C3294)-LEN(SUBSTITUTE($C3294,",",""))+1)</f>
        <v/>
      </c>
      <c r="K3294" s="26">
        <f>IF($A3294="","",SUMPRODUCT(--ISNUMBER(SEARCH('Category Dictionary'!$D$5:$D$135&amp;"",$C3294)),--('Category Dictionary'!$D$5:$D$135&lt;&gt;"")))</f>
        <v/>
      </c>
      <c r="L3294" s="27">
        <f>IF($A3294="","",TRIM(IF(ISERROR(FIND(",",$C3294)),$C3294,LEFT($C3294,FIND(",",$C3294)-1))))</f>
        <v/>
      </c>
      <c r="M3294" s="28">
        <f>IF($H3294="","",DATE(YEAR($H3294),MONTH($H3294),1))</f>
        <v/>
      </c>
      <c r="N3294" s="26">
        <f>IF($H3294="","",TODAY()-$H3294)</f>
        <v/>
      </c>
      <c r="O3294" s="15" t="n"/>
      <c r="P3294" s="26">
        <f>IF($A3294="","",COUNTIFS('Audit Versions'!$A$6:$A$605,$A3294,'Audit Versions'!$L$6:$L$605,"Active"))</f>
        <v/>
      </c>
      <c r="Q3294" s="15" t="n"/>
      <c r="R3294" s="26">
        <f>IF(OR($A3294="",$P3294=0),"",MOD(N($Q3294),$P3294)+1)</f>
        <v/>
      </c>
      <c r="S3294" s="15" t="n"/>
      <c r="T3294" s="25" t="n"/>
      <c r="U3294" s="26">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Builder'!$B$12="",N($S3294)&lt;='Assignment Builder'!$B$12)))</f>
        <v/>
      </c>
      <c r="V3294" s="23" t="n"/>
    </row>
    <row r="3295">
      <c r="A3295" s="23" t="n"/>
      <c r="B3295" s="23" t="n"/>
      <c r="C3295" s="24" t="n"/>
      <c r="D3295" s="15" t="n"/>
      <c r="E3295" s="23" t="n"/>
      <c r="F3295" s="15" t="n"/>
      <c r="G3295" s="23" t="n"/>
      <c r="H3295" s="25" t="n"/>
      <c r="I3295" s="15" t="n"/>
      <c r="J3295" s="26">
        <f>IF($A3295="","",LEN($C3295)-LEN(SUBSTITUTE($C3295,",",""))+1)</f>
        <v/>
      </c>
      <c r="K3295" s="26">
        <f>IF($A3295="","",SUMPRODUCT(--ISNUMBER(SEARCH('Category Dictionary'!$D$5:$D$135&amp;"",$C3295)),--('Category Dictionary'!$D$5:$D$135&lt;&gt;"")))</f>
        <v/>
      </c>
      <c r="L3295" s="27">
        <f>IF($A3295="","",TRIM(IF(ISERROR(FIND(",",$C3295)),$C3295,LEFT($C3295,FIND(",",$C3295)-1))))</f>
        <v/>
      </c>
      <c r="M3295" s="28">
        <f>IF($H3295="","",DATE(YEAR($H3295),MONTH($H3295),1))</f>
        <v/>
      </c>
      <c r="N3295" s="26">
        <f>IF($H3295="","",TODAY()-$H3295)</f>
        <v/>
      </c>
      <c r="O3295" s="15" t="n"/>
      <c r="P3295" s="26">
        <f>IF($A3295="","",COUNTIFS('Audit Versions'!$A$6:$A$605,$A3295,'Audit Versions'!$L$6:$L$605,"Active"))</f>
        <v/>
      </c>
      <c r="Q3295" s="15" t="n"/>
      <c r="R3295" s="26">
        <f>IF(OR($A3295="",$P3295=0),"",MOD(N($Q3295),$P3295)+1)</f>
        <v/>
      </c>
      <c r="S3295" s="15" t="n"/>
      <c r="T3295" s="25" t="n"/>
      <c r="U3295" s="26">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Builder'!$B$12="",N($S3295)&lt;='Assignment Builder'!$B$12)))</f>
        <v/>
      </c>
      <c r="V3295" s="23" t="n"/>
    </row>
    <row r="3296">
      <c r="A3296" s="23" t="n"/>
      <c r="B3296" s="23" t="n"/>
      <c r="C3296" s="24" t="n"/>
      <c r="D3296" s="15" t="n"/>
      <c r="E3296" s="23" t="n"/>
      <c r="F3296" s="15" t="n"/>
      <c r="G3296" s="23" t="n"/>
      <c r="H3296" s="25" t="n"/>
      <c r="I3296" s="15" t="n"/>
      <c r="J3296" s="26">
        <f>IF($A3296="","",LEN($C3296)-LEN(SUBSTITUTE($C3296,",",""))+1)</f>
        <v/>
      </c>
      <c r="K3296" s="26">
        <f>IF($A3296="","",SUMPRODUCT(--ISNUMBER(SEARCH('Category Dictionary'!$D$5:$D$135&amp;"",$C3296)),--('Category Dictionary'!$D$5:$D$135&lt;&gt;"")))</f>
        <v/>
      </c>
      <c r="L3296" s="27">
        <f>IF($A3296="","",TRIM(IF(ISERROR(FIND(",",$C3296)),$C3296,LEFT($C3296,FIND(",",$C3296)-1))))</f>
        <v/>
      </c>
      <c r="M3296" s="28">
        <f>IF($H3296="","",DATE(YEAR($H3296),MONTH($H3296),1))</f>
        <v/>
      </c>
      <c r="N3296" s="26">
        <f>IF($H3296="","",TODAY()-$H3296)</f>
        <v/>
      </c>
      <c r="O3296" s="15" t="n"/>
      <c r="P3296" s="26">
        <f>IF($A3296="","",COUNTIFS('Audit Versions'!$A$6:$A$605,$A3296,'Audit Versions'!$L$6:$L$605,"Active"))</f>
        <v/>
      </c>
      <c r="Q3296" s="15" t="n"/>
      <c r="R3296" s="26">
        <f>IF(OR($A3296="",$P3296=0),"",MOD(N($Q3296),$P3296)+1)</f>
        <v/>
      </c>
      <c r="S3296" s="15" t="n"/>
      <c r="T3296" s="25" t="n"/>
      <c r="U3296" s="26">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Builder'!$B$12="",N($S3296)&lt;='Assignment Builder'!$B$12)))</f>
        <v/>
      </c>
      <c r="V3296" s="23" t="n"/>
    </row>
    <row r="3297">
      <c r="A3297" s="23" t="n"/>
      <c r="B3297" s="23" t="n"/>
      <c r="C3297" s="24" t="n"/>
      <c r="D3297" s="15" t="n"/>
      <c r="E3297" s="23" t="n"/>
      <c r="F3297" s="15" t="n"/>
      <c r="G3297" s="23" t="n"/>
      <c r="H3297" s="25" t="n"/>
      <c r="I3297" s="15" t="n"/>
      <c r="J3297" s="26">
        <f>IF($A3297="","",LEN($C3297)-LEN(SUBSTITUTE($C3297,",",""))+1)</f>
        <v/>
      </c>
      <c r="K3297" s="26">
        <f>IF($A3297="","",SUMPRODUCT(--ISNUMBER(SEARCH('Category Dictionary'!$D$5:$D$135&amp;"",$C3297)),--('Category Dictionary'!$D$5:$D$135&lt;&gt;"")))</f>
        <v/>
      </c>
      <c r="L3297" s="27">
        <f>IF($A3297="","",TRIM(IF(ISERROR(FIND(",",$C3297)),$C3297,LEFT($C3297,FIND(",",$C3297)-1))))</f>
        <v/>
      </c>
      <c r="M3297" s="28">
        <f>IF($H3297="","",DATE(YEAR($H3297),MONTH($H3297),1))</f>
        <v/>
      </c>
      <c r="N3297" s="26">
        <f>IF($H3297="","",TODAY()-$H3297)</f>
        <v/>
      </c>
      <c r="O3297" s="15" t="n"/>
      <c r="P3297" s="26">
        <f>IF($A3297="","",COUNTIFS('Audit Versions'!$A$6:$A$605,$A3297,'Audit Versions'!$L$6:$L$605,"Active"))</f>
        <v/>
      </c>
      <c r="Q3297" s="15" t="n"/>
      <c r="R3297" s="26">
        <f>IF(OR($A3297="",$P3297=0),"",MOD(N($Q3297),$P3297)+1)</f>
        <v/>
      </c>
      <c r="S3297" s="15" t="n"/>
      <c r="T3297" s="25" t="n"/>
      <c r="U3297" s="26">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Builder'!$B$12="",N($S3297)&lt;='Assignment Builder'!$B$12)))</f>
        <v/>
      </c>
      <c r="V3297" s="23" t="n"/>
    </row>
    <row r="3298">
      <c r="A3298" s="23" t="n"/>
      <c r="B3298" s="23" t="n"/>
      <c r="C3298" s="24" t="n"/>
      <c r="D3298" s="15" t="n"/>
      <c r="E3298" s="23" t="n"/>
      <c r="F3298" s="15" t="n"/>
      <c r="G3298" s="23" t="n"/>
      <c r="H3298" s="25" t="n"/>
      <c r="I3298" s="15" t="n"/>
      <c r="J3298" s="26">
        <f>IF($A3298="","",LEN($C3298)-LEN(SUBSTITUTE($C3298,",",""))+1)</f>
        <v/>
      </c>
      <c r="K3298" s="26">
        <f>IF($A3298="","",SUMPRODUCT(--ISNUMBER(SEARCH('Category Dictionary'!$D$5:$D$135&amp;"",$C3298)),--('Category Dictionary'!$D$5:$D$135&lt;&gt;"")))</f>
        <v/>
      </c>
      <c r="L3298" s="27">
        <f>IF($A3298="","",TRIM(IF(ISERROR(FIND(",",$C3298)),$C3298,LEFT($C3298,FIND(",",$C3298)-1))))</f>
        <v/>
      </c>
      <c r="M3298" s="28">
        <f>IF($H3298="","",DATE(YEAR($H3298),MONTH($H3298),1))</f>
        <v/>
      </c>
      <c r="N3298" s="26">
        <f>IF($H3298="","",TODAY()-$H3298)</f>
        <v/>
      </c>
      <c r="O3298" s="15" t="n"/>
      <c r="P3298" s="26">
        <f>IF($A3298="","",COUNTIFS('Audit Versions'!$A$6:$A$605,$A3298,'Audit Versions'!$L$6:$L$605,"Active"))</f>
        <v/>
      </c>
      <c r="Q3298" s="15" t="n"/>
      <c r="R3298" s="26">
        <f>IF(OR($A3298="",$P3298=0),"",MOD(N($Q3298),$P3298)+1)</f>
        <v/>
      </c>
      <c r="S3298" s="15" t="n"/>
      <c r="T3298" s="25" t="n"/>
      <c r="U3298" s="26">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Builder'!$B$12="",N($S3298)&lt;='Assignment Builder'!$B$12)))</f>
        <v/>
      </c>
      <c r="V3298" s="23" t="n"/>
    </row>
    <row r="3299">
      <c r="A3299" s="23" t="n"/>
      <c r="B3299" s="23" t="n"/>
      <c r="C3299" s="24" t="n"/>
      <c r="D3299" s="15" t="n"/>
      <c r="E3299" s="23" t="n"/>
      <c r="F3299" s="15" t="n"/>
      <c r="G3299" s="23" t="n"/>
      <c r="H3299" s="25" t="n"/>
      <c r="I3299" s="15" t="n"/>
      <c r="J3299" s="26">
        <f>IF($A3299="","",LEN($C3299)-LEN(SUBSTITUTE($C3299,",",""))+1)</f>
        <v/>
      </c>
      <c r="K3299" s="26">
        <f>IF($A3299="","",SUMPRODUCT(--ISNUMBER(SEARCH('Category Dictionary'!$D$5:$D$135&amp;"",$C3299)),--('Category Dictionary'!$D$5:$D$135&lt;&gt;"")))</f>
        <v/>
      </c>
      <c r="L3299" s="27">
        <f>IF($A3299="","",TRIM(IF(ISERROR(FIND(",",$C3299)),$C3299,LEFT($C3299,FIND(",",$C3299)-1))))</f>
        <v/>
      </c>
      <c r="M3299" s="28">
        <f>IF($H3299="","",DATE(YEAR($H3299),MONTH($H3299),1))</f>
        <v/>
      </c>
      <c r="N3299" s="26">
        <f>IF($H3299="","",TODAY()-$H3299)</f>
        <v/>
      </c>
      <c r="O3299" s="15" t="n"/>
      <c r="P3299" s="26">
        <f>IF($A3299="","",COUNTIFS('Audit Versions'!$A$6:$A$605,$A3299,'Audit Versions'!$L$6:$L$605,"Active"))</f>
        <v/>
      </c>
      <c r="Q3299" s="15" t="n"/>
      <c r="R3299" s="26">
        <f>IF(OR($A3299="",$P3299=0),"",MOD(N($Q3299),$P3299)+1)</f>
        <v/>
      </c>
      <c r="S3299" s="15" t="n"/>
      <c r="T3299" s="25" t="n"/>
      <c r="U3299" s="26">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Builder'!$B$12="",N($S3299)&lt;='Assignment Builder'!$B$12)))</f>
        <v/>
      </c>
      <c r="V3299" s="23" t="n"/>
    </row>
    <row r="3300">
      <c r="A3300" s="23" t="n"/>
      <c r="B3300" s="23" t="n"/>
      <c r="C3300" s="24" t="n"/>
      <c r="D3300" s="15" t="n"/>
      <c r="E3300" s="23" t="n"/>
      <c r="F3300" s="15" t="n"/>
      <c r="G3300" s="23" t="n"/>
      <c r="H3300" s="25" t="n"/>
      <c r="I3300" s="15" t="n"/>
      <c r="J3300" s="26">
        <f>IF($A3300="","",LEN($C3300)-LEN(SUBSTITUTE($C3300,",",""))+1)</f>
        <v/>
      </c>
      <c r="K3300" s="26">
        <f>IF($A3300="","",SUMPRODUCT(--ISNUMBER(SEARCH('Category Dictionary'!$D$5:$D$135&amp;"",$C3300)),--('Category Dictionary'!$D$5:$D$135&lt;&gt;"")))</f>
        <v/>
      </c>
      <c r="L3300" s="27">
        <f>IF($A3300="","",TRIM(IF(ISERROR(FIND(",",$C3300)),$C3300,LEFT($C3300,FIND(",",$C3300)-1))))</f>
        <v/>
      </c>
      <c r="M3300" s="28">
        <f>IF($H3300="","",DATE(YEAR($H3300),MONTH($H3300),1))</f>
        <v/>
      </c>
      <c r="N3300" s="26">
        <f>IF($H3300="","",TODAY()-$H3300)</f>
        <v/>
      </c>
      <c r="O3300" s="15" t="n"/>
      <c r="P3300" s="26">
        <f>IF($A3300="","",COUNTIFS('Audit Versions'!$A$6:$A$605,$A3300,'Audit Versions'!$L$6:$L$605,"Active"))</f>
        <v/>
      </c>
      <c r="Q3300" s="15" t="n"/>
      <c r="R3300" s="26">
        <f>IF(OR($A3300="",$P3300=0),"",MOD(N($Q3300),$P3300)+1)</f>
        <v/>
      </c>
      <c r="S3300" s="15" t="n"/>
      <c r="T3300" s="25" t="n"/>
      <c r="U3300" s="26">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Builder'!$B$12="",N($S3300)&lt;='Assignment Builder'!$B$12)))</f>
        <v/>
      </c>
      <c r="V3300" s="23" t="n"/>
    </row>
    <row r="3301">
      <c r="A3301" s="23" t="n"/>
      <c r="B3301" s="23" t="n"/>
      <c r="C3301" s="24" t="n"/>
      <c r="D3301" s="15" t="n"/>
      <c r="E3301" s="23" t="n"/>
      <c r="F3301" s="15" t="n"/>
      <c r="G3301" s="23" t="n"/>
      <c r="H3301" s="25" t="n"/>
      <c r="I3301" s="15" t="n"/>
      <c r="J3301" s="26">
        <f>IF($A3301="","",LEN($C3301)-LEN(SUBSTITUTE($C3301,",",""))+1)</f>
        <v/>
      </c>
      <c r="K3301" s="26">
        <f>IF($A3301="","",SUMPRODUCT(--ISNUMBER(SEARCH('Category Dictionary'!$D$5:$D$135&amp;"",$C3301)),--('Category Dictionary'!$D$5:$D$135&lt;&gt;"")))</f>
        <v/>
      </c>
      <c r="L3301" s="27">
        <f>IF($A3301="","",TRIM(IF(ISERROR(FIND(",",$C3301)),$C3301,LEFT($C3301,FIND(",",$C3301)-1))))</f>
        <v/>
      </c>
      <c r="M3301" s="28">
        <f>IF($H3301="","",DATE(YEAR($H3301),MONTH($H3301),1))</f>
        <v/>
      </c>
      <c r="N3301" s="26">
        <f>IF($H3301="","",TODAY()-$H3301)</f>
        <v/>
      </c>
      <c r="O3301" s="15" t="n"/>
      <c r="P3301" s="26">
        <f>IF($A3301="","",COUNTIFS('Audit Versions'!$A$6:$A$605,$A3301,'Audit Versions'!$L$6:$L$605,"Active"))</f>
        <v/>
      </c>
      <c r="Q3301" s="15" t="n"/>
      <c r="R3301" s="26">
        <f>IF(OR($A3301="",$P3301=0),"",MOD(N($Q3301),$P3301)+1)</f>
        <v/>
      </c>
      <c r="S3301" s="15" t="n"/>
      <c r="T3301" s="25" t="n"/>
      <c r="U3301" s="26">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Builder'!$B$12="",N($S3301)&lt;='Assignment Builder'!$B$12)))</f>
        <v/>
      </c>
      <c r="V3301" s="23" t="n"/>
    </row>
    <row r="3302">
      <c r="A3302" s="23" t="n"/>
      <c r="B3302" s="23" t="n"/>
      <c r="C3302" s="24" t="n"/>
      <c r="D3302" s="15" t="n"/>
      <c r="E3302" s="23" t="n"/>
      <c r="F3302" s="15" t="n"/>
      <c r="G3302" s="23" t="n"/>
      <c r="H3302" s="25" t="n"/>
      <c r="I3302" s="15" t="n"/>
      <c r="J3302" s="26">
        <f>IF($A3302="","",LEN($C3302)-LEN(SUBSTITUTE($C3302,",",""))+1)</f>
        <v/>
      </c>
      <c r="K3302" s="26">
        <f>IF($A3302="","",SUMPRODUCT(--ISNUMBER(SEARCH('Category Dictionary'!$D$5:$D$135&amp;"",$C3302)),--('Category Dictionary'!$D$5:$D$135&lt;&gt;"")))</f>
        <v/>
      </c>
      <c r="L3302" s="27">
        <f>IF($A3302="","",TRIM(IF(ISERROR(FIND(",",$C3302)),$C3302,LEFT($C3302,FIND(",",$C3302)-1))))</f>
        <v/>
      </c>
      <c r="M3302" s="28">
        <f>IF($H3302="","",DATE(YEAR($H3302),MONTH($H3302),1))</f>
        <v/>
      </c>
      <c r="N3302" s="26">
        <f>IF($H3302="","",TODAY()-$H3302)</f>
        <v/>
      </c>
      <c r="O3302" s="15" t="n"/>
      <c r="P3302" s="26">
        <f>IF($A3302="","",COUNTIFS('Audit Versions'!$A$6:$A$605,$A3302,'Audit Versions'!$L$6:$L$605,"Active"))</f>
        <v/>
      </c>
      <c r="Q3302" s="15" t="n"/>
      <c r="R3302" s="26">
        <f>IF(OR($A3302="",$P3302=0),"",MOD(N($Q3302),$P3302)+1)</f>
        <v/>
      </c>
      <c r="S3302" s="15" t="n"/>
      <c r="T3302" s="25" t="n"/>
      <c r="U3302" s="26">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Builder'!$B$12="",N($S3302)&lt;='Assignment Builder'!$B$12)))</f>
        <v/>
      </c>
      <c r="V3302" s="23" t="n"/>
    </row>
    <row r="3303">
      <c r="A3303" s="23" t="n"/>
      <c r="B3303" s="23" t="n"/>
      <c r="C3303" s="24" t="n"/>
      <c r="D3303" s="15" t="n"/>
      <c r="E3303" s="23" t="n"/>
      <c r="F3303" s="15" t="n"/>
      <c r="G3303" s="23" t="n"/>
      <c r="H3303" s="25" t="n"/>
      <c r="I3303" s="15" t="n"/>
      <c r="J3303" s="26">
        <f>IF($A3303="","",LEN($C3303)-LEN(SUBSTITUTE($C3303,",",""))+1)</f>
        <v/>
      </c>
      <c r="K3303" s="26">
        <f>IF($A3303="","",SUMPRODUCT(--ISNUMBER(SEARCH('Category Dictionary'!$D$5:$D$135&amp;"",$C3303)),--('Category Dictionary'!$D$5:$D$135&lt;&gt;"")))</f>
        <v/>
      </c>
      <c r="L3303" s="27">
        <f>IF($A3303="","",TRIM(IF(ISERROR(FIND(",",$C3303)),$C3303,LEFT($C3303,FIND(",",$C3303)-1))))</f>
        <v/>
      </c>
      <c r="M3303" s="28">
        <f>IF($H3303="","",DATE(YEAR($H3303),MONTH($H3303),1))</f>
        <v/>
      </c>
      <c r="N3303" s="26">
        <f>IF($H3303="","",TODAY()-$H3303)</f>
        <v/>
      </c>
      <c r="O3303" s="15" t="n"/>
      <c r="P3303" s="26">
        <f>IF($A3303="","",COUNTIFS('Audit Versions'!$A$6:$A$605,$A3303,'Audit Versions'!$L$6:$L$605,"Active"))</f>
        <v/>
      </c>
      <c r="Q3303" s="15" t="n"/>
      <c r="R3303" s="26">
        <f>IF(OR($A3303="",$P3303=0),"",MOD(N($Q3303),$P3303)+1)</f>
        <v/>
      </c>
      <c r="S3303" s="15" t="n"/>
      <c r="T3303" s="25" t="n"/>
      <c r="U3303" s="26">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Builder'!$B$12="",N($S3303)&lt;='Assignment Builder'!$B$12)))</f>
        <v/>
      </c>
      <c r="V3303" s="23" t="n"/>
    </row>
    <row r="3304">
      <c r="A3304" s="23" t="n"/>
      <c r="B3304" s="23" t="n"/>
      <c r="C3304" s="24" t="n"/>
      <c r="D3304" s="15" t="n"/>
      <c r="E3304" s="23" t="n"/>
      <c r="F3304" s="15" t="n"/>
      <c r="G3304" s="23" t="n"/>
      <c r="H3304" s="25" t="n"/>
      <c r="I3304" s="15" t="n"/>
      <c r="J3304" s="26">
        <f>IF($A3304="","",LEN($C3304)-LEN(SUBSTITUTE($C3304,",",""))+1)</f>
        <v/>
      </c>
      <c r="K3304" s="26">
        <f>IF($A3304="","",SUMPRODUCT(--ISNUMBER(SEARCH('Category Dictionary'!$D$5:$D$135&amp;"",$C3304)),--('Category Dictionary'!$D$5:$D$135&lt;&gt;"")))</f>
        <v/>
      </c>
      <c r="L3304" s="27">
        <f>IF($A3304="","",TRIM(IF(ISERROR(FIND(",",$C3304)),$C3304,LEFT($C3304,FIND(",",$C3304)-1))))</f>
        <v/>
      </c>
      <c r="M3304" s="28">
        <f>IF($H3304="","",DATE(YEAR($H3304),MONTH($H3304),1))</f>
        <v/>
      </c>
      <c r="N3304" s="26">
        <f>IF($H3304="","",TODAY()-$H3304)</f>
        <v/>
      </c>
      <c r="O3304" s="15" t="n"/>
      <c r="P3304" s="26">
        <f>IF($A3304="","",COUNTIFS('Audit Versions'!$A$6:$A$605,$A3304,'Audit Versions'!$L$6:$L$605,"Active"))</f>
        <v/>
      </c>
      <c r="Q3304" s="15" t="n"/>
      <c r="R3304" s="26">
        <f>IF(OR($A3304="",$P3304=0),"",MOD(N($Q3304),$P3304)+1)</f>
        <v/>
      </c>
      <c r="S3304" s="15" t="n"/>
      <c r="T3304" s="25" t="n"/>
      <c r="U3304" s="26">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Builder'!$B$12="",N($S3304)&lt;='Assignment Builder'!$B$12)))</f>
        <v/>
      </c>
      <c r="V3304" s="23" t="n"/>
    </row>
    <row r="3305">
      <c r="A3305" s="23" t="n"/>
      <c r="B3305" s="23" t="n"/>
      <c r="C3305" s="24" t="n"/>
      <c r="D3305" s="15" t="n"/>
      <c r="E3305" s="23" t="n"/>
      <c r="F3305" s="15" t="n"/>
      <c r="G3305" s="23" t="n"/>
      <c r="H3305" s="25" t="n"/>
      <c r="I3305" s="15" t="n"/>
      <c r="J3305" s="26">
        <f>IF($A3305="","",LEN($C3305)-LEN(SUBSTITUTE($C3305,",",""))+1)</f>
        <v/>
      </c>
      <c r="K3305" s="26">
        <f>IF($A3305="","",SUMPRODUCT(--ISNUMBER(SEARCH('Category Dictionary'!$D$5:$D$135&amp;"",$C3305)),--('Category Dictionary'!$D$5:$D$135&lt;&gt;"")))</f>
        <v/>
      </c>
      <c r="L3305" s="27">
        <f>IF($A3305="","",TRIM(IF(ISERROR(FIND(",",$C3305)),$C3305,LEFT($C3305,FIND(",",$C3305)-1))))</f>
        <v/>
      </c>
      <c r="M3305" s="28">
        <f>IF($H3305="","",DATE(YEAR($H3305),MONTH($H3305),1))</f>
        <v/>
      </c>
      <c r="N3305" s="26">
        <f>IF($H3305="","",TODAY()-$H3305)</f>
        <v/>
      </c>
      <c r="O3305" s="15" t="n"/>
      <c r="P3305" s="26">
        <f>IF($A3305="","",COUNTIFS('Audit Versions'!$A$6:$A$605,$A3305,'Audit Versions'!$L$6:$L$605,"Active"))</f>
        <v/>
      </c>
      <c r="Q3305" s="15" t="n"/>
      <c r="R3305" s="26">
        <f>IF(OR($A3305="",$P3305=0),"",MOD(N($Q3305),$P3305)+1)</f>
        <v/>
      </c>
      <c r="S3305" s="15" t="n"/>
      <c r="T3305" s="25" t="n"/>
      <c r="U3305" s="26">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Builder'!$B$12="",N($S3305)&lt;='Assignment Builder'!$B$12)))</f>
        <v/>
      </c>
      <c r="V3305" s="23" t="n"/>
    </row>
    <row r="3306">
      <c r="A3306" s="23" t="n"/>
      <c r="B3306" s="23" t="n"/>
      <c r="C3306" s="24" t="n"/>
      <c r="D3306" s="15" t="n"/>
      <c r="E3306" s="23" t="n"/>
      <c r="F3306" s="15" t="n"/>
      <c r="G3306" s="23" t="n"/>
      <c r="H3306" s="25" t="n"/>
      <c r="I3306" s="15" t="n"/>
      <c r="J3306" s="26">
        <f>IF($A3306="","",LEN($C3306)-LEN(SUBSTITUTE($C3306,",",""))+1)</f>
        <v/>
      </c>
      <c r="K3306" s="26">
        <f>IF($A3306="","",SUMPRODUCT(--ISNUMBER(SEARCH('Category Dictionary'!$D$5:$D$135&amp;"",$C3306)),--('Category Dictionary'!$D$5:$D$135&lt;&gt;"")))</f>
        <v/>
      </c>
      <c r="L3306" s="27">
        <f>IF($A3306="","",TRIM(IF(ISERROR(FIND(",",$C3306)),$C3306,LEFT($C3306,FIND(",",$C3306)-1))))</f>
        <v/>
      </c>
      <c r="M3306" s="28">
        <f>IF($H3306="","",DATE(YEAR($H3306),MONTH($H3306),1))</f>
        <v/>
      </c>
      <c r="N3306" s="26">
        <f>IF($H3306="","",TODAY()-$H3306)</f>
        <v/>
      </c>
      <c r="O3306" s="15" t="n"/>
      <c r="P3306" s="26">
        <f>IF($A3306="","",COUNTIFS('Audit Versions'!$A$6:$A$605,$A3306,'Audit Versions'!$L$6:$L$605,"Active"))</f>
        <v/>
      </c>
      <c r="Q3306" s="15" t="n"/>
      <c r="R3306" s="26">
        <f>IF(OR($A3306="",$P3306=0),"",MOD(N($Q3306),$P3306)+1)</f>
        <v/>
      </c>
      <c r="S3306" s="15" t="n"/>
      <c r="T3306" s="25" t="n"/>
      <c r="U3306" s="26">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Builder'!$B$12="",N($S3306)&lt;='Assignment Builder'!$B$12)))</f>
        <v/>
      </c>
      <c r="V3306" s="23" t="n"/>
    </row>
    <row r="3307">
      <c r="A3307" s="23" t="n"/>
      <c r="B3307" s="23" t="n"/>
      <c r="C3307" s="24" t="n"/>
      <c r="D3307" s="15" t="n"/>
      <c r="E3307" s="23" t="n"/>
      <c r="F3307" s="15" t="n"/>
      <c r="G3307" s="23" t="n"/>
      <c r="H3307" s="25" t="n"/>
      <c r="I3307" s="15" t="n"/>
      <c r="J3307" s="26">
        <f>IF($A3307="","",LEN($C3307)-LEN(SUBSTITUTE($C3307,",",""))+1)</f>
        <v/>
      </c>
      <c r="K3307" s="26">
        <f>IF($A3307="","",SUMPRODUCT(--ISNUMBER(SEARCH('Category Dictionary'!$D$5:$D$135&amp;"",$C3307)),--('Category Dictionary'!$D$5:$D$135&lt;&gt;"")))</f>
        <v/>
      </c>
      <c r="L3307" s="27">
        <f>IF($A3307="","",TRIM(IF(ISERROR(FIND(",",$C3307)),$C3307,LEFT($C3307,FIND(",",$C3307)-1))))</f>
        <v/>
      </c>
      <c r="M3307" s="28">
        <f>IF($H3307="","",DATE(YEAR($H3307),MONTH($H3307),1))</f>
        <v/>
      </c>
      <c r="N3307" s="26">
        <f>IF($H3307="","",TODAY()-$H3307)</f>
        <v/>
      </c>
      <c r="O3307" s="15" t="n"/>
      <c r="P3307" s="26">
        <f>IF($A3307="","",COUNTIFS('Audit Versions'!$A$6:$A$605,$A3307,'Audit Versions'!$L$6:$L$605,"Active"))</f>
        <v/>
      </c>
      <c r="Q3307" s="15" t="n"/>
      <c r="R3307" s="26">
        <f>IF(OR($A3307="",$P3307=0),"",MOD(N($Q3307),$P3307)+1)</f>
        <v/>
      </c>
      <c r="S3307" s="15" t="n"/>
      <c r="T3307" s="25" t="n"/>
      <c r="U3307" s="26">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Builder'!$B$12="",N($S3307)&lt;='Assignment Builder'!$B$12)))</f>
        <v/>
      </c>
      <c r="V3307" s="23" t="n"/>
    </row>
    <row r="3308">
      <c r="A3308" s="23" t="n"/>
      <c r="B3308" s="23" t="n"/>
      <c r="C3308" s="24" t="n"/>
      <c r="D3308" s="15" t="n"/>
      <c r="E3308" s="23" t="n"/>
      <c r="F3308" s="15" t="n"/>
      <c r="G3308" s="23" t="n"/>
      <c r="H3308" s="25" t="n"/>
      <c r="I3308" s="15" t="n"/>
      <c r="J3308" s="26">
        <f>IF($A3308="","",LEN($C3308)-LEN(SUBSTITUTE($C3308,",",""))+1)</f>
        <v/>
      </c>
      <c r="K3308" s="26">
        <f>IF($A3308="","",SUMPRODUCT(--ISNUMBER(SEARCH('Category Dictionary'!$D$5:$D$135&amp;"",$C3308)),--('Category Dictionary'!$D$5:$D$135&lt;&gt;"")))</f>
        <v/>
      </c>
      <c r="L3308" s="27">
        <f>IF($A3308="","",TRIM(IF(ISERROR(FIND(",",$C3308)),$C3308,LEFT($C3308,FIND(",",$C3308)-1))))</f>
        <v/>
      </c>
      <c r="M3308" s="28">
        <f>IF($H3308="","",DATE(YEAR($H3308),MONTH($H3308),1))</f>
        <v/>
      </c>
      <c r="N3308" s="26">
        <f>IF($H3308="","",TODAY()-$H3308)</f>
        <v/>
      </c>
      <c r="O3308" s="15" t="n"/>
      <c r="P3308" s="26">
        <f>IF($A3308="","",COUNTIFS('Audit Versions'!$A$6:$A$605,$A3308,'Audit Versions'!$L$6:$L$605,"Active"))</f>
        <v/>
      </c>
      <c r="Q3308" s="15" t="n"/>
      <c r="R3308" s="26">
        <f>IF(OR($A3308="",$P3308=0),"",MOD(N($Q3308),$P3308)+1)</f>
        <v/>
      </c>
      <c r="S3308" s="15" t="n"/>
      <c r="T3308" s="25" t="n"/>
      <c r="U3308" s="26">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Builder'!$B$12="",N($S3308)&lt;='Assignment Builder'!$B$12)))</f>
        <v/>
      </c>
      <c r="V3308" s="23" t="n"/>
    </row>
    <row r="3309">
      <c r="A3309" s="23" t="n"/>
      <c r="B3309" s="23" t="n"/>
      <c r="C3309" s="24" t="n"/>
      <c r="D3309" s="15" t="n"/>
      <c r="E3309" s="23" t="n"/>
      <c r="F3309" s="15" t="n"/>
      <c r="G3309" s="23" t="n"/>
      <c r="H3309" s="25" t="n"/>
      <c r="I3309" s="15" t="n"/>
      <c r="J3309" s="26">
        <f>IF($A3309="","",LEN($C3309)-LEN(SUBSTITUTE($C3309,",",""))+1)</f>
        <v/>
      </c>
      <c r="K3309" s="26">
        <f>IF($A3309="","",SUMPRODUCT(--ISNUMBER(SEARCH('Category Dictionary'!$D$5:$D$135&amp;"",$C3309)),--('Category Dictionary'!$D$5:$D$135&lt;&gt;"")))</f>
        <v/>
      </c>
      <c r="L3309" s="27">
        <f>IF($A3309="","",TRIM(IF(ISERROR(FIND(",",$C3309)),$C3309,LEFT($C3309,FIND(",",$C3309)-1))))</f>
        <v/>
      </c>
      <c r="M3309" s="28">
        <f>IF($H3309="","",DATE(YEAR($H3309),MONTH($H3309),1))</f>
        <v/>
      </c>
      <c r="N3309" s="26">
        <f>IF($H3309="","",TODAY()-$H3309)</f>
        <v/>
      </c>
      <c r="O3309" s="15" t="n"/>
      <c r="P3309" s="26">
        <f>IF($A3309="","",COUNTIFS('Audit Versions'!$A$6:$A$605,$A3309,'Audit Versions'!$L$6:$L$605,"Active"))</f>
        <v/>
      </c>
      <c r="Q3309" s="15" t="n"/>
      <c r="R3309" s="26">
        <f>IF(OR($A3309="",$P3309=0),"",MOD(N($Q3309),$P3309)+1)</f>
        <v/>
      </c>
      <c r="S3309" s="15" t="n"/>
      <c r="T3309" s="25" t="n"/>
      <c r="U3309" s="26">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Builder'!$B$12="",N($S3309)&lt;='Assignment Builder'!$B$12)))</f>
        <v/>
      </c>
      <c r="V3309" s="23" t="n"/>
    </row>
    <row r="3310">
      <c r="A3310" s="23" t="n"/>
      <c r="B3310" s="23" t="n"/>
      <c r="C3310" s="24" t="n"/>
      <c r="D3310" s="15" t="n"/>
      <c r="E3310" s="23" t="n"/>
      <c r="F3310" s="15" t="n"/>
      <c r="G3310" s="23" t="n"/>
      <c r="H3310" s="25" t="n"/>
      <c r="I3310" s="15" t="n"/>
      <c r="J3310" s="26">
        <f>IF($A3310="","",LEN($C3310)-LEN(SUBSTITUTE($C3310,",",""))+1)</f>
        <v/>
      </c>
      <c r="K3310" s="26">
        <f>IF($A3310="","",SUMPRODUCT(--ISNUMBER(SEARCH('Category Dictionary'!$D$5:$D$135&amp;"",$C3310)),--('Category Dictionary'!$D$5:$D$135&lt;&gt;"")))</f>
        <v/>
      </c>
      <c r="L3310" s="27">
        <f>IF($A3310="","",TRIM(IF(ISERROR(FIND(",",$C3310)),$C3310,LEFT($C3310,FIND(",",$C3310)-1))))</f>
        <v/>
      </c>
      <c r="M3310" s="28">
        <f>IF($H3310="","",DATE(YEAR($H3310),MONTH($H3310),1))</f>
        <v/>
      </c>
      <c r="N3310" s="26">
        <f>IF($H3310="","",TODAY()-$H3310)</f>
        <v/>
      </c>
      <c r="O3310" s="15" t="n"/>
      <c r="P3310" s="26">
        <f>IF($A3310="","",COUNTIFS('Audit Versions'!$A$6:$A$605,$A3310,'Audit Versions'!$L$6:$L$605,"Active"))</f>
        <v/>
      </c>
      <c r="Q3310" s="15" t="n"/>
      <c r="R3310" s="26">
        <f>IF(OR($A3310="",$P3310=0),"",MOD(N($Q3310),$P3310)+1)</f>
        <v/>
      </c>
      <c r="S3310" s="15" t="n"/>
      <c r="T3310" s="25" t="n"/>
      <c r="U3310" s="26">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Builder'!$B$12="",N($S3310)&lt;='Assignment Builder'!$B$12)))</f>
        <v/>
      </c>
      <c r="V3310" s="23" t="n"/>
    </row>
    <row r="3311">
      <c r="A3311" s="23" t="n"/>
      <c r="B3311" s="23" t="n"/>
      <c r="C3311" s="24" t="n"/>
      <c r="D3311" s="15" t="n"/>
      <c r="E3311" s="23" t="n"/>
      <c r="F3311" s="15" t="n"/>
      <c r="G3311" s="23" t="n"/>
      <c r="H3311" s="25" t="n"/>
      <c r="I3311" s="15" t="n"/>
      <c r="J3311" s="26">
        <f>IF($A3311="","",LEN($C3311)-LEN(SUBSTITUTE($C3311,",",""))+1)</f>
        <v/>
      </c>
      <c r="K3311" s="26">
        <f>IF($A3311="","",SUMPRODUCT(--ISNUMBER(SEARCH('Category Dictionary'!$D$5:$D$135&amp;"",$C3311)),--('Category Dictionary'!$D$5:$D$135&lt;&gt;"")))</f>
        <v/>
      </c>
      <c r="L3311" s="27">
        <f>IF($A3311="","",TRIM(IF(ISERROR(FIND(",",$C3311)),$C3311,LEFT($C3311,FIND(",",$C3311)-1))))</f>
        <v/>
      </c>
      <c r="M3311" s="28">
        <f>IF($H3311="","",DATE(YEAR($H3311),MONTH($H3311),1))</f>
        <v/>
      </c>
      <c r="N3311" s="26">
        <f>IF($H3311="","",TODAY()-$H3311)</f>
        <v/>
      </c>
      <c r="O3311" s="15" t="n"/>
      <c r="P3311" s="26">
        <f>IF($A3311="","",COUNTIFS('Audit Versions'!$A$6:$A$605,$A3311,'Audit Versions'!$L$6:$L$605,"Active"))</f>
        <v/>
      </c>
      <c r="Q3311" s="15" t="n"/>
      <c r="R3311" s="26">
        <f>IF(OR($A3311="",$P3311=0),"",MOD(N($Q3311),$P3311)+1)</f>
        <v/>
      </c>
      <c r="S3311" s="15" t="n"/>
      <c r="T3311" s="25" t="n"/>
      <c r="U3311" s="26">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Builder'!$B$12="",N($S3311)&lt;='Assignment Builder'!$B$12)))</f>
        <v/>
      </c>
      <c r="V3311" s="23" t="n"/>
    </row>
    <row r="3312">
      <c r="A3312" s="23" t="n"/>
      <c r="B3312" s="23" t="n"/>
      <c r="C3312" s="24" t="n"/>
      <c r="D3312" s="15" t="n"/>
      <c r="E3312" s="23" t="n"/>
      <c r="F3312" s="15" t="n"/>
      <c r="G3312" s="23" t="n"/>
      <c r="H3312" s="25" t="n"/>
      <c r="I3312" s="15" t="n"/>
      <c r="J3312" s="26">
        <f>IF($A3312="","",LEN($C3312)-LEN(SUBSTITUTE($C3312,",",""))+1)</f>
        <v/>
      </c>
      <c r="K3312" s="26">
        <f>IF($A3312="","",SUMPRODUCT(--ISNUMBER(SEARCH('Category Dictionary'!$D$5:$D$135&amp;"",$C3312)),--('Category Dictionary'!$D$5:$D$135&lt;&gt;"")))</f>
        <v/>
      </c>
      <c r="L3312" s="27">
        <f>IF($A3312="","",TRIM(IF(ISERROR(FIND(",",$C3312)),$C3312,LEFT($C3312,FIND(",",$C3312)-1))))</f>
        <v/>
      </c>
      <c r="M3312" s="28">
        <f>IF($H3312="","",DATE(YEAR($H3312),MONTH($H3312),1))</f>
        <v/>
      </c>
      <c r="N3312" s="26">
        <f>IF($H3312="","",TODAY()-$H3312)</f>
        <v/>
      </c>
      <c r="O3312" s="15" t="n"/>
      <c r="P3312" s="26">
        <f>IF($A3312="","",COUNTIFS('Audit Versions'!$A$6:$A$605,$A3312,'Audit Versions'!$L$6:$L$605,"Active"))</f>
        <v/>
      </c>
      <c r="Q3312" s="15" t="n"/>
      <c r="R3312" s="26">
        <f>IF(OR($A3312="",$P3312=0),"",MOD(N($Q3312),$P3312)+1)</f>
        <v/>
      </c>
      <c r="S3312" s="15" t="n"/>
      <c r="T3312" s="25" t="n"/>
      <c r="U3312" s="26">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Builder'!$B$12="",N($S3312)&lt;='Assignment Builder'!$B$12)))</f>
        <v/>
      </c>
      <c r="V3312" s="23" t="n"/>
    </row>
    <row r="3313">
      <c r="A3313" s="23" t="n"/>
      <c r="B3313" s="23" t="n"/>
      <c r="C3313" s="24" t="n"/>
      <c r="D3313" s="15" t="n"/>
      <c r="E3313" s="23" t="n"/>
      <c r="F3313" s="15" t="n"/>
      <c r="G3313" s="23" t="n"/>
      <c r="H3313" s="25" t="n"/>
      <c r="I3313" s="15" t="n"/>
      <c r="J3313" s="26">
        <f>IF($A3313="","",LEN($C3313)-LEN(SUBSTITUTE($C3313,",",""))+1)</f>
        <v/>
      </c>
      <c r="K3313" s="26">
        <f>IF($A3313="","",SUMPRODUCT(--ISNUMBER(SEARCH('Category Dictionary'!$D$5:$D$135&amp;"",$C3313)),--('Category Dictionary'!$D$5:$D$135&lt;&gt;"")))</f>
        <v/>
      </c>
      <c r="L3313" s="27">
        <f>IF($A3313="","",TRIM(IF(ISERROR(FIND(",",$C3313)),$C3313,LEFT($C3313,FIND(",",$C3313)-1))))</f>
        <v/>
      </c>
      <c r="M3313" s="28">
        <f>IF($H3313="","",DATE(YEAR($H3313),MONTH($H3313),1))</f>
        <v/>
      </c>
      <c r="N3313" s="26">
        <f>IF($H3313="","",TODAY()-$H3313)</f>
        <v/>
      </c>
      <c r="O3313" s="15" t="n"/>
      <c r="P3313" s="26">
        <f>IF($A3313="","",COUNTIFS('Audit Versions'!$A$6:$A$605,$A3313,'Audit Versions'!$L$6:$L$605,"Active"))</f>
        <v/>
      </c>
      <c r="Q3313" s="15" t="n"/>
      <c r="R3313" s="26">
        <f>IF(OR($A3313="",$P3313=0),"",MOD(N($Q3313),$P3313)+1)</f>
        <v/>
      </c>
      <c r="S3313" s="15" t="n"/>
      <c r="T3313" s="25" t="n"/>
      <c r="U3313" s="26">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Builder'!$B$12="",N($S3313)&lt;='Assignment Builder'!$B$12)))</f>
        <v/>
      </c>
      <c r="V3313" s="23" t="n"/>
    </row>
    <row r="3314">
      <c r="A3314" s="23" t="n"/>
      <c r="B3314" s="23" t="n"/>
      <c r="C3314" s="24" t="n"/>
      <c r="D3314" s="15" t="n"/>
      <c r="E3314" s="23" t="n"/>
      <c r="F3314" s="15" t="n"/>
      <c r="G3314" s="23" t="n"/>
      <c r="H3314" s="25" t="n"/>
      <c r="I3314" s="15" t="n"/>
      <c r="J3314" s="26">
        <f>IF($A3314="","",LEN($C3314)-LEN(SUBSTITUTE($C3314,",",""))+1)</f>
        <v/>
      </c>
      <c r="K3314" s="26">
        <f>IF($A3314="","",SUMPRODUCT(--ISNUMBER(SEARCH('Category Dictionary'!$D$5:$D$135&amp;"",$C3314)),--('Category Dictionary'!$D$5:$D$135&lt;&gt;"")))</f>
        <v/>
      </c>
      <c r="L3314" s="27">
        <f>IF($A3314="","",TRIM(IF(ISERROR(FIND(",",$C3314)),$C3314,LEFT($C3314,FIND(",",$C3314)-1))))</f>
        <v/>
      </c>
      <c r="M3314" s="28">
        <f>IF($H3314="","",DATE(YEAR($H3314),MONTH($H3314),1))</f>
        <v/>
      </c>
      <c r="N3314" s="26">
        <f>IF($H3314="","",TODAY()-$H3314)</f>
        <v/>
      </c>
      <c r="O3314" s="15" t="n"/>
      <c r="P3314" s="26">
        <f>IF($A3314="","",COUNTIFS('Audit Versions'!$A$6:$A$605,$A3314,'Audit Versions'!$L$6:$L$605,"Active"))</f>
        <v/>
      </c>
      <c r="Q3314" s="15" t="n"/>
      <c r="R3314" s="26">
        <f>IF(OR($A3314="",$P3314=0),"",MOD(N($Q3314),$P3314)+1)</f>
        <v/>
      </c>
      <c r="S3314" s="15" t="n"/>
      <c r="T3314" s="25" t="n"/>
      <c r="U3314" s="26">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Builder'!$B$12="",N($S3314)&lt;='Assignment Builder'!$B$12)))</f>
        <v/>
      </c>
      <c r="V3314" s="23" t="n"/>
    </row>
    <row r="3315">
      <c r="A3315" s="23" t="n"/>
      <c r="B3315" s="23" t="n"/>
      <c r="C3315" s="24" t="n"/>
      <c r="D3315" s="15" t="n"/>
      <c r="E3315" s="23" t="n"/>
      <c r="F3315" s="15" t="n"/>
      <c r="G3315" s="23" t="n"/>
      <c r="H3315" s="25" t="n"/>
      <c r="I3315" s="15" t="n"/>
      <c r="J3315" s="26">
        <f>IF($A3315="","",LEN($C3315)-LEN(SUBSTITUTE($C3315,",",""))+1)</f>
        <v/>
      </c>
      <c r="K3315" s="26">
        <f>IF($A3315="","",SUMPRODUCT(--ISNUMBER(SEARCH('Category Dictionary'!$D$5:$D$135&amp;"",$C3315)),--('Category Dictionary'!$D$5:$D$135&lt;&gt;"")))</f>
        <v/>
      </c>
      <c r="L3315" s="27">
        <f>IF($A3315="","",TRIM(IF(ISERROR(FIND(",",$C3315)),$C3315,LEFT($C3315,FIND(",",$C3315)-1))))</f>
        <v/>
      </c>
      <c r="M3315" s="28">
        <f>IF($H3315="","",DATE(YEAR($H3315),MONTH($H3315),1))</f>
        <v/>
      </c>
      <c r="N3315" s="26">
        <f>IF($H3315="","",TODAY()-$H3315)</f>
        <v/>
      </c>
      <c r="O3315" s="15" t="n"/>
      <c r="P3315" s="26">
        <f>IF($A3315="","",COUNTIFS('Audit Versions'!$A$6:$A$605,$A3315,'Audit Versions'!$L$6:$L$605,"Active"))</f>
        <v/>
      </c>
      <c r="Q3315" s="15" t="n"/>
      <c r="R3315" s="26">
        <f>IF(OR($A3315="",$P3315=0),"",MOD(N($Q3315),$P3315)+1)</f>
        <v/>
      </c>
      <c r="S3315" s="15" t="n"/>
      <c r="T3315" s="25" t="n"/>
      <c r="U3315" s="26">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Builder'!$B$12="",N($S3315)&lt;='Assignment Builder'!$B$12)))</f>
        <v/>
      </c>
      <c r="V3315" s="23" t="n"/>
    </row>
    <row r="3316">
      <c r="A3316" s="23" t="n"/>
      <c r="B3316" s="23" t="n"/>
      <c r="C3316" s="24" t="n"/>
      <c r="D3316" s="15" t="n"/>
      <c r="E3316" s="23" t="n"/>
      <c r="F3316" s="15" t="n"/>
      <c r="G3316" s="23" t="n"/>
      <c r="H3316" s="25" t="n"/>
      <c r="I3316" s="15" t="n"/>
      <c r="J3316" s="26">
        <f>IF($A3316="","",LEN($C3316)-LEN(SUBSTITUTE($C3316,",",""))+1)</f>
        <v/>
      </c>
      <c r="K3316" s="26">
        <f>IF($A3316="","",SUMPRODUCT(--ISNUMBER(SEARCH('Category Dictionary'!$D$5:$D$135&amp;"",$C3316)),--('Category Dictionary'!$D$5:$D$135&lt;&gt;"")))</f>
        <v/>
      </c>
      <c r="L3316" s="27">
        <f>IF($A3316="","",TRIM(IF(ISERROR(FIND(",",$C3316)),$C3316,LEFT($C3316,FIND(",",$C3316)-1))))</f>
        <v/>
      </c>
      <c r="M3316" s="28">
        <f>IF($H3316="","",DATE(YEAR($H3316),MONTH($H3316),1))</f>
        <v/>
      </c>
      <c r="N3316" s="26">
        <f>IF($H3316="","",TODAY()-$H3316)</f>
        <v/>
      </c>
      <c r="O3316" s="15" t="n"/>
      <c r="P3316" s="26">
        <f>IF($A3316="","",COUNTIFS('Audit Versions'!$A$6:$A$605,$A3316,'Audit Versions'!$L$6:$L$605,"Active"))</f>
        <v/>
      </c>
      <c r="Q3316" s="15" t="n"/>
      <c r="R3316" s="26">
        <f>IF(OR($A3316="",$P3316=0),"",MOD(N($Q3316),$P3316)+1)</f>
        <v/>
      </c>
      <c r="S3316" s="15" t="n"/>
      <c r="T3316" s="25" t="n"/>
      <c r="U3316" s="26">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Builder'!$B$12="",N($S3316)&lt;='Assignment Builder'!$B$12)))</f>
        <v/>
      </c>
      <c r="V3316" s="23" t="n"/>
    </row>
    <row r="3317">
      <c r="A3317" s="23" t="n"/>
      <c r="B3317" s="23" t="n"/>
      <c r="C3317" s="24" t="n"/>
      <c r="D3317" s="15" t="n"/>
      <c r="E3317" s="23" t="n"/>
      <c r="F3317" s="15" t="n"/>
      <c r="G3317" s="23" t="n"/>
      <c r="H3317" s="25" t="n"/>
      <c r="I3317" s="15" t="n"/>
      <c r="J3317" s="26">
        <f>IF($A3317="","",LEN($C3317)-LEN(SUBSTITUTE($C3317,",",""))+1)</f>
        <v/>
      </c>
      <c r="K3317" s="26">
        <f>IF($A3317="","",SUMPRODUCT(--ISNUMBER(SEARCH('Category Dictionary'!$D$5:$D$135&amp;"",$C3317)),--('Category Dictionary'!$D$5:$D$135&lt;&gt;"")))</f>
        <v/>
      </c>
      <c r="L3317" s="27">
        <f>IF($A3317="","",TRIM(IF(ISERROR(FIND(",",$C3317)),$C3317,LEFT($C3317,FIND(",",$C3317)-1))))</f>
        <v/>
      </c>
      <c r="M3317" s="28">
        <f>IF($H3317="","",DATE(YEAR($H3317),MONTH($H3317),1))</f>
        <v/>
      </c>
      <c r="N3317" s="26">
        <f>IF($H3317="","",TODAY()-$H3317)</f>
        <v/>
      </c>
      <c r="O3317" s="15" t="n"/>
      <c r="P3317" s="26">
        <f>IF($A3317="","",COUNTIFS('Audit Versions'!$A$6:$A$605,$A3317,'Audit Versions'!$L$6:$L$605,"Active"))</f>
        <v/>
      </c>
      <c r="Q3317" s="15" t="n"/>
      <c r="R3317" s="26">
        <f>IF(OR($A3317="",$P3317=0),"",MOD(N($Q3317),$P3317)+1)</f>
        <v/>
      </c>
      <c r="S3317" s="15" t="n"/>
      <c r="T3317" s="25" t="n"/>
      <c r="U3317" s="26">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Builder'!$B$12="",N($S3317)&lt;='Assignment Builder'!$B$12)))</f>
        <v/>
      </c>
      <c r="V3317" s="23" t="n"/>
    </row>
    <row r="3318">
      <c r="A3318" s="23" t="n"/>
      <c r="B3318" s="23" t="n"/>
      <c r="C3318" s="24" t="n"/>
      <c r="D3318" s="15" t="n"/>
      <c r="E3318" s="23" t="n"/>
      <c r="F3318" s="15" t="n"/>
      <c r="G3318" s="23" t="n"/>
      <c r="H3318" s="25" t="n"/>
      <c r="I3318" s="15" t="n"/>
      <c r="J3318" s="26">
        <f>IF($A3318="","",LEN($C3318)-LEN(SUBSTITUTE($C3318,",",""))+1)</f>
        <v/>
      </c>
      <c r="K3318" s="26">
        <f>IF($A3318="","",SUMPRODUCT(--ISNUMBER(SEARCH('Category Dictionary'!$D$5:$D$135&amp;"",$C3318)),--('Category Dictionary'!$D$5:$D$135&lt;&gt;"")))</f>
        <v/>
      </c>
      <c r="L3318" s="27">
        <f>IF($A3318="","",TRIM(IF(ISERROR(FIND(",",$C3318)),$C3318,LEFT($C3318,FIND(",",$C3318)-1))))</f>
        <v/>
      </c>
      <c r="M3318" s="28">
        <f>IF($H3318="","",DATE(YEAR($H3318),MONTH($H3318),1))</f>
        <v/>
      </c>
      <c r="N3318" s="26">
        <f>IF($H3318="","",TODAY()-$H3318)</f>
        <v/>
      </c>
      <c r="O3318" s="15" t="n"/>
      <c r="P3318" s="26">
        <f>IF($A3318="","",COUNTIFS('Audit Versions'!$A$6:$A$605,$A3318,'Audit Versions'!$L$6:$L$605,"Active"))</f>
        <v/>
      </c>
      <c r="Q3318" s="15" t="n"/>
      <c r="R3318" s="26">
        <f>IF(OR($A3318="",$P3318=0),"",MOD(N($Q3318),$P3318)+1)</f>
        <v/>
      </c>
      <c r="S3318" s="15" t="n"/>
      <c r="T3318" s="25" t="n"/>
      <c r="U3318" s="26">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Builder'!$B$12="",N($S3318)&lt;='Assignment Builder'!$B$12)))</f>
        <v/>
      </c>
      <c r="V3318" s="23" t="n"/>
    </row>
    <row r="3319">
      <c r="A3319" s="23" t="n"/>
      <c r="B3319" s="23" t="n"/>
      <c r="C3319" s="24" t="n"/>
      <c r="D3319" s="15" t="n"/>
      <c r="E3319" s="23" t="n"/>
      <c r="F3319" s="15" t="n"/>
      <c r="G3319" s="23" t="n"/>
      <c r="H3319" s="25" t="n"/>
      <c r="I3319" s="15" t="n"/>
      <c r="J3319" s="26">
        <f>IF($A3319="","",LEN($C3319)-LEN(SUBSTITUTE($C3319,",",""))+1)</f>
        <v/>
      </c>
      <c r="K3319" s="26">
        <f>IF($A3319="","",SUMPRODUCT(--ISNUMBER(SEARCH('Category Dictionary'!$D$5:$D$135&amp;"",$C3319)),--('Category Dictionary'!$D$5:$D$135&lt;&gt;"")))</f>
        <v/>
      </c>
      <c r="L3319" s="27">
        <f>IF($A3319="","",TRIM(IF(ISERROR(FIND(",",$C3319)),$C3319,LEFT($C3319,FIND(",",$C3319)-1))))</f>
        <v/>
      </c>
      <c r="M3319" s="28">
        <f>IF($H3319="","",DATE(YEAR($H3319),MONTH($H3319),1))</f>
        <v/>
      </c>
      <c r="N3319" s="26">
        <f>IF($H3319="","",TODAY()-$H3319)</f>
        <v/>
      </c>
      <c r="O3319" s="15" t="n"/>
      <c r="P3319" s="26">
        <f>IF($A3319="","",COUNTIFS('Audit Versions'!$A$6:$A$605,$A3319,'Audit Versions'!$L$6:$L$605,"Active"))</f>
        <v/>
      </c>
      <c r="Q3319" s="15" t="n"/>
      <c r="R3319" s="26">
        <f>IF(OR($A3319="",$P3319=0),"",MOD(N($Q3319),$P3319)+1)</f>
        <v/>
      </c>
      <c r="S3319" s="15" t="n"/>
      <c r="T3319" s="25" t="n"/>
      <c r="U3319" s="26">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Builder'!$B$12="",N($S3319)&lt;='Assignment Builder'!$B$12)))</f>
        <v/>
      </c>
      <c r="V3319" s="23" t="n"/>
    </row>
    <row r="3320">
      <c r="A3320" s="23" t="n"/>
      <c r="B3320" s="23" t="n"/>
      <c r="C3320" s="24" t="n"/>
      <c r="D3320" s="15" t="n"/>
      <c r="E3320" s="23" t="n"/>
      <c r="F3320" s="15" t="n"/>
      <c r="G3320" s="23" t="n"/>
      <c r="H3320" s="25" t="n"/>
      <c r="I3320" s="15" t="n"/>
      <c r="J3320" s="26">
        <f>IF($A3320="","",LEN($C3320)-LEN(SUBSTITUTE($C3320,",",""))+1)</f>
        <v/>
      </c>
      <c r="K3320" s="26">
        <f>IF($A3320="","",SUMPRODUCT(--ISNUMBER(SEARCH('Category Dictionary'!$D$5:$D$135&amp;"",$C3320)),--('Category Dictionary'!$D$5:$D$135&lt;&gt;"")))</f>
        <v/>
      </c>
      <c r="L3320" s="27">
        <f>IF($A3320="","",TRIM(IF(ISERROR(FIND(",",$C3320)),$C3320,LEFT($C3320,FIND(",",$C3320)-1))))</f>
        <v/>
      </c>
      <c r="M3320" s="28">
        <f>IF($H3320="","",DATE(YEAR($H3320),MONTH($H3320),1))</f>
        <v/>
      </c>
      <c r="N3320" s="26">
        <f>IF($H3320="","",TODAY()-$H3320)</f>
        <v/>
      </c>
      <c r="O3320" s="15" t="n"/>
      <c r="P3320" s="26">
        <f>IF($A3320="","",COUNTIFS('Audit Versions'!$A$6:$A$605,$A3320,'Audit Versions'!$L$6:$L$605,"Active"))</f>
        <v/>
      </c>
      <c r="Q3320" s="15" t="n"/>
      <c r="R3320" s="26">
        <f>IF(OR($A3320="",$P3320=0),"",MOD(N($Q3320),$P3320)+1)</f>
        <v/>
      </c>
      <c r="S3320" s="15" t="n"/>
      <c r="T3320" s="25" t="n"/>
      <c r="U3320" s="26">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Builder'!$B$12="",N($S3320)&lt;='Assignment Builder'!$B$12)))</f>
        <v/>
      </c>
      <c r="V3320" s="23" t="n"/>
    </row>
    <row r="3321">
      <c r="A3321" s="23" t="n"/>
      <c r="B3321" s="23" t="n"/>
      <c r="C3321" s="24" t="n"/>
      <c r="D3321" s="15" t="n"/>
      <c r="E3321" s="23" t="n"/>
      <c r="F3321" s="15" t="n"/>
      <c r="G3321" s="23" t="n"/>
      <c r="H3321" s="25" t="n"/>
      <c r="I3321" s="15" t="n"/>
      <c r="J3321" s="26">
        <f>IF($A3321="","",LEN($C3321)-LEN(SUBSTITUTE($C3321,",",""))+1)</f>
        <v/>
      </c>
      <c r="K3321" s="26">
        <f>IF($A3321="","",SUMPRODUCT(--ISNUMBER(SEARCH('Category Dictionary'!$D$5:$D$135&amp;"",$C3321)),--('Category Dictionary'!$D$5:$D$135&lt;&gt;"")))</f>
        <v/>
      </c>
      <c r="L3321" s="27">
        <f>IF($A3321="","",TRIM(IF(ISERROR(FIND(",",$C3321)),$C3321,LEFT($C3321,FIND(",",$C3321)-1))))</f>
        <v/>
      </c>
      <c r="M3321" s="28">
        <f>IF($H3321="","",DATE(YEAR($H3321),MONTH($H3321),1))</f>
        <v/>
      </c>
      <c r="N3321" s="26">
        <f>IF($H3321="","",TODAY()-$H3321)</f>
        <v/>
      </c>
      <c r="O3321" s="15" t="n"/>
      <c r="P3321" s="26">
        <f>IF($A3321="","",COUNTIFS('Audit Versions'!$A$6:$A$605,$A3321,'Audit Versions'!$L$6:$L$605,"Active"))</f>
        <v/>
      </c>
      <c r="Q3321" s="15" t="n"/>
      <c r="R3321" s="26">
        <f>IF(OR($A3321="",$P3321=0),"",MOD(N($Q3321),$P3321)+1)</f>
        <v/>
      </c>
      <c r="S3321" s="15" t="n"/>
      <c r="T3321" s="25" t="n"/>
      <c r="U3321" s="26">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Builder'!$B$12="",N($S3321)&lt;='Assignment Builder'!$B$12)))</f>
        <v/>
      </c>
      <c r="V3321" s="23" t="n"/>
    </row>
    <row r="3322">
      <c r="A3322" s="23" t="n"/>
      <c r="B3322" s="23" t="n"/>
      <c r="C3322" s="24" t="n"/>
      <c r="D3322" s="15" t="n"/>
      <c r="E3322" s="23" t="n"/>
      <c r="F3322" s="15" t="n"/>
      <c r="G3322" s="23" t="n"/>
      <c r="H3322" s="25" t="n"/>
      <c r="I3322" s="15" t="n"/>
      <c r="J3322" s="26">
        <f>IF($A3322="","",LEN($C3322)-LEN(SUBSTITUTE($C3322,",",""))+1)</f>
        <v/>
      </c>
      <c r="K3322" s="26">
        <f>IF($A3322="","",SUMPRODUCT(--ISNUMBER(SEARCH('Category Dictionary'!$D$5:$D$135&amp;"",$C3322)),--('Category Dictionary'!$D$5:$D$135&lt;&gt;"")))</f>
        <v/>
      </c>
      <c r="L3322" s="27">
        <f>IF($A3322="","",TRIM(IF(ISERROR(FIND(",",$C3322)),$C3322,LEFT($C3322,FIND(",",$C3322)-1))))</f>
        <v/>
      </c>
      <c r="M3322" s="28">
        <f>IF($H3322="","",DATE(YEAR($H3322),MONTH($H3322),1))</f>
        <v/>
      </c>
      <c r="N3322" s="26">
        <f>IF($H3322="","",TODAY()-$H3322)</f>
        <v/>
      </c>
      <c r="O3322" s="15" t="n"/>
      <c r="P3322" s="26">
        <f>IF($A3322="","",COUNTIFS('Audit Versions'!$A$6:$A$605,$A3322,'Audit Versions'!$L$6:$L$605,"Active"))</f>
        <v/>
      </c>
      <c r="Q3322" s="15" t="n"/>
      <c r="R3322" s="26">
        <f>IF(OR($A3322="",$P3322=0),"",MOD(N($Q3322),$P3322)+1)</f>
        <v/>
      </c>
      <c r="S3322" s="15" t="n"/>
      <c r="T3322" s="25" t="n"/>
      <c r="U3322" s="26">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Builder'!$B$12="",N($S3322)&lt;='Assignment Builder'!$B$12)))</f>
        <v/>
      </c>
      <c r="V3322" s="23" t="n"/>
    </row>
    <row r="3323">
      <c r="A3323" s="23" t="n"/>
      <c r="B3323" s="23" t="n"/>
      <c r="C3323" s="24" t="n"/>
      <c r="D3323" s="15" t="n"/>
      <c r="E3323" s="23" t="n"/>
      <c r="F3323" s="15" t="n"/>
      <c r="G3323" s="23" t="n"/>
      <c r="H3323" s="25" t="n"/>
      <c r="I3323" s="15" t="n"/>
      <c r="J3323" s="26">
        <f>IF($A3323="","",LEN($C3323)-LEN(SUBSTITUTE($C3323,",",""))+1)</f>
        <v/>
      </c>
      <c r="K3323" s="26">
        <f>IF($A3323="","",SUMPRODUCT(--ISNUMBER(SEARCH('Category Dictionary'!$D$5:$D$135&amp;"",$C3323)),--('Category Dictionary'!$D$5:$D$135&lt;&gt;"")))</f>
        <v/>
      </c>
      <c r="L3323" s="27">
        <f>IF($A3323="","",TRIM(IF(ISERROR(FIND(",",$C3323)),$C3323,LEFT($C3323,FIND(",",$C3323)-1))))</f>
        <v/>
      </c>
      <c r="M3323" s="28">
        <f>IF($H3323="","",DATE(YEAR($H3323),MONTH($H3323),1))</f>
        <v/>
      </c>
      <c r="N3323" s="26">
        <f>IF($H3323="","",TODAY()-$H3323)</f>
        <v/>
      </c>
      <c r="O3323" s="15" t="n"/>
      <c r="P3323" s="26">
        <f>IF($A3323="","",COUNTIFS('Audit Versions'!$A$6:$A$605,$A3323,'Audit Versions'!$L$6:$L$605,"Active"))</f>
        <v/>
      </c>
      <c r="Q3323" s="15" t="n"/>
      <c r="R3323" s="26">
        <f>IF(OR($A3323="",$P3323=0),"",MOD(N($Q3323),$P3323)+1)</f>
        <v/>
      </c>
      <c r="S3323" s="15" t="n"/>
      <c r="T3323" s="25" t="n"/>
      <c r="U3323" s="26">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Builder'!$B$12="",N($S3323)&lt;='Assignment Builder'!$B$12)))</f>
        <v/>
      </c>
      <c r="V3323" s="23" t="n"/>
    </row>
    <row r="3324">
      <c r="A3324" s="23" t="n"/>
      <c r="B3324" s="23" t="n"/>
      <c r="C3324" s="24" t="n"/>
      <c r="D3324" s="15" t="n"/>
      <c r="E3324" s="23" t="n"/>
      <c r="F3324" s="15" t="n"/>
      <c r="G3324" s="23" t="n"/>
      <c r="H3324" s="25" t="n"/>
      <c r="I3324" s="15" t="n"/>
      <c r="J3324" s="26">
        <f>IF($A3324="","",LEN($C3324)-LEN(SUBSTITUTE($C3324,",",""))+1)</f>
        <v/>
      </c>
      <c r="K3324" s="26">
        <f>IF($A3324="","",SUMPRODUCT(--ISNUMBER(SEARCH('Category Dictionary'!$D$5:$D$135&amp;"",$C3324)),--('Category Dictionary'!$D$5:$D$135&lt;&gt;"")))</f>
        <v/>
      </c>
      <c r="L3324" s="27">
        <f>IF($A3324="","",TRIM(IF(ISERROR(FIND(",",$C3324)),$C3324,LEFT($C3324,FIND(",",$C3324)-1))))</f>
        <v/>
      </c>
      <c r="M3324" s="28">
        <f>IF($H3324="","",DATE(YEAR($H3324),MONTH($H3324),1))</f>
        <v/>
      </c>
      <c r="N3324" s="26">
        <f>IF($H3324="","",TODAY()-$H3324)</f>
        <v/>
      </c>
      <c r="O3324" s="15" t="n"/>
      <c r="P3324" s="26">
        <f>IF($A3324="","",COUNTIFS('Audit Versions'!$A$6:$A$605,$A3324,'Audit Versions'!$L$6:$L$605,"Active"))</f>
        <v/>
      </c>
      <c r="Q3324" s="15" t="n"/>
      <c r="R3324" s="26">
        <f>IF(OR($A3324="",$P3324=0),"",MOD(N($Q3324),$P3324)+1)</f>
        <v/>
      </c>
      <c r="S3324" s="15" t="n"/>
      <c r="T3324" s="25" t="n"/>
      <c r="U3324" s="26">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Builder'!$B$12="",N($S3324)&lt;='Assignment Builder'!$B$12)))</f>
        <v/>
      </c>
      <c r="V3324" s="23" t="n"/>
    </row>
    <row r="3325">
      <c r="A3325" s="23" t="n"/>
      <c r="B3325" s="23" t="n"/>
      <c r="C3325" s="24" t="n"/>
      <c r="D3325" s="15" t="n"/>
      <c r="E3325" s="23" t="n"/>
      <c r="F3325" s="15" t="n"/>
      <c r="G3325" s="23" t="n"/>
      <c r="H3325" s="25" t="n"/>
      <c r="I3325" s="15" t="n"/>
      <c r="J3325" s="26">
        <f>IF($A3325="","",LEN($C3325)-LEN(SUBSTITUTE($C3325,",",""))+1)</f>
        <v/>
      </c>
      <c r="K3325" s="26">
        <f>IF($A3325="","",SUMPRODUCT(--ISNUMBER(SEARCH('Category Dictionary'!$D$5:$D$135&amp;"",$C3325)),--('Category Dictionary'!$D$5:$D$135&lt;&gt;"")))</f>
        <v/>
      </c>
      <c r="L3325" s="27">
        <f>IF($A3325="","",TRIM(IF(ISERROR(FIND(",",$C3325)),$C3325,LEFT($C3325,FIND(",",$C3325)-1))))</f>
        <v/>
      </c>
      <c r="M3325" s="28">
        <f>IF($H3325="","",DATE(YEAR($H3325),MONTH($H3325),1))</f>
        <v/>
      </c>
      <c r="N3325" s="26">
        <f>IF($H3325="","",TODAY()-$H3325)</f>
        <v/>
      </c>
      <c r="O3325" s="15" t="n"/>
      <c r="P3325" s="26">
        <f>IF($A3325="","",COUNTIFS('Audit Versions'!$A$6:$A$605,$A3325,'Audit Versions'!$L$6:$L$605,"Active"))</f>
        <v/>
      </c>
      <c r="Q3325" s="15" t="n"/>
      <c r="R3325" s="26">
        <f>IF(OR($A3325="",$P3325=0),"",MOD(N($Q3325),$P3325)+1)</f>
        <v/>
      </c>
      <c r="S3325" s="15" t="n"/>
      <c r="T3325" s="25" t="n"/>
      <c r="U3325" s="26">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Builder'!$B$12="",N($S3325)&lt;='Assignment Builder'!$B$12)))</f>
        <v/>
      </c>
      <c r="V3325" s="23" t="n"/>
    </row>
    <row r="3326">
      <c r="A3326" s="23" t="n"/>
      <c r="B3326" s="23" t="n"/>
      <c r="C3326" s="24" t="n"/>
      <c r="D3326" s="15" t="n"/>
      <c r="E3326" s="23" t="n"/>
      <c r="F3326" s="15" t="n"/>
      <c r="G3326" s="23" t="n"/>
      <c r="H3326" s="25" t="n"/>
      <c r="I3326" s="15" t="n"/>
      <c r="J3326" s="26">
        <f>IF($A3326="","",LEN($C3326)-LEN(SUBSTITUTE($C3326,",",""))+1)</f>
        <v/>
      </c>
      <c r="K3326" s="26">
        <f>IF($A3326="","",SUMPRODUCT(--ISNUMBER(SEARCH('Category Dictionary'!$D$5:$D$135&amp;"",$C3326)),--('Category Dictionary'!$D$5:$D$135&lt;&gt;"")))</f>
        <v/>
      </c>
      <c r="L3326" s="27">
        <f>IF($A3326="","",TRIM(IF(ISERROR(FIND(",",$C3326)),$C3326,LEFT($C3326,FIND(",",$C3326)-1))))</f>
        <v/>
      </c>
      <c r="M3326" s="28">
        <f>IF($H3326="","",DATE(YEAR($H3326),MONTH($H3326),1))</f>
        <v/>
      </c>
      <c r="N3326" s="26">
        <f>IF($H3326="","",TODAY()-$H3326)</f>
        <v/>
      </c>
      <c r="O3326" s="15" t="n"/>
      <c r="P3326" s="26">
        <f>IF($A3326="","",COUNTIFS('Audit Versions'!$A$6:$A$605,$A3326,'Audit Versions'!$L$6:$L$605,"Active"))</f>
        <v/>
      </c>
      <c r="Q3326" s="15" t="n"/>
      <c r="R3326" s="26">
        <f>IF(OR($A3326="",$P3326=0),"",MOD(N($Q3326),$P3326)+1)</f>
        <v/>
      </c>
      <c r="S3326" s="15" t="n"/>
      <c r="T3326" s="25" t="n"/>
      <c r="U3326" s="26">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Builder'!$B$12="",N($S3326)&lt;='Assignment Builder'!$B$12)))</f>
        <v/>
      </c>
      <c r="V3326" s="23" t="n"/>
    </row>
    <row r="3327">
      <c r="A3327" s="23" t="n"/>
      <c r="B3327" s="23" t="n"/>
      <c r="C3327" s="24" t="n"/>
      <c r="D3327" s="15" t="n"/>
      <c r="E3327" s="23" t="n"/>
      <c r="F3327" s="15" t="n"/>
      <c r="G3327" s="23" t="n"/>
      <c r="H3327" s="25" t="n"/>
      <c r="I3327" s="15" t="n"/>
      <c r="J3327" s="26">
        <f>IF($A3327="","",LEN($C3327)-LEN(SUBSTITUTE($C3327,",",""))+1)</f>
        <v/>
      </c>
      <c r="K3327" s="26">
        <f>IF($A3327="","",SUMPRODUCT(--ISNUMBER(SEARCH('Category Dictionary'!$D$5:$D$135&amp;"",$C3327)),--('Category Dictionary'!$D$5:$D$135&lt;&gt;"")))</f>
        <v/>
      </c>
      <c r="L3327" s="27">
        <f>IF($A3327="","",TRIM(IF(ISERROR(FIND(",",$C3327)),$C3327,LEFT($C3327,FIND(",",$C3327)-1))))</f>
        <v/>
      </c>
      <c r="M3327" s="28">
        <f>IF($H3327="","",DATE(YEAR($H3327),MONTH($H3327),1))</f>
        <v/>
      </c>
      <c r="N3327" s="26">
        <f>IF($H3327="","",TODAY()-$H3327)</f>
        <v/>
      </c>
      <c r="O3327" s="15" t="n"/>
      <c r="P3327" s="26">
        <f>IF($A3327="","",COUNTIFS('Audit Versions'!$A$6:$A$605,$A3327,'Audit Versions'!$L$6:$L$605,"Active"))</f>
        <v/>
      </c>
      <c r="Q3327" s="15" t="n"/>
      <c r="R3327" s="26">
        <f>IF(OR($A3327="",$P3327=0),"",MOD(N($Q3327),$P3327)+1)</f>
        <v/>
      </c>
      <c r="S3327" s="15" t="n"/>
      <c r="T3327" s="25" t="n"/>
      <c r="U3327" s="26">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Builder'!$B$12="",N($S3327)&lt;='Assignment Builder'!$B$12)))</f>
        <v/>
      </c>
      <c r="V3327" s="23" t="n"/>
    </row>
    <row r="3328">
      <c r="A3328" s="23" t="n"/>
      <c r="B3328" s="23" t="n"/>
      <c r="C3328" s="24" t="n"/>
      <c r="D3328" s="15" t="n"/>
      <c r="E3328" s="23" t="n"/>
      <c r="F3328" s="15" t="n"/>
      <c r="G3328" s="23" t="n"/>
      <c r="H3328" s="25" t="n"/>
      <c r="I3328" s="15" t="n"/>
      <c r="J3328" s="26">
        <f>IF($A3328="","",LEN($C3328)-LEN(SUBSTITUTE($C3328,",",""))+1)</f>
        <v/>
      </c>
      <c r="K3328" s="26">
        <f>IF($A3328="","",SUMPRODUCT(--ISNUMBER(SEARCH('Category Dictionary'!$D$5:$D$135&amp;"",$C3328)),--('Category Dictionary'!$D$5:$D$135&lt;&gt;"")))</f>
        <v/>
      </c>
      <c r="L3328" s="27">
        <f>IF($A3328="","",TRIM(IF(ISERROR(FIND(",",$C3328)),$C3328,LEFT($C3328,FIND(",",$C3328)-1))))</f>
        <v/>
      </c>
      <c r="M3328" s="28">
        <f>IF($H3328="","",DATE(YEAR($H3328),MONTH($H3328),1))</f>
        <v/>
      </c>
      <c r="N3328" s="26">
        <f>IF($H3328="","",TODAY()-$H3328)</f>
        <v/>
      </c>
      <c r="O3328" s="15" t="n"/>
      <c r="P3328" s="26">
        <f>IF($A3328="","",COUNTIFS('Audit Versions'!$A$6:$A$605,$A3328,'Audit Versions'!$L$6:$L$605,"Active"))</f>
        <v/>
      </c>
      <c r="Q3328" s="15" t="n"/>
      <c r="R3328" s="26">
        <f>IF(OR($A3328="",$P3328=0),"",MOD(N($Q3328),$P3328)+1)</f>
        <v/>
      </c>
      <c r="S3328" s="15" t="n"/>
      <c r="T3328" s="25" t="n"/>
      <c r="U3328" s="26">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Builder'!$B$12="",N($S3328)&lt;='Assignment Builder'!$B$12)))</f>
        <v/>
      </c>
      <c r="V3328" s="23" t="n"/>
    </row>
    <row r="3329">
      <c r="A3329" s="23" t="n"/>
      <c r="B3329" s="23" t="n"/>
      <c r="C3329" s="24" t="n"/>
      <c r="D3329" s="15" t="n"/>
      <c r="E3329" s="23" t="n"/>
      <c r="F3329" s="15" t="n"/>
      <c r="G3329" s="23" t="n"/>
      <c r="H3329" s="25" t="n"/>
      <c r="I3329" s="15" t="n"/>
      <c r="J3329" s="26">
        <f>IF($A3329="","",LEN($C3329)-LEN(SUBSTITUTE($C3329,",",""))+1)</f>
        <v/>
      </c>
      <c r="K3329" s="26">
        <f>IF($A3329="","",SUMPRODUCT(--ISNUMBER(SEARCH('Category Dictionary'!$D$5:$D$135&amp;"",$C3329)),--('Category Dictionary'!$D$5:$D$135&lt;&gt;"")))</f>
        <v/>
      </c>
      <c r="L3329" s="27">
        <f>IF($A3329="","",TRIM(IF(ISERROR(FIND(",",$C3329)),$C3329,LEFT($C3329,FIND(",",$C3329)-1))))</f>
        <v/>
      </c>
      <c r="M3329" s="28">
        <f>IF($H3329="","",DATE(YEAR($H3329),MONTH($H3329),1))</f>
        <v/>
      </c>
      <c r="N3329" s="26">
        <f>IF($H3329="","",TODAY()-$H3329)</f>
        <v/>
      </c>
      <c r="O3329" s="15" t="n"/>
      <c r="P3329" s="26">
        <f>IF($A3329="","",COUNTIFS('Audit Versions'!$A$6:$A$605,$A3329,'Audit Versions'!$L$6:$L$605,"Active"))</f>
        <v/>
      </c>
      <c r="Q3329" s="15" t="n"/>
      <c r="R3329" s="26">
        <f>IF(OR($A3329="",$P3329=0),"",MOD(N($Q3329),$P3329)+1)</f>
        <v/>
      </c>
      <c r="S3329" s="15" t="n"/>
      <c r="T3329" s="25" t="n"/>
      <c r="U3329" s="26">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Builder'!$B$12="",N($S3329)&lt;='Assignment Builder'!$B$12)))</f>
        <v/>
      </c>
      <c r="V3329" s="23" t="n"/>
    </row>
    <row r="3330">
      <c r="A3330" s="23" t="n"/>
      <c r="B3330" s="23" t="n"/>
      <c r="C3330" s="24" t="n"/>
      <c r="D3330" s="15" t="n"/>
      <c r="E3330" s="23" t="n"/>
      <c r="F3330" s="15" t="n"/>
      <c r="G3330" s="23" t="n"/>
      <c r="H3330" s="25" t="n"/>
      <c r="I3330" s="15" t="n"/>
      <c r="J3330" s="26">
        <f>IF($A3330="","",LEN($C3330)-LEN(SUBSTITUTE($C3330,",",""))+1)</f>
        <v/>
      </c>
      <c r="K3330" s="26">
        <f>IF($A3330="","",SUMPRODUCT(--ISNUMBER(SEARCH('Category Dictionary'!$D$5:$D$135&amp;"",$C3330)),--('Category Dictionary'!$D$5:$D$135&lt;&gt;"")))</f>
        <v/>
      </c>
      <c r="L3330" s="27">
        <f>IF($A3330="","",TRIM(IF(ISERROR(FIND(",",$C3330)),$C3330,LEFT($C3330,FIND(",",$C3330)-1))))</f>
        <v/>
      </c>
      <c r="M3330" s="28">
        <f>IF($H3330="","",DATE(YEAR($H3330),MONTH($H3330),1))</f>
        <v/>
      </c>
      <c r="N3330" s="26">
        <f>IF($H3330="","",TODAY()-$H3330)</f>
        <v/>
      </c>
      <c r="O3330" s="15" t="n"/>
      <c r="P3330" s="26">
        <f>IF($A3330="","",COUNTIFS('Audit Versions'!$A$6:$A$605,$A3330,'Audit Versions'!$L$6:$L$605,"Active"))</f>
        <v/>
      </c>
      <c r="Q3330" s="15" t="n"/>
      <c r="R3330" s="26">
        <f>IF(OR($A3330="",$P3330=0),"",MOD(N($Q3330),$P3330)+1)</f>
        <v/>
      </c>
      <c r="S3330" s="15" t="n"/>
      <c r="T3330" s="25" t="n"/>
      <c r="U3330" s="26">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Builder'!$B$12="",N($S3330)&lt;='Assignment Builder'!$B$12)))</f>
        <v/>
      </c>
      <c r="V3330" s="23" t="n"/>
    </row>
    <row r="3331">
      <c r="A3331" s="23" t="n"/>
      <c r="B3331" s="23" t="n"/>
      <c r="C3331" s="24" t="n"/>
      <c r="D3331" s="15" t="n"/>
      <c r="E3331" s="23" t="n"/>
      <c r="F3331" s="15" t="n"/>
      <c r="G3331" s="23" t="n"/>
      <c r="H3331" s="25" t="n"/>
      <c r="I3331" s="15" t="n"/>
      <c r="J3331" s="26">
        <f>IF($A3331="","",LEN($C3331)-LEN(SUBSTITUTE($C3331,",",""))+1)</f>
        <v/>
      </c>
      <c r="K3331" s="26">
        <f>IF($A3331="","",SUMPRODUCT(--ISNUMBER(SEARCH('Category Dictionary'!$D$5:$D$135&amp;"",$C3331)),--('Category Dictionary'!$D$5:$D$135&lt;&gt;"")))</f>
        <v/>
      </c>
      <c r="L3331" s="27">
        <f>IF($A3331="","",TRIM(IF(ISERROR(FIND(",",$C3331)),$C3331,LEFT($C3331,FIND(",",$C3331)-1))))</f>
        <v/>
      </c>
      <c r="M3331" s="28">
        <f>IF($H3331="","",DATE(YEAR($H3331),MONTH($H3331),1))</f>
        <v/>
      </c>
      <c r="N3331" s="26">
        <f>IF($H3331="","",TODAY()-$H3331)</f>
        <v/>
      </c>
      <c r="O3331" s="15" t="n"/>
      <c r="P3331" s="26">
        <f>IF($A3331="","",COUNTIFS('Audit Versions'!$A$6:$A$605,$A3331,'Audit Versions'!$L$6:$L$605,"Active"))</f>
        <v/>
      </c>
      <c r="Q3331" s="15" t="n"/>
      <c r="R3331" s="26">
        <f>IF(OR($A3331="",$P3331=0),"",MOD(N($Q3331),$P3331)+1)</f>
        <v/>
      </c>
      <c r="S3331" s="15" t="n"/>
      <c r="T3331" s="25" t="n"/>
      <c r="U3331" s="26">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Builder'!$B$12="",N($S3331)&lt;='Assignment Builder'!$B$12)))</f>
        <v/>
      </c>
      <c r="V3331" s="23" t="n"/>
    </row>
    <row r="3332">
      <c r="A3332" s="23" t="n"/>
      <c r="B3332" s="23" t="n"/>
      <c r="C3332" s="24" t="n"/>
      <c r="D3332" s="15" t="n"/>
      <c r="E3332" s="23" t="n"/>
      <c r="F3332" s="15" t="n"/>
      <c r="G3332" s="23" t="n"/>
      <c r="H3332" s="25" t="n"/>
      <c r="I3332" s="15" t="n"/>
      <c r="J3332" s="26">
        <f>IF($A3332="","",LEN($C3332)-LEN(SUBSTITUTE($C3332,",",""))+1)</f>
        <v/>
      </c>
      <c r="K3332" s="26">
        <f>IF($A3332="","",SUMPRODUCT(--ISNUMBER(SEARCH('Category Dictionary'!$D$5:$D$135&amp;"",$C3332)),--('Category Dictionary'!$D$5:$D$135&lt;&gt;"")))</f>
        <v/>
      </c>
      <c r="L3332" s="27">
        <f>IF($A3332="","",TRIM(IF(ISERROR(FIND(",",$C3332)),$C3332,LEFT($C3332,FIND(",",$C3332)-1))))</f>
        <v/>
      </c>
      <c r="M3332" s="28">
        <f>IF($H3332="","",DATE(YEAR($H3332),MONTH($H3332),1))</f>
        <v/>
      </c>
      <c r="N3332" s="26">
        <f>IF($H3332="","",TODAY()-$H3332)</f>
        <v/>
      </c>
      <c r="O3332" s="15" t="n"/>
      <c r="P3332" s="26">
        <f>IF($A3332="","",COUNTIFS('Audit Versions'!$A$6:$A$605,$A3332,'Audit Versions'!$L$6:$L$605,"Active"))</f>
        <v/>
      </c>
      <c r="Q3332" s="15" t="n"/>
      <c r="R3332" s="26">
        <f>IF(OR($A3332="",$P3332=0),"",MOD(N($Q3332),$P3332)+1)</f>
        <v/>
      </c>
      <c r="S3332" s="15" t="n"/>
      <c r="T3332" s="25" t="n"/>
      <c r="U3332" s="26">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Builder'!$B$12="",N($S3332)&lt;='Assignment Builder'!$B$12)))</f>
        <v/>
      </c>
      <c r="V3332" s="23" t="n"/>
    </row>
    <row r="3333">
      <c r="A3333" s="23" t="n"/>
      <c r="B3333" s="23" t="n"/>
      <c r="C3333" s="24" t="n"/>
      <c r="D3333" s="15" t="n"/>
      <c r="E3333" s="23" t="n"/>
      <c r="F3333" s="15" t="n"/>
      <c r="G3333" s="23" t="n"/>
      <c r="H3333" s="25" t="n"/>
      <c r="I3333" s="15" t="n"/>
      <c r="J3333" s="26">
        <f>IF($A3333="","",LEN($C3333)-LEN(SUBSTITUTE($C3333,",",""))+1)</f>
        <v/>
      </c>
      <c r="K3333" s="26">
        <f>IF($A3333="","",SUMPRODUCT(--ISNUMBER(SEARCH('Category Dictionary'!$D$5:$D$135&amp;"",$C3333)),--('Category Dictionary'!$D$5:$D$135&lt;&gt;"")))</f>
        <v/>
      </c>
      <c r="L3333" s="27">
        <f>IF($A3333="","",TRIM(IF(ISERROR(FIND(",",$C3333)),$C3333,LEFT($C3333,FIND(",",$C3333)-1))))</f>
        <v/>
      </c>
      <c r="M3333" s="28">
        <f>IF($H3333="","",DATE(YEAR($H3333),MONTH($H3333),1))</f>
        <v/>
      </c>
      <c r="N3333" s="26">
        <f>IF($H3333="","",TODAY()-$H3333)</f>
        <v/>
      </c>
      <c r="O3333" s="15" t="n"/>
      <c r="P3333" s="26">
        <f>IF($A3333="","",COUNTIFS('Audit Versions'!$A$6:$A$605,$A3333,'Audit Versions'!$L$6:$L$605,"Active"))</f>
        <v/>
      </c>
      <c r="Q3333" s="15" t="n"/>
      <c r="R3333" s="26">
        <f>IF(OR($A3333="",$P3333=0),"",MOD(N($Q3333),$P3333)+1)</f>
        <v/>
      </c>
      <c r="S3333" s="15" t="n"/>
      <c r="T3333" s="25" t="n"/>
      <c r="U3333" s="26">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Builder'!$B$12="",N($S3333)&lt;='Assignment Builder'!$B$12)))</f>
        <v/>
      </c>
      <c r="V3333" s="23" t="n"/>
    </row>
    <row r="3334">
      <c r="A3334" s="23" t="n"/>
      <c r="B3334" s="23" t="n"/>
      <c r="C3334" s="24" t="n"/>
      <c r="D3334" s="15" t="n"/>
      <c r="E3334" s="23" t="n"/>
      <c r="F3334" s="15" t="n"/>
      <c r="G3334" s="23" t="n"/>
      <c r="H3334" s="25" t="n"/>
      <c r="I3334" s="15" t="n"/>
      <c r="J3334" s="26">
        <f>IF($A3334="","",LEN($C3334)-LEN(SUBSTITUTE($C3334,",",""))+1)</f>
        <v/>
      </c>
      <c r="K3334" s="26">
        <f>IF($A3334="","",SUMPRODUCT(--ISNUMBER(SEARCH('Category Dictionary'!$D$5:$D$135&amp;"",$C3334)),--('Category Dictionary'!$D$5:$D$135&lt;&gt;"")))</f>
        <v/>
      </c>
      <c r="L3334" s="27">
        <f>IF($A3334="","",TRIM(IF(ISERROR(FIND(",",$C3334)),$C3334,LEFT($C3334,FIND(",",$C3334)-1))))</f>
        <v/>
      </c>
      <c r="M3334" s="28">
        <f>IF($H3334="","",DATE(YEAR($H3334),MONTH($H3334),1))</f>
        <v/>
      </c>
      <c r="N3334" s="26">
        <f>IF($H3334="","",TODAY()-$H3334)</f>
        <v/>
      </c>
      <c r="O3334" s="15" t="n"/>
      <c r="P3334" s="26">
        <f>IF($A3334="","",COUNTIFS('Audit Versions'!$A$6:$A$605,$A3334,'Audit Versions'!$L$6:$L$605,"Active"))</f>
        <v/>
      </c>
      <c r="Q3334" s="15" t="n"/>
      <c r="R3334" s="26">
        <f>IF(OR($A3334="",$P3334=0),"",MOD(N($Q3334),$P3334)+1)</f>
        <v/>
      </c>
      <c r="S3334" s="15" t="n"/>
      <c r="T3334" s="25" t="n"/>
      <c r="U3334" s="26">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Builder'!$B$12="",N($S3334)&lt;='Assignment Builder'!$B$12)))</f>
        <v/>
      </c>
      <c r="V3334" s="23" t="n"/>
    </row>
    <row r="3335">
      <c r="A3335" s="23" t="n"/>
      <c r="B3335" s="23" t="n"/>
      <c r="C3335" s="24" t="n"/>
      <c r="D3335" s="15" t="n"/>
      <c r="E3335" s="23" t="n"/>
      <c r="F3335" s="15" t="n"/>
      <c r="G3335" s="23" t="n"/>
      <c r="H3335" s="25" t="n"/>
      <c r="I3335" s="15" t="n"/>
      <c r="J3335" s="26">
        <f>IF($A3335="","",LEN($C3335)-LEN(SUBSTITUTE($C3335,",",""))+1)</f>
        <v/>
      </c>
      <c r="K3335" s="26">
        <f>IF($A3335="","",SUMPRODUCT(--ISNUMBER(SEARCH('Category Dictionary'!$D$5:$D$135&amp;"",$C3335)),--('Category Dictionary'!$D$5:$D$135&lt;&gt;"")))</f>
        <v/>
      </c>
      <c r="L3335" s="27">
        <f>IF($A3335="","",TRIM(IF(ISERROR(FIND(",",$C3335)),$C3335,LEFT($C3335,FIND(",",$C3335)-1))))</f>
        <v/>
      </c>
      <c r="M3335" s="28">
        <f>IF($H3335="","",DATE(YEAR($H3335),MONTH($H3335),1))</f>
        <v/>
      </c>
      <c r="N3335" s="26">
        <f>IF($H3335="","",TODAY()-$H3335)</f>
        <v/>
      </c>
      <c r="O3335" s="15" t="n"/>
      <c r="P3335" s="26">
        <f>IF($A3335="","",COUNTIFS('Audit Versions'!$A$6:$A$605,$A3335,'Audit Versions'!$L$6:$L$605,"Active"))</f>
        <v/>
      </c>
      <c r="Q3335" s="15" t="n"/>
      <c r="R3335" s="26">
        <f>IF(OR($A3335="",$P3335=0),"",MOD(N($Q3335),$P3335)+1)</f>
        <v/>
      </c>
      <c r="S3335" s="15" t="n"/>
      <c r="T3335" s="25" t="n"/>
      <c r="U3335" s="26">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Builder'!$B$12="",N($S3335)&lt;='Assignment Builder'!$B$12)))</f>
        <v/>
      </c>
      <c r="V3335" s="23" t="n"/>
    </row>
    <row r="3336">
      <c r="A3336" s="23" t="n"/>
      <c r="B3336" s="23" t="n"/>
      <c r="C3336" s="24" t="n"/>
      <c r="D3336" s="15" t="n"/>
      <c r="E3336" s="23" t="n"/>
      <c r="F3336" s="15" t="n"/>
      <c r="G3336" s="23" t="n"/>
      <c r="H3336" s="25" t="n"/>
      <c r="I3336" s="15" t="n"/>
      <c r="J3336" s="26">
        <f>IF($A3336="","",LEN($C3336)-LEN(SUBSTITUTE($C3336,",",""))+1)</f>
        <v/>
      </c>
      <c r="K3336" s="26">
        <f>IF($A3336="","",SUMPRODUCT(--ISNUMBER(SEARCH('Category Dictionary'!$D$5:$D$135&amp;"",$C3336)),--('Category Dictionary'!$D$5:$D$135&lt;&gt;"")))</f>
        <v/>
      </c>
      <c r="L3336" s="27">
        <f>IF($A3336="","",TRIM(IF(ISERROR(FIND(",",$C3336)),$C3336,LEFT($C3336,FIND(",",$C3336)-1))))</f>
        <v/>
      </c>
      <c r="M3336" s="28">
        <f>IF($H3336="","",DATE(YEAR($H3336),MONTH($H3336),1))</f>
        <v/>
      </c>
      <c r="N3336" s="26">
        <f>IF($H3336="","",TODAY()-$H3336)</f>
        <v/>
      </c>
      <c r="O3336" s="15" t="n"/>
      <c r="P3336" s="26">
        <f>IF($A3336="","",COUNTIFS('Audit Versions'!$A$6:$A$605,$A3336,'Audit Versions'!$L$6:$L$605,"Active"))</f>
        <v/>
      </c>
      <c r="Q3336" s="15" t="n"/>
      <c r="R3336" s="26">
        <f>IF(OR($A3336="",$P3336=0),"",MOD(N($Q3336),$P3336)+1)</f>
        <v/>
      </c>
      <c r="S3336" s="15" t="n"/>
      <c r="T3336" s="25" t="n"/>
      <c r="U3336" s="26">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Builder'!$B$12="",N($S3336)&lt;='Assignment Builder'!$B$12)))</f>
        <v/>
      </c>
      <c r="V3336" s="23" t="n"/>
    </row>
    <row r="3337">
      <c r="A3337" s="23" t="n"/>
      <c r="B3337" s="23" t="n"/>
      <c r="C3337" s="24" t="n"/>
      <c r="D3337" s="15" t="n"/>
      <c r="E3337" s="23" t="n"/>
      <c r="F3337" s="15" t="n"/>
      <c r="G3337" s="23" t="n"/>
      <c r="H3337" s="25" t="n"/>
      <c r="I3337" s="15" t="n"/>
      <c r="J3337" s="26">
        <f>IF($A3337="","",LEN($C3337)-LEN(SUBSTITUTE($C3337,",",""))+1)</f>
        <v/>
      </c>
      <c r="K3337" s="26">
        <f>IF($A3337="","",SUMPRODUCT(--ISNUMBER(SEARCH('Category Dictionary'!$D$5:$D$135&amp;"",$C3337)),--('Category Dictionary'!$D$5:$D$135&lt;&gt;"")))</f>
        <v/>
      </c>
      <c r="L3337" s="27">
        <f>IF($A3337="","",TRIM(IF(ISERROR(FIND(",",$C3337)),$C3337,LEFT($C3337,FIND(",",$C3337)-1))))</f>
        <v/>
      </c>
      <c r="M3337" s="28">
        <f>IF($H3337="","",DATE(YEAR($H3337),MONTH($H3337),1))</f>
        <v/>
      </c>
      <c r="N3337" s="26">
        <f>IF($H3337="","",TODAY()-$H3337)</f>
        <v/>
      </c>
      <c r="O3337" s="15" t="n"/>
      <c r="P3337" s="26">
        <f>IF($A3337="","",COUNTIFS('Audit Versions'!$A$6:$A$605,$A3337,'Audit Versions'!$L$6:$L$605,"Active"))</f>
        <v/>
      </c>
      <c r="Q3337" s="15" t="n"/>
      <c r="R3337" s="26">
        <f>IF(OR($A3337="",$P3337=0),"",MOD(N($Q3337),$P3337)+1)</f>
        <v/>
      </c>
      <c r="S3337" s="15" t="n"/>
      <c r="T3337" s="25" t="n"/>
      <c r="U3337" s="26">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Builder'!$B$12="",N($S3337)&lt;='Assignment Builder'!$B$12)))</f>
        <v/>
      </c>
      <c r="V3337" s="23" t="n"/>
    </row>
    <row r="3338">
      <c r="A3338" s="23" t="n"/>
      <c r="B3338" s="23" t="n"/>
      <c r="C3338" s="24" t="n"/>
      <c r="D3338" s="15" t="n"/>
      <c r="E3338" s="23" t="n"/>
      <c r="F3338" s="15" t="n"/>
      <c r="G3338" s="23" t="n"/>
      <c r="H3338" s="25" t="n"/>
      <c r="I3338" s="15" t="n"/>
      <c r="J3338" s="26">
        <f>IF($A3338="","",LEN($C3338)-LEN(SUBSTITUTE($C3338,",",""))+1)</f>
        <v/>
      </c>
      <c r="K3338" s="26">
        <f>IF($A3338="","",SUMPRODUCT(--ISNUMBER(SEARCH('Category Dictionary'!$D$5:$D$135&amp;"",$C3338)),--('Category Dictionary'!$D$5:$D$135&lt;&gt;"")))</f>
        <v/>
      </c>
      <c r="L3338" s="27">
        <f>IF($A3338="","",TRIM(IF(ISERROR(FIND(",",$C3338)),$C3338,LEFT($C3338,FIND(",",$C3338)-1))))</f>
        <v/>
      </c>
      <c r="M3338" s="28">
        <f>IF($H3338="","",DATE(YEAR($H3338),MONTH($H3338),1))</f>
        <v/>
      </c>
      <c r="N3338" s="26">
        <f>IF($H3338="","",TODAY()-$H3338)</f>
        <v/>
      </c>
      <c r="O3338" s="15" t="n"/>
      <c r="P3338" s="26">
        <f>IF($A3338="","",COUNTIFS('Audit Versions'!$A$6:$A$605,$A3338,'Audit Versions'!$L$6:$L$605,"Active"))</f>
        <v/>
      </c>
      <c r="Q3338" s="15" t="n"/>
      <c r="R3338" s="26">
        <f>IF(OR($A3338="",$P3338=0),"",MOD(N($Q3338),$P3338)+1)</f>
        <v/>
      </c>
      <c r="S3338" s="15" t="n"/>
      <c r="T3338" s="25" t="n"/>
      <c r="U3338" s="26">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Builder'!$B$12="",N($S3338)&lt;='Assignment Builder'!$B$12)))</f>
        <v/>
      </c>
      <c r="V3338" s="23" t="n"/>
    </row>
    <row r="3339">
      <c r="A3339" s="23" t="n"/>
      <c r="B3339" s="23" t="n"/>
      <c r="C3339" s="24" t="n"/>
      <c r="D3339" s="15" t="n"/>
      <c r="E3339" s="23" t="n"/>
      <c r="F3339" s="15" t="n"/>
      <c r="G3339" s="23" t="n"/>
      <c r="H3339" s="25" t="n"/>
      <c r="I3339" s="15" t="n"/>
      <c r="J3339" s="26">
        <f>IF($A3339="","",LEN($C3339)-LEN(SUBSTITUTE($C3339,",",""))+1)</f>
        <v/>
      </c>
      <c r="K3339" s="26">
        <f>IF($A3339="","",SUMPRODUCT(--ISNUMBER(SEARCH('Category Dictionary'!$D$5:$D$135&amp;"",$C3339)),--('Category Dictionary'!$D$5:$D$135&lt;&gt;"")))</f>
        <v/>
      </c>
      <c r="L3339" s="27">
        <f>IF($A3339="","",TRIM(IF(ISERROR(FIND(",",$C3339)),$C3339,LEFT($C3339,FIND(",",$C3339)-1))))</f>
        <v/>
      </c>
      <c r="M3339" s="28">
        <f>IF($H3339="","",DATE(YEAR($H3339),MONTH($H3339),1))</f>
        <v/>
      </c>
      <c r="N3339" s="26">
        <f>IF($H3339="","",TODAY()-$H3339)</f>
        <v/>
      </c>
      <c r="O3339" s="15" t="n"/>
      <c r="P3339" s="26">
        <f>IF($A3339="","",COUNTIFS('Audit Versions'!$A$6:$A$605,$A3339,'Audit Versions'!$L$6:$L$605,"Active"))</f>
        <v/>
      </c>
      <c r="Q3339" s="15" t="n"/>
      <c r="R3339" s="26">
        <f>IF(OR($A3339="",$P3339=0),"",MOD(N($Q3339),$P3339)+1)</f>
        <v/>
      </c>
      <c r="S3339" s="15" t="n"/>
      <c r="T3339" s="25" t="n"/>
      <c r="U3339" s="26">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Builder'!$B$12="",N($S3339)&lt;='Assignment Builder'!$B$12)))</f>
        <v/>
      </c>
      <c r="V3339" s="23" t="n"/>
    </row>
    <row r="3340">
      <c r="A3340" s="23" t="n"/>
      <c r="B3340" s="23" t="n"/>
      <c r="C3340" s="24" t="n"/>
      <c r="D3340" s="15" t="n"/>
      <c r="E3340" s="23" t="n"/>
      <c r="F3340" s="15" t="n"/>
      <c r="G3340" s="23" t="n"/>
      <c r="H3340" s="25" t="n"/>
      <c r="I3340" s="15" t="n"/>
      <c r="J3340" s="26">
        <f>IF($A3340="","",LEN($C3340)-LEN(SUBSTITUTE($C3340,",",""))+1)</f>
        <v/>
      </c>
      <c r="K3340" s="26">
        <f>IF($A3340="","",SUMPRODUCT(--ISNUMBER(SEARCH('Category Dictionary'!$D$5:$D$135&amp;"",$C3340)),--('Category Dictionary'!$D$5:$D$135&lt;&gt;"")))</f>
        <v/>
      </c>
      <c r="L3340" s="27">
        <f>IF($A3340="","",TRIM(IF(ISERROR(FIND(",",$C3340)),$C3340,LEFT($C3340,FIND(",",$C3340)-1))))</f>
        <v/>
      </c>
      <c r="M3340" s="28">
        <f>IF($H3340="","",DATE(YEAR($H3340),MONTH($H3340),1))</f>
        <v/>
      </c>
      <c r="N3340" s="26">
        <f>IF($H3340="","",TODAY()-$H3340)</f>
        <v/>
      </c>
      <c r="O3340" s="15" t="n"/>
      <c r="P3340" s="26">
        <f>IF($A3340="","",COUNTIFS('Audit Versions'!$A$6:$A$605,$A3340,'Audit Versions'!$L$6:$L$605,"Active"))</f>
        <v/>
      </c>
      <c r="Q3340" s="15" t="n"/>
      <c r="R3340" s="26">
        <f>IF(OR($A3340="",$P3340=0),"",MOD(N($Q3340),$P3340)+1)</f>
        <v/>
      </c>
      <c r="S3340" s="15" t="n"/>
      <c r="T3340" s="25" t="n"/>
      <c r="U3340" s="26">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Builder'!$B$12="",N($S3340)&lt;='Assignment Builder'!$B$12)))</f>
        <v/>
      </c>
      <c r="V3340" s="23" t="n"/>
    </row>
    <row r="3341">
      <c r="A3341" s="23" t="n"/>
      <c r="B3341" s="23" t="n"/>
      <c r="C3341" s="24" t="n"/>
      <c r="D3341" s="15" t="n"/>
      <c r="E3341" s="23" t="n"/>
      <c r="F3341" s="15" t="n"/>
      <c r="G3341" s="23" t="n"/>
      <c r="H3341" s="25" t="n"/>
      <c r="I3341" s="15" t="n"/>
      <c r="J3341" s="26">
        <f>IF($A3341="","",LEN($C3341)-LEN(SUBSTITUTE($C3341,",",""))+1)</f>
        <v/>
      </c>
      <c r="K3341" s="26">
        <f>IF($A3341="","",SUMPRODUCT(--ISNUMBER(SEARCH('Category Dictionary'!$D$5:$D$135&amp;"",$C3341)),--('Category Dictionary'!$D$5:$D$135&lt;&gt;"")))</f>
        <v/>
      </c>
      <c r="L3341" s="27">
        <f>IF($A3341="","",TRIM(IF(ISERROR(FIND(",",$C3341)),$C3341,LEFT($C3341,FIND(",",$C3341)-1))))</f>
        <v/>
      </c>
      <c r="M3341" s="28">
        <f>IF($H3341="","",DATE(YEAR($H3341),MONTH($H3341),1))</f>
        <v/>
      </c>
      <c r="N3341" s="26">
        <f>IF($H3341="","",TODAY()-$H3341)</f>
        <v/>
      </c>
      <c r="O3341" s="15" t="n"/>
      <c r="P3341" s="26">
        <f>IF($A3341="","",COUNTIFS('Audit Versions'!$A$6:$A$605,$A3341,'Audit Versions'!$L$6:$L$605,"Active"))</f>
        <v/>
      </c>
      <c r="Q3341" s="15" t="n"/>
      <c r="R3341" s="26">
        <f>IF(OR($A3341="",$P3341=0),"",MOD(N($Q3341),$P3341)+1)</f>
        <v/>
      </c>
      <c r="S3341" s="15" t="n"/>
      <c r="T3341" s="25" t="n"/>
      <c r="U3341" s="26">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Builder'!$B$12="",N($S3341)&lt;='Assignment Builder'!$B$12)))</f>
        <v/>
      </c>
      <c r="V3341" s="23" t="n"/>
    </row>
    <row r="3342">
      <c r="A3342" s="23" t="n"/>
      <c r="B3342" s="23" t="n"/>
      <c r="C3342" s="24" t="n"/>
      <c r="D3342" s="15" t="n"/>
      <c r="E3342" s="23" t="n"/>
      <c r="F3342" s="15" t="n"/>
      <c r="G3342" s="23" t="n"/>
      <c r="H3342" s="25" t="n"/>
      <c r="I3342" s="15" t="n"/>
      <c r="J3342" s="26">
        <f>IF($A3342="","",LEN($C3342)-LEN(SUBSTITUTE($C3342,",",""))+1)</f>
        <v/>
      </c>
      <c r="K3342" s="26">
        <f>IF($A3342="","",SUMPRODUCT(--ISNUMBER(SEARCH('Category Dictionary'!$D$5:$D$135&amp;"",$C3342)),--('Category Dictionary'!$D$5:$D$135&lt;&gt;"")))</f>
        <v/>
      </c>
      <c r="L3342" s="27">
        <f>IF($A3342="","",TRIM(IF(ISERROR(FIND(",",$C3342)),$C3342,LEFT($C3342,FIND(",",$C3342)-1))))</f>
        <v/>
      </c>
      <c r="M3342" s="28">
        <f>IF($H3342="","",DATE(YEAR($H3342),MONTH($H3342),1))</f>
        <v/>
      </c>
      <c r="N3342" s="26">
        <f>IF($H3342="","",TODAY()-$H3342)</f>
        <v/>
      </c>
      <c r="O3342" s="15" t="n"/>
      <c r="P3342" s="26">
        <f>IF($A3342="","",COUNTIFS('Audit Versions'!$A$6:$A$605,$A3342,'Audit Versions'!$L$6:$L$605,"Active"))</f>
        <v/>
      </c>
      <c r="Q3342" s="15" t="n"/>
      <c r="R3342" s="26">
        <f>IF(OR($A3342="",$P3342=0),"",MOD(N($Q3342),$P3342)+1)</f>
        <v/>
      </c>
      <c r="S3342" s="15" t="n"/>
      <c r="T3342" s="25" t="n"/>
      <c r="U3342" s="26">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Builder'!$B$12="",N($S3342)&lt;='Assignment Builder'!$B$12)))</f>
        <v/>
      </c>
      <c r="V3342" s="23" t="n"/>
    </row>
    <row r="3343">
      <c r="A3343" s="23" t="n"/>
      <c r="B3343" s="23" t="n"/>
      <c r="C3343" s="24" t="n"/>
      <c r="D3343" s="15" t="n"/>
      <c r="E3343" s="23" t="n"/>
      <c r="F3343" s="15" t="n"/>
      <c r="G3343" s="23" t="n"/>
      <c r="H3343" s="25" t="n"/>
      <c r="I3343" s="15" t="n"/>
      <c r="J3343" s="26">
        <f>IF($A3343="","",LEN($C3343)-LEN(SUBSTITUTE($C3343,",",""))+1)</f>
        <v/>
      </c>
      <c r="K3343" s="26">
        <f>IF($A3343="","",SUMPRODUCT(--ISNUMBER(SEARCH('Category Dictionary'!$D$5:$D$135&amp;"",$C3343)),--('Category Dictionary'!$D$5:$D$135&lt;&gt;"")))</f>
        <v/>
      </c>
      <c r="L3343" s="27">
        <f>IF($A3343="","",TRIM(IF(ISERROR(FIND(",",$C3343)),$C3343,LEFT($C3343,FIND(",",$C3343)-1))))</f>
        <v/>
      </c>
      <c r="M3343" s="28">
        <f>IF($H3343="","",DATE(YEAR($H3343),MONTH($H3343),1))</f>
        <v/>
      </c>
      <c r="N3343" s="26">
        <f>IF($H3343="","",TODAY()-$H3343)</f>
        <v/>
      </c>
      <c r="O3343" s="15" t="n"/>
      <c r="P3343" s="26">
        <f>IF($A3343="","",COUNTIFS('Audit Versions'!$A$6:$A$605,$A3343,'Audit Versions'!$L$6:$L$605,"Active"))</f>
        <v/>
      </c>
      <c r="Q3343" s="15" t="n"/>
      <c r="R3343" s="26">
        <f>IF(OR($A3343="",$P3343=0),"",MOD(N($Q3343),$P3343)+1)</f>
        <v/>
      </c>
      <c r="S3343" s="15" t="n"/>
      <c r="T3343" s="25" t="n"/>
      <c r="U3343" s="26">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Builder'!$B$12="",N($S3343)&lt;='Assignment Builder'!$B$12)))</f>
        <v/>
      </c>
      <c r="V3343" s="23" t="n"/>
    </row>
    <row r="3344">
      <c r="A3344" s="23" t="n"/>
      <c r="B3344" s="23" t="n"/>
      <c r="C3344" s="24" t="n"/>
      <c r="D3344" s="15" t="n"/>
      <c r="E3344" s="23" t="n"/>
      <c r="F3344" s="15" t="n"/>
      <c r="G3344" s="23" t="n"/>
      <c r="H3344" s="25" t="n"/>
      <c r="I3344" s="15" t="n"/>
      <c r="J3344" s="26">
        <f>IF($A3344="","",LEN($C3344)-LEN(SUBSTITUTE($C3344,",",""))+1)</f>
        <v/>
      </c>
      <c r="K3344" s="26">
        <f>IF($A3344="","",SUMPRODUCT(--ISNUMBER(SEARCH('Category Dictionary'!$D$5:$D$135&amp;"",$C3344)),--('Category Dictionary'!$D$5:$D$135&lt;&gt;"")))</f>
        <v/>
      </c>
      <c r="L3344" s="27">
        <f>IF($A3344="","",TRIM(IF(ISERROR(FIND(",",$C3344)),$C3344,LEFT($C3344,FIND(",",$C3344)-1))))</f>
        <v/>
      </c>
      <c r="M3344" s="28">
        <f>IF($H3344="","",DATE(YEAR($H3344),MONTH($H3344),1))</f>
        <v/>
      </c>
      <c r="N3344" s="26">
        <f>IF($H3344="","",TODAY()-$H3344)</f>
        <v/>
      </c>
      <c r="O3344" s="15" t="n"/>
      <c r="P3344" s="26">
        <f>IF($A3344="","",COUNTIFS('Audit Versions'!$A$6:$A$605,$A3344,'Audit Versions'!$L$6:$L$605,"Active"))</f>
        <v/>
      </c>
      <c r="Q3344" s="15" t="n"/>
      <c r="R3344" s="26">
        <f>IF(OR($A3344="",$P3344=0),"",MOD(N($Q3344),$P3344)+1)</f>
        <v/>
      </c>
      <c r="S3344" s="15" t="n"/>
      <c r="T3344" s="25" t="n"/>
      <c r="U3344" s="26">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Builder'!$B$12="",N($S3344)&lt;='Assignment Builder'!$B$12)))</f>
        <v/>
      </c>
      <c r="V3344" s="23" t="n"/>
    </row>
    <row r="3345">
      <c r="A3345" s="23" t="n"/>
      <c r="B3345" s="23" t="n"/>
      <c r="C3345" s="24" t="n"/>
      <c r="D3345" s="15" t="n"/>
      <c r="E3345" s="23" t="n"/>
      <c r="F3345" s="15" t="n"/>
      <c r="G3345" s="23" t="n"/>
      <c r="H3345" s="25" t="n"/>
      <c r="I3345" s="15" t="n"/>
      <c r="J3345" s="26">
        <f>IF($A3345="","",LEN($C3345)-LEN(SUBSTITUTE($C3345,",",""))+1)</f>
        <v/>
      </c>
      <c r="K3345" s="26">
        <f>IF($A3345="","",SUMPRODUCT(--ISNUMBER(SEARCH('Category Dictionary'!$D$5:$D$135&amp;"",$C3345)),--('Category Dictionary'!$D$5:$D$135&lt;&gt;"")))</f>
        <v/>
      </c>
      <c r="L3345" s="27">
        <f>IF($A3345="","",TRIM(IF(ISERROR(FIND(",",$C3345)),$C3345,LEFT($C3345,FIND(",",$C3345)-1))))</f>
        <v/>
      </c>
      <c r="M3345" s="28">
        <f>IF($H3345="","",DATE(YEAR($H3345),MONTH($H3345),1))</f>
        <v/>
      </c>
      <c r="N3345" s="26">
        <f>IF($H3345="","",TODAY()-$H3345)</f>
        <v/>
      </c>
      <c r="O3345" s="15" t="n"/>
      <c r="P3345" s="26">
        <f>IF($A3345="","",COUNTIFS('Audit Versions'!$A$6:$A$605,$A3345,'Audit Versions'!$L$6:$L$605,"Active"))</f>
        <v/>
      </c>
      <c r="Q3345" s="15" t="n"/>
      <c r="R3345" s="26">
        <f>IF(OR($A3345="",$P3345=0),"",MOD(N($Q3345),$P3345)+1)</f>
        <v/>
      </c>
      <c r="S3345" s="15" t="n"/>
      <c r="T3345" s="25" t="n"/>
      <c r="U3345" s="26">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Builder'!$B$12="",N($S3345)&lt;='Assignment Builder'!$B$12)))</f>
        <v/>
      </c>
      <c r="V3345" s="23" t="n"/>
    </row>
    <row r="3346">
      <c r="A3346" s="23" t="n"/>
      <c r="B3346" s="23" t="n"/>
      <c r="C3346" s="24" t="n"/>
      <c r="D3346" s="15" t="n"/>
      <c r="E3346" s="23" t="n"/>
      <c r="F3346" s="15" t="n"/>
      <c r="G3346" s="23" t="n"/>
      <c r="H3346" s="25" t="n"/>
      <c r="I3346" s="15" t="n"/>
      <c r="J3346" s="26">
        <f>IF($A3346="","",LEN($C3346)-LEN(SUBSTITUTE($C3346,",",""))+1)</f>
        <v/>
      </c>
      <c r="K3346" s="26">
        <f>IF($A3346="","",SUMPRODUCT(--ISNUMBER(SEARCH('Category Dictionary'!$D$5:$D$135&amp;"",$C3346)),--('Category Dictionary'!$D$5:$D$135&lt;&gt;"")))</f>
        <v/>
      </c>
      <c r="L3346" s="27">
        <f>IF($A3346="","",TRIM(IF(ISERROR(FIND(",",$C3346)),$C3346,LEFT($C3346,FIND(",",$C3346)-1))))</f>
        <v/>
      </c>
      <c r="M3346" s="28">
        <f>IF($H3346="","",DATE(YEAR($H3346),MONTH($H3346),1))</f>
        <v/>
      </c>
      <c r="N3346" s="26">
        <f>IF($H3346="","",TODAY()-$H3346)</f>
        <v/>
      </c>
      <c r="O3346" s="15" t="n"/>
      <c r="P3346" s="26">
        <f>IF($A3346="","",COUNTIFS('Audit Versions'!$A$6:$A$605,$A3346,'Audit Versions'!$L$6:$L$605,"Active"))</f>
        <v/>
      </c>
      <c r="Q3346" s="15" t="n"/>
      <c r="R3346" s="26">
        <f>IF(OR($A3346="",$P3346=0),"",MOD(N($Q3346),$P3346)+1)</f>
        <v/>
      </c>
      <c r="S3346" s="15" t="n"/>
      <c r="T3346" s="25" t="n"/>
      <c r="U3346" s="26">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Builder'!$B$12="",N($S3346)&lt;='Assignment Builder'!$B$12)))</f>
        <v/>
      </c>
      <c r="V3346" s="23" t="n"/>
    </row>
    <row r="3347">
      <c r="A3347" s="23" t="n"/>
      <c r="B3347" s="23" t="n"/>
      <c r="C3347" s="24" t="n"/>
      <c r="D3347" s="15" t="n"/>
      <c r="E3347" s="23" t="n"/>
      <c r="F3347" s="15" t="n"/>
      <c r="G3347" s="23" t="n"/>
      <c r="H3347" s="25" t="n"/>
      <c r="I3347" s="15" t="n"/>
      <c r="J3347" s="26">
        <f>IF($A3347="","",LEN($C3347)-LEN(SUBSTITUTE($C3347,",",""))+1)</f>
        <v/>
      </c>
      <c r="K3347" s="26">
        <f>IF($A3347="","",SUMPRODUCT(--ISNUMBER(SEARCH('Category Dictionary'!$D$5:$D$135&amp;"",$C3347)),--('Category Dictionary'!$D$5:$D$135&lt;&gt;"")))</f>
        <v/>
      </c>
      <c r="L3347" s="27">
        <f>IF($A3347="","",TRIM(IF(ISERROR(FIND(",",$C3347)),$C3347,LEFT($C3347,FIND(",",$C3347)-1))))</f>
        <v/>
      </c>
      <c r="M3347" s="28">
        <f>IF($H3347="","",DATE(YEAR($H3347),MONTH($H3347),1))</f>
        <v/>
      </c>
      <c r="N3347" s="26">
        <f>IF($H3347="","",TODAY()-$H3347)</f>
        <v/>
      </c>
      <c r="O3347" s="15" t="n"/>
      <c r="P3347" s="26">
        <f>IF($A3347="","",COUNTIFS('Audit Versions'!$A$6:$A$605,$A3347,'Audit Versions'!$L$6:$L$605,"Active"))</f>
        <v/>
      </c>
      <c r="Q3347" s="15" t="n"/>
      <c r="R3347" s="26">
        <f>IF(OR($A3347="",$P3347=0),"",MOD(N($Q3347),$P3347)+1)</f>
        <v/>
      </c>
      <c r="S3347" s="15" t="n"/>
      <c r="T3347" s="25" t="n"/>
      <c r="U3347" s="26">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Builder'!$B$12="",N($S3347)&lt;='Assignment Builder'!$B$12)))</f>
        <v/>
      </c>
      <c r="V3347" s="23" t="n"/>
    </row>
    <row r="3348">
      <c r="A3348" s="23" t="n"/>
      <c r="B3348" s="23" t="n"/>
      <c r="C3348" s="24" t="n"/>
      <c r="D3348" s="15" t="n"/>
      <c r="E3348" s="23" t="n"/>
      <c r="F3348" s="15" t="n"/>
      <c r="G3348" s="23" t="n"/>
      <c r="H3348" s="25" t="n"/>
      <c r="I3348" s="15" t="n"/>
      <c r="J3348" s="26">
        <f>IF($A3348="","",LEN($C3348)-LEN(SUBSTITUTE($C3348,",",""))+1)</f>
        <v/>
      </c>
      <c r="K3348" s="26">
        <f>IF($A3348="","",SUMPRODUCT(--ISNUMBER(SEARCH('Category Dictionary'!$D$5:$D$135&amp;"",$C3348)),--('Category Dictionary'!$D$5:$D$135&lt;&gt;"")))</f>
        <v/>
      </c>
      <c r="L3348" s="27">
        <f>IF($A3348="","",TRIM(IF(ISERROR(FIND(",",$C3348)),$C3348,LEFT($C3348,FIND(",",$C3348)-1))))</f>
        <v/>
      </c>
      <c r="M3348" s="28">
        <f>IF($H3348="","",DATE(YEAR($H3348),MONTH($H3348),1))</f>
        <v/>
      </c>
      <c r="N3348" s="26">
        <f>IF($H3348="","",TODAY()-$H3348)</f>
        <v/>
      </c>
      <c r="O3348" s="15" t="n"/>
      <c r="P3348" s="26">
        <f>IF($A3348="","",COUNTIFS('Audit Versions'!$A$6:$A$605,$A3348,'Audit Versions'!$L$6:$L$605,"Active"))</f>
        <v/>
      </c>
      <c r="Q3348" s="15" t="n"/>
      <c r="R3348" s="26">
        <f>IF(OR($A3348="",$P3348=0),"",MOD(N($Q3348),$P3348)+1)</f>
        <v/>
      </c>
      <c r="S3348" s="15" t="n"/>
      <c r="T3348" s="25" t="n"/>
      <c r="U3348" s="26">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Builder'!$B$12="",N($S3348)&lt;='Assignment Builder'!$B$12)))</f>
        <v/>
      </c>
      <c r="V3348" s="23" t="n"/>
    </row>
    <row r="3349">
      <c r="A3349" s="23" t="n"/>
      <c r="B3349" s="23" t="n"/>
      <c r="C3349" s="24" t="n"/>
      <c r="D3349" s="15" t="n"/>
      <c r="E3349" s="23" t="n"/>
      <c r="F3349" s="15" t="n"/>
      <c r="G3349" s="23" t="n"/>
      <c r="H3349" s="25" t="n"/>
      <c r="I3349" s="15" t="n"/>
      <c r="J3349" s="26">
        <f>IF($A3349="","",LEN($C3349)-LEN(SUBSTITUTE($C3349,",",""))+1)</f>
        <v/>
      </c>
      <c r="K3349" s="26">
        <f>IF($A3349="","",SUMPRODUCT(--ISNUMBER(SEARCH('Category Dictionary'!$D$5:$D$135&amp;"",$C3349)),--('Category Dictionary'!$D$5:$D$135&lt;&gt;"")))</f>
        <v/>
      </c>
      <c r="L3349" s="27">
        <f>IF($A3349="","",TRIM(IF(ISERROR(FIND(",",$C3349)),$C3349,LEFT($C3349,FIND(",",$C3349)-1))))</f>
        <v/>
      </c>
      <c r="M3349" s="28">
        <f>IF($H3349="","",DATE(YEAR($H3349),MONTH($H3349),1))</f>
        <v/>
      </c>
      <c r="N3349" s="26">
        <f>IF($H3349="","",TODAY()-$H3349)</f>
        <v/>
      </c>
      <c r="O3349" s="15" t="n"/>
      <c r="P3349" s="26">
        <f>IF($A3349="","",COUNTIFS('Audit Versions'!$A$6:$A$605,$A3349,'Audit Versions'!$L$6:$L$605,"Active"))</f>
        <v/>
      </c>
      <c r="Q3349" s="15" t="n"/>
      <c r="R3349" s="26">
        <f>IF(OR($A3349="",$P3349=0),"",MOD(N($Q3349),$P3349)+1)</f>
        <v/>
      </c>
      <c r="S3349" s="15" t="n"/>
      <c r="T3349" s="25" t="n"/>
      <c r="U3349" s="26">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Builder'!$B$12="",N($S3349)&lt;='Assignment Builder'!$B$12)))</f>
        <v/>
      </c>
      <c r="V3349" s="23" t="n"/>
    </row>
    <row r="3350">
      <c r="A3350" s="23" t="n"/>
      <c r="B3350" s="23" t="n"/>
      <c r="C3350" s="24" t="n"/>
      <c r="D3350" s="15" t="n"/>
      <c r="E3350" s="23" t="n"/>
      <c r="F3350" s="15" t="n"/>
      <c r="G3350" s="23" t="n"/>
      <c r="H3350" s="25" t="n"/>
      <c r="I3350" s="15" t="n"/>
      <c r="J3350" s="26">
        <f>IF($A3350="","",LEN($C3350)-LEN(SUBSTITUTE($C3350,",",""))+1)</f>
        <v/>
      </c>
      <c r="K3350" s="26">
        <f>IF($A3350="","",SUMPRODUCT(--ISNUMBER(SEARCH('Category Dictionary'!$D$5:$D$135&amp;"",$C3350)),--('Category Dictionary'!$D$5:$D$135&lt;&gt;"")))</f>
        <v/>
      </c>
      <c r="L3350" s="27">
        <f>IF($A3350="","",TRIM(IF(ISERROR(FIND(",",$C3350)),$C3350,LEFT($C3350,FIND(",",$C3350)-1))))</f>
        <v/>
      </c>
      <c r="M3350" s="28">
        <f>IF($H3350="","",DATE(YEAR($H3350),MONTH($H3350),1))</f>
        <v/>
      </c>
      <c r="N3350" s="26">
        <f>IF($H3350="","",TODAY()-$H3350)</f>
        <v/>
      </c>
      <c r="O3350" s="15" t="n"/>
      <c r="P3350" s="26">
        <f>IF($A3350="","",COUNTIFS('Audit Versions'!$A$6:$A$605,$A3350,'Audit Versions'!$L$6:$L$605,"Active"))</f>
        <v/>
      </c>
      <c r="Q3350" s="15" t="n"/>
      <c r="R3350" s="26">
        <f>IF(OR($A3350="",$P3350=0),"",MOD(N($Q3350),$P3350)+1)</f>
        <v/>
      </c>
      <c r="S3350" s="15" t="n"/>
      <c r="T3350" s="25" t="n"/>
      <c r="U3350" s="26">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Builder'!$B$12="",N($S3350)&lt;='Assignment Builder'!$B$12)))</f>
        <v/>
      </c>
      <c r="V3350" s="23" t="n"/>
    </row>
    <row r="3351">
      <c r="A3351" s="23" t="n"/>
      <c r="B3351" s="23" t="n"/>
      <c r="C3351" s="24" t="n"/>
      <c r="D3351" s="15" t="n"/>
      <c r="E3351" s="23" t="n"/>
      <c r="F3351" s="15" t="n"/>
      <c r="G3351" s="23" t="n"/>
      <c r="H3351" s="25" t="n"/>
      <c r="I3351" s="15" t="n"/>
      <c r="J3351" s="26">
        <f>IF($A3351="","",LEN($C3351)-LEN(SUBSTITUTE($C3351,",",""))+1)</f>
        <v/>
      </c>
      <c r="K3351" s="26">
        <f>IF($A3351="","",SUMPRODUCT(--ISNUMBER(SEARCH('Category Dictionary'!$D$5:$D$135&amp;"",$C3351)),--('Category Dictionary'!$D$5:$D$135&lt;&gt;"")))</f>
        <v/>
      </c>
      <c r="L3351" s="27">
        <f>IF($A3351="","",TRIM(IF(ISERROR(FIND(",",$C3351)),$C3351,LEFT($C3351,FIND(",",$C3351)-1))))</f>
        <v/>
      </c>
      <c r="M3351" s="28">
        <f>IF($H3351="","",DATE(YEAR($H3351),MONTH($H3351),1))</f>
        <v/>
      </c>
      <c r="N3351" s="26">
        <f>IF($H3351="","",TODAY()-$H3351)</f>
        <v/>
      </c>
      <c r="O3351" s="15" t="n"/>
      <c r="P3351" s="26">
        <f>IF($A3351="","",COUNTIFS('Audit Versions'!$A$6:$A$605,$A3351,'Audit Versions'!$L$6:$L$605,"Active"))</f>
        <v/>
      </c>
      <c r="Q3351" s="15" t="n"/>
      <c r="R3351" s="26">
        <f>IF(OR($A3351="",$P3351=0),"",MOD(N($Q3351),$P3351)+1)</f>
        <v/>
      </c>
      <c r="S3351" s="15" t="n"/>
      <c r="T3351" s="25" t="n"/>
      <c r="U3351" s="26">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Builder'!$B$12="",N($S3351)&lt;='Assignment Builder'!$B$12)))</f>
        <v/>
      </c>
      <c r="V3351" s="23" t="n"/>
    </row>
    <row r="3352">
      <c r="A3352" s="23" t="n"/>
      <c r="B3352" s="23" t="n"/>
      <c r="C3352" s="24" t="n"/>
      <c r="D3352" s="15" t="n"/>
      <c r="E3352" s="23" t="n"/>
      <c r="F3352" s="15" t="n"/>
      <c r="G3352" s="23" t="n"/>
      <c r="H3352" s="25" t="n"/>
      <c r="I3352" s="15" t="n"/>
      <c r="J3352" s="26">
        <f>IF($A3352="","",LEN($C3352)-LEN(SUBSTITUTE($C3352,",",""))+1)</f>
        <v/>
      </c>
      <c r="K3352" s="26">
        <f>IF($A3352="","",SUMPRODUCT(--ISNUMBER(SEARCH('Category Dictionary'!$D$5:$D$135&amp;"",$C3352)),--('Category Dictionary'!$D$5:$D$135&lt;&gt;"")))</f>
        <v/>
      </c>
      <c r="L3352" s="27">
        <f>IF($A3352="","",TRIM(IF(ISERROR(FIND(",",$C3352)),$C3352,LEFT($C3352,FIND(",",$C3352)-1))))</f>
        <v/>
      </c>
      <c r="M3352" s="28">
        <f>IF($H3352="","",DATE(YEAR($H3352),MONTH($H3352),1))</f>
        <v/>
      </c>
      <c r="N3352" s="26">
        <f>IF($H3352="","",TODAY()-$H3352)</f>
        <v/>
      </c>
      <c r="O3352" s="15" t="n"/>
      <c r="P3352" s="26">
        <f>IF($A3352="","",COUNTIFS('Audit Versions'!$A$6:$A$605,$A3352,'Audit Versions'!$L$6:$L$605,"Active"))</f>
        <v/>
      </c>
      <c r="Q3352" s="15" t="n"/>
      <c r="R3352" s="26">
        <f>IF(OR($A3352="",$P3352=0),"",MOD(N($Q3352),$P3352)+1)</f>
        <v/>
      </c>
      <c r="S3352" s="15" t="n"/>
      <c r="T3352" s="25" t="n"/>
      <c r="U3352" s="26">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Builder'!$B$12="",N($S3352)&lt;='Assignment Builder'!$B$12)))</f>
        <v/>
      </c>
      <c r="V3352" s="23" t="n"/>
    </row>
    <row r="3353">
      <c r="A3353" s="23" t="n"/>
      <c r="B3353" s="23" t="n"/>
      <c r="C3353" s="24" t="n"/>
      <c r="D3353" s="15" t="n"/>
      <c r="E3353" s="23" t="n"/>
      <c r="F3353" s="15" t="n"/>
      <c r="G3353" s="23" t="n"/>
      <c r="H3353" s="25" t="n"/>
      <c r="I3353" s="15" t="n"/>
      <c r="J3353" s="26">
        <f>IF($A3353="","",LEN($C3353)-LEN(SUBSTITUTE($C3353,",",""))+1)</f>
        <v/>
      </c>
      <c r="K3353" s="26">
        <f>IF($A3353="","",SUMPRODUCT(--ISNUMBER(SEARCH('Category Dictionary'!$D$5:$D$135&amp;"",$C3353)),--('Category Dictionary'!$D$5:$D$135&lt;&gt;"")))</f>
        <v/>
      </c>
      <c r="L3353" s="27">
        <f>IF($A3353="","",TRIM(IF(ISERROR(FIND(",",$C3353)),$C3353,LEFT($C3353,FIND(",",$C3353)-1))))</f>
        <v/>
      </c>
      <c r="M3353" s="28">
        <f>IF($H3353="","",DATE(YEAR($H3353),MONTH($H3353),1))</f>
        <v/>
      </c>
      <c r="N3353" s="26">
        <f>IF($H3353="","",TODAY()-$H3353)</f>
        <v/>
      </c>
      <c r="O3353" s="15" t="n"/>
      <c r="P3353" s="26">
        <f>IF($A3353="","",COUNTIFS('Audit Versions'!$A$6:$A$605,$A3353,'Audit Versions'!$L$6:$L$605,"Active"))</f>
        <v/>
      </c>
      <c r="Q3353" s="15" t="n"/>
      <c r="R3353" s="26">
        <f>IF(OR($A3353="",$P3353=0),"",MOD(N($Q3353),$P3353)+1)</f>
        <v/>
      </c>
      <c r="S3353" s="15" t="n"/>
      <c r="T3353" s="25" t="n"/>
      <c r="U3353" s="26">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Builder'!$B$12="",N($S3353)&lt;='Assignment Builder'!$B$12)))</f>
        <v/>
      </c>
      <c r="V3353" s="23" t="n"/>
    </row>
    <row r="3354">
      <c r="A3354" s="23" t="n"/>
      <c r="B3354" s="23" t="n"/>
      <c r="C3354" s="24" t="n"/>
      <c r="D3354" s="15" t="n"/>
      <c r="E3354" s="23" t="n"/>
      <c r="F3354" s="15" t="n"/>
      <c r="G3354" s="23" t="n"/>
      <c r="H3354" s="25" t="n"/>
      <c r="I3354" s="15" t="n"/>
      <c r="J3354" s="26">
        <f>IF($A3354="","",LEN($C3354)-LEN(SUBSTITUTE($C3354,",",""))+1)</f>
        <v/>
      </c>
      <c r="K3354" s="26">
        <f>IF($A3354="","",SUMPRODUCT(--ISNUMBER(SEARCH('Category Dictionary'!$D$5:$D$135&amp;"",$C3354)),--('Category Dictionary'!$D$5:$D$135&lt;&gt;"")))</f>
        <v/>
      </c>
      <c r="L3354" s="27">
        <f>IF($A3354="","",TRIM(IF(ISERROR(FIND(",",$C3354)),$C3354,LEFT($C3354,FIND(",",$C3354)-1))))</f>
        <v/>
      </c>
      <c r="M3354" s="28">
        <f>IF($H3354="","",DATE(YEAR($H3354),MONTH($H3354),1))</f>
        <v/>
      </c>
      <c r="N3354" s="26">
        <f>IF($H3354="","",TODAY()-$H3354)</f>
        <v/>
      </c>
      <c r="O3354" s="15" t="n"/>
      <c r="P3354" s="26">
        <f>IF($A3354="","",COUNTIFS('Audit Versions'!$A$6:$A$605,$A3354,'Audit Versions'!$L$6:$L$605,"Active"))</f>
        <v/>
      </c>
      <c r="Q3354" s="15" t="n"/>
      <c r="R3354" s="26">
        <f>IF(OR($A3354="",$P3354=0),"",MOD(N($Q3354),$P3354)+1)</f>
        <v/>
      </c>
      <c r="S3354" s="15" t="n"/>
      <c r="T3354" s="25" t="n"/>
      <c r="U3354" s="26">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Builder'!$B$12="",N($S3354)&lt;='Assignment Builder'!$B$12)))</f>
        <v/>
      </c>
      <c r="V3354" s="23" t="n"/>
    </row>
    <row r="3355">
      <c r="A3355" s="23" t="n"/>
      <c r="B3355" s="23" t="n"/>
      <c r="C3355" s="24" t="n"/>
      <c r="D3355" s="15" t="n"/>
      <c r="E3355" s="23" t="n"/>
      <c r="F3355" s="15" t="n"/>
      <c r="G3355" s="23" t="n"/>
      <c r="H3355" s="25" t="n"/>
      <c r="I3355" s="15" t="n"/>
      <c r="J3355" s="26">
        <f>IF($A3355="","",LEN($C3355)-LEN(SUBSTITUTE($C3355,",",""))+1)</f>
        <v/>
      </c>
      <c r="K3355" s="26">
        <f>IF($A3355="","",SUMPRODUCT(--ISNUMBER(SEARCH('Category Dictionary'!$D$5:$D$135&amp;"",$C3355)),--('Category Dictionary'!$D$5:$D$135&lt;&gt;"")))</f>
        <v/>
      </c>
      <c r="L3355" s="27">
        <f>IF($A3355="","",TRIM(IF(ISERROR(FIND(",",$C3355)),$C3355,LEFT($C3355,FIND(",",$C3355)-1))))</f>
        <v/>
      </c>
      <c r="M3355" s="28">
        <f>IF($H3355="","",DATE(YEAR($H3355),MONTH($H3355),1))</f>
        <v/>
      </c>
      <c r="N3355" s="26">
        <f>IF($H3355="","",TODAY()-$H3355)</f>
        <v/>
      </c>
      <c r="O3355" s="15" t="n"/>
      <c r="P3355" s="26">
        <f>IF($A3355="","",COUNTIFS('Audit Versions'!$A$6:$A$605,$A3355,'Audit Versions'!$L$6:$L$605,"Active"))</f>
        <v/>
      </c>
      <c r="Q3355" s="15" t="n"/>
      <c r="R3355" s="26">
        <f>IF(OR($A3355="",$P3355=0),"",MOD(N($Q3355),$P3355)+1)</f>
        <v/>
      </c>
      <c r="S3355" s="15" t="n"/>
      <c r="T3355" s="25" t="n"/>
      <c r="U3355" s="26">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Builder'!$B$12="",N($S3355)&lt;='Assignment Builder'!$B$12)))</f>
        <v/>
      </c>
      <c r="V3355" s="23" t="n"/>
    </row>
    <row r="3356">
      <c r="A3356" s="23" t="n"/>
      <c r="B3356" s="23" t="n"/>
      <c r="C3356" s="24" t="n"/>
      <c r="D3356" s="15" t="n"/>
      <c r="E3356" s="23" t="n"/>
      <c r="F3356" s="15" t="n"/>
      <c r="G3356" s="23" t="n"/>
      <c r="H3356" s="25" t="n"/>
      <c r="I3356" s="15" t="n"/>
      <c r="J3356" s="26">
        <f>IF($A3356="","",LEN($C3356)-LEN(SUBSTITUTE($C3356,",",""))+1)</f>
        <v/>
      </c>
      <c r="K3356" s="26">
        <f>IF($A3356="","",SUMPRODUCT(--ISNUMBER(SEARCH('Category Dictionary'!$D$5:$D$135&amp;"",$C3356)),--('Category Dictionary'!$D$5:$D$135&lt;&gt;"")))</f>
        <v/>
      </c>
      <c r="L3356" s="27">
        <f>IF($A3356="","",TRIM(IF(ISERROR(FIND(",",$C3356)),$C3356,LEFT($C3356,FIND(",",$C3356)-1))))</f>
        <v/>
      </c>
      <c r="M3356" s="28">
        <f>IF($H3356="","",DATE(YEAR($H3356),MONTH($H3356),1))</f>
        <v/>
      </c>
      <c r="N3356" s="26">
        <f>IF($H3356="","",TODAY()-$H3356)</f>
        <v/>
      </c>
      <c r="O3356" s="15" t="n"/>
      <c r="P3356" s="26">
        <f>IF($A3356="","",COUNTIFS('Audit Versions'!$A$6:$A$605,$A3356,'Audit Versions'!$L$6:$L$605,"Active"))</f>
        <v/>
      </c>
      <c r="Q3356" s="15" t="n"/>
      <c r="R3356" s="26">
        <f>IF(OR($A3356="",$P3356=0),"",MOD(N($Q3356),$P3356)+1)</f>
        <v/>
      </c>
      <c r="S3356" s="15" t="n"/>
      <c r="T3356" s="25" t="n"/>
      <c r="U3356" s="26">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Builder'!$B$12="",N($S3356)&lt;='Assignment Builder'!$B$12)))</f>
        <v/>
      </c>
      <c r="V3356" s="23" t="n"/>
    </row>
    <row r="3357">
      <c r="A3357" s="23" t="n"/>
      <c r="B3357" s="23" t="n"/>
      <c r="C3357" s="24" t="n"/>
      <c r="D3357" s="15" t="n"/>
      <c r="E3357" s="23" t="n"/>
      <c r="F3357" s="15" t="n"/>
      <c r="G3357" s="23" t="n"/>
      <c r="H3357" s="25" t="n"/>
      <c r="I3357" s="15" t="n"/>
      <c r="J3357" s="26">
        <f>IF($A3357="","",LEN($C3357)-LEN(SUBSTITUTE($C3357,",",""))+1)</f>
        <v/>
      </c>
      <c r="K3357" s="26">
        <f>IF($A3357="","",SUMPRODUCT(--ISNUMBER(SEARCH('Category Dictionary'!$D$5:$D$135&amp;"",$C3357)),--('Category Dictionary'!$D$5:$D$135&lt;&gt;"")))</f>
        <v/>
      </c>
      <c r="L3357" s="27">
        <f>IF($A3357="","",TRIM(IF(ISERROR(FIND(",",$C3357)),$C3357,LEFT($C3357,FIND(",",$C3357)-1))))</f>
        <v/>
      </c>
      <c r="M3357" s="28">
        <f>IF($H3357="","",DATE(YEAR($H3357),MONTH($H3357),1))</f>
        <v/>
      </c>
      <c r="N3357" s="26">
        <f>IF($H3357="","",TODAY()-$H3357)</f>
        <v/>
      </c>
      <c r="O3357" s="15" t="n"/>
      <c r="P3357" s="26">
        <f>IF($A3357="","",COUNTIFS('Audit Versions'!$A$6:$A$605,$A3357,'Audit Versions'!$L$6:$L$605,"Active"))</f>
        <v/>
      </c>
      <c r="Q3357" s="15" t="n"/>
      <c r="R3357" s="26">
        <f>IF(OR($A3357="",$P3357=0),"",MOD(N($Q3357),$P3357)+1)</f>
        <v/>
      </c>
      <c r="S3357" s="15" t="n"/>
      <c r="T3357" s="25" t="n"/>
      <c r="U3357" s="26">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Builder'!$B$12="",N($S3357)&lt;='Assignment Builder'!$B$12)))</f>
        <v/>
      </c>
      <c r="V3357" s="23" t="n"/>
    </row>
    <row r="3358">
      <c r="A3358" s="23" t="n"/>
      <c r="B3358" s="23" t="n"/>
      <c r="C3358" s="24" t="n"/>
      <c r="D3358" s="15" t="n"/>
      <c r="E3358" s="23" t="n"/>
      <c r="F3358" s="15" t="n"/>
      <c r="G3358" s="23" t="n"/>
      <c r="H3358" s="25" t="n"/>
      <c r="I3358" s="15" t="n"/>
      <c r="J3358" s="26">
        <f>IF($A3358="","",LEN($C3358)-LEN(SUBSTITUTE($C3358,",",""))+1)</f>
        <v/>
      </c>
      <c r="K3358" s="26">
        <f>IF($A3358="","",SUMPRODUCT(--ISNUMBER(SEARCH('Category Dictionary'!$D$5:$D$135&amp;"",$C3358)),--('Category Dictionary'!$D$5:$D$135&lt;&gt;"")))</f>
        <v/>
      </c>
      <c r="L3358" s="27">
        <f>IF($A3358="","",TRIM(IF(ISERROR(FIND(",",$C3358)),$C3358,LEFT($C3358,FIND(",",$C3358)-1))))</f>
        <v/>
      </c>
      <c r="M3358" s="28">
        <f>IF($H3358="","",DATE(YEAR($H3358),MONTH($H3358),1))</f>
        <v/>
      </c>
      <c r="N3358" s="26">
        <f>IF($H3358="","",TODAY()-$H3358)</f>
        <v/>
      </c>
      <c r="O3358" s="15" t="n"/>
      <c r="P3358" s="26">
        <f>IF($A3358="","",COUNTIFS('Audit Versions'!$A$6:$A$605,$A3358,'Audit Versions'!$L$6:$L$605,"Active"))</f>
        <v/>
      </c>
      <c r="Q3358" s="15" t="n"/>
      <c r="R3358" s="26">
        <f>IF(OR($A3358="",$P3358=0),"",MOD(N($Q3358),$P3358)+1)</f>
        <v/>
      </c>
      <c r="S3358" s="15" t="n"/>
      <c r="T3358" s="25" t="n"/>
      <c r="U3358" s="26">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Builder'!$B$12="",N($S3358)&lt;='Assignment Builder'!$B$12)))</f>
        <v/>
      </c>
      <c r="V3358" s="23" t="n"/>
    </row>
    <row r="3359">
      <c r="A3359" s="23" t="n"/>
      <c r="B3359" s="23" t="n"/>
      <c r="C3359" s="24" t="n"/>
      <c r="D3359" s="15" t="n"/>
      <c r="E3359" s="23" t="n"/>
      <c r="F3359" s="15" t="n"/>
      <c r="G3359" s="23" t="n"/>
      <c r="H3359" s="25" t="n"/>
      <c r="I3359" s="15" t="n"/>
      <c r="J3359" s="26">
        <f>IF($A3359="","",LEN($C3359)-LEN(SUBSTITUTE($C3359,",",""))+1)</f>
        <v/>
      </c>
      <c r="K3359" s="26">
        <f>IF($A3359="","",SUMPRODUCT(--ISNUMBER(SEARCH('Category Dictionary'!$D$5:$D$135&amp;"",$C3359)),--('Category Dictionary'!$D$5:$D$135&lt;&gt;"")))</f>
        <v/>
      </c>
      <c r="L3359" s="27">
        <f>IF($A3359="","",TRIM(IF(ISERROR(FIND(",",$C3359)),$C3359,LEFT($C3359,FIND(",",$C3359)-1))))</f>
        <v/>
      </c>
      <c r="M3359" s="28">
        <f>IF($H3359="","",DATE(YEAR($H3359),MONTH($H3359),1))</f>
        <v/>
      </c>
      <c r="N3359" s="26">
        <f>IF($H3359="","",TODAY()-$H3359)</f>
        <v/>
      </c>
      <c r="O3359" s="15" t="n"/>
      <c r="P3359" s="26">
        <f>IF($A3359="","",COUNTIFS('Audit Versions'!$A$6:$A$605,$A3359,'Audit Versions'!$L$6:$L$605,"Active"))</f>
        <v/>
      </c>
      <c r="Q3359" s="15" t="n"/>
      <c r="R3359" s="26">
        <f>IF(OR($A3359="",$P3359=0),"",MOD(N($Q3359),$P3359)+1)</f>
        <v/>
      </c>
      <c r="S3359" s="15" t="n"/>
      <c r="T3359" s="25" t="n"/>
      <c r="U3359" s="26">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Builder'!$B$12="",N($S3359)&lt;='Assignment Builder'!$B$12)))</f>
        <v/>
      </c>
      <c r="V3359" s="23" t="n"/>
    </row>
    <row r="3360">
      <c r="A3360" s="23" t="n"/>
      <c r="B3360" s="23" t="n"/>
      <c r="C3360" s="24" t="n"/>
      <c r="D3360" s="15" t="n"/>
      <c r="E3360" s="23" t="n"/>
      <c r="F3360" s="15" t="n"/>
      <c r="G3360" s="23" t="n"/>
      <c r="H3360" s="25" t="n"/>
      <c r="I3360" s="15" t="n"/>
      <c r="J3360" s="26">
        <f>IF($A3360="","",LEN($C3360)-LEN(SUBSTITUTE($C3360,",",""))+1)</f>
        <v/>
      </c>
      <c r="K3360" s="26">
        <f>IF($A3360="","",SUMPRODUCT(--ISNUMBER(SEARCH('Category Dictionary'!$D$5:$D$135&amp;"",$C3360)),--('Category Dictionary'!$D$5:$D$135&lt;&gt;"")))</f>
        <v/>
      </c>
      <c r="L3360" s="27">
        <f>IF($A3360="","",TRIM(IF(ISERROR(FIND(",",$C3360)),$C3360,LEFT($C3360,FIND(",",$C3360)-1))))</f>
        <v/>
      </c>
      <c r="M3360" s="28">
        <f>IF($H3360="","",DATE(YEAR($H3360),MONTH($H3360),1))</f>
        <v/>
      </c>
      <c r="N3360" s="26">
        <f>IF($H3360="","",TODAY()-$H3360)</f>
        <v/>
      </c>
      <c r="O3360" s="15" t="n"/>
      <c r="P3360" s="26">
        <f>IF($A3360="","",COUNTIFS('Audit Versions'!$A$6:$A$605,$A3360,'Audit Versions'!$L$6:$L$605,"Active"))</f>
        <v/>
      </c>
      <c r="Q3360" s="15" t="n"/>
      <c r="R3360" s="26">
        <f>IF(OR($A3360="",$P3360=0),"",MOD(N($Q3360),$P3360)+1)</f>
        <v/>
      </c>
      <c r="S3360" s="15" t="n"/>
      <c r="T3360" s="25" t="n"/>
      <c r="U3360" s="26">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Builder'!$B$12="",N($S3360)&lt;='Assignment Builder'!$B$12)))</f>
        <v/>
      </c>
      <c r="V3360" s="23" t="n"/>
    </row>
    <row r="3361">
      <c r="A3361" s="23" t="n"/>
      <c r="B3361" s="23" t="n"/>
      <c r="C3361" s="24" t="n"/>
      <c r="D3361" s="15" t="n"/>
      <c r="E3361" s="23" t="n"/>
      <c r="F3361" s="15" t="n"/>
      <c r="G3361" s="23" t="n"/>
      <c r="H3361" s="25" t="n"/>
      <c r="I3361" s="15" t="n"/>
      <c r="J3361" s="26">
        <f>IF($A3361="","",LEN($C3361)-LEN(SUBSTITUTE($C3361,",",""))+1)</f>
        <v/>
      </c>
      <c r="K3361" s="26">
        <f>IF($A3361="","",SUMPRODUCT(--ISNUMBER(SEARCH('Category Dictionary'!$D$5:$D$135&amp;"",$C3361)),--('Category Dictionary'!$D$5:$D$135&lt;&gt;"")))</f>
        <v/>
      </c>
      <c r="L3361" s="27">
        <f>IF($A3361="","",TRIM(IF(ISERROR(FIND(",",$C3361)),$C3361,LEFT($C3361,FIND(",",$C3361)-1))))</f>
        <v/>
      </c>
      <c r="M3361" s="28">
        <f>IF($H3361="","",DATE(YEAR($H3361),MONTH($H3361),1))</f>
        <v/>
      </c>
      <c r="N3361" s="26">
        <f>IF($H3361="","",TODAY()-$H3361)</f>
        <v/>
      </c>
      <c r="O3361" s="15" t="n"/>
      <c r="P3361" s="26">
        <f>IF($A3361="","",COUNTIFS('Audit Versions'!$A$6:$A$605,$A3361,'Audit Versions'!$L$6:$L$605,"Active"))</f>
        <v/>
      </c>
      <c r="Q3361" s="15" t="n"/>
      <c r="R3361" s="26">
        <f>IF(OR($A3361="",$P3361=0),"",MOD(N($Q3361),$P3361)+1)</f>
        <v/>
      </c>
      <c r="S3361" s="15" t="n"/>
      <c r="T3361" s="25" t="n"/>
      <c r="U3361" s="26">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Builder'!$B$12="",N($S3361)&lt;='Assignment Builder'!$B$12)))</f>
        <v/>
      </c>
      <c r="V3361" s="23" t="n"/>
    </row>
    <row r="3362">
      <c r="A3362" s="23" t="n"/>
      <c r="B3362" s="23" t="n"/>
      <c r="C3362" s="24" t="n"/>
      <c r="D3362" s="15" t="n"/>
      <c r="E3362" s="23" t="n"/>
      <c r="F3362" s="15" t="n"/>
      <c r="G3362" s="23" t="n"/>
      <c r="H3362" s="25" t="n"/>
      <c r="I3362" s="15" t="n"/>
      <c r="J3362" s="26">
        <f>IF($A3362="","",LEN($C3362)-LEN(SUBSTITUTE($C3362,",",""))+1)</f>
        <v/>
      </c>
      <c r="K3362" s="26">
        <f>IF($A3362="","",SUMPRODUCT(--ISNUMBER(SEARCH('Category Dictionary'!$D$5:$D$135&amp;"",$C3362)),--('Category Dictionary'!$D$5:$D$135&lt;&gt;"")))</f>
        <v/>
      </c>
      <c r="L3362" s="27">
        <f>IF($A3362="","",TRIM(IF(ISERROR(FIND(",",$C3362)),$C3362,LEFT($C3362,FIND(",",$C3362)-1))))</f>
        <v/>
      </c>
      <c r="M3362" s="28">
        <f>IF($H3362="","",DATE(YEAR($H3362),MONTH($H3362),1))</f>
        <v/>
      </c>
      <c r="N3362" s="26">
        <f>IF($H3362="","",TODAY()-$H3362)</f>
        <v/>
      </c>
      <c r="O3362" s="15" t="n"/>
      <c r="P3362" s="26">
        <f>IF($A3362="","",COUNTIFS('Audit Versions'!$A$6:$A$605,$A3362,'Audit Versions'!$L$6:$L$605,"Active"))</f>
        <v/>
      </c>
      <c r="Q3362" s="15" t="n"/>
      <c r="R3362" s="26">
        <f>IF(OR($A3362="",$P3362=0),"",MOD(N($Q3362),$P3362)+1)</f>
        <v/>
      </c>
      <c r="S3362" s="15" t="n"/>
      <c r="T3362" s="25" t="n"/>
      <c r="U3362" s="26">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Builder'!$B$12="",N($S3362)&lt;='Assignment Builder'!$B$12)))</f>
        <v/>
      </c>
      <c r="V3362" s="23" t="n"/>
    </row>
    <row r="3363">
      <c r="A3363" s="23" t="n"/>
      <c r="B3363" s="23" t="n"/>
      <c r="C3363" s="24" t="n"/>
      <c r="D3363" s="15" t="n"/>
      <c r="E3363" s="23" t="n"/>
      <c r="F3363" s="15" t="n"/>
      <c r="G3363" s="23" t="n"/>
      <c r="H3363" s="25" t="n"/>
      <c r="I3363" s="15" t="n"/>
      <c r="J3363" s="26">
        <f>IF($A3363="","",LEN($C3363)-LEN(SUBSTITUTE($C3363,",",""))+1)</f>
        <v/>
      </c>
      <c r="K3363" s="26">
        <f>IF($A3363="","",SUMPRODUCT(--ISNUMBER(SEARCH('Category Dictionary'!$D$5:$D$135&amp;"",$C3363)),--('Category Dictionary'!$D$5:$D$135&lt;&gt;"")))</f>
        <v/>
      </c>
      <c r="L3363" s="27">
        <f>IF($A3363="","",TRIM(IF(ISERROR(FIND(",",$C3363)),$C3363,LEFT($C3363,FIND(",",$C3363)-1))))</f>
        <v/>
      </c>
      <c r="M3363" s="28">
        <f>IF($H3363="","",DATE(YEAR($H3363),MONTH($H3363),1))</f>
        <v/>
      </c>
      <c r="N3363" s="26">
        <f>IF($H3363="","",TODAY()-$H3363)</f>
        <v/>
      </c>
      <c r="O3363" s="15" t="n"/>
      <c r="P3363" s="26">
        <f>IF($A3363="","",COUNTIFS('Audit Versions'!$A$6:$A$605,$A3363,'Audit Versions'!$L$6:$L$605,"Active"))</f>
        <v/>
      </c>
      <c r="Q3363" s="15" t="n"/>
      <c r="R3363" s="26">
        <f>IF(OR($A3363="",$P3363=0),"",MOD(N($Q3363),$P3363)+1)</f>
        <v/>
      </c>
      <c r="S3363" s="15" t="n"/>
      <c r="T3363" s="25" t="n"/>
      <c r="U3363" s="26">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Builder'!$B$12="",N($S3363)&lt;='Assignment Builder'!$B$12)))</f>
        <v/>
      </c>
      <c r="V3363" s="23" t="n"/>
    </row>
    <row r="3364">
      <c r="A3364" s="23" t="n"/>
      <c r="B3364" s="23" t="n"/>
      <c r="C3364" s="24" t="n"/>
      <c r="D3364" s="15" t="n"/>
      <c r="E3364" s="23" t="n"/>
      <c r="F3364" s="15" t="n"/>
      <c r="G3364" s="23" t="n"/>
      <c r="H3364" s="25" t="n"/>
      <c r="I3364" s="15" t="n"/>
      <c r="J3364" s="26">
        <f>IF($A3364="","",LEN($C3364)-LEN(SUBSTITUTE($C3364,",",""))+1)</f>
        <v/>
      </c>
      <c r="K3364" s="26">
        <f>IF($A3364="","",SUMPRODUCT(--ISNUMBER(SEARCH('Category Dictionary'!$D$5:$D$135&amp;"",$C3364)),--('Category Dictionary'!$D$5:$D$135&lt;&gt;"")))</f>
        <v/>
      </c>
      <c r="L3364" s="27">
        <f>IF($A3364="","",TRIM(IF(ISERROR(FIND(",",$C3364)),$C3364,LEFT($C3364,FIND(",",$C3364)-1))))</f>
        <v/>
      </c>
      <c r="M3364" s="28">
        <f>IF($H3364="","",DATE(YEAR($H3364),MONTH($H3364),1))</f>
        <v/>
      </c>
      <c r="N3364" s="26">
        <f>IF($H3364="","",TODAY()-$H3364)</f>
        <v/>
      </c>
      <c r="O3364" s="15" t="n"/>
      <c r="P3364" s="26">
        <f>IF($A3364="","",COUNTIFS('Audit Versions'!$A$6:$A$605,$A3364,'Audit Versions'!$L$6:$L$605,"Active"))</f>
        <v/>
      </c>
      <c r="Q3364" s="15" t="n"/>
      <c r="R3364" s="26">
        <f>IF(OR($A3364="",$P3364=0),"",MOD(N($Q3364),$P3364)+1)</f>
        <v/>
      </c>
      <c r="S3364" s="15" t="n"/>
      <c r="T3364" s="25" t="n"/>
      <c r="U3364" s="26">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Builder'!$B$12="",N($S3364)&lt;='Assignment Builder'!$B$12)))</f>
        <v/>
      </c>
      <c r="V3364" s="23" t="n"/>
    </row>
    <row r="3365">
      <c r="A3365" s="23" t="n"/>
      <c r="B3365" s="23" t="n"/>
      <c r="C3365" s="24" t="n"/>
      <c r="D3365" s="15" t="n"/>
      <c r="E3365" s="23" t="n"/>
      <c r="F3365" s="15" t="n"/>
      <c r="G3365" s="23" t="n"/>
      <c r="H3365" s="25" t="n"/>
      <c r="I3365" s="15" t="n"/>
      <c r="J3365" s="26">
        <f>IF($A3365="","",LEN($C3365)-LEN(SUBSTITUTE($C3365,",",""))+1)</f>
        <v/>
      </c>
      <c r="K3365" s="26">
        <f>IF($A3365="","",SUMPRODUCT(--ISNUMBER(SEARCH('Category Dictionary'!$D$5:$D$135&amp;"",$C3365)),--('Category Dictionary'!$D$5:$D$135&lt;&gt;"")))</f>
        <v/>
      </c>
      <c r="L3365" s="27">
        <f>IF($A3365="","",TRIM(IF(ISERROR(FIND(",",$C3365)),$C3365,LEFT($C3365,FIND(",",$C3365)-1))))</f>
        <v/>
      </c>
      <c r="M3365" s="28">
        <f>IF($H3365="","",DATE(YEAR($H3365),MONTH($H3365),1))</f>
        <v/>
      </c>
      <c r="N3365" s="26">
        <f>IF($H3365="","",TODAY()-$H3365)</f>
        <v/>
      </c>
      <c r="O3365" s="15" t="n"/>
      <c r="P3365" s="26">
        <f>IF($A3365="","",COUNTIFS('Audit Versions'!$A$6:$A$605,$A3365,'Audit Versions'!$L$6:$L$605,"Active"))</f>
        <v/>
      </c>
      <c r="Q3365" s="15" t="n"/>
      <c r="R3365" s="26">
        <f>IF(OR($A3365="",$P3365=0),"",MOD(N($Q3365),$P3365)+1)</f>
        <v/>
      </c>
      <c r="S3365" s="15" t="n"/>
      <c r="T3365" s="25" t="n"/>
      <c r="U3365" s="26">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Builder'!$B$12="",N($S3365)&lt;='Assignment Builder'!$B$12)))</f>
        <v/>
      </c>
      <c r="V3365" s="23" t="n"/>
    </row>
    <row r="3366">
      <c r="A3366" s="23" t="n"/>
      <c r="B3366" s="23" t="n"/>
      <c r="C3366" s="24" t="n"/>
      <c r="D3366" s="15" t="n"/>
      <c r="E3366" s="23" t="n"/>
      <c r="F3366" s="15" t="n"/>
      <c r="G3366" s="23" t="n"/>
      <c r="H3366" s="25" t="n"/>
      <c r="I3366" s="15" t="n"/>
      <c r="J3366" s="26">
        <f>IF($A3366="","",LEN($C3366)-LEN(SUBSTITUTE($C3366,",",""))+1)</f>
        <v/>
      </c>
      <c r="K3366" s="26">
        <f>IF($A3366="","",SUMPRODUCT(--ISNUMBER(SEARCH('Category Dictionary'!$D$5:$D$135&amp;"",$C3366)),--('Category Dictionary'!$D$5:$D$135&lt;&gt;"")))</f>
        <v/>
      </c>
      <c r="L3366" s="27">
        <f>IF($A3366="","",TRIM(IF(ISERROR(FIND(",",$C3366)),$C3366,LEFT($C3366,FIND(",",$C3366)-1))))</f>
        <v/>
      </c>
      <c r="M3366" s="28">
        <f>IF($H3366="","",DATE(YEAR($H3366),MONTH($H3366),1))</f>
        <v/>
      </c>
      <c r="N3366" s="26">
        <f>IF($H3366="","",TODAY()-$H3366)</f>
        <v/>
      </c>
      <c r="O3366" s="15" t="n"/>
      <c r="P3366" s="26">
        <f>IF($A3366="","",COUNTIFS('Audit Versions'!$A$6:$A$605,$A3366,'Audit Versions'!$L$6:$L$605,"Active"))</f>
        <v/>
      </c>
      <c r="Q3366" s="15" t="n"/>
      <c r="R3366" s="26">
        <f>IF(OR($A3366="",$P3366=0),"",MOD(N($Q3366),$P3366)+1)</f>
        <v/>
      </c>
      <c r="S3366" s="15" t="n"/>
      <c r="T3366" s="25" t="n"/>
      <c r="U3366" s="26">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Builder'!$B$12="",N($S3366)&lt;='Assignment Builder'!$B$12)))</f>
        <v/>
      </c>
      <c r="V3366" s="23" t="n"/>
    </row>
    <row r="3367">
      <c r="A3367" s="23" t="n"/>
      <c r="B3367" s="23" t="n"/>
      <c r="C3367" s="24" t="n"/>
      <c r="D3367" s="15" t="n"/>
      <c r="E3367" s="23" t="n"/>
      <c r="F3367" s="15" t="n"/>
      <c r="G3367" s="23" t="n"/>
      <c r="H3367" s="25" t="n"/>
      <c r="I3367" s="15" t="n"/>
      <c r="J3367" s="26">
        <f>IF($A3367="","",LEN($C3367)-LEN(SUBSTITUTE($C3367,",",""))+1)</f>
        <v/>
      </c>
      <c r="K3367" s="26">
        <f>IF($A3367="","",SUMPRODUCT(--ISNUMBER(SEARCH('Category Dictionary'!$D$5:$D$135&amp;"",$C3367)),--('Category Dictionary'!$D$5:$D$135&lt;&gt;"")))</f>
        <v/>
      </c>
      <c r="L3367" s="27">
        <f>IF($A3367="","",TRIM(IF(ISERROR(FIND(",",$C3367)),$C3367,LEFT($C3367,FIND(",",$C3367)-1))))</f>
        <v/>
      </c>
      <c r="M3367" s="28">
        <f>IF($H3367="","",DATE(YEAR($H3367),MONTH($H3367),1))</f>
        <v/>
      </c>
      <c r="N3367" s="26">
        <f>IF($H3367="","",TODAY()-$H3367)</f>
        <v/>
      </c>
      <c r="O3367" s="15" t="n"/>
      <c r="P3367" s="26">
        <f>IF($A3367="","",COUNTIFS('Audit Versions'!$A$6:$A$605,$A3367,'Audit Versions'!$L$6:$L$605,"Active"))</f>
        <v/>
      </c>
      <c r="Q3367" s="15" t="n"/>
      <c r="R3367" s="26">
        <f>IF(OR($A3367="",$P3367=0),"",MOD(N($Q3367),$P3367)+1)</f>
        <v/>
      </c>
      <c r="S3367" s="15" t="n"/>
      <c r="T3367" s="25" t="n"/>
      <c r="U3367" s="26">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Builder'!$B$12="",N($S3367)&lt;='Assignment Builder'!$B$12)))</f>
        <v/>
      </c>
      <c r="V3367" s="23" t="n"/>
    </row>
    <row r="3368">
      <c r="A3368" s="23" t="n"/>
      <c r="B3368" s="23" t="n"/>
      <c r="C3368" s="24" t="n"/>
      <c r="D3368" s="15" t="n"/>
      <c r="E3368" s="23" t="n"/>
      <c r="F3368" s="15" t="n"/>
      <c r="G3368" s="23" t="n"/>
      <c r="H3368" s="25" t="n"/>
      <c r="I3368" s="15" t="n"/>
      <c r="J3368" s="26">
        <f>IF($A3368="","",LEN($C3368)-LEN(SUBSTITUTE($C3368,",",""))+1)</f>
        <v/>
      </c>
      <c r="K3368" s="26">
        <f>IF($A3368="","",SUMPRODUCT(--ISNUMBER(SEARCH('Category Dictionary'!$D$5:$D$135&amp;"",$C3368)),--('Category Dictionary'!$D$5:$D$135&lt;&gt;"")))</f>
        <v/>
      </c>
      <c r="L3368" s="27">
        <f>IF($A3368="","",TRIM(IF(ISERROR(FIND(",",$C3368)),$C3368,LEFT($C3368,FIND(",",$C3368)-1))))</f>
        <v/>
      </c>
      <c r="M3368" s="28">
        <f>IF($H3368="","",DATE(YEAR($H3368),MONTH($H3368),1))</f>
        <v/>
      </c>
      <c r="N3368" s="26">
        <f>IF($H3368="","",TODAY()-$H3368)</f>
        <v/>
      </c>
      <c r="O3368" s="15" t="n"/>
      <c r="P3368" s="26">
        <f>IF($A3368="","",COUNTIFS('Audit Versions'!$A$6:$A$605,$A3368,'Audit Versions'!$L$6:$L$605,"Active"))</f>
        <v/>
      </c>
      <c r="Q3368" s="15" t="n"/>
      <c r="R3368" s="26">
        <f>IF(OR($A3368="",$P3368=0),"",MOD(N($Q3368),$P3368)+1)</f>
        <v/>
      </c>
      <c r="S3368" s="15" t="n"/>
      <c r="T3368" s="25" t="n"/>
      <c r="U3368" s="26">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Builder'!$B$12="",N($S3368)&lt;='Assignment Builder'!$B$12)))</f>
        <v/>
      </c>
      <c r="V3368" s="23" t="n"/>
    </row>
    <row r="3369">
      <c r="A3369" s="23" t="n"/>
      <c r="B3369" s="23" t="n"/>
      <c r="C3369" s="24" t="n"/>
      <c r="D3369" s="15" t="n"/>
      <c r="E3369" s="23" t="n"/>
      <c r="F3369" s="15" t="n"/>
      <c r="G3369" s="23" t="n"/>
      <c r="H3369" s="25" t="n"/>
      <c r="I3369" s="15" t="n"/>
      <c r="J3369" s="26">
        <f>IF($A3369="","",LEN($C3369)-LEN(SUBSTITUTE($C3369,",",""))+1)</f>
        <v/>
      </c>
      <c r="K3369" s="26">
        <f>IF($A3369="","",SUMPRODUCT(--ISNUMBER(SEARCH('Category Dictionary'!$D$5:$D$135&amp;"",$C3369)),--('Category Dictionary'!$D$5:$D$135&lt;&gt;"")))</f>
        <v/>
      </c>
      <c r="L3369" s="27">
        <f>IF($A3369="","",TRIM(IF(ISERROR(FIND(",",$C3369)),$C3369,LEFT($C3369,FIND(",",$C3369)-1))))</f>
        <v/>
      </c>
      <c r="M3369" s="28">
        <f>IF($H3369="","",DATE(YEAR($H3369),MONTH($H3369),1))</f>
        <v/>
      </c>
      <c r="N3369" s="26">
        <f>IF($H3369="","",TODAY()-$H3369)</f>
        <v/>
      </c>
      <c r="O3369" s="15" t="n"/>
      <c r="P3369" s="26">
        <f>IF($A3369="","",COUNTIFS('Audit Versions'!$A$6:$A$605,$A3369,'Audit Versions'!$L$6:$L$605,"Active"))</f>
        <v/>
      </c>
      <c r="Q3369" s="15" t="n"/>
      <c r="R3369" s="26">
        <f>IF(OR($A3369="",$P3369=0),"",MOD(N($Q3369),$P3369)+1)</f>
        <v/>
      </c>
      <c r="S3369" s="15" t="n"/>
      <c r="T3369" s="25" t="n"/>
      <c r="U3369" s="26">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Builder'!$B$12="",N($S3369)&lt;='Assignment Builder'!$B$12)))</f>
        <v/>
      </c>
      <c r="V3369" s="23" t="n"/>
    </row>
    <row r="3370">
      <c r="A3370" s="23" t="n"/>
      <c r="B3370" s="23" t="n"/>
      <c r="C3370" s="24" t="n"/>
      <c r="D3370" s="15" t="n"/>
      <c r="E3370" s="23" t="n"/>
      <c r="F3370" s="15" t="n"/>
      <c r="G3370" s="23" t="n"/>
      <c r="H3370" s="25" t="n"/>
      <c r="I3370" s="15" t="n"/>
      <c r="J3370" s="26">
        <f>IF($A3370="","",LEN($C3370)-LEN(SUBSTITUTE($C3370,",",""))+1)</f>
        <v/>
      </c>
      <c r="K3370" s="26">
        <f>IF($A3370="","",SUMPRODUCT(--ISNUMBER(SEARCH('Category Dictionary'!$D$5:$D$135&amp;"",$C3370)),--('Category Dictionary'!$D$5:$D$135&lt;&gt;"")))</f>
        <v/>
      </c>
      <c r="L3370" s="27">
        <f>IF($A3370="","",TRIM(IF(ISERROR(FIND(",",$C3370)),$C3370,LEFT($C3370,FIND(",",$C3370)-1))))</f>
        <v/>
      </c>
      <c r="M3370" s="28">
        <f>IF($H3370="","",DATE(YEAR($H3370),MONTH($H3370),1))</f>
        <v/>
      </c>
      <c r="N3370" s="26">
        <f>IF($H3370="","",TODAY()-$H3370)</f>
        <v/>
      </c>
      <c r="O3370" s="15" t="n"/>
      <c r="P3370" s="26">
        <f>IF($A3370="","",COUNTIFS('Audit Versions'!$A$6:$A$605,$A3370,'Audit Versions'!$L$6:$L$605,"Active"))</f>
        <v/>
      </c>
      <c r="Q3370" s="15" t="n"/>
      <c r="R3370" s="26">
        <f>IF(OR($A3370="",$P3370=0),"",MOD(N($Q3370),$P3370)+1)</f>
        <v/>
      </c>
      <c r="S3370" s="15" t="n"/>
      <c r="T3370" s="25" t="n"/>
      <c r="U3370" s="26">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Builder'!$B$12="",N($S3370)&lt;='Assignment Builder'!$B$12)))</f>
        <v/>
      </c>
      <c r="V3370" s="23" t="n"/>
    </row>
    <row r="3371">
      <c r="A3371" s="23" t="n"/>
      <c r="B3371" s="23" t="n"/>
      <c r="C3371" s="24" t="n"/>
      <c r="D3371" s="15" t="n"/>
      <c r="E3371" s="23" t="n"/>
      <c r="F3371" s="15" t="n"/>
      <c r="G3371" s="23" t="n"/>
      <c r="H3371" s="25" t="n"/>
      <c r="I3371" s="15" t="n"/>
      <c r="J3371" s="26">
        <f>IF($A3371="","",LEN($C3371)-LEN(SUBSTITUTE($C3371,",",""))+1)</f>
        <v/>
      </c>
      <c r="K3371" s="26">
        <f>IF($A3371="","",SUMPRODUCT(--ISNUMBER(SEARCH('Category Dictionary'!$D$5:$D$135&amp;"",$C3371)),--('Category Dictionary'!$D$5:$D$135&lt;&gt;"")))</f>
        <v/>
      </c>
      <c r="L3371" s="27">
        <f>IF($A3371="","",TRIM(IF(ISERROR(FIND(",",$C3371)),$C3371,LEFT($C3371,FIND(",",$C3371)-1))))</f>
        <v/>
      </c>
      <c r="M3371" s="28">
        <f>IF($H3371="","",DATE(YEAR($H3371),MONTH($H3371),1))</f>
        <v/>
      </c>
      <c r="N3371" s="26">
        <f>IF($H3371="","",TODAY()-$H3371)</f>
        <v/>
      </c>
      <c r="O3371" s="15" t="n"/>
      <c r="P3371" s="26">
        <f>IF($A3371="","",COUNTIFS('Audit Versions'!$A$6:$A$605,$A3371,'Audit Versions'!$L$6:$L$605,"Active"))</f>
        <v/>
      </c>
      <c r="Q3371" s="15" t="n"/>
      <c r="R3371" s="26">
        <f>IF(OR($A3371="",$P3371=0),"",MOD(N($Q3371),$P3371)+1)</f>
        <v/>
      </c>
      <c r="S3371" s="15" t="n"/>
      <c r="T3371" s="25" t="n"/>
      <c r="U3371" s="26">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Builder'!$B$12="",N($S3371)&lt;='Assignment Builder'!$B$12)))</f>
        <v/>
      </c>
      <c r="V3371" s="23" t="n"/>
    </row>
    <row r="3372">
      <c r="A3372" s="23" t="n"/>
      <c r="B3372" s="23" t="n"/>
      <c r="C3372" s="24" t="n"/>
      <c r="D3372" s="15" t="n"/>
      <c r="E3372" s="23" t="n"/>
      <c r="F3372" s="15" t="n"/>
      <c r="G3372" s="23" t="n"/>
      <c r="H3372" s="25" t="n"/>
      <c r="I3372" s="15" t="n"/>
      <c r="J3372" s="26">
        <f>IF($A3372="","",LEN($C3372)-LEN(SUBSTITUTE($C3372,",",""))+1)</f>
        <v/>
      </c>
      <c r="K3372" s="26">
        <f>IF($A3372="","",SUMPRODUCT(--ISNUMBER(SEARCH('Category Dictionary'!$D$5:$D$135&amp;"",$C3372)),--('Category Dictionary'!$D$5:$D$135&lt;&gt;"")))</f>
        <v/>
      </c>
      <c r="L3372" s="27">
        <f>IF($A3372="","",TRIM(IF(ISERROR(FIND(",",$C3372)),$C3372,LEFT($C3372,FIND(",",$C3372)-1))))</f>
        <v/>
      </c>
      <c r="M3372" s="28">
        <f>IF($H3372="","",DATE(YEAR($H3372),MONTH($H3372),1))</f>
        <v/>
      </c>
      <c r="N3372" s="26">
        <f>IF($H3372="","",TODAY()-$H3372)</f>
        <v/>
      </c>
      <c r="O3372" s="15" t="n"/>
      <c r="P3372" s="26">
        <f>IF($A3372="","",COUNTIFS('Audit Versions'!$A$6:$A$605,$A3372,'Audit Versions'!$L$6:$L$605,"Active"))</f>
        <v/>
      </c>
      <c r="Q3372" s="15" t="n"/>
      <c r="R3372" s="26">
        <f>IF(OR($A3372="",$P3372=0),"",MOD(N($Q3372),$P3372)+1)</f>
        <v/>
      </c>
      <c r="S3372" s="15" t="n"/>
      <c r="T3372" s="25" t="n"/>
      <c r="U3372" s="26">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Builder'!$B$12="",N($S3372)&lt;='Assignment Builder'!$B$12)))</f>
        <v/>
      </c>
      <c r="V3372" s="23" t="n"/>
    </row>
    <row r="3373">
      <c r="A3373" s="23" t="n"/>
      <c r="B3373" s="23" t="n"/>
      <c r="C3373" s="24" t="n"/>
      <c r="D3373" s="15" t="n"/>
      <c r="E3373" s="23" t="n"/>
      <c r="F3373" s="15" t="n"/>
      <c r="G3373" s="23" t="n"/>
      <c r="H3373" s="25" t="n"/>
      <c r="I3373" s="15" t="n"/>
      <c r="J3373" s="26">
        <f>IF($A3373="","",LEN($C3373)-LEN(SUBSTITUTE($C3373,",",""))+1)</f>
        <v/>
      </c>
      <c r="K3373" s="26">
        <f>IF($A3373="","",SUMPRODUCT(--ISNUMBER(SEARCH('Category Dictionary'!$D$5:$D$135&amp;"",$C3373)),--('Category Dictionary'!$D$5:$D$135&lt;&gt;"")))</f>
        <v/>
      </c>
      <c r="L3373" s="27">
        <f>IF($A3373="","",TRIM(IF(ISERROR(FIND(",",$C3373)),$C3373,LEFT($C3373,FIND(",",$C3373)-1))))</f>
        <v/>
      </c>
      <c r="M3373" s="28">
        <f>IF($H3373="","",DATE(YEAR($H3373),MONTH($H3373),1))</f>
        <v/>
      </c>
      <c r="N3373" s="26">
        <f>IF($H3373="","",TODAY()-$H3373)</f>
        <v/>
      </c>
      <c r="O3373" s="15" t="n"/>
      <c r="P3373" s="26">
        <f>IF($A3373="","",COUNTIFS('Audit Versions'!$A$6:$A$605,$A3373,'Audit Versions'!$L$6:$L$605,"Active"))</f>
        <v/>
      </c>
      <c r="Q3373" s="15" t="n"/>
      <c r="R3373" s="26">
        <f>IF(OR($A3373="",$P3373=0),"",MOD(N($Q3373),$P3373)+1)</f>
        <v/>
      </c>
      <c r="S3373" s="15" t="n"/>
      <c r="T3373" s="25" t="n"/>
      <c r="U3373" s="26">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Builder'!$B$12="",N($S3373)&lt;='Assignment Builder'!$B$12)))</f>
        <v/>
      </c>
      <c r="V3373" s="23" t="n"/>
    </row>
    <row r="3374">
      <c r="A3374" s="23" t="n"/>
      <c r="B3374" s="23" t="n"/>
      <c r="C3374" s="24" t="n"/>
      <c r="D3374" s="15" t="n"/>
      <c r="E3374" s="23" t="n"/>
      <c r="F3374" s="15" t="n"/>
      <c r="G3374" s="23" t="n"/>
      <c r="H3374" s="25" t="n"/>
      <c r="I3374" s="15" t="n"/>
      <c r="J3374" s="26">
        <f>IF($A3374="","",LEN($C3374)-LEN(SUBSTITUTE($C3374,",",""))+1)</f>
        <v/>
      </c>
      <c r="K3374" s="26">
        <f>IF($A3374="","",SUMPRODUCT(--ISNUMBER(SEARCH('Category Dictionary'!$D$5:$D$135&amp;"",$C3374)),--('Category Dictionary'!$D$5:$D$135&lt;&gt;"")))</f>
        <v/>
      </c>
      <c r="L3374" s="27">
        <f>IF($A3374="","",TRIM(IF(ISERROR(FIND(",",$C3374)),$C3374,LEFT($C3374,FIND(",",$C3374)-1))))</f>
        <v/>
      </c>
      <c r="M3374" s="28">
        <f>IF($H3374="","",DATE(YEAR($H3374),MONTH($H3374),1))</f>
        <v/>
      </c>
      <c r="N3374" s="26">
        <f>IF($H3374="","",TODAY()-$H3374)</f>
        <v/>
      </c>
      <c r="O3374" s="15" t="n"/>
      <c r="P3374" s="26">
        <f>IF($A3374="","",COUNTIFS('Audit Versions'!$A$6:$A$605,$A3374,'Audit Versions'!$L$6:$L$605,"Active"))</f>
        <v/>
      </c>
      <c r="Q3374" s="15" t="n"/>
      <c r="R3374" s="26">
        <f>IF(OR($A3374="",$P3374=0),"",MOD(N($Q3374),$P3374)+1)</f>
        <v/>
      </c>
      <c r="S3374" s="15" t="n"/>
      <c r="T3374" s="25" t="n"/>
      <c r="U3374" s="26">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Builder'!$B$12="",N($S3374)&lt;='Assignment Builder'!$B$12)))</f>
        <v/>
      </c>
      <c r="V3374" s="23" t="n"/>
    </row>
    <row r="3375">
      <c r="A3375" s="23" t="n"/>
      <c r="B3375" s="23" t="n"/>
      <c r="C3375" s="24" t="n"/>
      <c r="D3375" s="15" t="n"/>
      <c r="E3375" s="23" t="n"/>
      <c r="F3375" s="15" t="n"/>
      <c r="G3375" s="23" t="n"/>
      <c r="H3375" s="25" t="n"/>
      <c r="I3375" s="15" t="n"/>
      <c r="J3375" s="26">
        <f>IF($A3375="","",LEN($C3375)-LEN(SUBSTITUTE($C3375,",",""))+1)</f>
        <v/>
      </c>
      <c r="K3375" s="26">
        <f>IF($A3375="","",SUMPRODUCT(--ISNUMBER(SEARCH('Category Dictionary'!$D$5:$D$135&amp;"",$C3375)),--('Category Dictionary'!$D$5:$D$135&lt;&gt;"")))</f>
        <v/>
      </c>
      <c r="L3375" s="27">
        <f>IF($A3375="","",TRIM(IF(ISERROR(FIND(",",$C3375)),$C3375,LEFT($C3375,FIND(",",$C3375)-1))))</f>
        <v/>
      </c>
      <c r="M3375" s="28">
        <f>IF($H3375="","",DATE(YEAR($H3375),MONTH($H3375),1))</f>
        <v/>
      </c>
      <c r="N3375" s="26">
        <f>IF($H3375="","",TODAY()-$H3375)</f>
        <v/>
      </c>
      <c r="O3375" s="15" t="n"/>
      <c r="P3375" s="26">
        <f>IF($A3375="","",COUNTIFS('Audit Versions'!$A$6:$A$605,$A3375,'Audit Versions'!$L$6:$L$605,"Active"))</f>
        <v/>
      </c>
      <c r="Q3375" s="15" t="n"/>
      <c r="R3375" s="26">
        <f>IF(OR($A3375="",$P3375=0),"",MOD(N($Q3375),$P3375)+1)</f>
        <v/>
      </c>
      <c r="S3375" s="15" t="n"/>
      <c r="T3375" s="25" t="n"/>
      <c r="U3375" s="26">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Builder'!$B$12="",N($S3375)&lt;='Assignment Builder'!$B$12)))</f>
        <v/>
      </c>
      <c r="V3375" s="23" t="n"/>
    </row>
    <row r="3376">
      <c r="A3376" s="23" t="n"/>
      <c r="B3376" s="23" t="n"/>
      <c r="C3376" s="24" t="n"/>
      <c r="D3376" s="15" t="n"/>
      <c r="E3376" s="23" t="n"/>
      <c r="F3376" s="15" t="n"/>
      <c r="G3376" s="23" t="n"/>
      <c r="H3376" s="25" t="n"/>
      <c r="I3376" s="15" t="n"/>
      <c r="J3376" s="26">
        <f>IF($A3376="","",LEN($C3376)-LEN(SUBSTITUTE($C3376,",",""))+1)</f>
        <v/>
      </c>
      <c r="K3376" s="26">
        <f>IF($A3376="","",SUMPRODUCT(--ISNUMBER(SEARCH('Category Dictionary'!$D$5:$D$135&amp;"",$C3376)),--('Category Dictionary'!$D$5:$D$135&lt;&gt;"")))</f>
        <v/>
      </c>
      <c r="L3376" s="27">
        <f>IF($A3376="","",TRIM(IF(ISERROR(FIND(",",$C3376)),$C3376,LEFT($C3376,FIND(",",$C3376)-1))))</f>
        <v/>
      </c>
      <c r="M3376" s="28">
        <f>IF($H3376="","",DATE(YEAR($H3376),MONTH($H3376),1))</f>
        <v/>
      </c>
      <c r="N3376" s="26">
        <f>IF($H3376="","",TODAY()-$H3376)</f>
        <v/>
      </c>
      <c r="O3376" s="15" t="n"/>
      <c r="P3376" s="26">
        <f>IF($A3376="","",COUNTIFS('Audit Versions'!$A$6:$A$605,$A3376,'Audit Versions'!$L$6:$L$605,"Active"))</f>
        <v/>
      </c>
      <c r="Q3376" s="15" t="n"/>
      <c r="R3376" s="26">
        <f>IF(OR($A3376="",$P3376=0),"",MOD(N($Q3376),$P3376)+1)</f>
        <v/>
      </c>
      <c r="S3376" s="15" t="n"/>
      <c r="T3376" s="25" t="n"/>
      <c r="U3376" s="26">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Builder'!$B$12="",N($S3376)&lt;='Assignment Builder'!$B$12)))</f>
        <v/>
      </c>
      <c r="V3376" s="23" t="n"/>
    </row>
    <row r="3377">
      <c r="A3377" s="23" t="n"/>
      <c r="B3377" s="23" t="n"/>
      <c r="C3377" s="24" t="n"/>
      <c r="D3377" s="15" t="n"/>
      <c r="E3377" s="23" t="n"/>
      <c r="F3377" s="15" t="n"/>
      <c r="G3377" s="23" t="n"/>
      <c r="H3377" s="25" t="n"/>
      <c r="I3377" s="15" t="n"/>
      <c r="J3377" s="26">
        <f>IF($A3377="","",LEN($C3377)-LEN(SUBSTITUTE($C3377,",",""))+1)</f>
        <v/>
      </c>
      <c r="K3377" s="26">
        <f>IF($A3377="","",SUMPRODUCT(--ISNUMBER(SEARCH('Category Dictionary'!$D$5:$D$135&amp;"",$C3377)),--('Category Dictionary'!$D$5:$D$135&lt;&gt;"")))</f>
        <v/>
      </c>
      <c r="L3377" s="27">
        <f>IF($A3377="","",TRIM(IF(ISERROR(FIND(",",$C3377)),$C3377,LEFT($C3377,FIND(",",$C3377)-1))))</f>
        <v/>
      </c>
      <c r="M3377" s="28">
        <f>IF($H3377="","",DATE(YEAR($H3377),MONTH($H3377),1))</f>
        <v/>
      </c>
      <c r="N3377" s="26">
        <f>IF($H3377="","",TODAY()-$H3377)</f>
        <v/>
      </c>
      <c r="O3377" s="15" t="n"/>
      <c r="P3377" s="26">
        <f>IF($A3377="","",COUNTIFS('Audit Versions'!$A$6:$A$605,$A3377,'Audit Versions'!$L$6:$L$605,"Active"))</f>
        <v/>
      </c>
      <c r="Q3377" s="15" t="n"/>
      <c r="R3377" s="26">
        <f>IF(OR($A3377="",$P3377=0),"",MOD(N($Q3377),$P3377)+1)</f>
        <v/>
      </c>
      <c r="S3377" s="15" t="n"/>
      <c r="T3377" s="25" t="n"/>
      <c r="U3377" s="26">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Builder'!$B$12="",N($S3377)&lt;='Assignment Builder'!$B$12)))</f>
        <v/>
      </c>
      <c r="V3377" s="23" t="n"/>
    </row>
    <row r="3378">
      <c r="A3378" s="23" t="n"/>
      <c r="B3378" s="23" t="n"/>
      <c r="C3378" s="24" t="n"/>
      <c r="D3378" s="15" t="n"/>
      <c r="E3378" s="23" t="n"/>
      <c r="F3378" s="15" t="n"/>
      <c r="G3378" s="23" t="n"/>
      <c r="H3378" s="25" t="n"/>
      <c r="I3378" s="15" t="n"/>
      <c r="J3378" s="26">
        <f>IF($A3378="","",LEN($C3378)-LEN(SUBSTITUTE($C3378,",",""))+1)</f>
        <v/>
      </c>
      <c r="K3378" s="26">
        <f>IF($A3378="","",SUMPRODUCT(--ISNUMBER(SEARCH('Category Dictionary'!$D$5:$D$135&amp;"",$C3378)),--('Category Dictionary'!$D$5:$D$135&lt;&gt;"")))</f>
        <v/>
      </c>
      <c r="L3378" s="27">
        <f>IF($A3378="","",TRIM(IF(ISERROR(FIND(",",$C3378)),$C3378,LEFT($C3378,FIND(",",$C3378)-1))))</f>
        <v/>
      </c>
      <c r="M3378" s="28">
        <f>IF($H3378="","",DATE(YEAR($H3378),MONTH($H3378),1))</f>
        <v/>
      </c>
      <c r="N3378" s="26">
        <f>IF($H3378="","",TODAY()-$H3378)</f>
        <v/>
      </c>
      <c r="O3378" s="15" t="n"/>
      <c r="P3378" s="26">
        <f>IF($A3378="","",COUNTIFS('Audit Versions'!$A$6:$A$605,$A3378,'Audit Versions'!$L$6:$L$605,"Active"))</f>
        <v/>
      </c>
      <c r="Q3378" s="15" t="n"/>
      <c r="R3378" s="26">
        <f>IF(OR($A3378="",$P3378=0),"",MOD(N($Q3378),$P3378)+1)</f>
        <v/>
      </c>
      <c r="S3378" s="15" t="n"/>
      <c r="T3378" s="25" t="n"/>
      <c r="U3378" s="26">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Builder'!$B$12="",N($S3378)&lt;='Assignment Builder'!$B$12)))</f>
        <v/>
      </c>
      <c r="V3378" s="23" t="n"/>
    </row>
    <row r="3379">
      <c r="A3379" s="23" t="n"/>
      <c r="B3379" s="23" t="n"/>
      <c r="C3379" s="24" t="n"/>
      <c r="D3379" s="15" t="n"/>
      <c r="E3379" s="23" t="n"/>
      <c r="F3379" s="15" t="n"/>
      <c r="G3379" s="23" t="n"/>
      <c r="H3379" s="25" t="n"/>
      <c r="I3379" s="15" t="n"/>
      <c r="J3379" s="26">
        <f>IF($A3379="","",LEN($C3379)-LEN(SUBSTITUTE($C3379,",",""))+1)</f>
        <v/>
      </c>
      <c r="K3379" s="26">
        <f>IF($A3379="","",SUMPRODUCT(--ISNUMBER(SEARCH('Category Dictionary'!$D$5:$D$135&amp;"",$C3379)),--('Category Dictionary'!$D$5:$D$135&lt;&gt;"")))</f>
        <v/>
      </c>
      <c r="L3379" s="27">
        <f>IF($A3379="","",TRIM(IF(ISERROR(FIND(",",$C3379)),$C3379,LEFT($C3379,FIND(",",$C3379)-1))))</f>
        <v/>
      </c>
      <c r="M3379" s="28">
        <f>IF($H3379="","",DATE(YEAR($H3379),MONTH($H3379),1))</f>
        <v/>
      </c>
      <c r="N3379" s="26">
        <f>IF($H3379="","",TODAY()-$H3379)</f>
        <v/>
      </c>
      <c r="O3379" s="15" t="n"/>
      <c r="P3379" s="26">
        <f>IF($A3379="","",COUNTIFS('Audit Versions'!$A$6:$A$605,$A3379,'Audit Versions'!$L$6:$L$605,"Active"))</f>
        <v/>
      </c>
      <c r="Q3379" s="15" t="n"/>
      <c r="R3379" s="26">
        <f>IF(OR($A3379="",$P3379=0),"",MOD(N($Q3379),$P3379)+1)</f>
        <v/>
      </c>
      <c r="S3379" s="15" t="n"/>
      <c r="T3379" s="25" t="n"/>
      <c r="U3379" s="26">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Builder'!$B$12="",N($S3379)&lt;='Assignment Builder'!$B$12)))</f>
        <v/>
      </c>
      <c r="V3379" s="23" t="n"/>
    </row>
    <row r="3380">
      <c r="A3380" s="23" t="n"/>
      <c r="B3380" s="23" t="n"/>
      <c r="C3380" s="24" t="n"/>
      <c r="D3380" s="15" t="n"/>
      <c r="E3380" s="23" t="n"/>
      <c r="F3380" s="15" t="n"/>
      <c r="G3380" s="23" t="n"/>
      <c r="H3380" s="25" t="n"/>
      <c r="I3380" s="15" t="n"/>
      <c r="J3380" s="26">
        <f>IF($A3380="","",LEN($C3380)-LEN(SUBSTITUTE($C3380,",",""))+1)</f>
        <v/>
      </c>
      <c r="K3380" s="26">
        <f>IF($A3380="","",SUMPRODUCT(--ISNUMBER(SEARCH('Category Dictionary'!$D$5:$D$135&amp;"",$C3380)),--('Category Dictionary'!$D$5:$D$135&lt;&gt;"")))</f>
        <v/>
      </c>
      <c r="L3380" s="27">
        <f>IF($A3380="","",TRIM(IF(ISERROR(FIND(",",$C3380)),$C3380,LEFT($C3380,FIND(",",$C3380)-1))))</f>
        <v/>
      </c>
      <c r="M3380" s="28">
        <f>IF($H3380="","",DATE(YEAR($H3380),MONTH($H3380),1))</f>
        <v/>
      </c>
      <c r="N3380" s="26">
        <f>IF($H3380="","",TODAY()-$H3380)</f>
        <v/>
      </c>
      <c r="O3380" s="15" t="n"/>
      <c r="P3380" s="26">
        <f>IF($A3380="","",COUNTIFS('Audit Versions'!$A$6:$A$605,$A3380,'Audit Versions'!$L$6:$L$605,"Active"))</f>
        <v/>
      </c>
      <c r="Q3380" s="15" t="n"/>
      <c r="R3380" s="26">
        <f>IF(OR($A3380="",$P3380=0),"",MOD(N($Q3380),$P3380)+1)</f>
        <v/>
      </c>
      <c r="S3380" s="15" t="n"/>
      <c r="T3380" s="25" t="n"/>
      <c r="U3380" s="26">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Builder'!$B$12="",N($S3380)&lt;='Assignment Builder'!$B$12)))</f>
        <v/>
      </c>
      <c r="V3380" s="23" t="n"/>
    </row>
    <row r="3381">
      <c r="A3381" s="23" t="n"/>
      <c r="B3381" s="23" t="n"/>
      <c r="C3381" s="24" t="n"/>
      <c r="D3381" s="15" t="n"/>
      <c r="E3381" s="23" t="n"/>
      <c r="F3381" s="15" t="n"/>
      <c r="G3381" s="23" t="n"/>
      <c r="H3381" s="25" t="n"/>
      <c r="I3381" s="15" t="n"/>
      <c r="J3381" s="26">
        <f>IF($A3381="","",LEN($C3381)-LEN(SUBSTITUTE($C3381,",",""))+1)</f>
        <v/>
      </c>
      <c r="K3381" s="26">
        <f>IF($A3381="","",SUMPRODUCT(--ISNUMBER(SEARCH('Category Dictionary'!$D$5:$D$135&amp;"",$C3381)),--('Category Dictionary'!$D$5:$D$135&lt;&gt;"")))</f>
        <v/>
      </c>
      <c r="L3381" s="27">
        <f>IF($A3381="","",TRIM(IF(ISERROR(FIND(",",$C3381)),$C3381,LEFT($C3381,FIND(",",$C3381)-1))))</f>
        <v/>
      </c>
      <c r="M3381" s="28">
        <f>IF($H3381="","",DATE(YEAR($H3381),MONTH($H3381),1))</f>
        <v/>
      </c>
      <c r="N3381" s="26">
        <f>IF($H3381="","",TODAY()-$H3381)</f>
        <v/>
      </c>
      <c r="O3381" s="15" t="n"/>
      <c r="P3381" s="26">
        <f>IF($A3381="","",COUNTIFS('Audit Versions'!$A$6:$A$605,$A3381,'Audit Versions'!$L$6:$L$605,"Active"))</f>
        <v/>
      </c>
      <c r="Q3381" s="15" t="n"/>
      <c r="R3381" s="26">
        <f>IF(OR($A3381="",$P3381=0),"",MOD(N($Q3381),$P3381)+1)</f>
        <v/>
      </c>
      <c r="S3381" s="15" t="n"/>
      <c r="T3381" s="25" t="n"/>
      <c r="U3381" s="26">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Builder'!$B$12="",N($S3381)&lt;='Assignment Builder'!$B$12)))</f>
        <v/>
      </c>
      <c r="V3381" s="23" t="n"/>
    </row>
    <row r="3382">
      <c r="A3382" s="23" t="n"/>
      <c r="B3382" s="23" t="n"/>
      <c r="C3382" s="24" t="n"/>
      <c r="D3382" s="15" t="n"/>
      <c r="E3382" s="23" t="n"/>
      <c r="F3382" s="15" t="n"/>
      <c r="G3382" s="23" t="n"/>
      <c r="H3382" s="25" t="n"/>
      <c r="I3382" s="15" t="n"/>
      <c r="J3382" s="26">
        <f>IF($A3382="","",LEN($C3382)-LEN(SUBSTITUTE($C3382,",",""))+1)</f>
        <v/>
      </c>
      <c r="K3382" s="26">
        <f>IF($A3382="","",SUMPRODUCT(--ISNUMBER(SEARCH('Category Dictionary'!$D$5:$D$135&amp;"",$C3382)),--('Category Dictionary'!$D$5:$D$135&lt;&gt;"")))</f>
        <v/>
      </c>
      <c r="L3382" s="27">
        <f>IF($A3382="","",TRIM(IF(ISERROR(FIND(",",$C3382)),$C3382,LEFT($C3382,FIND(",",$C3382)-1))))</f>
        <v/>
      </c>
      <c r="M3382" s="28">
        <f>IF($H3382="","",DATE(YEAR($H3382),MONTH($H3382),1))</f>
        <v/>
      </c>
      <c r="N3382" s="26">
        <f>IF($H3382="","",TODAY()-$H3382)</f>
        <v/>
      </c>
      <c r="O3382" s="15" t="n"/>
      <c r="P3382" s="26">
        <f>IF($A3382="","",COUNTIFS('Audit Versions'!$A$6:$A$605,$A3382,'Audit Versions'!$L$6:$L$605,"Active"))</f>
        <v/>
      </c>
      <c r="Q3382" s="15" t="n"/>
      <c r="R3382" s="26">
        <f>IF(OR($A3382="",$P3382=0),"",MOD(N($Q3382),$P3382)+1)</f>
        <v/>
      </c>
      <c r="S3382" s="15" t="n"/>
      <c r="T3382" s="25" t="n"/>
      <c r="U3382" s="26">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Builder'!$B$12="",N($S3382)&lt;='Assignment Builder'!$B$12)))</f>
        <v/>
      </c>
      <c r="V3382" s="23" t="n"/>
    </row>
    <row r="3383">
      <c r="A3383" s="23" t="n"/>
      <c r="B3383" s="23" t="n"/>
      <c r="C3383" s="24" t="n"/>
      <c r="D3383" s="15" t="n"/>
      <c r="E3383" s="23" t="n"/>
      <c r="F3383" s="15" t="n"/>
      <c r="G3383" s="23" t="n"/>
      <c r="H3383" s="25" t="n"/>
      <c r="I3383" s="15" t="n"/>
      <c r="J3383" s="26">
        <f>IF($A3383="","",LEN($C3383)-LEN(SUBSTITUTE($C3383,",",""))+1)</f>
        <v/>
      </c>
      <c r="K3383" s="26">
        <f>IF($A3383="","",SUMPRODUCT(--ISNUMBER(SEARCH('Category Dictionary'!$D$5:$D$135&amp;"",$C3383)),--('Category Dictionary'!$D$5:$D$135&lt;&gt;"")))</f>
        <v/>
      </c>
      <c r="L3383" s="27">
        <f>IF($A3383="","",TRIM(IF(ISERROR(FIND(",",$C3383)),$C3383,LEFT($C3383,FIND(",",$C3383)-1))))</f>
        <v/>
      </c>
      <c r="M3383" s="28">
        <f>IF($H3383="","",DATE(YEAR($H3383),MONTH($H3383),1))</f>
        <v/>
      </c>
      <c r="N3383" s="26">
        <f>IF($H3383="","",TODAY()-$H3383)</f>
        <v/>
      </c>
      <c r="O3383" s="15" t="n"/>
      <c r="P3383" s="26">
        <f>IF($A3383="","",COUNTIFS('Audit Versions'!$A$6:$A$605,$A3383,'Audit Versions'!$L$6:$L$605,"Active"))</f>
        <v/>
      </c>
      <c r="Q3383" s="15" t="n"/>
      <c r="R3383" s="26">
        <f>IF(OR($A3383="",$P3383=0),"",MOD(N($Q3383),$P3383)+1)</f>
        <v/>
      </c>
      <c r="S3383" s="15" t="n"/>
      <c r="T3383" s="25" t="n"/>
      <c r="U3383" s="26">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Builder'!$B$12="",N($S3383)&lt;='Assignment Builder'!$B$12)))</f>
        <v/>
      </c>
      <c r="V3383" s="23" t="n"/>
    </row>
    <row r="3384">
      <c r="A3384" s="23" t="n"/>
      <c r="B3384" s="23" t="n"/>
      <c r="C3384" s="24" t="n"/>
      <c r="D3384" s="15" t="n"/>
      <c r="E3384" s="23" t="n"/>
      <c r="F3384" s="15" t="n"/>
      <c r="G3384" s="23" t="n"/>
      <c r="H3384" s="25" t="n"/>
      <c r="I3384" s="15" t="n"/>
      <c r="J3384" s="26">
        <f>IF($A3384="","",LEN($C3384)-LEN(SUBSTITUTE($C3384,",",""))+1)</f>
        <v/>
      </c>
      <c r="K3384" s="26">
        <f>IF($A3384="","",SUMPRODUCT(--ISNUMBER(SEARCH('Category Dictionary'!$D$5:$D$135&amp;"",$C3384)),--('Category Dictionary'!$D$5:$D$135&lt;&gt;"")))</f>
        <v/>
      </c>
      <c r="L3384" s="27">
        <f>IF($A3384="","",TRIM(IF(ISERROR(FIND(",",$C3384)),$C3384,LEFT($C3384,FIND(",",$C3384)-1))))</f>
        <v/>
      </c>
      <c r="M3384" s="28">
        <f>IF($H3384="","",DATE(YEAR($H3384),MONTH($H3384),1))</f>
        <v/>
      </c>
      <c r="N3384" s="26">
        <f>IF($H3384="","",TODAY()-$H3384)</f>
        <v/>
      </c>
      <c r="O3384" s="15" t="n"/>
      <c r="P3384" s="26">
        <f>IF($A3384="","",COUNTIFS('Audit Versions'!$A$6:$A$605,$A3384,'Audit Versions'!$L$6:$L$605,"Active"))</f>
        <v/>
      </c>
      <c r="Q3384" s="15" t="n"/>
      <c r="R3384" s="26">
        <f>IF(OR($A3384="",$P3384=0),"",MOD(N($Q3384),$P3384)+1)</f>
        <v/>
      </c>
      <c r="S3384" s="15" t="n"/>
      <c r="T3384" s="25" t="n"/>
      <c r="U3384" s="26">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Builder'!$B$12="",N($S3384)&lt;='Assignment Builder'!$B$12)))</f>
        <v/>
      </c>
      <c r="V3384" s="23" t="n"/>
    </row>
    <row r="3385">
      <c r="A3385" s="23" t="n"/>
      <c r="B3385" s="23" t="n"/>
      <c r="C3385" s="24" t="n"/>
      <c r="D3385" s="15" t="n"/>
      <c r="E3385" s="23" t="n"/>
      <c r="F3385" s="15" t="n"/>
      <c r="G3385" s="23" t="n"/>
      <c r="H3385" s="25" t="n"/>
      <c r="I3385" s="15" t="n"/>
      <c r="J3385" s="26">
        <f>IF($A3385="","",LEN($C3385)-LEN(SUBSTITUTE($C3385,",",""))+1)</f>
        <v/>
      </c>
      <c r="K3385" s="26">
        <f>IF($A3385="","",SUMPRODUCT(--ISNUMBER(SEARCH('Category Dictionary'!$D$5:$D$135&amp;"",$C3385)),--('Category Dictionary'!$D$5:$D$135&lt;&gt;"")))</f>
        <v/>
      </c>
      <c r="L3385" s="27">
        <f>IF($A3385="","",TRIM(IF(ISERROR(FIND(",",$C3385)),$C3385,LEFT($C3385,FIND(",",$C3385)-1))))</f>
        <v/>
      </c>
      <c r="M3385" s="28">
        <f>IF($H3385="","",DATE(YEAR($H3385),MONTH($H3385),1))</f>
        <v/>
      </c>
      <c r="N3385" s="26">
        <f>IF($H3385="","",TODAY()-$H3385)</f>
        <v/>
      </c>
      <c r="O3385" s="15" t="n"/>
      <c r="P3385" s="26">
        <f>IF($A3385="","",COUNTIFS('Audit Versions'!$A$6:$A$605,$A3385,'Audit Versions'!$L$6:$L$605,"Active"))</f>
        <v/>
      </c>
      <c r="Q3385" s="15" t="n"/>
      <c r="R3385" s="26">
        <f>IF(OR($A3385="",$P3385=0),"",MOD(N($Q3385),$P3385)+1)</f>
        <v/>
      </c>
      <c r="S3385" s="15" t="n"/>
      <c r="T3385" s="25" t="n"/>
      <c r="U3385" s="26">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Builder'!$B$12="",N($S3385)&lt;='Assignment Builder'!$B$12)))</f>
        <v/>
      </c>
      <c r="V3385" s="23" t="n"/>
    </row>
    <row r="3386">
      <c r="A3386" s="23" t="n"/>
      <c r="B3386" s="23" t="n"/>
      <c r="C3386" s="24" t="n"/>
      <c r="D3386" s="15" t="n"/>
      <c r="E3386" s="23" t="n"/>
      <c r="F3386" s="15" t="n"/>
      <c r="G3386" s="23" t="n"/>
      <c r="H3386" s="25" t="n"/>
      <c r="I3386" s="15" t="n"/>
      <c r="J3386" s="26">
        <f>IF($A3386="","",LEN($C3386)-LEN(SUBSTITUTE($C3386,",",""))+1)</f>
        <v/>
      </c>
      <c r="K3386" s="26">
        <f>IF($A3386="","",SUMPRODUCT(--ISNUMBER(SEARCH('Category Dictionary'!$D$5:$D$135&amp;"",$C3386)),--('Category Dictionary'!$D$5:$D$135&lt;&gt;"")))</f>
        <v/>
      </c>
      <c r="L3386" s="27">
        <f>IF($A3386="","",TRIM(IF(ISERROR(FIND(",",$C3386)),$C3386,LEFT($C3386,FIND(",",$C3386)-1))))</f>
        <v/>
      </c>
      <c r="M3386" s="28">
        <f>IF($H3386="","",DATE(YEAR($H3386),MONTH($H3386),1))</f>
        <v/>
      </c>
      <c r="N3386" s="26">
        <f>IF($H3386="","",TODAY()-$H3386)</f>
        <v/>
      </c>
      <c r="O3386" s="15" t="n"/>
      <c r="P3386" s="26">
        <f>IF($A3386="","",COUNTIFS('Audit Versions'!$A$6:$A$605,$A3386,'Audit Versions'!$L$6:$L$605,"Active"))</f>
        <v/>
      </c>
      <c r="Q3386" s="15" t="n"/>
      <c r="R3386" s="26">
        <f>IF(OR($A3386="",$P3386=0),"",MOD(N($Q3386),$P3386)+1)</f>
        <v/>
      </c>
      <c r="S3386" s="15" t="n"/>
      <c r="T3386" s="25" t="n"/>
      <c r="U3386" s="26">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Builder'!$B$12="",N($S3386)&lt;='Assignment Builder'!$B$12)))</f>
        <v/>
      </c>
      <c r="V3386" s="23" t="n"/>
    </row>
    <row r="3387">
      <c r="A3387" s="23" t="n"/>
      <c r="B3387" s="23" t="n"/>
      <c r="C3387" s="24" t="n"/>
      <c r="D3387" s="15" t="n"/>
      <c r="E3387" s="23" t="n"/>
      <c r="F3387" s="15" t="n"/>
      <c r="G3387" s="23" t="n"/>
      <c r="H3387" s="25" t="n"/>
      <c r="I3387" s="15" t="n"/>
      <c r="J3387" s="26">
        <f>IF($A3387="","",LEN($C3387)-LEN(SUBSTITUTE($C3387,",",""))+1)</f>
        <v/>
      </c>
      <c r="K3387" s="26">
        <f>IF($A3387="","",SUMPRODUCT(--ISNUMBER(SEARCH('Category Dictionary'!$D$5:$D$135&amp;"",$C3387)),--('Category Dictionary'!$D$5:$D$135&lt;&gt;"")))</f>
        <v/>
      </c>
      <c r="L3387" s="27">
        <f>IF($A3387="","",TRIM(IF(ISERROR(FIND(",",$C3387)),$C3387,LEFT($C3387,FIND(",",$C3387)-1))))</f>
        <v/>
      </c>
      <c r="M3387" s="28">
        <f>IF($H3387="","",DATE(YEAR($H3387),MONTH($H3387),1))</f>
        <v/>
      </c>
      <c r="N3387" s="26">
        <f>IF($H3387="","",TODAY()-$H3387)</f>
        <v/>
      </c>
      <c r="O3387" s="15" t="n"/>
      <c r="P3387" s="26">
        <f>IF($A3387="","",COUNTIFS('Audit Versions'!$A$6:$A$605,$A3387,'Audit Versions'!$L$6:$L$605,"Active"))</f>
        <v/>
      </c>
      <c r="Q3387" s="15" t="n"/>
      <c r="R3387" s="26">
        <f>IF(OR($A3387="",$P3387=0),"",MOD(N($Q3387),$P3387)+1)</f>
        <v/>
      </c>
      <c r="S3387" s="15" t="n"/>
      <c r="T3387" s="25" t="n"/>
      <c r="U3387" s="26">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Builder'!$B$12="",N($S3387)&lt;='Assignment Builder'!$B$12)))</f>
        <v/>
      </c>
      <c r="V3387" s="23" t="n"/>
    </row>
    <row r="3388">
      <c r="A3388" s="23" t="n"/>
      <c r="B3388" s="23" t="n"/>
      <c r="C3388" s="24" t="n"/>
      <c r="D3388" s="15" t="n"/>
      <c r="E3388" s="23" t="n"/>
      <c r="F3388" s="15" t="n"/>
      <c r="G3388" s="23" t="n"/>
      <c r="H3388" s="25" t="n"/>
      <c r="I3388" s="15" t="n"/>
      <c r="J3388" s="26">
        <f>IF($A3388="","",LEN($C3388)-LEN(SUBSTITUTE($C3388,",",""))+1)</f>
        <v/>
      </c>
      <c r="K3388" s="26">
        <f>IF($A3388="","",SUMPRODUCT(--ISNUMBER(SEARCH('Category Dictionary'!$D$5:$D$135&amp;"",$C3388)),--('Category Dictionary'!$D$5:$D$135&lt;&gt;"")))</f>
        <v/>
      </c>
      <c r="L3388" s="27">
        <f>IF($A3388="","",TRIM(IF(ISERROR(FIND(",",$C3388)),$C3388,LEFT($C3388,FIND(",",$C3388)-1))))</f>
        <v/>
      </c>
      <c r="M3388" s="28">
        <f>IF($H3388="","",DATE(YEAR($H3388),MONTH($H3388),1))</f>
        <v/>
      </c>
      <c r="N3388" s="26">
        <f>IF($H3388="","",TODAY()-$H3388)</f>
        <v/>
      </c>
      <c r="O3388" s="15" t="n"/>
      <c r="P3388" s="26">
        <f>IF($A3388="","",COUNTIFS('Audit Versions'!$A$6:$A$605,$A3388,'Audit Versions'!$L$6:$L$605,"Active"))</f>
        <v/>
      </c>
      <c r="Q3388" s="15" t="n"/>
      <c r="R3388" s="26">
        <f>IF(OR($A3388="",$P3388=0),"",MOD(N($Q3388),$P3388)+1)</f>
        <v/>
      </c>
      <c r="S3388" s="15" t="n"/>
      <c r="T3388" s="25" t="n"/>
      <c r="U3388" s="26">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Builder'!$B$12="",N($S3388)&lt;='Assignment Builder'!$B$12)))</f>
        <v/>
      </c>
      <c r="V3388" s="23" t="n"/>
    </row>
    <row r="3389">
      <c r="A3389" s="23" t="n"/>
      <c r="B3389" s="23" t="n"/>
      <c r="C3389" s="24" t="n"/>
      <c r="D3389" s="15" t="n"/>
      <c r="E3389" s="23" t="n"/>
      <c r="F3389" s="15" t="n"/>
      <c r="G3389" s="23" t="n"/>
      <c r="H3389" s="25" t="n"/>
      <c r="I3389" s="15" t="n"/>
      <c r="J3389" s="26">
        <f>IF($A3389="","",LEN($C3389)-LEN(SUBSTITUTE($C3389,",",""))+1)</f>
        <v/>
      </c>
      <c r="K3389" s="26">
        <f>IF($A3389="","",SUMPRODUCT(--ISNUMBER(SEARCH('Category Dictionary'!$D$5:$D$135&amp;"",$C3389)),--('Category Dictionary'!$D$5:$D$135&lt;&gt;"")))</f>
        <v/>
      </c>
      <c r="L3389" s="27">
        <f>IF($A3389="","",TRIM(IF(ISERROR(FIND(",",$C3389)),$C3389,LEFT($C3389,FIND(",",$C3389)-1))))</f>
        <v/>
      </c>
      <c r="M3389" s="28">
        <f>IF($H3389="","",DATE(YEAR($H3389),MONTH($H3389),1))</f>
        <v/>
      </c>
      <c r="N3389" s="26">
        <f>IF($H3389="","",TODAY()-$H3389)</f>
        <v/>
      </c>
      <c r="O3389" s="15" t="n"/>
      <c r="P3389" s="26">
        <f>IF($A3389="","",COUNTIFS('Audit Versions'!$A$6:$A$605,$A3389,'Audit Versions'!$L$6:$L$605,"Active"))</f>
        <v/>
      </c>
      <c r="Q3389" s="15" t="n"/>
      <c r="R3389" s="26">
        <f>IF(OR($A3389="",$P3389=0),"",MOD(N($Q3389),$P3389)+1)</f>
        <v/>
      </c>
      <c r="S3389" s="15" t="n"/>
      <c r="T3389" s="25" t="n"/>
      <c r="U3389" s="26">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Builder'!$B$12="",N($S3389)&lt;='Assignment Builder'!$B$12)))</f>
        <v/>
      </c>
      <c r="V3389" s="23" t="n"/>
    </row>
    <row r="3390">
      <c r="A3390" s="23" t="n"/>
      <c r="B3390" s="23" t="n"/>
      <c r="C3390" s="24" t="n"/>
      <c r="D3390" s="15" t="n"/>
      <c r="E3390" s="23" t="n"/>
      <c r="F3390" s="15" t="n"/>
      <c r="G3390" s="23" t="n"/>
      <c r="H3390" s="25" t="n"/>
      <c r="I3390" s="15" t="n"/>
      <c r="J3390" s="26">
        <f>IF($A3390="","",LEN($C3390)-LEN(SUBSTITUTE($C3390,",",""))+1)</f>
        <v/>
      </c>
      <c r="K3390" s="26">
        <f>IF($A3390="","",SUMPRODUCT(--ISNUMBER(SEARCH('Category Dictionary'!$D$5:$D$135&amp;"",$C3390)),--('Category Dictionary'!$D$5:$D$135&lt;&gt;"")))</f>
        <v/>
      </c>
      <c r="L3390" s="27">
        <f>IF($A3390="","",TRIM(IF(ISERROR(FIND(",",$C3390)),$C3390,LEFT($C3390,FIND(",",$C3390)-1))))</f>
        <v/>
      </c>
      <c r="M3390" s="28">
        <f>IF($H3390="","",DATE(YEAR($H3390),MONTH($H3390),1))</f>
        <v/>
      </c>
      <c r="N3390" s="26">
        <f>IF($H3390="","",TODAY()-$H3390)</f>
        <v/>
      </c>
      <c r="O3390" s="15" t="n"/>
      <c r="P3390" s="26">
        <f>IF($A3390="","",COUNTIFS('Audit Versions'!$A$6:$A$605,$A3390,'Audit Versions'!$L$6:$L$605,"Active"))</f>
        <v/>
      </c>
      <c r="Q3390" s="15" t="n"/>
      <c r="R3390" s="26">
        <f>IF(OR($A3390="",$P3390=0),"",MOD(N($Q3390),$P3390)+1)</f>
        <v/>
      </c>
      <c r="S3390" s="15" t="n"/>
      <c r="T3390" s="25" t="n"/>
      <c r="U3390" s="26">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Builder'!$B$12="",N($S3390)&lt;='Assignment Builder'!$B$12)))</f>
        <v/>
      </c>
      <c r="V3390" s="23" t="n"/>
    </row>
    <row r="3391">
      <c r="A3391" s="23" t="n"/>
      <c r="B3391" s="23" t="n"/>
      <c r="C3391" s="24" t="n"/>
      <c r="D3391" s="15" t="n"/>
      <c r="E3391" s="23" t="n"/>
      <c r="F3391" s="15" t="n"/>
      <c r="G3391" s="23" t="n"/>
      <c r="H3391" s="25" t="n"/>
      <c r="I3391" s="15" t="n"/>
      <c r="J3391" s="26">
        <f>IF($A3391="","",LEN($C3391)-LEN(SUBSTITUTE($C3391,",",""))+1)</f>
        <v/>
      </c>
      <c r="K3391" s="26">
        <f>IF($A3391="","",SUMPRODUCT(--ISNUMBER(SEARCH('Category Dictionary'!$D$5:$D$135&amp;"",$C3391)),--('Category Dictionary'!$D$5:$D$135&lt;&gt;"")))</f>
        <v/>
      </c>
      <c r="L3391" s="27">
        <f>IF($A3391="","",TRIM(IF(ISERROR(FIND(",",$C3391)),$C3391,LEFT($C3391,FIND(",",$C3391)-1))))</f>
        <v/>
      </c>
      <c r="M3391" s="28">
        <f>IF($H3391="","",DATE(YEAR($H3391),MONTH($H3391),1))</f>
        <v/>
      </c>
      <c r="N3391" s="26">
        <f>IF($H3391="","",TODAY()-$H3391)</f>
        <v/>
      </c>
      <c r="O3391" s="15" t="n"/>
      <c r="P3391" s="26">
        <f>IF($A3391="","",COUNTIFS('Audit Versions'!$A$6:$A$605,$A3391,'Audit Versions'!$L$6:$L$605,"Active"))</f>
        <v/>
      </c>
      <c r="Q3391" s="15" t="n"/>
      <c r="R3391" s="26">
        <f>IF(OR($A3391="",$P3391=0),"",MOD(N($Q3391),$P3391)+1)</f>
        <v/>
      </c>
      <c r="S3391" s="15" t="n"/>
      <c r="T3391" s="25" t="n"/>
      <c r="U3391" s="26">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Builder'!$B$12="",N($S3391)&lt;='Assignment Builder'!$B$12)))</f>
        <v/>
      </c>
      <c r="V3391" s="23" t="n"/>
    </row>
    <row r="3392">
      <c r="A3392" s="23" t="n"/>
      <c r="B3392" s="23" t="n"/>
      <c r="C3392" s="24" t="n"/>
      <c r="D3392" s="15" t="n"/>
      <c r="E3392" s="23" t="n"/>
      <c r="F3392" s="15" t="n"/>
      <c r="G3392" s="23" t="n"/>
      <c r="H3392" s="25" t="n"/>
      <c r="I3392" s="15" t="n"/>
      <c r="J3392" s="26">
        <f>IF($A3392="","",LEN($C3392)-LEN(SUBSTITUTE($C3392,",",""))+1)</f>
        <v/>
      </c>
      <c r="K3392" s="26">
        <f>IF($A3392="","",SUMPRODUCT(--ISNUMBER(SEARCH('Category Dictionary'!$D$5:$D$135&amp;"",$C3392)),--('Category Dictionary'!$D$5:$D$135&lt;&gt;"")))</f>
        <v/>
      </c>
      <c r="L3392" s="27">
        <f>IF($A3392="","",TRIM(IF(ISERROR(FIND(",",$C3392)),$C3392,LEFT($C3392,FIND(",",$C3392)-1))))</f>
        <v/>
      </c>
      <c r="M3392" s="28">
        <f>IF($H3392="","",DATE(YEAR($H3392),MONTH($H3392),1))</f>
        <v/>
      </c>
      <c r="N3392" s="26">
        <f>IF($H3392="","",TODAY()-$H3392)</f>
        <v/>
      </c>
      <c r="O3392" s="15" t="n"/>
      <c r="P3392" s="26">
        <f>IF($A3392="","",COUNTIFS('Audit Versions'!$A$6:$A$605,$A3392,'Audit Versions'!$L$6:$L$605,"Active"))</f>
        <v/>
      </c>
      <c r="Q3392" s="15" t="n"/>
      <c r="R3392" s="26">
        <f>IF(OR($A3392="",$P3392=0),"",MOD(N($Q3392),$P3392)+1)</f>
        <v/>
      </c>
      <c r="S3392" s="15" t="n"/>
      <c r="T3392" s="25" t="n"/>
      <c r="U3392" s="26">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Builder'!$B$12="",N($S3392)&lt;='Assignment Builder'!$B$12)))</f>
        <v/>
      </c>
      <c r="V3392" s="23" t="n"/>
    </row>
    <row r="3393">
      <c r="A3393" s="23" t="n"/>
      <c r="B3393" s="23" t="n"/>
      <c r="C3393" s="24" t="n"/>
      <c r="D3393" s="15" t="n"/>
      <c r="E3393" s="23" t="n"/>
      <c r="F3393" s="15" t="n"/>
      <c r="G3393" s="23" t="n"/>
      <c r="H3393" s="25" t="n"/>
      <c r="I3393" s="15" t="n"/>
      <c r="J3393" s="26">
        <f>IF($A3393="","",LEN($C3393)-LEN(SUBSTITUTE($C3393,",",""))+1)</f>
        <v/>
      </c>
      <c r="K3393" s="26">
        <f>IF($A3393="","",SUMPRODUCT(--ISNUMBER(SEARCH('Category Dictionary'!$D$5:$D$135&amp;"",$C3393)),--('Category Dictionary'!$D$5:$D$135&lt;&gt;"")))</f>
        <v/>
      </c>
      <c r="L3393" s="27">
        <f>IF($A3393="","",TRIM(IF(ISERROR(FIND(",",$C3393)),$C3393,LEFT($C3393,FIND(",",$C3393)-1))))</f>
        <v/>
      </c>
      <c r="M3393" s="28">
        <f>IF($H3393="","",DATE(YEAR($H3393),MONTH($H3393),1))</f>
        <v/>
      </c>
      <c r="N3393" s="26">
        <f>IF($H3393="","",TODAY()-$H3393)</f>
        <v/>
      </c>
      <c r="O3393" s="15" t="n"/>
      <c r="P3393" s="26">
        <f>IF($A3393="","",COUNTIFS('Audit Versions'!$A$6:$A$605,$A3393,'Audit Versions'!$L$6:$L$605,"Active"))</f>
        <v/>
      </c>
      <c r="Q3393" s="15" t="n"/>
      <c r="R3393" s="26">
        <f>IF(OR($A3393="",$P3393=0),"",MOD(N($Q3393),$P3393)+1)</f>
        <v/>
      </c>
      <c r="S3393" s="15" t="n"/>
      <c r="T3393" s="25" t="n"/>
      <c r="U3393" s="26">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Builder'!$B$12="",N($S3393)&lt;='Assignment Builder'!$B$12)))</f>
        <v/>
      </c>
      <c r="V3393" s="23" t="n"/>
    </row>
    <row r="3394">
      <c r="A3394" s="23" t="n"/>
      <c r="B3394" s="23" t="n"/>
      <c r="C3394" s="24" t="n"/>
      <c r="D3394" s="15" t="n"/>
      <c r="E3394" s="23" t="n"/>
      <c r="F3394" s="15" t="n"/>
      <c r="G3394" s="23" t="n"/>
      <c r="H3394" s="25" t="n"/>
      <c r="I3394" s="15" t="n"/>
      <c r="J3394" s="26">
        <f>IF($A3394="","",LEN($C3394)-LEN(SUBSTITUTE($C3394,",",""))+1)</f>
        <v/>
      </c>
      <c r="K3394" s="26">
        <f>IF($A3394="","",SUMPRODUCT(--ISNUMBER(SEARCH('Category Dictionary'!$D$5:$D$135&amp;"",$C3394)),--('Category Dictionary'!$D$5:$D$135&lt;&gt;"")))</f>
        <v/>
      </c>
      <c r="L3394" s="27">
        <f>IF($A3394="","",TRIM(IF(ISERROR(FIND(",",$C3394)),$C3394,LEFT($C3394,FIND(",",$C3394)-1))))</f>
        <v/>
      </c>
      <c r="M3394" s="28">
        <f>IF($H3394="","",DATE(YEAR($H3394),MONTH($H3394),1))</f>
        <v/>
      </c>
      <c r="N3394" s="26">
        <f>IF($H3394="","",TODAY()-$H3394)</f>
        <v/>
      </c>
      <c r="O3394" s="15" t="n"/>
      <c r="P3394" s="26">
        <f>IF($A3394="","",COUNTIFS('Audit Versions'!$A$6:$A$605,$A3394,'Audit Versions'!$L$6:$L$605,"Active"))</f>
        <v/>
      </c>
      <c r="Q3394" s="15" t="n"/>
      <c r="R3394" s="26">
        <f>IF(OR($A3394="",$P3394=0),"",MOD(N($Q3394),$P3394)+1)</f>
        <v/>
      </c>
      <c r="S3394" s="15" t="n"/>
      <c r="T3394" s="25" t="n"/>
      <c r="U3394" s="26">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Builder'!$B$12="",N($S3394)&lt;='Assignment Builder'!$B$12)))</f>
        <v/>
      </c>
      <c r="V3394" s="23" t="n"/>
    </row>
    <row r="3395">
      <c r="A3395" s="23" t="n"/>
      <c r="B3395" s="23" t="n"/>
      <c r="C3395" s="24" t="n"/>
      <c r="D3395" s="15" t="n"/>
      <c r="E3395" s="23" t="n"/>
      <c r="F3395" s="15" t="n"/>
      <c r="G3395" s="23" t="n"/>
      <c r="H3395" s="25" t="n"/>
      <c r="I3395" s="15" t="n"/>
      <c r="J3395" s="26">
        <f>IF($A3395="","",LEN($C3395)-LEN(SUBSTITUTE($C3395,",",""))+1)</f>
        <v/>
      </c>
      <c r="K3395" s="26">
        <f>IF($A3395="","",SUMPRODUCT(--ISNUMBER(SEARCH('Category Dictionary'!$D$5:$D$135&amp;"",$C3395)),--('Category Dictionary'!$D$5:$D$135&lt;&gt;"")))</f>
        <v/>
      </c>
      <c r="L3395" s="27">
        <f>IF($A3395="","",TRIM(IF(ISERROR(FIND(",",$C3395)),$C3395,LEFT($C3395,FIND(",",$C3395)-1))))</f>
        <v/>
      </c>
      <c r="M3395" s="28">
        <f>IF($H3395="","",DATE(YEAR($H3395),MONTH($H3395),1))</f>
        <v/>
      </c>
      <c r="N3395" s="26">
        <f>IF($H3395="","",TODAY()-$H3395)</f>
        <v/>
      </c>
      <c r="O3395" s="15" t="n"/>
      <c r="P3395" s="26">
        <f>IF($A3395="","",COUNTIFS('Audit Versions'!$A$6:$A$605,$A3395,'Audit Versions'!$L$6:$L$605,"Active"))</f>
        <v/>
      </c>
      <c r="Q3395" s="15" t="n"/>
      <c r="R3395" s="26">
        <f>IF(OR($A3395="",$P3395=0),"",MOD(N($Q3395),$P3395)+1)</f>
        <v/>
      </c>
      <c r="S3395" s="15" t="n"/>
      <c r="T3395" s="25" t="n"/>
      <c r="U3395" s="26">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Builder'!$B$12="",N($S3395)&lt;='Assignment Builder'!$B$12)))</f>
        <v/>
      </c>
      <c r="V3395" s="23" t="n"/>
    </row>
    <row r="3396">
      <c r="A3396" s="23" t="n"/>
      <c r="B3396" s="23" t="n"/>
      <c r="C3396" s="24" t="n"/>
      <c r="D3396" s="15" t="n"/>
      <c r="E3396" s="23" t="n"/>
      <c r="F3396" s="15" t="n"/>
      <c r="G3396" s="23" t="n"/>
      <c r="H3396" s="25" t="n"/>
      <c r="I3396" s="15" t="n"/>
      <c r="J3396" s="26">
        <f>IF($A3396="","",LEN($C3396)-LEN(SUBSTITUTE($C3396,",",""))+1)</f>
        <v/>
      </c>
      <c r="K3396" s="26">
        <f>IF($A3396="","",SUMPRODUCT(--ISNUMBER(SEARCH('Category Dictionary'!$D$5:$D$135&amp;"",$C3396)),--('Category Dictionary'!$D$5:$D$135&lt;&gt;"")))</f>
        <v/>
      </c>
      <c r="L3396" s="27">
        <f>IF($A3396="","",TRIM(IF(ISERROR(FIND(",",$C3396)),$C3396,LEFT($C3396,FIND(",",$C3396)-1))))</f>
        <v/>
      </c>
      <c r="M3396" s="28">
        <f>IF($H3396="","",DATE(YEAR($H3396),MONTH($H3396),1))</f>
        <v/>
      </c>
      <c r="N3396" s="26">
        <f>IF($H3396="","",TODAY()-$H3396)</f>
        <v/>
      </c>
      <c r="O3396" s="15" t="n"/>
      <c r="P3396" s="26">
        <f>IF($A3396="","",COUNTIFS('Audit Versions'!$A$6:$A$605,$A3396,'Audit Versions'!$L$6:$L$605,"Active"))</f>
        <v/>
      </c>
      <c r="Q3396" s="15" t="n"/>
      <c r="R3396" s="26">
        <f>IF(OR($A3396="",$P3396=0),"",MOD(N($Q3396),$P3396)+1)</f>
        <v/>
      </c>
      <c r="S3396" s="15" t="n"/>
      <c r="T3396" s="25" t="n"/>
      <c r="U3396" s="26">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Builder'!$B$12="",N($S3396)&lt;='Assignment Builder'!$B$12)))</f>
        <v/>
      </c>
      <c r="V3396" s="23" t="n"/>
    </row>
    <row r="3397">
      <c r="A3397" s="23" t="n"/>
      <c r="B3397" s="23" t="n"/>
      <c r="C3397" s="24" t="n"/>
      <c r="D3397" s="15" t="n"/>
      <c r="E3397" s="23" t="n"/>
      <c r="F3397" s="15" t="n"/>
      <c r="G3397" s="23" t="n"/>
      <c r="H3397" s="25" t="n"/>
      <c r="I3397" s="15" t="n"/>
      <c r="J3397" s="26">
        <f>IF($A3397="","",LEN($C3397)-LEN(SUBSTITUTE($C3397,",",""))+1)</f>
        <v/>
      </c>
      <c r="K3397" s="26">
        <f>IF($A3397="","",SUMPRODUCT(--ISNUMBER(SEARCH('Category Dictionary'!$D$5:$D$135&amp;"",$C3397)),--('Category Dictionary'!$D$5:$D$135&lt;&gt;"")))</f>
        <v/>
      </c>
      <c r="L3397" s="27">
        <f>IF($A3397="","",TRIM(IF(ISERROR(FIND(",",$C3397)),$C3397,LEFT($C3397,FIND(",",$C3397)-1))))</f>
        <v/>
      </c>
      <c r="M3397" s="28">
        <f>IF($H3397="","",DATE(YEAR($H3397),MONTH($H3397),1))</f>
        <v/>
      </c>
      <c r="N3397" s="26">
        <f>IF($H3397="","",TODAY()-$H3397)</f>
        <v/>
      </c>
      <c r="O3397" s="15" t="n"/>
      <c r="P3397" s="26">
        <f>IF($A3397="","",COUNTIFS('Audit Versions'!$A$6:$A$605,$A3397,'Audit Versions'!$L$6:$L$605,"Active"))</f>
        <v/>
      </c>
      <c r="Q3397" s="15" t="n"/>
      <c r="R3397" s="26">
        <f>IF(OR($A3397="",$P3397=0),"",MOD(N($Q3397),$P3397)+1)</f>
        <v/>
      </c>
      <c r="S3397" s="15" t="n"/>
      <c r="T3397" s="25" t="n"/>
      <c r="U3397" s="26">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Builder'!$B$12="",N($S3397)&lt;='Assignment Builder'!$B$12)))</f>
        <v/>
      </c>
      <c r="V3397" s="23" t="n"/>
    </row>
    <row r="3398">
      <c r="A3398" s="23" t="n"/>
      <c r="B3398" s="23" t="n"/>
      <c r="C3398" s="24" t="n"/>
      <c r="D3398" s="15" t="n"/>
      <c r="E3398" s="23" t="n"/>
      <c r="F3398" s="15" t="n"/>
      <c r="G3398" s="23" t="n"/>
      <c r="H3398" s="25" t="n"/>
      <c r="I3398" s="15" t="n"/>
      <c r="J3398" s="26">
        <f>IF($A3398="","",LEN($C3398)-LEN(SUBSTITUTE($C3398,",",""))+1)</f>
        <v/>
      </c>
      <c r="K3398" s="26">
        <f>IF($A3398="","",SUMPRODUCT(--ISNUMBER(SEARCH('Category Dictionary'!$D$5:$D$135&amp;"",$C3398)),--('Category Dictionary'!$D$5:$D$135&lt;&gt;"")))</f>
        <v/>
      </c>
      <c r="L3398" s="27">
        <f>IF($A3398="","",TRIM(IF(ISERROR(FIND(",",$C3398)),$C3398,LEFT($C3398,FIND(",",$C3398)-1))))</f>
        <v/>
      </c>
      <c r="M3398" s="28">
        <f>IF($H3398="","",DATE(YEAR($H3398),MONTH($H3398),1))</f>
        <v/>
      </c>
      <c r="N3398" s="26">
        <f>IF($H3398="","",TODAY()-$H3398)</f>
        <v/>
      </c>
      <c r="O3398" s="15" t="n"/>
      <c r="P3398" s="26">
        <f>IF($A3398="","",COUNTIFS('Audit Versions'!$A$6:$A$605,$A3398,'Audit Versions'!$L$6:$L$605,"Active"))</f>
        <v/>
      </c>
      <c r="Q3398" s="15" t="n"/>
      <c r="R3398" s="26">
        <f>IF(OR($A3398="",$P3398=0),"",MOD(N($Q3398),$P3398)+1)</f>
        <v/>
      </c>
      <c r="S3398" s="15" t="n"/>
      <c r="T3398" s="25" t="n"/>
      <c r="U3398" s="26">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Builder'!$B$12="",N($S3398)&lt;='Assignment Builder'!$B$12)))</f>
        <v/>
      </c>
      <c r="V3398" s="23" t="n"/>
    </row>
    <row r="3399">
      <c r="A3399" s="23" t="n"/>
      <c r="B3399" s="23" t="n"/>
      <c r="C3399" s="24" t="n"/>
      <c r="D3399" s="15" t="n"/>
      <c r="E3399" s="23" t="n"/>
      <c r="F3399" s="15" t="n"/>
      <c r="G3399" s="23" t="n"/>
      <c r="H3399" s="25" t="n"/>
      <c r="I3399" s="15" t="n"/>
      <c r="J3399" s="26">
        <f>IF($A3399="","",LEN($C3399)-LEN(SUBSTITUTE($C3399,",",""))+1)</f>
        <v/>
      </c>
      <c r="K3399" s="26">
        <f>IF($A3399="","",SUMPRODUCT(--ISNUMBER(SEARCH('Category Dictionary'!$D$5:$D$135&amp;"",$C3399)),--('Category Dictionary'!$D$5:$D$135&lt;&gt;"")))</f>
        <v/>
      </c>
      <c r="L3399" s="27">
        <f>IF($A3399="","",TRIM(IF(ISERROR(FIND(",",$C3399)),$C3399,LEFT($C3399,FIND(",",$C3399)-1))))</f>
        <v/>
      </c>
      <c r="M3399" s="28">
        <f>IF($H3399="","",DATE(YEAR($H3399),MONTH($H3399),1))</f>
        <v/>
      </c>
      <c r="N3399" s="26">
        <f>IF($H3399="","",TODAY()-$H3399)</f>
        <v/>
      </c>
      <c r="O3399" s="15" t="n"/>
      <c r="P3399" s="26">
        <f>IF($A3399="","",COUNTIFS('Audit Versions'!$A$6:$A$605,$A3399,'Audit Versions'!$L$6:$L$605,"Active"))</f>
        <v/>
      </c>
      <c r="Q3399" s="15" t="n"/>
      <c r="R3399" s="26">
        <f>IF(OR($A3399="",$P3399=0),"",MOD(N($Q3399),$P3399)+1)</f>
        <v/>
      </c>
      <c r="S3399" s="15" t="n"/>
      <c r="T3399" s="25" t="n"/>
      <c r="U3399" s="26">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Builder'!$B$12="",N($S3399)&lt;='Assignment Builder'!$B$12)))</f>
        <v/>
      </c>
      <c r="V3399" s="23" t="n"/>
    </row>
    <row r="3400">
      <c r="A3400" s="23" t="n"/>
      <c r="B3400" s="23" t="n"/>
      <c r="C3400" s="24" t="n"/>
      <c r="D3400" s="15" t="n"/>
      <c r="E3400" s="23" t="n"/>
      <c r="F3400" s="15" t="n"/>
      <c r="G3400" s="23" t="n"/>
      <c r="H3400" s="25" t="n"/>
      <c r="I3400" s="15" t="n"/>
      <c r="J3400" s="26">
        <f>IF($A3400="","",LEN($C3400)-LEN(SUBSTITUTE($C3400,",",""))+1)</f>
        <v/>
      </c>
      <c r="K3400" s="26">
        <f>IF($A3400="","",SUMPRODUCT(--ISNUMBER(SEARCH('Category Dictionary'!$D$5:$D$135&amp;"",$C3400)),--('Category Dictionary'!$D$5:$D$135&lt;&gt;"")))</f>
        <v/>
      </c>
      <c r="L3400" s="27">
        <f>IF($A3400="","",TRIM(IF(ISERROR(FIND(",",$C3400)),$C3400,LEFT($C3400,FIND(",",$C3400)-1))))</f>
        <v/>
      </c>
      <c r="M3400" s="28">
        <f>IF($H3400="","",DATE(YEAR($H3400),MONTH($H3400),1))</f>
        <v/>
      </c>
      <c r="N3400" s="26">
        <f>IF($H3400="","",TODAY()-$H3400)</f>
        <v/>
      </c>
      <c r="O3400" s="15" t="n"/>
      <c r="P3400" s="26">
        <f>IF($A3400="","",COUNTIFS('Audit Versions'!$A$6:$A$605,$A3400,'Audit Versions'!$L$6:$L$605,"Active"))</f>
        <v/>
      </c>
      <c r="Q3400" s="15" t="n"/>
      <c r="R3400" s="26">
        <f>IF(OR($A3400="",$P3400=0),"",MOD(N($Q3400),$P3400)+1)</f>
        <v/>
      </c>
      <c r="S3400" s="15" t="n"/>
      <c r="T3400" s="25" t="n"/>
      <c r="U3400" s="26">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Builder'!$B$12="",N($S3400)&lt;='Assignment Builder'!$B$12)))</f>
        <v/>
      </c>
      <c r="V3400" s="23" t="n"/>
    </row>
    <row r="3401">
      <c r="A3401" s="23" t="n"/>
      <c r="B3401" s="23" t="n"/>
      <c r="C3401" s="24" t="n"/>
      <c r="D3401" s="15" t="n"/>
      <c r="E3401" s="23" t="n"/>
      <c r="F3401" s="15" t="n"/>
      <c r="G3401" s="23" t="n"/>
      <c r="H3401" s="25" t="n"/>
      <c r="I3401" s="15" t="n"/>
      <c r="J3401" s="26">
        <f>IF($A3401="","",LEN($C3401)-LEN(SUBSTITUTE($C3401,",",""))+1)</f>
        <v/>
      </c>
      <c r="K3401" s="26">
        <f>IF($A3401="","",SUMPRODUCT(--ISNUMBER(SEARCH('Category Dictionary'!$D$5:$D$135&amp;"",$C3401)),--('Category Dictionary'!$D$5:$D$135&lt;&gt;"")))</f>
        <v/>
      </c>
      <c r="L3401" s="27">
        <f>IF($A3401="","",TRIM(IF(ISERROR(FIND(",",$C3401)),$C3401,LEFT($C3401,FIND(",",$C3401)-1))))</f>
        <v/>
      </c>
      <c r="M3401" s="28">
        <f>IF($H3401="","",DATE(YEAR($H3401),MONTH($H3401),1))</f>
        <v/>
      </c>
      <c r="N3401" s="26">
        <f>IF($H3401="","",TODAY()-$H3401)</f>
        <v/>
      </c>
      <c r="O3401" s="15" t="n"/>
      <c r="P3401" s="26">
        <f>IF($A3401="","",COUNTIFS('Audit Versions'!$A$6:$A$605,$A3401,'Audit Versions'!$L$6:$L$605,"Active"))</f>
        <v/>
      </c>
      <c r="Q3401" s="15" t="n"/>
      <c r="R3401" s="26">
        <f>IF(OR($A3401="",$P3401=0),"",MOD(N($Q3401),$P3401)+1)</f>
        <v/>
      </c>
      <c r="S3401" s="15" t="n"/>
      <c r="T3401" s="25" t="n"/>
      <c r="U3401" s="26">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Builder'!$B$12="",N($S3401)&lt;='Assignment Builder'!$B$12)))</f>
        <v/>
      </c>
      <c r="V3401" s="23" t="n"/>
    </row>
    <row r="3402">
      <c r="A3402" s="23" t="n"/>
      <c r="B3402" s="23" t="n"/>
      <c r="C3402" s="24" t="n"/>
      <c r="D3402" s="15" t="n"/>
      <c r="E3402" s="23" t="n"/>
      <c r="F3402" s="15" t="n"/>
      <c r="G3402" s="23" t="n"/>
      <c r="H3402" s="25" t="n"/>
      <c r="I3402" s="15" t="n"/>
      <c r="J3402" s="26">
        <f>IF($A3402="","",LEN($C3402)-LEN(SUBSTITUTE($C3402,",",""))+1)</f>
        <v/>
      </c>
      <c r="K3402" s="26">
        <f>IF($A3402="","",SUMPRODUCT(--ISNUMBER(SEARCH('Category Dictionary'!$D$5:$D$135&amp;"",$C3402)),--('Category Dictionary'!$D$5:$D$135&lt;&gt;"")))</f>
        <v/>
      </c>
      <c r="L3402" s="27">
        <f>IF($A3402="","",TRIM(IF(ISERROR(FIND(",",$C3402)),$C3402,LEFT($C3402,FIND(",",$C3402)-1))))</f>
        <v/>
      </c>
      <c r="M3402" s="28">
        <f>IF($H3402="","",DATE(YEAR($H3402),MONTH($H3402),1))</f>
        <v/>
      </c>
      <c r="N3402" s="26">
        <f>IF($H3402="","",TODAY()-$H3402)</f>
        <v/>
      </c>
      <c r="O3402" s="15" t="n"/>
      <c r="P3402" s="26">
        <f>IF($A3402="","",COUNTIFS('Audit Versions'!$A$6:$A$605,$A3402,'Audit Versions'!$L$6:$L$605,"Active"))</f>
        <v/>
      </c>
      <c r="Q3402" s="15" t="n"/>
      <c r="R3402" s="26">
        <f>IF(OR($A3402="",$P3402=0),"",MOD(N($Q3402),$P3402)+1)</f>
        <v/>
      </c>
      <c r="S3402" s="15" t="n"/>
      <c r="T3402" s="25" t="n"/>
      <c r="U3402" s="26">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Builder'!$B$12="",N($S3402)&lt;='Assignment Builder'!$B$12)))</f>
        <v/>
      </c>
      <c r="V3402" s="23" t="n"/>
    </row>
    <row r="3403">
      <c r="A3403" s="23" t="n"/>
      <c r="B3403" s="23" t="n"/>
      <c r="C3403" s="24" t="n"/>
      <c r="D3403" s="15" t="n"/>
      <c r="E3403" s="23" t="n"/>
      <c r="F3403" s="15" t="n"/>
      <c r="G3403" s="23" t="n"/>
      <c r="H3403" s="25" t="n"/>
      <c r="I3403" s="15" t="n"/>
      <c r="J3403" s="26">
        <f>IF($A3403="","",LEN($C3403)-LEN(SUBSTITUTE($C3403,",",""))+1)</f>
        <v/>
      </c>
      <c r="K3403" s="26">
        <f>IF($A3403="","",SUMPRODUCT(--ISNUMBER(SEARCH('Category Dictionary'!$D$5:$D$135&amp;"",$C3403)),--('Category Dictionary'!$D$5:$D$135&lt;&gt;"")))</f>
        <v/>
      </c>
      <c r="L3403" s="27">
        <f>IF($A3403="","",TRIM(IF(ISERROR(FIND(",",$C3403)),$C3403,LEFT($C3403,FIND(",",$C3403)-1))))</f>
        <v/>
      </c>
      <c r="M3403" s="28">
        <f>IF($H3403="","",DATE(YEAR($H3403),MONTH($H3403),1))</f>
        <v/>
      </c>
      <c r="N3403" s="26">
        <f>IF($H3403="","",TODAY()-$H3403)</f>
        <v/>
      </c>
      <c r="O3403" s="15" t="n"/>
      <c r="P3403" s="26">
        <f>IF($A3403="","",COUNTIFS('Audit Versions'!$A$6:$A$605,$A3403,'Audit Versions'!$L$6:$L$605,"Active"))</f>
        <v/>
      </c>
      <c r="Q3403" s="15" t="n"/>
      <c r="R3403" s="26">
        <f>IF(OR($A3403="",$P3403=0),"",MOD(N($Q3403),$P3403)+1)</f>
        <v/>
      </c>
      <c r="S3403" s="15" t="n"/>
      <c r="T3403" s="25" t="n"/>
      <c r="U3403" s="26">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Builder'!$B$12="",N($S3403)&lt;='Assignment Builder'!$B$12)))</f>
        <v/>
      </c>
      <c r="V3403" s="23" t="n"/>
    </row>
    <row r="3404">
      <c r="A3404" s="23" t="n"/>
      <c r="B3404" s="23" t="n"/>
      <c r="C3404" s="24" t="n"/>
      <c r="D3404" s="15" t="n"/>
      <c r="E3404" s="23" t="n"/>
      <c r="F3404" s="15" t="n"/>
      <c r="G3404" s="23" t="n"/>
      <c r="H3404" s="25" t="n"/>
      <c r="I3404" s="15" t="n"/>
      <c r="J3404" s="26">
        <f>IF($A3404="","",LEN($C3404)-LEN(SUBSTITUTE($C3404,",",""))+1)</f>
        <v/>
      </c>
      <c r="K3404" s="26">
        <f>IF($A3404="","",SUMPRODUCT(--ISNUMBER(SEARCH('Category Dictionary'!$D$5:$D$135&amp;"",$C3404)),--('Category Dictionary'!$D$5:$D$135&lt;&gt;"")))</f>
        <v/>
      </c>
      <c r="L3404" s="27">
        <f>IF($A3404="","",TRIM(IF(ISERROR(FIND(",",$C3404)),$C3404,LEFT($C3404,FIND(",",$C3404)-1))))</f>
        <v/>
      </c>
      <c r="M3404" s="28">
        <f>IF($H3404="","",DATE(YEAR($H3404),MONTH($H3404),1))</f>
        <v/>
      </c>
      <c r="N3404" s="26">
        <f>IF($H3404="","",TODAY()-$H3404)</f>
        <v/>
      </c>
      <c r="O3404" s="15" t="n"/>
      <c r="P3404" s="26">
        <f>IF($A3404="","",COUNTIFS('Audit Versions'!$A$6:$A$605,$A3404,'Audit Versions'!$L$6:$L$605,"Active"))</f>
        <v/>
      </c>
      <c r="Q3404" s="15" t="n"/>
      <c r="R3404" s="26">
        <f>IF(OR($A3404="",$P3404=0),"",MOD(N($Q3404),$P3404)+1)</f>
        <v/>
      </c>
      <c r="S3404" s="15" t="n"/>
      <c r="T3404" s="25" t="n"/>
      <c r="U3404" s="26">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Builder'!$B$12="",N($S3404)&lt;='Assignment Builder'!$B$12)))</f>
        <v/>
      </c>
      <c r="V3404" s="23" t="n"/>
    </row>
    <row r="3405">
      <c r="A3405" s="23" t="n"/>
      <c r="B3405" s="23" t="n"/>
      <c r="C3405" s="24" t="n"/>
      <c r="D3405" s="15" t="n"/>
      <c r="E3405" s="23" t="n"/>
      <c r="F3405" s="15" t="n"/>
      <c r="G3405" s="23" t="n"/>
      <c r="H3405" s="25" t="n"/>
      <c r="I3405" s="15" t="n"/>
      <c r="J3405" s="26">
        <f>IF($A3405="","",LEN($C3405)-LEN(SUBSTITUTE($C3405,",",""))+1)</f>
        <v/>
      </c>
      <c r="K3405" s="26">
        <f>IF($A3405="","",SUMPRODUCT(--ISNUMBER(SEARCH('Category Dictionary'!$D$5:$D$135&amp;"",$C3405)),--('Category Dictionary'!$D$5:$D$135&lt;&gt;"")))</f>
        <v/>
      </c>
      <c r="L3405" s="27">
        <f>IF($A3405="","",TRIM(IF(ISERROR(FIND(",",$C3405)),$C3405,LEFT($C3405,FIND(",",$C3405)-1))))</f>
        <v/>
      </c>
      <c r="M3405" s="28">
        <f>IF($H3405="","",DATE(YEAR($H3405),MONTH($H3405),1))</f>
        <v/>
      </c>
      <c r="N3405" s="26">
        <f>IF($H3405="","",TODAY()-$H3405)</f>
        <v/>
      </c>
      <c r="O3405" s="15" t="n"/>
      <c r="P3405" s="26">
        <f>IF($A3405="","",COUNTIFS('Audit Versions'!$A$6:$A$605,$A3405,'Audit Versions'!$L$6:$L$605,"Active"))</f>
        <v/>
      </c>
      <c r="Q3405" s="15" t="n"/>
      <c r="R3405" s="26">
        <f>IF(OR($A3405="",$P3405=0),"",MOD(N($Q3405),$P3405)+1)</f>
        <v/>
      </c>
      <c r="S3405" s="15" t="n"/>
      <c r="T3405" s="25" t="n"/>
      <c r="U3405" s="26">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Builder'!$B$12="",N($S3405)&lt;='Assignment Builder'!$B$12)))</f>
        <v/>
      </c>
      <c r="V3405" s="23" t="n"/>
    </row>
    <row r="3406">
      <c r="A3406" s="23" t="n"/>
      <c r="B3406" s="23" t="n"/>
      <c r="C3406" s="24" t="n"/>
      <c r="D3406" s="15" t="n"/>
      <c r="E3406" s="23" t="n"/>
      <c r="F3406" s="15" t="n"/>
      <c r="G3406" s="23" t="n"/>
      <c r="H3406" s="25" t="n"/>
      <c r="I3406" s="15" t="n"/>
      <c r="J3406" s="26">
        <f>IF($A3406="","",LEN($C3406)-LEN(SUBSTITUTE($C3406,",",""))+1)</f>
        <v/>
      </c>
      <c r="K3406" s="26">
        <f>IF($A3406="","",SUMPRODUCT(--ISNUMBER(SEARCH('Category Dictionary'!$D$5:$D$135&amp;"",$C3406)),--('Category Dictionary'!$D$5:$D$135&lt;&gt;"")))</f>
        <v/>
      </c>
      <c r="L3406" s="27">
        <f>IF($A3406="","",TRIM(IF(ISERROR(FIND(",",$C3406)),$C3406,LEFT($C3406,FIND(",",$C3406)-1))))</f>
        <v/>
      </c>
      <c r="M3406" s="28">
        <f>IF($H3406="","",DATE(YEAR($H3406),MONTH($H3406),1))</f>
        <v/>
      </c>
      <c r="N3406" s="26">
        <f>IF($H3406="","",TODAY()-$H3406)</f>
        <v/>
      </c>
      <c r="O3406" s="15" t="n"/>
      <c r="P3406" s="26">
        <f>IF($A3406="","",COUNTIFS('Audit Versions'!$A$6:$A$605,$A3406,'Audit Versions'!$L$6:$L$605,"Active"))</f>
        <v/>
      </c>
      <c r="Q3406" s="15" t="n"/>
      <c r="R3406" s="26">
        <f>IF(OR($A3406="",$P3406=0),"",MOD(N($Q3406),$P3406)+1)</f>
        <v/>
      </c>
      <c r="S3406" s="15" t="n"/>
      <c r="T3406" s="25" t="n"/>
      <c r="U3406" s="26">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Builder'!$B$12="",N($S3406)&lt;='Assignment Builder'!$B$12)))</f>
        <v/>
      </c>
      <c r="V3406" s="23" t="n"/>
    </row>
    <row r="3407">
      <c r="A3407" s="23" t="n"/>
      <c r="B3407" s="23" t="n"/>
      <c r="C3407" s="24" t="n"/>
      <c r="D3407" s="15" t="n"/>
      <c r="E3407" s="23" t="n"/>
      <c r="F3407" s="15" t="n"/>
      <c r="G3407" s="23" t="n"/>
      <c r="H3407" s="25" t="n"/>
      <c r="I3407" s="15" t="n"/>
      <c r="J3407" s="26">
        <f>IF($A3407="","",LEN($C3407)-LEN(SUBSTITUTE($C3407,",",""))+1)</f>
        <v/>
      </c>
      <c r="K3407" s="26">
        <f>IF($A3407="","",SUMPRODUCT(--ISNUMBER(SEARCH('Category Dictionary'!$D$5:$D$135&amp;"",$C3407)),--('Category Dictionary'!$D$5:$D$135&lt;&gt;"")))</f>
        <v/>
      </c>
      <c r="L3407" s="27">
        <f>IF($A3407="","",TRIM(IF(ISERROR(FIND(",",$C3407)),$C3407,LEFT($C3407,FIND(",",$C3407)-1))))</f>
        <v/>
      </c>
      <c r="M3407" s="28">
        <f>IF($H3407="","",DATE(YEAR($H3407),MONTH($H3407),1))</f>
        <v/>
      </c>
      <c r="N3407" s="26">
        <f>IF($H3407="","",TODAY()-$H3407)</f>
        <v/>
      </c>
      <c r="O3407" s="15" t="n"/>
      <c r="P3407" s="26">
        <f>IF($A3407="","",COUNTIFS('Audit Versions'!$A$6:$A$605,$A3407,'Audit Versions'!$L$6:$L$605,"Active"))</f>
        <v/>
      </c>
      <c r="Q3407" s="15" t="n"/>
      <c r="R3407" s="26">
        <f>IF(OR($A3407="",$P3407=0),"",MOD(N($Q3407),$P3407)+1)</f>
        <v/>
      </c>
      <c r="S3407" s="15" t="n"/>
      <c r="T3407" s="25" t="n"/>
      <c r="U3407" s="26">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Builder'!$B$12="",N($S3407)&lt;='Assignment Builder'!$B$12)))</f>
        <v/>
      </c>
      <c r="V3407" s="23" t="n"/>
    </row>
    <row r="3408">
      <c r="A3408" s="23" t="n"/>
      <c r="B3408" s="23" t="n"/>
      <c r="C3408" s="24" t="n"/>
      <c r="D3408" s="15" t="n"/>
      <c r="E3408" s="23" t="n"/>
      <c r="F3408" s="15" t="n"/>
      <c r="G3408" s="23" t="n"/>
      <c r="H3408" s="25" t="n"/>
      <c r="I3408" s="15" t="n"/>
      <c r="J3408" s="26">
        <f>IF($A3408="","",LEN($C3408)-LEN(SUBSTITUTE($C3408,",",""))+1)</f>
        <v/>
      </c>
      <c r="K3408" s="26">
        <f>IF($A3408="","",SUMPRODUCT(--ISNUMBER(SEARCH('Category Dictionary'!$D$5:$D$135&amp;"",$C3408)),--('Category Dictionary'!$D$5:$D$135&lt;&gt;"")))</f>
        <v/>
      </c>
      <c r="L3408" s="27">
        <f>IF($A3408="","",TRIM(IF(ISERROR(FIND(",",$C3408)),$C3408,LEFT($C3408,FIND(",",$C3408)-1))))</f>
        <v/>
      </c>
      <c r="M3408" s="28">
        <f>IF($H3408="","",DATE(YEAR($H3408),MONTH($H3408),1))</f>
        <v/>
      </c>
      <c r="N3408" s="26">
        <f>IF($H3408="","",TODAY()-$H3408)</f>
        <v/>
      </c>
      <c r="O3408" s="15" t="n"/>
      <c r="P3408" s="26">
        <f>IF($A3408="","",COUNTIFS('Audit Versions'!$A$6:$A$605,$A3408,'Audit Versions'!$L$6:$L$605,"Active"))</f>
        <v/>
      </c>
      <c r="Q3408" s="15" t="n"/>
      <c r="R3408" s="26">
        <f>IF(OR($A3408="",$P3408=0),"",MOD(N($Q3408),$P3408)+1)</f>
        <v/>
      </c>
      <c r="S3408" s="15" t="n"/>
      <c r="T3408" s="25" t="n"/>
      <c r="U3408" s="26">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Builder'!$B$12="",N($S3408)&lt;='Assignment Builder'!$B$12)))</f>
        <v/>
      </c>
      <c r="V3408" s="23" t="n"/>
    </row>
    <row r="3409">
      <c r="A3409" s="23" t="n"/>
      <c r="B3409" s="23" t="n"/>
      <c r="C3409" s="24" t="n"/>
      <c r="D3409" s="15" t="n"/>
      <c r="E3409" s="23" t="n"/>
      <c r="F3409" s="15" t="n"/>
      <c r="G3409" s="23" t="n"/>
      <c r="H3409" s="25" t="n"/>
      <c r="I3409" s="15" t="n"/>
      <c r="J3409" s="26">
        <f>IF($A3409="","",LEN($C3409)-LEN(SUBSTITUTE($C3409,",",""))+1)</f>
        <v/>
      </c>
      <c r="K3409" s="26">
        <f>IF($A3409="","",SUMPRODUCT(--ISNUMBER(SEARCH('Category Dictionary'!$D$5:$D$135&amp;"",$C3409)),--('Category Dictionary'!$D$5:$D$135&lt;&gt;"")))</f>
        <v/>
      </c>
      <c r="L3409" s="27">
        <f>IF($A3409="","",TRIM(IF(ISERROR(FIND(",",$C3409)),$C3409,LEFT($C3409,FIND(",",$C3409)-1))))</f>
        <v/>
      </c>
      <c r="M3409" s="28">
        <f>IF($H3409="","",DATE(YEAR($H3409),MONTH($H3409),1))</f>
        <v/>
      </c>
      <c r="N3409" s="26">
        <f>IF($H3409="","",TODAY()-$H3409)</f>
        <v/>
      </c>
      <c r="O3409" s="15" t="n"/>
      <c r="P3409" s="26">
        <f>IF($A3409="","",COUNTIFS('Audit Versions'!$A$6:$A$605,$A3409,'Audit Versions'!$L$6:$L$605,"Active"))</f>
        <v/>
      </c>
      <c r="Q3409" s="15" t="n"/>
      <c r="R3409" s="26">
        <f>IF(OR($A3409="",$P3409=0),"",MOD(N($Q3409),$P3409)+1)</f>
        <v/>
      </c>
      <c r="S3409" s="15" t="n"/>
      <c r="T3409" s="25" t="n"/>
      <c r="U3409" s="26">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Builder'!$B$12="",N($S3409)&lt;='Assignment Builder'!$B$12)))</f>
        <v/>
      </c>
      <c r="V3409" s="23" t="n"/>
    </row>
    <row r="3410">
      <c r="A3410" s="23" t="n"/>
      <c r="B3410" s="23" t="n"/>
      <c r="C3410" s="24" t="n"/>
      <c r="D3410" s="15" t="n"/>
      <c r="E3410" s="23" t="n"/>
      <c r="F3410" s="15" t="n"/>
      <c r="G3410" s="23" t="n"/>
      <c r="H3410" s="25" t="n"/>
      <c r="I3410" s="15" t="n"/>
      <c r="J3410" s="26">
        <f>IF($A3410="","",LEN($C3410)-LEN(SUBSTITUTE($C3410,",",""))+1)</f>
        <v/>
      </c>
      <c r="K3410" s="26">
        <f>IF($A3410="","",SUMPRODUCT(--ISNUMBER(SEARCH('Category Dictionary'!$D$5:$D$135&amp;"",$C3410)),--('Category Dictionary'!$D$5:$D$135&lt;&gt;"")))</f>
        <v/>
      </c>
      <c r="L3410" s="27">
        <f>IF($A3410="","",TRIM(IF(ISERROR(FIND(",",$C3410)),$C3410,LEFT($C3410,FIND(",",$C3410)-1))))</f>
        <v/>
      </c>
      <c r="M3410" s="28">
        <f>IF($H3410="","",DATE(YEAR($H3410),MONTH($H3410),1))</f>
        <v/>
      </c>
      <c r="N3410" s="26">
        <f>IF($H3410="","",TODAY()-$H3410)</f>
        <v/>
      </c>
      <c r="O3410" s="15" t="n"/>
      <c r="P3410" s="26">
        <f>IF($A3410="","",COUNTIFS('Audit Versions'!$A$6:$A$605,$A3410,'Audit Versions'!$L$6:$L$605,"Active"))</f>
        <v/>
      </c>
      <c r="Q3410" s="15" t="n"/>
      <c r="R3410" s="26">
        <f>IF(OR($A3410="",$P3410=0),"",MOD(N($Q3410),$P3410)+1)</f>
        <v/>
      </c>
      <c r="S3410" s="15" t="n"/>
      <c r="T3410" s="25" t="n"/>
      <c r="U3410" s="26">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Builder'!$B$12="",N($S3410)&lt;='Assignment Builder'!$B$12)))</f>
        <v/>
      </c>
      <c r="V3410" s="23" t="n"/>
    </row>
    <row r="3411">
      <c r="A3411" s="23" t="n"/>
      <c r="B3411" s="23" t="n"/>
      <c r="C3411" s="24" t="n"/>
      <c r="D3411" s="15" t="n"/>
      <c r="E3411" s="23" t="n"/>
      <c r="F3411" s="15" t="n"/>
      <c r="G3411" s="23" t="n"/>
      <c r="H3411" s="25" t="n"/>
      <c r="I3411" s="15" t="n"/>
      <c r="J3411" s="26">
        <f>IF($A3411="","",LEN($C3411)-LEN(SUBSTITUTE($C3411,",",""))+1)</f>
        <v/>
      </c>
      <c r="K3411" s="26">
        <f>IF($A3411="","",SUMPRODUCT(--ISNUMBER(SEARCH('Category Dictionary'!$D$5:$D$135&amp;"",$C3411)),--('Category Dictionary'!$D$5:$D$135&lt;&gt;"")))</f>
        <v/>
      </c>
      <c r="L3411" s="27">
        <f>IF($A3411="","",TRIM(IF(ISERROR(FIND(",",$C3411)),$C3411,LEFT($C3411,FIND(",",$C3411)-1))))</f>
        <v/>
      </c>
      <c r="M3411" s="28">
        <f>IF($H3411="","",DATE(YEAR($H3411),MONTH($H3411),1))</f>
        <v/>
      </c>
      <c r="N3411" s="26">
        <f>IF($H3411="","",TODAY()-$H3411)</f>
        <v/>
      </c>
      <c r="O3411" s="15" t="n"/>
      <c r="P3411" s="26">
        <f>IF($A3411="","",COUNTIFS('Audit Versions'!$A$6:$A$605,$A3411,'Audit Versions'!$L$6:$L$605,"Active"))</f>
        <v/>
      </c>
      <c r="Q3411" s="15" t="n"/>
      <c r="R3411" s="26">
        <f>IF(OR($A3411="",$P3411=0),"",MOD(N($Q3411),$P3411)+1)</f>
        <v/>
      </c>
      <c r="S3411" s="15" t="n"/>
      <c r="T3411" s="25" t="n"/>
      <c r="U3411" s="26">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Builder'!$B$12="",N($S3411)&lt;='Assignment Builder'!$B$12)))</f>
        <v/>
      </c>
      <c r="V3411" s="23" t="n"/>
    </row>
    <row r="3412">
      <c r="A3412" s="23" t="n"/>
      <c r="B3412" s="23" t="n"/>
      <c r="C3412" s="24" t="n"/>
      <c r="D3412" s="15" t="n"/>
      <c r="E3412" s="23" t="n"/>
      <c r="F3412" s="15" t="n"/>
      <c r="G3412" s="23" t="n"/>
      <c r="H3412" s="25" t="n"/>
      <c r="I3412" s="15" t="n"/>
      <c r="J3412" s="26">
        <f>IF($A3412="","",LEN($C3412)-LEN(SUBSTITUTE($C3412,",",""))+1)</f>
        <v/>
      </c>
      <c r="K3412" s="26">
        <f>IF($A3412="","",SUMPRODUCT(--ISNUMBER(SEARCH('Category Dictionary'!$D$5:$D$135&amp;"",$C3412)),--('Category Dictionary'!$D$5:$D$135&lt;&gt;"")))</f>
        <v/>
      </c>
      <c r="L3412" s="27">
        <f>IF($A3412="","",TRIM(IF(ISERROR(FIND(",",$C3412)),$C3412,LEFT($C3412,FIND(",",$C3412)-1))))</f>
        <v/>
      </c>
      <c r="M3412" s="28">
        <f>IF($H3412="","",DATE(YEAR($H3412),MONTH($H3412),1))</f>
        <v/>
      </c>
      <c r="N3412" s="26">
        <f>IF($H3412="","",TODAY()-$H3412)</f>
        <v/>
      </c>
      <c r="O3412" s="15" t="n"/>
      <c r="P3412" s="26">
        <f>IF($A3412="","",COUNTIFS('Audit Versions'!$A$6:$A$605,$A3412,'Audit Versions'!$L$6:$L$605,"Active"))</f>
        <v/>
      </c>
      <c r="Q3412" s="15" t="n"/>
      <c r="R3412" s="26">
        <f>IF(OR($A3412="",$P3412=0),"",MOD(N($Q3412),$P3412)+1)</f>
        <v/>
      </c>
      <c r="S3412" s="15" t="n"/>
      <c r="T3412" s="25" t="n"/>
      <c r="U3412" s="26">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Builder'!$B$12="",N($S3412)&lt;='Assignment Builder'!$B$12)))</f>
        <v/>
      </c>
      <c r="V3412" s="23" t="n"/>
    </row>
    <row r="3413">
      <c r="A3413" s="23" t="n"/>
      <c r="B3413" s="23" t="n"/>
      <c r="C3413" s="24" t="n"/>
      <c r="D3413" s="15" t="n"/>
      <c r="E3413" s="23" t="n"/>
      <c r="F3413" s="15" t="n"/>
      <c r="G3413" s="23" t="n"/>
      <c r="H3413" s="25" t="n"/>
      <c r="I3413" s="15" t="n"/>
      <c r="J3413" s="26">
        <f>IF($A3413="","",LEN($C3413)-LEN(SUBSTITUTE($C3413,",",""))+1)</f>
        <v/>
      </c>
      <c r="K3413" s="26">
        <f>IF($A3413="","",SUMPRODUCT(--ISNUMBER(SEARCH('Category Dictionary'!$D$5:$D$135&amp;"",$C3413)),--('Category Dictionary'!$D$5:$D$135&lt;&gt;"")))</f>
        <v/>
      </c>
      <c r="L3413" s="27">
        <f>IF($A3413="","",TRIM(IF(ISERROR(FIND(",",$C3413)),$C3413,LEFT($C3413,FIND(",",$C3413)-1))))</f>
        <v/>
      </c>
      <c r="M3413" s="28">
        <f>IF($H3413="","",DATE(YEAR($H3413),MONTH($H3413),1))</f>
        <v/>
      </c>
      <c r="N3413" s="26">
        <f>IF($H3413="","",TODAY()-$H3413)</f>
        <v/>
      </c>
      <c r="O3413" s="15" t="n"/>
      <c r="P3413" s="26">
        <f>IF($A3413="","",COUNTIFS('Audit Versions'!$A$6:$A$605,$A3413,'Audit Versions'!$L$6:$L$605,"Active"))</f>
        <v/>
      </c>
      <c r="Q3413" s="15" t="n"/>
      <c r="R3413" s="26">
        <f>IF(OR($A3413="",$P3413=0),"",MOD(N($Q3413),$P3413)+1)</f>
        <v/>
      </c>
      <c r="S3413" s="15" t="n"/>
      <c r="T3413" s="25" t="n"/>
      <c r="U3413" s="26">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Builder'!$B$12="",N($S3413)&lt;='Assignment Builder'!$B$12)))</f>
        <v/>
      </c>
      <c r="V3413" s="23" t="n"/>
    </row>
    <row r="3414">
      <c r="A3414" s="23" t="n"/>
      <c r="B3414" s="23" t="n"/>
      <c r="C3414" s="24" t="n"/>
      <c r="D3414" s="15" t="n"/>
      <c r="E3414" s="23" t="n"/>
      <c r="F3414" s="15" t="n"/>
      <c r="G3414" s="23" t="n"/>
      <c r="H3414" s="25" t="n"/>
      <c r="I3414" s="15" t="n"/>
      <c r="J3414" s="26">
        <f>IF($A3414="","",LEN($C3414)-LEN(SUBSTITUTE($C3414,",",""))+1)</f>
        <v/>
      </c>
      <c r="K3414" s="26">
        <f>IF($A3414="","",SUMPRODUCT(--ISNUMBER(SEARCH('Category Dictionary'!$D$5:$D$135&amp;"",$C3414)),--('Category Dictionary'!$D$5:$D$135&lt;&gt;"")))</f>
        <v/>
      </c>
      <c r="L3414" s="27">
        <f>IF($A3414="","",TRIM(IF(ISERROR(FIND(",",$C3414)),$C3414,LEFT($C3414,FIND(",",$C3414)-1))))</f>
        <v/>
      </c>
      <c r="M3414" s="28">
        <f>IF($H3414="","",DATE(YEAR($H3414),MONTH($H3414),1))</f>
        <v/>
      </c>
      <c r="N3414" s="26">
        <f>IF($H3414="","",TODAY()-$H3414)</f>
        <v/>
      </c>
      <c r="O3414" s="15" t="n"/>
      <c r="P3414" s="26">
        <f>IF($A3414="","",COUNTIFS('Audit Versions'!$A$6:$A$605,$A3414,'Audit Versions'!$L$6:$L$605,"Active"))</f>
        <v/>
      </c>
      <c r="Q3414" s="15" t="n"/>
      <c r="R3414" s="26">
        <f>IF(OR($A3414="",$P3414=0),"",MOD(N($Q3414),$P3414)+1)</f>
        <v/>
      </c>
      <c r="S3414" s="15" t="n"/>
      <c r="T3414" s="25" t="n"/>
      <c r="U3414" s="26">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Builder'!$B$12="",N($S3414)&lt;='Assignment Builder'!$B$12)))</f>
        <v/>
      </c>
      <c r="V3414" s="23" t="n"/>
    </row>
    <row r="3415">
      <c r="A3415" s="23" t="n"/>
      <c r="B3415" s="23" t="n"/>
      <c r="C3415" s="24" t="n"/>
      <c r="D3415" s="15" t="n"/>
      <c r="E3415" s="23" t="n"/>
      <c r="F3415" s="15" t="n"/>
      <c r="G3415" s="23" t="n"/>
      <c r="H3415" s="25" t="n"/>
      <c r="I3415" s="15" t="n"/>
      <c r="J3415" s="26">
        <f>IF($A3415="","",LEN($C3415)-LEN(SUBSTITUTE($C3415,",",""))+1)</f>
        <v/>
      </c>
      <c r="K3415" s="26">
        <f>IF($A3415="","",SUMPRODUCT(--ISNUMBER(SEARCH('Category Dictionary'!$D$5:$D$135&amp;"",$C3415)),--('Category Dictionary'!$D$5:$D$135&lt;&gt;"")))</f>
        <v/>
      </c>
      <c r="L3415" s="27">
        <f>IF($A3415="","",TRIM(IF(ISERROR(FIND(",",$C3415)),$C3415,LEFT($C3415,FIND(",",$C3415)-1))))</f>
        <v/>
      </c>
      <c r="M3415" s="28">
        <f>IF($H3415="","",DATE(YEAR($H3415),MONTH($H3415),1))</f>
        <v/>
      </c>
      <c r="N3415" s="26">
        <f>IF($H3415="","",TODAY()-$H3415)</f>
        <v/>
      </c>
      <c r="O3415" s="15" t="n"/>
      <c r="P3415" s="26">
        <f>IF($A3415="","",COUNTIFS('Audit Versions'!$A$6:$A$605,$A3415,'Audit Versions'!$L$6:$L$605,"Active"))</f>
        <v/>
      </c>
      <c r="Q3415" s="15" t="n"/>
      <c r="R3415" s="26">
        <f>IF(OR($A3415="",$P3415=0),"",MOD(N($Q3415),$P3415)+1)</f>
        <v/>
      </c>
      <c r="S3415" s="15" t="n"/>
      <c r="T3415" s="25" t="n"/>
      <c r="U3415" s="26">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Builder'!$B$12="",N($S3415)&lt;='Assignment Builder'!$B$12)))</f>
        <v/>
      </c>
      <c r="V3415" s="23" t="n"/>
    </row>
    <row r="3416">
      <c r="A3416" s="23" t="n"/>
      <c r="B3416" s="23" t="n"/>
      <c r="C3416" s="24" t="n"/>
      <c r="D3416" s="15" t="n"/>
      <c r="E3416" s="23" t="n"/>
      <c r="F3416" s="15" t="n"/>
      <c r="G3416" s="23" t="n"/>
      <c r="H3416" s="25" t="n"/>
      <c r="I3416" s="15" t="n"/>
      <c r="J3416" s="26">
        <f>IF($A3416="","",LEN($C3416)-LEN(SUBSTITUTE($C3416,",",""))+1)</f>
        <v/>
      </c>
      <c r="K3416" s="26">
        <f>IF($A3416="","",SUMPRODUCT(--ISNUMBER(SEARCH('Category Dictionary'!$D$5:$D$135&amp;"",$C3416)),--('Category Dictionary'!$D$5:$D$135&lt;&gt;"")))</f>
        <v/>
      </c>
      <c r="L3416" s="27">
        <f>IF($A3416="","",TRIM(IF(ISERROR(FIND(",",$C3416)),$C3416,LEFT($C3416,FIND(",",$C3416)-1))))</f>
        <v/>
      </c>
      <c r="M3416" s="28">
        <f>IF($H3416="","",DATE(YEAR($H3416),MONTH($H3416),1))</f>
        <v/>
      </c>
      <c r="N3416" s="26">
        <f>IF($H3416="","",TODAY()-$H3416)</f>
        <v/>
      </c>
      <c r="O3416" s="15" t="n"/>
      <c r="P3416" s="26">
        <f>IF($A3416="","",COUNTIFS('Audit Versions'!$A$6:$A$605,$A3416,'Audit Versions'!$L$6:$L$605,"Active"))</f>
        <v/>
      </c>
      <c r="Q3416" s="15" t="n"/>
      <c r="R3416" s="26">
        <f>IF(OR($A3416="",$P3416=0),"",MOD(N($Q3416),$P3416)+1)</f>
        <v/>
      </c>
      <c r="S3416" s="15" t="n"/>
      <c r="T3416" s="25" t="n"/>
      <c r="U3416" s="26">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Builder'!$B$12="",N($S3416)&lt;='Assignment Builder'!$B$12)))</f>
        <v/>
      </c>
      <c r="V3416" s="23" t="n"/>
    </row>
    <row r="3417">
      <c r="A3417" s="23" t="n"/>
      <c r="B3417" s="23" t="n"/>
      <c r="C3417" s="24" t="n"/>
      <c r="D3417" s="15" t="n"/>
      <c r="E3417" s="23" t="n"/>
      <c r="F3417" s="15" t="n"/>
      <c r="G3417" s="23" t="n"/>
      <c r="H3417" s="25" t="n"/>
      <c r="I3417" s="15" t="n"/>
      <c r="J3417" s="26">
        <f>IF($A3417="","",LEN($C3417)-LEN(SUBSTITUTE($C3417,",",""))+1)</f>
        <v/>
      </c>
      <c r="K3417" s="26">
        <f>IF($A3417="","",SUMPRODUCT(--ISNUMBER(SEARCH('Category Dictionary'!$D$5:$D$135&amp;"",$C3417)),--('Category Dictionary'!$D$5:$D$135&lt;&gt;"")))</f>
        <v/>
      </c>
      <c r="L3417" s="27">
        <f>IF($A3417="","",TRIM(IF(ISERROR(FIND(",",$C3417)),$C3417,LEFT($C3417,FIND(",",$C3417)-1))))</f>
        <v/>
      </c>
      <c r="M3417" s="28">
        <f>IF($H3417="","",DATE(YEAR($H3417),MONTH($H3417),1))</f>
        <v/>
      </c>
      <c r="N3417" s="26">
        <f>IF($H3417="","",TODAY()-$H3417)</f>
        <v/>
      </c>
      <c r="O3417" s="15" t="n"/>
      <c r="P3417" s="26">
        <f>IF($A3417="","",COUNTIFS('Audit Versions'!$A$6:$A$605,$A3417,'Audit Versions'!$L$6:$L$605,"Active"))</f>
        <v/>
      </c>
      <c r="Q3417" s="15" t="n"/>
      <c r="R3417" s="26">
        <f>IF(OR($A3417="",$P3417=0),"",MOD(N($Q3417),$P3417)+1)</f>
        <v/>
      </c>
      <c r="S3417" s="15" t="n"/>
      <c r="T3417" s="25" t="n"/>
      <c r="U3417" s="26">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Builder'!$B$12="",N($S3417)&lt;='Assignment Builder'!$B$12)))</f>
        <v/>
      </c>
      <c r="V3417" s="23" t="n"/>
    </row>
    <row r="3418">
      <c r="A3418" s="23" t="n"/>
      <c r="B3418" s="23" t="n"/>
      <c r="C3418" s="24" t="n"/>
      <c r="D3418" s="15" t="n"/>
      <c r="E3418" s="23" t="n"/>
      <c r="F3418" s="15" t="n"/>
      <c r="G3418" s="23" t="n"/>
      <c r="H3418" s="25" t="n"/>
      <c r="I3418" s="15" t="n"/>
      <c r="J3418" s="26">
        <f>IF($A3418="","",LEN($C3418)-LEN(SUBSTITUTE($C3418,",",""))+1)</f>
        <v/>
      </c>
      <c r="K3418" s="26">
        <f>IF($A3418="","",SUMPRODUCT(--ISNUMBER(SEARCH('Category Dictionary'!$D$5:$D$135&amp;"",$C3418)),--('Category Dictionary'!$D$5:$D$135&lt;&gt;"")))</f>
        <v/>
      </c>
      <c r="L3418" s="27">
        <f>IF($A3418="","",TRIM(IF(ISERROR(FIND(",",$C3418)),$C3418,LEFT($C3418,FIND(",",$C3418)-1))))</f>
        <v/>
      </c>
      <c r="M3418" s="28">
        <f>IF($H3418="","",DATE(YEAR($H3418),MONTH($H3418),1))</f>
        <v/>
      </c>
      <c r="N3418" s="26">
        <f>IF($H3418="","",TODAY()-$H3418)</f>
        <v/>
      </c>
      <c r="O3418" s="15" t="n"/>
      <c r="P3418" s="26">
        <f>IF($A3418="","",COUNTIFS('Audit Versions'!$A$6:$A$605,$A3418,'Audit Versions'!$L$6:$L$605,"Active"))</f>
        <v/>
      </c>
      <c r="Q3418" s="15" t="n"/>
      <c r="R3418" s="26">
        <f>IF(OR($A3418="",$P3418=0),"",MOD(N($Q3418),$P3418)+1)</f>
        <v/>
      </c>
      <c r="S3418" s="15" t="n"/>
      <c r="T3418" s="25" t="n"/>
      <c r="U3418" s="26">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Builder'!$B$12="",N($S3418)&lt;='Assignment Builder'!$B$12)))</f>
        <v/>
      </c>
      <c r="V3418" s="23" t="n"/>
    </row>
    <row r="3419">
      <c r="A3419" s="23" t="n"/>
      <c r="B3419" s="23" t="n"/>
      <c r="C3419" s="24" t="n"/>
      <c r="D3419" s="15" t="n"/>
      <c r="E3419" s="23" t="n"/>
      <c r="F3419" s="15" t="n"/>
      <c r="G3419" s="23" t="n"/>
      <c r="H3419" s="25" t="n"/>
      <c r="I3419" s="15" t="n"/>
      <c r="J3419" s="26">
        <f>IF($A3419="","",LEN($C3419)-LEN(SUBSTITUTE($C3419,",",""))+1)</f>
        <v/>
      </c>
      <c r="K3419" s="26">
        <f>IF($A3419="","",SUMPRODUCT(--ISNUMBER(SEARCH('Category Dictionary'!$D$5:$D$135&amp;"",$C3419)),--('Category Dictionary'!$D$5:$D$135&lt;&gt;"")))</f>
        <v/>
      </c>
      <c r="L3419" s="27">
        <f>IF($A3419="","",TRIM(IF(ISERROR(FIND(",",$C3419)),$C3419,LEFT($C3419,FIND(",",$C3419)-1))))</f>
        <v/>
      </c>
      <c r="M3419" s="28">
        <f>IF($H3419="","",DATE(YEAR($H3419),MONTH($H3419),1))</f>
        <v/>
      </c>
      <c r="N3419" s="26">
        <f>IF($H3419="","",TODAY()-$H3419)</f>
        <v/>
      </c>
      <c r="O3419" s="15" t="n"/>
      <c r="P3419" s="26">
        <f>IF($A3419="","",COUNTIFS('Audit Versions'!$A$6:$A$605,$A3419,'Audit Versions'!$L$6:$L$605,"Active"))</f>
        <v/>
      </c>
      <c r="Q3419" s="15" t="n"/>
      <c r="R3419" s="26">
        <f>IF(OR($A3419="",$P3419=0),"",MOD(N($Q3419),$P3419)+1)</f>
        <v/>
      </c>
      <c r="S3419" s="15" t="n"/>
      <c r="T3419" s="25" t="n"/>
      <c r="U3419" s="26">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Builder'!$B$12="",N($S3419)&lt;='Assignment Builder'!$B$12)))</f>
        <v/>
      </c>
      <c r="V3419" s="23" t="n"/>
    </row>
    <row r="3420">
      <c r="A3420" s="23" t="n"/>
      <c r="B3420" s="23" t="n"/>
      <c r="C3420" s="24" t="n"/>
      <c r="D3420" s="15" t="n"/>
      <c r="E3420" s="23" t="n"/>
      <c r="F3420" s="15" t="n"/>
      <c r="G3420" s="23" t="n"/>
      <c r="H3420" s="25" t="n"/>
      <c r="I3420" s="15" t="n"/>
      <c r="J3420" s="26">
        <f>IF($A3420="","",LEN($C3420)-LEN(SUBSTITUTE($C3420,",",""))+1)</f>
        <v/>
      </c>
      <c r="K3420" s="26">
        <f>IF($A3420="","",SUMPRODUCT(--ISNUMBER(SEARCH('Category Dictionary'!$D$5:$D$135&amp;"",$C3420)),--('Category Dictionary'!$D$5:$D$135&lt;&gt;"")))</f>
        <v/>
      </c>
      <c r="L3420" s="27">
        <f>IF($A3420="","",TRIM(IF(ISERROR(FIND(",",$C3420)),$C3420,LEFT($C3420,FIND(",",$C3420)-1))))</f>
        <v/>
      </c>
      <c r="M3420" s="28">
        <f>IF($H3420="","",DATE(YEAR($H3420),MONTH($H3420),1))</f>
        <v/>
      </c>
      <c r="N3420" s="26">
        <f>IF($H3420="","",TODAY()-$H3420)</f>
        <v/>
      </c>
      <c r="O3420" s="15" t="n"/>
      <c r="P3420" s="26">
        <f>IF($A3420="","",COUNTIFS('Audit Versions'!$A$6:$A$605,$A3420,'Audit Versions'!$L$6:$L$605,"Active"))</f>
        <v/>
      </c>
      <c r="Q3420" s="15" t="n"/>
      <c r="R3420" s="26">
        <f>IF(OR($A3420="",$P3420=0),"",MOD(N($Q3420),$P3420)+1)</f>
        <v/>
      </c>
      <c r="S3420" s="15" t="n"/>
      <c r="T3420" s="25" t="n"/>
      <c r="U3420" s="26">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Builder'!$B$12="",N($S3420)&lt;='Assignment Builder'!$B$12)))</f>
        <v/>
      </c>
      <c r="V3420" s="23" t="n"/>
    </row>
    <row r="3421">
      <c r="A3421" s="23" t="n"/>
      <c r="B3421" s="23" t="n"/>
      <c r="C3421" s="24" t="n"/>
      <c r="D3421" s="15" t="n"/>
      <c r="E3421" s="23" t="n"/>
      <c r="F3421" s="15" t="n"/>
      <c r="G3421" s="23" t="n"/>
      <c r="H3421" s="25" t="n"/>
      <c r="I3421" s="15" t="n"/>
      <c r="J3421" s="26">
        <f>IF($A3421="","",LEN($C3421)-LEN(SUBSTITUTE($C3421,",",""))+1)</f>
        <v/>
      </c>
      <c r="K3421" s="26">
        <f>IF($A3421="","",SUMPRODUCT(--ISNUMBER(SEARCH('Category Dictionary'!$D$5:$D$135&amp;"",$C3421)),--('Category Dictionary'!$D$5:$D$135&lt;&gt;"")))</f>
        <v/>
      </c>
      <c r="L3421" s="27">
        <f>IF($A3421="","",TRIM(IF(ISERROR(FIND(",",$C3421)),$C3421,LEFT($C3421,FIND(",",$C3421)-1))))</f>
        <v/>
      </c>
      <c r="M3421" s="28">
        <f>IF($H3421="","",DATE(YEAR($H3421),MONTH($H3421),1))</f>
        <v/>
      </c>
      <c r="N3421" s="26">
        <f>IF($H3421="","",TODAY()-$H3421)</f>
        <v/>
      </c>
      <c r="O3421" s="15" t="n"/>
      <c r="P3421" s="26">
        <f>IF($A3421="","",COUNTIFS('Audit Versions'!$A$6:$A$605,$A3421,'Audit Versions'!$L$6:$L$605,"Active"))</f>
        <v/>
      </c>
      <c r="Q3421" s="15" t="n"/>
      <c r="R3421" s="26">
        <f>IF(OR($A3421="",$P3421=0),"",MOD(N($Q3421),$P3421)+1)</f>
        <v/>
      </c>
      <c r="S3421" s="15" t="n"/>
      <c r="T3421" s="25" t="n"/>
      <c r="U3421" s="26">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Builder'!$B$12="",N($S3421)&lt;='Assignment Builder'!$B$12)))</f>
        <v/>
      </c>
      <c r="V3421" s="23" t="n"/>
    </row>
    <row r="3422">
      <c r="A3422" s="23" t="n"/>
      <c r="B3422" s="23" t="n"/>
      <c r="C3422" s="24" t="n"/>
      <c r="D3422" s="15" t="n"/>
      <c r="E3422" s="23" t="n"/>
      <c r="F3422" s="15" t="n"/>
      <c r="G3422" s="23" t="n"/>
      <c r="H3422" s="25" t="n"/>
      <c r="I3422" s="15" t="n"/>
      <c r="J3422" s="26">
        <f>IF($A3422="","",LEN($C3422)-LEN(SUBSTITUTE($C3422,",",""))+1)</f>
        <v/>
      </c>
      <c r="K3422" s="26">
        <f>IF($A3422="","",SUMPRODUCT(--ISNUMBER(SEARCH('Category Dictionary'!$D$5:$D$135&amp;"",$C3422)),--('Category Dictionary'!$D$5:$D$135&lt;&gt;"")))</f>
        <v/>
      </c>
      <c r="L3422" s="27">
        <f>IF($A3422="","",TRIM(IF(ISERROR(FIND(",",$C3422)),$C3422,LEFT($C3422,FIND(",",$C3422)-1))))</f>
        <v/>
      </c>
      <c r="M3422" s="28">
        <f>IF($H3422="","",DATE(YEAR($H3422),MONTH($H3422),1))</f>
        <v/>
      </c>
      <c r="N3422" s="26">
        <f>IF($H3422="","",TODAY()-$H3422)</f>
        <v/>
      </c>
      <c r="O3422" s="15" t="n"/>
      <c r="P3422" s="26">
        <f>IF($A3422="","",COUNTIFS('Audit Versions'!$A$6:$A$605,$A3422,'Audit Versions'!$L$6:$L$605,"Active"))</f>
        <v/>
      </c>
      <c r="Q3422" s="15" t="n"/>
      <c r="R3422" s="26">
        <f>IF(OR($A3422="",$P3422=0),"",MOD(N($Q3422),$P3422)+1)</f>
        <v/>
      </c>
      <c r="S3422" s="15" t="n"/>
      <c r="T3422" s="25" t="n"/>
      <c r="U3422" s="26">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Builder'!$B$12="",N($S3422)&lt;='Assignment Builder'!$B$12)))</f>
        <v/>
      </c>
      <c r="V3422" s="23" t="n"/>
    </row>
    <row r="3423">
      <c r="A3423" s="23" t="n"/>
      <c r="B3423" s="23" t="n"/>
      <c r="C3423" s="24" t="n"/>
      <c r="D3423" s="15" t="n"/>
      <c r="E3423" s="23" t="n"/>
      <c r="F3423" s="15" t="n"/>
      <c r="G3423" s="23" t="n"/>
      <c r="H3423" s="25" t="n"/>
      <c r="I3423" s="15" t="n"/>
      <c r="J3423" s="26">
        <f>IF($A3423="","",LEN($C3423)-LEN(SUBSTITUTE($C3423,",",""))+1)</f>
        <v/>
      </c>
      <c r="K3423" s="26">
        <f>IF($A3423="","",SUMPRODUCT(--ISNUMBER(SEARCH('Category Dictionary'!$D$5:$D$135&amp;"",$C3423)),--('Category Dictionary'!$D$5:$D$135&lt;&gt;"")))</f>
        <v/>
      </c>
      <c r="L3423" s="27">
        <f>IF($A3423="","",TRIM(IF(ISERROR(FIND(",",$C3423)),$C3423,LEFT($C3423,FIND(",",$C3423)-1))))</f>
        <v/>
      </c>
      <c r="M3423" s="28">
        <f>IF($H3423="","",DATE(YEAR($H3423),MONTH($H3423),1))</f>
        <v/>
      </c>
      <c r="N3423" s="26">
        <f>IF($H3423="","",TODAY()-$H3423)</f>
        <v/>
      </c>
      <c r="O3423" s="15" t="n"/>
      <c r="P3423" s="26">
        <f>IF($A3423="","",COUNTIFS('Audit Versions'!$A$6:$A$605,$A3423,'Audit Versions'!$L$6:$L$605,"Active"))</f>
        <v/>
      </c>
      <c r="Q3423" s="15" t="n"/>
      <c r="R3423" s="26">
        <f>IF(OR($A3423="",$P3423=0),"",MOD(N($Q3423),$P3423)+1)</f>
        <v/>
      </c>
      <c r="S3423" s="15" t="n"/>
      <c r="T3423" s="25" t="n"/>
      <c r="U3423" s="26">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Builder'!$B$12="",N($S3423)&lt;='Assignment Builder'!$B$12)))</f>
        <v/>
      </c>
      <c r="V3423" s="23" t="n"/>
    </row>
    <row r="3424">
      <c r="A3424" s="23" t="n"/>
      <c r="B3424" s="23" t="n"/>
      <c r="C3424" s="24" t="n"/>
      <c r="D3424" s="15" t="n"/>
      <c r="E3424" s="23" t="n"/>
      <c r="F3424" s="15" t="n"/>
      <c r="G3424" s="23" t="n"/>
      <c r="H3424" s="25" t="n"/>
      <c r="I3424" s="15" t="n"/>
      <c r="J3424" s="26">
        <f>IF($A3424="","",LEN($C3424)-LEN(SUBSTITUTE($C3424,",",""))+1)</f>
        <v/>
      </c>
      <c r="K3424" s="26">
        <f>IF($A3424="","",SUMPRODUCT(--ISNUMBER(SEARCH('Category Dictionary'!$D$5:$D$135&amp;"",$C3424)),--('Category Dictionary'!$D$5:$D$135&lt;&gt;"")))</f>
        <v/>
      </c>
      <c r="L3424" s="27">
        <f>IF($A3424="","",TRIM(IF(ISERROR(FIND(",",$C3424)),$C3424,LEFT($C3424,FIND(",",$C3424)-1))))</f>
        <v/>
      </c>
      <c r="M3424" s="28">
        <f>IF($H3424="","",DATE(YEAR($H3424),MONTH($H3424),1))</f>
        <v/>
      </c>
      <c r="N3424" s="26">
        <f>IF($H3424="","",TODAY()-$H3424)</f>
        <v/>
      </c>
      <c r="O3424" s="15" t="n"/>
      <c r="P3424" s="26">
        <f>IF($A3424="","",COUNTIFS('Audit Versions'!$A$6:$A$605,$A3424,'Audit Versions'!$L$6:$L$605,"Active"))</f>
        <v/>
      </c>
      <c r="Q3424" s="15" t="n"/>
      <c r="R3424" s="26">
        <f>IF(OR($A3424="",$P3424=0),"",MOD(N($Q3424),$P3424)+1)</f>
        <v/>
      </c>
      <c r="S3424" s="15" t="n"/>
      <c r="T3424" s="25" t="n"/>
      <c r="U3424" s="26">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Builder'!$B$12="",N($S3424)&lt;='Assignment Builder'!$B$12)))</f>
        <v/>
      </c>
      <c r="V3424" s="23" t="n"/>
    </row>
    <row r="3425">
      <c r="A3425" s="23" t="n"/>
      <c r="B3425" s="23" t="n"/>
      <c r="C3425" s="24" t="n"/>
      <c r="D3425" s="15" t="n"/>
      <c r="E3425" s="23" t="n"/>
      <c r="F3425" s="15" t="n"/>
      <c r="G3425" s="23" t="n"/>
      <c r="H3425" s="25" t="n"/>
      <c r="I3425" s="15" t="n"/>
      <c r="J3425" s="26">
        <f>IF($A3425="","",LEN($C3425)-LEN(SUBSTITUTE($C3425,",",""))+1)</f>
        <v/>
      </c>
      <c r="K3425" s="26">
        <f>IF($A3425="","",SUMPRODUCT(--ISNUMBER(SEARCH('Category Dictionary'!$D$5:$D$135&amp;"",$C3425)),--('Category Dictionary'!$D$5:$D$135&lt;&gt;"")))</f>
        <v/>
      </c>
      <c r="L3425" s="27">
        <f>IF($A3425="","",TRIM(IF(ISERROR(FIND(",",$C3425)),$C3425,LEFT($C3425,FIND(",",$C3425)-1))))</f>
        <v/>
      </c>
      <c r="M3425" s="28">
        <f>IF($H3425="","",DATE(YEAR($H3425),MONTH($H3425),1))</f>
        <v/>
      </c>
      <c r="N3425" s="26">
        <f>IF($H3425="","",TODAY()-$H3425)</f>
        <v/>
      </c>
      <c r="O3425" s="15" t="n"/>
      <c r="P3425" s="26">
        <f>IF($A3425="","",COUNTIFS('Audit Versions'!$A$6:$A$605,$A3425,'Audit Versions'!$L$6:$L$605,"Active"))</f>
        <v/>
      </c>
      <c r="Q3425" s="15" t="n"/>
      <c r="R3425" s="26">
        <f>IF(OR($A3425="",$P3425=0),"",MOD(N($Q3425),$P3425)+1)</f>
        <v/>
      </c>
      <c r="S3425" s="15" t="n"/>
      <c r="T3425" s="25" t="n"/>
      <c r="U3425" s="26">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Builder'!$B$12="",N($S3425)&lt;='Assignment Builder'!$B$12)))</f>
        <v/>
      </c>
      <c r="V3425" s="23" t="n"/>
    </row>
    <row r="3426">
      <c r="A3426" s="23" t="n"/>
      <c r="B3426" s="23" t="n"/>
      <c r="C3426" s="24" t="n"/>
      <c r="D3426" s="15" t="n"/>
      <c r="E3426" s="23" t="n"/>
      <c r="F3426" s="15" t="n"/>
      <c r="G3426" s="23" t="n"/>
      <c r="H3426" s="25" t="n"/>
      <c r="I3426" s="15" t="n"/>
      <c r="J3426" s="26">
        <f>IF($A3426="","",LEN($C3426)-LEN(SUBSTITUTE($C3426,",",""))+1)</f>
        <v/>
      </c>
      <c r="K3426" s="26">
        <f>IF($A3426="","",SUMPRODUCT(--ISNUMBER(SEARCH('Category Dictionary'!$D$5:$D$135&amp;"",$C3426)),--('Category Dictionary'!$D$5:$D$135&lt;&gt;"")))</f>
        <v/>
      </c>
      <c r="L3426" s="27">
        <f>IF($A3426="","",TRIM(IF(ISERROR(FIND(",",$C3426)),$C3426,LEFT($C3426,FIND(",",$C3426)-1))))</f>
        <v/>
      </c>
      <c r="M3426" s="28">
        <f>IF($H3426="","",DATE(YEAR($H3426),MONTH($H3426),1))</f>
        <v/>
      </c>
      <c r="N3426" s="26">
        <f>IF($H3426="","",TODAY()-$H3426)</f>
        <v/>
      </c>
      <c r="O3426" s="15" t="n"/>
      <c r="P3426" s="26">
        <f>IF($A3426="","",COUNTIFS('Audit Versions'!$A$6:$A$605,$A3426,'Audit Versions'!$L$6:$L$605,"Active"))</f>
        <v/>
      </c>
      <c r="Q3426" s="15" t="n"/>
      <c r="R3426" s="26">
        <f>IF(OR($A3426="",$P3426=0),"",MOD(N($Q3426),$P3426)+1)</f>
        <v/>
      </c>
      <c r="S3426" s="15" t="n"/>
      <c r="T3426" s="25" t="n"/>
      <c r="U3426" s="26">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Builder'!$B$12="",N($S3426)&lt;='Assignment Builder'!$B$12)))</f>
        <v/>
      </c>
      <c r="V3426" s="23" t="n"/>
    </row>
    <row r="3427">
      <c r="A3427" s="23" t="n"/>
      <c r="B3427" s="23" t="n"/>
      <c r="C3427" s="24" t="n"/>
      <c r="D3427" s="15" t="n"/>
      <c r="E3427" s="23" t="n"/>
      <c r="F3427" s="15" t="n"/>
      <c r="G3427" s="23" t="n"/>
      <c r="H3427" s="25" t="n"/>
      <c r="I3427" s="15" t="n"/>
      <c r="J3427" s="26">
        <f>IF($A3427="","",LEN($C3427)-LEN(SUBSTITUTE($C3427,",",""))+1)</f>
        <v/>
      </c>
      <c r="K3427" s="26">
        <f>IF($A3427="","",SUMPRODUCT(--ISNUMBER(SEARCH('Category Dictionary'!$D$5:$D$135&amp;"",$C3427)),--('Category Dictionary'!$D$5:$D$135&lt;&gt;"")))</f>
        <v/>
      </c>
      <c r="L3427" s="27">
        <f>IF($A3427="","",TRIM(IF(ISERROR(FIND(",",$C3427)),$C3427,LEFT($C3427,FIND(",",$C3427)-1))))</f>
        <v/>
      </c>
      <c r="M3427" s="28">
        <f>IF($H3427="","",DATE(YEAR($H3427),MONTH($H3427),1))</f>
        <v/>
      </c>
      <c r="N3427" s="26">
        <f>IF($H3427="","",TODAY()-$H3427)</f>
        <v/>
      </c>
      <c r="O3427" s="15" t="n"/>
      <c r="P3427" s="26">
        <f>IF($A3427="","",COUNTIFS('Audit Versions'!$A$6:$A$605,$A3427,'Audit Versions'!$L$6:$L$605,"Active"))</f>
        <v/>
      </c>
      <c r="Q3427" s="15" t="n"/>
      <c r="R3427" s="26">
        <f>IF(OR($A3427="",$P3427=0),"",MOD(N($Q3427),$P3427)+1)</f>
        <v/>
      </c>
      <c r="S3427" s="15" t="n"/>
      <c r="T3427" s="25" t="n"/>
      <c r="U3427" s="26">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Builder'!$B$12="",N($S3427)&lt;='Assignment Builder'!$B$12)))</f>
        <v/>
      </c>
      <c r="V3427" s="23" t="n"/>
    </row>
    <row r="3428">
      <c r="A3428" s="23" t="n"/>
      <c r="B3428" s="23" t="n"/>
      <c r="C3428" s="24" t="n"/>
      <c r="D3428" s="15" t="n"/>
      <c r="E3428" s="23" t="n"/>
      <c r="F3428" s="15" t="n"/>
      <c r="G3428" s="23" t="n"/>
      <c r="H3428" s="25" t="n"/>
      <c r="I3428" s="15" t="n"/>
      <c r="J3428" s="26">
        <f>IF($A3428="","",LEN($C3428)-LEN(SUBSTITUTE($C3428,",",""))+1)</f>
        <v/>
      </c>
      <c r="K3428" s="26">
        <f>IF($A3428="","",SUMPRODUCT(--ISNUMBER(SEARCH('Category Dictionary'!$D$5:$D$135&amp;"",$C3428)),--('Category Dictionary'!$D$5:$D$135&lt;&gt;"")))</f>
        <v/>
      </c>
      <c r="L3428" s="27">
        <f>IF($A3428="","",TRIM(IF(ISERROR(FIND(",",$C3428)),$C3428,LEFT($C3428,FIND(",",$C3428)-1))))</f>
        <v/>
      </c>
      <c r="M3428" s="28">
        <f>IF($H3428="","",DATE(YEAR($H3428),MONTH($H3428),1))</f>
        <v/>
      </c>
      <c r="N3428" s="26">
        <f>IF($H3428="","",TODAY()-$H3428)</f>
        <v/>
      </c>
      <c r="O3428" s="15" t="n"/>
      <c r="P3428" s="26">
        <f>IF($A3428="","",COUNTIFS('Audit Versions'!$A$6:$A$605,$A3428,'Audit Versions'!$L$6:$L$605,"Active"))</f>
        <v/>
      </c>
      <c r="Q3428" s="15" t="n"/>
      <c r="R3428" s="26">
        <f>IF(OR($A3428="",$P3428=0),"",MOD(N($Q3428),$P3428)+1)</f>
        <v/>
      </c>
      <c r="S3428" s="15" t="n"/>
      <c r="T3428" s="25" t="n"/>
      <c r="U3428" s="26">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Builder'!$B$12="",N($S3428)&lt;='Assignment Builder'!$B$12)))</f>
        <v/>
      </c>
      <c r="V3428" s="23" t="n"/>
    </row>
    <row r="3429">
      <c r="A3429" s="23" t="n"/>
      <c r="B3429" s="23" t="n"/>
      <c r="C3429" s="24" t="n"/>
      <c r="D3429" s="15" t="n"/>
      <c r="E3429" s="23" t="n"/>
      <c r="F3429" s="15" t="n"/>
      <c r="G3429" s="23" t="n"/>
      <c r="H3429" s="25" t="n"/>
      <c r="I3429" s="15" t="n"/>
      <c r="J3429" s="26">
        <f>IF($A3429="","",LEN($C3429)-LEN(SUBSTITUTE($C3429,",",""))+1)</f>
        <v/>
      </c>
      <c r="K3429" s="26">
        <f>IF($A3429="","",SUMPRODUCT(--ISNUMBER(SEARCH('Category Dictionary'!$D$5:$D$135&amp;"",$C3429)),--('Category Dictionary'!$D$5:$D$135&lt;&gt;"")))</f>
        <v/>
      </c>
      <c r="L3429" s="27">
        <f>IF($A3429="","",TRIM(IF(ISERROR(FIND(",",$C3429)),$C3429,LEFT($C3429,FIND(",",$C3429)-1))))</f>
        <v/>
      </c>
      <c r="M3429" s="28">
        <f>IF($H3429="","",DATE(YEAR($H3429),MONTH($H3429),1))</f>
        <v/>
      </c>
      <c r="N3429" s="26">
        <f>IF($H3429="","",TODAY()-$H3429)</f>
        <v/>
      </c>
      <c r="O3429" s="15" t="n"/>
      <c r="P3429" s="26">
        <f>IF($A3429="","",COUNTIFS('Audit Versions'!$A$6:$A$605,$A3429,'Audit Versions'!$L$6:$L$605,"Active"))</f>
        <v/>
      </c>
      <c r="Q3429" s="15" t="n"/>
      <c r="R3429" s="26">
        <f>IF(OR($A3429="",$P3429=0),"",MOD(N($Q3429),$P3429)+1)</f>
        <v/>
      </c>
      <c r="S3429" s="15" t="n"/>
      <c r="T3429" s="25" t="n"/>
      <c r="U3429" s="26">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Builder'!$B$12="",N($S3429)&lt;='Assignment Builder'!$B$12)))</f>
        <v/>
      </c>
      <c r="V3429" s="23" t="n"/>
    </row>
    <row r="3430">
      <c r="A3430" s="23" t="n"/>
      <c r="B3430" s="23" t="n"/>
      <c r="C3430" s="24" t="n"/>
      <c r="D3430" s="15" t="n"/>
      <c r="E3430" s="23" t="n"/>
      <c r="F3430" s="15" t="n"/>
      <c r="G3430" s="23" t="n"/>
      <c r="H3430" s="25" t="n"/>
      <c r="I3430" s="15" t="n"/>
      <c r="J3430" s="26">
        <f>IF($A3430="","",LEN($C3430)-LEN(SUBSTITUTE($C3430,",",""))+1)</f>
        <v/>
      </c>
      <c r="K3430" s="26">
        <f>IF($A3430="","",SUMPRODUCT(--ISNUMBER(SEARCH('Category Dictionary'!$D$5:$D$135&amp;"",$C3430)),--('Category Dictionary'!$D$5:$D$135&lt;&gt;"")))</f>
        <v/>
      </c>
      <c r="L3430" s="27">
        <f>IF($A3430="","",TRIM(IF(ISERROR(FIND(",",$C3430)),$C3430,LEFT($C3430,FIND(",",$C3430)-1))))</f>
        <v/>
      </c>
      <c r="M3430" s="28">
        <f>IF($H3430="","",DATE(YEAR($H3430),MONTH($H3430),1))</f>
        <v/>
      </c>
      <c r="N3430" s="26">
        <f>IF($H3430="","",TODAY()-$H3430)</f>
        <v/>
      </c>
      <c r="O3430" s="15" t="n"/>
      <c r="P3430" s="26">
        <f>IF($A3430="","",COUNTIFS('Audit Versions'!$A$6:$A$605,$A3430,'Audit Versions'!$L$6:$L$605,"Active"))</f>
        <v/>
      </c>
      <c r="Q3430" s="15" t="n"/>
      <c r="R3430" s="26">
        <f>IF(OR($A3430="",$P3430=0),"",MOD(N($Q3430),$P3430)+1)</f>
        <v/>
      </c>
      <c r="S3430" s="15" t="n"/>
      <c r="T3430" s="25" t="n"/>
      <c r="U3430" s="26">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Builder'!$B$12="",N($S3430)&lt;='Assignment Builder'!$B$12)))</f>
        <v/>
      </c>
      <c r="V3430" s="23" t="n"/>
    </row>
    <row r="3431">
      <c r="A3431" s="23" t="n"/>
      <c r="B3431" s="23" t="n"/>
      <c r="C3431" s="24" t="n"/>
      <c r="D3431" s="15" t="n"/>
      <c r="E3431" s="23" t="n"/>
      <c r="F3431" s="15" t="n"/>
      <c r="G3431" s="23" t="n"/>
      <c r="H3431" s="25" t="n"/>
      <c r="I3431" s="15" t="n"/>
      <c r="J3431" s="26">
        <f>IF($A3431="","",LEN($C3431)-LEN(SUBSTITUTE($C3431,",",""))+1)</f>
        <v/>
      </c>
      <c r="K3431" s="26">
        <f>IF($A3431="","",SUMPRODUCT(--ISNUMBER(SEARCH('Category Dictionary'!$D$5:$D$135&amp;"",$C3431)),--('Category Dictionary'!$D$5:$D$135&lt;&gt;"")))</f>
        <v/>
      </c>
      <c r="L3431" s="27">
        <f>IF($A3431="","",TRIM(IF(ISERROR(FIND(",",$C3431)),$C3431,LEFT($C3431,FIND(",",$C3431)-1))))</f>
        <v/>
      </c>
      <c r="M3431" s="28">
        <f>IF($H3431="","",DATE(YEAR($H3431),MONTH($H3431),1))</f>
        <v/>
      </c>
      <c r="N3431" s="26">
        <f>IF($H3431="","",TODAY()-$H3431)</f>
        <v/>
      </c>
      <c r="O3431" s="15" t="n"/>
      <c r="P3431" s="26">
        <f>IF($A3431="","",COUNTIFS('Audit Versions'!$A$6:$A$605,$A3431,'Audit Versions'!$L$6:$L$605,"Active"))</f>
        <v/>
      </c>
      <c r="Q3431" s="15" t="n"/>
      <c r="R3431" s="26">
        <f>IF(OR($A3431="",$P3431=0),"",MOD(N($Q3431),$P3431)+1)</f>
        <v/>
      </c>
      <c r="S3431" s="15" t="n"/>
      <c r="T3431" s="25" t="n"/>
      <c r="U3431" s="26">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Builder'!$B$12="",N($S3431)&lt;='Assignment Builder'!$B$12)))</f>
        <v/>
      </c>
      <c r="V3431" s="23" t="n"/>
    </row>
    <row r="3432">
      <c r="A3432" s="23" t="n"/>
      <c r="B3432" s="23" t="n"/>
      <c r="C3432" s="24" t="n"/>
      <c r="D3432" s="15" t="n"/>
      <c r="E3432" s="23" t="n"/>
      <c r="F3432" s="15" t="n"/>
      <c r="G3432" s="23" t="n"/>
      <c r="H3432" s="25" t="n"/>
      <c r="I3432" s="15" t="n"/>
      <c r="J3432" s="26">
        <f>IF($A3432="","",LEN($C3432)-LEN(SUBSTITUTE($C3432,",",""))+1)</f>
        <v/>
      </c>
      <c r="K3432" s="26">
        <f>IF($A3432="","",SUMPRODUCT(--ISNUMBER(SEARCH('Category Dictionary'!$D$5:$D$135&amp;"",$C3432)),--('Category Dictionary'!$D$5:$D$135&lt;&gt;"")))</f>
        <v/>
      </c>
      <c r="L3432" s="27">
        <f>IF($A3432="","",TRIM(IF(ISERROR(FIND(",",$C3432)),$C3432,LEFT($C3432,FIND(",",$C3432)-1))))</f>
        <v/>
      </c>
      <c r="M3432" s="28">
        <f>IF($H3432="","",DATE(YEAR($H3432),MONTH($H3432),1))</f>
        <v/>
      </c>
      <c r="N3432" s="26">
        <f>IF($H3432="","",TODAY()-$H3432)</f>
        <v/>
      </c>
      <c r="O3432" s="15" t="n"/>
      <c r="P3432" s="26">
        <f>IF($A3432="","",COUNTIFS('Audit Versions'!$A$6:$A$605,$A3432,'Audit Versions'!$L$6:$L$605,"Active"))</f>
        <v/>
      </c>
      <c r="Q3432" s="15" t="n"/>
      <c r="R3432" s="26">
        <f>IF(OR($A3432="",$P3432=0),"",MOD(N($Q3432),$P3432)+1)</f>
        <v/>
      </c>
      <c r="S3432" s="15" t="n"/>
      <c r="T3432" s="25" t="n"/>
      <c r="U3432" s="26">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Builder'!$B$12="",N($S3432)&lt;='Assignment Builder'!$B$12)))</f>
        <v/>
      </c>
      <c r="V3432" s="23" t="n"/>
    </row>
    <row r="3433">
      <c r="A3433" s="23" t="n"/>
      <c r="B3433" s="23" t="n"/>
      <c r="C3433" s="24" t="n"/>
      <c r="D3433" s="15" t="n"/>
      <c r="E3433" s="23" t="n"/>
      <c r="F3433" s="15" t="n"/>
      <c r="G3433" s="23" t="n"/>
      <c r="H3433" s="25" t="n"/>
      <c r="I3433" s="15" t="n"/>
      <c r="J3433" s="26">
        <f>IF($A3433="","",LEN($C3433)-LEN(SUBSTITUTE($C3433,",",""))+1)</f>
        <v/>
      </c>
      <c r="K3433" s="26">
        <f>IF($A3433="","",SUMPRODUCT(--ISNUMBER(SEARCH('Category Dictionary'!$D$5:$D$135&amp;"",$C3433)),--('Category Dictionary'!$D$5:$D$135&lt;&gt;"")))</f>
        <v/>
      </c>
      <c r="L3433" s="27">
        <f>IF($A3433="","",TRIM(IF(ISERROR(FIND(",",$C3433)),$C3433,LEFT($C3433,FIND(",",$C3433)-1))))</f>
        <v/>
      </c>
      <c r="M3433" s="28">
        <f>IF($H3433="","",DATE(YEAR($H3433),MONTH($H3433),1))</f>
        <v/>
      </c>
      <c r="N3433" s="26">
        <f>IF($H3433="","",TODAY()-$H3433)</f>
        <v/>
      </c>
      <c r="O3433" s="15" t="n"/>
      <c r="P3433" s="26">
        <f>IF($A3433="","",COUNTIFS('Audit Versions'!$A$6:$A$605,$A3433,'Audit Versions'!$L$6:$L$605,"Active"))</f>
        <v/>
      </c>
      <c r="Q3433" s="15" t="n"/>
      <c r="R3433" s="26">
        <f>IF(OR($A3433="",$P3433=0),"",MOD(N($Q3433),$P3433)+1)</f>
        <v/>
      </c>
      <c r="S3433" s="15" t="n"/>
      <c r="T3433" s="25" t="n"/>
      <c r="U3433" s="26">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Builder'!$B$12="",N($S3433)&lt;='Assignment Builder'!$B$12)))</f>
        <v/>
      </c>
      <c r="V3433" s="23" t="n"/>
    </row>
    <row r="3434">
      <c r="A3434" s="23" t="n"/>
      <c r="B3434" s="23" t="n"/>
      <c r="C3434" s="24" t="n"/>
      <c r="D3434" s="15" t="n"/>
      <c r="E3434" s="23" t="n"/>
      <c r="F3434" s="15" t="n"/>
      <c r="G3434" s="23" t="n"/>
      <c r="H3434" s="25" t="n"/>
      <c r="I3434" s="15" t="n"/>
      <c r="J3434" s="26">
        <f>IF($A3434="","",LEN($C3434)-LEN(SUBSTITUTE($C3434,",",""))+1)</f>
        <v/>
      </c>
      <c r="K3434" s="26">
        <f>IF($A3434="","",SUMPRODUCT(--ISNUMBER(SEARCH('Category Dictionary'!$D$5:$D$135&amp;"",$C3434)),--('Category Dictionary'!$D$5:$D$135&lt;&gt;"")))</f>
        <v/>
      </c>
      <c r="L3434" s="27">
        <f>IF($A3434="","",TRIM(IF(ISERROR(FIND(",",$C3434)),$C3434,LEFT($C3434,FIND(",",$C3434)-1))))</f>
        <v/>
      </c>
      <c r="M3434" s="28">
        <f>IF($H3434="","",DATE(YEAR($H3434),MONTH($H3434),1))</f>
        <v/>
      </c>
      <c r="N3434" s="26">
        <f>IF($H3434="","",TODAY()-$H3434)</f>
        <v/>
      </c>
      <c r="O3434" s="15" t="n"/>
      <c r="P3434" s="26">
        <f>IF($A3434="","",COUNTIFS('Audit Versions'!$A$6:$A$605,$A3434,'Audit Versions'!$L$6:$L$605,"Active"))</f>
        <v/>
      </c>
      <c r="Q3434" s="15" t="n"/>
      <c r="R3434" s="26">
        <f>IF(OR($A3434="",$P3434=0),"",MOD(N($Q3434),$P3434)+1)</f>
        <v/>
      </c>
      <c r="S3434" s="15" t="n"/>
      <c r="T3434" s="25" t="n"/>
      <c r="U3434" s="26">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Builder'!$B$12="",N($S3434)&lt;='Assignment Builder'!$B$12)))</f>
        <v/>
      </c>
      <c r="V3434" s="23" t="n"/>
    </row>
    <row r="3435">
      <c r="A3435" s="23" t="n"/>
      <c r="B3435" s="23" t="n"/>
      <c r="C3435" s="24" t="n"/>
      <c r="D3435" s="15" t="n"/>
      <c r="E3435" s="23" t="n"/>
      <c r="F3435" s="15" t="n"/>
      <c r="G3435" s="23" t="n"/>
      <c r="H3435" s="25" t="n"/>
      <c r="I3435" s="15" t="n"/>
      <c r="J3435" s="26">
        <f>IF($A3435="","",LEN($C3435)-LEN(SUBSTITUTE($C3435,",",""))+1)</f>
        <v/>
      </c>
      <c r="K3435" s="26">
        <f>IF($A3435="","",SUMPRODUCT(--ISNUMBER(SEARCH('Category Dictionary'!$D$5:$D$135&amp;"",$C3435)),--('Category Dictionary'!$D$5:$D$135&lt;&gt;"")))</f>
        <v/>
      </c>
      <c r="L3435" s="27">
        <f>IF($A3435="","",TRIM(IF(ISERROR(FIND(",",$C3435)),$C3435,LEFT($C3435,FIND(",",$C3435)-1))))</f>
        <v/>
      </c>
      <c r="M3435" s="28">
        <f>IF($H3435="","",DATE(YEAR($H3435),MONTH($H3435),1))</f>
        <v/>
      </c>
      <c r="N3435" s="26">
        <f>IF($H3435="","",TODAY()-$H3435)</f>
        <v/>
      </c>
      <c r="O3435" s="15" t="n"/>
      <c r="P3435" s="26">
        <f>IF($A3435="","",COUNTIFS('Audit Versions'!$A$6:$A$605,$A3435,'Audit Versions'!$L$6:$L$605,"Active"))</f>
        <v/>
      </c>
      <c r="Q3435" s="15" t="n"/>
      <c r="R3435" s="26">
        <f>IF(OR($A3435="",$P3435=0),"",MOD(N($Q3435),$P3435)+1)</f>
        <v/>
      </c>
      <c r="S3435" s="15" t="n"/>
      <c r="T3435" s="25" t="n"/>
      <c r="U3435" s="26">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Builder'!$B$12="",N($S3435)&lt;='Assignment Builder'!$B$12)))</f>
        <v/>
      </c>
      <c r="V3435" s="23" t="n"/>
    </row>
    <row r="3436">
      <c r="A3436" s="23" t="n"/>
      <c r="B3436" s="23" t="n"/>
      <c r="C3436" s="24" t="n"/>
      <c r="D3436" s="15" t="n"/>
      <c r="E3436" s="23" t="n"/>
      <c r="F3436" s="15" t="n"/>
      <c r="G3436" s="23" t="n"/>
      <c r="H3436" s="25" t="n"/>
      <c r="I3436" s="15" t="n"/>
      <c r="J3436" s="26">
        <f>IF($A3436="","",LEN($C3436)-LEN(SUBSTITUTE($C3436,",",""))+1)</f>
        <v/>
      </c>
      <c r="K3436" s="26">
        <f>IF($A3436="","",SUMPRODUCT(--ISNUMBER(SEARCH('Category Dictionary'!$D$5:$D$135&amp;"",$C3436)),--('Category Dictionary'!$D$5:$D$135&lt;&gt;"")))</f>
        <v/>
      </c>
      <c r="L3436" s="27">
        <f>IF($A3436="","",TRIM(IF(ISERROR(FIND(",",$C3436)),$C3436,LEFT($C3436,FIND(",",$C3436)-1))))</f>
        <v/>
      </c>
      <c r="M3436" s="28">
        <f>IF($H3436="","",DATE(YEAR($H3436),MONTH($H3436),1))</f>
        <v/>
      </c>
      <c r="N3436" s="26">
        <f>IF($H3436="","",TODAY()-$H3436)</f>
        <v/>
      </c>
      <c r="O3436" s="15" t="n"/>
      <c r="P3436" s="26">
        <f>IF($A3436="","",COUNTIFS('Audit Versions'!$A$6:$A$605,$A3436,'Audit Versions'!$L$6:$L$605,"Active"))</f>
        <v/>
      </c>
      <c r="Q3436" s="15" t="n"/>
      <c r="R3436" s="26">
        <f>IF(OR($A3436="",$P3436=0),"",MOD(N($Q3436),$P3436)+1)</f>
        <v/>
      </c>
      <c r="S3436" s="15" t="n"/>
      <c r="T3436" s="25" t="n"/>
      <c r="U3436" s="26">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Builder'!$B$12="",N($S3436)&lt;='Assignment Builder'!$B$12)))</f>
        <v/>
      </c>
      <c r="V3436" s="23" t="n"/>
    </row>
    <row r="3437">
      <c r="A3437" s="23" t="n"/>
      <c r="B3437" s="23" t="n"/>
      <c r="C3437" s="24" t="n"/>
      <c r="D3437" s="15" t="n"/>
      <c r="E3437" s="23" t="n"/>
      <c r="F3437" s="15" t="n"/>
      <c r="G3437" s="23" t="n"/>
      <c r="H3437" s="25" t="n"/>
      <c r="I3437" s="15" t="n"/>
      <c r="J3437" s="26">
        <f>IF($A3437="","",LEN($C3437)-LEN(SUBSTITUTE($C3437,",",""))+1)</f>
        <v/>
      </c>
      <c r="K3437" s="26">
        <f>IF($A3437="","",SUMPRODUCT(--ISNUMBER(SEARCH('Category Dictionary'!$D$5:$D$135&amp;"",$C3437)),--('Category Dictionary'!$D$5:$D$135&lt;&gt;"")))</f>
        <v/>
      </c>
      <c r="L3437" s="27">
        <f>IF($A3437="","",TRIM(IF(ISERROR(FIND(",",$C3437)),$C3437,LEFT($C3437,FIND(",",$C3437)-1))))</f>
        <v/>
      </c>
      <c r="M3437" s="28">
        <f>IF($H3437="","",DATE(YEAR($H3437),MONTH($H3437),1))</f>
        <v/>
      </c>
      <c r="N3437" s="26">
        <f>IF($H3437="","",TODAY()-$H3437)</f>
        <v/>
      </c>
      <c r="O3437" s="15" t="n"/>
      <c r="P3437" s="26">
        <f>IF($A3437="","",COUNTIFS('Audit Versions'!$A$6:$A$605,$A3437,'Audit Versions'!$L$6:$L$605,"Active"))</f>
        <v/>
      </c>
      <c r="Q3437" s="15" t="n"/>
      <c r="R3437" s="26">
        <f>IF(OR($A3437="",$P3437=0),"",MOD(N($Q3437),$P3437)+1)</f>
        <v/>
      </c>
      <c r="S3437" s="15" t="n"/>
      <c r="T3437" s="25" t="n"/>
      <c r="U3437" s="26">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Builder'!$B$12="",N($S3437)&lt;='Assignment Builder'!$B$12)))</f>
        <v/>
      </c>
      <c r="V3437" s="23" t="n"/>
    </row>
    <row r="3438">
      <c r="A3438" s="23" t="n"/>
      <c r="B3438" s="23" t="n"/>
      <c r="C3438" s="24" t="n"/>
      <c r="D3438" s="15" t="n"/>
      <c r="E3438" s="23" t="n"/>
      <c r="F3438" s="15" t="n"/>
      <c r="G3438" s="23" t="n"/>
      <c r="H3438" s="25" t="n"/>
      <c r="I3438" s="15" t="n"/>
      <c r="J3438" s="26">
        <f>IF($A3438="","",LEN($C3438)-LEN(SUBSTITUTE($C3438,",",""))+1)</f>
        <v/>
      </c>
      <c r="K3438" s="26">
        <f>IF($A3438="","",SUMPRODUCT(--ISNUMBER(SEARCH('Category Dictionary'!$D$5:$D$135&amp;"",$C3438)),--('Category Dictionary'!$D$5:$D$135&lt;&gt;"")))</f>
        <v/>
      </c>
      <c r="L3438" s="27">
        <f>IF($A3438="","",TRIM(IF(ISERROR(FIND(",",$C3438)),$C3438,LEFT($C3438,FIND(",",$C3438)-1))))</f>
        <v/>
      </c>
      <c r="M3438" s="28">
        <f>IF($H3438="","",DATE(YEAR($H3438),MONTH($H3438),1))</f>
        <v/>
      </c>
      <c r="N3438" s="26">
        <f>IF($H3438="","",TODAY()-$H3438)</f>
        <v/>
      </c>
      <c r="O3438" s="15" t="n"/>
      <c r="P3438" s="26">
        <f>IF($A3438="","",COUNTIFS('Audit Versions'!$A$6:$A$605,$A3438,'Audit Versions'!$L$6:$L$605,"Active"))</f>
        <v/>
      </c>
      <c r="Q3438" s="15" t="n"/>
      <c r="R3438" s="26">
        <f>IF(OR($A3438="",$P3438=0),"",MOD(N($Q3438),$P3438)+1)</f>
        <v/>
      </c>
      <c r="S3438" s="15" t="n"/>
      <c r="T3438" s="25" t="n"/>
      <c r="U3438" s="26">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Builder'!$B$12="",N($S3438)&lt;='Assignment Builder'!$B$12)))</f>
        <v/>
      </c>
      <c r="V3438" s="23" t="n"/>
    </row>
    <row r="3439">
      <c r="A3439" s="23" t="n"/>
      <c r="B3439" s="23" t="n"/>
      <c r="C3439" s="24" t="n"/>
      <c r="D3439" s="15" t="n"/>
      <c r="E3439" s="23" t="n"/>
      <c r="F3439" s="15" t="n"/>
      <c r="G3439" s="23" t="n"/>
      <c r="H3439" s="25" t="n"/>
      <c r="I3439" s="15" t="n"/>
      <c r="J3439" s="26">
        <f>IF($A3439="","",LEN($C3439)-LEN(SUBSTITUTE($C3439,",",""))+1)</f>
        <v/>
      </c>
      <c r="K3439" s="26">
        <f>IF($A3439="","",SUMPRODUCT(--ISNUMBER(SEARCH('Category Dictionary'!$D$5:$D$135&amp;"",$C3439)),--('Category Dictionary'!$D$5:$D$135&lt;&gt;"")))</f>
        <v/>
      </c>
      <c r="L3439" s="27">
        <f>IF($A3439="","",TRIM(IF(ISERROR(FIND(",",$C3439)),$C3439,LEFT($C3439,FIND(",",$C3439)-1))))</f>
        <v/>
      </c>
      <c r="M3439" s="28">
        <f>IF($H3439="","",DATE(YEAR($H3439),MONTH($H3439),1))</f>
        <v/>
      </c>
      <c r="N3439" s="26">
        <f>IF($H3439="","",TODAY()-$H3439)</f>
        <v/>
      </c>
      <c r="O3439" s="15" t="n"/>
      <c r="P3439" s="26">
        <f>IF($A3439="","",COUNTIFS('Audit Versions'!$A$6:$A$605,$A3439,'Audit Versions'!$L$6:$L$605,"Active"))</f>
        <v/>
      </c>
      <c r="Q3439" s="15" t="n"/>
      <c r="R3439" s="26">
        <f>IF(OR($A3439="",$P3439=0),"",MOD(N($Q3439),$P3439)+1)</f>
        <v/>
      </c>
      <c r="S3439" s="15" t="n"/>
      <c r="T3439" s="25" t="n"/>
      <c r="U3439" s="26">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Builder'!$B$12="",N($S3439)&lt;='Assignment Builder'!$B$12)))</f>
        <v/>
      </c>
      <c r="V3439" s="23" t="n"/>
    </row>
    <row r="3440">
      <c r="A3440" s="23" t="n"/>
      <c r="B3440" s="23" t="n"/>
      <c r="C3440" s="24" t="n"/>
      <c r="D3440" s="15" t="n"/>
      <c r="E3440" s="23" t="n"/>
      <c r="F3440" s="15" t="n"/>
      <c r="G3440" s="23" t="n"/>
      <c r="H3440" s="25" t="n"/>
      <c r="I3440" s="15" t="n"/>
      <c r="J3440" s="26">
        <f>IF($A3440="","",LEN($C3440)-LEN(SUBSTITUTE($C3440,",",""))+1)</f>
        <v/>
      </c>
      <c r="K3440" s="26">
        <f>IF($A3440="","",SUMPRODUCT(--ISNUMBER(SEARCH('Category Dictionary'!$D$5:$D$135&amp;"",$C3440)),--('Category Dictionary'!$D$5:$D$135&lt;&gt;"")))</f>
        <v/>
      </c>
      <c r="L3440" s="27">
        <f>IF($A3440="","",TRIM(IF(ISERROR(FIND(",",$C3440)),$C3440,LEFT($C3440,FIND(",",$C3440)-1))))</f>
        <v/>
      </c>
      <c r="M3440" s="28">
        <f>IF($H3440="","",DATE(YEAR($H3440),MONTH($H3440),1))</f>
        <v/>
      </c>
      <c r="N3440" s="26">
        <f>IF($H3440="","",TODAY()-$H3440)</f>
        <v/>
      </c>
      <c r="O3440" s="15" t="n"/>
      <c r="P3440" s="26">
        <f>IF($A3440="","",COUNTIFS('Audit Versions'!$A$6:$A$605,$A3440,'Audit Versions'!$L$6:$L$605,"Active"))</f>
        <v/>
      </c>
      <c r="Q3440" s="15" t="n"/>
      <c r="R3440" s="26">
        <f>IF(OR($A3440="",$P3440=0),"",MOD(N($Q3440),$P3440)+1)</f>
        <v/>
      </c>
      <c r="S3440" s="15" t="n"/>
      <c r="T3440" s="25" t="n"/>
      <c r="U3440" s="26">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Builder'!$B$12="",N($S3440)&lt;='Assignment Builder'!$B$12)))</f>
        <v/>
      </c>
      <c r="V3440" s="23" t="n"/>
    </row>
    <row r="3441">
      <c r="A3441" s="23" t="n"/>
      <c r="B3441" s="23" t="n"/>
      <c r="C3441" s="24" t="n"/>
      <c r="D3441" s="15" t="n"/>
      <c r="E3441" s="23" t="n"/>
      <c r="F3441" s="15" t="n"/>
      <c r="G3441" s="23" t="n"/>
      <c r="H3441" s="25" t="n"/>
      <c r="I3441" s="15" t="n"/>
      <c r="J3441" s="26">
        <f>IF($A3441="","",LEN($C3441)-LEN(SUBSTITUTE($C3441,",",""))+1)</f>
        <v/>
      </c>
      <c r="K3441" s="26">
        <f>IF($A3441="","",SUMPRODUCT(--ISNUMBER(SEARCH('Category Dictionary'!$D$5:$D$135&amp;"",$C3441)),--('Category Dictionary'!$D$5:$D$135&lt;&gt;"")))</f>
        <v/>
      </c>
      <c r="L3441" s="27">
        <f>IF($A3441="","",TRIM(IF(ISERROR(FIND(",",$C3441)),$C3441,LEFT($C3441,FIND(",",$C3441)-1))))</f>
        <v/>
      </c>
      <c r="M3441" s="28">
        <f>IF($H3441="","",DATE(YEAR($H3441),MONTH($H3441),1))</f>
        <v/>
      </c>
      <c r="N3441" s="26">
        <f>IF($H3441="","",TODAY()-$H3441)</f>
        <v/>
      </c>
      <c r="O3441" s="15" t="n"/>
      <c r="P3441" s="26">
        <f>IF($A3441="","",COUNTIFS('Audit Versions'!$A$6:$A$605,$A3441,'Audit Versions'!$L$6:$L$605,"Active"))</f>
        <v/>
      </c>
      <c r="Q3441" s="15" t="n"/>
      <c r="R3441" s="26">
        <f>IF(OR($A3441="",$P3441=0),"",MOD(N($Q3441),$P3441)+1)</f>
        <v/>
      </c>
      <c r="S3441" s="15" t="n"/>
      <c r="T3441" s="25" t="n"/>
      <c r="U3441" s="26">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Builder'!$B$12="",N($S3441)&lt;='Assignment Builder'!$B$12)))</f>
        <v/>
      </c>
      <c r="V3441" s="23" t="n"/>
    </row>
    <row r="3442">
      <c r="A3442" s="23" t="n"/>
      <c r="B3442" s="23" t="n"/>
      <c r="C3442" s="24" t="n"/>
      <c r="D3442" s="15" t="n"/>
      <c r="E3442" s="23" t="n"/>
      <c r="F3442" s="15" t="n"/>
      <c r="G3442" s="23" t="n"/>
      <c r="H3442" s="25" t="n"/>
      <c r="I3442" s="15" t="n"/>
      <c r="J3442" s="26">
        <f>IF($A3442="","",LEN($C3442)-LEN(SUBSTITUTE($C3442,",",""))+1)</f>
        <v/>
      </c>
      <c r="K3442" s="26">
        <f>IF($A3442="","",SUMPRODUCT(--ISNUMBER(SEARCH('Category Dictionary'!$D$5:$D$135&amp;"",$C3442)),--('Category Dictionary'!$D$5:$D$135&lt;&gt;"")))</f>
        <v/>
      </c>
      <c r="L3442" s="27">
        <f>IF($A3442="","",TRIM(IF(ISERROR(FIND(",",$C3442)),$C3442,LEFT($C3442,FIND(",",$C3442)-1))))</f>
        <v/>
      </c>
      <c r="M3442" s="28">
        <f>IF($H3442="","",DATE(YEAR($H3442),MONTH($H3442),1))</f>
        <v/>
      </c>
      <c r="N3442" s="26">
        <f>IF($H3442="","",TODAY()-$H3442)</f>
        <v/>
      </c>
      <c r="O3442" s="15" t="n"/>
      <c r="P3442" s="26">
        <f>IF($A3442="","",COUNTIFS('Audit Versions'!$A$6:$A$605,$A3442,'Audit Versions'!$L$6:$L$605,"Active"))</f>
        <v/>
      </c>
      <c r="Q3442" s="15" t="n"/>
      <c r="R3442" s="26">
        <f>IF(OR($A3442="",$P3442=0),"",MOD(N($Q3442),$P3442)+1)</f>
        <v/>
      </c>
      <c r="S3442" s="15" t="n"/>
      <c r="T3442" s="25" t="n"/>
      <c r="U3442" s="26">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Builder'!$B$12="",N($S3442)&lt;='Assignment Builder'!$B$12)))</f>
        <v/>
      </c>
      <c r="V3442" s="23" t="n"/>
    </row>
    <row r="3443">
      <c r="A3443" s="23" t="n"/>
      <c r="B3443" s="23" t="n"/>
      <c r="C3443" s="24" t="n"/>
      <c r="D3443" s="15" t="n"/>
      <c r="E3443" s="23" t="n"/>
      <c r="F3443" s="15" t="n"/>
      <c r="G3443" s="23" t="n"/>
      <c r="H3443" s="25" t="n"/>
      <c r="I3443" s="15" t="n"/>
      <c r="J3443" s="26">
        <f>IF($A3443="","",LEN($C3443)-LEN(SUBSTITUTE($C3443,",",""))+1)</f>
        <v/>
      </c>
      <c r="K3443" s="26">
        <f>IF($A3443="","",SUMPRODUCT(--ISNUMBER(SEARCH('Category Dictionary'!$D$5:$D$135&amp;"",$C3443)),--('Category Dictionary'!$D$5:$D$135&lt;&gt;"")))</f>
        <v/>
      </c>
      <c r="L3443" s="27">
        <f>IF($A3443="","",TRIM(IF(ISERROR(FIND(",",$C3443)),$C3443,LEFT($C3443,FIND(",",$C3443)-1))))</f>
        <v/>
      </c>
      <c r="M3443" s="28">
        <f>IF($H3443="","",DATE(YEAR($H3443),MONTH($H3443),1))</f>
        <v/>
      </c>
      <c r="N3443" s="26">
        <f>IF($H3443="","",TODAY()-$H3443)</f>
        <v/>
      </c>
      <c r="O3443" s="15" t="n"/>
      <c r="P3443" s="26">
        <f>IF($A3443="","",COUNTIFS('Audit Versions'!$A$6:$A$605,$A3443,'Audit Versions'!$L$6:$L$605,"Active"))</f>
        <v/>
      </c>
      <c r="Q3443" s="15" t="n"/>
      <c r="R3443" s="26">
        <f>IF(OR($A3443="",$P3443=0),"",MOD(N($Q3443),$P3443)+1)</f>
        <v/>
      </c>
      <c r="S3443" s="15" t="n"/>
      <c r="T3443" s="25" t="n"/>
      <c r="U3443" s="26">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Builder'!$B$12="",N($S3443)&lt;='Assignment Builder'!$B$12)))</f>
        <v/>
      </c>
      <c r="V3443" s="23" t="n"/>
    </row>
    <row r="3444">
      <c r="A3444" s="23" t="n"/>
      <c r="B3444" s="23" t="n"/>
      <c r="C3444" s="24" t="n"/>
      <c r="D3444" s="15" t="n"/>
      <c r="E3444" s="23" t="n"/>
      <c r="F3444" s="15" t="n"/>
      <c r="G3444" s="23" t="n"/>
      <c r="H3444" s="25" t="n"/>
      <c r="I3444" s="15" t="n"/>
      <c r="J3444" s="26">
        <f>IF($A3444="","",LEN($C3444)-LEN(SUBSTITUTE($C3444,",",""))+1)</f>
        <v/>
      </c>
      <c r="K3444" s="26">
        <f>IF($A3444="","",SUMPRODUCT(--ISNUMBER(SEARCH('Category Dictionary'!$D$5:$D$135&amp;"",$C3444)),--('Category Dictionary'!$D$5:$D$135&lt;&gt;"")))</f>
        <v/>
      </c>
      <c r="L3444" s="27">
        <f>IF($A3444="","",TRIM(IF(ISERROR(FIND(",",$C3444)),$C3444,LEFT($C3444,FIND(",",$C3444)-1))))</f>
        <v/>
      </c>
      <c r="M3444" s="28">
        <f>IF($H3444="","",DATE(YEAR($H3444),MONTH($H3444),1))</f>
        <v/>
      </c>
      <c r="N3444" s="26">
        <f>IF($H3444="","",TODAY()-$H3444)</f>
        <v/>
      </c>
      <c r="O3444" s="15" t="n"/>
      <c r="P3444" s="26">
        <f>IF($A3444="","",COUNTIFS('Audit Versions'!$A$6:$A$605,$A3444,'Audit Versions'!$L$6:$L$605,"Active"))</f>
        <v/>
      </c>
      <c r="Q3444" s="15" t="n"/>
      <c r="R3444" s="26">
        <f>IF(OR($A3444="",$P3444=0),"",MOD(N($Q3444),$P3444)+1)</f>
        <v/>
      </c>
      <c r="S3444" s="15" t="n"/>
      <c r="T3444" s="25" t="n"/>
      <c r="U3444" s="26">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Builder'!$B$12="",N($S3444)&lt;='Assignment Builder'!$B$12)))</f>
        <v/>
      </c>
      <c r="V3444" s="23" t="n"/>
    </row>
    <row r="3445">
      <c r="A3445" s="23" t="n"/>
      <c r="B3445" s="23" t="n"/>
      <c r="C3445" s="24" t="n"/>
      <c r="D3445" s="15" t="n"/>
      <c r="E3445" s="23" t="n"/>
      <c r="F3445" s="15" t="n"/>
      <c r="G3445" s="23" t="n"/>
      <c r="H3445" s="25" t="n"/>
      <c r="I3445" s="15" t="n"/>
      <c r="J3445" s="26">
        <f>IF($A3445="","",LEN($C3445)-LEN(SUBSTITUTE($C3445,",",""))+1)</f>
        <v/>
      </c>
      <c r="K3445" s="26">
        <f>IF($A3445="","",SUMPRODUCT(--ISNUMBER(SEARCH('Category Dictionary'!$D$5:$D$135&amp;"",$C3445)),--('Category Dictionary'!$D$5:$D$135&lt;&gt;"")))</f>
        <v/>
      </c>
      <c r="L3445" s="27">
        <f>IF($A3445="","",TRIM(IF(ISERROR(FIND(",",$C3445)),$C3445,LEFT($C3445,FIND(",",$C3445)-1))))</f>
        <v/>
      </c>
      <c r="M3445" s="28">
        <f>IF($H3445="","",DATE(YEAR($H3445),MONTH($H3445),1))</f>
        <v/>
      </c>
      <c r="N3445" s="26">
        <f>IF($H3445="","",TODAY()-$H3445)</f>
        <v/>
      </c>
      <c r="O3445" s="15" t="n"/>
      <c r="P3445" s="26">
        <f>IF($A3445="","",COUNTIFS('Audit Versions'!$A$6:$A$605,$A3445,'Audit Versions'!$L$6:$L$605,"Active"))</f>
        <v/>
      </c>
      <c r="Q3445" s="15" t="n"/>
      <c r="R3445" s="26">
        <f>IF(OR($A3445="",$P3445=0),"",MOD(N($Q3445),$P3445)+1)</f>
        <v/>
      </c>
      <c r="S3445" s="15" t="n"/>
      <c r="T3445" s="25" t="n"/>
      <c r="U3445" s="26">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Builder'!$B$12="",N($S3445)&lt;='Assignment Builder'!$B$12)))</f>
        <v/>
      </c>
      <c r="V3445" s="23" t="n"/>
    </row>
    <row r="3446">
      <c r="A3446" s="23" t="n"/>
      <c r="B3446" s="23" t="n"/>
      <c r="C3446" s="24" t="n"/>
      <c r="D3446" s="15" t="n"/>
      <c r="E3446" s="23" t="n"/>
      <c r="F3446" s="15" t="n"/>
      <c r="G3446" s="23" t="n"/>
      <c r="H3446" s="25" t="n"/>
      <c r="I3446" s="15" t="n"/>
      <c r="J3446" s="26">
        <f>IF($A3446="","",LEN($C3446)-LEN(SUBSTITUTE($C3446,",",""))+1)</f>
        <v/>
      </c>
      <c r="K3446" s="26">
        <f>IF($A3446="","",SUMPRODUCT(--ISNUMBER(SEARCH('Category Dictionary'!$D$5:$D$135&amp;"",$C3446)),--('Category Dictionary'!$D$5:$D$135&lt;&gt;"")))</f>
        <v/>
      </c>
      <c r="L3446" s="27">
        <f>IF($A3446="","",TRIM(IF(ISERROR(FIND(",",$C3446)),$C3446,LEFT($C3446,FIND(",",$C3446)-1))))</f>
        <v/>
      </c>
      <c r="M3446" s="28">
        <f>IF($H3446="","",DATE(YEAR($H3446),MONTH($H3446),1))</f>
        <v/>
      </c>
      <c r="N3446" s="26">
        <f>IF($H3446="","",TODAY()-$H3446)</f>
        <v/>
      </c>
      <c r="O3446" s="15" t="n"/>
      <c r="P3446" s="26">
        <f>IF($A3446="","",COUNTIFS('Audit Versions'!$A$6:$A$605,$A3446,'Audit Versions'!$L$6:$L$605,"Active"))</f>
        <v/>
      </c>
      <c r="Q3446" s="15" t="n"/>
      <c r="R3446" s="26">
        <f>IF(OR($A3446="",$P3446=0),"",MOD(N($Q3446),$P3446)+1)</f>
        <v/>
      </c>
      <c r="S3446" s="15" t="n"/>
      <c r="T3446" s="25" t="n"/>
      <c r="U3446" s="26">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Builder'!$B$12="",N($S3446)&lt;='Assignment Builder'!$B$12)))</f>
        <v/>
      </c>
      <c r="V3446" s="23" t="n"/>
    </row>
    <row r="3447">
      <c r="A3447" s="23" t="n"/>
      <c r="B3447" s="23" t="n"/>
      <c r="C3447" s="24" t="n"/>
      <c r="D3447" s="15" t="n"/>
      <c r="E3447" s="23" t="n"/>
      <c r="F3447" s="15" t="n"/>
      <c r="G3447" s="23" t="n"/>
      <c r="H3447" s="25" t="n"/>
      <c r="I3447" s="15" t="n"/>
      <c r="J3447" s="26">
        <f>IF($A3447="","",LEN($C3447)-LEN(SUBSTITUTE($C3447,",",""))+1)</f>
        <v/>
      </c>
      <c r="K3447" s="26">
        <f>IF($A3447="","",SUMPRODUCT(--ISNUMBER(SEARCH('Category Dictionary'!$D$5:$D$135&amp;"",$C3447)),--('Category Dictionary'!$D$5:$D$135&lt;&gt;"")))</f>
        <v/>
      </c>
      <c r="L3447" s="27">
        <f>IF($A3447="","",TRIM(IF(ISERROR(FIND(",",$C3447)),$C3447,LEFT($C3447,FIND(",",$C3447)-1))))</f>
        <v/>
      </c>
      <c r="M3447" s="28">
        <f>IF($H3447="","",DATE(YEAR($H3447),MONTH($H3447),1))</f>
        <v/>
      </c>
      <c r="N3447" s="26">
        <f>IF($H3447="","",TODAY()-$H3447)</f>
        <v/>
      </c>
      <c r="O3447" s="15" t="n"/>
      <c r="P3447" s="26">
        <f>IF($A3447="","",COUNTIFS('Audit Versions'!$A$6:$A$605,$A3447,'Audit Versions'!$L$6:$L$605,"Active"))</f>
        <v/>
      </c>
      <c r="Q3447" s="15" t="n"/>
      <c r="R3447" s="26">
        <f>IF(OR($A3447="",$P3447=0),"",MOD(N($Q3447),$P3447)+1)</f>
        <v/>
      </c>
      <c r="S3447" s="15" t="n"/>
      <c r="T3447" s="25" t="n"/>
      <c r="U3447" s="26">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Builder'!$B$12="",N($S3447)&lt;='Assignment Builder'!$B$12)))</f>
        <v/>
      </c>
      <c r="V3447" s="23" t="n"/>
    </row>
    <row r="3448">
      <c r="A3448" s="23" t="n"/>
      <c r="B3448" s="23" t="n"/>
      <c r="C3448" s="24" t="n"/>
      <c r="D3448" s="15" t="n"/>
      <c r="E3448" s="23" t="n"/>
      <c r="F3448" s="15" t="n"/>
      <c r="G3448" s="23" t="n"/>
      <c r="H3448" s="25" t="n"/>
      <c r="I3448" s="15" t="n"/>
      <c r="J3448" s="26">
        <f>IF($A3448="","",LEN($C3448)-LEN(SUBSTITUTE($C3448,",",""))+1)</f>
        <v/>
      </c>
      <c r="K3448" s="26">
        <f>IF($A3448="","",SUMPRODUCT(--ISNUMBER(SEARCH('Category Dictionary'!$D$5:$D$135&amp;"",$C3448)),--('Category Dictionary'!$D$5:$D$135&lt;&gt;"")))</f>
        <v/>
      </c>
      <c r="L3448" s="27">
        <f>IF($A3448="","",TRIM(IF(ISERROR(FIND(",",$C3448)),$C3448,LEFT($C3448,FIND(",",$C3448)-1))))</f>
        <v/>
      </c>
      <c r="M3448" s="28">
        <f>IF($H3448="","",DATE(YEAR($H3448),MONTH($H3448),1))</f>
        <v/>
      </c>
      <c r="N3448" s="26">
        <f>IF($H3448="","",TODAY()-$H3448)</f>
        <v/>
      </c>
      <c r="O3448" s="15" t="n"/>
      <c r="P3448" s="26">
        <f>IF($A3448="","",COUNTIFS('Audit Versions'!$A$6:$A$605,$A3448,'Audit Versions'!$L$6:$L$605,"Active"))</f>
        <v/>
      </c>
      <c r="Q3448" s="15" t="n"/>
      <c r="R3448" s="26">
        <f>IF(OR($A3448="",$P3448=0),"",MOD(N($Q3448),$P3448)+1)</f>
        <v/>
      </c>
      <c r="S3448" s="15" t="n"/>
      <c r="T3448" s="25" t="n"/>
      <c r="U3448" s="26">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Builder'!$B$12="",N($S3448)&lt;='Assignment Builder'!$B$12)))</f>
        <v/>
      </c>
      <c r="V3448" s="23" t="n"/>
    </row>
    <row r="3449">
      <c r="A3449" s="23" t="n"/>
      <c r="B3449" s="23" t="n"/>
      <c r="C3449" s="24" t="n"/>
      <c r="D3449" s="15" t="n"/>
      <c r="E3449" s="23" t="n"/>
      <c r="F3449" s="15" t="n"/>
      <c r="G3449" s="23" t="n"/>
      <c r="H3449" s="25" t="n"/>
      <c r="I3449" s="15" t="n"/>
      <c r="J3449" s="26">
        <f>IF($A3449="","",LEN($C3449)-LEN(SUBSTITUTE($C3449,",",""))+1)</f>
        <v/>
      </c>
      <c r="K3449" s="26">
        <f>IF($A3449="","",SUMPRODUCT(--ISNUMBER(SEARCH('Category Dictionary'!$D$5:$D$135&amp;"",$C3449)),--('Category Dictionary'!$D$5:$D$135&lt;&gt;"")))</f>
        <v/>
      </c>
      <c r="L3449" s="27">
        <f>IF($A3449="","",TRIM(IF(ISERROR(FIND(",",$C3449)),$C3449,LEFT($C3449,FIND(",",$C3449)-1))))</f>
        <v/>
      </c>
      <c r="M3449" s="28">
        <f>IF($H3449="","",DATE(YEAR($H3449),MONTH($H3449),1))</f>
        <v/>
      </c>
      <c r="N3449" s="26">
        <f>IF($H3449="","",TODAY()-$H3449)</f>
        <v/>
      </c>
      <c r="O3449" s="15" t="n"/>
      <c r="P3449" s="26">
        <f>IF($A3449="","",COUNTIFS('Audit Versions'!$A$6:$A$605,$A3449,'Audit Versions'!$L$6:$L$605,"Active"))</f>
        <v/>
      </c>
      <c r="Q3449" s="15" t="n"/>
      <c r="R3449" s="26">
        <f>IF(OR($A3449="",$P3449=0),"",MOD(N($Q3449),$P3449)+1)</f>
        <v/>
      </c>
      <c r="S3449" s="15" t="n"/>
      <c r="T3449" s="25" t="n"/>
      <c r="U3449" s="26">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Builder'!$B$12="",N($S3449)&lt;='Assignment Builder'!$B$12)))</f>
        <v/>
      </c>
      <c r="V3449" s="23" t="n"/>
    </row>
    <row r="3450">
      <c r="A3450" s="23" t="n"/>
      <c r="B3450" s="23" t="n"/>
      <c r="C3450" s="24" t="n"/>
      <c r="D3450" s="15" t="n"/>
      <c r="E3450" s="23" t="n"/>
      <c r="F3450" s="15" t="n"/>
      <c r="G3450" s="23" t="n"/>
      <c r="H3450" s="25" t="n"/>
      <c r="I3450" s="15" t="n"/>
      <c r="J3450" s="26">
        <f>IF($A3450="","",LEN($C3450)-LEN(SUBSTITUTE($C3450,",",""))+1)</f>
        <v/>
      </c>
      <c r="K3450" s="26">
        <f>IF($A3450="","",SUMPRODUCT(--ISNUMBER(SEARCH('Category Dictionary'!$D$5:$D$135&amp;"",$C3450)),--('Category Dictionary'!$D$5:$D$135&lt;&gt;"")))</f>
        <v/>
      </c>
      <c r="L3450" s="27">
        <f>IF($A3450="","",TRIM(IF(ISERROR(FIND(",",$C3450)),$C3450,LEFT($C3450,FIND(",",$C3450)-1))))</f>
        <v/>
      </c>
      <c r="M3450" s="28">
        <f>IF($H3450="","",DATE(YEAR($H3450),MONTH($H3450),1))</f>
        <v/>
      </c>
      <c r="N3450" s="26">
        <f>IF($H3450="","",TODAY()-$H3450)</f>
        <v/>
      </c>
      <c r="O3450" s="15" t="n"/>
      <c r="P3450" s="26">
        <f>IF($A3450="","",COUNTIFS('Audit Versions'!$A$6:$A$605,$A3450,'Audit Versions'!$L$6:$L$605,"Active"))</f>
        <v/>
      </c>
      <c r="Q3450" s="15" t="n"/>
      <c r="R3450" s="26">
        <f>IF(OR($A3450="",$P3450=0),"",MOD(N($Q3450),$P3450)+1)</f>
        <v/>
      </c>
      <c r="S3450" s="15" t="n"/>
      <c r="T3450" s="25" t="n"/>
      <c r="U3450" s="26">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Builder'!$B$12="",N($S3450)&lt;='Assignment Builder'!$B$12)))</f>
        <v/>
      </c>
      <c r="V3450" s="23" t="n"/>
    </row>
    <row r="3451">
      <c r="A3451" s="23" t="n"/>
      <c r="B3451" s="23" t="n"/>
      <c r="C3451" s="24" t="n"/>
      <c r="D3451" s="15" t="n"/>
      <c r="E3451" s="23" t="n"/>
      <c r="F3451" s="15" t="n"/>
      <c r="G3451" s="23" t="n"/>
      <c r="H3451" s="25" t="n"/>
      <c r="I3451" s="15" t="n"/>
      <c r="J3451" s="26">
        <f>IF($A3451="","",LEN($C3451)-LEN(SUBSTITUTE($C3451,",",""))+1)</f>
        <v/>
      </c>
      <c r="K3451" s="26">
        <f>IF($A3451="","",SUMPRODUCT(--ISNUMBER(SEARCH('Category Dictionary'!$D$5:$D$135&amp;"",$C3451)),--('Category Dictionary'!$D$5:$D$135&lt;&gt;"")))</f>
        <v/>
      </c>
      <c r="L3451" s="27">
        <f>IF($A3451="","",TRIM(IF(ISERROR(FIND(",",$C3451)),$C3451,LEFT($C3451,FIND(",",$C3451)-1))))</f>
        <v/>
      </c>
      <c r="M3451" s="28">
        <f>IF($H3451="","",DATE(YEAR($H3451),MONTH($H3451),1))</f>
        <v/>
      </c>
      <c r="N3451" s="26">
        <f>IF($H3451="","",TODAY()-$H3451)</f>
        <v/>
      </c>
      <c r="O3451" s="15" t="n"/>
      <c r="P3451" s="26">
        <f>IF($A3451="","",COUNTIFS('Audit Versions'!$A$6:$A$605,$A3451,'Audit Versions'!$L$6:$L$605,"Active"))</f>
        <v/>
      </c>
      <c r="Q3451" s="15" t="n"/>
      <c r="R3451" s="26">
        <f>IF(OR($A3451="",$P3451=0),"",MOD(N($Q3451),$P3451)+1)</f>
        <v/>
      </c>
      <c r="S3451" s="15" t="n"/>
      <c r="T3451" s="25" t="n"/>
      <c r="U3451" s="26">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Builder'!$B$12="",N($S3451)&lt;='Assignment Builder'!$B$12)))</f>
        <v/>
      </c>
      <c r="V3451" s="23" t="n"/>
    </row>
    <row r="3452">
      <c r="A3452" s="23" t="n"/>
      <c r="B3452" s="23" t="n"/>
      <c r="C3452" s="24" t="n"/>
      <c r="D3452" s="15" t="n"/>
      <c r="E3452" s="23" t="n"/>
      <c r="F3452" s="15" t="n"/>
      <c r="G3452" s="23" t="n"/>
      <c r="H3452" s="25" t="n"/>
      <c r="I3452" s="15" t="n"/>
      <c r="J3452" s="26">
        <f>IF($A3452="","",LEN($C3452)-LEN(SUBSTITUTE($C3452,",",""))+1)</f>
        <v/>
      </c>
      <c r="K3452" s="26">
        <f>IF($A3452="","",SUMPRODUCT(--ISNUMBER(SEARCH('Category Dictionary'!$D$5:$D$135&amp;"",$C3452)),--('Category Dictionary'!$D$5:$D$135&lt;&gt;"")))</f>
        <v/>
      </c>
      <c r="L3452" s="27">
        <f>IF($A3452="","",TRIM(IF(ISERROR(FIND(",",$C3452)),$C3452,LEFT($C3452,FIND(",",$C3452)-1))))</f>
        <v/>
      </c>
      <c r="M3452" s="28">
        <f>IF($H3452="","",DATE(YEAR($H3452),MONTH($H3452),1))</f>
        <v/>
      </c>
      <c r="N3452" s="26">
        <f>IF($H3452="","",TODAY()-$H3452)</f>
        <v/>
      </c>
      <c r="O3452" s="15" t="n"/>
      <c r="P3452" s="26">
        <f>IF($A3452="","",COUNTIFS('Audit Versions'!$A$6:$A$605,$A3452,'Audit Versions'!$L$6:$L$605,"Active"))</f>
        <v/>
      </c>
      <c r="Q3452" s="15" t="n"/>
      <c r="R3452" s="26">
        <f>IF(OR($A3452="",$P3452=0),"",MOD(N($Q3452),$P3452)+1)</f>
        <v/>
      </c>
      <c r="S3452" s="15" t="n"/>
      <c r="T3452" s="25" t="n"/>
      <c r="U3452" s="26">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Builder'!$B$12="",N($S3452)&lt;='Assignment Builder'!$B$12)))</f>
        <v/>
      </c>
      <c r="V3452" s="23" t="n"/>
    </row>
    <row r="3453">
      <c r="A3453" s="23" t="n"/>
      <c r="B3453" s="23" t="n"/>
      <c r="C3453" s="24" t="n"/>
      <c r="D3453" s="15" t="n"/>
      <c r="E3453" s="23" t="n"/>
      <c r="F3453" s="15" t="n"/>
      <c r="G3453" s="23" t="n"/>
      <c r="H3453" s="25" t="n"/>
      <c r="I3453" s="15" t="n"/>
      <c r="J3453" s="26">
        <f>IF($A3453="","",LEN($C3453)-LEN(SUBSTITUTE($C3453,",",""))+1)</f>
        <v/>
      </c>
      <c r="K3453" s="26">
        <f>IF($A3453="","",SUMPRODUCT(--ISNUMBER(SEARCH('Category Dictionary'!$D$5:$D$135&amp;"",$C3453)),--('Category Dictionary'!$D$5:$D$135&lt;&gt;"")))</f>
        <v/>
      </c>
      <c r="L3453" s="27">
        <f>IF($A3453="","",TRIM(IF(ISERROR(FIND(",",$C3453)),$C3453,LEFT($C3453,FIND(",",$C3453)-1))))</f>
        <v/>
      </c>
      <c r="M3453" s="28">
        <f>IF($H3453="","",DATE(YEAR($H3453),MONTH($H3453),1))</f>
        <v/>
      </c>
      <c r="N3453" s="26">
        <f>IF($H3453="","",TODAY()-$H3453)</f>
        <v/>
      </c>
      <c r="O3453" s="15" t="n"/>
      <c r="P3453" s="26">
        <f>IF($A3453="","",COUNTIFS('Audit Versions'!$A$6:$A$605,$A3453,'Audit Versions'!$L$6:$L$605,"Active"))</f>
        <v/>
      </c>
      <c r="Q3453" s="15" t="n"/>
      <c r="R3453" s="26">
        <f>IF(OR($A3453="",$P3453=0),"",MOD(N($Q3453),$P3453)+1)</f>
        <v/>
      </c>
      <c r="S3453" s="15" t="n"/>
      <c r="T3453" s="25" t="n"/>
      <c r="U3453" s="26">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Builder'!$B$12="",N($S3453)&lt;='Assignment Builder'!$B$12)))</f>
        <v/>
      </c>
      <c r="V3453" s="23" t="n"/>
    </row>
    <row r="3454">
      <c r="A3454" s="23" t="n"/>
      <c r="B3454" s="23" t="n"/>
      <c r="C3454" s="24" t="n"/>
      <c r="D3454" s="15" t="n"/>
      <c r="E3454" s="23" t="n"/>
      <c r="F3454" s="15" t="n"/>
      <c r="G3454" s="23" t="n"/>
      <c r="H3454" s="25" t="n"/>
      <c r="I3454" s="15" t="n"/>
      <c r="J3454" s="26">
        <f>IF($A3454="","",LEN($C3454)-LEN(SUBSTITUTE($C3454,",",""))+1)</f>
        <v/>
      </c>
      <c r="K3454" s="26">
        <f>IF($A3454="","",SUMPRODUCT(--ISNUMBER(SEARCH('Category Dictionary'!$D$5:$D$135&amp;"",$C3454)),--('Category Dictionary'!$D$5:$D$135&lt;&gt;"")))</f>
        <v/>
      </c>
      <c r="L3454" s="27">
        <f>IF($A3454="","",TRIM(IF(ISERROR(FIND(",",$C3454)),$C3454,LEFT($C3454,FIND(",",$C3454)-1))))</f>
        <v/>
      </c>
      <c r="M3454" s="28">
        <f>IF($H3454="","",DATE(YEAR($H3454),MONTH($H3454),1))</f>
        <v/>
      </c>
      <c r="N3454" s="26">
        <f>IF($H3454="","",TODAY()-$H3454)</f>
        <v/>
      </c>
      <c r="O3454" s="15" t="n"/>
      <c r="P3454" s="26">
        <f>IF($A3454="","",COUNTIFS('Audit Versions'!$A$6:$A$605,$A3454,'Audit Versions'!$L$6:$L$605,"Active"))</f>
        <v/>
      </c>
      <c r="Q3454" s="15" t="n"/>
      <c r="R3454" s="26">
        <f>IF(OR($A3454="",$P3454=0),"",MOD(N($Q3454),$P3454)+1)</f>
        <v/>
      </c>
      <c r="S3454" s="15" t="n"/>
      <c r="T3454" s="25" t="n"/>
      <c r="U3454" s="26">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Builder'!$B$12="",N($S3454)&lt;='Assignment Builder'!$B$12)))</f>
        <v/>
      </c>
      <c r="V3454" s="23" t="n"/>
    </row>
    <row r="3455">
      <c r="A3455" s="23" t="n"/>
      <c r="B3455" s="23" t="n"/>
      <c r="C3455" s="24" t="n"/>
      <c r="D3455" s="15" t="n"/>
      <c r="E3455" s="23" t="n"/>
      <c r="F3455" s="15" t="n"/>
      <c r="G3455" s="23" t="n"/>
      <c r="H3455" s="25" t="n"/>
      <c r="I3455" s="15" t="n"/>
      <c r="J3455" s="26">
        <f>IF($A3455="","",LEN($C3455)-LEN(SUBSTITUTE($C3455,",",""))+1)</f>
        <v/>
      </c>
      <c r="K3455" s="26">
        <f>IF($A3455="","",SUMPRODUCT(--ISNUMBER(SEARCH('Category Dictionary'!$D$5:$D$135&amp;"",$C3455)),--('Category Dictionary'!$D$5:$D$135&lt;&gt;"")))</f>
        <v/>
      </c>
      <c r="L3455" s="27">
        <f>IF($A3455="","",TRIM(IF(ISERROR(FIND(",",$C3455)),$C3455,LEFT($C3455,FIND(",",$C3455)-1))))</f>
        <v/>
      </c>
      <c r="M3455" s="28">
        <f>IF($H3455="","",DATE(YEAR($H3455),MONTH($H3455),1))</f>
        <v/>
      </c>
      <c r="N3455" s="26">
        <f>IF($H3455="","",TODAY()-$H3455)</f>
        <v/>
      </c>
      <c r="O3455" s="15" t="n"/>
      <c r="P3455" s="26">
        <f>IF($A3455="","",COUNTIFS('Audit Versions'!$A$6:$A$605,$A3455,'Audit Versions'!$L$6:$L$605,"Active"))</f>
        <v/>
      </c>
      <c r="Q3455" s="15" t="n"/>
      <c r="R3455" s="26">
        <f>IF(OR($A3455="",$P3455=0),"",MOD(N($Q3455),$P3455)+1)</f>
        <v/>
      </c>
      <c r="S3455" s="15" t="n"/>
      <c r="T3455" s="25" t="n"/>
      <c r="U3455" s="26">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Builder'!$B$12="",N($S3455)&lt;='Assignment Builder'!$B$12)))</f>
        <v/>
      </c>
      <c r="V3455" s="23" t="n"/>
    </row>
    <row r="3456">
      <c r="A3456" s="23" t="n"/>
      <c r="B3456" s="23" t="n"/>
      <c r="C3456" s="24" t="n"/>
      <c r="D3456" s="15" t="n"/>
      <c r="E3456" s="23" t="n"/>
      <c r="F3456" s="15" t="n"/>
      <c r="G3456" s="23" t="n"/>
      <c r="H3456" s="25" t="n"/>
      <c r="I3456" s="15" t="n"/>
      <c r="J3456" s="26">
        <f>IF($A3456="","",LEN($C3456)-LEN(SUBSTITUTE($C3456,",",""))+1)</f>
        <v/>
      </c>
      <c r="K3456" s="26">
        <f>IF($A3456="","",SUMPRODUCT(--ISNUMBER(SEARCH('Category Dictionary'!$D$5:$D$135&amp;"",$C3456)),--('Category Dictionary'!$D$5:$D$135&lt;&gt;"")))</f>
        <v/>
      </c>
      <c r="L3456" s="27">
        <f>IF($A3456="","",TRIM(IF(ISERROR(FIND(",",$C3456)),$C3456,LEFT($C3456,FIND(",",$C3456)-1))))</f>
        <v/>
      </c>
      <c r="M3456" s="28">
        <f>IF($H3456="","",DATE(YEAR($H3456),MONTH($H3456),1))</f>
        <v/>
      </c>
      <c r="N3456" s="26">
        <f>IF($H3456="","",TODAY()-$H3456)</f>
        <v/>
      </c>
      <c r="O3456" s="15" t="n"/>
      <c r="P3456" s="26">
        <f>IF($A3456="","",COUNTIFS('Audit Versions'!$A$6:$A$605,$A3456,'Audit Versions'!$L$6:$L$605,"Active"))</f>
        <v/>
      </c>
      <c r="Q3456" s="15" t="n"/>
      <c r="R3456" s="26">
        <f>IF(OR($A3456="",$P3456=0),"",MOD(N($Q3456),$P3456)+1)</f>
        <v/>
      </c>
      <c r="S3456" s="15" t="n"/>
      <c r="T3456" s="25" t="n"/>
      <c r="U3456" s="26">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Builder'!$B$12="",N($S3456)&lt;='Assignment Builder'!$B$12)))</f>
        <v/>
      </c>
      <c r="V3456" s="23" t="n"/>
    </row>
    <row r="3457">
      <c r="A3457" s="23" t="n"/>
      <c r="B3457" s="23" t="n"/>
      <c r="C3457" s="24" t="n"/>
      <c r="D3457" s="15" t="n"/>
      <c r="E3457" s="23" t="n"/>
      <c r="F3457" s="15" t="n"/>
      <c r="G3457" s="23" t="n"/>
      <c r="H3457" s="25" t="n"/>
      <c r="I3457" s="15" t="n"/>
      <c r="J3457" s="26">
        <f>IF($A3457="","",LEN($C3457)-LEN(SUBSTITUTE($C3457,",",""))+1)</f>
        <v/>
      </c>
      <c r="K3457" s="26">
        <f>IF($A3457="","",SUMPRODUCT(--ISNUMBER(SEARCH('Category Dictionary'!$D$5:$D$135&amp;"",$C3457)),--('Category Dictionary'!$D$5:$D$135&lt;&gt;"")))</f>
        <v/>
      </c>
      <c r="L3457" s="27">
        <f>IF($A3457="","",TRIM(IF(ISERROR(FIND(",",$C3457)),$C3457,LEFT($C3457,FIND(",",$C3457)-1))))</f>
        <v/>
      </c>
      <c r="M3457" s="28">
        <f>IF($H3457="","",DATE(YEAR($H3457),MONTH($H3457),1))</f>
        <v/>
      </c>
      <c r="N3457" s="26">
        <f>IF($H3457="","",TODAY()-$H3457)</f>
        <v/>
      </c>
      <c r="O3457" s="15" t="n"/>
      <c r="P3457" s="26">
        <f>IF($A3457="","",COUNTIFS('Audit Versions'!$A$6:$A$605,$A3457,'Audit Versions'!$L$6:$L$605,"Active"))</f>
        <v/>
      </c>
      <c r="Q3457" s="15" t="n"/>
      <c r="R3457" s="26">
        <f>IF(OR($A3457="",$P3457=0),"",MOD(N($Q3457),$P3457)+1)</f>
        <v/>
      </c>
      <c r="S3457" s="15" t="n"/>
      <c r="T3457" s="25" t="n"/>
      <c r="U3457" s="26">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Builder'!$B$12="",N($S3457)&lt;='Assignment Builder'!$B$12)))</f>
        <v/>
      </c>
      <c r="V3457" s="23" t="n"/>
    </row>
    <row r="3458">
      <c r="A3458" s="23" t="n"/>
      <c r="B3458" s="23" t="n"/>
      <c r="C3458" s="24" t="n"/>
      <c r="D3458" s="15" t="n"/>
      <c r="E3458" s="23" t="n"/>
      <c r="F3458" s="15" t="n"/>
      <c r="G3458" s="23" t="n"/>
      <c r="H3458" s="25" t="n"/>
      <c r="I3458" s="15" t="n"/>
      <c r="J3458" s="26">
        <f>IF($A3458="","",LEN($C3458)-LEN(SUBSTITUTE($C3458,",",""))+1)</f>
        <v/>
      </c>
      <c r="K3458" s="26">
        <f>IF($A3458="","",SUMPRODUCT(--ISNUMBER(SEARCH('Category Dictionary'!$D$5:$D$135&amp;"",$C3458)),--('Category Dictionary'!$D$5:$D$135&lt;&gt;"")))</f>
        <v/>
      </c>
      <c r="L3458" s="27">
        <f>IF($A3458="","",TRIM(IF(ISERROR(FIND(",",$C3458)),$C3458,LEFT($C3458,FIND(",",$C3458)-1))))</f>
        <v/>
      </c>
      <c r="M3458" s="28">
        <f>IF($H3458="","",DATE(YEAR($H3458),MONTH($H3458),1))</f>
        <v/>
      </c>
      <c r="N3458" s="26">
        <f>IF($H3458="","",TODAY()-$H3458)</f>
        <v/>
      </c>
      <c r="O3458" s="15" t="n"/>
      <c r="P3458" s="26">
        <f>IF($A3458="","",COUNTIFS('Audit Versions'!$A$6:$A$605,$A3458,'Audit Versions'!$L$6:$L$605,"Active"))</f>
        <v/>
      </c>
      <c r="Q3458" s="15" t="n"/>
      <c r="R3458" s="26">
        <f>IF(OR($A3458="",$P3458=0),"",MOD(N($Q3458),$P3458)+1)</f>
        <v/>
      </c>
      <c r="S3458" s="15" t="n"/>
      <c r="T3458" s="25" t="n"/>
      <c r="U3458" s="26">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Builder'!$B$12="",N($S3458)&lt;='Assignment Builder'!$B$12)))</f>
        <v/>
      </c>
      <c r="V3458" s="23" t="n"/>
    </row>
    <row r="3459">
      <c r="A3459" s="23" t="n"/>
      <c r="B3459" s="23" t="n"/>
      <c r="C3459" s="24" t="n"/>
      <c r="D3459" s="15" t="n"/>
      <c r="E3459" s="23" t="n"/>
      <c r="F3459" s="15" t="n"/>
      <c r="G3459" s="23" t="n"/>
      <c r="H3459" s="25" t="n"/>
      <c r="I3459" s="15" t="n"/>
      <c r="J3459" s="26">
        <f>IF($A3459="","",LEN($C3459)-LEN(SUBSTITUTE($C3459,",",""))+1)</f>
        <v/>
      </c>
      <c r="K3459" s="26">
        <f>IF($A3459="","",SUMPRODUCT(--ISNUMBER(SEARCH('Category Dictionary'!$D$5:$D$135&amp;"",$C3459)),--('Category Dictionary'!$D$5:$D$135&lt;&gt;"")))</f>
        <v/>
      </c>
      <c r="L3459" s="27">
        <f>IF($A3459="","",TRIM(IF(ISERROR(FIND(",",$C3459)),$C3459,LEFT($C3459,FIND(",",$C3459)-1))))</f>
        <v/>
      </c>
      <c r="M3459" s="28">
        <f>IF($H3459="","",DATE(YEAR($H3459),MONTH($H3459),1))</f>
        <v/>
      </c>
      <c r="N3459" s="26">
        <f>IF($H3459="","",TODAY()-$H3459)</f>
        <v/>
      </c>
      <c r="O3459" s="15" t="n"/>
      <c r="P3459" s="26">
        <f>IF($A3459="","",COUNTIFS('Audit Versions'!$A$6:$A$605,$A3459,'Audit Versions'!$L$6:$L$605,"Active"))</f>
        <v/>
      </c>
      <c r="Q3459" s="15" t="n"/>
      <c r="R3459" s="26">
        <f>IF(OR($A3459="",$P3459=0),"",MOD(N($Q3459),$P3459)+1)</f>
        <v/>
      </c>
      <c r="S3459" s="15" t="n"/>
      <c r="T3459" s="25" t="n"/>
      <c r="U3459" s="26">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Builder'!$B$12="",N($S3459)&lt;='Assignment Builder'!$B$12)))</f>
        <v/>
      </c>
      <c r="V3459" s="23" t="n"/>
    </row>
    <row r="3460">
      <c r="A3460" s="23" t="n"/>
      <c r="B3460" s="23" t="n"/>
      <c r="C3460" s="24" t="n"/>
      <c r="D3460" s="15" t="n"/>
      <c r="E3460" s="23" t="n"/>
      <c r="F3460" s="15" t="n"/>
      <c r="G3460" s="23" t="n"/>
      <c r="H3460" s="25" t="n"/>
      <c r="I3460" s="15" t="n"/>
      <c r="J3460" s="26">
        <f>IF($A3460="","",LEN($C3460)-LEN(SUBSTITUTE($C3460,",",""))+1)</f>
        <v/>
      </c>
      <c r="K3460" s="26">
        <f>IF($A3460="","",SUMPRODUCT(--ISNUMBER(SEARCH('Category Dictionary'!$D$5:$D$135&amp;"",$C3460)),--('Category Dictionary'!$D$5:$D$135&lt;&gt;"")))</f>
        <v/>
      </c>
      <c r="L3460" s="27">
        <f>IF($A3460="","",TRIM(IF(ISERROR(FIND(",",$C3460)),$C3460,LEFT($C3460,FIND(",",$C3460)-1))))</f>
        <v/>
      </c>
      <c r="M3460" s="28">
        <f>IF($H3460="","",DATE(YEAR($H3460),MONTH($H3460),1))</f>
        <v/>
      </c>
      <c r="N3460" s="26">
        <f>IF($H3460="","",TODAY()-$H3460)</f>
        <v/>
      </c>
      <c r="O3460" s="15" t="n"/>
      <c r="P3460" s="26">
        <f>IF($A3460="","",COUNTIFS('Audit Versions'!$A$6:$A$605,$A3460,'Audit Versions'!$L$6:$L$605,"Active"))</f>
        <v/>
      </c>
      <c r="Q3460" s="15" t="n"/>
      <c r="R3460" s="26">
        <f>IF(OR($A3460="",$P3460=0),"",MOD(N($Q3460),$P3460)+1)</f>
        <v/>
      </c>
      <c r="S3460" s="15" t="n"/>
      <c r="T3460" s="25" t="n"/>
      <c r="U3460" s="26">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Builder'!$B$12="",N($S3460)&lt;='Assignment Builder'!$B$12)))</f>
        <v/>
      </c>
      <c r="V3460" s="23" t="n"/>
    </row>
    <row r="3461">
      <c r="A3461" s="23" t="n"/>
      <c r="B3461" s="23" t="n"/>
      <c r="C3461" s="24" t="n"/>
      <c r="D3461" s="15" t="n"/>
      <c r="E3461" s="23" t="n"/>
      <c r="F3461" s="15" t="n"/>
      <c r="G3461" s="23" t="n"/>
      <c r="H3461" s="25" t="n"/>
      <c r="I3461" s="15" t="n"/>
      <c r="J3461" s="26">
        <f>IF($A3461="","",LEN($C3461)-LEN(SUBSTITUTE($C3461,",",""))+1)</f>
        <v/>
      </c>
      <c r="K3461" s="26">
        <f>IF($A3461="","",SUMPRODUCT(--ISNUMBER(SEARCH('Category Dictionary'!$D$5:$D$135&amp;"",$C3461)),--('Category Dictionary'!$D$5:$D$135&lt;&gt;"")))</f>
        <v/>
      </c>
      <c r="L3461" s="27">
        <f>IF($A3461="","",TRIM(IF(ISERROR(FIND(",",$C3461)),$C3461,LEFT($C3461,FIND(",",$C3461)-1))))</f>
        <v/>
      </c>
      <c r="M3461" s="28">
        <f>IF($H3461="","",DATE(YEAR($H3461),MONTH($H3461),1))</f>
        <v/>
      </c>
      <c r="N3461" s="26">
        <f>IF($H3461="","",TODAY()-$H3461)</f>
        <v/>
      </c>
      <c r="O3461" s="15" t="n"/>
      <c r="P3461" s="26">
        <f>IF($A3461="","",COUNTIFS('Audit Versions'!$A$6:$A$605,$A3461,'Audit Versions'!$L$6:$L$605,"Active"))</f>
        <v/>
      </c>
      <c r="Q3461" s="15" t="n"/>
      <c r="R3461" s="26">
        <f>IF(OR($A3461="",$P3461=0),"",MOD(N($Q3461),$P3461)+1)</f>
        <v/>
      </c>
      <c r="S3461" s="15" t="n"/>
      <c r="T3461" s="25" t="n"/>
      <c r="U3461" s="26">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Builder'!$B$12="",N($S3461)&lt;='Assignment Builder'!$B$12)))</f>
        <v/>
      </c>
      <c r="V3461" s="23" t="n"/>
    </row>
    <row r="3462">
      <c r="A3462" s="23" t="n"/>
      <c r="B3462" s="23" t="n"/>
      <c r="C3462" s="24" t="n"/>
      <c r="D3462" s="15" t="n"/>
      <c r="E3462" s="23" t="n"/>
      <c r="F3462" s="15" t="n"/>
      <c r="G3462" s="23" t="n"/>
      <c r="H3462" s="25" t="n"/>
      <c r="I3462" s="15" t="n"/>
      <c r="J3462" s="26">
        <f>IF($A3462="","",LEN($C3462)-LEN(SUBSTITUTE($C3462,",",""))+1)</f>
        <v/>
      </c>
      <c r="K3462" s="26">
        <f>IF($A3462="","",SUMPRODUCT(--ISNUMBER(SEARCH('Category Dictionary'!$D$5:$D$135&amp;"",$C3462)),--('Category Dictionary'!$D$5:$D$135&lt;&gt;"")))</f>
        <v/>
      </c>
      <c r="L3462" s="27">
        <f>IF($A3462="","",TRIM(IF(ISERROR(FIND(",",$C3462)),$C3462,LEFT($C3462,FIND(",",$C3462)-1))))</f>
        <v/>
      </c>
      <c r="M3462" s="28">
        <f>IF($H3462="","",DATE(YEAR($H3462),MONTH($H3462),1))</f>
        <v/>
      </c>
      <c r="N3462" s="26">
        <f>IF($H3462="","",TODAY()-$H3462)</f>
        <v/>
      </c>
      <c r="O3462" s="15" t="n"/>
      <c r="P3462" s="26">
        <f>IF($A3462="","",COUNTIFS('Audit Versions'!$A$6:$A$605,$A3462,'Audit Versions'!$L$6:$L$605,"Active"))</f>
        <v/>
      </c>
      <c r="Q3462" s="15" t="n"/>
      <c r="R3462" s="26">
        <f>IF(OR($A3462="",$P3462=0),"",MOD(N($Q3462),$P3462)+1)</f>
        <v/>
      </c>
      <c r="S3462" s="15" t="n"/>
      <c r="T3462" s="25" t="n"/>
      <c r="U3462" s="26">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Builder'!$B$12="",N($S3462)&lt;='Assignment Builder'!$B$12)))</f>
        <v/>
      </c>
      <c r="V3462" s="23" t="n"/>
    </row>
    <row r="3463">
      <c r="A3463" s="23" t="n"/>
      <c r="B3463" s="23" t="n"/>
      <c r="C3463" s="24" t="n"/>
      <c r="D3463" s="15" t="n"/>
      <c r="E3463" s="23" t="n"/>
      <c r="F3463" s="15" t="n"/>
      <c r="G3463" s="23" t="n"/>
      <c r="H3463" s="25" t="n"/>
      <c r="I3463" s="15" t="n"/>
      <c r="J3463" s="26">
        <f>IF($A3463="","",LEN($C3463)-LEN(SUBSTITUTE($C3463,",",""))+1)</f>
        <v/>
      </c>
      <c r="K3463" s="26">
        <f>IF($A3463="","",SUMPRODUCT(--ISNUMBER(SEARCH('Category Dictionary'!$D$5:$D$135&amp;"",$C3463)),--('Category Dictionary'!$D$5:$D$135&lt;&gt;"")))</f>
        <v/>
      </c>
      <c r="L3463" s="27">
        <f>IF($A3463="","",TRIM(IF(ISERROR(FIND(",",$C3463)),$C3463,LEFT($C3463,FIND(",",$C3463)-1))))</f>
        <v/>
      </c>
      <c r="M3463" s="28">
        <f>IF($H3463="","",DATE(YEAR($H3463),MONTH($H3463),1))</f>
        <v/>
      </c>
      <c r="N3463" s="26">
        <f>IF($H3463="","",TODAY()-$H3463)</f>
        <v/>
      </c>
      <c r="O3463" s="15" t="n"/>
      <c r="P3463" s="26">
        <f>IF($A3463="","",COUNTIFS('Audit Versions'!$A$6:$A$605,$A3463,'Audit Versions'!$L$6:$L$605,"Active"))</f>
        <v/>
      </c>
      <c r="Q3463" s="15" t="n"/>
      <c r="R3463" s="26">
        <f>IF(OR($A3463="",$P3463=0),"",MOD(N($Q3463),$P3463)+1)</f>
        <v/>
      </c>
      <c r="S3463" s="15" t="n"/>
      <c r="T3463" s="25" t="n"/>
      <c r="U3463" s="26">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Builder'!$B$12="",N($S3463)&lt;='Assignment Builder'!$B$12)))</f>
        <v/>
      </c>
      <c r="V3463" s="23" t="n"/>
    </row>
    <row r="3464">
      <c r="A3464" s="23" t="n"/>
      <c r="B3464" s="23" t="n"/>
      <c r="C3464" s="24" t="n"/>
      <c r="D3464" s="15" t="n"/>
      <c r="E3464" s="23" t="n"/>
      <c r="F3464" s="15" t="n"/>
      <c r="G3464" s="23" t="n"/>
      <c r="H3464" s="25" t="n"/>
      <c r="I3464" s="15" t="n"/>
      <c r="J3464" s="26">
        <f>IF($A3464="","",LEN($C3464)-LEN(SUBSTITUTE($C3464,",",""))+1)</f>
        <v/>
      </c>
      <c r="K3464" s="26">
        <f>IF($A3464="","",SUMPRODUCT(--ISNUMBER(SEARCH('Category Dictionary'!$D$5:$D$135&amp;"",$C3464)),--('Category Dictionary'!$D$5:$D$135&lt;&gt;"")))</f>
        <v/>
      </c>
      <c r="L3464" s="27">
        <f>IF($A3464="","",TRIM(IF(ISERROR(FIND(",",$C3464)),$C3464,LEFT($C3464,FIND(",",$C3464)-1))))</f>
        <v/>
      </c>
      <c r="M3464" s="28">
        <f>IF($H3464="","",DATE(YEAR($H3464),MONTH($H3464),1))</f>
        <v/>
      </c>
      <c r="N3464" s="26">
        <f>IF($H3464="","",TODAY()-$H3464)</f>
        <v/>
      </c>
      <c r="O3464" s="15" t="n"/>
      <c r="P3464" s="26">
        <f>IF($A3464="","",COUNTIFS('Audit Versions'!$A$6:$A$605,$A3464,'Audit Versions'!$L$6:$L$605,"Active"))</f>
        <v/>
      </c>
      <c r="Q3464" s="15" t="n"/>
      <c r="R3464" s="26">
        <f>IF(OR($A3464="",$P3464=0),"",MOD(N($Q3464),$P3464)+1)</f>
        <v/>
      </c>
      <c r="S3464" s="15" t="n"/>
      <c r="T3464" s="25" t="n"/>
      <c r="U3464" s="26">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Builder'!$B$12="",N($S3464)&lt;='Assignment Builder'!$B$12)))</f>
        <v/>
      </c>
      <c r="V3464" s="23" t="n"/>
    </row>
    <row r="3465">
      <c r="A3465" s="23" t="n"/>
      <c r="B3465" s="23" t="n"/>
      <c r="C3465" s="24" t="n"/>
      <c r="D3465" s="15" t="n"/>
      <c r="E3465" s="23" t="n"/>
      <c r="F3465" s="15" t="n"/>
      <c r="G3465" s="23" t="n"/>
      <c r="H3465" s="25" t="n"/>
      <c r="I3465" s="15" t="n"/>
      <c r="J3465" s="26">
        <f>IF($A3465="","",LEN($C3465)-LEN(SUBSTITUTE($C3465,",",""))+1)</f>
        <v/>
      </c>
      <c r="K3465" s="26">
        <f>IF($A3465="","",SUMPRODUCT(--ISNUMBER(SEARCH('Category Dictionary'!$D$5:$D$135&amp;"",$C3465)),--('Category Dictionary'!$D$5:$D$135&lt;&gt;"")))</f>
        <v/>
      </c>
      <c r="L3465" s="27">
        <f>IF($A3465="","",TRIM(IF(ISERROR(FIND(",",$C3465)),$C3465,LEFT($C3465,FIND(",",$C3465)-1))))</f>
        <v/>
      </c>
      <c r="M3465" s="28">
        <f>IF($H3465="","",DATE(YEAR($H3465),MONTH($H3465),1))</f>
        <v/>
      </c>
      <c r="N3465" s="26">
        <f>IF($H3465="","",TODAY()-$H3465)</f>
        <v/>
      </c>
      <c r="O3465" s="15" t="n"/>
      <c r="P3465" s="26">
        <f>IF($A3465="","",COUNTIFS('Audit Versions'!$A$6:$A$605,$A3465,'Audit Versions'!$L$6:$L$605,"Active"))</f>
        <v/>
      </c>
      <c r="Q3465" s="15" t="n"/>
      <c r="R3465" s="26">
        <f>IF(OR($A3465="",$P3465=0),"",MOD(N($Q3465),$P3465)+1)</f>
        <v/>
      </c>
      <c r="S3465" s="15" t="n"/>
      <c r="T3465" s="25" t="n"/>
      <c r="U3465" s="26">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Builder'!$B$12="",N($S3465)&lt;='Assignment Builder'!$B$12)))</f>
        <v/>
      </c>
      <c r="V3465" s="23" t="n"/>
    </row>
    <row r="3466">
      <c r="A3466" s="23" t="n"/>
      <c r="B3466" s="23" t="n"/>
      <c r="C3466" s="24" t="n"/>
      <c r="D3466" s="15" t="n"/>
      <c r="E3466" s="23" t="n"/>
      <c r="F3466" s="15" t="n"/>
      <c r="G3466" s="23" t="n"/>
      <c r="H3466" s="25" t="n"/>
      <c r="I3466" s="15" t="n"/>
      <c r="J3466" s="26">
        <f>IF($A3466="","",LEN($C3466)-LEN(SUBSTITUTE($C3466,",",""))+1)</f>
        <v/>
      </c>
      <c r="K3466" s="26">
        <f>IF($A3466="","",SUMPRODUCT(--ISNUMBER(SEARCH('Category Dictionary'!$D$5:$D$135&amp;"",$C3466)),--('Category Dictionary'!$D$5:$D$135&lt;&gt;"")))</f>
        <v/>
      </c>
      <c r="L3466" s="27">
        <f>IF($A3466="","",TRIM(IF(ISERROR(FIND(",",$C3466)),$C3466,LEFT($C3466,FIND(",",$C3466)-1))))</f>
        <v/>
      </c>
      <c r="M3466" s="28">
        <f>IF($H3466="","",DATE(YEAR($H3466),MONTH($H3466),1))</f>
        <v/>
      </c>
      <c r="N3466" s="26">
        <f>IF($H3466="","",TODAY()-$H3466)</f>
        <v/>
      </c>
      <c r="O3466" s="15" t="n"/>
      <c r="P3466" s="26">
        <f>IF($A3466="","",COUNTIFS('Audit Versions'!$A$6:$A$605,$A3466,'Audit Versions'!$L$6:$L$605,"Active"))</f>
        <v/>
      </c>
      <c r="Q3466" s="15" t="n"/>
      <c r="R3466" s="26">
        <f>IF(OR($A3466="",$P3466=0),"",MOD(N($Q3466),$P3466)+1)</f>
        <v/>
      </c>
      <c r="S3466" s="15" t="n"/>
      <c r="T3466" s="25" t="n"/>
      <c r="U3466" s="26">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Builder'!$B$12="",N($S3466)&lt;='Assignment Builder'!$B$12)))</f>
        <v/>
      </c>
      <c r="V3466" s="23" t="n"/>
    </row>
    <row r="3467">
      <c r="A3467" s="23" t="n"/>
      <c r="B3467" s="23" t="n"/>
      <c r="C3467" s="24" t="n"/>
      <c r="D3467" s="15" t="n"/>
      <c r="E3467" s="23" t="n"/>
      <c r="F3467" s="15" t="n"/>
      <c r="G3467" s="23" t="n"/>
      <c r="H3467" s="25" t="n"/>
      <c r="I3467" s="15" t="n"/>
      <c r="J3467" s="26">
        <f>IF($A3467="","",LEN($C3467)-LEN(SUBSTITUTE($C3467,",",""))+1)</f>
        <v/>
      </c>
      <c r="K3467" s="26">
        <f>IF($A3467="","",SUMPRODUCT(--ISNUMBER(SEARCH('Category Dictionary'!$D$5:$D$135&amp;"",$C3467)),--('Category Dictionary'!$D$5:$D$135&lt;&gt;"")))</f>
        <v/>
      </c>
      <c r="L3467" s="27">
        <f>IF($A3467="","",TRIM(IF(ISERROR(FIND(",",$C3467)),$C3467,LEFT($C3467,FIND(",",$C3467)-1))))</f>
        <v/>
      </c>
      <c r="M3467" s="28">
        <f>IF($H3467="","",DATE(YEAR($H3467),MONTH($H3467),1))</f>
        <v/>
      </c>
      <c r="N3467" s="26">
        <f>IF($H3467="","",TODAY()-$H3467)</f>
        <v/>
      </c>
      <c r="O3467" s="15" t="n"/>
      <c r="P3467" s="26">
        <f>IF($A3467="","",COUNTIFS('Audit Versions'!$A$6:$A$605,$A3467,'Audit Versions'!$L$6:$L$605,"Active"))</f>
        <v/>
      </c>
      <c r="Q3467" s="15" t="n"/>
      <c r="R3467" s="26">
        <f>IF(OR($A3467="",$P3467=0),"",MOD(N($Q3467),$P3467)+1)</f>
        <v/>
      </c>
      <c r="S3467" s="15" t="n"/>
      <c r="T3467" s="25" t="n"/>
      <c r="U3467" s="26">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Builder'!$B$12="",N($S3467)&lt;='Assignment Builder'!$B$12)))</f>
        <v/>
      </c>
      <c r="V3467" s="23" t="n"/>
    </row>
    <row r="3468">
      <c r="A3468" s="23" t="n"/>
      <c r="B3468" s="23" t="n"/>
      <c r="C3468" s="24" t="n"/>
      <c r="D3468" s="15" t="n"/>
      <c r="E3468" s="23" t="n"/>
      <c r="F3468" s="15" t="n"/>
      <c r="G3468" s="23" t="n"/>
      <c r="H3468" s="25" t="n"/>
      <c r="I3468" s="15" t="n"/>
      <c r="J3468" s="26">
        <f>IF($A3468="","",LEN($C3468)-LEN(SUBSTITUTE($C3468,",",""))+1)</f>
        <v/>
      </c>
      <c r="K3468" s="26">
        <f>IF($A3468="","",SUMPRODUCT(--ISNUMBER(SEARCH('Category Dictionary'!$D$5:$D$135&amp;"",$C3468)),--('Category Dictionary'!$D$5:$D$135&lt;&gt;"")))</f>
        <v/>
      </c>
      <c r="L3468" s="27">
        <f>IF($A3468="","",TRIM(IF(ISERROR(FIND(",",$C3468)),$C3468,LEFT($C3468,FIND(",",$C3468)-1))))</f>
        <v/>
      </c>
      <c r="M3468" s="28">
        <f>IF($H3468="","",DATE(YEAR($H3468),MONTH($H3468),1))</f>
        <v/>
      </c>
      <c r="N3468" s="26">
        <f>IF($H3468="","",TODAY()-$H3468)</f>
        <v/>
      </c>
      <c r="O3468" s="15" t="n"/>
      <c r="P3468" s="26">
        <f>IF($A3468="","",COUNTIFS('Audit Versions'!$A$6:$A$605,$A3468,'Audit Versions'!$L$6:$L$605,"Active"))</f>
        <v/>
      </c>
      <c r="Q3468" s="15" t="n"/>
      <c r="R3468" s="26">
        <f>IF(OR($A3468="",$P3468=0),"",MOD(N($Q3468),$P3468)+1)</f>
        <v/>
      </c>
      <c r="S3468" s="15" t="n"/>
      <c r="T3468" s="25" t="n"/>
      <c r="U3468" s="26">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Builder'!$B$12="",N($S3468)&lt;='Assignment Builder'!$B$12)))</f>
        <v/>
      </c>
      <c r="V3468" s="23" t="n"/>
    </row>
    <row r="3469">
      <c r="A3469" s="23" t="n"/>
      <c r="B3469" s="23" t="n"/>
      <c r="C3469" s="24" t="n"/>
      <c r="D3469" s="15" t="n"/>
      <c r="E3469" s="23" t="n"/>
      <c r="F3469" s="15" t="n"/>
      <c r="G3469" s="23" t="n"/>
      <c r="H3469" s="25" t="n"/>
      <c r="I3469" s="15" t="n"/>
      <c r="J3469" s="26">
        <f>IF($A3469="","",LEN($C3469)-LEN(SUBSTITUTE($C3469,",",""))+1)</f>
        <v/>
      </c>
      <c r="K3469" s="26">
        <f>IF($A3469="","",SUMPRODUCT(--ISNUMBER(SEARCH('Category Dictionary'!$D$5:$D$135&amp;"",$C3469)),--('Category Dictionary'!$D$5:$D$135&lt;&gt;"")))</f>
        <v/>
      </c>
      <c r="L3469" s="27">
        <f>IF($A3469="","",TRIM(IF(ISERROR(FIND(",",$C3469)),$C3469,LEFT($C3469,FIND(",",$C3469)-1))))</f>
        <v/>
      </c>
      <c r="M3469" s="28">
        <f>IF($H3469="","",DATE(YEAR($H3469),MONTH($H3469),1))</f>
        <v/>
      </c>
      <c r="N3469" s="26">
        <f>IF($H3469="","",TODAY()-$H3469)</f>
        <v/>
      </c>
      <c r="O3469" s="15" t="n"/>
      <c r="P3469" s="26">
        <f>IF($A3469="","",COUNTIFS('Audit Versions'!$A$6:$A$605,$A3469,'Audit Versions'!$L$6:$L$605,"Active"))</f>
        <v/>
      </c>
      <c r="Q3469" s="15" t="n"/>
      <c r="R3469" s="26">
        <f>IF(OR($A3469="",$P3469=0),"",MOD(N($Q3469),$P3469)+1)</f>
        <v/>
      </c>
      <c r="S3469" s="15" t="n"/>
      <c r="T3469" s="25" t="n"/>
      <c r="U3469" s="26">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Builder'!$B$12="",N($S3469)&lt;='Assignment Builder'!$B$12)))</f>
        <v/>
      </c>
      <c r="V3469" s="23" t="n"/>
    </row>
    <row r="3470">
      <c r="A3470" s="23" t="n"/>
      <c r="B3470" s="23" t="n"/>
      <c r="C3470" s="24" t="n"/>
      <c r="D3470" s="15" t="n"/>
      <c r="E3470" s="23" t="n"/>
      <c r="F3470" s="15" t="n"/>
      <c r="G3470" s="23" t="n"/>
      <c r="H3470" s="25" t="n"/>
      <c r="I3470" s="15" t="n"/>
      <c r="J3470" s="26">
        <f>IF($A3470="","",LEN($C3470)-LEN(SUBSTITUTE($C3470,",",""))+1)</f>
        <v/>
      </c>
      <c r="K3470" s="26">
        <f>IF($A3470="","",SUMPRODUCT(--ISNUMBER(SEARCH('Category Dictionary'!$D$5:$D$135&amp;"",$C3470)),--('Category Dictionary'!$D$5:$D$135&lt;&gt;"")))</f>
        <v/>
      </c>
      <c r="L3470" s="27">
        <f>IF($A3470="","",TRIM(IF(ISERROR(FIND(",",$C3470)),$C3470,LEFT($C3470,FIND(",",$C3470)-1))))</f>
        <v/>
      </c>
      <c r="M3470" s="28">
        <f>IF($H3470="","",DATE(YEAR($H3470),MONTH($H3470),1))</f>
        <v/>
      </c>
      <c r="N3470" s="26">
        <f>IF($H3470="","",TODAY()-$H3470)</f>
        <v/>
      </c>
      <c r="O3470" s="15" t="n"/>
      <c r="P3470" s="26">
        <f>IF($A3470="","",COUNTIFS('Audit Versions'!$A$6:$A$605,$A3470,'Audit Versions'!$L$6:$L$605,"Active"))</f>
        <v/>
      </c>
      <c r="Q3470" s="15" t="n"/>
      <c r="R3470" s="26">
        <f>IF(OR($A3470="",$P3470=0),"",MOD(N($Q3470),$P3470)+1)</f>
        <v/>
      </c>
      <c r="S3470" s="15" t="n"/>
      <c r="T3470" s="25" t="n"/>
      <c r="U3470" s="26">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Builder'!$B$12="",N($S3470)&lt;='Assignment Builder'!$B$12)))</f>
        <v/>
      </c>
      <c r="V3470" s="23" t="n"/>
    </row>
    <row r="3471">
      <c r="A3471" s="23" t="n"/>
      <c r="B3471" s="23" t="n"/>
      <c r="C3471" s="24" t="n"/>
      <c r="D3471" s="15" t="n"/>
      <c r="E3471" s="23" t="n"/>
      <c r="F3471" s="15" t="n"/>
      <c r="G3471" s="23" t="n"/>
      <c r="H3471" s="25" t="n"/>
      <c r="I3471" s="15" t="n"/>
      <c r="J3471" s="26">
        <f>IF($A3471="","",LEN($C3471)-LEN(SUBSTITUTE($C3471,",",""))+1)</f>
        <v/>
      </c>
      <c r="K3471" s="26">
        <f>IF($A3471="","",SUMPRODUCT(--ISNUMBER(SEARCH('Category Dictionary'!$D$5:$D$135&amp;"",$C3471)),--('Category Dictionary'!$D$5:$D$135&lt;&gt;"")))</f>
        <v/>
      </c>
      <c r="L3471" s="27">
        <f>IF($A3471="","",TRIM(IF(ISERROR(FIND(",",$C3471)),$C3471,LEFT($C3471,FIND(",",$C3471)-1))))</f>
        <v/>
      </c>
      <c r="M3471" s="28">
        <f>IF($H3471="","",DATE(YEAR($H3471),MONTH($H3471),1))</f>
        <v/>
      </c>
      <c r="N3471" s="26">
        <f>IF($H3471="","",TODAY()-$H3471)</f>
        <v/>
      </c>
      <c r="O3471" s="15" t="n"/>
      <c r="P3471" s="26">
        <f>IF($A3471="","",COUNTIFS('Audit Versions'!$A$6:$A$605,$A3471,'Audit Versions'!$L$6:$L$605,"Active"))</f>
        <v/>
      </c>
      <c r="Q3471" s="15" t="n"/>
      <c r="R3471" s="26">
        <f>IF(OR($A3471="",$P3471=0),"",MOD(N($Q3471),$P3471)+1)</f>
        <v/>
      </c>
      <c r="S3471" s="15" t="n"/>
      <c r="T3471" s="25" t="n"/>
      <c r="U3471" s="26">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Builder'!$B$12="",N($S3471)&lt;='Assignment Builder'!$B$12)))</f>
        <v/>
      </c>
      <c r="V3471" s="23" t="n"/>
    </row>
    <row r="3472">
      <c r="A3472" s="23" t="n"/>
      <c r="B3472" s="23" t="n"/>
      <c r="C3472" s="24" t="n"/>
      <c r="D3472" s="15" t="n"/>
      <c r="E3472" s="23" t="n"/>
      <c r="F3472" s="15" t="n"/>
      <c r="G3472" s="23" t="n"/>
      <c r="H3472" s="25" t="n"/>
      <c r="I3472" s="15" t="n"/>
      <c r="J3472" s="26">
        <f>IF($A3472="","",LEN($C3472)-LEN(SUBSTITUTE($C3472,",",""))+1)</f>
        <v/>
      </c>
      <c r="K3472" s="26">
        <f>IF($A3472="","",SUMPRODUCT(--ISNUMBER(SEARCH('Category Dictionary'!$D$5:$D$135&amp;"",$C3472)),--('Category Dictionary'!$D$5:$D$135&lt;&gt;"")))</f>
        <v/>
      </c>
      <c r="L3472" s="27">
        <f>IF($A3472="","",TRIM(IF(ISERROR(FIND(",",$C3472)),$C3472,LEFT($C3472,FIND(",",$C3472)-1))))</f>
        <v/>
      </c>
      <c r="M3472" s="28">
        <f>IF($H3472="","",DATE(YEAR($H3472),MONTH($H3472),1))</f>
        <v/>
      </c>
      <c r="N3472" s="26">
        <f>IF($H3472="","",TODAY()-$H3472)</f>
        <v/>
      </c>
      <c r="O3472" s="15" t="n"/>
      <c r="P3472" s="26">
        <f>IF($A3472="","",COUNTIFS('Audit Versions'!$A$6:$A$605,$A3472,'Audit Versions'!$L$6:$L$605,"Active"))</f>
        <v/>
      </c>
      <c r="Q3472" s="15" t="n"/>
      <c r="R3472" s="26">
        <f>IF(OR($A3472="",$P3472=0),"",MOD(N($Q3472),$P3472)+1)</f>
        <v/>
      </c>
      <c r="S3472" s="15" t="n"/>
      <c r="T3472" s="25" t="n"/>
      <c r="U3472" s="26">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Builder'!$B$12="",N($S3472)&lt;='Assignment Builder'!$B$12)))</f>
        <v/>
      </c>
      <c r="V3472" s="23" t="n"/>
    </row>
    <row r="3473">
      <c r="A3473" s="23" t="n"/>
      <c r="B3473" s="23" t="n"/>
      <c r="C3473" s="24" t="n"/>
      <c r="D3473" s="15" t="n"/>
      <c r="E3473" s="23" t="n"/>
      <c r="F3473" s="15" t="n"/>
      <c r="G3473" s="23" t="n"/>
      <c r="H3473" s="25" t="n"/>
      <c r="I3473" s="15" t="n"/>
      <c r="J3473" s="26">
        <f>IF($A3473="","",LEN($C3473)-LEN(SUBSTITUTE($C3473,",",""))+1)</f>
        <v/>
      </c>
      <c r="K3473" s="26">
        <f>IF($A3473="","",SUMPRODUCT(--ISNUMBER(SEARCH('Category Dictionary'!$D$5:$D$135&amp;"",$C3473)),--('Category Dictionary'!$D$5:$D$135&lt;&gt;"")))</f>
        <v/>
      </c>
      <c r="L3473" s="27">
        <f>IF($A3473="","",TRIM(IF(ISERROR(FIND(",",$C3473)),$C3473,LEFT($C3473,FIND(",",$C3473)-1))))</f>
        <v/>
      </c>
      <c r="M3473" s="28">
        <f>IF($H3473="","",DATE(YEAR($H3473),MONTH($H3473),1))</f>
        <v/>
      </c>
      <c r="N3473" s="26">
        <f>IF($H3473="","",TODAY()-$H3473)</f>
        <v/>
      </c>
      <c r="O3473" s="15" t="n"/>
      <c r="P3473" s="26">
        <f>IF($A3473="","",COUNTIFS('Audit Versions'!$A$6:$A$605,$A3473,'Audit Versions'!$L$6:$L$605,"Active"))</f>
        <v/>
      </c>
      <c r="Q3473" s="15" t="n"/>
      <c r="R3473" s="26">
        <f>IF(OR($A3473="",$P3473=0),"",MOD(N($Q3473),$P3473)+1)</f>
        <v/>
      </c>
      <c r="S3473" s="15" t="n"/>
      <c r="T3473" s="25" t="n"/>
      <c r="U3473" s="26">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Builder'!$B$12="",N($S3473)&lt;='Assignment Builder'!$B$12)))</f>
        <v/>
      </c>
      <c r="V3473" s="23" t="n"/>
    </row>
    <row r="3474">
      <c r="A3474" s="23" t="n"/>
      <c r="B3474" s="23" t="n"/>
      <c r="C3474" s="24" t="n"/>
      <c r="D3474" s="15" t="n"/>
      <c r="E3474" s="23" t="n"/>
      <c r="F3474" s="15" t="n"/>
      <c r="G3474" s="23" t="n"/>
      <c r="H3474" s="25" t="n"/>
      <c r="I3474" s="15" t="n"/>
      <c r="J3474" s="26">
        <f>IF($A3474="","",LEN($C3474)-LEN(SUBSTITUTE($C3474,",",""))+1)</f>
        <v/>
      </c>
      <c r="K3474" s="26">
        <f>IF($A3474="","",SUMPRODUCT(--ISNUMBER(SEARCH('Category Dictionary'!$D$5:$D$135&amp;"",$C3474)),--('Category Dictionary'!$D$5:$D$135&lt;&gt;"")))</f>
        <v/>
      </c>
      <c r="L3474" s="27">
        <f>IF($A3474="","",TRIM(IF(ISERROR(FIND(",",$C3474)),$C3474,LEFT($C3474,FIND(",",$C3474)-1))))</f>
        <v/>
      </c>
      <c r="M3474" s="28">
        <f>IF($H3474="","",DATE(YEAR($H3474),MONTH($H3474),1))</f>
        <v/>
      </c>
      <c r="N3474" s="26">
        <f>IF($H3474="","",TODAY()-$H3474)</f>
        <v/>
      </c>
      <c r="O3474" s="15" t="n"/>
      <c r="P3474" s="26">
        <f>IF($A3474="","",COUNTIFS('Audit Versions'!$A$6:$A$605,$A3474,'Audit Versions'!$L$6:$L$605,"Active"))</f>
        <v/>
      </c>
      <c r="Q3474" s="15" t="n"/>
      <c r="R3474" s="26">
        <f>IF(OR($A3474="",$P3474=0),"",MOD(N($Q3474),$P3474)+1)</f>
        <v/>
      </c>
      <c r="S3474" s="15" t="n"/>
      <c r="T3474" s="25" t="n"/>
      <c r="U3474" s="26">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Builder'!$B$12="",N($S3474)&lt;='Assignment Builder'!$B$12)))</f>
        <v/>
      </c>
      <c r="V3474" s="23" t="n"/>
    </row>
    <row r="3475">
      <c r="A3475" s="23" t="n"/>
      <c r="B3475" s="23" t="n"/>
      <c r="C3475" s="24" t="n"/>
      <c r="D3475" s="15" t="n"/>
      <c r="E3475" s="23" t="n"/>
      <c r="F3475" s="15" t="n"/>
      <c r="G3475" s="23" t="n"/>
      <c r="H3475" s="25" t="n"/>
      <c r="I3475" s="15" t="n"/>
      <c r="J3475" s="26">
        <f>IF($A3475="","",LEN($C3475)-LEN(SUBSTITUTE($C3475,",",""))+1)</f>
        <v/>
      </c>
      <c r="K3475" s="26">
        <f>IF($A3475="","",SUMPRODUCT(--ISNUMBER(SEARCH('Category Dictionary'!$D$5:$D$135&amp;"",$C3475)),--('Category Dictionary'!$D$5:$D$135&lt;&gt;"")))</f>
        <v/>
      </c>
      <c r="L3475" s="27">
        <f>IF($A3475="","",TRIM(IF(ISERROR(FIND(",",$C3475)),$C3475,LEFT($C3475,FIND(",",$C3475)-1))))</f>
        <v/>
      </c>
      <c r="M3475" s="28">
        <f>IF($H3475="","",DATE(YEAR($H3475),MONTH($H3475),1))</f>
        <v/>
      </c>
      <c r="N3475" s="26">
        <f>IF($H3475="","",TODAY()-$H3475)</f>
        <v/>
      </c>
      <c r="O3475" s="15" t="n"/>
      <c r="P3475" s="26">
        <f>IF($A3475="","",COUNTIFS('Audit Versions'!$A$6:$A$605,$A3475,'Audit Versions'!$L$6:$L$605,"Active"))</f>
        <v/>
      </c>
      <c r="Q3475" s="15" t="n"/>
      <c r="R3475" s="26">
        <f>IF(OR($A3475="",$P3475=0),"",MOD(N($Q3475),$P3475)+1)</f>
        <v/>
      </c>
      <c r="S3475" s="15" t="n"/>
      <c r="T3475" s="25" t="n"/>
      <c r="U3475" s="26">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Builder'!$B$12="",N($S3475)&lt;='Assignment Builder'!$B$12)))</f>
        <v/>
      </c>
      <c r="V3475" s="23" t="n"/>
    </row>
    <row r="3476">
      <c r="A3476" s="23" t="n"/>
      <c r="B3476" s="23" t="n"/>
      <c r="C3476" s="24" t="n"/>
      <c r="D3476" s="15" t="n"/>
      <c r="E3476" s="23" t="n"/>
      <c r="F3476" s="15" t="n"/>
      <c r="G3476" s="23" t="n"/>
      <c r="H3476" s="25" t="n"/>
      <c r="I3476" s="15" t="n"/>
      <c r="J3476" s="26">
        <f>IF($A3476="","",LEN($C3476)-LEN(SUBSTITUTE($C3476,",",""))+1)</f>
        <v/>
      </c>
      <c r="K3476" s="26">
        <f>IF($A3476="","",SUMPRODUCT(--ISNUMBER(SEARCH('Category Dictionary'!$D$5:$D$135&amp;"",$C3476)),--('Category Dictionary'!$D$5:$D$135&lt;&gt;"")))</f>
        <v/>
      </c>
      <c r="L3476" s="27">
        <f>IF($A3476="","",TRIM(IF(ISERROR(FIND(",",$C3476)),$C3476,LEFT($C3476,FIND(",",$C3476)-1))))</f>
        <v/>
      </c>
      <c r="M3476" s="28">
        <f>IF($H3476="","",DATE(YEAR($H3476),MONTH($H3476),1))</f>
        <v/>
      </c>
      <c r="N3476" s="26">
        <f>IF($H3476="","",TODAY()-$H3476)</f>
        <v/>
      </c>
      <c r="O3476" s="15" t="n"/>
      <c r="P3476" s="26">
        <f>IF($A3476="","",COUNTIFS('Audit Versions'!$A$6:$A$605,$A3476,'Audit Versions'!$L$6:$L$605,"Active"))</f>
        <v/>
      </c>
      <c r="Q3476" s="15" t="n"/>
      <c r="R3476" s="26">
        <f>IF(OR($A3476="",$P3476=0),"",MOD(N($Q3476),$P3476)+1)</f>
        <v/>
      </c>
      <c r="S3476" s="15" t="n"/>
      <c r="T3476" s="25" t="n"/>
      <c r="U3476" s="26">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Builder'!$B$12="",N($S3476)&lt;='Assignment Builder'!$B$12)))</f>
        <v/>
      </c>
      <c r="V3476" s="23" t="n"/>
    </row>
    <row r="3477">
      <c r="A3477" s="23" t="n"/>
      <c r="B3477" s="23" t="n"/>
      <c r="C3477" s="24" t="n"/>
      <c r="D3477" s="15" t="n"/>
      <c r="E3477" s="23" t="n"/>
      <c r="F3477" s="15" t="n"/>
      <c r="G3477" s="23" t="n"/>
      <c r="H3477" s="25" t="n"/>
      <c r="I3477" s="15" t="n"/>
      <c r="J3477" s="26">
        <f>IF($A3477="","",LEN($C3477)-LEN(SUBSTITUTE($C3477,",",""))+1)</f>
        <v/>
      </c>
      <c r="K3477" s="26">
        <f>IF($A3477="","",SUMPRODUCT(--ISNUMBER(SEARCH('Category Dictionary'!$D$5:$D$135&amp;"",$C3477)),--('Category Dictionary'!$D$5:$D$135&lt;&gt;"")))</f>
        <v/>
      </c>
      <c r="L3477" s="27">
        <f>IF($A3477="","",TRIM(IF(ISERROR(FIND(",",$C3477)),$C3477,LEFT($C3477,FIND(",",$C3477)-1))))</f>
        <v/>
      </c>
      <c r="M3477" s="28">
        <f>IF($H3477="","",DATE(YEAR($H3477),MONTH($H3477),1))</f>
        <v/>
      </c>
      <c r="N3477" s="26">
        <f>IF($H3477="","",TODAY()-$H3477)</f>
        <v/>
      </c>
      <c r="O3477" s="15" t="n"/>
      <c r="P3477" s="26">
        <f>IF($A3477="","",COUNTIFS('Audit Versions'!$A$6:$A$605,$A3477,'Audit Versions'!$L$6:$L$605,"Active"))</f>
        <v/>
      </c>
      <c r="Q3477" s="15" t="n"/>
      <c r="R3477" s="26">
        <f>IF(OR($A3477="",$P3477=0),"",MOD(N($Q3477),$P3477)+1)</f>
        <v/>
      </c>
      <c r="S3477" s="15" t="n"/>
      <c r="T3477" s="25" t="n"/>
      <c r="U3477" s="26">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Builder'!$B$12="",N($S3477)&lt;='Assignment Builder'!$B$12)))</f>
        <v/>
      </c>
      <c r="V3477" s="23" t="n"/>
    </row>
    <row r="3478">
      <c r="A3478" s="23" t="n"/>
      <c r="B3478" s="23" t="n"/>
      <c r="C3478" s="24" t="n"/>
      <c r="D3478" s="15" t="n"/>
      <c r="E3478" s="23" t="n"/>
      <c r="F3478" s="15" t="n"/>
      <c r="G3478" s="23" t="n"/>
      <c r="H3478" s="25" t="n"/>
      <c r="I3478" s="15" t="n"/>
      <c r="J3478" s="26">
        <f>IF($A3478="","",LEN($C3478)-LEN(SUBSTITUTE($C3478,",",""))+1)</f>
        <v/>
      </c>
      <c r="K3478" s="26">
        <f>IF($A3478="","",SUMPRODUCT(--ISNUMBER(SEARCH('Category Dictionary'!$D$5:$D$135&amp;"",$C3478)),--('Category Dictionary'!$D$5:$D$135&lt;&gt;"")))</f>
        <v/>
      </c>
      <c r="L3478" s="27">
        <f>IF($A3478="","",TRIM(IF(ISERROR(FIND(",",$C3478)),$C3478,LEFT($C3478,FIND(",",$C3478)-1))))</f>
        <v/>
      </c>
      <c r="M3478" s="28">
        <f>IF($H3478="","",DATE(YEAR($H3478),MONTH($H3478),1))</f>
        <v/>
      </c>
      <c r="N3478" s="26">
        <f>IF($H3478="","",TODAY()-$H3478)</f>
        <v/>
      </c>
      <c r="O3478" s="15" t="n"/>
      <c r="P3478" s="26">
        <f>IF($A3478="","",COUNTIFS('Audit Versions'!$A$6:$A$605,$A3478,'Audit Versions'!$L$6:$L$605,"Active"))</f>
        <v/>
      </c>
      <c r="Q3478" s="15" t="n"/>
      <c r="R3478" s="26">
        <f>IF(OR($A3478="",$P3478=0),"",MOD(N($Q3478),$P3478)+1)</f>
        <v/>
      </c>
      <c r="S3478" s="15" t="n"/>
      <c r="T3478" s="25" t="n"/>
      <c r="U3478" s="26">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Builder'!$B$12="",N($S3478)&lt;='Assignment Builder'!$B$12)))</f>
        <v/>
      </c>
      <c r="V3478" s="23" t="n"/>
    </row>
    <row r="3479">
      <c r="A3479" s="23" t="n"/>
      <c r="B3479" s="23" t="n"/>
      <c r="C3479" s="24" t="n"/>
      <c r="D3479" s="15" t="n"/>
      <c r="E3479" s="23" t="n"/>
      <c r="F3479" s="15" t="n"/>
      <c r="G3479" s="23" t="n"/>
      <c r="H3479" s="25" t="n"/>
      <c r="I3479" s="15" t="n"/>
      <c r="J3479" s="26">
        <f>IF($A3479="","",LEN($C3479)-LEN(SUBSTITUTE($C3479,",",""))+1)</f>
        <v/>
      </c>
      <c r="K3479" s="26">
        <f>IF($A3479="","",SUMPRODUCT(--ISNUMBER(SEARCH('Category Dictionary'!$D$5:$D$135&amp;"",$C3479)),--('Category Dictionary'!$D$5:$D$135&lt;&gt;"")))</f>
        <v/>
      </c>
      <c r="L3479" s="27">
        <f>IF($A3479="","",TRIM(IF(ISERROR(FIND(",",$C3479)),$C3479,LEFT($C3479,FIND(",",$C3479)-1))))</f>
        <v/>
      </c>
      <c r="M3479" s="28">
        <f>IF($H3479="","",DATE(YEAR($H3479),MONTH($H3479),1))</f>
        <v/>
      </c>
      <c r="N3479" s="26">
        <f>IF($H3479="","",TODAY()-$H3479)</f>
        <v/>
      </c>
      <c r="O3479" s="15" t="n"/>
      <c r="P3479" s="26">
        <f>IF($A3479="","",COUNTIFS('Audit Versions'!$A$6:$A$605,$A3479,'Audit Versions'!$L$6:$L$605,"Active"))</f>
        <v/>
      </c>
      <c r="Q3479" s="15" t="n"/>
      <c r="R3479" s="26">
        <f>IF(OR($A3479="",$P3479=0),"",MOD(N($Q3479),$P3479)+1)</f>
        <v/>
      </c>
      <c r="S3479" s="15" t="n"/>
      <c r="T3479" s="25" t="n"/>
      <c r="U3479" s="26">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Builder'!$B$12="",N($S3479)&lt;='Assignment Builder'!$B$12)))</f>
        <v/>
      </c>
      <c r="V3479" s="23" t="n"/>
    </row>
    <row r="3480">
      <c r="A3480" s="23" t="n"/>
      <c r="B3480" s="23" t="n"/>
      <c r="C3480" s="24" t="n"/>
      <c r="D3480" s="15" t="n"/>
      <c r="E3480" s="23" t="n"/>
      <c r="F3480" s="15" t="n"/>
      <c r="G3480" s="23" t="n"/>
      <c r="H3480" s="25" t="n"/>
      <c r="I3480" s="15" t="n"/>
      <c r="J3480" s="26">
        <f>IF($A3480="","",LEN($C3480)-LEN(SUBSTITUTE($C3480,",",""))+1)</f>
        <v/>
      </c>
      <c r="K3480" s="26">
        <f>IF($A3480="","",SUMPRODUCT(--ISNUMBER(SEARCH('Category Dictionary'!$D$5:$D$135&amp;"",$C3480)),--('Category Dictionary'!$D$5:$D$135&lt;&gt;"")))</f>
        <v/>
      </c>
      <c r="L3480" s="27">
        <f>IF($A3480="","",TRIM(IF(ISERROR(FIND(",",$C3480)),$C3480,LEFT($C3480,FIND(",",$C3480)-1))))</f>
        <v/>
      </c>
      <c r="M3480" s="28">
        <f>IF($H3480="","",DATE(YEAR($H3480),MONTH($H3480),1))</f>
        <v/>
      </c>
      <c r="N3480" s="26">
        <f>IF($H3480="","",TODAY()-$H3480)</f>
        <v/>
      </c>
      <c r="O3480" s="15" t="n"/>
      <c r="P3480" s="26">
        <f>IF($A3480="","",COUNTIFS('Audit Versions'!$A$6:$A$605,$A3480,'Audit Versions'!$L$6:$L$605,"Active"))</f>
        <v/>
      </c>
      <c r="Q3480" s="15" t="n"/>
      <c r="R3480" s="26">
        <f>IF(OR($A3480="",$P3480=0),"",MOD(N($Q3480),$P3480)+1)</f>
        <v/>
      </c>
      <c r="S3480" s="15" t="n"/>
      <c r="T3480" s="25" t="n"/>
      <c r="U3480" s="26">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Builder'!$B$12="",N($S3480)&lt;='Assignment Builder'!$B$12)))</f>
        <v/>
      </c>
      <c r="V3480" s="23" t="n"/>
    </row>
    <row r="3481">
      <c r="A3481" s="23" t="n"/>
      <c r="B3481" s="23" t="n"/>
      <c r="C3481" s="24" t="n"/>
      <c r="D3481" s="15" t="n"/>
      <c r="E3481" s="23" t="n"/>
      <c r="F3481" s="15" t="n"/>
      <c r="G3481" s="23" t="n"/>
      <c r="H3481" s="25" t="n"/>
      <c r="I3481" s="15" t="n"/>
      <c r="J3481" s="26">
        <f>IF($A3481="","",LEN($C3481)-LEN(SUBSTITUTE($C3481,",",""))+1)</f>
        <v/>
      </c>
      <c r="K3481" s="26">
        <f>IF($A3481="","",SUMPRODUCT(--ISNUMBER(SEARCH('Category Dictionary'!$D$5:$D$135&amp;"",$C3481)),--('Category Dictionary'!$D$5:$D$135&lt;&gt;"")))</f>
        <v/>
      </c>
      <c r="L3481" s="27">
        <f>IF($A3481="","",TRIM(IF(ISERROR(FIND(",",$C3481)),$C3481,LEFT($C3481,FIND(",",$C3481)-1))))</f>
        <v/>
      </c>
      <c r="M3481" s="28">
        <f>IF($H3481="","",DATE(YEAR($H3481),MONTH($H3481),1))</f>
        <v/>
      </c>
      <c r="N3481" s="26">
        <f>IF($H3481="","",TODAY()-$H3481)</f>
        <v/>
      </c>
      <c r="O3481" s="15" t="n"/>
      <c r="P3481" s="26">
        <f>IF($A3481="","",COUNTIFS('Audit Versions'!$A$6:$A$605,$A3481,'Audit Versions'!$L$6:$L$605,"Active"))</f>
        <v/>
      </c>
      <c r="Q3481" s="15" t="n"/>
      <c r="R3481" s="26">
        <f>IF(OR($A3481="",$P3481=0),"",MOD(N($Q3481),$P3481)+1)</f>
        <v/>
      </c>
      <c r="S3481" s="15" t="n"/>
      <c r="T3481" s="25" t="n"/>
      <c r="U3481" s="26">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Builder'!$B$12="",N($S3481)&lt;='Assignment Builder'!$B$12)))</f>
        <v/>
      </c>
      <c r="V3481" s="23" t="n"/>
    </row>
    <row r="3482">
      <c r="A3482" s="23" t="n"/>
      <c r="B3482" s="23" t="n"/>
      <c r="C3482" s="24" t="n"/>
      <c r="D3482" s="15" t="n"/>
      <c r="E3482" s="23" t="n"/>
      <c r="F3482" s="15" t="n"/>
      <c r="G3482" s="23" t="n"/>
      <c r="H3482" s="25" t="n"/>
      <c r="I3482" s="15" t="n"/>
      <c r="J3482" s="26">
        <f>IF($A3482="","",LEN($C3482)-LEN(SUBSTITUTE($C3482,",",""))+1)</f>
        <v/>
      </c>
      <c r="K3482" s="26">
        <f>IF($A3482="","",SUMPRODUCT(--ISNUMBER(SEARCH('Category Dictionary'!$D$5:$D$135&amp;"",$C3482)),--('Category Dictionary'!$D$5:$D$135&lt;&gt;"")))</f>
        <v/>
      </c>
      <c r="L3482" s="27">
        <f>IF($A3482="","",TRIM(IF(ISERROR(FIND(",",$C3482)),$C3482,LEFT($C3482,FIND(",",$C3482)-1))))</f>
        <v/>
      </c>
      <c r="M3482" s="28">
        <f>IF($H3482="","",DATE(YEAR($H3482),MONTH($H3482),1))</f>
        <v/>
      </c>
      <c r="N3482" s="26">
        <f>IF($H3482="","",TODAY()-$H3482)</f>
        <v/>
      </c>
      <c r="O3482" s="15" t="n"/>
      <c r="P3482" s="26">
        <f>IF($A3482="","",COUNTIFS('Audit Versions'!$A$6:$A$605,$A3482,'Audit Versions'!$L$6:$L$605,"Active"))</f>
        <v/>
      </c>
      <c r="Q3482" s="15" t="n"/>
      <c r="R3482" s="26">
        <f>IF(OR($A3482="",$P3482=0),"",MOD(N($Q3482),$P3482)+1)</f>
        <v/>
      </c>
      <c r="S3482" s="15" t="n"/>
      <c r="T3482" s="25" t="n"/>
      <c r="U3482" s="26">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Builder'!$B$12="",N($S3482)&lt;='Assignment Builder'!$B$12)))</f>
        <v/>
      </c>
      <c r="V3482" s="23" t="n"/>
    </row>
    <row r="3483">
      <c r="A3483" s="23" t="n"/>
      <c r="B3483" s="23" t="n"/>
      <c r="C3483" s="24" t="n"/>
      <c r="D3483" s="15" t="n"/>
      <c r="E3483" s="23" t="n"/>
      <c r="F3483" s="15" t="n"/>
      <c r="G3483" s="23" t="n"/>
      <c r="H3483" s="25" t="n"/>
      <c r="I3483" s="15" t="n"/>
      <c r="J3483" s="26">
        <f>IF($A3483="","",LEN($C3483)-LEN(SUBSTITUTE($C3483,",",""))+1)</f>
        <v/>
      </c>
      <c r="K3483" s="26">
        <f>IF($A3483="","",SUMPRODUCT(--ISNUMBER(SEARCH('Category Dictionary'!$D$5:$D$135&amp;"",$C3483)),--('Category Dictionary'!$D$5:$D$135&lt;&gt;"")))</f>
        <v/>
      </c>
      <c r="L3483" s="27">
        <f>IF($A3483="","",TRIM(IF(ISERROR(FIND(",",$C3483)),$C3483,LEFT($C3483,FIND(",",$C3483)-1))))</f>
        <v/>
      </c>
      <c r="M3483" s="28">
        <f>IF($H3483="","",DATE(YEAR($H3483),MONTH($H3483),1))</f>
        <v/>
      </c>
      <c r="N3483" s="26">
        <f>IF($H3483="","",TODAY()-$H3483)</f>
        <v/>
      </c>
      <c r="O3483" s="15" t="n"/>
      <c r="P3483" s="26">
        <f>IF($A3483="","",COUNTIFS('Audit Versions'!$A$6:$A$605,$A3483,'Audit Versions'!$L$6:$L$605,"Active"))</f>
        <v/>
      </c>
      <c r="Q3483" s="15" t="n"/>
      <c r="R3483" s="26">
        <f>IF(OR($A3483="",$P3483=0),"",MOD(N($Q3483),$P3483)+1)</f>
        <v/>
      </c>
      <c r="S3483" s="15" t="n"/>
      <c r="T3483" s="25" t="n"/>
      <c r="U3483" s="26">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Builder'!$B$12="",N($S3483)&lt;='Assignment Builder'!$B$12)))</f>
        <v/>
      </c>
      <c r="V3483" s="23" t="n"/>
    </row>
    <row r="3484">
      <c r="A3484" s="23" t="n"/>
      <c r="B3484" s="23" t="n"/>
      <c r="C3484" s="24" t="n"/>
      <c r="D3484" s="15" t="n"/>
      <c r="E3484" s="23" t="n"/>
      <c r="F3484" s="15" t="n"/>
      <c r="G3484" s="23" t="n"/>
      <c r="H3484" s="25" t="n"/>
      <c r="I3484" s="15" t="n"/>
      <c r="J3484" s="26">
        <f>IF($A3484="","",LEN($C3484)-LEN(SUBSTITUTE($C3484,",",""))+1)</f>
        <v/>
      </c>
      <c r="K3484" s="26">
        <f>IF($A3484="","",SUMPRODUCT(--ISNUMBER(SEARCH('Category Dictionary'!$D$5:$D$135&amp;"",$C3484)),--('Category Dictionary'!$D$5:$D$135&lt;&gt;"")))</f>
        <v/>
      </c>
      <c r="L3484" s="27">
        <f>IF($A3484="","",TRIM(IF(ISERROR(FIND(",",$C3484)),$C3484,LEFT($C3484,FIND(",",$C3484)-1))))</f>
        <v/>
      </c>
      <c r="M3484" s="28">
        <f>IF($H3484="","",DATE(YEAR($H3484),MONTH($H3484),1))</f>
        <v/>
      </c>
      <c r="N3484" s="26">
        <f>IF($H3484="","",TODAY()-$H3484)</f>
        <v/>
      </c>
      <c r="O3484" s="15" t="n"/>
      <c r="P3484" s="26">
        <f>IF($A3484="","",COUNTIFS('Audit Versions'!$A$6:$A$605,$A3484,'Audit Versions'!$L$6:$L$605,"Active"))</f>
        <v/>
      </c>
      <c r="Q3484" s="15" t="n"/>
      <c r="R3484" s="26">
        <f>IF(OR($A3484="",$P3484=0),"",MOD(N($Q3484),$P3484)+1)</f>
        <v/>
      </c>
      <c r="S3484" s="15" t="n"/>
      <c r="T3484" s="25" t="n"/>
      <c r="U3484" s="26">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Builder'!$B$12="",N($S3484)&lt;='Assignment Builder'!$B$12)))</f>
        <v/>
      </c>
      <c r="V3484" s="23" t="n"/>
    </row>
    <row r="3485">
      <c r="A3485" s="23" t="n"/>
      <c r="B3485" s="23" t="n"/>
      <c r="C3485" s="24" t="n"/>
      <c r="D3485" s="15" t="n"/>
      <c r="E3485" s="23" t="n"/>
      <c r="F3485" s="15" t="n"/>
      <c r="G3485" s="23" t="n"/>
      <c r="H3485" s="25" t="n"/>
      <c r="I3485" s="15" t="n"/>
      <c r="J3485" s="26">
        <f>IF($A3485="","",LEN($C3485)-LEN(SUBSTITUTE($C3485,",",""))+1)</f>
        <v/>
      </c>
      <c r="K3485" s="26">
        <f>IF($A3485="","",SUMPRODUCT(--ISNUMBER(SEARCH('Category Dictionary'!$D$5:$D$135&amp;"",$C3485)),--('Category Dictionary'!$D$5:$D$135&lt;&gt;"")))</f>
        <v/>
      </c>
      <c r="L3485" s="27">
        <f>IF($A3485="","",TRIM(IF(ISERROR(FIND(",",$C3485)),$C3485,LEFT($C3485,FIND(",",$C3485)-1))))</f>
        <v/>
      </c>
      <c r="M3485" s="28">
        <f>IF($H3485="","",DATE(YEAR($H3485),MONTH($H3485),1))</f>
        <v/>
      </c>
      <c r="N3485" s="26">
        <f>IF($H3485="","",TODAY()-$H3485)</f>
        <v/>
      </c>
      <c r="O3485" s="15" t="n"/>
      <c r="P3485" s="26">
        <f>IF($A3485="","",COUNTIFS('Audit Versions'!$A$6:$A$605,$A3485,'Audit Versions'!$L$6:$L$605,"Active"))</f>
        <v/>
      </c>
      <c r="Q3485" s="15" t="n"/>
      <c r="R3485" s="26">
        <f>IF(OR($A3485="",$P3485=0),"",MOD(N($Q3485),$P3485)+1)</f>
        <v/>
      </c>
      <c r="S3485" s="15" t="n"/>
      <c r="T3485" s="25" t="n"/>
      <c r="U3485" s="26">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Builder'!$B$12="",N($S3485)&lt;='Assignment Builder'!$B$12)))</f>
        <v/>
      </c>
      <c r="V3485" s="23" t="n"/>
    </row>
    <row r="3486">
      <c r="A3486" s="23" t="n"/>
      <c r="B3486" s="23" t="n"/>
      <c r="C3486" s="24" t="n"/>
      <c r="D3486" s="15" t="n"/>
      <c r="E3486" s="23" t="n"/>
      <c r="F3486" s="15" t="n"/>
      <c r="G3486" s="23" t="n"/>
      <c r="H3486" s="25" t="n"/>
      <c r="I3486" s="15" t="n"/>
      <c r="J3486" s="26">
        <f>IF($A3486="","",LEN($C3486)-LEN(SUBSTITUTE($C3486,",",""))+1)</f>
        <v/>
      </c>
      <c r="K3486" s="26">
        <f>IF($A3486="","",SUMPRODUCT(--ISNUMBER(SEARCH('Category Dictionary'!$D$5:$D$135&amp;"",$C3486)),--('Category Dictionary'!$D$5:$D$135&lt;&gt;"")))</f>
        <v/>
      </c>
      <c r="L3486" s="27">
        <f>IF($A3486="","",TRIM(IF(ISERROR(FIND(",",$C3486)),$C3486,LEFT($C3486,FIND(",",$C3486)-1))))</f>
        <v/>
      </c>
      <c r="M3486" s="28">
        <f>IF($H3486="","",DATE(YEAR($H3486),MONTH($H3486),1))</f>
        <v/>
      </c>
      <c r="N3486" s="26">
        <f>IF($H3486="","",TODAY()-$H3486)</f>
        <v/>
      </c>
      <c r="O3486" s="15" t="n"/>
      <c r="P3486" s="26">
        <f>IF($A3486="","",COUNTIFS('Audit Versions'!$A$6:$A$605,$A3486,'Audit Versions'!$L$6:$L$605,"Active"))</f>
        <v/>
      </c>
      <c r="Q3486" s="15" t="n"/>
      <c r="R3486" s="26">
        <f>IF(OR($A3486="",$P3486=0),"",MOD(N($Q3486),$P3486)+1)</f>
        <v/>
      </c>
      <c r="S3486" s="15" t="n"/>
      <c r="T3486" s="25" t="n"/>
      <c r="U3486" s="26">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Builder'!$B$12="",N($S3486)&lt;='Assignment Builder'!$B$12)))</f>
        <v/>
      </c>
      <c r="V3486" s="23" t="n"/>
    </row>
    <row r="3487">
      <c r="A3487" s="23" t="n"/>
      <c r="B3487" s="23" t="n"/>
      <c r="C3487" s="24" t="n"/>
      <c r="D3487" s="15" t="n"/>
      <c r="E3487" s="23" t="n"/>
      <c r="F3487" s="15" t="n"/>
      <c r="G3487" s="23" t="n"/>
      <c r="H3487" s="25" t="n"/>
      <c r="I3487" s="15" t="n"/>
      <c r="J3487" s="26">
        <f>IF($A3487="","",LEN($C3487)-LEN(SUBSTITUTE($C3487,",",""))+1)</f>
        <v/>
      </c>
      <c r="K3487" s="26">
        <f>IF($A3487="","",SUMPRODUCT(--ISNUMBER(SEARCH('Category Dictionary'!$D$5:$D$135&amp;"",$C3487)),--('Category Dictionary'!$D$5:$D$135&lt;&gt;"")))</f>
        <v/>
      </c>
      <c r="L3487" s="27">
        <f>IF($A3487="","",TRIM(IF(ISERROR(FIND(",",$C3487)),$C3487,LEFT($C3487,FIND(",",$C3487)-1))))</f>
        <v/>
      </c>
      <c r="M3487" s="28">
        <f>IF($H3487="","",DATE(YEAR($H3487),MONTH($H3487),1))</f>
        <v/>
      </c>
      <c r="N3487" s="26">
        <f>IF($H3487="","",TODAY()-$H3487)</f>
        <v/>
      </c>
      <c r="O3487" s="15" t="n"/>
      <c r="P3487" s="26">
        <f>IF($A3487="","",COUNTIFS('Audit Versions'!$A$6:$A$605,$A3487,'Audit Versions'!$L$6:$L$605,"Active"))</f>
        <v/>
      </c>
      <c r="Q3487" s="15" t="n"/>
      <c r="R3487" s="26">
        <f>IF(OR($A3487="",$P3487=0),"",MOD(N($Q3487),$P3487)+1)</f>
        <v/>
      </c>
      <c r="S3487" s="15" t="n"/>
      <c r="T3487" s="25" t="n"/>
      <c r="U3487" s="26">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Builder'!$B$12="",N($S3487)&lt;='Assignment Builder'!$B$12)))</f>
        <v/>
      </c>
      <c r="V3487" s="23" t="n"/>
    </row>
    <row r="3488">
      <c r="A3488" s="23" t="n"/>
      <c r="B3488" s="23" t="n"/>
      <c r="C3488" s="24" t="n"/>
      <c r="D3488" s="15" t="n"/>
      <c r="E3488" s="23" t="n"/>
      <c r="F3488" s="15" t="n"/>
      <c r="G3488" s="23" t="n"/>
      <c r="H3488" s="25" t="n"/>
      <c r="I3488" s="15" t="n"/>
      <c r="J3488" s="26">
        <f>IF($A3488="","",LEN($C3488)-LEN(SUBSTITUTE($C3488,",",""))+1)</f>
        <v/>
      </c>
      <c r="K3488" s="26">
        <f>IF($A3488="","",SUMPRODUCT(--ISNUMBER(SEARCH('Category Dictionary'!$D$5:$D$135&amp;"",$C3488)),--('Category Dictionary'!$D$5:$D$135&lt;&gt;"")))</f>
        <v/>
      </c>
      <c r="L3488" s="27">
        <f>IF($A3488="","",TRIM(IF(ISERROR(FIND(",",$C3488)),$C3488,LEFT($C3488,FIND(",",$C3488)-1))))</f>
        <v/>
      </c>
      <c r="M3488" s="28">
        <f>IF($H3488="","",DATE(YEAR($H3488),MONTH($H3488),1))</f>
        <v/>
      </c>
      <c r="N3488" s="26">
        <f>IF($H3488="","",TODAY()-$H3488)</f>
        <v/>
      </c>
      <c r="O3488" s="15" t="n"/>
      <c r="P3488" s="26">
        <f>IF($A3488="","",COUNTIFS('Audit Versions'!$A$6:$A$605,$A3488,'Audit Versions'!$L$6:$L$605,"Active"))</f>
        <v/>
      </c>
      <c r="Q3488" s="15" t="n"/>
      <c r="R3488" s="26">
        <f>IF(OR($A3488="",$P3488=0),"",MOD(N($Q3488),$P3488)+1)</f>
        <v/>
      </c>
      <c r="S3488" s="15" t="n"/>
      <c r="T3488" s="25" t="n"/>
      <c r="U3488" s="26">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Builder'!$B$12="",N($S3488)&lt;='Assignment Builder'!$B$12)))</f>
        <v/>
      </c>
      <c r="V3488" s="23" t="n"/>
    </row>
    <row r="3489">
      <c r="A3489" s="23" t="n"/>
      <c r="B3489" s="23" t="n"/>
      <c r="C3489" s="24" t="n"/>
      <c r="D3489" s="15" t="n"/>
      <c r="E3489" s="23" t="n"/>
      <c r="F3489" s="15" t="n"/>
      <c r="G3489" s="23" t="n"/>
      <c r="H3489" s="25" t="n"/>
      <c r="I3489" s="15" t="n"/>
      <c r="J3489" s="26">
        <f>IF($A3489="","",LEN($C3489)-LEN(SUBSTITUTE($C3489,",",""))+1)</f>
        <v/>
      </c>
      <c r="K3489" s="26">
        <f>IF($A3489="","",SUMPRODUCT(--ISNUMBER(SEARCH('Category Dictionary'!$D$5:$D$135&amp;"",$C3489)),--('Category Dictionary'!$D$5:$D$135&lt;&gt;"")))</f>
        <v/>
      </c>
      <c r="L3489" s="27">
        <f>IF($A3489="","",TRIM(IF(ISERROR(FIND(",",$C3489)),$C3489,LEFT($C3489,FIND(",",$C3489)-1))))</f>
        <v/>
      </c>
      <c r="M3489" s="28">
        <f>IF($H3489="","",DATE(YEAR($H3489),MONTH($H3489),1))</f>
        <v/>
      </c>
      <c r="N3489" s="26">
        <f>IF($H3489="","",TODAY()-$H3489)</f>
        <v/>
      </c>
      <c r="O3489" s="15" t="n"/>
      <c r="P3489" s="26">
        <f>IF($A3489="","",COUNTIFS('Audit Versions'!$A$6:$A$605,$A3489,'Audit Versions'!$L$6:$L$605,"Active"))</f>
        <v/>
      </c>
      <c r="Q3489" s="15" t="n"/>
      <c r="R3489" s="26">
        <f>IF(OR($A3489="",$P3489=0),"",MOD(N($Q3489),$P3489)+1)</f>
        <v/>
      </c>
      <c r="S3489" s="15" t="n"/>
      <c r="T3489" s="25" t="n"/>
      <c r="U3489" s="26">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Builder'!$B$12="",N($S3489)&lt;='Assignment Builder'!$B$12)))</f>
        <v/>
      </c>
      <c r="V3489" s="23" t="n"/>
    </row>
    <row r="3490">
      <c r="A3490" s="23" t="n"/>
      <c r="B3490" s="23" t="n"/>
      <c r="C3490" s="24" t="n"/>
      <c r="D3490" s="15" t="n"/>
      <c r="E3490" s="23" t="n"/>
      <c r="F3490" s="15" t="n"/>
      <c r="G3490" s="23" t="n"/>
      <c r="H3490" s="25" t="n"/>
      <c r="I3490" s="15" t="n"/>
      <c r="J3490" s="26">
        <f>IF($A3490="","",LEN($C3490)-LEN(SUBSTITUTE($C3490,",",""))+1)</f>
        <v/>
      </c>
      <c r="K3490" s="26">
        <f>IF($A3490="","",SUMPRODUCT(--ISNUMBER(SEARCH('Category Dictionary'!$D$5:$D$135&amp;"",$C3490)),--('Category Dictionary'!$D$5:$D$135&lt;&gt;"")))</f>
        <v/>
      </c>
      <c r="L3490" s="27">
        <f>IF($A3490="","",TRIM(IF(ISERROR(FIND(",",$C3490)),$C3490,LEFT($C3490,FIND(",",$C3490)-1))))</f>
        <v/>
      </c>
      <c r="M3490" s="28">
        <f>IF($H3490="","",DATE(YEAR($H3490),MONTH($H3490),1))</f>
        <v/>
      </c>
      <c r="N3490" s="26">
        <f>IF($H3490="","",TODAY()-$H3490)</f>
        <v/>
      </c>
      <c r="O3490" s="15" t="n"/>
      <c r="P3490" s="26">
        <f>IF($A3490="","",COUNTIFS('Audit Versions'!$A$6:$A$605,$A3490,'Audit Versions'!$L$6:$L$605,"Active"))</f>
        <v/>
      </c>
      <c r="Q3490" s="15" t="n"/>
      <c r="R3490" s="26">
        <f>IF(OR($A3490="",$P3490=0),"",MOD(N($Q3490),$P3490)+1)</f>
        <v/>
      </c>
      <c r="S3490" s="15" t="n"/>
      <c r="T3490" s="25" t="n"/>
      <c r="U3490" s="26">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Builder'!$B$12="",N($S3490)&lt;='Assignment Builder'!$B$12)))</f>
        <v/>
      </c>
      <c r="V3490" s="23" t="n"/>
    </row>
    <row r="3491">
      <c r="A3491" s="23" t="n"/>
      <c r="B3491" s="23" t="n"/>
      <c r="C3491" s="24" t="n"/>
      <c r="D3491" s="15" t="n"/>
      <c r="E3491" s="23" t="n"/>
      <c r="F3491" s="15" t="n"/>
      <c r="G3491" s="23" t="n"/>
      <c r="H3491" s="25" t="n"/>
      <c r="I3491" s="15" t="n"/>
      <c r="J3491" s="26">
        <f>IF($A3491="","",LEN($C3491)-LEN(SUBSTITUTE($C3491,",",""))+1)</f>
        <v/>
      </c>
      <c r="K3491" s="26">
        <f>IF($A3491="","",SUMPRODUCT(--ISNUMBER(SEARCH('Category Dictionary'!$D$5:$D$135&amp;"",$C3491)),--('Category Dictionary'!$D$5:$D$135&lt;&gt;"")))</f>
        <v/>
      </c>
      <c r="L3491" s="27">
        <f>IF($A3491="","",TRIM(IF(ISERROR(FIND(",",$C3491)),$C3491,LEFT($C3491,FIND(",",$C3491)-1))))</f>
        <v/>
      </c>
      <c r="M3491" s="28">
        <f>IF($H3491="","",DATE(YEAR($H3491),MONTH($H3491),1))</f>
        <v/>
      </c>
      <c r="N3491" s="26">
        <f>IF($H3491="","",TODAY()-$H3491)</f>
        <v/>
      </c>
      <c r="O3491" s="15" t="n"/>
      <c r="P3491" s="26">
        <f>IF($A3491="","",COUNTIFS('Audit Versions'!$A$6:$A$605,$A3491,'Audit Versions'!$L$6:$L$605,"Active"))</f>
        <v/>
      </c>
      <c r="Q3491" s="15" t="n"/>
      <c r="R3491" s="26">
        <f>IF(OR($A3491="",$P3491=0),"",MOD(N($Q3491),$P3491)+1)</f>
        <v/>
      </c>
      <c r="S3491" s="15" t="n"/>
      <c r="T3491" s="25" t="n"/>
      <c r="U3491" s="26">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Builder'!$B$12="",N($S3491)&lt;='Assignment Builder'!$B$12)))</f>
        <v/>
      </c>
      <c r="V3491" s="23" t="n"/>
    </row>
    <row r="3492">
      <c r="A3492" s="23" t="n"/>
      <c r="B3492" s="23" t="n"/>
      <c r="C3492" s="24" t="n"/>
      <c r="D3492" s="15" t="n"/>
      <c r="E3492" s="23" t="n"/>
      <c r="F3492" s="15" t="n"/>
      <c r="G3492" s="23" t="n"/>
      <c r="H3492" s="25" t="n"/>
      <c r="I3492" s="15" t="n"/>
      <c r="J3492" s="26">
        <f>IF($A3492="","",LEN($C3492)-LEN(SUBSTITUTE($C3492,",",""))+1)</f>
        <v/>
      </c>
      <c r="K3492" s="26">
        <f>IF($A3492="","",SUMPRODUCT(--ISNUMBER(SEARCH('Category Dictionary'!$D$5:$D$135&amp;"",$C3492)),--('Category Dictionary'!$D$5:$D$135&lt;&gt;"")))</f>
        <v/>
      </c>
      <c r="L3492" s="27">
        <f>IF($A3492="","",TRIM(IF(ISERROR(FIND(",",$C3492)),$C3492,LEFT($C3492,FIND(",",$C3492)-1))))</f>
        <v/>
      </c>
      <c r="M3492" s="28">
        <f>IF($H3492="","",DATE(YEAR($H3492),MONTH($H3492),1))</f>
        <v/>
      </c>
      <c r="N3492" s="26">
        <f>IF($H3492="","",TODAY()-$H3492)</f>
        <v/>
      </c>
      <c r="O3492" s="15" t="n"/>
      <c r="P3492" s="26">
        <f>IF($A3492="","",COUNTIFS('Audit Versions'!$A$6:$A$605,$A3492,'Audit Versions'!$L$6:$L$605,"Active"))</f>
        <v/>
      </c>
      <c r="Q3492" s="15" t="n"/>
      <c r="R3492" s="26">
        <f>IF(OR($A3492="",$P3492=0),"",MOD(N($Q3492),$P3492)+1)</f>
        <v/>
      </c>
      <c r="S3492" s="15" t="n"/>
      <c r="T3492" s="25" t="n"/>
      <c r="U3492" s="26">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Builder'!$B$12="",N($S3492)&lt;='Assignment Builder'!$B$12)))</f>
        <v/>
      </c>
      <c r="V3492" s="23" t="n"/>
    </row>
    <row r="3493">
      <c r="A3493" s="23" t="n"/>
      <c r="B3493" s="23" t="n"/>
      <c r="C3493" s="24" t="n"/>
      <c r="D3493" s="15" t="n"/>
      <c r="E3493" s="23" t="n"/>
      <c r="F3493" s="15" t="n"/>
      <c r="G3493" s="23" t="n"/>
      <c r="H3493" s="25" t="n"/>
      <c r="I3493" s="15" t="n"/>
      <c r="J3493" s="26">
        <f>IF($A3493="","",LEN($C3493)-LEN(SUBSTITUTE($C3493,",",""))+1)</f>
        <v/>
      </c>
      <c r="K3493" s="26">
        <f>IF($A3493="","",SUMPRODUCT(--ISNUMBER(SEARCH('Category Dictionary'!$D$5:$D$135&amp;"",$C3493)),--('Category Dictionary'!$D$5:$D$135&lt;&gt;"")))</f>
        <v/>
      </c>
      <c r="L3493" s="27">
        <f>IF($A3493="","",TRIM(IF(ISERROR(FIND(",",$C3493)),$C3493,LEFT($C3493,FIND(",",$C3493)-1))))</f>
        <v/>
      </c>
      <c r="M3493" s="28">
        <f>IF($H3493="","",DATE(YEAR($H3493),MONTH($H3493),1))</f>
        <v/>
      </c>
      <c r="N3493" s="26">
        <f>IF($H3493="","",TODAY()-$H3493)</f>
        <v/>
      </c>
      <c r="O3493" s="15" t="n"/>
      <c r="P3493" s="26">
        <f>IF($A3493="","",COUNTIFS('Audit Versions'!$A$6:$A$605,$A3493,'Audit Versions'!$L$6:$L$605,"Active"))</f>
        <v/>
      </c>
      <c r="Q3493" s="15" t="n"/>
      <c r="R3493" s="26">
        <f>IF(OR($A3493="",$P3493=0),"",MOD(N($Q3493),$P3493)+1)</f>
        <v/>
      </c>
      <c r="S3493" s="15" t="n"/>
      <c r="T3493" s="25" t="n"/>
      <c r="U3493" s="26">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Builder'!$B$12="",N($S3493)&lt;='Assignment Builder'!$B$12)))</f>
        <v/>
      </c>
      <c r="V3493" s="23" t="n"/>
    </row>
    <row r="3494">
      <c r="A3494" s="23" t="n"/>
      <c r="B3494" s="23" t="n"/>
      <c r="C3494" s="24" t="n"/>
      <c r="D3494" s="15" t="n"/>
      <c r="E3494" s="23" t="n"/>
      <c r="F3494" s="15" t="n"/>
      <c r="G3494" s="23" t="n"/>
      <c r="H3494" s="25" t="n"/>
      <c r="I3494" s="15" t="n"/>
      <c r="J3494" s="26">
        <f>IF($A3494="","",LEN($C3494)-LEN(SUBSTITUTE($C3494,",",""))+1)</f>
        <v/>
      </c>
      <c r="K3494" s="26">
        <f>IF($A3494="","",SUMPRODUCT(--ISNUMBER(SEARCH('Category Dictionary'!$D$5:$D$135&amp;"",$C3494)),--('Category Dictionary'!$D$5:$D$135&lt;&gt;"")))</f>
        <v/>
      </c>
      <c r="L3494" s="27">
        <f>IF($A3494="","",TRIM(IF(ISERROR(FIND(",",$C3494)),$C3494,LEFT($C3494,FIND(",",$C3494)-1))))</f>
        <v/>
      </c>
      <c r="M3494" s="28">
        <f>IF($H3494="","",DATE(YEAR($H3494),MONTH($H3494),1))</f>
        <v/>
      </c>
      <c r="N3494" s="26">
        <f>IF($H3494="","",TODAY()-$H3494)</f>
        <v/>
      </c>
      <c r="O3494" s="15" t="n"/>
      <c r="P3494" s="26">
        <f>IF($A3494="","",COUNTIFS('Audit Versions'!$A$6:$A$605,$A3494,'Audit Versions'!$L$6:$L$605,"Active"))</f>
        <v/>
      </c>
      <c r="Q3494" s="15" t="n"/>
      <c r="R3494" s="26">
        <f>IF(OR($A3494="",$P3494=0),"",MOD(N($Q3494),$P3494)+1)</f>
        <v/>
      </c>
      <c r="S3494" s="15" t="n"/>
      <c r="T3494" s="25" t="n"/>
      <c r="U3494" s="26">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Builder'!$B$12="",N($S3494)&lt;='Assignment Builder'!$B$12)))</f>
        <v/>
      </c>
      <c r="V3494" s="23" t="n"/>
    </row>
    <row r="3495">
      <c r="A3495" s="23" t="n"/>
      <c r="B3495" s="23" t="n"/>
      <c r="C3495" s="24" t="n"/>
      <c r="D3495" s="15" t="n"/>
      <c r="E3495" s="23" t="n"/>
      <c r="F3495" s="15" t="n"/>
      <c r="G3495" s="23" t="n"/>
      <c r="H3495" s="25" t="n"/>
      <c r="I3495" s="15" t="n"/>
      <c r="J3495" s="26">
        <f>IF($A3495="","",LEN($C3495)-LEN(SUBSTITUTE($C3495,",",""))+1)</f>
        <v/>
      </c>
      <c r="K3495" s="26">
        <f>IF($A3495="","",SUMPRODUCT(--ISNUMBER(SEARCH('Category Dictionary'!$D$5:$D$135&amp;"",$C3495)),--('Category Dictionary'!$D$5:$D$135&lt;&gt;"")))</f>
        <v/>
      </c>
      <c r="L3495" s="27">
        <f>IF($A3495="","",TRIM(IF(ISERROR(FIND(",",$C3495)),$C3495,LEFT($C3495,FIND(",",$C3495)-1))))</f>
        <v/>
      </c>
      <c r="M3495" s="28">
        <f>IF($H3495="","",DATE(YEAR($H3495),MONTH($H3495),1))</f>
        <v/>
      </c>
      <c r="N3495" s="26">
        <f>IF($H3495="","",TODAY()-$H3495)</f>
        <v/>
      </c>
      <c r="O3495" s="15" t="n"/>
      <c r="P3495" s="26">
        <f>IF($A3495="","",COUNTIFS('Audit Versions'!$A$6:$A$605,$A3495,'Audit Versions'!$L$6:$L$605,"Active"))</f>
        <v/>
      </c>
      <c r="Q3495" s="15" t="n"/>
      <c r="R3495" s="26">
        <f>IF(OR($A3495="",$P3495=0),"",MOD(N($Q3495),$P3495)+1)</f>
        <v/>
      </c>
      <c r="S3495" s="15" t="n"/>
      <c r="T3495" s="25" t="n"/>
      <c r="U3495" s="26">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Builder'!$B$12="",N($S3495)&lt;='Assignment Builder'!$B$12)))</f>
        <v/>
      </c>
      <c r="V3495" s="23" t="n"/>
    </row>
    <row r="3496">
      <c r="A3496" s="23" t="n"/>
      <c r="B3496" s="23" t="n"/>
      <c r="C3496" s="24" t="n"/>
      <c r="D3496" s="15" t="n"/>
      <c r="E3496" s="23" t="n"/>
      <c r="F3496" s="15" t="n"/>
      <c r="G3496" s="23" t="n"/>
      <c r="H3496" s="25" t="n"/>
      <c r="I3496" s="15" t="n"/>
      <c r="J3496" s="26">
        <f>IF($A3496="","",LEN($C3496)-LEN(SUBSTITUTE($C3496,",",""))+1)</f>
        <v/>
      </c>
      <c r="K3496" s="26">
        <f>IF($A3496="","",SUMPRODUCT(--ISNUMBER(SEARCH('Category Dictionary'!$D$5:$D$135&amp;"",$C3496)),--('Category Dictionary'!$D$5:$D$135&lt;&gt;"")))</f>
        <v/>
      </c>
      <c r="L3496" s="27">
        <f>IF($A3496="","",TRIM(IF(ISERROR(FIND(",",$C3496)),$C3496,LEFT($C3496,FIND(",",$C3496)-1))))</f>
        <v/>
      </c>
      <c r="M3496" s="28">
        <f>IF($H3496="","",DATE(YEAR($H3496),MONTH($H3496),1))</f>
        <v/>
      </c>
      <c r="N3496" s="26">
        <f>IF($H3496="","",TODAY()-$H3496)</f>
        <v/>
      </c>
      <c r="O3496" s="15" t="n"/>
      <c r="P3496" s="26">
        <f>IF($A3496="","",COUNTIFS('Audit Versions'!$A$6:$A$605,$A3496,'Audit Versions'!$L$6:$L$605,"Active"))</f>
        <v/>
      </c>
      <c r="Q3496" s="15" t="n"/>
      <c r="R3496" s="26">
        <f>IF(OR($A3496="",$P3496=0),"",MOD(N($Q3496),$P3496)+1)</f>
        <v/>
      </c>
      <c r="S3496" s="15" t="n"/>
      <c r="T3496" s="25" t="n"/>
      <c r="U3496" s="26">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Builder'!$B$12="",N($S3496)&lt;='Assignment Builder'!$B$12)))</f>
        <v/>
      </c>
      <c r="V3496" s="23" t="n"/>
    </row>
    <row r="3497">
      <c r="A3497" s="23" t="n"/>
      <c r="B3497" s="23" t="n"/>
      <c r="C3497" s="24" t="n"/>
      <c r="D3497" s="15" t="n"/>
      <c r="E3497" s="23" t="n"/>
      <c r="F3497" s="15" t="n"/>
      <c r="G3497" s="23" t="n"/>
      <c r="H3497" s="25" t="n"/>
      <c r="I3497" s="15" t="n"/>
      <c r="J3497" s="26">
        <f>IF($A3497="","",LEN($C3497)-LEN(SUBSTITUTE($C3497,",",""))+1)</f>
        <v/>
      </c>
      <c r="K3497" s="26">
        <f>IF($A3497="","",SUMPRODUCT(--ISNUMBER(SEARCH('Category Dictionary'!$D$5:$D$135&amp;"",$C3497)),--('Category Dictionary'!$D$5:$D$135&lt;&gt;"")))</f>
        <v/>
      </c>
      <c r="L3497" s="27">
        <f>IF($A3497="","",TRIM(IF(ISERROR(FIND(",",$C3497)),$C3497,LEFT($C3497,FIND(",",$C3497)-1))))</f>
        <v/>
      </c>
      <c r="M3497" s="28">
        <f>IF($H3497="","",DATE(YEAR($H3497),MONTH($H3497),1))</f>
        <v/>
      </c>
      <c r="N3497" s="26">
        <f>IF($H3497="","",TODAY()-$H3497)</f>
        <v/>
      </c>
      <c r="O3497" s="15" t="n"/>
      <c r="P3497" s="26">
        <f>IF($A3497="","",COUNTIFS('Audit Versions'!$A$6:$A$605,$A3497,'Audit Versions'!$L$6:$L$605,"Active"))</f>
        <v/>
      </c>
      <c r="Q3497" s="15" t="n"/>
      <c r="R3497" s="26">
        <f>IF(OR($A3497="",$P3497=0),"",MOD(N($Q3497),$P3497)+1)</f>
        <v/>
      </c>
      <c r="S3497" s="15" t="n"/>
      <c r="T3497" s="25" t="n"/>
      <c r="U3497" s="26">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Builder'!$B$12="",N($S3497)&lt;='Assignment Builder'!$B$12)))</f>
        <v/>
      </c>
      <c r="V3497" s="23" t="n"/>
    </row>
    <row r="3498">
      <c r="A3498" s="23" t="n"/>
      <c r="B3498" s="23" t="n"/>
      <c r="C3498" s="24" t="n"/>
      <c r="D3498" s="15" t="n"/>
      <c r="E3498" s="23" t="n"/>
      <c r="F3498" s="15" t="n"/>
      <c r="G3498" s="23" t="n"/>
      <c r="H3498" s="25" t="n"/>
      <c r="I3498" s="15" t="n"/>
      <c r="J3498" s="26">
        <f>IF($A3498="","",LEN($C3498)-LEN(SUBSTITUTE($C3498,",",""))+1)</f>
        <v/>
      </c>
      <c r="K3498" s="26">
        <f>IF($A3498="","",SUMPRODUCT(--ISNUMBER(SEARCH('Category Dictionary'!$D$5:$D$135&amp;"",$C3498)),--('Category Dictionary'!$D$5:$D$135&lt;&gt;"")))</f>
        <v/>
      </c>
      <c r="L3498" s="27">
        <f>IF($A3498="","",TRIM(IF(ISERROR(FIND(",",$C3498)),$C3498,LEFT($C3498,FIND(",",$C3498)-1))))</f>
        <v/>
      </c>
      <c r="M3498" s="28">
        <f>IF($H3498="","",DATE(YEAR($H3498),MONTH($H3498),1))</f>
        <v/>
      </c>
      <c r="N3498" s="26">
        <f>IF($H3498="","",TODAY()-$H3498)</f>
        <v/>
      </c>
      <c r="O3498" s="15" t="n"/>
      <c r="P3498" s="26">
        <f>IF($A3498="","",COUNTIFS('Audit Versions'!$A$6:$A$605,$A3498,'Audit Versions'!$L$6:$L$605,"Active"))</f>
        <v/>
      </c>
      <c r="Q3498" s="15" t="n"/>
      <c r="R3498" s="26">
        <f>IF(OR($A3498="",$P3498=0),"",MOD(N($Q3498),$P3498)+1)</f>
        <v/>
      </c>
      <c r="S3498" s="15" t="n"/>
      <c r="T3498" s="25" t="n"/>
      <c r="U3498" s="26">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Builder'!$B$12="",N($S3498)&lt;='Assignment Builder'!$B$12)))</f>
        <v/>
      </c>
      <c r="V3498" s="23" t="n"/>
    </row>
    <row r="3499">
      <c r="A3499" s="23" t="n"/>
      <c r="B3499" s="23" t="n"/>
      <c r="C3499" s="24" t="n"/>
      <c r="D3499" s="15" t="n"/>
      <c r="E3499" s="23" t="n"/>
      <c r="F3499" s="15" t="n"/>
      <c r="G3499" s="23" t="n"/>
      <c r="H3499" s="25" t="n"/>
      <c r="I3499" s="15" t="n"/>
      <c r="J3499" s="26">
        <f>IF($A3499="","",LEN($C3499)-LEN(SUBSTITUTE($C3499,",",""))+1)</f>
        <v/>
      </c>
      <c r="K3499" s="26">
        <f>IF($A3499="","",SUMPRODUCT(--ISNUMBER(SEARCH('Category Dictionary'!$D$5:$D$135&amp;"",$C3499)),--('Category Dictionary'!$D$5:$D$135&lt;&gt;"")))</f>
        <v/>
      </c>
      <c r="L3499" s="27">
        <f>IF($A3499="","",TRIM(IF(ISERROR(FIND(",",$C3499)),$C3499,LEFT($C3499,FIND(",",$C3499)-1))))</f>
        <v/>
      </c>
      <c r="M3499" s="28">
        <f>IF($H3499="","",DATE(YEAR($H3499),MONTH($H3499),1))</f>
        <v/>
      </c>
      <c r="N3499" s="26">
        <f>IF($H3499="","",TODAY()-$H3499)</f>
        <v/>
      </c>
      <c r="O3499" s="15" t="n"/>
      <c r="P3499" s="26">
        <f>IF($A3499="","",COUNTIFS('Audit Versions'!$A$6:$A$605,$A3499,'Audit Versions'!$L$6:$L$605,"Active"))</f>
        <v/>
      </c>
      <c r="Q3499" s="15" t="n"/>
      <c r="R3499" s="26">
        <f>IF(OR($A3499="",$P3499=0),"",MOD(N($Q3499),$P3499)+1)</f>
        <v/>
      </c>
      <c r="S3499" s="15" t="n"/>
      <c r="T3499" s="25" t="n"/>
      <c r="U3499" s="26">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Builder'!$B$12="",N($S3499)&lt;='Assignment Builder'!$B$12)))</f>
        <v/>
      </c>
      <c r="V3499" s="23" t="n"/>
    </row>
    <row r="3500">
      <c r="A3500" s="23" t="n"/>
      <c r="B3500" s="23" t="n"/>
      <c r="C3500" s="24" t="n"/>
      <c r="D3500" s="15" t="n"/>
      <c r="E3500" s="23" t="n"/>
      <c r="F3500" s="15" t="n"/>
      <c r="G3500" s="23" t="n"/>
      <c r="H3500" s="25" t="n"/>
      <c r="I3500" s="15" t="n"/>
      <c r="J3500" s="26">
        <f>IF($A3500="","",LEN($C3500)-LEN(SUBSTITUTE($C3500,",",""))+1)</f>
        <v/>
      </c>
      <c r="K3500" s="26">
        <f>IF($A3500="","",SUMPRODUCT(--ISNUMBER(SEARCH('Category Dictionary'!$D$5:$D$135&amp;"",$C3500)),--('Category Dictionary'!$D$5:$D$135&lt;&gt;"")))</f>
        <v/>
      </c>
      <c r="L3500" s="27">
        <f>IF($A3500="","",TRIM(IF(ISERROR(FIND(",",$C3500)),$C3500,LEFT($C3500,FIND(",",$C3500)-1))))</f>
        <v/>
      </c>
      <c r="M3500" s="28">
        <f>IF($H3500="","",DATE(YEAR($H3500),MONTH($H3500),1))</f>
        <v/>
      </c>
      <c r="N3500" s="26">
        <f>IF($H3500="","",TODAY()-$H3500)</f>
        <v/>
      </c>
      <c r="O3500" s="15" t="n"/>
      <c r="P3500" s="26">
        <f>IF($A3500="","",COUNTIFS('Audit Versions'!$A$6:$A$605,$A3500,'Audit Versions'!$L$6:$L$605,"Active"))</f>
        <v/>
      </c>
      <c r="Q3500" s="15" t="n"/>
      <c r="R3500" s="26">
        <f>IF(OR($A3500="",$P3500=0),"",MOD(N($Q3500),$P3500)+1)</f>
        <v/>
      </c>
      <c r="S3500" s="15" t="n"/>
      <c r="T3500" s="25" t="n"/>
      <c r="U3500" s="26">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Builder'!$B$12="",N($S3500)&lt;='Assignment Builder'!$B$12)))</f>
        <v/>
      </c>
      <c r="V3500" s="23" t="n"/>
    </row>
    <row r="3501">
      <c r="A3501" s="23" t="n"/>
      <c r="B3501" s="23" t="n"/>
      <c r="C3501" s="24" t="n"/>
      <c r="D3501" s="15" t="n"/>
      <c r="E3501" s="23" t="n"/>
      <c r="F3501" s="15" t="n"/>
      <c r="G3501" s="23" t="n"/>
      <c r="H3501" s="25" t="n"/>
      <c r="I3501" s="15" t="n"/>
      <c r="J3501" s="26">
        <f>IF($A3501="","",LEN($C3501)-LEN(SUBSTITUTE($C3501,",",""))+1)</f>
        <v/>
      </c>
      <c r="K3501" s="26">
        <f>IF($A3501="","",SUMPRODUCT(--ISNUMBER(SEARCH('Category Dictionary'!$D$5:$D$135&amp;"",$C3501)),--('Category Dictionary'!$D$5:$D$135&lt;&gt;"")))</f>
        <v/>
      </c>
      <c r="L3501" s="27">
        <f>IF($A3501="","",TRIM(IF(ISERROR(FIND(",",$C3501)),$C3501,LEFT($C3501,FIND(",",$C3501)-1))))</f>
        <v/>
      </c>
      <c r="M3501" s="28">
        <f>IF($H3501="","",DATE(YEAR($H3501),MONTH($H3501),1))</f>
        <v/>
      </c>
      <c r="N3501" s="26">
        <f>IF($H3501="","",TODAY()-$H3501)</f>
        <v/>
      </c>
      <c r="O3501" s="15" t="n"/>
      <c r="P3501" s="26">
        <f>IF($A3501="","",COUNTIFS('Audit Versions'!$A$6:$A$605,$A3501,'Audit Versions'!$L$6:$L$605,"Active"))</f>
        <v/>
      </c>
      <c r="Q3501" s="15" t="n"/>
      <c r="R3501" s="26">
        <f>IF(OR($A3501="",$P3501=0),"",MOD(N($Q3501),$P3501)+1)</f>
        <v/>
      </c>
      <c r="S3501" s="15" t="n"/>
      <c r="T3501" s="25" t="n"/>
      <c r="U3501" s="26">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Builder'!$B$12="",N($S3501)&lt;='Assignment Builder'!$B$12)))</f>
        <v/>
      </c>
      <c r="V3501" s="23" t="n"/>
    </row>
    <row r="3502">
      <c r="A3502" s="23" t="n"/>
      <c r="B3502" s="23" t="n"/>
      <c r="C3502" s="24" t="n"/>
      <c r="D3502" s="15" t="n"/>
      <c r="E3502" s="23" t="n"/>
      <c r="F3502" s="15" t="n"/>
      <c r="G3502" s="23" t="n"/>
      <c r="H3502" s="25" t="n"/>
      <c r="I3502" s="15" t="n"/>
      <c r="J3502" s="26">
        <f>IF($A3502="","",LEN($C3502)-LEN(SUBSTITUTE($C3502,",",""))+1)</f>
        <v/>
      </c>
      <c r="K3502" s="26">
        <f>IF($A3502="","",SUMPRODUCT(--ISNUMBER(SEARCH('Category Dictionary'!$D$5:$D$135&amp;"",$C3502)),--('Category Dictionary'!$D$5:$D$135&lt;&gt;"")))</f>
        <v/>
      </c>
      <c r="L3502" s="27">
        <f>IF($A3502="","",TRIM(IF(ISERROR(FIND(",",$C3502)),$C3502,LEFT($C3502,FIND(",",$C3502)-1))))</f>
        <v/>
      </c>
      <c r="M3502" s="28">
        <f>IF($H3502="","",DATE(YEAR($H3502),MONTH($H3502),1))</f>
        <v/>
      </c>
      <c r="N3502" s="26">
        <f>IF($H3502="","",TODAY()-$H3502)</f>
        <v/>
      </c>
      <c r="O3502" s="15" t="n"/>
      <c r="P3502" s="26">
        <f>IF($A3502="","",COUNTIFS('Audit Versions'!$A$6:$A$605,$A3502,'Audit Versions'!$L$6:$L$605,"Active"))</f>
        <v/>
      </c>
      <c r="Q3502" s="15" t="n"/>
      <c r="R3502" s="26">
        <f>IF(OR($A3502="",$P3502=0),"",MOD(N($Q3502),$P3502)+1)</f>
        <v/>
      </c>
      <c r="S3502" s="15" t="n"/>
      <c r="T3502" s="25" t="n"/>
      <c r="U3502" s="26">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Builder'!$B$12="",N($S3502)&lt;='Assignment Builder'!$B$12)))</f>
        <v/>
      </c>
      <c r="V3502" s="23" t="n"/>
    </row>
    <row r="3503">
      <c r="A3503" s="23" t="n"/>
      <c r="B3503" s="23" t="n"/>
      <c r="C3503" s="24" t="n"/>
      <c r="D3503" s="15" t="n"/>
      <c r="E3503" s="23" t="n"/>
      <c r="F3503" s="15" t="n"/>
      <c r="G3503" s="23" t="n"/>
      <c r="H3503" s="25" t="n"/>
      <c r="I3503" s="15" t="n"/>
      <c r="J3503" s="26">
        <f>IF($A3503="","",LEN($C3503)-LEN(SUBSTITUTE($C3503,",",""))+1)</f>
        <v/>
      </c>
      <c r="K3503" s="26">
        <f>IF($A3503="","",SUMPRODUCT(--ISNUMBER(SEARCH('Category Dictionary'!$D$5:$D$135&amp;"",$C3503)),--('Category Dictionary'!$D$5:$D$135&lt;&gt;"")))</f>
        <v/>
      </c>
      <c r="L3503" s="27">
        <f>IF($A3503="","",TRIM(IF(ISERROR(FIND(",",$C3503)),$C3503,LEFT($C3503,FIND(",",$C3503)-1))))</f>
        <v/>
      </c>
      <c r="M3503" s="28">
        <f>IF($H3503="","",DATE(YEAR($H3503),MONTH($H3503),1))</f>
        <v/>
      </c>
      <c r="N3503" s="26">
        <f>IF($H3503="","",TODAY()-$H3503)</f>
        <v/>
      </c>
      <c r="O3503" s="15" t="n"/>
      <c r="P3503" s="26">
        <f>IF($A3503="","",COUNTIFS('Audit Versions'!$A$6:$A$605,$A3503,'Audit Versions'!$L$6:$L$605,"Active"))</f>
        <v/>
      </c>
      <c r="Q3503" s="15" t="n"/>
      <c r="R3503" s="26">
        <f>IF(OR($A3503="",$P3503=0),"",MOD(N($Q3503),$P3503)+1)</f>
        <v/>
      </c>
      <c r="S3503" s="15" t="n"/>
      <c r="T3503" s="25" t="n"/>
      <c r="U3503" s="26">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Builder'!$B$12="",N($S3503)&lt;='Assignment Builder'!$B$12)))</f>
        <v/>
      </c>
      <c r="V3503" s="23" t="n"/>
    </row>
    <row r="3504">
      <c r="A3504" s="23" t="n"/>
      <c r="B3504" s="23" t="n"/>
      <c r="C3504" s="24" t="n"/>
      <c r="D3504" s="15" t="n"/>
      <c r="E3504" s="23" t="n"/>
      <c r="F3504" s="15" t="n"/>
      <c r="G3504" s="23" t="n"/>
      <c r="H3504" s="25" t="n"/>
      <c r="I3504" s="15" t="n"/>
      <c r="J3504" s="26">
        <f>IF($A3504="","",LEN($C3504)-LEN(SUBSTITUTE($C3504,",",""))+1)</f>
        <v/>
      </c>
      <c r="K3504" s="26">
        <f>IF($A3504="","",SUMPRODUCT(--ISNUMBER(SEARCH('Category Dictionary'!$D$5:$D$135&amp;"",$C3504)),--('Category Dictionary'!$D$5:$D$135&lt;&gt;"")))</f>
        <v/>
      </c>
      <c r="L3504" s="27">
        <f>IF($A3504="","",TRIM(IF(ISERROR(FIND(",",$C3504)),$C3504,LEFT($C3504,FIND(",",$C3504)-1))))</f>
        <v/>
      </c>
      <c r="M3504" s="28">
        <f>IF($H3504="","",DATE(YEAR($H3504),MONTH($H3504),1))</f>
        <v/>
      </c>
      <c r="N3504" s="26">
        <f>IF($H3504="","",TODAY()-$H3504)</f>
        <v/>
      </c>
      <c r="O3504" s="15" t="n"/>
      <c r="P3504" s="26">
        <f>IF($A3504="","",COUNTIFS('Audit Versions'!$A$6:$A$605,$A3504,'Audit Versions'!$L$6:$L$605,"Active"))</f>
        <v/>
      </c>
      <c r="Q3504" s="15" t="n"/>
      <c r="R3504" s="26">
        <f>IF(OR($A3504="",$P3504=0),"",MOD(N($Q3504),$P3504)+1)</f>
        <v/>
      </c>
      <c r="S3504" s="15" t="n"/>
      <c r="T3504" s="25" t="n"/>
      <c r="U3504" s="26">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Builder'!$B$12="",N($S3504)&lt;='Assignment Builder'!$B$12)))</f>
        <v/>
      </c>
      <c r="V3504" s="23" t="n"/>
    </row>
    <row r="3505">
      <c r="A3505" s="23" t="n"/>
      <c r="B3505" s="23" t="n"/>
      <c r="C3505" s="24" t="n"/>
      <c r="D3505" s="15" t="n"/>
      <c r="E3505" s="23" t="n"/>
      <c r="F3505" s="15" t="n"/>
      <c r="G3505" s="23" t="n"/>
      <c r="H3505" s="25" t="n"/>
      <c r="I3505" s="15" t="n"/>
      <c r="J3505" s="26">
        <f>IF($A3505="","",LEN($C3505)-LEN(SUBSTITUTE($C3505,",",""))+1)</f>
        <v/>
      </c>
      <c r="K3505" s="26">
        <f>IF($A3505="","",SUMPRODUCT(--ISNUMBER(SEARCH('Category Dictionary'!$D$5:$D$135&amp;"",$C3505)),--('Category Dictionary'!$D$5:$D$135&lt;&gt;"")))</f>
        <v/>
      </c>
      <c r="L3505" s="27">
        <f>IF($A3505="","",TRIM(IF(ISERROR(FIND(",",$C3505)),$C3505,LEFT($C3505,FIND(",",$C3505)-1))))</f>
        <v/>
      </c>
      <c r="M3505" s="28">
        <f>IF($H3505="","",DATE(YEAR($H3505),MONTH($H3505),1))</f>
        <v/>
      </c>
      <c r="N3505" s="26">
        <f>IF($H3505="","",TODAY()-$H3505)</f>
        <v/>
      </c>
      <c r="O3505" s="15" t="n"/>
      <c r="P3505" s="26">
        <f>IF($A3505="","",COUNTIFS('Audit Versions'!$A$6:$A$605,$A3505,'Audit Versions'!$L$6:$L$605,"Active"))</f>
        <v/>
      </c>
      <c r="Q3505" s="15" t="n"/>
      <c r="R3505" s="26">
        <f>IF(OR($A3505="",$P3505=0),"",MOD(N($Q3505),$P3505)+1)</f>
        <v/>
      </c>
      <c r="S3505" s="15" t="n"/>
      <c r="T3505" s="25" t="n"/>
      <c r="U3505" s="26">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Builder'!$B$12="",N($S3505)&lt;='Assignment Builder'!$B$12)))</f>
        <v/>
      </c>
      <c r="V3505" s="23" t="n"/>
    </row>
    <row r="3506">
      <c r="A3506" s="23" t="n"/>
      <c r="B3506" s="23" t="n"/>
      <c r="C3506" s="24" t="n"/>
      <c r="D3506" s="15" t="n"/>
      <c r="E3506" s="23" t="n"/>
      <c r="F3506" s="15" t="n"/>
      <c r="G3506" s="23" t="n"/>
      <c r="H3506" s="25" t="n"/>
      <c r="I3506" s="15" t="n"/>
      <c r="J3506" s="26">
        <f>IF($A3506="","",LEN($C3506)-LEN(SUBSTITUTE($C3506,",",""))+1)</f>
        <v/>
      </c>
      <c r="K3506" s="26">
        <f>IF($A3506="","",SUMPRODUCT(--ISNUMBER(SEARCH('Category Dictionary'!$D$5:$D$135&amp;"",$C3506)),--('Category Dictionary'!$D$5:$D$135&lt;&gt;"")))</f>
        <v/>
      </c>
      <c r="L3506" s="27">
        <f>IF($A3506="","",TRIM(IF(ISERROR(FIND(",",$C3506)),$C3506,LEFT($C3506,FIND(",",$C3506)-1))))</f>
        <v/>
      </c>
      <c r="M3506" s="28">
        <f>IF($H3506="","",DATE(YEAR($H3506),MONTH($H3506),1))</f>
        <v/>
      </c>
      <c r="N3506" s="26">
        <f>IF($H3506="","",TODAY()-$H3506)</f>
        <v/>
      </c>
      <c r="O3506" s="15" t="n"/>
      <c r="P3506" s="26">
        <f>IF($A3506="","",COUNTIFS('Audit Versions'!$A$6:$A$605,$A3506,'Audit Versions'!$L$6:$L$605,"Active"))</f>
        <v/>
      </c>
      <c r="Q3506" s="15" t="n"/>
      <c r="R3506" s="26">
        <f>IF(OR($A3506="",$P3506=0),"",MOD(N($Q3506),$P3506)+1)</f>
        <v/>
      </c>
      <c r="S3506" s="15" t="n"/>
      <c r="T3506" s="25" t="n"/>
      <c r="U3506" s="26">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Builder'!$B$12="",N($S3506)&lt;='Assignment Builder'!$B$12)))</f>
        <v/>
      </c>
      <c r="V3506" s="23" t="n"/>
    </row>
    <row r="3507">
      <c r="A3507" s="23" t="n"/>
      <c r="B3507" s="23" t="n"/>
      <c r="C3507" s="24" t="n"/>
      <c r="D3507" s="15" t="n"/>
      <c r="E3507" s="23" t="n"/>
      <c r="F3507" s="15" t="n"/>
      <c r="G3507" s="23" t="n"/>
      <c r="H3507" s="25" t="n"/>
      <c r="I3507" s="15" t="n"/>
      <c r="J3507" s="26">
        <f>IF($A3507="","",LEN($C3507)-LEN(SUBSTITUTE($C3507,",",""))+1)</f>
        <v/>
      </c>
      <c r="K3507" s="26">
        <f>IF($A3507="","",SUMPRODUCT(--ISNUMBER(SEARCH('Category Dictionary'!$D$5:$D$135&amp;"",$C3507)),--('Category Dictionary'!$D$5:$D$135&lt;&gt;"")))</f>
        <v/>
      </c>
      <c r="L3507" s="27">
        <f>IF($A3507="","",TRIM(IF(ISERROR(FIND(",",$C3507)),$C3507,LEFT($C3507,FIND(",",$C3507)-1))))</f>
        <v/>
      </c>
      <c r="M3507" s="28">
        <f>IF($H3507="","",DATE(YEAR($H3507),MONTH($H3507),1))</f>
        <v/>
      </c>
      <c r="N3507" s="26">
        <f>IF($H3507="","",TODAY()-$H3507)</f>
        <v/>
      </c>
      <c r="O3507" s="15" t="n"/>
      <c r="P3507" s="26">
        <f>IF($A3507="","",COUNTIFS('Audit Versions'!$A$6:$A$605,$A3507,'Audit Versions'!$L$6:$L$605,"Active"))</f>
        <v/>
      </c>
      <c r="Q3507" s="15" t="n"/>
      <c r="R3507" s="26">
        <f>IF(OR($A3507="",$P3507=0),"",MOD(N($Q3507),$P3507)+1)</f>
        <v/>
      </c>
      <c r="S3507" s="15" t="n"/>
      <c r="T3507" s="25" t="n"/>
      <c r="U3507" s="26">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Builder'!$B$12="",N($S3507)&lt;='Assignment Builder'!$B$12)))</f>
        <v/>
      </c>
      <c r="V3507" s="23" t="n"/>
    </row>
    <row r="3508">
      <c r="A3508" s="23" t="n"/>
      <c r="B3508" s="23" t="n"/>
      <c r="C3508" s="24" t="n"/>
      <c r="D3508" s="15" t="n"/>
      <c r="E3508" s="23" t="n"/>
      <c r="F3508" s="15" t="n"/>
      <c r="G3508" s="23" t="n"/>
      <c r="H3508" s="25" t="n"/>
      <c r="I3508" s="15" t="n"/>
      <c r="J3508" s="26">
        <f>IF($A3508="","",LEN($C3508)-LEN(SUBSTITUTE($C3508,",",""))+1)</f>
        <v/>
      </c>
      <c r="K3508" s="26">
        <f>IF($A3508="","",SUMPRODUCT(--ISNUMBER(SEARCH('Category Dictionary'!$D$5:$D$135&amp;"",$C3508)),--('Category Dictionary'!$D$5:$D$135&lt;&gt;"")))</f>
        <v/>
      </c>
      <c r="L3508" s="27">
        <f>IF($A3508="","",TRIM(IF(ISERROR(FIND(",",$C3508)),$C3508,LEFT($C3508,FIND(",",$C3508)-1))))</f>
        <v/>
      </c>
      <c r="M3508" s="28">
        <f>IF($H3508="","",DATE(YEAR($H3508),MONTH($H3508),1))</f>
        <v/>
      </c>
      <c r="N3508" s="26">
        <f>IF($H3508="","",TODAY()-$H3508)</f>
        <v/>
      </c>
      <c r="O3508" s="15" t="n"/>
      <c r="P3508" s="26">
        <f>IF($A3508="","",COUNTIFS('Audit Versions'!$A$6:$A$605,$A3508,'Audit Versions'!$L$6:$L$605,"Active"))</f>
        <v/>
      </c>
      <c r="Q3508" s="15" t="n"/>
      <c r="R3508" s="26">
        <f>IF(OR($A3508="",$P3508=0),"",MOD(N($Q3508),$P3508)+1)</f>
        <v/>
      </c>
      <c r="S3508" s="15" t="n"/>
      <c r="T3508" s="25" t="n"/>
      <c r="U3508" s="26">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Builder'!$B$12="",N($S3508)&lt;='Assignment Builder'!$B$12)))</f>
        <v/>
      </c>
      <c r="V3508" s="23" t="n"/>
    </row>
    <row r="3509">
      <c r="A3509" s="23" t="n"/>
      <c r="B3509" s="23" t="n"/>
      <c r="C3509" s="24" t="n"/>
      <c r="D3509" s="15" t="n"/>
      <c r="E3509" s="23" t="n"/>
      <c r="F3509" s="15" t="n"/>
      <c r="G3509" s="23" t="n"/>
      <c r="H3509" s="25" t="n"/>
      <c r="I3509" s="15" t="n"/>
      <c r="J3509" s="26">
        <f>IF($A3509="","",LEN($C3509)-LEN(SUBSTITUTE($C3509,",",""))+1)</f>
        <v/>
      </c>
      <c r="K3509" s="26">
        <f>IF($A3509="","",SUMPRODUCT(--ISNUMBER(SEARCH('Category Dictionary'!$D$5:$D$135&amp;"",$C3509)),--('Category Dictionary'!$D$5:$D$135&lt;&gt;"")))</f>
        <v/>
      </c>
      <c r="L3509" s="27">
        <f>IF($A3509="","",TRIM(IF(ISERROR(FIND(",",$C3509)),$C3509,LEFT($C3509,FIND(",",$C3509)-1))))</f>
        <v/>
      </c>
      <c r="M3509" s="28">
        <f>IF($H3509="","",DATE(YEAR($H3509),MONTH($H3509),1))</f>
        <v/>
      </c>
      <c r="N3509" s="26">
        <f>IF($H3509="","",TODAY()-$H3509)</f>
        <v/>
      </c>
      <c r="O3509" s="15" t="n"/>
      <c r="P3509" s="26">
        <f>IF($A3509="","",COUNTIFS('Audit Versions'!$A$6:$A$605,$A3509,'Audit Versions'!$L$6:$L$605,"Active"))</f>
        <v/>
      </c>
      <c r="Q3509" s="15" t="n"/>
      <c r="R3509" s="26">
        <f>IF(OR($A3509="",$P3509=0),"",MOD(N($Q3509),$P3509)+1)</f>
        <v/>
      </c>
      <c r="S3509" s="15" t="n"/>
      <c r="T3509" s="25" t="n"/>
      <c r="U3509" s="26">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Builder'!$B$12="",N($S3509)&lt;='Assignment Builder'!$B$12)))</f>
        <v/>
      </c>
      <c r="V3509" s="23" t="n"/>
    </row>
    <row r="3510">
      <c r="A3510" s="23" t="n"/>
      <c r="B3510" s="23" t="n"/>
      <c r="C3510" s="24" t="n"/>
      <c r="D3510" s="15" t="n"/>
      <c r="E3510" s="23" t="n"/>
      <c r="F3510" s="15" t="n"/>
      <c r="G3510" s="23" t="n"/>
      <c r="H3510" s="25" t="n"/>
      <c r="I3510" s="15" t="n"/>
      <c r="J3510" s="26">
        <f>IF($A3510="","",LEN($C3510)-LEN(SUBSTITUTE($C3510,",",""))+1)</f>
        <v/>
      </c>
      <c r="K3510" s="26">
        <f>IF($A3510="","",SUMPRODUCT(--ISNUMBER(SEARCH('Category Dictionary'!$D$5:$D$135&amp;"",$C3510)),--('Category Dictionary'!$D$5:$D$135&lt;&gt;"")))</f>
        <v/>
      </c>
      <c r="L3510" s="27">
        <f>IF($A3510="","",TRIM(IF(ISERROR(FIND(",",$C3510)),$C3510,LEFT($C3510,FIND(",",$C3510)-1))))</f>
        <v/>
      </c>
      <c r="M3510" s="28">
        <f>IF($H3510="","",DATE(YEAR($H3510),MONTH($H3510),1))</f>
        <v/>
      </c>
      <c r="N3510" s="26">
        <f>IF($H3510="","",TODAY()-$H3510)</f>
        <v/>
      </c>
      <c r="O3510" s="15" t="n"/>
      <c r="P3510" s="26">
        <f>IF($A3510="","",COUNTIFS('Audit Versions'!$A$6:$A$605,$A3510,'Audit Versions'!$L$6:$L$605,"Active"))</f>
        <v/>
      </c>
      <c r="Q3510" s="15" t="n"/>
      <c r="R3510" s="26">
        <f>IF(OR($A3510="",$P3510=0),"",MOD(N($Q3510),$P3510)+1)</f>
        <v/>
      </c>
      <c r="S3510" s="15" t="n"/>
      <c r="T3510" s="25" t="n"/>
      <c r="U3510" s="26">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Builder'!$B$12="",N($S3510)&lt;='Assignment Builder'!$B$12)))</f>
        <v/>
      </c>
      <c r="V3510" s="23" t="n"/>
    </row>
    <row r="3511">
      <c r="A3511" s="23" t="n"/>
      <c r="B3511" s="23" t="n"/>
      <c r="C3511" s="24" t="n"/>
      <c r="D3511" s="15" t="n"/>
      <c r="E3511" s="23" t="n"/>
      <c r="F3511" s="15" t="n"/>
      <c r="G3511" s="23" t="n"/>
      <c r="H3511" s="25" t="n"/>
      <c r="I3511" s="15" t="n"/>
      <c r="J3511" s="26">
        <f>IF($A3511="","",LEN($C3511)-LEN(SUBSTITUTE($C3511,",",""))+1)</f>
        <v/>
      </c>
      <c r="K3511" s="26">
        <f>IF($A3511="","",SUMPRODUCT(--ISNUMBER(SEARCH('Category Dictionary'!$D$5:$D$135&amp;"",$C3511)),--('Category Dictionary'!$D$5:$D$135&lt;&gt;"")))</f>
        <v/>
      </c>
      <c r="L3511" s="27">
        <f>IF($A3511="","",TRIM(IF(ISERROR(FIND(",",$C3511)),$C3511,LEFT($C3511,FIND(",",$C3511)-1))))</f>
        <v/>
      </c>
      <c r="M3511" s="28">
        <f>IF($H3511="","",DATE(YEAR($H3511),MONTH($H3511),1))</f>
        <v/>
      </c>
      <c r="N3511" s="26">
        <f>IF($H3511="","",TODAY()-$H3511)</f>
        <v/>
      </c>
      <c r="O3511" s="15" t="n"/>
      <c r="P3511" s="26">
        <f>IF($A3511="","",COUNTIFS('Audit Versions'!$A$6:$A$605,$A3511,'Audit Versions'!$L$6:$L$605,"Active"))</f>
        <v/>
      </c>
      <c r="Q3511" s="15" t="n"/>
      <c r="R3511" s="26">
        <f>IF(OR($A3511="",$P3511=0),"",MOD(N($Q3511),$P3511)+1)</f>
        <v/>
      </c>
      <c r="S3511" s="15" t="n"/>
      <c r="T3511" s="25" t="n"/>
      <c r="U3511" s="26">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Builder'!$B$12="",N($S3511)&lt;='Assignment Builder'!$B$12)))</f>
        <v/>
      </c>
      <c r="V3511" s="23" t="n"/>
    </row>
    <row r="3512">
      <c r="A3512" s="23" t="n"/>
      <c r="B3512" s="23" t="n"/>
      <c r="C3512" s="24" t="n"/>
      <c r="D3512" s="15" t="n"/>
      <c r="E3512" s="23" t="n"/>
      <c r="F3512" s="15" t="n"/>
      <c r="G3512" s="23" t="n"/>
      <c r="H3512" s="25" t="n"/>
      <c r="I3512" s="15" t="n"/>
      <c r="J3512" s="26">
        <f>IF($A3512="","",LEN($C3512)-LEN(SUBSTITUTE($C3512,",",""))+1)</f>
        <v/>
      </c>
      <c r="K3512" s="26">
        <f>IF($A3512="","",SUMPRODUCT(--ISNUMBER(SEARCH('Category Dictionary'!$D$5:$D$135&amp;"",$C3512)),--('Category Dictionary'!$D$5:$D$135&lt;&gt;"")))</f>
        <v/>
      </c>
      <c r="L3512" s="27">
        <f>IF($A3512="","",TRIM(IF(ISERROR(FIND(",",$C3512)),$C3512,LEFT($C3512,FIND(",",$C3512)-1))))</f>
        <v/>
      </c>
      <c r="M3512" s="28">
        <f>IF($H3512="","",DATE(YEAR($H3512),MONTH($H3512),1))</f>
        <v/>
      </c>
      <c r="N3512" s="26">
        <f>IF($H3512="","",TODAY()-$H3512)</f>
        <v/>
      </c>
      <c r="O3512" s="15" t="n"/>
      <c r="P3512" s="26">
        <f>IF($A3512="","",COUNTIFS('Audit Versions'!$A$6:$A$605,$A3512,'Audit Versions'!$L$6:$L$605,"Active"))</f>
        <v/>
      </c>
      <c r="Q3512" s="15" t="n"/>
      <c r="R3512" s="26">
        <f>IF(OR($A3512="",$P3512=0),"",MOD(N($Q3512),$P3512)+1)</f>
        <v/>
      </c>
      <c r="S3512" s="15" t="n"/>
      <c r="T3512" s="25" t="n"/>
      <c r="U3512" s="26">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Builder'!$B$12="",N($S3512)&lt;='Assignment Builder'!$B$12)))</f>
        <v/>
      </c>
      <c r="V3512" s="23" t="n"/>
    </row>
    <row r="3513">
      <c r="A3513" s="23" t="n"/>
      <c r="B3513" s="23" t="n"/>
      <c r="C3513" s="24" t="n"/>
      <c r="D3513" s="15" t="n"/>
      <c r="E3513" s="23" t="n"/>
      <c r="F3513" s="15" t="n"/>
      <c r="G3513" s="23" t="n"/>
      <c r="H3513" s="25" t="n"/>
      <c r="I3513" s="15" t="n"/>
      <c r="J3513" s="26">
        <f>IF($A3513="","",LEN($C3513)-LEN(SUBSTITUTE($C3513,",",""))+1)</f>
        <v/>
      </c>
      <c r="K3513" s="26">
        <f>IF($A3513="","",SUMPRODUCT(--ISNUMBER(SEARCH('Category Dictionary'!$D$5:$D$135&amp;"",$C3513)),--('Category Dictionary'!$D$5:$D$135&lt;&gt;"")))</f>
        <v/>
      </c>
      <c r="L3513" s="27">
        <f>IF($A3513="","",TRIM(IF(ISERROR(FIND(",",$C3513)),$C3513,LEFT($C3513,FIND(",",$C3513)-1))))</f>
        <v/>
      </c>
      <c r="M3513" s="28">
        <f>IF($H3513="","",DATE(YEAR($H3513),MONTH($H3513),1))</f>
        <v/>
      </c>
      <c r="N3513" s="26">
        <f>IF($H3513="","",TODAY()-$H3513)</f>
        <v/>
      </c>
      <c r="O3513" s="15" t="n"/>
      <c r="P3513" s="26">
        <f>IF($A3513="","",COUNTIFS('Audit Versions'!$A$6:$A$605,$A3513,'Audit Versions'!$L$6:$L$605,"Active"))</f>
        <v/>
      </c>
      <c r="Q3513" s="15" t="n"/>
      <c r="R3513" s="26">
        <f>IF(OR($A3513="",$P3513=0),"",MOD(N($Q3513),$P3513)+1)</f>
        <v/>
      </c>
      <c r="S3513" s="15" t="n"/>
      <c r="T3513" s="25" t="n"/>
      <c r="U3513" s="26">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Builder'!$B$12="",N($S3513)&lt;='Assignment Builder'!$B$12)))</f>
        <v/>
      </c>
      <c r="V3513" s="23" t="n"/>
    </row>
    <row r="3514">
      <c r="A3514" s="23" t="n"/>
      <c r="B3514" s="23" t="n"/>
      <c r="C3514" s="24" t="n"/>
      <c r="D3514" s="15" t="n"/>
      <c r="E3514" s="23" t="n"/>
      <c r="F3514" s="15" t="n"/>
      <c r="G3514" s="23" t="n"/>
      <c r="H3514" s="25" t="n"/>
      <c r="I3514" s="15" t="n"/>
      <c r="J3514" s="26">
        <f>IF($A3514="","",LEN($C3514)-LEN(SUBSTITUTE($C3514,",",""))+1)</f>
        <v/>
      </c>
      <c r="K3514" s="26">
        <f>IF($A3514="","",SUMPRODUCT(--ISNUMBER(SEARCH('Category Dictionary'!$D$5:$D$135&amp;"",$C3514)),--('Category Dictionary'!$D$5:$D$135&lt;&gt;"")))</f>
        <v/>
      </c>
      <c r="L3514" s="27">
        <f>IF($A3514="","",TRIM(IF(ISERROR(FIND(",",$C3514)),$C3514,LEFT($C3514,FIND(",",$C3514)-1))))</f>
        <v/>
      </c>
      <c r="M3514" s="28">
        <f>IF($H3514="","",DATE(YEAR($H3514),MONTH($H3514),1))</f>
        <v/>
      </c>
      <c r="N3514" s="26">
        <f>IF($H3514="","",TODAY()-$H3514)</f>
        <v/>
      </c>
      <c r="O3514" s="15" t="n"/>
      <c r="P3514" s="26">
        <f>IF($A3514="","",COUNTIFS('Audit Versions'!$A$6:$A$605,$A3514,'Audit Versions'!$L$6:$L$605,"Active"))</f>
        <v/>
      </c>
      <c r="Q3514" s="15" t="n"/>
      <c r="R3514" s="26">
        <f>IF(OR($A3514="",$P3514=0),"",MOD(N($Q3514),$P3514)+1)</f>
        <v/>
      </c>
      <c r="S3514" s="15" t="n"/>
      <c r="T3514" s="25" t="n"/>
      <c r="U3514" s="26">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Builder'!$B$12="",N($S3514)&lt;='Assignment Builder'!$B$12)))</f>
        <v/>
      </c>
      <c r="V3514" s="23" t="n"/>
    </row>
    <row r="3515">
      <c r="A3515" s="23" t="n"/>
      <c r="B3515" s="23" t="n"/>
      <c r="C3515" s="24" t="n"/>
      <c r="D3515" s="15" t="n"/>
      <c r="E3515" s="23" t="n"/>
      <c r="F3515" s="15" t="n"/>
      <c r="G3515" s="23" t="n"/>
      <c r="H3515" s="25" t="n"/>
      <c r="I3515" s="15" t="n"/>
      <c r="J3515" s="26">
        <f>IF($A3515="","",LEN($C3515)-LEN(SUBSTITUTE($C3515,",",""))+1)</f>
        <v/>
      </c>
      <c r="K3515" s="26">
        <f>IF($A3515="","",SUMPRODUCT(--ISNUMBER(SEARCH('Category Dictionary'!$D$5:$D$135&amp;"",$C3515)),--('Category Dictionary'!$D$5:$D$135&lt;&gt;"")))</f>
        <v/>
      </c>
      <c r="L3515" s="27">
        <f>IF($A3515="","",TRIM(IF(ISERROR(FIND(",",$C3515)),$C3515,LEFT($C3515,FIND(",",$C3515)-1))))</f>
        <v/>
      </c>
      <c r="M3515" s="28">
        <f>IF($H3515="","",DATE(YEAR($H3515),MONTH($H3515),1))</f>
        <v/>
      </c>
      <c r="N3515" s="26">
        <f>IF($H3515="","",TODAY()-$H3515)</f>
        <v/>
      </c>
      <c r="O3515" s="15" t="n"/>
      <c r="P3515" s="26">
        <f>IF($A3515="","",COUNTIFS('Audit Versions'!$A$6:$A$605,$A3515,'Audit Versions'!$L$6:$L$605,"Active"))</f>
        <v/>
      </c>
      <c r="Q3515" s="15" t="n"/>
      <c r="R3515" s="26">
        <f>IF(OR($A3515="",$P3515=0),"",MOD(N($Q3515),$P3515)+1)</f>
        <v/>
      </c>
      <c r="S3515" s="15" t="n"/>
      <c r="T3515" s="25" t="n"/>
      <c r="U3515" s="26">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Builder'!$B$12="",N($S3515)&lt;='Assignment Builder'!$B$12)))</f>
        <v/>
      </c>
      <c r="V3515" s="23" t="n"/>
    </row>
    <row r="3516">
      <c r="A3516" s="23" t="n"/>
      <c r="B3516" s="23" t="n"/>
      <c r="C3516" s="24" t="n"/>
      <c r="D3516" s="15" t="n"/>
      <c r="E3516" s="23" t="n"/>
      <c r="F3516" s="15" t="n"/>
      <c r="G3516" s="23" t="n"/>
      <c r="H3516" s="25" t="n"/>
      <c r="I3516" s="15" t="n"/>
      <c r="J3516" s="26">
        <f>IF($A3516="","",LEN($C3516)-LEN(SUBSTITUTE($C3516,",",""))+1)</f>
        <v/>
      </c>
      <c r="K3516" s="26">
        <f>IF($A3516="","",SUMPRODUCT(--ISNUMBER(SEARCH('Category Dictionary'!$D$5:$D$135&amp;"",$C3516)),--('Category Dictionary'!$D$5:$D$135&lt;&gt;"")))</f>
        <v/>
      </c>
      <c r="L3516" s="27">
        <f>IF($A3516="","",TRIM(IF(ISERROR(FIND(",",$C3516)),$C3516,LEFT($C3516,FIND(",",$C3516)-1))))</f>
        <v/>
      </c>
      <c r="M3516" s="28">
        <f>IF($H3516="","",DATE(YEAR($H3516),MONTH($H3516),1))</f>
        <v/>
      </c>
      <c r="N3516" s="26">
        <f>IF($H3516="","",TODAY()-$H3516)</f>
        <v/>
      </c>
      <c r="O3516" s="15" t="n"/>
      <c r="P3516" s="26">
        <f>IF($A3516="","",COUNTIFS('Audit Versions'!$A$6:$A$605,$A3516,'Audit Versions'!$L$6:$L$605,"Active"))</f>
        <v/>
      </c>
      <c r="Q3516" s="15" t="n"/>
      <c r="R3516" s="26">
        <f>IF(OR($A3516="",$P3516=0),"",MOD(N($Q3516),$P3516)+1)</f>
        <v/>
      </c>
      <c r="S3516" s="15" t="n"/>
      <c r="T3516" s="25" t="n"/>
      <c r="U3516" s="26">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Builder'!$B$12="",N($S3516)&lt;='Assignment Builder'!$B$12)))</f>
        <v/>
      </c>
      <c r="V3516" s="23" t="n"/>
    </row>
    <row r="3517">
      <c r="A3517" s="23" t="n"/>
      <c r="B3517" s="23" t="n"/>
      <c r="C3517" s="24" t="n"/>
      <c r="D3517" s="15" t="n"/>
      <c r="E3517" s="23" t="n"/>
      <c r="F3517" s="15" t="n"/>
      <c r="G3517" s="23" t="n"/>
      <c r="H3517" s="25" t="n"/>
      <c r="I3517" s="15" t="n"/>
      <c r="J3517" s="26">
        <f>IF($A3517="","",LEN($C3517)-LEN(SUBSTITUTE($C3517,",",""))+1)</f>
        <v/>
      </c>
      <c r="K3517" s="26">
        <f>IF($A3517="","",SUMPRODUCT(--ISNUMBER(SEARCH('Category Dictionary'!$D$5:$D$135&amp;"",$C3517)),--('Category Dictionary'!$D$5:$D$135&lt;&gt;"")))</f>
        <v/>
      </c>
      <c r="L3517" s="27">
        <f>IF($A3517="","",TRIM(IF(ISERROR(FIND(",",$C3517)),$C3517,LEFT($C3517,FIND(",",$C3517)-1))))</f>
        <v/>
      </c>
      <c r="M3517" s="28">
        <f>IF($H3517="","",DATE(YEAR($H3517),MONTH($H3517),1))</f>
        <v/>
      </c>
      <c r="N3517" s="26">
        <f>IF($H3517="","",TODAY()-$H3517)</f>
        <v/>
      </c>
      <c r="O3517" s="15" t="n"/>
      <c r="P3517" s="26">
        <f>IF($A3517="","",COUNTIFS('Audit Versions'!$A$6:$A$605,$A3517,'Audit Versions'!$L$6:$L$605,"Active"))</f>
        <v/>
      </c>
      <c r="Q3517" s="15" t="n"/>
      <c r="R3517" s="26">
        <f>IF(OR($A3517="",$P3517=0),"",MOD(N($Q3517),$P3517)+1)</f>
        <v/>
      </c>
      <c r="S3517" s="15" t="n"/>
      <c r="T3517" s="25" t="n"/>
      <c r="U3517" s="26">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Builder'!$B$12="",N($S3517)&lt;='Assignment Builder'!$B$12)))</f>
        <v/>
      </c>
      <c r="V3517" s="23" t="n"/>
    </row>
    <row r="3518">
      <c r="A3518" s="23" t="n"/>
      <c r="B3518" s="23" t="n"/>
      <c r="C3518" s="24" t="n"/>
      <c r="D3518" s="15" t="n"/>
      <c r="E3518" s="23" t="n"/>
      <c r="F3518" s="15" t="n"/>
      <c r="G3518" s="23" t="n"/>
      <c r="H3518" s="25" t="n"/>
      <c r="I3518" s="15" t="n"/>
      <c r="J3518" s="26">
        <f>IF($A3518="","",LEN($C3518)-LEN(SUBSTITUTE($C3518,",",""))+1)</f>
        <v/>
      </c>
      <c r="K3518" s="26">
        <f>IF($A3518="","",SUMPRODUCT(--ISNUMBER(SEARCH('Category Dictionary'!$D$5:$D$135&amp;"",$C3518)),--('Category Dictionary'!$D$5:$D$135&lt;&gt;"")))</f>
        <v/>
      </c>
      <c r="L3518" s="27">
        <f>IF($A3518="","",TRIM(IF(ISERROR(FIND(",",$C3518)),$C3518,LEFT($C3518,FIND(",",$C3518)-1))))</f>
        <v/>
      </c>
      <c r="M3518" s="28">
        <f>IF($H3518="","",DATE(YEAR($H3518),MONTH($H3518),1))</f>
        <v/>
      </c>
      <c r="N3518" s="26">
        <f>IF($H3518="","",TODAY()-$H3518)</f>
        <v/>
      </c>
      <c r="O3518" s="15" t="n"/>
      <c r="P3518" s="26">
        <f>IF($A3518="","",COUNTIFS('Audit Versions'!$A$6:$A$605,$A3518,'Audit Versions'!$L$6:$L$605,"Active"))</f>
        <v/>
      </c>
      <c r="Q3518" s="15" t="n"/>
      <c r="R3518" s="26">
        <f>IF(OR($A3518="",$P3518=0),"",MOD(N($Q3518),$P3518)+1)</f>
        <v/>
      </c>
      <c r="S3518" s="15" t="n"/>
      <c r="T3518" s="25" t="n"/>
      <c r="U3518" s="26">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Builder'!$B$12="",N($S3518)&lt;='Assignment Builder'!$B$12)))</f>
        <v/>
      </c>
      <c r="V3518" s="23" t="n"/>
    </row>
    <row r="3519">
      <c r="A3519" s="23" t="n"/>
      <c r="B3519" s="23" t="n"/>
      <c r="C3519" s="24" t="n"/>
      <c r="D3519" s="15" t="n"/>
      <c r="E3519" s="23" t="n"/>
      <c r="F3519" s="15" t="n"/>
      <c r="G3519" s="23" t="n"/>
      <c r="H3519" s="25" t="n"/>
      <c r="I3519" s="15" t="n"/>
      <c r="J3519" s="26">
        <f>IF($A3519="","",LEN($C3519)-LEN(SUBSTITUTE($C3519,",",""))+1)</f>
        <v/>
      </c>
      <c r="K3519" s="26">
        <f>IF($A3519="","",SUMPRODUCT(--ISNUMBER(SEARCH('Category Dictionary'!$D$5:$D$135&amp;"",$C3519)),--('Category Dictionary'!$D$5:$D$135&lt;&gt;"")))</f>
        <v/>
      </c>
      <c r="L3519" s="27">
        <f>IF($A3519="","",TRIM(IF(ISERROR(FIND(",",$C3519)),$C3519,LEFT($C3519,FIND(",",$C3519)-1))))</f>
        <v/>
      </c>
      <c r="M3519" s="28">
        <f>IF($H3519="","",DATE(YEAR($H3519),MONTH($H3519),1))</f>
        <v/>
      </c>
      <c r="N3519" s="26">
        <f>IF($H3519="","",TODAY()-$H3519)</f>
        <v/>
      </c>
      <c r="O3519" s="15" t="n"/>
      <c r="P3519" s="26">
        <f>IF($A3519="","",COUNTIFS('Audit Versions'!$A$6:$A$605,$A3519,'Audit Versions'!$L$6:$L$605,"Active"))</f>
        <v/>
      </c>
      <c r="Q3519" s="15" t="n"/>
      <c r="R3519" s="26">
        <f>IF(OR($A3519="",$P3519=0),"",MOD(N($Q3519),$P3519)+1)</f>
        <v/>
      </c>
      <c r="S3519" s="15" t="n"/>
      <c r="T3519" s="25" t="n"/>
      <c r="U3519" s="26">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Builder'!$B$12="",N($S3519)&lt;='Assignment Builder'!$B$12)))</f>
        <v/>
      </c>
      <c r="V3519" s="23" t="n"/>
    </row>
    <row r="3520">
      <c r="A3520" s="23" t="n"/>
      <c r="B3520" s="23" t="n"/>
      <c r="C3520" s="24" t="n"/>
      <c r="D3520" s="15" t="n"/>
      <c r="E3520" s="23" t="n"/>
      <c r="F3520" s="15" t="n"/>
      <c r="G3520" s="23" t="n"/>
      <c r="H3520" s="25" t="n"/>
      <c r="I3520" s="15" t="n"/>
      <c r="J3520" s="26">
        <f>IF($A3520="","",LEN($C3520)-LEN(SUBSTITUTE($C3520,",",""))+1)</f>
        <v/>
      </c>
      <c r="K3520" s="26">
        <f>IF($A3520="","",SUMPRODUCT(--ISNUMBER(SEARCH('Category Dictionary'!$D$5:$D$135&amp;"",$C3520)),--('Category Dictionary'!$D$5:$D$135&lt;&gt;"")))</f>
        <v/>
      </c>
      <c r="L3520" s="27">
        <f>IF($A3520="","",TRIM(IF(ISERROR(FIND(",",$C3520)),$C3520,LEFT($C3520,FIND(",",$C3520)-1))))</f>
        <v/>
      </c>
      <c r="M3520" s="28">
        <f>IF($H3520="","",DATE(YEAR($H3520),MONTH($H3520),1))</f>
        <v/>
      </c>
      <c r="N3520" s="26">
        <f>IF($H3520="","",TODAY()-$H3520)</f>
        <v/>
      </c>
      <c r="O3520" s="15" t="n"/>
      <c r="P3520" s="26">
        <f>IF($A3520="","",COUNTIFS('Audit Versions'!$A$6:$A$605,$A3520,'Audit Versions'!$L$6:$L$605,"Active"))</f>
        <v/>
      </c>
      <c r="Q3520" s="15" t="n"/>
      <c r="R3520" s="26">
        <f>IF(OR($A3520="",$P3520=0),"",MOD(N($Q3520),$P3520)+1)</f>
        <v/>
      </c>
      <c r="S3520" s="15" t="n"/>
      <c r="T3520" s="25" t="n"/>
      <c r="U3520" s="26">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Builder'!$B$12="",N($S3520)&lt;='Assignment Builder'!$B$12)))</f>
        <v/>
      </c>
      <c r="V3520" s="23" t="n"/>
    </row>
    <row r="3521">
      <c r="A3521" s="23" t="n"/>
      <c r="B3521" s="23" t="n"/>
      <c r="C3521" s="24" t="n"/>
      <c r="D3521" s="15" t="n"/>
      <c r="E3521" s="23" t="n"/>
      <c r="F3521" s="15" t="n"/>
      <c r="G3521" s="23" t="n"/>
      <c r="H3521" s="25" t="n"/>
      <c r="I3521" s="15" t="n"/>
      <c r="J3521" s="26">
        <f>IF($A3521="","",LEN($C3521)-LEN(SUBSTITUTE($C3521,",",""))+1)</f>
        <v/>
      </c>
      <c r="K3521" s="26">
        <f>IF($A3521="","",SUMPRODUCT(--ISNUMBER(SEARCH('Category Dictionary'!$D$5:$D$135&amp;"",$C3521)),--('Category Dictionary'!$D$5:$D$135&lt;&gt;"")))</f>
        <v/>
      </c>
      <c r="L3521" s="27">
        <f>IF($A3521="","",TRIM(IF(ISERROR(FIND(",",$C3521)),$C3521,LEFT($C3521,FIND(",",$C3521)-1))))</f>
        <v/>
      </c>
      <c r="M3521" s="28">
        <f>IF($H3521="","",DATE(YEAR($H3521),MONTH($H3521),1))</f>
        <v/>
      </c>
      <c r="N3521" s="26">
        <f>IF($H3521="","",TODAY()-$H3521)</f>
        <v/>
      </c>
      <c r="O3521" s="15" t="n"/>
      <c r="P3521" s="26">
        <f>IF($A3521="","",COUNTIFS('Audit Versions'!$A$6:$A$605,$A3521,'Audit Versions'!$L$6:$L$605,"Active"))</f>
        <v/>
      </c>
      <c r="Q3521" s="15" t="n"/>
      <c r="R3521" s="26">
        <f>IF(OR($A3521="",$P3521=0),"",MOD(N($Q3521),$P3521)+1)</f>
        <v/>
      </c>
      <c r="S3521" s="15" t="n"/>
      <c r="T3521" s="25" t="n"/>
      <c r="U3521" s="26">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Builder'!$B$12="",N($S3521)&lt;='Assignment Builder'!$B$12)))</f>
        <v/>
      </c>
      <c r="V3521" s="23" t="n"/>
    </row>
    <row r="3522">
      <c r="A3522" s="23" t="n"/>
      <c r="B3522" s="23" t="n"/>
      <c r="C3522" s="24" t="n"/>
      <c r="D3522" s="15" t="n"/>
      <c r="E3522" s="23" t="n"/>
      <c r="F3522" s="15" t="n"/>
      <c r="G3522" s="23" t="n"/>
      <c r="H3522" s="25" t="n"/>
      <c r="I3522" s="15" t="n"/>
      <c r="J3522" s="26">
        <f>IF($A3522="","",LEN($C3522)-LEN(SUBSTITUTE($C3522,",",""))+1)</f>
        <v/>
      </c>
      <c r="K3522" s="26">
        <f>IF($A3522="","",SUMPRODUCT(--ISNUMBER(SEARCH('Category Dictionary'!$D$5:$D$135&amp;"",$C3522)),--('Category Dictionary'!$D$5:$D$135&lt;&gt;"")))</f>
        <v/>
      </c>
      <c r="L3522" s="27">
        <f>IF($A3522="","",TRIM(IF(ISERROR(FIND(",",$C3522)),$C3522,LEFT($C3522,FIND(",",$C3522)-1))))</f>
        <v/>
      </c>
      <c r="M3522" s="28">
        <f>IF($H3522="","",DATE(YEAR($H3522),MONTH($H3522),1))</f>
        <v/>
      </c>
      <c r="N3522" s="26">
        <f>IF($H3522="","",TODAY()-$H3522)</f>
        <v/>
      </c>
      <c r="O3522" s="15" t="n"/>
      <c r="P3522" s="26">
        <f>IF($A3522="","",COUNTIFS('Audit Versions'!$A$6:$A$605,$A3522,'Audit Versions'!$L$6:$L$605,"Active"))</f>
        <v/>
      </c>
      <c r="Q3522" s="15" t="n"/>
      <c r="R3522" s="26">
        <f>IF(OR($A3522="",$P3522=0),"",MOD(N($Q3522),$P3522)+1)</f>
        <v/>
      </c>
      <c r="S3522" s="15" t="n"/>
      <c r="T3522" s="25" t="n"/>
      <c r="U3522" s="26">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Builder'!$B$12="",N($S3522)&lt;='Assignment Builder'!$B$12)))</f>
        <v/>
      </c>
      <c r="V3522" s="23" t="n"/>
    </row>
    <row r="3523">
      <c r="A3523" s="23" t="n"/>
      <c r="B3523" s="23" t="n"/>
      <c r="C3523" s="24" t="n"/>
      <c r="D3523" s="15" t="n"/>
      <c r="E3523" s="23" t="n"/>
      <c r="F3523" s="15" t="n"/>
      <c r="G3523" s="23" t="n"/>
      <c r="H3523" s="25" t="n"/>
      <c r="I3523" s="15" t="n"/>
      <c r="J3523" s="26">
        <f>IF($A3523="","",LEN($C3523)-LEN(SUBSTITUTE($C3523,",",""))+1)</f>
        <v/>
      </c>
      <c r="K3523" s="26">
        <f>IF($A3523="","",SUMPRODUCT(--ISNUMBER(SEARCH('Category Dictionary'!$D$5:$D$135&amp;"",$C3523)),--('Category Dictionary'!$D$5:$D$135&lt;&gt;"")))</f>
        <v/>
      </c>
      <c r="L3523" s="27">
        <f>IF($A3523="","",TRIM(IF(ISERROR(FIND(",",$C3523)),$C3523,LEFT($C3523,FIND(",",$C3523)-1))))</f>
        <v/>
      </c>
      <c r="M3523" s="28">
        <f>IF($H3523="","",DATE(YEAR($H3523),MONTH($H3523),1))</f>
        <v/>
      </c>
      <c r="N3523" s="26">
        <f>IF($H3523="","",TODAY()-$H3523)</f>
        <v/>
      </c>
      <c r="O3523" s="15" t="n"/>
      <c r="P3523" s="26">
        <f>IF($A3523="","",COUNTIFS('Audit Versions'!$A$6:$A$605,$A3523,'Audit Versions'!$L$6:$L$605,"Active"))</f>
        <v/>
      </c>
      <c r="Q3523" s="15" t="n"/>
      <c r="R3523" s="26">
        <f>IF(OR($A3523="",$P3523=0),"",MOD(N($Q3523),$P3523)+1)</f>
        <v/>
      </c>
      <c r="S3523" s="15" t="n"/>
      <c r="T3523" s="25" t="n"/>
      <c r="U3523" s="26">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Builder'!$B$12="",N($S3523)&lt;='Assignment Builder'!$B$12)))</f>
        <v/>
      </c>
      <c r="V3523" s="23" t="n"/>
    </row>
    <row r="3524">
      <c r="A3524" s="23" t="n"/>
      <c r="B3524" s="23" t="n"/>
      <c r="C3524" s="24" t="n"/>
      <c r="D3524" s="15" t="n"/>
      <c r="E3524" s="23" t="n"/>
      <c r="F3524" s="15" t="n"/>
      <c r="G3524" s="23" t="n"/>
      <c r="H3524" s="25" t="n"/>
      <c r="I3524" s="15" t="n"/>
      <c r="J3524" s="26">
        <f>IF($A3524="","",LEN($C3524)-LEN(SUBSTITUTE($C3524,",",""))+1)</f>
        <v/>
      </c>
      <c r="K3524" s="26">
        <f>IF($A3524="","",SUMPRODUCT(--ISNUMBER(SEARCH('Category Dictionary'!$D$5:$D$135&amp;"",$C3524)),--('Category Dictionary'!$D$5:$D$135&lt;&gt;"")))</f>
        <v/>
      </c>
      <c r="L3524" s="27">
        <f>IF($A3524="","",TRIM(IF(ISERROR(FIND(",",$C3524)),$C3524,LEFT($C3524,FIND(",",$C3524)-1))))</f>
        <v/>
      </c>
      <c r="M3524" s="28">
        <f>IF($H3524="","",DATE(YEAR($H3524),MONTH($H3524),1))</f>
        <v/>
      </c>
      <c r="N3524" s="26">
        <f>IF($H3524="","",TODAY()-$H3524)</f>
        <v/>
      </c>
      <c r="O3524" s="15" t="n"/>
      <c r="P3524" s="26">
        <f>IF($A3524="","",COUNTIFS('Audit Versions'!$A$6:$A$605,$A3524,'Audit Versions'!$L$6:$L$605,"Active"))</f>
        <v/>
      </c>
      <c r="Q3524" s="15" t="n"/>
      <c r="R3524" s="26">
        <f>IF(OR($A3524="",$P3524=0),"",MOD(N($Q3524),$P3524)+1)</f>
        <v/>
      </c>
      <c r="S3524" s="15" t="n"/>
      <c r="T3524" s="25" t="n"/>
      <c r="U3524" s="26">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Builder'!$B$12="",N($S3524)&lt;='Assignment Builder'!$B$12)))</f>
        <v/>
      </c>
      <c r="V3524" s="23" t="n"/>
    </row>
    <row r="3525">
      <c r="A3525" s="23" t="n"/>
      <c r="B3525" s="23" t="n"/>
      <c r="C3525" s="24" t="n"/>
      <c r="D3525" s="15" t="n"/>
      <c r="E3525" s="23" t="n"/>
      <c r="F3525" s="15" t="n"/>
      <c r="G3525" s="23" t="n"/>
      <c r="H3525" s="25" t="n"/>
      <c r="I3525" s="15" t="n"/>
      <c r="J3525" s="26">
        <f>IF($A3525="","",LEN($C3525)-LEN(SUBSTITUTE($C3525,",",""))+1)</f>
        <v/>
      </c>
      <c r="K3525" s="26">
        <f>IF($A3525="","",SUMPRODUCT(--ISNUMBER(SEARCH('Category Dictionary'!$D$5:$D$135&amp;"",$C3525)),--('Category Dictionary'!$D$5:$D$135&lt;&gt;"")))</f>
        <v/>
      </c>
      <c r="L3525" s="27">
        <f>IF($A3525="","",TRIM(IF(ISERROR(FIND(",",$C3525)),$C3525,LEFT($C3525,FIND(",",$C3525)-1))))</f>
        <v/>
      </c>
      <c r="M3525" s="28">
        <f>IF($H3525="","",DATE(YEAR($H3525),MONTH($H3525),1))</f>
        <v/>
      </c>
      <c r="N3525" s="26">
        <f>IF($H3525="","",TODAY()-$H3525)</f>
        <v/>
      </c>
      <c r="O3525" s="15" t="n"/>
      <c r="P3525" s="26">
        <f>IF($A3525="","",COUNTIFS('Audit Versions'!$A$6:$A$605,$A3525,'Audit Versions'!$L$6:$L$605,"Active"))</f>
        <v/>
      </c>
      <c r="Q3525" s="15" t="n"/>
      <c r="R3525" s="26">
        <f>IF(OR($A3525="",$P3525=0),"",MOD(N($Q3525),$P3525)+1)</f>
        <v/>
      </c>
      <c r="S3525" s="15" t="n"/>
      <c r="T3525" s="25" t="n"/>
      <c r="U3525" s="26">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Builder'!$B$12="",N($S3525)&lt;='Assignment Builder'!$B$12)))</f>
        <v/>
      </c>
      <c r="V3525" s="23" t="n"/>
    </row>
    <row r="3526">
      <c r="A3526" s="23" t="n"/>
      <c r="B3526" s="23" t="n"/>
      <c r="C3526" s="24" t="n"/>
      <c r="D3526" s="15" t="n"/>
      <c r="E3526" s="23" t="n"/>
      <c r="F3526" s="15" t="n"/>
      <c r="G3526" s="23" t="n"/>
      <c r="H3526" s="25" t="n"/>
      <c r="I3526" s="15" t="n"/>
      <c r="J3526" s="26">
        <f>IF($A3526="","",LEN($C3526)-LEN(SUBSTITUTE($C3526,",",""))+1)</f>
        <v/>
      </c>
      <c r="K3526" s="26">
        <f>IF($A3526="","",SUMPRODUCT(--ISNUMBER(SEARCH('Category Dictionary'!$D$5:$D$135&amp;"",$C3526)),--('Category Dictionary'!$D$5:$D$135&lt;&gt;"")))</f>
        <v/>
      </c>
      <c r="L3526" s="27">
        <f>IF($A3526="","",TRIM(IF(ISERROR(FIND(",",$C3526)),$C3526,LEFT($C3526,FIND(",",$C3526)-1))))</f>
        <v/>
      </c>
      <c r="M3526" s="28">
        <f>IF($H3526="","",DATE(YEAR($H3526),MONTH($H3526),1))</f>
        <v/>
      </c>
      <c r="N3526" s="26">
        <f>IF($H3526="","",TODAY()-$H3526)</f>
        <v/>
      </c>
      <c r="O3526" s="15" t="n"/>
      <c r="P3526" s="26">
        <f>IF($A3526="","",COUNTIFS('Audit Versions'!$A$6:$A$605,$A3526,'Audit Versions'!$L$6:$L$605,"Active"))</f>
        <v/>
      </c>
      <c r="Q3526" s="15" t="n"/>
      <c r="R3526" s="26">
        <f>IF(OR($A3526="",$P3526=0),"",MOD(N($Q3526),$P3526)+1)</f>
        <v/>
      </c>
      <c r="S3526" s="15" t="n"/>
      <c r="T3526" s="25" t="n"/>
      <c r="U3526" s="26">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Builder'!$B$12="",N($S3526)&lt;='Assignment Builder'!$B$12)))</f>
        <v/>
      </c>
      <c r="V3526" s="23" t="n"/>
    </row>
    <row r="3527">
      <c r="A3527" s="23" t="n"/>
      <c r="B3527" s="23" t="n"/>
      <c r="C3527" s="24" t="n"/>
      <c r="D3527" s="15" t="n"/>
      <c r="E3527" s="23" t="n"/>
      <c r="F3527" s="15" t="n"/>
      <c r="G3527" s="23" t="n"/>
      <c r="H3527" s="25" t="n"/>
      <c r="I3527" s="15" t="n"/>
      <c r="J3527" s="26">
        <f>IF($A3527="","",LEN($C3527)-LEN(SUBSTITUTE($C3527,",",""))+1)</f>
        <v/>
      </c>
      <c r="K3527" s="26">
        <f>IF($A3527="","",SUMPRODUCT(--ISNUMBER(SEARCH('Category Dictionary'!$D$5:$D$135&amp;"",$C3527)),--('Category Dictionary'!$D$5:$D$135&lt;&gt;"")))</f>
        <v/>
      </c>
      <c r="L3527" s="27">
        <f>IF($A3527="","",TRIM(IF(ISERROR(FIND(",",$C3527)),$C3527,LEFT($C3527,FIND(",",$C3527)-1))))</f>
        <v/>
      </c>
      <c r="M3527" s="28">
        <f>IF($H3527="","",DATE(YEAR($H3527),MONTH($H3527),1))</f>
        <v/>
      </c>
      <c r="N3527" s="26">
        <f>IF($H3527="","",TODAY()-$H3527)</f>
        <v/>
      </c>
      <c r="O3527" s="15" t="n"/>
      <c r="P3527" s="26">
        <f>IF($A3527="","",COUNTIFS('Audit Versions'!$A$6:$A$605,$A3527,'Audit Versions'!$L$6:$L$605,"Active"))</f>
        <v/>
      </c>
      <c r="Q3527" s="15" t="n"/>
      <c r="R3527" s="26">
        <f>IF(OR($A3527="",$P3527=0),"",MOD(N($Q3527),$P3527)+1)</f>
        <v/>
      </c>
      <c r="S3527" s="15" t="n"/>
      <c r="T3527" s="25" t="n"/>
      <c r="U3527" s="26">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Builder'!$B$12="",N($S3527)&lt;='Assignment Builder'!$B$12)))</f>
        <v/>
      </c>
      <c r="V3527" s="23" t="n"/>
    </row>
    <row r="3528">
      <c r="A3528" s="23" t="n"/>
      <c r="B3528" s="23" t="n"/>
      <c r="C3528" s="24" t="n"/>
      <c r="D3528" s="15" t="n"/>
      <c r="E3528" s="23" t="n"/>
      <c r="F3528" s="15" t="n"/>
      <c r="G3528" s="23" t="n"/>
      <c r="H3528" s="25" t="n"/>
      <c r="I3528" s="15" t="n"/>
      <c r="J3528" s="26">
        <f>IF($A3528="","",LEN($C3528)-LEN(SUBSTITUTE($C3528,",",""))+1)</f>
        <v/>
      </c>
      <c r="K3528" s="26">
        <f>IF($A3528="","",SUMPRODUCT(--ISNUMBER(SEARCH('Category Dictionary'!$D$5:$D$135&amp;"",$C3528)),--('Category Dictionary'!$D$5:$D$135&lt;&gt;"")))</f>
        <v/>
      </c>
      <c r="L3528" s="27">
        <f>IF($A3528="","",TRIM(IF(ISERROR(FIND(",",$C3528)),$C3528,LEFT($C3528,FIND(",",$C3528)-1))))</f>
        <v/>
      </c>
      <c r="M3528" s="28">
        <f>IF($H3528="","",DATE(YEAR($H3528),MONTH($H3528),1))</f>
        <v/>
      </c>
      <c r="N3528" s="26">
        <f>IF($H3528="","",TODAY()-$H3528)</f>
        <v/>
      </c>
      <c r="O3528" s="15" t="n"/>
      <c r="P3528" s="26">
        <f>IF($A3528="","",COUNTIFS('Audit Versions'!$A$6:$A$605,$A3528,'Audit Versions'!$L$6:$L$605,"Active"))</f>
        <v/>
      </c>
      <c r="Q3528" s="15" t="n"/>
      <c r="R3528" s="26">
        <f>IF(OR($A3528="",$P3528=0),"",MOD(N($Q3528),$P3528)+1)</f>
        <v/>
      </c>
      <c r="S3528" s="15" t="n"/>
      <c r="T3528" s="25" t="n"/>
      <c r="U3528" s="26">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Builder'!$B$12="",N($S3528)&lt;='Assignment Builder'!$B$12)))</f>
        <v/>
      </c>
      <c r="V3528" s="23" t="n"/>
    </row>
    <row r="3529">
      <c r="A3529" s="23" t="n"/>
      <c r="B3529" s="23" t="n"/>
      <c r="C3529" s="24" t="n"/>
      <c r="D3529" s="15" t="n"/>
      <c r="E3529" s="23" t="n"/>
      <c r="F3529" s="15" t="n"/>
      <c r="G3529" s="23" t="n"/>
      <c r="H3529" s="25" t="n"/>
      <c r="I3529" s="15" t="n"/>
      <c r="J3529" s="26">
        <f>IF($A3529="","",LEN($C3529)-LEN(SUBSTITUTE($C3529,",",""))+1)</f>
        <v/>
      </c>
      <c r="K3529" s="26">
        <f>IF($A3529="","",SUMPRODUCT(--ISNUMBER(SEARCH('Category Dictionary'!$D$5:$D$135&amp;"",$C3529)),--('Category Dictionary'!$D$5:$D$135&lt;&gt;"")))</f>
        <v/>
      </c>
      <c r="L3529" s="27">
        <f>IF($A3529="","",TRIM(IF(ISERROR(FIND(",",$C3529)),$C3529,LEFT($C3529,FIND(",",$C3529)-1))))</f>
        <v/>
      </c>
      <c r="M3529" s="28">
        <f>IF($H3529="","",DATE(YEAR($H3529),MONTH($H3529),1))</f>
        <v/>
      </c>
      <c r="N3529" s="26">
        <f>IF($H3529="","",TODAY()-$H3529)</f>
        <v/>
      </c>
      <c r="O3529" s="15" t="n"/>
      <c r="P3529" s="26">
        <f>IF($A3529="","",COUNTIFS('Audit Versions'!$A$6:$A$605,$A3529,'Audit Versions'!$L$6:$L$605,"Active"))</f>
        <v/>
      </c>
      <c r="Q3529" s="15" t="n"/>
      <c r="R3529" s="26">
        <f>IF(OR($A3529="",$P3529=0),"",MOD(N($Q3529),$P3529)+1)</f>
        <v/>
      </c>
      <c r="S3529" s="15" t="n"/>
      <c r="T3529" s="25" t="n"/>
      <c r="U3529" s="26">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Builder'!$B$12="",N($S3529)&lt;='Assignment Builder'!$B$12)))</f>
        <v/>
      </c>
      <c r="V3529" s="23" t="n"/>
    </row>
    <row r="3530">
      <c r="A3530" s="23" t="n"/>
      <c r="B3530" s="23" t="n"/>
      <c r="C3530" s="24" t="n"/>
      <c r="D3530" s="15" t="n"/>
      <c r="E3530" s="23" t="n"/>
      <c r="F3530" s="15" t="n"/>
      <c r="G3530" s="23" t="n"/>
      <c r="H3530" s="25" t="n"/>
      <c r="I3530" s="15" t="n"/>
      <c r="J3530" s="26">
        <f>IF($A3530="","",LEN($C3530)-LEN(SUBSTITUTE($C3530,",",""))+1)</f>
        <v/>
      </c>
      <c r="K3530" s="26">
        <f>IF($A3530="","",SUMPRODUCT(--ISNUMBER(SEARCH('Category Dictionary'!$D$5:$D$135&amp;"",$C3530)),--('Category Dictionary'!$D$5:$D$135&lt;&gt;"")))</f>
        <v/>
      </c>
      <c r="L3530" s="27">
        <f>IF($A3530="","",TRIM(IF(ISERROR(FIND(",",$C3530)),$C3530,LEFT($C3530,FIND(",",$C3530)-1))))</f>
        <v/>
      </c>
      <c r="M3530" s="28">
        <f>IF($H3530="","",DATE(YEAR($H3530),MONTH($H3530),1))</f>
        <v/>
      </c>
      <c r="N3530" s="26">
        <f>IF($H3530="","",TODAY()-$H3530)</f>
        <v/>
      </c>
      <c r="O3530" s="15" t="n"/>
      <c r="P3530" s="26">
        <f>IF($A3530="","",COUNTIFS('Audit Versions'!$A$6:$A$605,$A3530,'Audit Versions'!$L$6:$L$605,"Active"))</f>
        <v/>
      </c>
      <c r="Q3530" s="15" t="n"/>
      <c r="R3530" s="26">
        <f>IF(OR($A3530="",$P3530=0),"",MOD(N($Q3530),$P3530)+1)</f>
        <v/>
      </c>
      <c r="S3530" s="15" t="n"/>
      <c r="T3530" s="25" t="n"/>
      <c r="U3530" s="26">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Builder'!$B$12="",N($S3530)&lt;='Assignment Builder'!$B$12)))</f>
        <v/>
      </c>
      <c r="V3530" s="23" t="n"/>
    </row>
    <row r="3531">
      <c r="A3531" s="23" t="n"/>
      <c r="B3531" s="23" t="n"/>
      <c r="C3531" s="24" t="n"/>
      <c r="D3531" s="15" t="n"/>
      <c r="E3531" s="23" t="n"/>
      <c r="F3531" s="15" t="n"/>
      <c r="G3531" s="23" t="n"/>
      <c r="H3531" s="25" t="n"/>
      <c r="I3531" s="15" t="n"/>
      <c r="J3531" s="26">
        <f>IF($A3531="","",LEN($C3531)-LEN(SUBSTITUTE($C3531,",",""))+1)</f>
        <v/>
      </c>
      <c r="K3531" s="26">
        <f>IF($A3531="","",SUMPRODUCT(--ISNUMBER(SEARCH('Category Dictionary'!$D$5:$D$135&amp;"",$C3531)),--('Category Dictionary'!$D$5:$D$135&lt;&gt;"")))</f>
        <v/>
      </c>
      <c r="L3531" s="27">
        <f>IF($A3531="","",TRIM(IF(ISERROR(FIND(",",$C3531)),$C3531,LEFT($C3531,FIND(",",$C3531)-1))))</f>
        <v/>
      </c>
      <c r="M3531" s="28">
        <f>IF($H3531="","",DATE(YEAR($H3531),MONTH($H3531),1))</f>
        <v/>
      </c>
      <c r="N3531" s="26">
        <f>IF($H3531="","",TODAY()-$H3531)</f>
        <v/>
      </c>
      <c r="O3531" s="15" t="n"/>
      <c r="P3531" s="26">
        <f>IF($A3531="","",COUNTIFS('Audit Versions'!$A$6:$A$605,$A3531,'Audit Versions'!$L$6:$L$605,"Active"))</f>
        <v/>
      </c>
      <c r="Q3531" s="15" t="n"/>
      <c r="R3531" s="26">
        <f>IF(OR($A3531="",$P3531=0),"",MOD(N($Q3531),$P3531)+1)</f>
        <v/>
      </c>
      <c r="S3531" s="15" t="n"/>
      <c r="T3531" s="25" t="n"/>
      <c r="U3531" s="26">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Builder'!$B$12="",N($S3531)&lt;='Assignment Builder'!$B$12)))</f>
        <v/>
      </c>
      <c r="V3531" s="23" t="n"/>
    </row>
    <row r="3532">
      <c r="A3532" s="23" t="n"/>
      <c r="B3532" s="23" t="n"/>
      <c r="C3532" s="24" t="n"/>
      <c r="D3532" s="15" t="n"/>
      <c r="E3532" s="23" t="n"/>
      <c r="F3532" s="15" t="n"/>
      <c r="G3532" s="23" t="n"/>
      <c r="H3532" s="25" t="n"/>
      <c r="I3532" s="15" t="n"/>
      <c r="J3532" s="26">
        <f>IF($A3532="","",LEN($C3532)-LEN(SUBSTITUTE($C3532,",",""))+1)</f>
        <v/>
      </c>
      <c r="K3532" s="26">
        <f>IF($A3532="","",SUMPRODUCT(--ISNUMBER(SEARCH('Category Dictionary'!$D$5:$D$135&amp;"",$C3532)),--('Category Dictionary'!$D$5:$D$135&lt;&gt;"")))</f>
        <v/>
      </c>
      <c r="L3532" s="27">
        <f>IF($A3532="","",TRIM(IF(ISERROR(FIND(",",$C3532)),$C3532,LEFT($C3532,FIND(",",$C3532)-1))))</f>
        <v/>
      </c>
      <c r="M3532" s="28">
        <f>IF($H3532="","",DATE(YEAR($H3532),MONTH($H3532),1))</f>
        <v/>
      </c>
      <c r="N3532" s="26">
        <f>IF($H3532="","",TODAY()-$H3532)</f>
        <v/>
      </c>
      <c r="O3532" s="15" t="n"/>
      <c r="P3532" s="26">
        <f>IF($A3532="","",COUNTIFS('Audit Versions'!$A$6:$A$605,$A3532,'Audit Versions'!$L$6:$L$605,"Active"))</f>
        <v/>
      </c>
      <c r="Q3532" s="15" t="n"/>
      <c r="R3532" s="26">
        <f>IF(OR($A3532="",$P3532=0),"",MOD(N($Q3532),$P3532)+1)</f>
        <v/>
      </c>
      <c r="S3532" s="15" t="n"/>
      <c r="T3532" s="25" t="n"/>
      <c r="U3532" s="26">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Builder'!$B$12="",N($S3532)&lt;='Assignment Builder'!$B$12)))</f>
        <v/>
      </c>
      <c r="V3532" s="23" t="n"/>
    </row>
    <row r="3533">
      <c r="A3533" s="23" t="n"/>
      <c r="B3533" s="23" t="n"/>
      <c r="C3533" s="24" t="n"/>
      <c r="D3533" s="15" t="n"/>
      <c r="E3533" s="23" t="n"/>
      <c r="F3533" s="15" t="n"/>
      <c r="G3533" s="23" t="n"/>
      <c r="H3533" s="25" t="n"/>
      <c r="I3533" s="15" t="n"/>
      <c r="J3533" s="26">
        <f>IF($A3533="","",LEN($C3533)-LEN(SUBSTITUTE($C3533,",",""))+1)</f>
        <v/>
      </c>
      <c r="K3533" s="26">
        <f>IF($A3533="","",SUMPRODUCT(--ISNUMBER(SEARCH('Category Dictionary'!$D$5:$D$135&amp;"",$C3533)),--('Category Dictionary'!$D$5:$D$135&lt;&gt;"")))</f>
        <v/>
      </c>
      <c r="L3533" s="27">
        <f>IF($A3533="","",TRIM(IF(ISERROR(FIND(",",$C3533)),$C3533,LEFT($C3533,FIND(",",$C3533)-1))))</f>
        <v/>
      </c>
      <c r="M3533" s="28">
        <f>IF($H3533="","",DATE(YEAR($H3533),MONTH($H3533),1))</f>
        <v/>
      </c>
      <c r="N3533" s="26">
        <f>IF($H3533="","",TODAY()-$H3533)</f>
        <v/>
      </c>
      <c r="O3533" s="15" t="n"/>
      <c r="P3533" s="26">
        <f>IF($A3533="","",COUNTIFS('Audit Versions'!$A$6:$A$605,$A3533,'Audit Versions'!$L$6:$L$605,"Active"))</f>
        <v/>
      </c>
      <c r="Q3533" s="15" t="n"/>
      <c r="R3533" s="26">
        <f>IF(OR($A3533="",$P3533=0),"",MOD(N($Q3533),$P3533)+1)</f>
        <v/>
      </c>
      <c r="S3533" s="15" t="n"/>
      <c r="T3533" s="25" t="n"/>
      <c r="U3533" s="26">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Builder'!$B$12="",N($S3533)&lt;='Assignment Builder'!$B$12)))</f>
        <v/>
      </c>
      <c r="V3533" s="23" t="n"/>
    </row>
    <row r="3534">
      <c r="A3534" s="23" t="n"/>
      <c r="B3534" s="23" t="n"/>
      <c r="C3534" s="24" t="n"/>
      <c r="D3534" s="15" t="n"/>
      <c r="E3534" s="23" t="n"/>
      <c r="F3534" s="15" t="n"/>
      <c r="G3534" s="23" t="n"/>
      <c r="H3534" s="25" t="n"/>
      <c r="I3534" s="15" t="n"/>
      <c r="J3534" s="26">
        <f>IF($A3534="","",LEN($C3534)-LEN(SUBSTITUTE($C3534,",",""))+1)</f>
        <v/>
      </c>
      <c r="K3534" s="26">
        <f>IF($A3534="","",SUMPRODUCT(--ISNUMBER(SEARCH('Category Dictionary'!$D$5:$D$135&amp;"",$C3534)),--('Category Dictionary'!$D$5:$D$135&lt;&gt;"")))</f>
        <v/>
      </c>
      <c r="L3534" s="27">
        <f>IF($A3534="","",TRIM(IF(ISERROR(FIND(",",$C3534)),$C3534,LEFT($C3534,FIND(",",$C3534)-1))))</f>
        <v/>
      </c>
      <c r="M3534" s="28">
        <f>IF($H3534="","",DATE(YEAR($H3534),MONTH($H3534),1))</f>
        <v/>
      </c>
      <c r="N3534" s="26">
        <f>IF($H3534="","",TODAY()-$H3534)</f>
        <v/>
      </c>
      <c r="O3534" s="15" t="n"/>
      <c r="P3534" s="26">
        <f>IF($A3534="","",COUNTIFS('Audit Versions'!$A$6:$A$605,$A3534,'Audit Versions'!$L$6:$L$605,"Active"))</f>
        <v/>
      </c>
      <c r="Q3534" s="15" t="n"/>
      <c r="R3534" s="26">
        <f>IF(OR($A3534="",$P3534=0),"",MOD(N($Q3534),$P3534)+1)</f>
        <v/>
      </c>
      <c r="S3534" s="15" t="n"/>
      <c r="T3534" s="25" t="n"/>
      <c r="U3534" s="26">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Builder'!$B$12="",N($S3534)&lt;='Assignment Builder'!$B$12)))</f>
        <v/>
      </c>
      <c r="V3534" s="23" t="n"/>
    </row>
    <row r="3535">
      <c r="A3535" s="23" t="n"/>
      <c r="B3535" s="23" t="n"/>
      <c r="C3535" s="24" t="n"/>
      <c r="D3535" s="15" t="n"/>
      <c r="E3535" s="23" t="n"/>
      <c r="F3535" s="15" t="n"/>
      <c r="G3535" s="23" t="n"/>
      <c r="H3535" s="25" t="n"/>
      <c r="I3535" s="15" t="n"/>
      <c r="J3535" s="26">
        <f>IF($A3535="","",LEN($C3535)-LEN(SUBSTITUTE($C3535,",",""))+1)</f>
        <v/>
      </c>
      <c r="K3535" s="26">
        <f>IF($A3535="","",SUMPRODUCT(--ISNUMBER(SEARCH('Category Dictionary'!$D$5:$D$135&amp;"",$C3535)),--('Category Dictionary'!$D$5:$D$135&lt;&gt;"")))</f>
        <v/>
      </c>
      <c r="L3535" s="27">
        <f>IF($A3535="","",TRIM(IF(ISERROR(FIND(",",$C3535)),$C3535,LEFT($C3535,FIND(",",$C3535)-1))))</f>
        <v/>
      </c>
      <c r="M3535" s="28">
        <f>IF($H3535="","",DATE(YEAR($H3535),MONTH($H3535),1))</f>
        <v/>
      </c>
      <c r="N3535" s="26">
        <f>IF($H3535="","",TODAY()-$H3535)</f>
        <v/>
      </c>
      <c r="O3535" s="15" t="n"/>
      <c r="P3535" s="26">
        <f>IF($A3535="","",COUNTIFS('Audit Versions'!$A$6:$A$605,$A3535,'Audit Versions'!$L$6:$L$605,"Active"))</f>
        <v/>
      </c>
      <c r="Q3535" s="15" t="n"/>
      <c r="R3535" s="26">
        <f>IF(OR($A3535="",$P3535=0),"",MOD(N($Q3535),$P3535)+1)</f>
        <v/>
      </c>
      <c r="S3535" s="15" t="n"/>
      <c r="T3535" s="25" t="n"/>
      <c r="U3535" s="26">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Builder'!$B$12="",N($S3535)&lt;='Assignment Builder'!$B$12)))</f>
        <v/>
      </c>
      <c r="V3535" s="23" t="n"/>
    </row>
    <row r="3536">
      <c r="A3536" s="23" t="n"/>
      <c r="B3536" s="23" t="n"/>
      <c r="C3536" s="24" t="n"/>
      <c r="D3536" s="15" t="n"/>
      <c r="E3536" s="23" t="n"/>
      <c r="F3536" s="15" t="n"/>
      <c r="G3536" s="23" t="n"/>
      <c r="H3536" s="25" t="n"/>
      <c r="I3536" s="15" t="n"/>
      <c r="J3536" s="26">
        <f>IF($A3536="","",LEN($C3536)-LEN(SUBSTITUTE($C3536,",",""))+1)</f>
        <v/>
      </c>
      <c r="K3536" s="26">
        <f>IF($A3536="","",SUMPRODUCT(--ISNUMBER(SEARCH('Category Dictionary'!$D$5:$D$135&amp;"",$C3536)),--('Category Dictionary'!$D$5:$D$135&lt;&gt;"")))</f>
        <v/>
      </c>
      <c r="L3536" s="27">
        <f>IF($A3536="","",TRIM(IF(ISERROR(FIND(",",$C3536)),$C3536,LEFT($C3536,FIND(",",$C3536)-1))))</f>
        <v/>
      </c>
      <c r="M3536" s="28">
        <f>IF($H3536="","",DATE(YEAR($H3536),MONTH($H3536),1))</f>
        <v/>
      </c>
      <c r="N3536" s="26">
        <f>IF($H3536="","",TODAY()-$H3536)</f>
        <v/>
      </c>
      <c r="O3536" s="15" t="n"/>
      <c r="P3536" s="26">
        <f>IF($A3536="","",COUNTIFS('Audit Versions'!$A$6:$A$605,$A3536,'Audit Versions'!$L$6:$L$605,"Active"))</f>
        <v/>
      </c>
      <c r="Q3536" s="15" t="n"/>
      <c r="R3536" s="26">
        <f>IF(OR($A3536="",$P3536=0),"",MOD(N($Q3536),$P3536)+1)</f>
        <v/>
      </c>
      <c r="S3536" s="15" t="n"/>
      <c r="T3536" s="25" t="n"/>
      <c r="U3536" s="26">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Builder'!$B$12="",N($S3536)&lt;='Assignment Builder'!$B$12)))</f>
        <v/>
      </c>
      <c r="V3536" s="23" t="n"/>
    </row>
    <row r="3537">
      <c r="A3537" s="23" t="n"/>
      <c r="B3537" s="23" t="n"/>
      <c r="C3537" s="24" t="n"/>
      <c r="D3537" s="15" t="n"/>
      <c r="E3537" s="23" t="n"/>
      <c r="F3537" s="15" t="n"/>
      <c r="G3537" s="23" t="n"/>
      <c r="H3537" s="25" t="n"/>
      <c r="I3537" s="15" t="n"/>
      <c r="J3537" s="26">
        <f>IF($A3537="","",LEN($C3537)-LEN(SUBSTITUTE($C3537,",",""))+1)</f>
        <v/>
      </c>
      <c r="K3537" s="26">
        <f>IF($A3537="","",SUMPRODUCT(--ISNUMBER(SEARCH('Category Dictionary'!$D$5:$D$135&amp;"",$C3537)),--('Category Dictionary'!$D$5:$D$135&lt;&gt;"")))</f>
        <v/>
      </c>
      <c r="L3537" s="27">
        <f>IF($A3537="","",TRIM(IF(ISERROR(FIND(",",$C3537)),$C3537,LEFT($C3537,FIND(",",$C3537)-1))))</f>
        <v/>
      </c>
      <c r="M3537" s="28">
        <f>IF($H3537="","",DATE(YEAR($H3537),MONTH($H3537),1))</f>
        <v/>
      </c>
      <c r="N3537" s="26">
        <f>IF($H3537="","",TODAY()-$H3537)</f>
        <v/>
      </c>
      <c r="O3537" s="15" t="n"/>
      <c r="P3537" s="26">
        <f>IF($A3537="","",COUNTIFS('Audit Versions'!$A$6:$A$605,$A3537,'Audit Versions'!$L$6:$L$605,"Active"))</f>
        <v/>
      </c>
      <c r="Q3537" s="15" t="n"/>
      <c r="R3537" s="26">
        <f>IF(OR($A3537="",$P3537=0),"",MOD(N($Q3537),$P3537)+1)</f>
        <v/>
      </c>
      <c r="S3537" s="15" t="n"/>
      <c r="T3537" s="25" t="n"/>
      <c r="U3537" s="26">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Builder'!$B$12="",N($S3537)&lt;='Assignment Builder'!$B$12)))</f>
        <v/>
      </c>
      <c r="V3537" s="23" t="n"/>
    </row>
    <row r="3538">
      <c r="A3538" s="23" t="n"/>
      <c r="B3538" s="23" t="n"/>
      <c r="C3538" s="24" t="n"/>
      <c r="D3538" s="15" t="n"/>
      <c r="E3538" s="23" t="n"/>
      <c r="F3538" s="15" t="n"/>
      <c r="G3538" s="23" t="n"/>
      <c r="H3538" s="25" t="n"/>
      <c r="I3538" s="15" t="n"/>
      <c r="J3538" s="26">
        <f>IF($A3538="","",LEN($C3538)-LEN(SUBSTITUTE($C3538,",",""))+1)</f>
        <v/>
      </c>
      <c r="K3538" s="26">
        <f>IF($A3538="","",SUMPRODUCT(--ISNUMBER(SEARCH('Category Dictionary'!$D$5:$D$135&amp;"",$C3538)),--('Category Dictionary'!$D$5:$D$135&lt;&gt;"")))</f>
        <v/>
      </c>
      <c r="L3538" s="27">
        <f>IF($A3538="","",TRIM(IF(ISERROR(FIND(",",$C3538)),$C3538,LEFT($C3538,FIND(",",$C3538)-1))))</f>
        <v/>
      </c>
      <c r="M3538" s="28">
        <f>IF($H3538="","",DATE(YEAR($H3538),MONTH($H3538),1))</f>
        <v/>
      </c>
      <c r="N3538" s="26">
        <f>IF($H3538="","",TODAY()-$H3538)</f>
        <v/>
      </c>
      <c r="O3538" s="15" t="n"/>
      <c r="P3538" s="26">
        <f>IF($A3538="","",COUNTIFS('Audit Versions'!$A$6:$A$605,$A3538,'Audit Versions'!$L$6:$L$605,"Active"))</f>
        <v/>
      </c>
      <c r="Q3538" s="15" t="n"/>
      <c r="R3538" s="26">
        <f>IF(OR($A3538="",$P3538=0),"",MOD(N($Q3538),$P3538)+1)</f>
        <v/>
      </c>
      <c r="S3538" s="15" t="n"/>
      <c r="T3538" s="25" t="n"/>
      <c r="U3538" s="26">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Builder'!$B$12="",N($S3538)&lt;='Assignment Builder'!$B$12)))</f>
        <v/>
      </c>
      <c r="V3538" s="23" t="n"/>
    </row>
    <row r="3539">
      <c r="A3539" s="23" t="n"/>
      <c r="B3539" s="23" t="n"/>
      <c r="C3539" s="24" t="n"/>
      <c r="D3539" s="15" t="n"/>
      <c r="E3539" s="23" t="n"/>
      <c r="F3539" s="15" t="n"/>
      <c r="G3539" s="23" t="n"/>
      <c r="H3539" s="25" t="n"/>
      <c r="I3539" s="15" t="n"/>
      <c r="J3539" s="26">
        <f>IF($A3539="","",LEN($C3539)-LEN(SUBSTITUTE($C3539,",",""))+1)</f>
        <v/>
      </c>
      <c r="K3539" s="26">
        <f>IF($A3539="","",SUMPRODUCT(--ISNUMBER(SEARCH('Category Dictionary'!$D$5:$D$135&amp;"",$C3539)),--('Category Dictionary'!$D$5:$D$135&lt;&gt;"")))</f>
        <v/>
      </c>
      <c r="L3539" s="27">
        <f>IF($A3539="","",TRIM(IF(ISERROR(FIND(",",$C3539)),$C3539,LEFT($C3539,FIND(",",$C3539)-1))))</f>
        <v/>
      </c>
      <c r="M3539" s="28">
        <f>IF($H3539="","",DATE(YEAR($H3539),MONTH($H3539),1))</f>
        <v/>
      </c>
      <c r="N3539" s="26">
        <f>IF($H3539="","",TODAY()-$H3539)</f>
        <v/>
      </c>
      <c r="O3539" s="15" t="n"/>
      <c r="P3539" s="26">
        <f>IF($A3539="","",COUNTIFS('Audit Versions'!$A$6:$A$605,$A3539,'Audit Versions'!$L$6:$L$605,"Active"))</f>
        <v/>
      </c>
      <c r="Q3539" s="15" t="n"/>
      <c r="R3539" s="26">
        <f>IF(OR($A3539="",$P3539=0),"",MOD(N($Q3539),$P3539)+1)</f>
        <v/>
      </c>
      <c r="S3539" s="15" t="n"/>
      <c r="T3539" s="25" t="n"/>
      <c r="U3539" s="26">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Builder'!$B$12="",N($S3539)&lt;='Assignment Builder'!$B$12)))</f>
        <v/>
      </c>
      <c r="V3539" s="23" t="n"/>
    </row>
    <row r="3540">
      <c r="A3540" s="23" t="n"/>
      <c r="B3540" s="23" t="n"/>
      <c r="C3540" s="24" t="n"/>
      <c r="D3540" s="15" t="n"/>
      <c r="E3540" s="23" t="n"/>
      <c r="F3540" s="15" t="n"/>
      <c r="G3540" s="23" t="n"/>
      <c r="H3540" s="25" t="n"/>
      <c r="I3540" s="15" t="n"/>
      <c r="J3540" s="26">
        <f>IF($A3540="","",LEN($C3540)-LEN(SUBSTITUTE($C3540,",",""))+1)</f>
        <v/>
      </c>
      <c r="K3540" s="26">
        <f>IF($A3540="","",SUMPRODUCT(--ISNUMBER(SEARCH('Category Dictionary'!$D$5:$D$135&amp;"",$C3540)),--('Category Dictionary'!$D$5:$D$135&lt;&gt;"")))</f>
        <v/>
      </c>
      <c r="L3540" s="27">
        <f>IF($A3540="","",TRIM(IF(ISERROR(FIND(",",$C3540)),$C3540,LEFT($C3540,FIND(",",$C3540)-1))))</f>
        <v/>
      </c>
      <c r="M3540" s="28">
        <f>IF($H3540="","",DATE(YEAR($H3540),MONTH($H3540),1))</f>
        <v/>
      </c>
      <c r="N3540" s="26">
        <f>IF($H3540="","",TODAY()-$H3540)</f>
        <v/>
      </c>
      <c r="O3540" s="15" t="n"/>
      <c r="P3540" s="26">
        <f>IF($A3540="","",COUNTIFS('Audit Versions'!$A$6:$A$605,$A3540,'Audit Versions'!$L$6:$L$605,"Active"))</f>
        <v/>
      </c>
      <c r="Q3540" s="15" t="n"/>
      <c r="R3540" s="26">
        <f>IF(OR($A3540="",$P3540=0),"",MOD(N($Q3540),$P3540)+1)</f>
        <v/>
      </c>
      <c r="S3540" s="15" t="n"/>
      <c r="T3540" s="25" t="n"/>
      <c r="U3540" s="26">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Builder'!$B$12="",N($S3540)&lt;='Assignment Builder'!$B$12)))</f>
        <v/>
      </c>
      <c r="V3540" s="23" t="n"/>
    </row>
    <row r="3541">
      <c r="A3541" s="23" t="n"/>
      <c r="B3541" s="23" t="n"/>
      <c r="C3541" s="24" t="n"/>
      <c r="D3541" s="15" t="n"/>
      <c r="E3541" s="23" t="n"/>
      <c r="F3541" s="15" t="n"/>
      <c r="G3541" s="23" t="n"/>
      <c r="H3541" s="25" t="n"/>
      <c r="I3541" s="15" t="n"/>
      <c r="J3541" s="26">
        <f>IF($A3541="","",LEN($C3541)-LEN(SUBSTITUTE($C3541,",",""))+1)</f>
        <v/>
      </c>
      <c r="K3541" s="26">
        <f>IF($A3541="","",SUMPRODUCT(--ISNUMBER(SEARCH('Category Dictionary'!$D$5:$D$135&amp;"",$C3541)),--('Category Dictionary'!$D$5:$D$135&lt;&gt;"")))</f>
        <v/>
      </c>
      <c r="L3541" s="27">
        <f>IF($A3541="","",TRIM(IF(ISERROR(FIND(",",$C3541)),$C3541,LEFT($C3541,FIND(",",$C3541)-1))))</f>
        <v/>
      </c>
      <c r="M3541" s="28">
        <f>IF($H3541="","",DATE(YEAR($H3541),MONTH($H3541),1))</f>
        <v/>
      </c>
      <c r="N3541" s="26">
        <f>IF($H3541="","",TODAY()-$H3541)</f>
        <v/>
      </c>
      <c r="O3541" s="15" t="n"/>
      <c r="P3541" s="26">
        <f>IF($A3541="","",COUNTIFS('Audit Versions'!$A$6:$A$605,$A3541,'Audit Versions'!$L$6:$L$605,"Active"))</f>
        <v/>
      </c>
      <c r="Q3541" s="15" t="n"/>
      <c r="R3541" s="26">
        <f>IF(OR($A3541="",$P3541=0),"",MOD(N($Q3541),$P3541)+1)</f>
        <v/>
      </c>
      <c r="S3541" s="15" t="n"/>
      <c r="T3541" s="25" t="n"/>
      <c r="U3541" s="26">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Builder'!$B$12="",N($S3541)&lt;='Assignment Builder'!$B$12)))</f>
        <v/>
      </c>
      <c r="V3541" s="23" t="n"/>
    </row>
    <row r="3542">
      <c r="A3542" s="23" t="n"/>
      <c r="B3542" s="23" t="n"/>
      <c r="C3542" s="24" t="n"/>
      <c r="D3542" s="15" t="n"/>
      <c r="E3542" s="23" t="n"/>
      <c r="F3542" s="15" t="n"/>
      <c r="G3542" s="23" t="n"/>
      <c r="H3542" s="25" t="n"/>
      <c r="I3542" s="15" t="n"/>
      <c r="J3542" s="26">
        <f>IF($A3542="","",LEN($C3542)-LEN(SUBSTITUTE($C3542,",",""))+1)</f>
        <v/>
      </c>
      <c r="K3542" s="26">
        <f>IF($A3542="","",SUMPRODUCT(--ISNUMBER(SEARCH('Category Dictionary'!$D$5:$D$135&amp;"",$C3542)),--('Category Dictionary'!$D$5:$D$135&lt;&gt;"")))</f>
        <v/>
      </c>
      <c r="L3542" s="27">
        <f>IF($A3542="","",TRIM(IF(ISERROR(FIND(",",$C3542)),$C3542,LEFT($C3542,FIND(",",$C3542)-1))))</f>
        <v/>
      </c>
      <c r="M3542" s="28">
        <f>IF($H3542="","",DATE(YEAR($H3542),MONTH($H3542),1))</f>
        <v/>
      </c>
      <c r="N3542" s="26">
        <f>IF($H3542="","",TODAY()-$H3542)</f>
        <v/>
      </c>
      <c r="O3542" s="15" t="n"/>
      <c r="P3542" s="26">
        <f>IF($A3542="","",COUNTIFS('Audit Versions'!$A$6:$A$605,$A3542,'Audit Versions'!$L$6:$L$605,"Active"))</f>
        <v/>
      </c>
      <c r="Q3542" s="15" t="n"/>
      <c r="R3542" s="26">
        <f>IF(OR($A3542="",$P3542=0),"",MOD(N($Q3542),$P3542)+1)</f>
        <v/>
      </c>
      <c r="S3542" s="15" t="n"/>
      <c r="T3542" s="25" t="n"/>
      <c r="U3542" s="26">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Builder'!$B$12="",N($S3542)&lt;='Assignment Builder'!$B$12)))</f>
        <v/>
      </c>
      <c r="V3542" s="23" t="n"/>
    </row>
    <row r="3543">
      <c r="A3543" s="23" t="n"/>
      <c r="B3543" s="23" t="n"/>
      <c r="C3543" s="24" t="n"/>
      <c r="D3543" s="15" t="n"/>
      <c r="E3543" s="23" t="n"/>
      <c r="F3543" s="15" t="n"/>
      <c r="G3543" s="23" t="n"/>
      <c r="H3543" s="25" t="n"/>
      <c r="I3543" s="15" t="n"/>
      <c r="J3543" s="26">
        <f>IF($A3543="","",LEN($C3543)-LEN(SUBSTITUTE($C3543,",",""))+1)</f>
        <v/>
      </c>
      <c r="K3543" s="26">
        <f>IF($A3543="","",SUMPRODUCT(--ISNUMBER(SEARCH('Category Dictionary'!$D$5:$D$135&amp;"",$C3543)),--('Category Dictionary'!$D$5:$D$135&lt;&gt;"")))</f>
        <v/>
      </c>
      <c r="L3543" s="27">
        <f>IF($A3543="","",TRIM(IF(ISERROR(FIND(",",$C3543)),$C3543,LEFT($C3543,FIND(",",$C3543)-1))))</f>
        <v/>
      </c>
      <c r="M3543" s="28">
        <f>IF($H3543="","",DATE(YEAR($H3543),MONTH($H3543),1))</f>
        <v/>
      </c>
      <c r="N3543" s="26">
        <f>IF($H3543="","",TODAY()-$H3543)</f>
        <v/>
      </c>
      <c r="O3543" s="15" t="n"/>
      <c r="P3543" s="26">
        <f>IF($A3543="","",COUNTIFS('Audit Versions'!$A$6:$A$605,$A3543,'Audit Versions'!$L$6:$L$605,"Active"))</f>
        <v/>
      </c>
      <c r="Q3543" s="15" t="n"/>
      <c r="R3543" s="26">
        <f>IF(OR($A3543="",$P3543=0),"",MOD(N($Q3543),$P3543)+1)</f>
        <v/>
      </c>
      <c r="S3543" s="15" t="n"/>
      <c r="T3543" s="25" t="n"/>
      <c r="U3543" s="26">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Builder'!$B$12="",N($S3543)&lt;='Assignment Builder'!$B$12)))</f>
        <v/>
      </c>
      <c r="V3543" s="23" t="n"/>
    </row>
    <row r="3544">
      <c r="A3544" s="23" t="n"/>
      <c r="B3544" s="23" t="n"/>
      <c r="C3544" s="24" t="n"/>
      <c r="D3544" s="15" t="n"/>
      <c r="E3544" s="23" t="n"/>
      <c r="F3544" s="15" t="n"/>
      <c r="G3544" s="23" t="n"/>
      <c r="H3544" s="25" t="n"/>
      <c r="I3544" s="15" t="n"/>
      <c r="J3544" s="26">
        <f>IF($A3544="","",LEN($C3544)-LEN(SUBSTITUTE($C3544,",",""))+1)</f>
        <v/>
      </c>
      <c r="K3544" s="26">
        <f>IF($A3544="","",SUMPRODUCT(--ISNUMBER(SEARCH('Category Dictionary'!$D$5:$D$135&amp;"",$C3544)),--('Category Dictionary'!$D$5:$D$135&lt;&gt;"")))</f>
        <v/>
      </c>
      <c r="L3544" s="27">
        <f>IF($A3544="","",TRIM(IF(ISERROR(FIND(",",$C3544)),$C3544,LEFT($C3544,FIND(",",$C3544)-1))))</f>
        <v/>
      </c>
      <c r="M3544" s="28">
        <f>IF($H3544="","",DATE(YEAR($H3544),MONTH($H3544),1))</f>
        <v/>
      </c>
      <c r="N3544" s="26">
        <f>IF($H3544="","",TODAY()-$H3544)</f>
        <v/>
      </c>
      <c r="O3544" s="15" t="n"/>
      <c r="P3544" s="26">
        <f>IF($A3544="","",COUNTIFS('Audit Versions'!$A$6:$A$605,$A3544,'Audit Versions'!$L$6:$L$605,"Active"))</f>
        <v/>
      </c>
      <c r="Q3544" s="15" t="n"/>
      <c r="R3544" s="26">
        <f>IF(OR($A3544="",$P3544=0),"",MOD(N($Q3544),$P3544)+1)</f>
        <v/>
      </c>
      <c r="S3544" s="15" t="n"/>
      <c r="T3544" s="25" t="n"/>
      <c r="U3544" s="26">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Builder'!$B$12="",N($S3544)&lt;='Assignment Builder'!$B$12)))</f>
        <v/>
      </c>
      <c r="V3544" s="23" t="n"/>
    </row>
    <row r="3545">
      <c r="A3545" s="23" t="n"/>
      <c r="B3545" s="23" t="n"/>
      <c r="C3545" s="24" t="n"/>
      <c r="D3545" s="15" t="n"/>
      <c r="E3545" s="23" t="n"/>
      <c r="F3545" s="15" t="n"/>
      <c r="G3545" s="23" t="n"/>
      <c r="H3545" s="25" t="n"/>
      <c r="I3545" s="15" t="n"/>
      <c r="J3545" s="26">
        <f>IF($A3545="","",LEN($C3545)-LEN(SUBSTITUTE($C3545,",",""))+1)</f>
        <v/>
      </c>
      <c r="K3545" s="26">
        <f>IF($A3545="","",SUMPRODUCT(--ISNUMBER(SEARCH('Category Dictionary'!$D$5:$D$135&amp;"",$C3545)),--('Category Dictionary'!$D$5:$D$135&lt;&gt;"")))</f>
        <v/>
      </c>
      <c r="L3545" s="27">
        <f>IF($A3545="","",TRIM(IF(ISERROR(FIND(",",$C3545)),$C3545,LEFT($C3545,FIND(",",$C3545)-1))))</f>
        <v/>
      </c>
      <c r="M3545" s="28">
        <f>IF($H3545="","",DATE(YEAR($H3545),MONTH($H3545),1))</f>
        <v/>
      </c>
      <c r="N3545" s="26">
        <f>IF($H3545="","",TODAY()-$H3545)</f>
        <v/>
      </c>
      <c r="O3545" s="15" t="n"/>
      <c r="P3545" s="26">
        <f>IF($A3545="","",COUNTIFS('Audit Versions'!$A$6:$A$605,$A3545,'Audit Versions'!$L$6:$L$605,"Active"))</f>
        <v/>
      </c>
      <c r="Q3545" s="15" t="n"/>
      <c r="R3545" s="26">
        <f>IF(OR($A3545="",$P3545=0),"",MOD(N($Q3545),$P3545)+1)</f>
        <v/>
      </c>
      <c r="S3545" s="15" t="n"/>
      <c r="T3545" s="25" t="n"/>
      <c r="U3545" s="26">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Builder'!$B$12="",N($S3545)&lt;='Assignment Builder'!$B$12)))</f>
        <v/>
      </c>
      <c r="V3545" s="23" t="n"/>
    </row>
    <row r="3546">
      <c r="A3546" s="23" t="n"/>
      <c r="B3546" s="23" t="n"/>
      <c r="C3546" s="24" t="n"/>
      <c r="D3546" s="15" t="n"/>
      <c r="E3546" s="23" t="n"/>
      <c r="F3546" s="15" t="n"/>
      <c r="G3546" s="23" t="n"/>
      <c r="H3546" s="25" t="n"/>
      <c r="I3546" s="15" t="n"/>
      <c r="J3546" s="26">
        <f>IF($A3546="","",LEN($C3546)-LEN(SUBSTITUTE($C3546,",",""))+1)</f>
        <v/>
      </c>
      <c r="K3546" s="26">
        <f>IF($A3546="","",SUMPRODUCT(--ISNUMBER(SEARCH('Category Dictionary'!$D$5:$D$135&amp;"",$C3546)),--('Category Dictionary'!$D$5:$D$135&lt;&gt;"")))</f>
        <v/>
      </c>
      <c r="L3546" s="27">
        <f>IF($A3546="","",TRIM(IF(ISERROR(FIND(",",$C3546)),$C3546,LEFT($C3546,FIND(",",$C3546)-1))))</f>
        <v/>
      </c>
      <c r="M3546" s="28">
        <f>IF($H3546="","",DATE(YEAR($H3546),MONTH($H3546),1))</f>
        <v/>
      </c>
      <c r="N3546" s="26">
        <f>IF($H3546="","",TODAY()-$H3546)</f>
        <v/>
      </c>
      <c r="O3546" s="15" t="n"/>
      <c r="P3546" s="26">
        <f>IF($A3546="","",COUNTIFS('Audit Versions'!$A$6:$A$605,$A3546,'Audit Versions'!$L$6:$L$605,"Active"))</f>
        <v/>
      </c>
      <c r="Q3546" s="15" t="n"/>
      <c r="R3546" s="26">
        <f>IF(OR($A3546="",$P3546=0),"",MOD(N($Q3546),$P3546)+1)</f>
        <v/>
      </c>
      <c r="S3546" s="15" t="n"/>
      <c r="T3546" s="25" t="n"/>
      <c r="U3546" s="26">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Builder'!$B$12="",N($S3546)&lt;='Assignment Builder'!$B$12)))</f>
        <v/>
      </c>
      <c r="V3546" s="23" t="n"/>
    </row>
    <row r="3547">
      <c r="A3547" s="23" t="n"/>
      <c r="B3547" s="23" t="n"/>
      <c r="C3547" s="24" t="n"/>
      <c r="D3547" s="15" t="n"/>
      <c r="E3547" s="23" t="n"/>
      <c r="F3547" s="15" t="n"/>
      <c r="G3547" s="23" t="n"/>
      <c r="H3547" s="25" t="n"/>
      <c r="I3547" s="15" t="n"/>
      <c r="J3547" s="26">
        <f>IF($A3547="","",LEN($C3547)-LEN(SUBSTITUTE($C3547,",",""))+1)</f>
        <v/>
      </c>
      <c r="K3547" s="26">
        <f>IF($A3547="","",SUMPRODUCT(--ISNUMBER(SEARCH('Category Dictionary'!$D$5:$D$135&amp;"",$C3547)),--('Category Dictionary'!$D$5:$D$135&lt;&gt;"")))</f>
        <v/>
      </c>
      <c r="L3547" s="27">
        <f>IF($A3547="","",TRIM(IF(ISERROR(FIND(",",$C3547)),$C3547,LEFT($C3547,FIND(",",$C3547)-1))))</f>
        <v/>
      </c>
      <c r="M3547" s="28">
        <f>IF($H3547="","",DATE(YEAR($H3547),MONTH($H3547),1))</f>
        <v/>
      </c>
      <c r="N3547" s="26">
        <f>IF($H3547="","",TODAY()-$H3547)</f>
        <v/>
      </c>
      <c r="O3547" s="15" t="n"/>
      <c r="P3547" s="26">
        <f>IF($A3547="","",COUNTIFS('Audit Versions'!$A$6:$A$605,$A3547,'Audit Versions'!$L$6:$L$605,"Active"))</f>
        <v/>
      </c>
      <c r="Q3547" s="15" t="n"/>
      <c r="R3547" s="26">
        <f>IF(OR($A3547="",$P3547=0),"",MOD(N($Q3547),$P3547)+1)</f>
        <v/>
      </c>
      <c r="S3547" s="15" t="n"/>
      <c r="T3547" s="25" t="n"/>
      <c r="U3547" s="26">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Builder'!$B$12="",N($S3547)&lt;='Assignment Builder'!$B$12)))</f>
        <v/>
      </c>
      <c r="V3547" s="23" t="n"/>
    </row>
    <row r="3548">
      <c r="A3548" s="23" t="n"/>
      <c r="B3548" s="23" t="n"/>
      <c r="C3548" s="24" t="n"/>
      <c r="D3548" s="15" t="n"/>
      <c r="E3548" s="23" t="n"/>
      <c r="F3548" s="15" t="n"/>
      <c r="G3548" s="23" t="n"/>
      <c r="H3548" s="25" t="n"/>
      <c r="I3548" s="15" t="n"/>
      <c r="J3548" s="26">
        <f>IF($A3548="","",LEN($C3548)-LEN(SUBSTITUTE($C3548,",",""))+1)</f>
        <v/>
      </c>
      <c r="K3548" s="26">
        <f>IF($A3548="","",SUMPRODUCT(--ISNUMBER(SEARCH('Category Dictionary'!$D$5:$D$135&amp;"",$C3548)),--('Category Dictionary'!$D$5:$D$135&lt;&gt;"")))</f>
        <v/>
      </c>
      <c r="L3548" s="27">
        <f>IF($A3548="","",TRIM(IF(ISERROR(FIND(",",$C3548)),$C3548,LEFT($C3548,FIND(",",$C3548)-1))))</f>
        <v/>
      </c>
      <c r="M3548" s="28">
        <f>IF($H3548="","",DATE(YEAR($H3548),MONTH($H3548),1))</f>
        <v/>
      </c>
      <c r="N3548" s="26">
        <f>IF($H3548="","",TODAY()-$H3548)</f>
        <v/>
      </c>
      <c r="O3548" s="15" t="n"/>
      <c r="P3548" s="26">
        <f>IF($A3548="","",COUNTIFS('Audit Versions'!$A$6:$A$605,$A3548,'Audit Versions'!$L$6:$L$605,"Active"))</f>
        <v/>
      </c>
      <c r="Q3548" s="15" t="n"/>
      <c r="R3548" s="26">
        <f>IF(OR($A3548="",$P3548=0),"",MOD(N($Q3548),$P3548)+1)</f>
        <v/>
      </c>
      <c r="S3548" s="15" t="n"/>
      <c r="T3548" s="25" t="n"/>
      <c r="U3548" s="26">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Builder'!$B$12="",N($S3548)&lt;='Assignment Builder'!$B$12)))</f>
        <v/>
      </c>
      <c r="V3548" s="23" t="n"/>
    </row>
    <row r="3549">
      <c r="A3549" s="23" t="n"/>
      <c r="B3549" s="23" t="n"/>
      <c r="C3549" s="24" t="n"/>
      <c r="D3549" s="15" t="n"/>
      <c r="E3549" s="23" t="n"/>
      <c r="F3549" s="15" t="n"/>
      <c r="G3549" s="23" t="n"/>
      <c r="H3549" s="25" t="n"/>
      <c r="I3549" s="15" t="n"/>
      <c r="J3549" s="26">
        <f>IF($A3549="","",LEN($C3549)-LEN(SUBSTITUTE($C3549,",",""))+1)</f>
        <v/>
      </c>
      <c r="K3549" s="26">
        <f>IF($A3549="","",SUMPRODUCT(--ISNUMBER(SEARCH('Category Dictionary'!$D$5:$D$135&amp;"",$C3549)),--('Category Dictionary'!$D$5:$D$135&lt;&gt;"")))</f>
        <v/>
      </c>
      <c r="L3549" s="27">
        <f>IF($A3549="","",TRIM(IF(ISERROR(FIND(",",$C3549)),$C3549,LEFT($C3549,FIND(",",$C3549)-1))))</f>
        <v/>
      </c>
      <c r="M3549" s="28">
        <f>IF($H3549="","",DATE(YEAR($H3549),MONTH($H3549),1))</f>
        <v/>
      </c>
      <c r="N3549" s="26">
        <f>IF($H3549="","",TODAY()-$H3549)</f>
        <v/>
      </c>
      <c r="O3549" s="15" t="n"/>
      <c r="P3549" s="26">
        <f>IF($A3549="","",COUNTIFS('Audit Versions'!$A$6:$A$605,$A3549,'Audit Versions'!$L$6:$L$605,"Active"))</f>
        <v/>
      </c>
      <c r="Q3549" s="15" t="n"/>
      <c r="R3549" s="26">
        <f>IF(OR($A3549="",$P3549=0),"",MOD(N($Q3549),$P3549)+1)</f>
        <v/>
      </c>
      <c r="S3549" s="15" t="n"/>
      <c r="T3549" s="25" t="n"/>
      <c r="U3549" s="26">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Builder'!$B$12="",N($S3549)&lt;='Assignment Builder'!$B$12)))</f>
        <v/>
      </c>
      <c r="V3549" s="23" t="n"/>
    </row>
    <row r="3550">
      <c r="A3550" s="23" t="n"/>
      <c r="B3550" s="23" t="n"/>
      <c r="C3550" s="24" t="n"/>
      <c r="D3550" s="15" t="n"/>
      <c r="E3550" s="23" t="n"/>
      <c r="F3550" s="15" t="n"/>
      <c r="G3550" s="23" t="n"/>
      <c r="H3550" s="25" t="n"/>
      <c r="I3550" s="15" t="n"/>
      <c r="J3550" s="26">
        <f>IF($A3550="","",LEN($C3550)-LEN(SUBSTITUTE($C3550,",",""))+1)</f>
        <v/>
      </c>
      <c r="K3550" s="26">
        <f>IF($A3550="","",SUMPRODUCT(--ISNUMBER(SEARCH('Category Dictionary'!$D$5:$D$135&amp;"",$C3550)),--('Category Dictionary'!$D$5:$D$135&lt;&gt;"")))</f>
        <v/>
      </c>
      <c r="L3550" s="27">
        <f>IF($A3550="","",TRIM(IF(ISERROR(FIND(",",$C3550)),$C3550,LEFT($C3550,FIND(",",$C3550)-1))))</f>
        <v/>
      </c>
      <c r="M3550" s="28">
        <f>IF($H3550="","",DATE(YEAR($H3550),MONTH($H3550),1))</f>
        <v/>
      </c>
      <c r="N3550" s="26">
        <f>IF($H3550="","",TODAY()-$H3550)</f>
        <v/>
      </c>
      <c r="O3550" s="15" t="n"/>
      <c r="P3550" s="26">
        <f>IF($A3550="","",COUNTIFS('Audit Versions'!$A$6:$A$605,$A3550,'Audit Versions'!$L$6:$L$605,"Active"))</f>
        <v/>
      </c>
      <c r="Q3550" s="15" t="n"/>
      <c r="R3550" s="26">
        <f>IF(OR($A3550="",$P3550=0),"",MOD(N($Q3550),$P3550)+1)</f>
        <v/>
      </c>
      <c r="S3550" s="15" t="n"/>
      <c r="T3550" s="25" t="n"/>
      <c r="U3550" s="26">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Builder'!$B$12="",N($S3550)&lt;='Assignment Builder'!$B$12)))</f>
        <v/>
      </c>
      <c r="V3550" s="23" t="n"/>
    </row>
    <row r="3551">
      <c r="A3551" s="23" t="n"/>
      <c r="B3551" s="23" t="n"/>
      <c r="C3551" s="24" t="n"/>
      <c r="D3551" s="15" t="n"/>
      <c r="E3551" s="23" t="n"/>
      <c r="F3551" s="15" t="n"/>
      <c r="G3551" s="23" t="n"/>
      <c r="H3551" s="25" t="n"/>
      <c r="I3551" s="15" t="n"/>
      <c r="J3551" s="26">
        <f>IF($A3551="","",LEN($C3551)-LEN(SUBSTITUTE($C3551,",",""))+1)</f>
        <v/>
      </c>
      <c r="K3551" s="26">
        <f>IF($A3551="","",SUMPRODUCT(--ISNUMBER(SEARCH('Category Dictionary'!$D$5:$D$135&amp;"",$C3551)),--('Category Dictionary'!$D$5:$D$135&lt;&gt;"")))</f>
        <v/>
      </c>
      <c r="L3551" s="27">
        <f>IF($A3551="","",TRIM(IF(ISERROR(FIND(",",$C3551)),$C3551,LEFT($C3551,FIND(",",$C3551)-1))))</f>
        <v/>
      </c>
      <c r="M3551" s="28">
        <f>IF($H3551="","",DATE(YEAR($H3551),MONTH($H3551),1))</f>
        <v/>
      </c>
      <c r="N3551" s="26">
        <f>IF($H3551="","",TODAY()-$H3551)</f>
        <v/>
      </c>
      <c r="O3551" s="15" t="n"/>
      <c r="P3551" s="26">
        <f>IF($A3551="","",COUNTIFS('Audit Versions'!$A$6:$A$605,$A3551,'Audit Versions'!$L$6:$L$605,"Active"))</f>
        <v/>
      </c>
      <c r="Q3551" s="15" t="n"/>
      <c r="R3551" s="26">
        <f>IF(OR($A3551="",$P3551=0),"",MOD(N($Q3551),$P3551)+1)</f>
        <v/>
      </c>
      <c r="S3551" s="15" t="n"/>
      <c r="T3551" s="25" t="n"/>
      <c r="U3551" s="26">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Builder'!$B$12="",N($S3551)&lt;='Assignment Builder'!$B$12)))</f>
        <v/>
      </c>
      <c r="V3551" s="23" t="n"/>
    </row>
    <row r="3552">
      <c r="A3552" s="23" t="n"/>
      <c r="B3552" s="23" t="n"/>
      <c r="C3552" s="24" t="n"/>
      <c r="D3552" s="15" t="n"/>
      <c r="E3552" s="23" t="n"/>
      <c r="F3552" s="15" t="n"/>
      <c r="G3552" s="23" t="n"/>
      <c r="H3552" s="25" t="n"/>
      <c r="I3552" s="15" t="n"/>
      <c r="J3552" s="26">
        <f>IF($A3552="","",LEN($C3552)-LEN(SUBSTITUTE($C3552,",",""))+1)</f>
        <v/>
      </c>
      <c r="K3552" s="26">
        <f>IF($A3552="","",SUMPRODUCT(--ISNUMBER(SEARCH('Category Dictionary'!$D$5:$D$135&amp;"",$C3552)),--('Category Dictionary'!$D$5:$D$135&lt;&gt;"")))</f>
        <v/>
      </c>
      <c r="L3552" s="27">
        <f>IF($A3552="","",TRIM(IF(ISERROR(FIND(",",$C3552)),$C3552,LEFT($C3552,FIND(",",$C3552)-1))))</f>
        <v/>
      </c>
      <c r="M3552" s="28">
        <f>IF($H3552="","",DATE(YEAR($H3552),MONTH($H3552),1))</f>
        <v/>
      </c>
      <c r="N3552" s="26">
        <f>IF($H3552="","",TODAY()-$H3552)</f>
        <v/>
      </c>
      <c r="O3552" s="15" t="n"/>
      <c r="P3552" s="26">
        <f>IF($A3552="","",COUNTIFS('Audit Versions'!$A$6:$A$605,$A3552,'Audit Versions'!$L$6:$L$605,"Active"))</f>
        <v/>
      </c>
      <c r="Q3552" s="15" t="n"/>
      <c r="R3552" s="26">
        <f>IF(OR($A3552="",$P3552=0),"",MOD(N($Q3552),$P3552)+1)</f>
        <v/>
      </c>
      <c r="S3552" s="15" t="n"/>
      <c r="T3552" s="25" t="n"/>
      <c r="U3552" s="26">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Builder'!$B$12="",N($S3552)&lt;='Assignment Builder'!$B$12)))</f>
        <v/>
      </c>
      <c r="V3552" s="23" t="n"/>
    </row>
    <row r="3553">
      <c r="A3553" s="23" t="n"/>
      <c r="B3553" s="23" t="n"/>
      <c r="C3553" s="24" t="n"/>
      <c r="D3553" s="15" t="n"/>
      <c r="E3553" s="23" t="n"/>
      <c r="F3553" s="15" t="n"/>
      <c r="G3553" s="23" t="n"/>
      <c r="H3553" s="25" t="n"/>
      <c r="I3553" s="15" t="n"/>
      <c r="J3553" s="26">
        <f>IF($A3553="","",LEN($C3553)-LEN(SUBSTITUTE($C3553,",",""))+1)</f>
        <v/>
      </c>
      <c r="K3553" s="26">
        <f>IF($A3553="","",SUMPRODUCT(--ISNUMBER(SEARCH('Category Dictionary'!$D$5:$D$135&amp;"",$C3553)),--('Category Dictionary'!$D$5:$D$135&lt;&gt;"")))</f>
        <v/>
      </c>
      <c r="L3553" s="27">
        <f>IF($A3553="","",TRIM(IF(ISERROR(FIND(",",$C3553)),$C3553,LEFT($C3553,FIND(",",$C3553)-1))))</f>
        <v/>
      </c>
      <c r="M3553" s="28">
        <f>IF($H3553="","",DATE(YEAR($H3553),MONTH($H3553),1))</f>
        <v/>
      </c>
      <c r="N3553" s="26">
        <f>IF($H3553="","",TODAY()-$H3553)</f>
        <v/>
      </c>
      <c r="O3553" s="15" t="n"/>
      <c r="P3553" s="26">
        <f>IF($A3553="","",COUNTIFS('Audit Versions'!$A$6:$A$605,$A3553,'Audit Versions'!$L$6:$L$605,"Active"))</f>
        <v/>
      </c>
      <c r="Q3553" s="15" t="n"/>
      <c r="R3553" s="26">
        <f>IF(OR($A3553="",$P3553=0),"",MOD(N($Q3553),$P3553)+1)</f>
        <v/>
      </c>
      <c r="S3553" s="15" t="n"/>
      <c r="T3553" s="25" t="n"/>
      <c r="U3553" s="26">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Builder'!$B$12="",N($S3553)&lt;='Assignment Builder'!$B$12)))</f>
        <v/>
      </c>
      <c r="V3553" s="23" t="n"/>
    </row>
    <row r="3554">
      <c r="A3554" s="23" t="n"/>
      <c r="B3554" s="23" t="n"/>
      <c r="C3554" s="24" t="n"/>
      <c r="D3554" s="15" t="n"/>
      <c r="E3554" s="23" t="n"/>
      <c r="F3554" s="15" t="n"/>
      <c r="G3554" s="23" t="n"/>
      <c r="H3554" s="25" t="n"/>
      <c r="I3554" s="15" t="n"/>
      <c r="J3554" s="26">
        <f>IF($A3554="","",LEN($C3554)-LEN(SUBSTITUTE($C3554,",",""))+1)</f>
        <v/>
      </c>
      <c r="K3554" s="26">
        <f>IF($A3554="","",SUMPRODUCT(--ISNUMBER(SEARCH('Category Dictionary'!$D$5:$D$135&amp;"",$C3554)),--('Category Dictionary'!$D$5:$D$135&lt;&gt;"")))</f>
        <v/>
      </c>
      <c r="L3554" s="27">
        <f>IF($A3554="","",TRIM(IF(ISERROR(FIND(",",$C3554)),$C3554,LEFT($C3554,FIND(",",$C3554)-1))))</f>
        <v/>
      </c>
      <c r="M3554" s="28">
        <f>IF($H3554="","",DATE(YEAR($H3554),MONTH($H3554),1))</f>
        <v/>
      </c>
      <c r="N3554" s="26">
        <f>IF($H3554="","",TODAY()-$H3554)</f>
        <v/>
      </c>
      <c r="O3554" s="15" t="n"/>
      <c r="P3554" s="26">
        <f>IF($A3554="","",COUNTIFS('Audit Versions'!$A$6:$A$605,$A3554,'Audit Versions'!$L$6:$L$605,"Active"))</f>
        <v/>
      </c>
      <c r="Q3554" s="15" t="n"/>
      <c r="R3554" s="26">
        <f>IF(OR($A3554="",$P3554=0),"",MOD(N($Q3554),$P3554)+1)</f>
        <v/>
      </c>
      <c r="S3554" s="15" t="n"/>
      <c r="T3554" s="25" t="n"/>
      <c r="U3554" s="26">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Builder'!$B$12="",N($S3554)&lt;='Assignment Builder'!$B$12)))</f>
        <v/>
      </c>
      <c r="V3554" s="23" t="n"/>
    </row>
    <row r="3555">
      <c r="A3555" s="23" t="n"/>
      <c r="B3555" s="23" t="n"/>
      <c r="C3555" s="24" t="n"/>
      <c r="D3555" s="15" t="n"/>
      <c r="E3555" s="23" t="n"/>
      <c r="F3555" s="15" t="n"/>
      <c r="G3555" s="23" t="n"/>
      <c r="H3555" s="25" t="n"/>
      <c r="I3555" s="15" t="n"/>
      <c r="J3555" s="26">
        <f>IF($A3555="","",LEN($C3555)-LEN(SUBSTITUTE($C3555,",",""))+1)</f>
        <v/>
      </c>
      <c r="K3555" s="26">
        <f>IF($A3555="","",SUMPRODUCT(--ISNUMBER(SEARCH('Category Dictionary'!$D$5:$D$135&amp;"",$C3555)),--('Category Dictionary'!$D$5:$D$135&lt;&gt;"")))</f>
        <v/>
      </c>
      <c r="L3555" s="27">
        <f>IF($A3555="","",TRIM(IF(ISERROR(FIND(",",$C3555)),$C3555,LEFT($C3555,FIND(",",$C3555)-1))))</f>
        <v/>
      </c>
      <c r="M3555" s="28">
        <f>IF($H3555="","",DATE(YEAR($H3555),MONTH($H3555),1))</f>
        <v/>
      </c>
      <c r="N3555" s="26">
        <f>IF($H3555="","",TODAY()-$H3555)</f>
        <v/>
      </c>
      <c r="O3555" s="15" t="n"/>
      <c r="P3555" s="26">
        <f>IF($A3555="","",COUNTIFS('Audit Versions'!$A$6:$A$605,$A3555,'Audit Versions'!$L$6:$L$605,"Active"))</f>
        <v/>
      </c>
      <c r="Q3555" s="15" t="n"/>
      <c r="R3555" s="26">
        <f>IF(OR($A3555="",$P3555=0),"",MOD(N($Q3555),$P3555)+1)</f>
        <v/>
      </c>
      <c r="S3555" s="15" t="n"/>
      <c r="T3555" s="25" t="n"/>
      <c r="U3555" s="26">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Builder'!$B$12="",N($S3555)&lt;='Assignment Builder'!$B$12)))</f>
        <v/>
      </c>
      <c r="V3555" s="23" t="n"/>
    </row>
    <row r="3556">
      <c r="A3556" s="23" t="n"/>
      <c r="B3556" s="23" t="n"/>
      <c r="C3556" s="24" t="n"/>
      <c r="D3556" s="15" t="n"/>
      <c r="E3556" s="23" t="n"/>
      <c r="F3556" s="15" t="n"/>
      <c r="G3556" s="23" t="n"/>
      <c r="H3556" s="25" t="n"/>
      <c r="I3556" s="15" t="n"/>
      <c r="J3556" s="26">
        <f>IF($A3556="","",LEN($C3556)-LEN(SUBSTITUTE($C3556,",",""))+1)</f>
        <v/>
      </c>
      <c r="K3556" s="26">
        <f>IF($A3556="","",SUMPRODUCT(--ISNUMBER(SEARCH('Category Dictionary'!$D$5:$D$135&amp;"",$C3556)),--('Category Dictionary'!$D$5:$D$135&lt;&gt;"")))</f>
        <v/>
      </c>
      <c r="L3556" s="27">
        <f>IF($A3556="","",TRIM(IF(ISERROR(FIND(",",$C3556)),$C3556,LEFT($C3556,FIND(",",$C3556)-1))))</f>
        <v/>
      </c>
      <c r="M3556" s="28">
        <f>IF($H3556="","",DATE(YEAR($H3556),MONTH($H3556),1))</f>
        <v/>
      </c>
      <c r="N3556" s="26">
        <f>IF($H3556="","",TODAY()-$H3556)</f>
        <v/>
      </c>
      <c r="O3556" s="15" t="n"/>
      <c r="P3556" s="26">
        <f>IF($A3556="","",COUNTIFS('Audit Versions'!$A$6:$A$605,$A3556,'Audit Versions'!$L$6:$L$605,"Active"))</f>
        <v/>
      </c>
      <c r="Q3556" s="15" t="n"/>
      <c r="R3556" s="26">
        <f>IF(OR($A3556="",$P3556=0),"",MOD(N($Q3556),$P3556)+1)</f>
        <v/>
      </c>
      <c r="S3556" s="15" t="n"/>
      <c r="T3556" s="25" t="n"/>
      <c r="U3556" s="26">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Builder'!$B$12="",N($S3556)&lt;='Assignment Builder'!$B$12)))</f>
        <v/>
      </c>
      <c r="V3556" s="23" t="n"/>
    </row>
    <row r="3557">
      <c r="A3557" s="23" t="n"/>
      <c r="B3557" s="23" t="n"/>
      <c r="C3557" s="24" t="n"/>
      <c r="D3557" s="15" t="n"/>
      <c r="E3557" s="23" t="n"/>
      <c r="F3557" s="15" t="n"/>
      <c r="G3557" s="23" t="n"/>
      <c r="H3557" s="25" t="n"/>
      <c r="I3557" s="15" t="n"/>
      <c r="J3557" s="26">
        <f>IF($A3557="","",LEN($C3557)-LEN(SUBSTITUTE($C3557,",",""))+1)</f>
        <v/>
      </c>
      <c r="K3557" s="26">
        <f>IF($A3557="","",SUMPRODUCT(--ISNUMBER(SEARCH('Category Dictionary'!$D$5:$D$135&amp;"",$C3557)),--('Category Dictionary'!$D$5:$D$135&lt;&gt;"")))</f>
        <v/>
      </c>
      <c r="L3557" s="27">
        <f>IF($A3557="","",TRIM(IF(ISERROR(FIND(",",$C3557)),$C3557,LEFT($C3557,FIND(",",$C3557)-1))))</f>
        <v/>
      </c>
      <c r="M3557" s="28">
        <f>IF($H3557="","",DATE(YEAR($H3557),MONTH($H3557),1))</f>
        <v/>
      </c>
      <c r="N3557" s="26">
        <f>IF($H3557="","",TODAY()-$H3557)</f>
        <v/>
      </c>
      <c r="O3557" s="15" t="n"/>
      <c r="P3557" s="26">
        <f>IF($A3557="","",COUNTIFS('Audit Versions'!$A$6:$A$605,$A3557,'Audit Versions'!$L$6:$L$605,"Active"))</f>
        <v/>
      </c>
      <c r="Q3557" s="15" t="n"/>
      <c r="R3557" s="26">
        <f>IF(OR($A3557="",$P3557=0),"",MOD(N($Q3557),$P3557)+1)</f>
        <v/>
      </c>
      <c r="S3557" s="15" t="n"/>
      <c r="T3557" s="25" t="n"/>
      <c r="U3557" s="26">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Builder'!$B$12="",N($S3557)&lt;='Assignment Builder'!$B$12)))</f>
        <v/>
      </c>
      <c r="V3557" s="23" t="n"/>
    </row>
    <row r="3558">
      <c r="A3558" s="23" t="n"/>
      <c r="B3558" s="23" t="n"/>
      <c r="C3558" s="24" t="n"/>
      <c r="D3558" s="15" t="n"/>
      <c r="E3558" s="23" t="n"/>
      <c r="F3558" s="15" t="n"/>
      <c r="G3558" s="23" t="n"/>
      <c r="H3558" s="25" t="n"/>
      <c r="I3558" s="15" t="n"/>
      <c r="J3558" s="26">
        <f>IF($A3558="","",LEN($C3558)-LEN(SUBSTITUTE($C3558,",",""))+1)</f>
        <v/>
      </c>
      <c r="K3558" s="26">
        <f>IF($A3558="","",SUMPRODUCT(--ISNUMBER(SEARCH('Category Dictionary'!$D$5:$D$135&amp;"",$C3558)),--('Category Dictionary'!$D$5:$D$135&lt;&gt;"")))</f>
        <v/>
      </c>
      <c r="L3558" s="27">
        <f>IF($A3558="","",TRIM(IF(ISERROR(FIND(",",$C3558)),$C3558,LEFT($C3558,FIND(",",$C3558)-1))))</f>
        <v/>
      </c>
      <c r="M3558" s="28">
        <f>IF($H3558="","",DATE(YEAR($H3558),MONTH($H3558),1))</f>
        <v/>
      </c>
      <c r="N3558" s="26">
        <f>IF($H3558="","",TODAY()-$H3558)</f>
        <v/>
      </c>
      <c r="O3558" s="15" t="n"/>
      <c r="P3558" s="26">
        <f>IF($A3558="","",COUNTIFS('Audit Versions'!$A$6:$A$605,$A3558,'Audit Versions'!$L$6:$L$605,"Active"))</f>
        <v/>
      </c>
      <c r="Q3558" s="15" t="n"/>
      <c r="R3558" s="26">
        <f>IF(OR($A3558="",$P3558=0),"",MOD(N($Q3558),$P3558)+1)</f>
        <v/>
      </c>
      <c r="S3558" s="15" t="n"/>
      <c r="T3558" s="25" t="n"/>
      <c r="U3558" s="26">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Builder'!$B$12="",N($S3558)&lt;='Assignment Builder'!$B$12)))</f>
        <v/>
      </c>
      <c r="V3558" s="23" t="n"/>
    </row>
    <row r="3559">
      <c r="A3559" s="23" t="n"/>
      <c r="B3559" s="23" t="n"/>
      <c r="C3559" s="24" t="n"/>
      <c r="D3559" s="15" t="n"/>
      <c r="E3559" s="23" t="n"/>
      <c r="F3559" s="15" t="n"/>
      <c r="G3559" s="23" t="n"/>
      <c r="H3559" s="25" t="n"/>
      <c r="I3559" s="15" t="n"/>
      <c r="J3559" s="26">
        <f>IF($A3559="","",LEN($C3559)-LEN(SUBSTITUTE($C3559,",",""))+1)</f>
        <v/>
      </c>
      <c r="K3559" s="26">
        <f>IF($A3559="","",SUMPRODUCT(--ISNUMBER(SEARCH('Category Dictionary'!$D$5:$D$135&amp;"",$C3559)),--('Category Dictionary'!$D$5:$D$135&lt;&gt;"")))</f>
        <v/>
      </c>
      <c r="L3559" s="27">
        <f>IF($A3559="","",TRIM(IF(ISERROR(FIND(",",$C3559)),$C3559,LEFT($C3559,FIND(",",$C3559)-1))))</f>
        <v/>
      </c>
      <c r="M3559" s="28">
        <f>IF($H3559="","",DATE(YEAR($H3559),MONTH($H3559),1))</f>
        <v/>
      </c>
      <c r="N3559" s="26">
        <f>IF($H3559="","",TODAY()-$H3559)</f>
        <v/>
      </c>
      <c r="O3559" s="15" t="n"/>
      <c r="P3559" s="26">
        <f>IF($A3559="","",COUNTIFS('Audit Versions'!$A$6:$A$605,$A3559,'Audit Versions'!$L$6:$L$605,"Active"))</f>
        <v/>
      </c>
      <c r="Q3559" s="15" t="n"/>
      <c r="R3559" s="26">
        <f>IF(OR($A3559="",$P3559=0),"",MOD(N($Q3559),$P3559)+1)</f>
        <v/>
      </c>
      <c r="S3559" s="15" t="n"/>
      <c r="T3559" s="25" t="n"/>
      <c r="U3559" s="26">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Builder'!$B$12="",N($S3559)&lt;='Assignment Builder'!$B$12)))</f>
        <v/>
      </c>
      <c r="V3559" s="23" t="n"/>
    </row>
    <row r="3560">
      <c r="A3560" s="23" t="n"/>
      <c r="B3560" s="23" t="n"/>
      <c r="C3560" s="24" t="n"/>
      <c r="D3560" s="15" t="n"/>
      <c r="E3560" s="23" t="n"/>
      <c r="F3560" s="15" t="n"/>
      <c r="G3560" s="23" t="n"/>
      <c r="H3560" s="25" t="n"/>
      <c r="I3560" s="15" t="n"/>
      <c r="J3560" s="26">
        <f>IF($A3560="","",LEN($C3560)-LEN(SUBSTITUTE($C3560,",",""))+1)</f>
        <v/>
      </c>
      <c r="K3560" s="26">
        <f>IF($A3560="","",SUMPRODUCT(--ISNUMBER(SEARCH('Category Dictionary'!$D$5:$D$135&amp;"",$C3560)),--('Category Dictionary'!$D$5:$D$135&lt;&gt;"")))</f>
        <v/>
      </c>
      <c r="L3560" s="27">
        <f>IF($A3560="","",TRIM(IF(ISERROR(FIND(",",$C3560)),$C3560,LEFT($C3560,FIND(",",$C3560)-1))))</f>
        <v/>
      </c>
      <c r="M3560" s="28">
        <f>IF($H3560="","",DATE(YEAR($H3560),MONTH($H3560),1))</f>
        <v/>
      </c>
      <c r="N3560" s="26">
        <f>IF($H3560="","",TODAY()-$H3560)</f>
        <v/>
      </c>
      <c r="O3560" s="15" t="n"/>
      <c r="P3560" s="26">
        <f>IF($A3560="","",COUNTIFS('Audit Versions'!$A$6:$A$605,$A3560,'Audit Versions'!$L$6:$L$605,"Active"))</f>
        <v/>
      </c>
      <c r="Q3560" s="15" t="n"/>
      <c r="R3560" s="26">
        <f>IF(OR($A3560="",$P3560=0),"",MOD(N($Q3560),$P3560)+1)</f>
        <v/>
      </c>
      <c r="S3560" s="15" t="n"/>
      <c r="T3560" s="25" t="n"/>
      <c r="U3560" s="26">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Builder'!$B$12="",N($S3560)&lt;='Assignment Builder'!$B$12)))</f>
        <v/>
      </c>
      <c r="V3560" s="23" t="n"/>
    </row>
    <row r="3561">
      <c r="A3561" s="23" t="n"/>
      <c r="B3561" s="23" t="n"/>
      <c r="C3561" s="24" t="n"/>
      <c r="D3561" s="15" t="n"/>
      <c r="E3561" s="23" t="n"/>
      <c r="F3561" s="15" t="n"/>
      <c r="G3561" s="23" t="n"/>
      <c r="H3561" s="25" t="n"/>
      <c r="I3561" s="15" t="n"/>
      <c r="J3561" s="26">
        <f>IF($A3561="","",LEN($C3561)-LEN(SUBSTITUTE($C3561,",",""))+1)</f>
        <v/>
      </c>
      <c r="K3561" s="26">
        <f>IF($A3561="","",SUMPRODUCT(--ISNUMBER(SEARCH('Category Dictionary'!$D$5:$D$135&amp;"",$C3561)),--('Category Dictionary'!$D$5:$D$135&lt;&gt;"")))</f>
        <v/>
      </c>
      <c r="L3561" s="27">
        <f>IF($A3561="","",TRIM(IF(ISERROR(FIND(",",$C3561)),$C3561,LEFT($C3561,FIND(",",$C3561)-1))))</f>
        <v/>
      </c>
      <c r="M3561" s="28">
        <f>IF($H3561="","",DATE(YEAR($H3561),MONTH($H3561),1))</f>
        <v/>
      </c>
      <c r="N3561" s="26">
        <f>IF($H3561="","",TODAY()-$H3561)</f>
        <v/>
      </c>
      <c r="O3561" s="15" t="n"/>
      <c r="P3561" s="26">
        <f>IF($A3561="","",COUNTIFS('Audit Versions'!$A$6:$A$605,$A3561,'Audit Versions'!$L$6:$L$605,"Active"))</f>
        <v/>
      </c>
      <c r="Q3561" s="15" t="n"/>
      <c r="R3561" s="26">
        <f>IF(OR($A3561="",$P3561=0),"",MOD(N($Q3561),$P3561)+1)</f>
        <v/>
      </c>
      <c r="S3561" s="15" t="n"/>
      <c r="T3561" s="25" t="n"/>
      <c r="U3561" s="26">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Builder'!$B$12="",N($S3561)&lt;='Assignment Builder'!$B$12)))</f>
        <v/>
      </c>
      <c r="V3561" s="23" t="n"/>
    </row>
    <row r="3562">
      <c r="A3562" s="23" t="n"/>
      <c r="B3562" s="23" t="n"/>
      <c r="C3562" s="24" t="n"/>
      <c r="D3562" s="15" t="n"/>
      <c r="E3562" s="23" t="n"/>
      <c r="F3562" s="15" t="n"/>
      <c r="G3562" s="23" t="n"/>
      <c r="H3562" s="25" t="n"/>
      <c r="I3562" s="15" t="n"/>
      <c r="J3562" s="26">
        <f>IF($A3562="","",LEN($C3562)-LEN(SUBSTITUTE($C3562,",",""))+1)</f>
        <v/>
      </c>
      <c r="K3562" s="26">
        <f>IF($A3562="","",SUMPRODUCT(--ISNUMBER(SEARCH('Category Dictionary'!$D$5:$D$135&amp;"",$C3562)),--('Category Dictionary'!$D$5:$D$135&lt;&gt;"")))</f>
        <v/>
      </c>
      <c r="L3562" s="27">
        <f>IF($A3562="","",TRIM(IF(ISERROR(FIND(",",$C3562)),$C3562,LEFT($C3562,FIND(",",$C3562)-1))))</f>
        <v/>
      </c>
      <c r="M3562" s="28">
        <f>IF($H3562="","",DATE(YEAR($H3562),MONTH($H3562),1))</f>
        <v/>
      </c>
      <c r="N3562" s="26">
        <f>IF($H3562="","",TODAY()-$H3562)</f>
        <v/>
      </c>
      <c r="O3562" s="15" t="n"/>
      <c r="P3562" s="26">
        <f>IF($A3562="","",COUNTIFS('Audit Versions'!$A$6:$A$605,$A3562,'Audit Versions'!$L$6:$L$605,"Active"))</f>
        <v/>
      </c>
      <c r="Q3562" s="15" t="n"/>
      <c r="R3562" s="26">
        <f>IF(OR($A3562="",$P3562=0),"",MOD(N($Q3562),$P3562)+1)</f>
        <v/>
      </c>
      <c r="S3562" s="15" t="n"/>
      <c r="T3562" s="25" t="n"/>
      <c r="U3562" s="26">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Builder'!$B$12="",N($S3562)&lt;='Assignment Builder'!$B$12)))</f>
        <v/>
      </c>
      <c r="V3562" s="23" t="n"/>
    </row>
    <row r="3563">
      <c r="A3563" s="23" t="n"/>
      <c r="B3563" s="23" t="n"/>
      <c r="C3563" s="24" t="n"/>
      <c r="D3563" s="15" t="n"/>
      <c r="E3563" s="23" t="n"/>
      <c r="F3563" s="15" t="n"/>
      <c r="G3563" s="23" t="n"/>
      <c r="H3563" s="25" t="n"/>
      <c r="I3563" s="15" t="n"/>
      <c r="J3563" s="26">
        <f>IF($A3563="","",LEN($C3563)-LEN(SUBSTITUTE($C3563,",",""))+1)</f>
        <v/>
      </c>
      <c r="K3563" s="26">
        <f>IF($A3563="","",SUMPRODUCT(--ISNUMBER(SEARCH('Category Dictionary'!$D$5:$D$135&amp;"",$C3563)),--('Category Dictionary'!$D$5:$D$135&lt;&gt;"")))</f>
        <v/>
      </c>
      <c r="L3563" s="27">
        <f>IF($A3563="","",TRIM(IF(ISERROR(FIND(",",$C3563)),$C3563,LEFT($C3563,FIND(",",$C3563)-1))))</f>
        <v/>
      </c>
      <c r="M3563" s="28">
        <f>IF($H3563="","",DATE(YEAR($H3563),MONTH($H3563),1))</f>
        <v/>
      </c>
      <c r="N3563" s="26">
        <f>IF($H3563="","",TODAY()-$H3563)</f>
        <v/>
      </c>
      <c r="O3563" s="15" t="n"/>
      <c r="P3563" s="26">
        <f>IF($A3563="","",COUNTIFS('Audit Versions'!$A$6:$A$605,$A3563,'Audit Versions'!$L$6:$L$605,"Active"))</f>
        <v/>
      </c>
      <c r="Q3563" s="15" t="n"/>
      <c r="R3563" s="26">
        <f>IF(OR($A3563="",$P3563=0),"",MOD(N($Q3563),$P3563)+1)</f>
        <v/>
      </c>
      <c r="S3563" s="15" t="n"/>
      <c r="T3563" s="25" t="n"/>
      <c r="U3563" s="26">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Builder'!$B$12="",N($S3563)&lt;='Assignment Builder'!$B$12)))</f>
        <v/>
      </c>
      <c r="V3563" s="23" t="n"/>
    </row>
    <row r="3564">
      <c r="A3564" s="23" t="n"/>
      <c r="B3564" s="23" t="n"/>
      <c r="C3564" s="24" t="n"/>
      <c r="D3564" s="15" t="n"/>
      <c r="E3564" s="23" t="n"/>
      <c r="F3564" s="15" t="n"/>
      <c r="G3564" s="23" t="n"/>
      <c r="H3564" s="25" t="n"/>
      <c r="I3564" s="15" t="n"/>
      <c r="J3564" s="26">
        <f>IF($A3564="","",LEN($C3564)-LEN(SUBSTITUTE($C3564,",",""))+1)</f>
        <v/>
      </c>
      <c r="K3564" s="26">
        <f>IF($A3564="","",SUMPRODUCT(--ISNUMBER(SEARCH('Category Dictionary'!$D$5:$D$135&amp;"",$C3564)),--('Category Dictionary'!$D$5:$D$135&lt;&gt;"")))</f>
        <v/>
      </c>
      <c r="L3564" s="27">
        <f>IF($A3564="","",TRIM(IF(ISERROR(FIND(",",$C3564)),$C3564,LEFT($C3564,FIND(",",$C3564)-1))))</f>
        <v/>
      </c>
      <c r="M3564" s="28">
        <f>IF($H3564="","",DATE(YEAR($H3564),MONTH($H3564),1))</f>
        <v/>
      </c>
      <c r="N3564" s="26">
        <f>IF($H3564="","",TODAY()-$H3564)</f>
        <v/>
      </c>
      <c r="O3564" s="15" t="n"/>
      <c r="P3564" s="26">
        <f>IF($A3564="","",COUNTIFS('Audit Versions'!$A$6:$A$605,$A3564,'Audit Versions'!$L$6:$L$605,"Active"))</f>
        <v/>
      </c>
      <c r="Q3564" s="15" t="n"/>
      <c r="R3564" s="26">
        <f>IF(OR($A3564="",$P3564=0),"",MOD(N($Q3564),$P3564)+1)</f>
        <v/>
      </c>
      <c r="S3564" s="15" t="n"/>
      <c r="T3564" s="25" t="n"/>
      <c r="U3564" s="26">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Builder'!$B$12="",N($S3564)&lt;='Assignment Builder'!$B$12)))</f>
        <v/>
      </c>
      <c r="V3564" s="23" t="n"/>
    </row>
    <row r="3565">
      <c r="A3565" s="23" t="n"/>
      <c r="B3565" s="23" t="n"/>
      <c r="C3565" s="24" t="n"/>
      <c r="D3565" s="15" t="n"/>
      <c r="E3565" s="23" t="n"/>
      <c r="F3565" s="15" t="n"/>
      <c r="G3565" s="23" t="n"/>
      <c r="H3565" s="25" t="n"/>
      <c r="I3565" s="15" t="n"/>
      <c r="J3565" s="26">
        <f>IF($A3565="","",LEN($C3565)-LEN(SUBSTITUTE($C3565,",",""))+1)</f>
        <v/>
      </c>
      <c r="K3565" s="26">
        <f>IF($A3565="","",SUMPRODUCT(--ISNUMBER(SEARCH('Category Dictionary'!$D$5:$D$135&amp;"",$C3565)),--('Category Dictionary'!$D$5:$D$135&lt;&gt;"")))</f>
        <v/>
      </c>
      <c r="L3565" s="27">
        <f>IF($A3565="","",TRIM(IF(ISERROR(FIND(",",$C3565)),$C3565,LEFT($C3565,FIND(",",$C3565)-1))))</f>
        <v/>
      </c>
      <c r="M3565" s="28">
        <f>IF($H3565="","",DATE(YEAR($H3565),MONTH($H3565),1))</f>
        <v/>
      </c>
      <c r="N3565" s="26">
        <f>IF($H3565="","",TODAY()-$H3565)</f>
        <v/>
      </c>
      <c r="O3565" s="15" t="n"/>
      <c r="P3565" s="26">
        <f>IF($A3565="","",COUNTIFS('Audit Versions'!$A$6:$A$605,$A3565,'Audit Versions'!$L$6:$L$605,"Active"))</f>
        <v/>
      </c>
      <c r="Q3565" s="15" t="n"/>
      <c r="R3565" s="26">
        <f>IF(OR($A3565="",$P3565=0),"",MOD(N($Q3565),$P3565)+1)</f>
        <v/>
      </c>
      <c r="S3565" s="15" t="n"/>
      <c r="T3565" s="25" t="n"/>
      <c r="U3565" s="26">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Builder'!$B$12="",N($S3565)&lt;='Assignment Builder'!$B$12)))</f>
        <v/>
      </c>
      <c r="V3565" s="23" t="n"/>
    </row>
    <row r="3566">
      <c r="A3566" s="23" t="n"/>
      <c r="B3566" s="23" t="n"/>
      <c r="C3566" s="24" t="n"/>
      <c r="D3566" s="15" t="n"/>
      <c r="E3566" s="23" t="n"/>
      <c r="F3566" s="15" t="n"/>
      <c r="G3566" s="23" t="n"/>
      <c r="H3566" s="25" t="n"/>
      <c r="I3566" s="15" t="n"/>
      <c r="J3566" s="26">
        <f>IF($A3566="","",LEN($C3566)-LEN(SUBSTITUTE($C3566,",",""))+1)</f>
        <v/>
      </c>
      <c r="K3566" s="26">
        <f>IF($A3566="","",SUMPRODUCT(--ISNUMBER(SEARCH('Category Dictionary'!$D$5:$D$135&amp;"",$C3566)),--('Category Dictionary'!$D$5:$D$135&lt;&gt;"")))</f>
        <v/>
      </c>
      <c r="L3566" s="27">
        <f>IF($A3566="","",TRIM(IF(ISERROR(FIND(",",$C3566)),$C3566,LEFT($C3566,FIND(",",$C3566)-1))))</f>
        <v/>
      </c>
      <c r="M3566" s="28">
        <f>IF($H3566="","",DATE(YEAR($H3566),MONTH($H3566),1))</f>
        <v/>
      </c>
      <c r="N3566" s="26">
        <f>IF($H3566="","",TODAY()-$H3566)</f>
        <v/>
      </c>
      <c r="O3566" s="15" t="n"/>
      <c r="P3566" s="26">
        <f>IF($A3566="","",COUNTIFS('Audit Versions'!$A$6:$A$605,$A3566,'Audit Versions'!$L$6:$L$605,"Active"))</f>
        <v/>
      </c>
      <c r="Q3566" s="15" t="n"/>
      <c r="R3566" s="26">
        <f>IF(OR($A3566="",$P3566=0),"",MOD(N($Q3566),$P3566)+1)</f>
        <v/>
      </c>
      <c r="S3566" s="15" t="n"/>
      <c r="T3566" s="25" t="n"/>
      <c r="U3566" s="26">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Builder'!$B$12="",N($S3566)&lt;='Assignment Builder'!$B$12)))</f>
        <v/>
      </c>
      <c r="V3566" s="23" t="n"/>
    </row>
    <row r="3567">
      <c r="A3567" s="23" t="n"/>
      <c r="B3567" s="23" t="n"/>
      <c r="C3567" s="24" t="n"/>
      <c r="D3567" s="15" t="n"/>
      <c r="E3567" s="23" t="n"/>
      <c r="F3567" s="15" t="n"/>
      <c r="G3567" s="23" t="n"/>
      <c r="H3567" s="25" t="n"/>
      <c r="I3567" s="15" t="n"/>
      <c r="J3567" s="26">
        <f>IF($A3567="","",LEN($C3567)-LEN(SUBSTITUTE($C3567,",",""))+1)</f>
        <v/>
      </c>
      <c r="K3567" s="26">
        <f>IF($A3567="","",SUMPRODUCT(--ISNUMBER(SEARCH('Category Dictionary'!$D$5:$D$135&amp;"",$C3567)),--('Category Dictionary'!$D$5:$D$135&lt;&gt;"")))</f>
        <v/>
      </c>
      <c r="L3567" s="27">
        <f>IF($A3567="","",TRIM(IF(ISERROR(FIND(",",$C3567)),$C3567,LEFT($C3567,FIND(",",$C3567)-1))))</f>
        <v/>
      </c>
      <c r="M3567" s="28">
        <f>IF($H3567="","",DATE(YEAR($H3567),MONTH($H3567),1))</f>
        <v/>
      </c>
      <c r="N3567" s="26">
        <f>IF($H3567="","",TODAY()-$H3567)</f>
        <v/>
      </c>
      <c r="O3567" s="15" t="n"/>
      <c r="P3567" s="26">
        <f>IF($A3567="","",COUNTIFS('Audit Versions'!$A$6:$A$605,$A3567,'Audit Versions'!$L$6:$L$605,"Active"))</f>
        <v/>
      </c>
      <c r="Q3567" s="15" t="n"/>
      <c r="R3567" s="26">
        <f>IF(OR($A3567="",$P3567=0),"",MOD(N($Q3567),$P3567)+1)</f>
        <v/>
      </c>
      <c r="S3567" s="15" t="n"/>
      <c r="T3567" s="25" t="n"/>
      <c r="U3567" s="26">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Builder'!$B$12="",N($S3567)&lt;='Assignment Builder'!$B$12)))</f>
        <v/>
      </c>
      <c r="V3567" s="23" t="n"/>
    </row>
    <row r="3568">
      <c r="A3568" s="23" t="n"/>
      <c r="B3568" s="23" t="n"/>
      <c r="C3568" s="24" t="n"/>
      <c r="D3568" s="15" t="n"/>
      <c r="E3568" s="23" t="n"/>
      <c r="F3568" s="15" t="n"/>
      <c r="G3568" s="23" t="n"/>
      <c r="H3568" s="25" t="n"/>
      <c r="I3568" s="15" t="n"/>
      <c r="J3568" s="26">
        <f>IF($A3568="","",LEN($C3568)-LEN(SUBSTITUTE($C3568,",",""))+1)</f>
        <v/>
      </c>
      <c r="K3568" s="26">
        <f>IF($A3568="","",SUMPRODUCT(--ISNUMBER(SEARCH('Category Dictionary'!$D$5:$D$135&amp;"",$C3568)),--('Category Dictionary'!$D$5:$D$135&lt;&gt;"")))</f>
        <v/>
      </c>
      <c r="L3568" s="27">
        <f>IF($A3568="","",TRIM(IF(ISERROR(FIND(",",$C3568)),$C3568,LEFT($C3568,FIND(",",$C3568)-1))))</f>
        <v/>
      </c>
      <c r="M3568" s="28">
        <f>IF($H3568="","",DATE(YEAR($H3568),MONTH($H3568),1))</f>
        <v/>
      </c>
      <c r="N3568" s="26">
        <f>IF($H3568="","",TODAY()-$H3568)</f>
        <v/>
      </c>
      <c r="O3568" s="15" t="n"/>
      <c r="P3568" s="26">
        <f>IF($A3568="","",COUNTIFS('Audit Versions'!$A$6:$A$605,$A3568,'Audit Versions'!$L$6:$L$605,"Active"))</f>
        <v/>
      </c>
      <c r="Q3568" s="15" t="n"/>
      <c r="R3568" s="26">
        <f>IF(OR($A3568="",$P3568=0),"",MOD(N($Q3568),$P3568)+1)</f>
        <v/>
      </c>
      <c r="S3568" s="15" t="n"/>
      <c r="T3568" s="25" t="n"/>
      <c r="U3568" s="26">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Builder'!$B$12="",N($S3568)&lt;='Assignment Builder'!$B$12)))</f>
        <v/>
      </c>
      <c r="V3568" s="23" t="n"/>
    </row>
    <row r="3569">
      <c r="A3569" s="23" t="n"/>
      <c r="B3569" s="23" t="n"/>
      <c r="C3569" s="24" t="n"/>
      <c r="D3569" s="15" t="n"/>
      <c r="E3569" s="23" t="n"/>
      <c r="F3569" s="15" t="n"/>
      <c r="G3569" s="23" t="n"/>
      <c r="H3569" s="25" t="n"/>
      <c r="I3569" s="15" t="n"/>
      <c r="J3569" s="26">
        <f>IF($A3569="","",LEN($C3569)-LEN(SUBSTITUTE($C3569,",",""))+1)</f>
        <v/>
      </c>
      <c r="K3569" s="26">
        <f>IF($A3569="","",SUMPRODUCT(--ISNUMBER(SEARCH('Category Dictionary'!$D$5:$D$135&amp;"",$C3569)),--('Category Dictionary'!$D$5:$D$135&lt;&gt;"")))</f>
        <v/>
      </c>
      <c r="L3569" s="27">
        <f>IF($A3569="","",TRIM(IF(ISERROR(FIND(",",$C3569)),$C3569,LEFT($C3569,FIND(",",$C3569)-1))))</f>
        <v/>
      </c>
      <c r="M3569" s="28">
        <f>IF($H3569="","",DATE(YEAR($H3569),MONTH($H3569),1))</f>
        <v/>
      </c>
      <c r="N3569" s="26">
        <f>IF($H3569="","",TODAY()-$H3569)</f>
        <v/>
      </c>
      <c r="O3569" s="15" t="n"/>
      <c r="P3569" s="26">
        <f>IF($A3569="","",COUNTIFS('Audit Versions'!$A$6:$A$605,$A3569,'Audit Versions'!$L$6:$L$605,"Active"))</f>
        <v/>
      </c>
      <c r="Q3569" s="15" t="n"/>
      <c r="R3569" s="26">
        <f>IF(OR($A3569="",$P3569=0),"",MOD(N($Q3569),$P3569)+1)</f>
        <v/>
      </c>
      <c r="S3569" s="15" t="n"/>
      <c r="T3569" s="25" t="n"/>
      <c r="U3569" s="26">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Builder'!$B$12="",N($S3569)&lt;='Assignment Builder'!$B$12)))</f>
        <v/>
      </c>
      <c r="V3569" s="23" t="n"/>
    </row>
    <row r="3570">
      <c r="A3570" s="23" t="n"/>
      <c r="B3570" s="23" t="n"/>
      <c r="C3570" s="24" t="n"/>
      <c r="D3570" s="15" t="n"/>
      <c r="E3570" s="23" t="n"/>
      <c r="F3570" s="15" t="n"/>
      <c r="G3570" s="23" t="n"/>
      <c r="H3570" s="25" t="n"/>
      <c r="I3570" s="15" t="n"/>
      <c r="J3570" s="26">
        <f>IF($A3570="","",LEN($C3570)-LEN(SUBSTITUTE($C3570,",",""))+1)</f>
        <v/>
      </c>
      <c r="K3570" s="26">
        <f>IF($A3570="","",SUMPRODUCT(--ISNUMBER(SEARCH('Category Dictionary'!$D$5:$D$135&amp;"",$C3570)),--('Category Dictionary'!$D$5:$D$135&lt;&gt;"")))</f>
        <v/>
      </c>
      <c r="L3570" s="27">
        <f>IF($A3570="","",TRIM(IF(ISERROR(FIND(",",$C3570)),$C3570,LEFT($C3570,FIND(",",$C3570)-1))))</f>
        <v/>
      </c>
      <c r="M3570" s="28">
        <f>IF($H3570="","",DATE(YEAR($H3570),MONTH($H3570),1))</f>
        <v/>
      </c>
      <c r="N3570" s="26">
        <f>IF($H3570="","",TODAY()-$H3570)</f>
        <v/>
      </c>
      <c r="O3570" s="15" t="n"/>
      <c r="P3570" s="26">
        <f>IF($A3570="","",COUNTIFS('Audit Versions'!$A$6:$A$605,$A3570,'Audit Versions'!$L$6:$L$605,"Active"))</f>
        <v/>
      </c>
      <c r="Q3570" s="15" t="n"/>
      <c r="R3570" s="26">
        <f>IF(OR($A3570="",$P3570=0),"",MOD(N($Q3570),$P3570)+1)</f>
        <v/>
      </c>
      <c r="S3570" s="15" t="n"/>
      <c r="T3570" s="25" t="n"/>
      <c r="U3570" s="26">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Builder'!$B$12="",N($S3570)&lt;='Assignment Builder'!$B$12)))</f>
        <v/>
      </c>
      <c r="V3570" s="23" t="n"/>
    </row>
    <row r="3571">
      <c r="A3571" s="23" t="n"/>
      <c r="B3571" s="23" t="n"/>
      <c r="C3571" s="24" t="n"/>
      <c r="D3571" s="15" t="n"/>
      <c r="E3571" s="23" t="n"/>
      <c r="F3571" s="15" t="n"/>
      <c r="G3571" s="23" t="n"/>
      <c r="H3571" s="25" t="n"/>
      <c r="I3571" s="15" t="n"/>
      <c r="J3571" s="26">
        <f>IF($A3571="","",LEN($C3571)-LEN(SUBSTITUTE($C3571,",",""))+1)</f>
        <v/>
      </c>
      <c r="K3571" s="26">
        <f>IF($A3571="","",SUMPRODUCT(--ISNUMBER(SEARCH('Category Dictionary'!$D$5:$D$135&amp;"",$C3571)),--('Category Dictionary'!$D$5:$D$135&lt;&gt;"")))</f>
        <v/>
      </c>
      <c r="L3571" s="27">
        <f>IF($A3571="","",TRIM(IF(ISERROR(FIND(",",$C3571)),$C3571,LEFT($C3571,FIND(",",$C3571)-1))))</f>
        <v/>
      </c>
      <c r="M3571" s="28">
        <f>IF($H3571="","",DATE(YEAR($H3571),MONTH($H3571),1))</f>
        <v/>
      </c>
      <c r="N3571" s="26">
        <f>IF($H3571="","",TODAY()-$H3571)</f>
        <v/>
      </c>
      <c r="O3571" s="15" t="n"/>
      <c r="P3571" s="26">
        <f>IF($A3571="","",COUNTIFS('Audit Versions'!$A$6:$A$605,$A3571,'Audit Versions'!$L$6:$L$605,"Active"))</f>
        <v/>
      </c>
      <c r="Q3571" s="15" t="n"/>
      <c r="R3571" s="26">
        <f>IF(OR($A3571="",$P3571=0),"",MOD(N($Q3571),$P3571)+1)</f>
        <v/>
      </c>
      <c r="S3571" s="15" t="n"/>
      <c r="T3571" s="25" t="n"/>
      <c r="U3571" s="26">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Builder'!$B$12="",N($S3571)&lt;='Assignment Builder'!$B$12)))</f>
        <v/>
      </c>
      <c r="V3571" s="23" t="n"/>
    </row>
    <row r="3572">
      <c r="A3572" s="23" t="n"/>
      <c r="B3572" s="23" t="n"/>
      <c r="C3572" s="24" t="n"/>
      <c r="D3572" s="15" t="n"/>
      <c r="E3572" s="23" t="n"/>
      <c r="F3572" s="15" t="n"/>
      <c r="G3572" s="23" t="n"/>
      <c r="H3572" s="25" t="n"/>
      <c r="I3572" s="15" t="n"/>
      <c r="J3572" s="26">
        <f>IF($A3572="","",LEN($C3572)-LEN(SUBSTITUTE($C3572,",",""))+1)</f>
        <v/>
      </c>
      <c r="K3572" s="26">
        <f>IF($A3572="","",SUMPRODUCT(--ISNUMBER(SEARCH('Category Dictionary'!$D$5:$D$135&amp;"",$C3572)),--('Category Dictionary'!$D$5:$D$135&lt;&gt;"")))</f>
        <v/>
      </c>
      <c r="L3572" s="27">
        <f>IF($A3572="","",TRIM(IF(ISERROR(FIND(",",$C3572)),$C3572,LEFT($C3572,FIND(",",$C3572)-1))))</f>
        <v/>
      </c>
      <c r="M3572" s="28">
        <f>IF($H3572="","",DATE(YEAR($H3572),MONTH($H3572),1))</f>
        <v/>
      </c>
      <c r="N3572" s="26">
        <f>IF($H3572="","",TODAY()-$H3572)</f>
        <v/>
      </c>
      <c r="O3572" s="15" t="n"/>
      <c r="P3572" s="26">
        <f>IF($A3572="","",COUNTIFS('Audit Versions'!$A$6:$A$605,$A3572,'Audit Versions'!$L$6:$L$605,"Active"))</f>
        <v/>
      </c>
      <c r="Q3572" s="15" t="n"/>
      <c r="R3572" s="26">
        <f>IF(OR($A3572="",$P3572=0),"",MOD(N($Q3572),$P3572)+1)</f>
        <v/>
      </c>
      <c r="S3572" s="15" t="n"/>
      <c r="T3572" s="25" t="n"/>
      <c r="U3572" s="26">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Builder'!$B$12="",N($S3572)&lt;='Assignment Builder'!$B$12)))</f>
        <v/>
      </c>
      <c r="V3572" s="23" t="n"/>
    </row>
    <row r="3573">
      <c r="A3573" s="23" t="n"/>
      <c r="B3573" s="23" t="n"/>
      <c r="C3573" s="24" t="n"/>
      <c r="D3573" s="15" t="n"/>
      <c r="E3573" s="23" t="n"/>
      <c r="F3573" s="15" t="n"/>
      <c r="G3573" s="23" t="n"/>
      <c r="H3573" s="25" t="n"/>
      <c r="I3573" s="15" t="n"/>
      <c r="J3573" s="26">
        <f>IF($A3573="","",LEN($C3573)-LEN(SUBSTITUTE($C3573,",",""))+1)</f>
        <v/>
      </c>
      <c r="K3573" s="26">
        <f>IF($A3573="","",SUMPRODUCT(--ISNUMBER(SEARCH('Category Dictionary'!$D$5:$D$135&amp;"",$C3573)),--('Category Dictionary'!$D$5:$D$135&lt;&gt;"")))</f>
        <v/>
      </c>
      <c r="L3573" s="27">
        <f>IF($A3573="","",TRIM(IF(ISERROR(FIND(",",$C3573)),$C3573,LEFT($C3573,FIND(",",$C3573)-1))))</f>
        <v/>
      </c>
      <c r="M3573" s="28">
        <f>IF($H3573="","",DATE(YEAR($H3573),MONTH($H3573),1))</f>
        <v/>
      </c>
      <c r="N3573" s="26">
        <f>IF($H3573="","",TODAY()-$H3573)</f>
        <v/>
      </c>
      <c r="O3573" s="15" t="n"/>
      <c r="P3573" s="26">
        <f>IF($A3573="","",COUNTIFS('Audit Versions'!$A$6:$A$605,$A3573,'Audit Versions'!$L$6:$L$605,"Active"))</f>
        <v/>
      </c>
      <c r="Q3573" s="15" t="n"/>
      <c r="R3573" s="26">
        <f>IF(OR($A3573="",$P3573=0),"",MOD(N($Q3573),$P3573)+1)</f>
        <v/>
      </c>
      <c r="S3573" s="15" t="n"/>
      <c r="T3573" s="25" t="n"/>
      <c r="U3573" s="26">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Builder'!$B$12="",N($S3573)&lt;='Assignment Builder'!$B$12)))</f>
        <v/>
      </c>
      <c r="V3573" s="23" t="n"/>
    </row>
    <row r="3574">
      <c r="A3574" s="23" t="n"/>
      <c r="B3574" s="23" t="n"/>
      <c r="C3574" s="24" t="n"/>
      <c r="D3574" s="15" t="n"/>
      <c r="E3574" s="23" t="n"/>
      <c r="F3574" s="15" t="n"/>
      <c r="G3574" s="23" t="n"/>
      <c r="H3574" s="25" t="n"/>
      <c r="I3574" s="15" t="n"/>
      <c r="J3574" s="26">
        <f>IF($A3574="","",LEN($C3574)-LEN(SUBSTITUTE($C3574,",",""))+1)</f>
        <v/>
      </c>
      <c r="K3574" s="26">
        <f>IF($A3574="","",SUMPRODUCT(--ISNUMBER(SEARCH('Category Dictionary'!$D$5:$D$135&amp;"",$C3574)),--('Category Dictionary'!$D$5:$D$135&lt;&gt;"")))</f>
        <v/>
      </c>
      <c r="L3574" s="27">
        <f>IF($A3574="","",TRIM(IF(ISERROR(FIND(",",$C3574)),$C3574,LEFT($C3574,FIND(",",$C3574)-1))))</f>
        <v/>
      </c>
      <c r="M3574" s="28">
        <f>IF($H3574="","",DATE(YEAR($H3574),MONTH($H3574),1))</f>
        <v/>
      </c>
      <c r="N3574" s="26">
        <f>IF($H3574="","",TODAY()-$H3574)</f>
        <v/>
      </c>
      <c r="O3574" s="15" t="n"/>
      <c r="P3574" s="26">
        <f>IF($A3574="","",COUNTIFS('Audit Versions'!$A$6:$A$605,$A3574,'Audit Versions'!$L$6:$L$605,"Active"))</f>
        <v/>
      </c>
      <c r="Q3574" s="15" t="n"/>
      <c r="R3574" s="26">
        <f>IF(OR($A3574="",$P3574=0),"",MOD(N($Q3574),$P3574)+1)</f>
        <v/>
      </c>
      <c r="S3574" s="15" t="n"/>
      <c r="T3574" s="25" t="n"/>
      <c r="U3574" s="26">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Builder'!$B$12="",N($S3574)&lt;='Assignment Builder'!$B$12)))</f>
        <v/>
      </c>
      <c r="V3574" s="23" t="n"/>
    </row>
    <row r="3575">
      <c r="A3575" s="23" t="n"/>
      <c r="B3575" s="23" t="n"/>
      <c r="C3575" s="24" t="n"/>
      <c r="D3575" s="15" t="n"/>
      <c r="E3575" s="23" t="n"/>
      <c r="F3575" s="15" t="n"/>
      <c r="G3575" s="23" t="n"/>
      <c r="H3575" s="25" t="n"/>
      <c r="I3575" s="15" t="n"/>
      <c r="J3575" s="26">
        <f>IF($A3575="","",LEN($C3575)-LEN(SUBSTITUTE($C3575,",",""))+1)</f>
        <v/>
      </c>
      <c r="K3575" s="26">
        <f>IF($A3575="","",SUMPRODUCT(--ISNUMBER(SEARCH('Category Dictionary'!$D$5:$D$135&amp;"",$C3575)),--('Category Dictionary'!$D$5:$D$135&lt;&gt;"")))</f>
        <v/>
      </c>
      <c r="L3575" s="27">
        <f>IF($A3575="","",TRIM(IF(ISERROR(FIND(",",$C3575)),$C3575,LEFT($C3575,FIND(",",$C3575)-1))))</f>
        <v/>
      </c>
      <c r="M3575" s="28">
        <f>IF($H3575="","",DATE(YEAR($H3575),MONTH($H3575),1))</f>
        <v/>
      </c>
      <c r="N3575" s="26">
        <f>IF($H3575="","",TODAY()-$H3575)</f>
        <v/>
      </c>
      <c r="O3575" s="15" t="n"/>
      <c r="P3575" s="26">
        <f>IF($A3575="","",COUNTIFS('Audit Versions'!$A$6:$A$605,$A3575,'Audit Versions'!$L$6:$L$605,"Active"))</f>
        <v/>
      </c>
      <c r="Q3575" s="15" t="n"/>
      <c r="R3575" s="26">
        <f>IF(OR($A3575="",$P3575=0),"",MOD(N($Q3575),$P3575)+1)</f>
        <v/>
      </c>
      <c r="S3575" s="15" t="n"/>
      <c r="T3575" s="25" t="n"/>
      <c r="U3575" s="26">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Builder'!$B$12="",N($S3575)&lt;='Assignment Builder'!$B$12)))</f>
        <v/>
      </c>
      <c r="V3575" s="23" t="n"/>
    </row>
    <row r="3576">
      <c r="A3576" s="23" t="n"/>
      <c r="B3576" s="23" t="n"/>
      <c r="C3576" s="24" t="n"/>
      <c r="D3576" s="15" t="n"/>
      <c r="E3576" s="23" t="n"/>
      <c r="F3576" s="15" t="n"/>
      <c r="G3576" s="23" t="n"/>
      <c r="H3576" s="25" t="n"/>
      <c r="I3576" s="15" t="n"/>
      <c r="J3576" s="26">
        <f>IF($A3576="","",LEN($C3576)-LEN(SUBSTITUTE($C3576,",",""))+1)</f>
        <v/>
      </c>
      <c r="K3576" s="26">
        <f>IF($A3576="","",SUMPRODUCT(--ISNUMBER(SEARCH('Category Dictionary'!$D$5:$D$135&amp;"",$C3576)),--('Category Dictionary'!$D$5:$D$135&lt;&gt;"")))</f>
        <v/>
      </c>
      <c r="L3576" s="27">
        <f>IF($A3576="","",TRIM(IF(ISERROR(FIND(",",$C3576)),$C3576,LEFT($C3576,FIND(",",$C3576)-1))))</f>
        <v/>
      </c>
      <c r="M3576" s="28">
        <f>IF($H3576="","",DATE(YEAR($H3576),MONTH($H3576),1))</f>
        <v/>
      </c>
      <c r="N3576" s="26">
        <f>IF($H3576="","",TODAY()-$H3576)</f>
        <v/>
      </c>
      <c r="O3576" s="15" t="n"/>
      <c r="P3576" s="26">
        <f>IF($A3576="","",COUNTIFS('Audit Versions'!$A$6:$A$605,$A3576,'Audit Versions'!$L$6:$L$605,"Active"))</f>
        <v/>
      </c>
      <c r="Q3576" s="15" t="n"/>
      <c r="R3576" s="26">
        <f>IF(OR($A3576="",$P3576=0),"",MOD(N($Q3576),$P3576)+1)</f>
        <v/>
      </c>
      <c r="S3576" s="15" t="n"/>
      <c r="T3576" s="25" t="n"/>
      <c r="U3576" s="26">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Builder'!$B$12="",N($S3576)&lt;='Assignment Builder'!$B$12)))</f>
        <v/>
      </c>
      <c r="V3576" s="23" t="n"/>
    </row>
    <row r="3577">
      <c r="A3577" s="23" t="n"/>
      <c r="B3577" s="23" t="n"/>
      <c r="C3577" s="24" t="n"/>
      <c r="D3577" s="15" t="n"/>
      <c r="E3577" s="23" t="n"/>
      <c r="F3577" s="15" t="n"/>
      <c r="G3577" s="23" t="n"/>
      <c r="H3577" s="25" t="n"/>
      <c r="I3577" s="15" t="n"/>
      <c r="J3577" s="26">
        <f>IF($A3577="","",LEN($C3577)-LEN(SUBSTITUTE($C3577,",",""))+1)</f>
        <v/>
      </c>
      <c r="K3577" s="26">
        <f>IF($A3577="","",SUMPRODUCT(--ISNUMBER(SEARCH('Category Dictionary'!$D$5:$D$135&amp;"",$C3577)),--('Category Dictionary'!$D$5:$D$135&lt;&gt;"")))</f>
        <v/>
      </c>
      <c r="L3577" s="27">
        <f>IF($A3577="","",TRIM(IF(ISERROR(FIND(",",$C3577)),$C3577,LEFT($C3577,FIND(",",$C3577)-1))))</f>
        <v/>
      </c>
      <c r="M3577" s="28">
        <f>IF($H3577="","",DATE(YEAR($H3577),MONTH($H3577),1))</f>
        <v/>
      </c>
      <c r="N3577" s="26">
        <f>IF($H3577="","",TODAY()-$H3577)</f>
        <v/>
      </c>
      <c r="O3577" s="15" t="n"/>
      <c r="P3577" s="26">
        <f>IF($A3577="","",COUNTIFS('Audit Versions'!$A$6:$A$605,$A3577,'Audit Versions'!$L$6:$L$605,"Active"))</f>
        <v/>
      </c>
      <c r="Q3577" s="15" t="n"/>
      <c r="R3577" s="26">
        <f>IF(OR($A3577="",$P3577=0),"",MOD(N($Q3577),$P3577)+1)</f>
        <v/>
      </c>
      <c r="S3577" s="15" t="n"/>
      <c r="T3577" s="25" t="n"/>
      <c r="U3577" s="26">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Builder'!$B$12="",N($S3577)&lt;='Assignment Builder'!$B$12)))</f>
        <v/>
      </c>
      <c r="V3577" s="23" t="n"/>
    </row>
    <row r="3578">
      <c r="A3578" s="23" t="n"/>
      <c r="B3578" s="23" t="n"/>
      <c r="C3578" s="24" t="n"/>
      <c r="D3578" s="15" t="n"/>
      <c r="E3578" s="23" t="n"/>
      <c r="F3578" s="15" t="n"/>
      <c r="G3578" s="23" t="n"/>
      <c r="H3578" s="25" t="n"/>
      <c r="I3578" s="15" t="n"/>
      <c r="J3578" s="26">
        <f>IF($A3578="","",LEN($C3578)-LEN(SUBSTITUTE($C3578,",",""))+1)</f>
        <v/>
      </c>
      <c r="K3578" s="26">
        <f>IF($A3578="","",SUMPRODUCT(--ISNUMBER(SEARCH('Category Dictionary'!$D$5:$D$135&amp;"",$C3578)),--('Category Dictionary'!$D$5:$D$135&lt;&gt;"")))</f>
        <v/>
      </c>
      <c r="L3578" s="27">
        <f>IF($A3578="","",TRIM(IF(ISERROR(FIND(",",$C3578)),$C3578,LEFT($C3578,FIND(",",$C3578)-1))))</f>
        <v/>
      </c>
      <c r="M3578" s="28">
        <f>IF($H3578="","",DATE(YEAR($H3578),MONTH($H3578),1))</f>
        <v/>
      </c>
      <c r="N3578" s="26">
        <f>IF($H3578="","",TODAY()-$H3578)</f>
        <v/>
      </c>
      <c r="O3578" s="15" t="n"/>
      <c r="P3578" s="26">
        <f>IF($A3578="","",COUNTIFS('Audit Versions'!$A$6:$A$605,$A3578,'Audit Versions'!$L$6:$L$605,"Active"))</f>
        <v/>
      </c>
      <c r="Q3578" s="15" t="n"/>
      <c r="R3578" s="26">
        <f>IF(OR($A3578="",$P3578=0),"",MOD(N($Q3578),$P3578)+1)</f>
        <v/>
      </c>
      <c r="S3578" s="15" t="n"/>
      <c r="T3578" s="25" t="n"/>
      <c r="U3578" s="26">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Builder'!$B$12="",N($S3578)&lt;='Assignment Builder'!$B$12)))</f>
        <v/>
      </c>
      <c r="V3578" s="23" t="n"/>
    </row>
    <row r="3579">
      <c r="A3579" s="23" t="n"/>
      <c r="B3579" s="23" t="n"/>
      <c r="C3579" s="24" t="n"/>
      <c r="D3579" s="15" t="n"/>
      <c r="E3579" s="23" t="n"/>
      <c r="F3579" s="15" t="n"/>
      <c r="G3579" s="23" t="n"/>
      <c r="H3579" s="25" t="n"/>
      <c r="I3579" s="15" t="n"/>
      <c r="J3579" s="26">
        <f>IF($A3579="","",LEN($C3579)-LEN(SUBSTITUTE($C3579,",",""))+1)</f>
        <v/>
      </c>
      <c r="K3579" s="26">
        <f>IF($A3579="","",SUMPRODUCT(--ISNUMBER(SEARCH('Category Dictionary'!$D$5:$D$135&amp;"",$C3579)),--('Category Dictionary'!$D$5:$D$135&lt;&gt;"")))</f>
        <v/>
      </c>
      <c r="L3579" s="27">
        <f>IF($A3579="","",TRIM(IF(ISERROR(FIND(",",$C3579)),$C3579,LEFT($C3579,FIND(",",$C3579)-1))))</f>
        <v/>
      </c>
      <c r="M3579" s="28">
        <f>IF($H3579="","",DATE(YEAR($H3579),MONTH($H3579),1))</f>
        <v/>
      </c>
      <c r="N3579" s="26">
        <f>IF($H3579="","",TODAY()-$H3579)</f>
        <v/>
      </c>
      <c r="O3579" s="15" t="n"/>
      <c r="P3579" s="26">
        <f>IF($A3579="","",COUNTIFS('Audit Versions'!$A$6:$A$605,$A3579,'Audit Versions'!$L$6:$L$605,"Active"))</f>
        <v/>
      </c>
      <c r="Q3579" s="15" t="n"/>
      <c r="R3579" s="26">
        <f>IF(OR($A3579="",$P3579=0),"",MOD(N($Q3579),$P3579)+1)</f>
        <v/>
      </c>
      <c r="S3579" s="15" t="n"/>
      <c r="T3579" s="25" t="n"/>
      <c r="U3579" s="26">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Builder'!$B$12="",N($S3579)&lt;='Assignment Builder'!$B$12)))</f>
        <v/>
      </c>
      <c r="V3579" s="23" t="n"/>
    </row>
    <row r="3580">
      <c r="A3580" s="23" t="n"/>
      <c r="B3580" s="23" t="n"/>
      <c r="C3580" s="24" t="n"/>
      <c r="D3580" s="15" t="n"/>
      <c r="E3580" s="23" t="n"/>
      <c r="F3580" s="15" t="n"/>
      <c r="G3580" s="23" t="n"/>
      <c r="H3580" s="25" t="n"/>
      <c r="I3580" s="15" t="n"/>
      <c r="J3580" s="26">
        <f>IF($A3580="","",LEN($C3580)-LEN(SUBSTITUTE($C3580,",",""))+1)</f>
        <v/>
      </c>
      <c r="K3580" s="26">
        <f>IF($A3580="","",SUMPRODUCT(--ISNUMBER(SEARCH('Category Dictionary'!$D$5:$D$135&amp;"",$C3580)),--('Category Dictionary'!$D$5:$D$135&lt;&gt;"")))</f>
        <v/>
      </c>
      <c r="L3580" s="27">
        <f>IF($A3580="","",TRIM(IF(ISERROR(FIND(",",$C3580)),$C3580,LEFT($C3580,FIND(",",$C3580)-1))))</f>
        <v/>
      </c>
      <c r="M3580" s="28">
        <f>IF($H3580="","",DATE(YEAR($H3580),MONTH($H3580),1))</f>
        <v/>
      </c>
      <c r="N3580" s="26">
        <f>IF($H3580="","",TODAY()-$H3580)</f>
        <v/>
      </c>
      <c r="O3580" s="15" t="n"/>
      <c r="P3580" s="26">
        <f>IF($A3580="","",COUNTIFS('Audit Versions'!$A$6:$A$605,$A3580,'Audit Versions'!$L$6:$L$605,"Active"))</f>
        <v/>
      </c>
      <c r="Q3580" s="15" t="n"/>
      <c r="R3580" s="26">
        <f>IF(OR($A3580="",$P3580=0),"",MOD(N($Q3580),$P3580)+1)</f>
        <v/>
      </c>
      <c r="S3580" s="15" t="n"/>
      <c r="T3580" s="25" t="n"/>
      <c r="U3580" s="26">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Builder'!$B$12="",N($S3580)&lt;='Assignment Builder'!$B$12)))</f>
        <v/>
      </c>
      <c r="V3580" s="23" t="n"/>
    </row>
    <row r="3581">
      <c r="A3581" s="23" t="n"/>
      <c r="B3581" s="23" t="n"/>
      <c r="C3581" s="24" t="n"/>
      <c r="D3581" s="15" t="n"/>
      <c r="E3581" s="23" t="n"/>
      <c r="F3581" s="15" t="n"/>
      <c r="G3581" s="23" t="n"/>
      <c r="H3581" s="25" t="n"/>
      <c r="I3581" s="15" t="n"/>
      <c r="J3581" s="26">
        <f>IF($A3581="","",LEN($C3581)-LEN(SUBSTITUTE($C3581,",",""))+1)</f>
        <v/>
      </c>
      <c r="K3581" s="26">
        <f>IF($A3581="","",SUMPRODUCT(--ISNUMBER(SEARCH('Category Dictionary'!$D$5:$D$135&amp;"",$C3581)),--('Category Dictionary'!$D$5:$D$135&lt;&gt;"")))</f>
        <v/>
      </c>
      <c r="L3581" s="27">
        <f>IF($A3581="","",TRIM(IF(ISERROR(FIND(",",$C3581)),$C3581,LEFT($C3581,FIND(",",$C3581)-1))))</f>
        <v/>
      </c>
      <c r="M3581" s="28">
        <f>IF($H3581="","",DATE(YEAR($H3581),MONTH($H3581),1))</f>
        <v/>
      </c>
      <c r="N3581" s="26">
        <f>IF($H3581="","",TODAY()-$H3581)</f>
        <v/>
      </c>
      <c r="O3581" s="15" t="n"/>
      <c r="P3581" s="26">
        <f>IF($A3581="","",COUNTIFS('Audit Versions'!$A$6:$A$605,$A3581,'Audit Versions'!$L$6:$L$605,"Active"))</f>
        <v/>
      </c>
      <c r="Q3581" s="15" t="n"/>
      <c r="R3581" s="26">
        <f>IF(OR($A3581="",$P3581=0),"",MOD(N($Q3581),$P3581)+1)</f>
        <v/>
      </c>
      <c r="S3581" s="15" t="n"/>
      <c r="T3581" s="25" t="n"/>
      <c r="U3581" s="26">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Builder'!$B$12="",N($S3581)&lt;='Assignment Builder'!$B$12)))</f>
        <v/>
      </c>
      <c r="V3581" s="23" t="n"/>
    </row>
    <row r="3582">
      <c r="A3582" s="23" t="n"/>
      <c r="B3582" s="23" t="n"/>
      <c r="C3582" s="24" t="n"/>
      <c r="D3582" s="15" t="n"/>
      <c r="E3582" s="23" t="n"/>
      <c r="F3582" s="15" t="n"/>
      <c r="G3582" s="23" t="n"/>
      <c r="H3582" s="25" t="n"/>
      <c r="I3582" s="15" t="n"/>
      <c r="J3582" s="26">
        <f>IF($A3582="","",LEN($C3582)-LEN(SUBSTITUTE($C3582,",",""))+1)</f>
        <v/>
      </c>
      <c r="K3582" s="26">
        <f>IF($A3582="","",SUMPRODUCT(--ISNUMBER(SEARCH('Category Dictionary'!$D$5:$D$135&amp;"",$C3582)),--('Category Dictionary'!$D$5:$D$135&lt;&gt;"")))</f>
        <v/>
      </c>
      <c r="L3582" s="27">
        <f>IF($A3582="","",TRIM(IF(ISERROR(FIND(",",$C3582)),$C3582,LEFT($C3582,FIND(",",$C3582)-1))))</f>
        <v/>
      </c>
      <c r="M3582" s="28">
        <f>IF($H3582="","",DATE(YEAR($H3582),MONTH($H3582),1))</f>
        <v/>
      </c>
      <c r="N3582" s="26">
        <f>IF($H3582="","",TODAY()-$H3582)</f>
        <v/>
      </c>
      <c r="O3582" s="15" t="n"/>
      <c r="P3582" s="26">
        <f>IF($A3582="","",COUNTIFS('Audit Versions'!$A$6:$A$605,$A3582,'Audit Versions'!$L$6:$L$605,"Active"))</f>
        <v/>
      </c>
      <c r="Q3582" s="15" t="n"/>
      <c r="R3582" s="26">
        <f>IF(OR($A3582="",$P3582=0),"",MOD(N($Q3582),$P3582)+1)</f>
        <v/>
      </c>
      <c r="S3582" s="15" t="n"/>
      <c r="T3582" s="25" t="n"/>
      <c r="U3582" s="26">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Builder'!$B$12="",N($S3582)&lt;='Assignment Builder'!$B$12)))</f>
        <v/>
      </c>
      <c r="V3582" s="23" t="n"/>
    </row>
    <row r="3583">
      <c r="A3583" s="23" t="n"/>
      <c r="B3583" s="23" t="n"/>
      <c r="C3583" s="24" t="n"/>
      <c r="D3583" s="15" t="n"/>
      <c r="E3583" s="23" t="n"/>
      <c r="F3583" s="15" t="n"/>
      <c r="G3583" s="23" t="n"/>
      <c r="H3583" s="25" t="n"/>
      <c r="I3583" s="15" t="n"/>
      <c r="J3583" s="26">
        <f>IF($A3583="","",LEN($C3583)-LEN(SUBSTITUTE($C3583,",",""))+1)</f>
        <v/>
      </c>
      <c r="K3583" s="26">
        <f>IF($A3583="","",SUMPRODUCT(--ISNUMBER(SEARCH('Category Dictionary'!$D$5:$D$135&amp;"",$C3583)),--('Category Dictionary'!$D$5:$D$135&lt;&gt;"")))</f>
        <v/>
      </c>
      <c r="L3583" s="27">
        <f>IF($A3583="","",TRIM(IF(ISERROR(FIND(",",$C3583)),$C3583,LEFT($C3583,FIND(",",$C3583)-1))))</f>
        <v/>
      </c>
      <c r="M3583" s="28">
        <f>IF($H3583="","",DATE(YEAR($H3583),MONTH($H3583),1))</f>
        <v/>
      </c>
      <c r="N3583" s="26">
        <f>IF($H3583="","",TODAY()-$H3583)</f>
        <v/>
      </c>
      <c r="O3583" s="15" t="n"/>
      <c r="P3583" s="26">
        <f>IF($A3583="","",COUNTIFS('Audit Versions'!$A$6:$A$605,$A3583,'Audit Versions'!$L$6:$L$605,"Active"))</f>
        <v/>
      </c>
      <c r="Q3583" s="15" t="n"/>
      <c r="R3583" s="26">
        <f>IF(OR($A3583="",$P3583=0),"",MOD(N($Q3583),$P3583)+1)</f>
        <v/>
      </c>
      <c r="S3583" s="15" t="n"/>
      <c r="T3583" s="25" t="n"/>
      <c r="U3583" s="26">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Builder'!$B$12="",N($S3583)&lt;='Assignment Builder'!$B$12)))</f>
        <v/>
      </c>
      <c r="V3583" s="23" t="n"/>
    </row>
    <row r="3584">
      <c r="A3584" s="23" t="n"/>
      <c r="B3584" s="23" t="n"/>
      <c r="C3584" s="24" t="n"/>
      <c r="D3584" s="15" t="n"/>
      <c r="E3584" s="23" t="n"/>
      <c r="F3584" s="15" t="n"/>
      <c r="G3584" s="23" t="n"/>
      <c r="H3584" s="25" t="n"/>
      <c r="I3584" s="15" t="n"/>
      <c r="J3584" s="26">
        <f>IF($A3584="","",LEN($C3584)-LEN(SUBSTITUTE($C3584,",",""))+1)</f>
        <v/>
      </c>
      <c r="K3584" s="26">
        <f>IF($A3584="","",SUMPRODUCT(--ISNUMBER(SEARCH('Category Dictionary'!$D$5:$D$135&amp;"",$C3584)),--('Category Dictionary'!$D$5:$D$135&lt;&gt;"")))</f>
        <v/>
      </c>
      <c r="L3584" s="27">
        <f>IF($A3584="","",TRIM(IF(ISERROR(FIND(",",$C3584)),$C3584,LEFT($C3584,FIND(",",$C3584)-1))))</f>
        <v/>
      </c>
      <c r="M3584" s="28">
        <f>IF($H3584="","",DATE(YEAR($H3584),MONTH($H3584),1))</f>
        <v/>
      </c>
      <c r="N3584" s="26">
        <f>IF($H3584="","",TODAY()-$H3584)</f>
        <v/>
      </c>
      <c r="O3584" s="15" t="n"/>
      <c r="P3584" s="26">
        <f>IF($A3584="","",COUNTIFS('Audit Versions'!$A$6:$A$605,$A3584,'Audit Versions'!$L$6:$L$605,"Active"))</f>
        <v/>
      </c>
      <c r="Q3584" s="15" t="n"/>
      <c r="R3584" s="26">
        <f>IF(OR($A3584="",$P3584=0),"",MOD(N($Q3584),$P3584)+1)</f>
        <v/>
      </c>
      <c r="S3584" s="15" t="n"/>
      <c r="T3584" s="25" t="n"/>
      <c r="U3584" s="26">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Builder'!$B$12="",N($S3584)&lt;='Assignment Builder'!$B$12)))</f>
        <v/>
      </c>
      <c r="V3584" s="23" t="n"/>
    </row>
    <row r="3585">
      <c r="A3585" s="23" t="n"/>
      <c r="B3585" s="23" t="n"/>
      <c r="C3585" s="24" t="n"/>
      <c r="D3585" s="15" t="n"/>
      <c r="E3585" s="23" t="n"/>
      <c r="F3585" s="15" t="n"/>
      <c r="G3585" s="23" t="n"/>
      <c r="H3585" s="25" t="n"/>
      <c r="I3585" s="15" t="n"/>
      <c r="J3585" s="26">
        <f>IF($A3585="","",LEN($C3585)-LEN(SUBSTITUTE($C3585,",",""))+1)</f>
        <v/>
      </c>
      <c r="K3585" s="26">
        <f>IF($A3585="","",SUMPRODUCT(--ISNUMBER(SEARCH('Category Dictionary'!$D$5:$D$135&amp;"",$C3585)),--('Category Dictionary'!$D$5:$D$135&lt;&gt;"")))</f>
        <v/>
      </c>
      <c r="L3585" s="27">
        <f>IF($A3585="","",TRIM(IF(ISERROR(FIND(",",$C3585)),$C3585,LEFT($C3585,FIND(",",$C3585)-1))))</f>
        <v/>
      </c>
      <c r="M3585" s="28">
        <f>IF($H3585="","",DATE(YEAR($H3585),MONTH($H3585),1))</f>
        <v/>
      </c>
      <c r="N3585" s="26">
        <f>IF($H3585="","",TODAY()-$H3585)</f>
        <v/>
      </c>
      <c r="O3585" s="15" t="n"/>
      <c r="P3585" s="26">
        <f>IF($A3585="","",COUNTIFS('Audit Versions'!$A$6:$A$605,$A3585,'Audit Versions'!$L$6:$L$605,"Active"))</f>
        <v/>
      </c>
      <c r="Q3585" s="15" t="n"/>
      <c r="R3585" s="26">
        <f>IF(OR($A3585="",$P3585=0),"",MOD(N($Q3585),$P3585)+1)</f>
        <v/>
      </c>
      <c r="S3585" s="15" t="n"/>
      <c r="T3585" s="25" t="n"/>
      <c r="U3585" s="26">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Builder'!$B$12="",N($S3585)&lt;='Assignment Builder'!$B$12)))</f>
        <v/>
      </c>
      <c r="V3585" s="23" t="n"/>
    </row>
    <row r="3586">
      <c r="A3586" s="23" t="n"/>
      <c r="B3586" s="23" t="n"/>
      <c r="C3586" s="24" t="n"/>
      <c r="D3586" s="15" t="n"/>
      <c r="E3586" s="23" t="n"/>
      <c r="F3586" s="15" t="n"/>
      <c r="G3586" s="23" t="n"/>
      <c r="H3586" s="25" t="n"/>
      <c r="I3586" s="15" t="n"/>
      <c r="J3586" s="26">
        <f>IF($A3586="","",LEN($C3586)-LEN(SUBSTITUTE($C3586,",",""))+1)</f>
        <v/>
      </c>
      <c r="K3586" s="26">
        <f>IF($A3586="","",SUMPRODUCT(--ISNUMBER(SEARCH('Category Dictionary'!$D$5:$D$135&amp;"",$C3586)),--('Category Dictionary'!$D$5:$D$135&lt;&gt;"")))</f>
        <v/>
      </c>
      <c r="L3586" s="27">
        <f>IF($A3586="","",TRIM(IF(ISERROR(FIND(",",$C3586)),$C3586,LEFT($C3586,FIND(",",$C3586)-1))))</f>
        <v/>
      </c>
      <c r="M3586" s="28">
        <f>IF($H3586="","",DATE(YEAR($H3586),MONTH($H3586),1))</f>
        <v/>
      </c>
      <c r="N3586" s="26">
        <f>IF($H3586="","",TODAY()-$H3586)</f>
        <v/>
      </c>
      <c r="O3586" s="15" t="n"/>
      <c r="P3586" s="26">
        <f>IF($A3586="","",COUNTIFS('Audit Versions'!$A$6:$A$605,$A3586,'Audit Versions'!$L$6:$L$605,"Active"))</f>
        <v/>
      </c>
      <c r="Q3586" s="15" t="n"/>
      <c r="R3586" s="26">
        <f>IF(OR($A3586="",$P3586=0),"",MOD(N($Q3586),$P3586)+1)</f>
        <v/>
      </c>
      <c r="S3586" s="15" t="n"/>
      <c r="T3586" s="25" t="n"/>
      <c r="U3586" s="26">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Builder'!$B$12="",N($S3586)&lt;='Assignment Builder'!$B$12)))</f>
        <v/>
      </c>
      <c r="V3586" s="23" t="n"/>
    </row>
    <row r="3587">
      <c r="A3587" s="23" t="n"/>
      <c r="B3587" s="23" t="n"/>
      <c r="C3587" s="24" t="n"/>
      <c r="D3587" s="15" t="n"/>
      <c r="E3587" s="23" t="n"/>
      <c r="F3587" s="15" t="n"/>
      <c r="G3587" s="23" t="n"/>
      <c r="H3587" s="25" t="n"/>
      <c r="I3587" s="15" t="n"/>
      <c r="J3587" s="26">
        <f>IF($A3587="","",LEN($C3587)-LEN(SUBSTITUTE($C3587,",",""))+1)</f>
        <v/>
      </c>
      <c r="K3587" s="26">
        <f>IF($A3587="","",SUMPRODUCT(--ISNUMBER(SEARCH('Category Dictionary'!$D$5:$D$135&amp;"",$C3587)),--('Category Dictionary'!$D$5:$D$135&lt;&gt;"")))</f>
        <v/>
      </c>
      <c r="L3587" s="27">
        <f>IF($A3587="","",TRIM(IF(ISERROR(FIND(",",$C3587)),$C3587,LEFT($C3587,FIND(",",$C3587)-1))))</f>
        <v/>
      </c>
      <c r="M3587" s="28">
        <f>IF($H3587="","",DATE(YEAR($H3587),MONTH($H3587),1))</f>
        <v/>
      </c>
      <c r="N3587" s="26">
        <f>IF($H3587="","",TODAY()-$H3587)</f>
        <v/>
      </c>
      <c r="O3587" s="15" t="n"/>
      <c r="P3587" s="26">
        <f>IF($A3587="","",COUNTIFS('Audit Versions'!$A$6:$A$605,$A3587,'Audit Versions'!$L$6:$L$605,"Active"))</f>
        <v/>
      </c>
      <c r="Q3587" s="15" t="n"/>
      <c r="R3587" s="26">
        <f>IF(OR($A3587="",$P3587=0),"",MOD(N($Q3587),$P3587)+1)</f>
        <v/>
      </c>
      <c r="S3587" s="15" t="n"/>
      <c r="T3587" s="25" t="n"/>
      <c r="U3587" s="26">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Builder'!$B$12="",N($S3587)&lt;='Assignment Builder'!$B$12)))</f>
        <v/>
      </c>
      <c r="V3587" s="23" t="n"/>
    </row>
    <row r="3588">
      <c r="A3588" s="23" t="n"/>
      <c r="B3588" s="23" t="n"/>
      <c r="C3588" s="24" t="n"/>
      <c r="D3588" s="15" t="n"/>
      <c r="E3588" s="23" t="n"/>
      <c r="F3588" s="15" t="n"/>
      <c r="G3588" s="23" t="n"/>
      <c r="H3588" s="25" t="n"/>
      <c r="I3588" s="15" t="n"/>
      <c r="J3588" s="26">
        <f>IF($A3588="","",LEN($C3588)-LEN(SUBSTITUTE($C3588,",",""))+1)</f>
        <v/>
      </c>
      <c r="K3588" s="26">
        <f>IF($A3588="","",SUMPRODUCT(--ISNUMBER(SEARCH('Category Dictionary'!$D$5:$D$135&amp;"",$C3588)),--('Category Dictionary'!$D$5:$D$135&lt;&gt;"")))</f>
        <v/>
      </c>
      <c r="L3588" s="27">
        <f>IF($A3588="","",TRIM(IF(ISERROR(FIND(",",$C3588)),$C3588,LEFT($C3588,FIND(",",$C3588)-1))))</f>
        <v/>
      </c>
      <c r="M3588" s="28">
        <f>IF($H3588="","",DATE(YEAR($H3588),MONTH($H3588),1))</f>
        <v/>
      </c>
      <c r="N3588" s="26">
        <f>IF($H3588="","",TODAY()-$H3588)</f>
        <v/>
      </c>
      <c r="O3588" s="15" t="n"/>
      <c r="P3588" s="26">
        <f>IF($A3588="","",COUNTIFS('Audit Versions'!$A$6:$A$605,$A3588,'Audit Versions'!$L$6:$L$605,"Active"))</f>
        <v/>
      </c>
      <c r="Q3588" s="15" t="n"/>
      <c r="R3588" s="26">
        <f>IF(OR($A3588="",$P3588=0),"",MOD(N($Q3588),$P3588)+1)</f>
        <v/>
      </c>
      <c r="S3588" s="15" t="n"/>
      <c r="T3588" s="25" t="n"/>
      <c r="U3588" s="26">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Builder'!$B$12="",N($S3588)&lt;='Assignment Builder'!$B$12)))</f>
        <v/>
      </c>
      <c r="V3588" s="23" t="n"/>
    </row>
    <row r="3589">
      <c r="A3589" s="23" t="n"/>
      <c r="B3589" s="23" t="n"/>
      <c r="C3589" s="24" t="n"/>
      <c r="D3589" s="15" t="n"/>
      <c r="E3589" s="23" t="n"/>
      <c r="F3589" s="15" t="n"/>
      <c r="G3589" s="23" t="n"/>
      <c r="H3589" s="25" t="n"/>
      <c r="I3589" s="15" t="n"/>
      <c r="J3589" s="26">
        <f>IF($A3589="","",LEN($C3589)-LEN(SUBSTITUTE($C3589,",",""))+1)</f>
        <v/>
      </c>
      <c r="K3589" s="26">
        <f>IF($A3589="","",SUMPRODUCT(--ISNUMBER(SEARCH('Category Dictionary'!$D$5:$D$135&amp;"",$C3589)),--('Category Dictionary'!$D$5:$D$135&lt;&gt;"")))</f>
        <v/>
      </c>
      <c r="L3589" s="27">
        <f>IF($A3589="","",TRIM(IF(ISERROR(FIND(",",$C3589)),$C3589,LEFT($C3589,FIND(",",$C3589)-1))))</f>
        <v/>
      </c>
      <c r="M3589" s="28">
        <f>IF($H3589="","",DATE(YEAR($H3589),MONTH($H3589),1))</f>
        <v/>
      </c>
      <c r="N3589" s="26">
        <f>IF($H3589="","",TODAY()-$H3589)</f>
        <v/>
      </c>
      <c r="O3589" s="15" t="n"/>
      <c r="P3589" s="26">
        <f>IF($A3589="","",COUNTIFS('Audit Versions'!$A$6:$A$605,$A3589,'Audit Versions'!$L$6:$L$605,"Active"))</f>
        <v/>
      </c>
      <c r="Q3589" s="15" t="n"/>
      <c r="R3589" s="26">
        <f>IF(OR($A3589="",$P3589=0),"",MOD(N($Q3589),$P3589)+1)</f>
        <v/>
      </c>
      <c r="S3589" s="15" t="n"/>
      <c r="T3589" s="25" t="n"/>
      <c r="U3589" s="26">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Builder'!$B$12="",N($S3589)&lt;='Assignment Builder'!$B$12)))</f>
        <v/>
      </c>
      <c r="V3589" s="23" t="n"/>
    </row>
    <row r="3590">
      <c r="A3590" s="23" t="n"/>
      <c r="B3590" s="23" t="n"/>
      <c r="C3590" s="24" t="n"/>
      <c r="D3590" s="15" t="n"/>
      <c r="E3590" s="23" t="n"/>
      <c r="F3590" s="15" t="n"/>
      <c r="G3590" s="23" t="n"/>
      <c r="H3590" s="25" t="n"/>
      <c r="I3590" s="15" t="n"/>
      <c r="J3590" s="26">
        <f>IF($A3590="","",LEN($C3590)-LEN(SUBSTITUTE($C3590,",",""))+1)</f>
        <v/>
      </c>
      <c r="K3590" s="26">
        <f>IF($A3590="","",SUMPRODUCT(--ISNUMBER(SEARCH('Category Dictionary'!$D$5:$D$135&amp;"",$C3590)),--('Category Dictionary'!$D$5:$D$135&lt;&gt;"")))</f>
        <v/>
      </c>
      <c r="L3590" s="27">
        <f>IF($A3590="","",TRIM(IF(ISERROR(FIND(",",$C3590)),$C3590,LEFT($C3590,FIND(",",$C3590)-1))))</f>
        <v/>
      </c>
      <c r="M3590" s="28">
        <f>IF($H3590="","",DATE(YEAR($H3590),MONTH($H3590),1))</f>
        <v/>
      </c>
      <c r="N3590" s="26">
        <f>IF($H3590="","",TODAY()-$H3590)</f>
        <v/>
      </c>
      <c r="O3590" s="15" t="n"/>
      <c r="P3590" s="26">
        <f>IF($A3590="","",COUNTIFS('Audit Versions'!$A$6:$A$605,$A3590,'Audit Versions'!$L$6:$L$605,"Active"))</f>
        <v/>
      </c>
      <c r="Q3590" s="15" t="n"/>
      <c r="R3590" s="26">
        <f>IF(OR($A3590="",$P3590=0),"",MOD(N($Q3590),$P3590)+1)</f>
        <v/>
      </c>
      <c r="S3590" s="15" t="n"/>
      <c r="T3590" s="25" t="n"/>
      <c r="U3590" s="26">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Builder'!$B$12="",N($S3590)&lt;='Assignment Builder'!$B$12)))</f>
        <v/>
      </c>
      <c r="V3590" s="23" t="n"/>
    </row>
    <row r="3591">
      <c r="A3591" s="23" t="n"/>
      <c r="B3591" s="23" t="n"/>
      <c r="C3591" s="24" t="n"/>
      <c r="D3591" s="15" t="n"/>
      <c r="E3591" s="23" t="n"/>
      <c r="F3591" s="15" t="n"/>
      <c r="G3591" s="23" t="n"/>
      <c r="H3591" s="25" t="n"/>
      <c r="I3591" s="15" t="n"/>
      <c r="J3591" s="26">
        <f>IF($A3591="","",LEN($C3591)-LEN(SUBSTITUTE($C3591,",",""))+1)</f>
        <v/>
      </c>
      <c r="K3591" s="26">
        <f>IF($A3591="","",SUMPRODUCT(--ISNUMBER(SEARCH('Category Dictionary'!$D$5:$D$135&amp;"",$C3591)),--('Category Dictionary'!$D$5:$D$135&lt;&gt;"")))</f>
        <v/>
      </c>
      <c r="L3591" s="27">
        <f>IF($A3591="","",TRIM(IF(ISERROR(FIND(",",$C3591)),$C3591,LEFT($C3591,FIND(",",$C3591)-1))))</f>
        <v/>
      </c>
      <c r="M3591" s="28">
        <f>IF($H3591="","",DATE(YEAR($H3591),MONTH($H3591),1))</f>
        <v/>
      </c>
      <c r="N3591" s="26">
        <f>IF($H3591="","",TODAY()-$H3591)</f>
        <v/>
      </c>
      <c r="O3591" s="15" t="n"/>
      <c r="P3591" s="26">
        <f>IF($A3591="","",COUNTIFS('Audit Versions'!$A$6:$A$605,$A3591,'Audit Versions'!$L$6:$L$605,"Active"))</f>
        <v/>
      </c>
      <c r="Q3591" s="15" t="n"/>
      <c r="R3591" s="26">
        <f>IF(OR($A3591="",$P3591=0),"",MOD(N($Q3591),$P3591)+1)</f>
        <v/>
      </c>
      <c r="S3591" s="15" t="n"/>
      <c r="T3591" s="25" t="n"/>
      <c r="U3591" s="26">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Builder'!$B$12="",N($S3591)&lt;='Assignment Builder'!$B$12)))</f>
        <v/>
      </c>
      <c r="V3591" s="23" t="n"/>
    </row>
    <row r="3592">
      <c r="A3592" s="23" t="n"/>
      <c r="B3592" s="23" t="n"/>
      <c r="C3592" s="24" t="n"/>
      <c r="D3592" s="15" t="n"/>
      <c r="E3592" s="23" t="n"/>
      <c r="F3592" s="15" t="n"/>
      <c r="G3592" s="23" t="n"/>
      <c r="H3592" s="25" t="n"/>
      <c r="I3592" s="15" t="n"/>
      <c r="J3592" s="26">
        <f>IF($A3592="","",LEN($C3592)-LEN(SUBSTITUTE($C3592,",",""))+1)</f>
        <v/>
      </c>
      <c r="K3592" s="26">
        <f>IF($A3592="","",SUMPRODUCT(--ISNUMBER(SEARCH('Category Dictionary'!$D$5:$D$135&amp;"",$C3592)),--('Category Dictionary'!$D$5:$D$135&lt;&gt;"")))</f>
        <v/>
      </c>
      <c r="L3592" s="27">
        <f>IF($A3592="","",TRIM(IF(ISERROR(FIND(",",$C3592)),$C3592,LEFT($C3592,FIND(",",$C3592)-1))))</f>
        <v/>
      </c>
      <c r="M3592" s="28">
        <f>IF($H3592="","",DATE(YEAR($H3592),MONTH($H3592),1))</f>
        <v/>
      </c>
      <c r="N3592" s="26">
        <f>IF($H3592="","",TODAY()-$H3592)</f>
        <v/>
      </c>
      <c r="O3592" s="15" t="n"/>
      <c r="P3592" s="26">
        <f>IF($A3592="","",COUNTIFS('Audit Versions'!$A$6:$A$605,$A3592,'Audit Versions'!$L$6:$L$605,"Active"))</f>
        <v/>
      </c>
      <c r="Q3592" s="15" t="n"/>
      <c r="R3592" s="26">
        <f>IF(OR($A3592="",$P3592=0),"",MOD(N($Q3592),$P3592)+1)</f>
        <v/>
      </c>
      <c r="S3592" s="15" t="n"/>
      <c r="T3592" s="25" t="n"/>
      <c r="U3592" s="26">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Builder'!$B$12="",N($S3592)&lt;='Assignment Builder'!$B$12)))</f>
        <v/>
      </c>
      <c r="V3592" s="23" t="n"/>
    </row>
    <row r="3593">
      <c r="A3593" s="23" t="n"/>
      <c r="B3593" s="23" t="n"/>
      <c r="C3593" s="24" t="n"/>
      <c r="D3593" s="15" t="n"/>
      <c r="E3593" s="23" t="n"/>
      <c r="F3593" s="15" t="n"/>
      <c r="G3593" s="23" t="n"/>
      <c r="H3593" s="25" t="n"/>
      <c r="I3593" s="15" t="n"/>
      <c r="J3593" s="26">
        <f>IF($A3593="","",LEN($C3593)-LEN(SUBSTITUTE($C3593,",",""))+1)</f>
        <v/>
      </c>
      <c r="K3593" s="26">
        <f>IF($A3593="","",SUMPRODUCT(--ISNUMBER(SEARCH('Category Dictionary'!$D$5:$D$135&amp;"",$C3593)),--('Category Dictionary'!$D$5:$D$135&lt;&gt;"")))</f>
        <v/>
      </c>
      <c r="L3593" s="27">
        <f>IF($A3593="","",TRIM(IF(ISERROR(FIND(",",$C3593)),$C3593,LEFT($C3593,FIND(",",$C3593)-1))))</f>
        <v/>
      </c>
      <c r="M3593" s="28">
        <f>IF($H3593="","",DATE(YEAR($H3593),MONTH($H3593),1))</f>
        <v/>
      </c>
      <c r="N3593" s="26">
        <f>IF($H3593="","",TODAY()-$H3593)</f>
        <v/>
      </c>
      <c r="O3593" s="15" t="n"/>
      <c r="P3593" s="26">
        <f>IF($A3593="","",COUNTIFS('Audit Versions'!$A$6:$A$605,$A3593,'Audit Versions'!$L$6:$L$605,"Active"))</f>
        <v/>
      </c>
      <c r="Q3593" s="15" t="n"/>
      <c r="R3593" s="26">
        <f>IF(OR($A3593="",$P3593=0),"",MOD(N($Q3593),$P3593)+1)</f>
        <v/>
      </c>
      <c r="S3593" s="15" t="n"/>
      <c r="T3593" s="25" t="n"/>
      <c r="U3593" s="26">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Builder'!$B$12="",N($S3593)&lt;='Assignment Builder'!$B$12)))</f>
        <v/>
      </c>
      <c r="V3593" s="23" t="n"/>
    </row>
    <row r="3594">
      <c r="A3594" s="23" t="n"/>
      <c r="B3594" s="23" t="n"/>
      <c r="C3594" s="24" t="n"/>
      <c r="D3594" s="15" t="n"/>
      <c r="E3594" s="23" t="n"/>
      <c r="F3594" s="15" t="n"/>
      <c r="G3594" s="23" t="n"/>
      <c r="H3594" s="25" t="n"/>
      <c r="I3594" s="15" t="n"/>
      <c r="J3594" s="26">
        <f>IF($A3594="","",LEN($C3594)-LEN(SUBSTITUTE($C3594,",",""))+1)</f>
        <v/>
      </c>
      <c r="K3594" s="26">
        <f>IF($A3594="","",SUMPRODUCT(--ISNUMBER(SEARCH('Category Dictionary'!$D$5:$D$135&amp;"",$C3594)),--('Category Dictionary'!$D$5:$D$135&lt;&gt;"")))</f>
        <v/>
      </c>
      <c r="L3594" s="27">
        <f>IF($A3594="","",TRIM(IF(ISERROR(FIND(",",$C3594)),$C3594,LEFT($C3594,FIND(",",$C3594)-1))))</f>
        <v/>
      </c>
      <c r="M3594" s="28">
        <f>IF($H3594="","",DATE(YEAR($H3594),MONTH($H3594),1))</f>
        <v/>
      </c>
      <c r="N3594" s="26">
        <f>IF($H3594="","",TODAY()-$H3594)</f>
        <v/>
      </c>
      <c r="O3594" s="15" t="n"/>
      <c r="P3594" s="26">
        <f>IF($A3594="","",COUNTIFS('Audit Versions'!$A$6:$A$605,$A3594,'Audit Versions'!$L$6:$L$605,"Active"))</f>
        <v/>
      </c>
      <c r="Q3594" s="15" t="n"/>
      <c r="R3594" s="26">
        <f>IF(OR($A3594="",$P3594=0),"",MOD(N($Q3594),$P3594)+1)</f>
        <v/>
      </c>
      <c r="S3594" s="15" t="n"/>
      <c r="T3594" s="25" t="n"/>
      <c r="U3594" s="26">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Builder'!$B$12="",N($S3594)&lt;='Assignment Builder'!$B$12)))</f>
        <v/>
      </c>
      <c r="V3594" s="23" t="n"/>
    </row>
    <row r="3595">
      <c r="A3595" s="23" t="n"/>
      <c r="B3595" s="23" t="n"/>
      <c r="C3595" s="24" t="n"/>
      <c r="D3595" s="15" t="n"/>
      <c r="E3595" s="23" t="n"/>
      <c r="F3595" s="15" t="n"/>
      <c r="G3595" s="23" t="n"/>
      <c r="H3595" s="25" t="n"/>
      <c r="I3595" s="15" t="n"/>
      <c r="J3595" s="26">
        <f>IF($A3595="","",LEN($C3595)-LEN(SUBSTITUTE($C3595,",",""))+1)</f>
        <v/>
      </c>
      <c r="K3595" s="26">
        <f>IF($A3595="","",SUMPRODUCT(--ISNUMBER(SEARCH('Category Dictionary'!$D$5:$D$135&amp;"",$C3595)),--('Category Dictionary'!$D$5:$D$135&lt;&gt;"")))</f>
        <v/>
      </c>
      <c r="L3595" s="27">
        <f>IF($A3595="","",TRIM(IF(ISERROR(FIND(",",$C3595)),$C3595,LEFT($C3595,FIND(",",$C3595)-1))))</f>
        <v/>
      </c>
      <c r="M3595" s="28">
        <f>IF($H3595="","",DATE(YEAR($H3595),MONTH($H3595),1))</f>
        <v/>
      </c>
      <c r="N3595" s="26">
        <f>IF($H3595="","",TODAY()-$H3595)</f>
        <v/>
      </c>
      <c r="O3595" s="15" t="n"/>
      <c r="P3595" s="26">
        <f>IF($A3595="","",COUNTIFS('Audit Versions'!$A$6:$A$605,$A3595,'Audit Versions'!$L$6:$L$605,"Active"))</f>
        <v/>
      </c>
      <c r="Q3595" s="15" t="n"/>
      <c r="R3595" s="26">
        <f>IF(OR($A3595="",$P3595=0),"",MOD(N($Q3595),$P3595)+1)</f>
        <v/>
      </c>
      <c r="S3595" s="15" t="n"/>
      <c r="T3595" s="25" t="n"/>
      <c r="U3595" s="26">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Builder'!$B$12="",N($S3595)&lt;='Assignment Builder'!$B$12)))</f>
        <v/>
      </c>
      <c r="V3595" s="23" t="n"/>
    </row>
    <row r="3596">
      <c r="A3596" s="23" t="n"/>
      <c r="B3596" s="23" t="n"/>
      <c r="C3596" s="24" t="n"/>
      <c r="D3596" s="15" t="n"/>
      <c r="E3596" s="23" t="n"/>
      <c r="F3596" s="15" t="n"/>
      <c r="G3596" s="23" t="n"/>
      <c r="H3596" s="25" t="n"/>
      <c r="I3596" s="15" t="n"/>
      <c r="J3596" s="26">
        <f>IF($A3596="","",LEN($C3596)-LEN(SUBSTITUTE($C3596,",",""))+1)</f>
        <v/>
      </c>
      <c r="K3596" s="26">
        <f>IF($A3596="","",SUMPRODUCT(--ISNUMBER(SEARCH('Category Dictionary'!$D$5:$D$135&amp;"",$C3596)),--('Category Dictionary'!$D$5:$D$135&lt;&gt;"")))</f>
        <v/>
      </c>
      <c r="L3596" s="27">
        <f>IF($A3596="","",TRIM(IF(ISERROR(FIND(",",$C3596)),$C3596,LEFT($C3596,FIND(",",$C3596)-1))))</f>
        <v/>
      </c>
      <c r="M3596" s="28">
        <f>IF($H3596="","",DATE(YEAR($H3596),MONTH($H3596),1))</f>
        <v/>
      </c>
      <c r="N3596" s="26">
        <f>IF($H3596="","",TODAY()-$H3596)</f>
        <v/>
      </c>
      <c r="O3596" s="15" t="n"/>
      <c r="P3596" s="26">
        <f>IF($A3596="","",COUNTIFS('Audit Versions'!$A$6:$A$605,$A3596,'Audit Versions'!$L$6:$L$605,"Active"))</f>
        <v/>
      </c>
      <c r="Q3596" s="15" t="n"/>
      <c r="R3596" s="26">
        <f>IF(OR($A3596="",$P3596=0),"",MOD(N($Q3596),$P3596)+1)</f>
        <v/>
      </c>
      <c r="S3596" s="15" t="n"/>
      <c r="T3596" s="25" t="n"/>
      <c r="U3596" s="26">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Builder'!$B$12="",N($S3596)&lt;='Assignment Builder'!$B$12)))</f>
        <v/>
      </c>
      <c r="V3596" s="23" t="n"/>
    </row>
    <row r="3597">
      <c r="A3597" s="23" t="n"/>
      <c r="B3597" s="23" t="n"/>
      <c r="C3597" s="24" t="n"/>
      <c r="D3597" s="15" t="n"/>
      <c r="E3597" s="23" t="n"/>
      <c r="F3597" s="15" t="n"/>
      <c r="G3597" s="23" t="n"/>
      <c r="H3597" s="25" t="n"/>
      <c r="I3597" s="15" t="n"/>
      <c r="J3597" s="26">
        <f>IF($A3597="","",LEN($C3597)-LEN(SUBSTITUTE($C3597,",",""))+1)</f>
        <v/>
      </c>
      <c r="K3597" s="26">
        <f>IF($A3597="","",SUMPRODUCT(--ISNUMBER(SEARCH('Category Dictionary'!$D$5:$D$135&amp;"",$C3597)),--('Category Dictionary'!$D$5:$D$135&lt;&gt;"")))</f>
        <v/>
      </c>
      <c r="L3597" s="27">
        <f>IF($A3597="","",TRIM(IF(ISERROR(FIND(",",$C3597)),$C3597,LEFT($C3597,FIND(",",$C3597)-1))))</f>
        <v/>
      </c>
      <c r="M3597" s="28">
        <f>IF($H3597="","",DATE(YEAR($H3597),MONTH($H3597),1))</f>
        <v/>
      </c>
      <c r="N3597" s="26">
        <f>IF($H3597="","",TODAY()-$H3597)</f>
        <v/>
      </c>
      <c r="O3597" s="15" t="n"/>
      <c r="P3597" s="26">
        <f>IF($A3597="","",COUNTIFS('Audit Versions'!$A$6:$A$605,$A3597,'Audit Versions'!$L$6:$L$605,"Active"))</f>
        <v/>
      </c>
      <c r="Q3597" s="15" t="n"/>
      <c r="R3597" s="26">
        <f>IF(OR($A3597="",$P3597=0),"",MOD(N($Q3597),$P3597)+1)</f>
        <v/>
      </c>
      <c r="S3597" s="15" t="n"/>
      <c r="T3597" s="25" t="n"/>
      <c r="U3597" s="26">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Builder'!$B$12="",N($S3597)&lt;='Assignment Builder'!$B$12)))</f>
        <v/>
      </c>
      <c r="V3597" s="23" t="n"/>
    </row>
    <row r="3598">
      <c r="A3598" s="23" t="n"/>
      <c r="B3598" s="23" t="n"/>
      <c r="C3598" s="24" t="n"/>
      <c r="D3598" s="15" t="n"/>
      <c r="E3598" s="23" t="n"/>
      <c r="F3598" s="15" t="n"/>
      <c r="G3598" s="23" t="n"/>
      <c r="H3598" s="25" t="n"/>
      <c r="I3598" s="15" t="n"/>
      <c r="J3598" s="26">
        <f>IF($A3598="","",LEN($C3598)-LEN(SUBSTITUTE($C3598,",",""))+1)</f>
        <v/>
      </c>
      <c r="K3598" s="26">
        <f>IF($A3598="","",SUMPRODUCT(--ISNUMBER(SEARCH('Category Dictionary'!$D$5:$D$135&amp;"",$C3598)),--('Category Dictionary'!$D$5:$D$135&lt;&gt;"")))</f>
        <v/>
      </c>
      <c r="L3598" s="27">
        <f>IF($A3598="","",TRIM(IF(ISERROR(FIND(",",$C3598)),$C3598,LEFT($C3598,FIND(",",$C3598)-1))))</f>
        <v/>
      </c>
      <c r="M3598" s="28">
        <f>IF($H3598="","",DATE(YEAR($H3598),MONTH($H3598),1))</f>
        <v/>
      </c>
      <c r="N3598" s="26">
        <f>IF($H3598="","",TODAY()-$H3598)</f>
        <v/>
      </c>
      <c r="O3598" s="15" t="n"/>
      <c r="P3598" s="26">
        <f>IF($A3598="","",COUNTIFS('Audit Versions'!$A$6:$A$605,$A3598,'Audit Versions'!$L$6:$L$605,"Active"))</f>
        <v/>
      </c>
      <c r="Q3598" s="15" t="n"/>
      <c r="R3598" s="26">
        <f>IF(OR($A3598="",$P3598=0),"",MOD(N($Q3598),$P3598)+1)</f>
        <v/>
      </c>
      <c r="S3598" s="15" t="n"/>
      <c r="T3598" s="25" t="n"/>
      <c r="U3598" s="26">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Builder'!$B$12="",N($S3598)&lt;='Assignment Builder'!$B$12)))</f>
        <v/>
      </c>
      <c r="V3598" s="23" t="n"/>
    </row>
    <row r="3599">
      <c r="A3599" s="23" t="n"/>
      <c r="B3599" s="23" t="n"/>
      <c r="C3599" s="24" t="n"/>
      <c r="D3599" s="15" t="n"/>
      <c r="E3599" s="23" t="n"/>
      <c r="F3599" s="15" t="n"/>
      <c r="G3599" s="23" t="n"/>
      <c r="H3599" s="25" t="n"/>
      <c r="I3599" s="15" t="n"/>
      <c r="J3599" s="26">
        <f>IF($A3599="","",LEN($C3599)-LEN(SUBSTITUTE($C3599,",",""))+1)</f>
        <v/>
      </c>
      <c r="K3599" s="26">
        <f>IF($A3599="","",SUMPRODUCT(--ISNUMBER(SEARCH('Category Dictionary'!$D$5:$D$135&amp;"",$C3599)),--('Category Dictionary'!$D$5:$D$135&lt;&gt;"")))</f>
        <v/>
      </c>
      <c r="L3599" s="27">
        <f>IF($A3599="","",TRIM(IF(ISERROR(FIND(",",$C3599)),$C3599,LEFT($C3599,FIND(",",$C3599)-1))))</f>
        <v/>
      </c>
      <c r="M3599" s="28">
        <f>IF($H3599="","",DATE(YEAR($H3599),MONTH($H3599),1))</f>
        <v/>
      </c>
      <c r="N3599" s="26">
        <f>IF($H3599="","",TODAY()-$H3599)</f>
        <v/>
      </c>
      <c r="O3599" s="15" t="n"/>
      <c r="P3599" s="26">
        <f>IF($A3599="","",COUNTIFS('Audit Versions'!$A$6:$A$605,$A3599,'Audit Versions'!$L$6:$L$605,"Active"))</f>
        <v/>
      </c>
      <c r="Q3599" s="15" t="n"/>
      <c r="R3599" s="26">
        <f>IF(OR($A3599="",$P3599=0),"",MOD(N($Q3599),$P3599)+1)</f>
        <v/>
      </c>
      <c r="S3599" s="15" t="n"/>
      <c r="T3599" s="25" t="n"/>
      <c r="U3599" s="26">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Builder'!$B$12="",N($S3599)&lt;='Assignment Builder'!$B$12)))</f>
        <v/>
      </c>
      <c r="V3599" s="23" t="n"/>
    </row>
    <row r="3600">
      <c r="A3600" s="23" t="n"/>
      <c r="B3600" s="23" t="n"/>
      <c r="C3600" s="24" t="n"/>
      <c r="D3600" s="15" t="n"/>
      <c r="E3600" s="23" t="n"/>
      <c r="F3600" s="15" t="n"/>
      <c r="G3600" s="23" t="n"/>
      <c r="H3600" s="25" t="n"/>
      <c r="I3600" s="15" t="n"/>
      <c r="J3600" s="26">
        <f>IF($A3600="","",LEN($C3600)-LEN(SUBSTITUTE($C3600,",",""))+1)</f>
        <v/>
      </c>
      <c r="K3600" s="26">
        <f>IF($A3600="","",SUMPRODUCT(--ISNUMBER(SEARCH('Category Dictionary'!$D$5:$D$135&amp;"",$C3600)),--('Category Dictionary'!$D$5:$D$135&lt;&gt;"")))</f>
        <v/>
      </c>
      <c r="L3600" s="27">
        <f>IF($A3600="","",TRIM(IF(ISERROR(FIND(",",$C3600)),$C3600,LEFT($C3600,FIND(",",$C3600)-1))))</f>
        <v/>
      </c>
      <c r="M3600" s="28">
        <f>IF($H3600="","",DATE(YEAR($H3600),MONTH($H3600),1))</f>
        <v/>
      </c>
      <c r="N3600" s="26">
        <f>IF($H3600="","",TODAY()-$H3600)</f>
        <v/>
      </c>
      <c r="O3600" s="15" t="n"/>
      <c r="P3600" s="26">
        <f>IF($A3600="","",COUNTIFS('Audit Versions'!$A$6:$A$605,$A3600,'Audit Versions'!$L$6:$L$605,"Active"))</f>
        <v/>
      </c>
      <c r="Q3600" s="15" t="n"/>
      <c r="R3600" s="26">
        <f>IF(OR($A3600="",$P3600=0),"",MOD(N($Q3600),$P3600)+1)</f>
        <v/>
      </c>
      <c r="S3600" s="15" t="n"/>
      <c r="T3600" s="25" t="n"/>
      <c r="U3600" s="26">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Builder'!$B$12="",N($S3600)&lt;='Assignment Builder'!$B$12)))</f>
        <v/>
      </c>
      <c r="V3600" s="23" t="n"/>
    </row>
    <row r="3601">
      <c r="A3601" s="23" t="n"/>
      <c r="B3601" s="23" t="n"/>
      <c r="C3601" s="24" t="n"/>
      <c r="D3601" s="15" t="n"/>
      <c r="E3601" s="23" t="n"/>
      <c r="F3601" s="15" t="n"/>
      <c r="G3601" s="23" t="n"/>
      <c r="H3601" s="25" t="n"/>
      <c r="I3601" s="15" t="n"/>
      <c r="J3601" s="26">
        <f>IF($A3601="","",LEN($C3601)-LEN(SUBSTITUTE($C3601,",",""))+1)</f>
        <v/>
      </c>
      <c r="K3601" s="26">
        <f>IF($A3601="","",SUMPRODUCT(--ISNUMBER(SEARCH('Category Dictionary'!$D$5:$D$135&amp;"",$C3601)),--('Category Dictionary'!$D$5:$D$135&lt;&gt;"")))</f>
        <v/>
      </c>
      <c r="L3601" s="27">
        <f>IF($A3601="","",TRIM(IF(ISERROR(FIND(",",$C3601)),$C3601,LEFT($C3601,FIND(",",$C3601)-1))))</f>
        <v/>
      </c>
      <c r="M3601" s="28">
        <f>IF($H3601="","",DATE(YEAR($H3601),MONTH($H3601),1))</f>
        <v/>
      </c>
      <c r="N3601" s="26">
        <f>IF($H3601="","",TODAY()-$H3601)</f>
        <v/>
      </c>
      <c r="O3601" s="15" t="n"/>
      <c r="P3601" s="26">
        <f>IF($A3601="","",COUNTIFS('Audit Versions'!$A$6:$A$605,$A3601,'Audit Versions'!$L$6:$L$605,"Active"))</f>
        <v/>
      </c>
      <c r="Q3601" s="15" t="n"/>
      <c r="R3601" s="26">
        <f>IF(OR($A3601="",$P3601=0),"",MOD(N($Q3601),$P3601)+1)</f>
        <v/>
      </c>
      <c r="S3601" s="15" t="n"/>
      <c r="T3601" s="25" t="n"/>
      <c r="U3601" s="26">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Builder'!$B$12="",N($S3601)&lt;='Assignment Builder'!$B$12)))</f>
        <v/>
      </c>
      <c r="V3601" s="23" t="n"/>
    </row>
    <row r="3602">
      <c r="A3602" s="23" t="n"/>
      <c r="B3602" s="23" t="n"/>
      <c r="C3602" s="24" t="n"/>
      <c r="D3602" s="15" t="n"/>
      <c r="E3602" s="23" t="n"/>
      <c r="F3602" s="15" t="n"/>
      <c r="G3602" s="23" t="n"/>
      <c r="H3602" s="25" t="n"/>
      <c r="I3602" s="15" t="n"/>
      <c r="J3602" s="26">
        <f>IF($A3602="","",LEN($C3602)-LEN(SUBSTITUTE($C3602,",",""))+1)</f>
        <v/>
      </c>
      <c r="K3602" s="26">
        <f>IF($A3602="","",SUMPRODUCT(--ISNUMBER(SEARCH('Category Dictionary'!$D$5:$D$135&amp;"",$C3602)),--('Category Dictionary'!$D$5:$D$135&lt;&gt;"")))</f>
        <v/>
      </c>
      <c r="L3602" s="27">
        <f>IF($A3602="","",TRIM(IF(ISERROR(FIND(",",$C3602)),$C3602,LEFT($C3602,FIND(",",$C3602)-1))))</f>
        <v/>
      </c>
      <c r="M3602" s="28">
        <f>IF($H3602="","",DATE(YEAR($H3602),MONTH($H3602),1))</f>
        <v/>
      </c>
      <c r="N3602" s="26">
        <f>IF($H3602="","",TODAY()-$H3602)</f>
        <v/>
      </c>
      <c r="O3602" s="15" t="n"/>
      <c r="P3602" s="26">
        <f>IF($A3602="","",COUNTIFS('Audit Versions'!$A$6:$A$605,$A3602,'Audit Versions'!$L$6:$L$605,"Active"))</f>
        <v/>
      </c>
      <c r="Q3602" s="15" t="n"/>
      <c r="R3602" s="26">
        <f>IF(OR($A3602="",$P3602=0),"",MOD(N($Q3602),$P3602)+1)</f>
        <v/>
      </c>
      <c r="S3602" s="15" t="n"/>
      <c r="T3602" s="25" t="n"/>
      <c r="U3602" s="26">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Builder'!$B$12="",N($S3602)&lt;='Assignment Builder'!$B$12)))</f>
        <v/>
      </c>
      <c r="V3602" s="23" t="n"/>
    </row>
    <row r="3603">
      <c r="A3603" s="23" t="n"/>
      <c r="B3603" s="23" t="n"/>
      <c r="C3603" s="24" t="n"/>
      <c r="D3603" s="15" t="n"/>
      <c r="E3603" s="23" t="n"/>
      <c r="F3603" s="15" t="n"/>
      <c r="G3603" s="23" t="n"/>
      <c r="H3603" s="25" t="n"/>
      <c r="I3603" s="15" t="n"/>
      <c r="J3603" s="26">
        <f>IF($A3603="","",LEN($C3603)-LEN(SUBSTITUTE($C3603,",",""))+1)</f>
        <v/>
      </c>
      <c r="K3603" s="26">
        <f>IF($A3603="","",SUMPRODUCT(--ISNUMBER(SEARCH('Category Dictionary'!$D$5:$D$135&amp;"",$C3603)),--('Category Dictionary'!$D$5:$D$135&lt;&gt;"")))</f>
        <v/>
      </c>
      <c r="L3603" s="27">
        <f>IF($A3603="","",TRIM(IF(ISERROR(FIND(",",$C3603)),$C3603,LEFT($C3603,FIND(",",$C3603)-1))))</f>
        <v/>
      </c>
      <c r="M3603" s="28">
        <f>IF($H3603="","",DATE(YEAR($H3603),MONTH($H3603),1))</f>
        <v/>
      </c>
      <c r="N3603" s="26">
        <f>IF($H3603="","",TODAY()-$H3603)</f>
        <v/>
      </c>
      <c r="O3603" s="15" t="n"/>
      <c r="P3603" s="26">
        <f>IF($A3603="","",COUNTIFS('Audit Versions'!$A$6:$A$605,$A3603,'Audit Versions'!$L$6:$L$605,"Active"))</f>
        <v/>
      </c>
      <c r="Q3603" s="15" t="n"/>
      <c r="R3603" s="26">
        <f>IF(OR($A3603="",$P3603=0),"",MOD(N($Q3603),$P3603)+1)</f>
        <v/>
      </c>
      <c r="S3603" s="15" t="n"/>
      <c r="T3603" s="25" t="n"/>
      <c r="U3603" s="26">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Builder'!$B$12="",N($S3603)&lt;='Assignment Builder'!$B$12)))</f>
        <v/>
      </c>
      <c r="V3603" s="23" t="n"/>
    </row>
    <row r="3604">
      <c r="A3604" s="23" t="n"/>
      <c r="B3604" s="23" t="n"/>
      <c r="C3604" s="24" t="n"/>
      <c r="D3604" s="15" t="n"/>
      <c r="E3604" s="23" t="n"/>
      <c r="F3604" s="15" t="n"/>
      <c r="G3604" s="23" t="n"/>
      <c r="H3604" s="25" t="n"/>
      <c r="I3604" s="15" t="n"/>
      <c r="J3604" s="26">
        <f>IF($A3604="","",LEN($C3604)-LEN(SUBSTITUTE($C3604,",",""))+1)</f>
        <v/>
      </c>
      <c r="K3604" s="26">
        <f>IF($A3604="","",SUMPRODUCT(--ISNUMBER(SEARCH('Category Dictionary'!$D$5:$D$135&amp;"",$C3604)),--('Category Dictionary'!$D$5:$D$135&lt;&gt;"")))</f>
        <v/>
      </c>
      <c r="L3604" s="27">
        <f>IF($A3604="","",TRIM(IF(ISERROR(FIND(",",$C3604)),$C3604,LEFT($C3604,FIND(",",$C3604)-1))))</f>
        <v/>
      </c>
      <c r="M3604" s="28">
        <f>IF($H3604="","",DATE(YEAR($H3604),MONTH($H3604),1))</f>
        <v/>
      </c>
      <c r="N3604" s="26">
        <f>IF($H3604="","",TODAY()-$H3604)</f>
        <v/>
      </c>
      <c r="O3604" s="15" t="n"/>
      <c r="P3604" s="26">
        <f>IF($A3604="","",COUNTIFS('Audit Versions'!$A$6:$A$605,$A3604,'Audit Versions'!$L$6:$L$605,"Active"))</f>
        <v/>
      </c>
      <c r="Q3604" s="15" t="n"/>
      <c r="R3604" s="26">
        <f>IF(OR($A3604="",$P3604=0),"",MOD(N($Q3604),$P3604)+1)</f>
        <v/>
      </c>
      <c r="S3604" s="15" t="n"/>
      <c r="T3604" s="25" t="n"/>
      <c r="U3604" s="26">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Builder'!$B$12="",N($S3604)&lt;='Assignment Builder'!$B$12)))</f>
        <v/>
      </c>
      <c r="V3604" s="23" t="n"/>
    </row>
    <row r="3605">
      <c r="A3605" s="23" t="n"/>
      <c r="B3605" s="23" t="n"/>
      <c r="C3605" s="24" t="n"/>
      <c r="D3605" s="15" t="n"/>
      <c r="E3605" s="23" t="n"/>
      <c r="F3605" s="15" t="n"/>
      <c r="G3605" s="23" t="n"/>
      <c r="H3605" s="25" t="n"/>
      <c r="I3605" s="15" t="n"/>
      <c r="J3605" s="26">
        <f>IF($A3605="","",LEN($C3605)-LEN(SUBSTITUTE($C3605,",",""))+1)</f>
        <v/>
      </c>
      <c r="K3605" s="26">
        <f>IF($A3605="","",SUMPRODUCT(--ISNUMBER(SEARCH('Category Dictionary'!$D$5:$D$135&amp;"",$C3605)),--('Category Dictionary'!$D$5:$D$135&lt;&gt;"")))</f>
        <v/>
      </c>
      <c r="L3605" s="27">
        <f>IF($A3605="","",TRIM(IF(ISERROR(FIND(",",$C3605)),$C3605,LEFT($C3605,FIND(",",$C3605)-1))))</f>
        <v/>
      </c>
      <c r="M3605" s="28">
        <f>IF($H3605="","",DATE(YEAR($H3605),MONTH($H3605),1))</f>
        <v/>
      </c>
      <c r="N3605" s="26">
        <f>IF($H3605="","",TODAY()-$H3605)</f>
        <v/>
      </c>
      <c r="O3605" s="15" t="n"/>
      <c r="P3605" s="26">
        <f>IF($A3605="","",COUNTIFS('Audit Versions'!$A$6:$A$605,$A3605,'Audit Versions'!$L$6:$L$605,"Active"))</f>
        <v/>
      </c>
      <c r="Q3605" s="15" t="n"/>
      <c r="R3605" s="26">
        <f>IF(OR($A3605="",$P3605=0),"",MOD(N($Q3605),$P3605)+1)</f>
        <v/>
      </c>
      <c r="S3605" s="15" t="n"/>
      <c r="T3605" s="25" t="n"/>
      <c r="U3605" s="26">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Builder'!$B$12="",N($S3605)&lt;='Assignment Builder'!$B$12)))</f>
        <v/>
      </c>
      <c r="V3605" s="23" t="n"/>
    </row>
    <row r="3606">
      <c r="A3606" s="23" t="n"/>
      <c r="B3606" s="23" t="n"/>
      <c r="C3606" s="24" t="n"/>
      <c r="D3606" s="15" t="n"/>
      <c r="E3606" s="23" t="n"/>
      <c r="F3606" s="15" t="n"/>
      <c r="G3606" s="23" t="n"/>
      <c r="H3606" s="25" t="n"/>
      <c r="I3606" s="15" t="n"/>
      <c r="J3606" s="26">
        <f>IF($A3606="","",LEN($C3606)-LEN(SUBSTITUTE($C3606,",",""))+1)</f>
        <v/>
      </c>
      <c r="K3606" s="26">
        <f>IF($A3606="","",SUMPRODUCT(--ISNUMBER(SEARCH('Category Dictionary'!$D$5:$D$135&amp;"",$C3606)),--('Category Dictionary'!$D$5:$D$135&lt;&gt;"")))</f>
        <v/>
      </c>
      <c r="L3606" s="27">
        <f>IF($A3606="","",TRIM(IF(ISERROR(FIND(",",$C3606)),$C3606,LEFT($C3606,FIND(",",$C3606)-1))))</f>
        <v/>
      </c>
      <c r="M3606" s="28">
        <f>IF($H3606="","",DATE(YEAR($H3606),MONTH($H3606),1))</f>
        <v/>
      </c>
      <c r="N3606" s="26">
        <f>IF($H3606="","",TODAY()-$H3606)</f>
        <v/>
      </c>
      <c r="O3606" s="15" t="n"/>
      <c r="P3606" s="26">
        <f>IF($A3606="","",COUNTIFS('Audit Versions'!$A$6:$A$605,$A3606,'Audit Versions'!$L$6:$L$605,"Active"))</f>
        <v/>
      </c>
      <c r="Q3606" s="15" t="n"/>
      <c r="R3606" s="26">
        <f>IF(OR($A3606="",$P3606=0),"",MOD(N($Q3606),$P3606)+1)</f>
        <v/>
      </c>
      <c r="S3606" s="15" t="n"/>
      <c r="T3606" s="25" t="n"/>
      <c r="U3606" s="26">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Builder'!$B$12="",N($S3606)&lt;='Assignment Builder'!$B$12)))</f>
        <v/>
      </c>
      <c r="V3606" s="23" t="n"/>
    </row>
    <row r="3607">
      <c r="A3607" s="23" t="n"/>
      <c r="B3607" s="23" t="n"/>
      <c r="C3607" s="24" t="n"/>
      <c r="D3607" s="15" t="n"/>
      <c r="E3607" s="23" t="n"/>
      <c r="F3607" s="15" t="n"/>
      <c r="G3607" s="23" t="n"/>
      <c r="H3607" s="25" t="n"/>
      <c r="I3607" s="15" t="n"/>
      <c r="J3607" s="26">
        <f>IF($A3607="","",LEN($C3607)-LEN(SUBSTITUTE($C3607,",",""))+1)</f>
        <v/>
      </c>
      <c r="K3607" s="26">
        <f>IF($A3607="","",SUMPRODUCT(--ISNUMBER(SEARCH('Category Dictionary'!$D$5:$D$135&amp;"",$C3607)),--('Category Dictionary'!$D$5:$D$135&lt;&gt;"")))</f>
        <v/>
      </c>
      <c r="L3607" s="27">
        <f>IF($A3607="","",TRIM(IF(ISERROR(FIND(",",$C3607)),$C3607,LEFT($C3607,FIND(",",$C3607)-1))))</f>
        <v/>
      </c>
      <c r="M3607" s="28">
        <f>IF($H3607="","",DATE(YEAR($H3607),MONTH($H3607),1))</f>
        <v/>
      </c>
      <c r="N3607" s="26">
        <f>IF($H3607="","",TODAY()-$H3607)</f>
        <v/>
      </c>
      <c r="O3607" s="15" t="n"/>
      <c r="P3607" s="26">
        <f>IF($A3607="","",COUNTIFS('Audit Versions'!$A$6:$A$605,$A3607,'Audit Versions'!$L$6:$L$605,"Active"))</f>
        <v/>
      </c>
      <c r="Q3607" s="15" t="n"/>
      <c r="R3607" s="26">
        <f>IF(OR($A3607="",$P3607=0),"",MOD(N($Q3607),$P3607)+1)</f>
        <v/>
      </c>
      <c r="S3607" s="15" t="n"/>
      <c r="T3607" s="25" t="n"/>
      <c r="U3607" s="26">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Builder'!$B$12="",N($S3607)&lt;='Assignment Builder'!$B$12)))</f>
        <v/>
      </c>
      <c r="V3607" s="23" t="n"/>
    </row>
    <row r="3608">
      <c r="A3608" s="23" t="n"/>
      <c r="B3608" s="23" t="n"/>
      <c r="C3608" s="24" t="n"/>
      <c r="D3608" s="15" t="n"/>
      <c r="E3608" s="23" t="n"/>
      <c r="F3608" s="15" t="n"/>
      <c r="G3608" s="23" t="n"/>
      <c r="H3608" s="25" t="n"/>
      <c r="I3608" s="15" t="n"/>
      <c r="J3608" s="26">
        <f>IF($A3608="","",LEN($C3608)-LEN(SUBSTITUTE($C3608,",",""))+1)</f>
        <v/>
      </c>
      <c r="K3608" s="26">
        <f>IF($A3608="","",SUMPRODUCT(--ISNUMBER(SEARCH('Category Dictionary'!$D$5:$D$135&amp;"",$C3608)),--('Category Dictionary'!$D$5:$D$135&lt;&gt;"")))</f>
        <v/>
      </c>
      <c r="L3608" s="27">
        <f>IF($A3608="","",TRIM(IF(ISERROR(FIND(",",$C3608)),$C3608,LEFT($C3608,FIND(",",$C3608)-1))))</f>
        <v/>
      </c>
      <c r="M3608" s="28">
        <f>IF($H3608="","",DATE(YEAR($H3608),MONTH($H3608),1))</f>
        <v/>
      </c>
      <c r="N3608" s="26">
        <f>IF($H3608="","",TODAY()-$H3608)</f>
        <v/>
      </c>
      <c r="O3608" s="15" t="n"/>
      <c r="P3608" s="26">
        <f>IF($A3608="","",COUNTIFS('Audit Versions'!$A$6:$A$605,$A3608,'Audit Versions'!$L$6:$L$605,"Active"))</f>
        <v/>
      </c>
      <c r="Q3608" s="15" t="n"/>
      <c r="R3608" s="26">
        <f>IF(OR($A3608="",$P3608=0),"",MOD(N($Q3608),$P3608)+1)</f>
        <v/>
      </c>
      <c r="S3608" s="15" t="n"/>
      <c r="T3608" s="25" t="n"/>
      <c r="U3608" s="26">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Builder'!$B$12="",N($S3608)&lt;='Assignment Builder'!$B$12)))</f>
        <v/>
      </c>
      <c r="V3608" s="23" t="n"/>
    </row>
    <row r="3609">
      <c r="A3609" s="23" t="n"/>
      <c r="B3609" s="23" t="n"/>
      <c r="C3609" s="24" t="n"/>
      <c r="D3609" s="15" t="n"/>
      <c r="E3609" s="23" t="n"/>
      <c r="F3609" s="15" t="n"/>
      <c r="G3609" s="23" t="n"/>
      <c r="H3609" s="25" t="n"/>
      <c r="I3609" s="15" t="n"/>
      <c r="J3609" s="26">
        <f>IF($A3609="","",LEN($C3609)-LEN(SUBSTITUTE($C3609,",",""))+1)</f>
        <v/>
      </c>
      <c r="K3609" s="26">
        <f>IF($A3609="","",SUMPRODUCT(--ISNUMBER(SEARCH('Category Dictionary'!$D$5:$D$135&amp;"",$C3609)),--('Category Dictionary'!$D$5:$D$135&lt;&gt;"")))</f>
        <v/>
      </c>
      <c r="L3609" s="27">
        <f>IF($A3609="","",TRIM(IF(ISERROR(FIND(",",$C3609)),$C3609,LEFT($C3609,FIND(",",$C3609)-1))))</f>
        <v/>
      </c>
      <c r="M3609" s="28">
        <f>IF($H3609="","",DATE(YEAR($H3609),MONTH($H3609),1))</f>
        <v/>
      </c>
      <c r="N3609" s="26">
        <f>IF($H3609="","",TODAY()-$H3609)</f>
        <v/>
      </c>
      <c r="O3609" s="15" t="n"/>
      <c r="P3609" s="26">
        <f>IF($A3609="","",COUNTIFS('Audit Versions'!$A$6:$A$605,$A3609,'Audit Versions'!$L$6:$L$605,"Active"))</f>
        <v/>
      </c>
      <c r="Q3609" s="15" t="n"/>
      <c r="R3609" s="26">
        <f>IF(OR($A3609="",$P3609=0),"",MOD(N($Q3609),$P3609)+1)</f>
        <v/>
      </c>
      <c r="S3609" s="15" t="n"/>
      <c r="T3609" s="25" t="n"/>
      <c r="U3609" s="26">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Builder'!$B$12="",N($S3609)&lt;='Assignment Builder'!$B$12)))</f>
        <v/>
      </c>
      <c r="V3609" s="23" t="n"/>
    </row>
    <row r="3610">
      <c r="A3610" s="23" t="n"/>
      <c r="B3610" s="23" t="n"/>
      <c r="C3610" s="24" t="n"/>
      <c r="D3610" s="15" t="n"/>
      <c r="E3610" s="23" t="n"/>
      <c r="F3610" s="15" t="n"/>
      <c r="G3610" s="23" t="n"/>
      <c r="H3610" s="25" t="n"/>
      <c r="I3610" s="15" t="n"/>
      <c r="J3610" s="26">
        <f>IF($A3610="","",LEN($C3610)-LEN(SUBSTITUTE($C3610,",",""))+1)</f>
        <v/>
      </c>
      <c r="K3610" s="26">
        <f>IF($A3610="","",SUMPRODUCT(--ISNUMBER(SEARCH('Category Dictionary'!$D$5:$D$135&amp;"",$C3610)),--('Category Dictionary'!$D$5:$D$135&lt;&gt;"")))</f>
        <v/>
      </c>
      <c r="L3610" s="27">
        <f>IF($A3610="","",TRIM(IF(ISERROR(FIND(",",$C3610)),$C3610,LEFT($C3610,FIND(",",$C3610)-1))))</f>
        <v/>
      </c>
      <c r="M3610" s="28">
        <f>IF($H3610="","",DATE(YEAR($H3610),MONTH($H3610),1))</f>
        <v/>
      </c>
      <c r="N3610" s="26">
        <f>IF($H3610="","",TODAY()-$H3610)</f>
        <v/>
      </c>
      <c r="O3610" s="15" t="n"/>
      <c r="P3610" s="26">
        <f>IF($A3610="","",COUNTIFS('Audit Versions'!$A$6:$A$605,$A3610,'Audit Versions'!$L$6:$L$605,"Active"))</f>
        <v/>
      </c>
      <c r="Q3610" s="15" t="n"/>
      <c r="R3610" s="26">
        <f>IF(OR($A3610="",$P3610=0),"",MOD(N($Q3610),$P3610)+1)</f>
        <v/>
      </c>
      <c r="S3610" s="15" t="n"/>
      <c r="T3610" s="25" t="n"/>
      <c r="U3610" s="26">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Builder'!$B$12="",N($S3610)&lt;='Assignment Builder'!$B$12)))</f>
        <v/>
      </c>
      <c r="V3610" s="23" t="n"/>
    </row>
    <row r="3611">
      <c r="A3611" s="23" t="n"/>
      <c r="B3611" s="23" t="n"/>
      <c r="C3611" s="24" t="n"/>
      <c r="D3611" s="15" t="n"/>
      <c r="E3611" s="23" t="n"/>
      <c r="F3611" s="15" t="n"/>
      <c r="G3611" s="23" t="n"/>
      <c r="H3611" s="25" t="n"/>
      <c r="I3611" s="15" t="n"/>
      <c r="J3611" s="26">
        <f>IF($A3611="","",LEN($C3611)-LEN(SUBSTITUTE($C3611,",",""))+1)</f>
        <v/>
      </c>
      <c r="K3611" s="26">
        <f>IF($A3611="","",SUMPRODUCT(--ISNUMBER(SEARCH('Category Dictionary'!$D$5:$D$135&amp;"",$C3611)),--('Category Dictionary'!$D$5:$D$135&lt;&gt;"")))</f>
        <v/>
      </c>
      <c r="L3611" s="27">
        <f>IF($A3611="","",TRIM(IF(ISERROR(FIND(",",$C3611)),$C3611,LEFT($C3611,FIND(",",$C3611)-1))))</f>
        <v/>
      </c>
      <c r="M3611" s="28">
        <f>IF($H3611="","",DATE(YEAR($H3611),MONTH($H3611),1))</f>
        <v/>
      </c>
      <c r="N3611" s="26">
        <f>IF($H3611="","",TODAY()-$H3611)</f>
        <v/>
      </c>
      <c r="O3611" s="15" t="n"/>
      <c r="P3611" s="26">
        <f>IF($A3611="","",COUNTIFS('Audit Versions'!$A$6:$A$605,$A3611,'Audit Versions'!$L$6:$L$605,"Active"))</f>
        <v/>
      </c>
      <c r="Q3611" s="15" t="n"/>
      <c r="R3611" s="26">
        <f>IF(OR($A3611="",$P3611=0),"",MOD(N($Q3611),$P3611)+1)</f>
        <v/>
      </c>
      <c r="S3611" s="15" t="n"/>
      <c r="T3611" s="25" t="n"/>
      <c r="U3611" s="26">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Builder'!$B$12="",N($S3611)&lt;='Assignment Builder'!$B$12)))</f>
        <v/>
      </c>
      <c r="V3611" s="23" t="n"/>
    </row>
    <row r="3612">
      <c r="A3612" s="23" t="n"/>
      <c r="B3612" s="23" t="n"/>
      <c r="C3612" s="24" t="n"/>
      <c r="D3612" s="15" t="n"/>
      <c r="E3612" s="23" t="n"/>
      <c r="F3612" s="15" t="n"/>
      <c r="G3612" s="23" t="n"/>
      <c r="H3612" s="25" t="n"/>
      <c r="I3612" s="15" t="n"/>
      <c r="J3612" s="26">
        <f>IF($A3612="","",LEN($C3612)-LEN(SUBSTITUTE($C3612,",",""))+1)</f>
        <v/>
      </c>
      <c r="K3612" s="26">
        <f>IF($A3612="","",SUMPRODUCT(--ISNUMBER(SEARCH('Category Dictionary'!$D$5:$D$135&amp;"",$C3612)),--('Category Dictionary'!$D$5:$D$135&lt;&gt;"")))</f>
        <v/>
      </c>
      <c r="L3612" s="27">
        <f>IF($A3612="","",TRIM(IF(ISERROR(FIND(",",$C3612)),$C3612,LEFT($C3612,FIND(",",$C3612)-1))))</f>
        <v/>
      </c>
      <c r="M3612" s="28">
        <f>IF($H3612="","",DATE(YEAR($H3612),MONTH($H3612),1))</f>
        <v/>
      </c>
      <c r="N3612" s="26">
        <f>IF($H3612="","",TODAY()-$H3612)</f>
        <v/>
      </c>
      <c r="O3612" s="15" t="n"/>
      <c r="P3612" s="26">
        <f>IF($A3612="","",COUNTIFS('Audit Versions'!$A$6:$A$605,$A3612,'Audit Versions'!$L$6:$L$605,"Active"))</f>
        <v/>
      </c>
      <c r="Q3612" s="15" t="n"/>
      <c r="R3612" s="26">
        <f>IF(OR($A3612="",$P3612=0),"",MOD(N($Q3612),$P3612)+1)</f>
        <v/>
      </c>
      <c r="S3612" s="15" t="n"/>
      <c r="T3612" s="25" t="n"/>
      <c r="U3612" s="26">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Builder'!$B$12="",N($S3612)&lt;='Assignment Builder'!$B$12)))</f>
        <v/>
      </c>
      <c r="V3612" s="23" t="n"/>
    </row>
    <row r="3613">
      <c r="A3613" s="23" t="n"/>
      <c r="B3613" s="23" t="n"/>
      <c r="C3613" s="24" t="n"/>
      <c r="D3613" s="15" t="n"/>
      <c r="E3613" s="23" t="n"/>
      <c r="F3613" s="15" t="n"/>
      <c r="G3613" s="23" t="n"/>
      <c r="H3613" s="25" t="n"/>
      <c r="I3613" s="15" t="n"/>
      <c r="J3613" s="26">
        <f>IF($A3613="","",LEN($C3613)-LEN(SUBSTITUTE($C3613,",",""))+1)</f>
        <v/>
      </c>
      <c r="K3613" s="26">
        <f>IF($A3613="","",SUMPRODUCT(--ISNUMBER(SEARCH('Category Dictionary'!$D$5:$D$135&amp;"",$C3613)),--('Category Dictionary'!$D$5:$D$135&lt;&gt;"")))</f>
        <v/>
      </c>
      <c r="L3613" s="27">
        <f>IF($A3613="","",TRIM(IF(ISERROR(FIND(",",$C3613)),$C3613,LEFT($C3613,FIND(",",$C3613)-1))))</f>
        <v/>
      </c>
      <c r="M3613" s="28">
        <f>IF($H3613="","",DATE(YEAR($H3613),MONTH($H3613),1))</f>
        <v/>
      </c>
      <c r="N3613" s="26">
        <f>IF($H3613="","",TODAY()-$H3613)</f>
        <v/>
      </c>
      <c r="O3613" s="15" t="n"/>
      <c r="P3613" s="26">
        <f>IF($A3613="","",COUNTIFS('Audit Versions'!$A$6:$A$605,$A3613,'Audit Versions'!$L$6:$L$605,"Active"))</f>
        <v/>
      </c>
      <c r="Q3613" s="15" t="n"/>
      <c r="R3613" s="26">
        <f>IF(OR($A3613="",$P3613=0),"",MOD(N($Q3613),$P3613)+1)</f>
        <v/>
      </c>
      <c r="S3613" s="15" t="n"/>
      <c r="T3613" s="25" t="n"/>
      <c r="U3613" s="26">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Builder'!$B$12="",N($S3613)&lt;='Assignment Builder'!$B$12)))</f>
        <v/>
      </c>
      <c r="V3613" s="23" t="n"/>
    </row>
    <row r="3614">
      <c r="A3614" s="23" t="n"/>
      <c r="B3614" s="23" t="n"/>
      <c r="C3614" s="24" t="n"/>
      <c r="D3614" s="15" t="n"/>
      <c r="E3614" s="23" t="n"/>
      <c r="F3614" s="15" t="n"/>
      <c r="G3614" s="23" t="n"/>
      <c r="H3614" s="25" t="n"/>
      <c r="I3614" s="15" t="n"/>
      <c r="J3614" s="26">
        <f>IF($A3614="","",LEN($C3614)-LEN(SUBSTITUTE($C3614,",",""))+1)</f>
        <v/>
      </c>
      <c r="K3614" s="26">
        <f>IF($A3614="","",SUMPRODUCT(--ISNUMBER(SEARCH('Category Dictionary'!$D$5:$D$135&amp;"",$C3614)),--('Category Dictionary'!$D$5:$D$135&lt;&gt;"")))</f>
        <v/>
      </c>
      <c r="L3614" s="27">
        <f>IF($A3614="","",TRIM(IF(ISERROR(FIND(",",$C3614)),$C3614,LEFT($C3614,FIND(",",$C3614)-1))))</f>
        <v/>
      </c>
      <c r="M3614" s="28">
        <f>IF($H3614="","",DATE(YEAR($H3614),MONTH($H3614),1))</f>
        <v/>
      </c>
      <c r="N3614" s="26">
        <f>IF($H3614="","",TODAY()-$H3614)</f>
        <v/>
      </c>
      <c r="O3614" s="15" t="n"/>
      <c r="P3614" s="26">
        <f>IF($A3614="","",COUNTIFS('Audit Versions'!$A$6:$A$605,$A3614,'Audit Versions'!$L$6:$L$605,"Active"))</f>
        <v/>
      </c>
      <c r="Q3614" s="15" t="n"/>
      <c r="R3614" s="26">
        <f>IF(OR($A3614="",$P3614=0),"",MOD(N($Q3614),$P3614)+1)</f>
        <v/>
      </c>
      <c r="S3614" s="15" t="n"/>
      <c r="T3614" s="25" t="n"/>
      <c r="U3614" s="26">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Builder'!$B$12="",N($S3614)&lt;='Assignment Builder'!$B$12)))</f>
        <v/>
      </c>
      <c r="V3614" s="23" t="n"/>
    </row>
    <row r="3615">
      <c r="A3615" s="23" t="n"/>
      <c r="B3615" s="23" t="n"/>
      <c r="C3615" s="24" t="n"/>
      <c r="D3615" s="15" t="n"/>
      <c r="E3615" s="23" t="n"/>
      <c r="F3615" s="15" t="n"/>
      <c r="G3615" s="23" t="n"/>
      <c r="H3615" s="25" t="n"/>
      <c r="I3615" s="15" t="n"/>
      <c r="J3615" s="26">
        <f>IF($A3615="","",LEN($C3615)-LEN(SUBSTITUTE($C3615,",",""))+1)</f>
        <v/>
      </c>
      <c r="K3615" s="26">
        <f>IF($A3615="","",SUMPRODUCT(--ISNUMBER(SEARCH('Category Dictionary'!$D$5:$D$135&amp;"",$C3615)),--('Category Dictionary'!$D$5:$D$135&lt;&gt;"")))</f>
        <v/>
      </c>
      <c r="L3615" s="27">
        <f>IF($A3615="","",TRIM(IF(ISERROR(FIND(",",$C3615)),$C3615,LEFT($C3615,FIND(",",$C3615)-1))))</f>
        <v/>
      </c>
      <c r="M3615" s="28">
        <f>IF($H3615="","",DATE(YEAR($H3615),MONTH($H3615),1))</f>
        <v/>
      </c>
      <c r="N3615" s="26">
        <f>IF($H3615="","",TODAY()-$H3615)</f>
        <v/>
      </c>
      <c r="O3615" s="15" t="n"/>
      <c r="P3615" s="26">
        <f>IF($A3615="","",COUNTIFS('Audit Versions'!$A$6:$A$605,$A3615,'Audit Versions'!$L$6:$L$605,"Active"))</f>
        <v/>
      </c>
      <c r="Q3615" s="15" t="n"/>
      <c r="R3615" s="26">
        <f>IF(OR($A3615="",$P3615=0),"",MOD(N($Q3615),$P3615)+1)</f>
        <v/>
      </c>
      <c r="S3615" s="15" t="n"/>
      <c r="T3615" s="25" t="n"/>
      <c r="U3615" s="26">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Builder'!$B$12="",N($S3615)&lt;='Assignment Builder'!$B$12)))</f>
        <v/>
      </c>
      <c r="V3615" s="23" t="n"/>
    </row>
    <row r="3616">
      <c r="A3616" s="23" t="n"/>
      <c r="B3616" s="23" t="n"/>
      <c r="C3616" s="24" t="n"/>
      <c r="D3616" s="15" t="n"/>
      <c r="E3616" s="23" t="n"/>
      <c r="F3616" s="15" t="n"/>
      <c r="G3616" s="23" t="n"/>
      <c r="H3616" s="25" t="n"/>
      <c r="I3616" s="15" t="n"/>
      <c r="J3616" s="26">
        <f>IF($A3616="","",LEN($C3616)-LEN(SUBSTITUTE($C3616,",",""))+1)</f>
        <v/>
      </c>
      <c r="K3616" s="26">
        <f>IF($A3616="","",SUMPRODUCT(--ISNUMBER(SEARCH('Category Dictionary'!$D$5:$D$135&amp;"",$C3616)),--('Category Dictionary'!$D$5:$D$135&lt;&gt;"")))</f>
        <v/>
      </c>
      <c r="L3616" s="27">
        <f>IF($A3616="","",TRIM(IF(ISERROR(FIND(",",$C3616)),$C3616,LEFT($C3616,FIND(",",$C3616)-1))))</f>
        <v/>
      </c>
      <c r="M3616" s="28">
        <f>IF($H3616="","",DATE(YEAR($H3616),MONTH($H3616),1))</f>
        <v/>
      </c>
      <c r="N3616" s="26">
        <f>IF($H3616="","",TODAY()-$H3616)</f>
        <v/>
      </c>
      <c r="O3616" s="15" t="n"/>
      <c r="P3616" s="26">
        <f>IF($A3616="","",COUNTIFS('Audit Versions'!$A$6:$A$605,$A3616,'Audit Versions'!$L$6:$L$605,"Active"))</f>
        <v/>
      </c>
      <c r="Q3616" s="15" t="n"/>
      <c r="R3616" s="26">
        <f>IF(OR($A3616="",$P3616=0),"",MOD(N($Q3616),$P3616)+1)</f>
        <v/>
      </c>
      <c r="S3616" s="15" t="n"/>
      <c r="T3616" s="25" t="n"/>
      <c r="U3616" s="26">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Builder'!$B$12="",N($S3616)&lt;='Assignment Builder'!$B$12)))</f>
        <v/>
      </c>
      <c r="V3616" s="23" t="n"/>
    </row>
    <row r="3617">
      <c r="A3617" s="23" t="n"/>
      <c r="B3617" s="23" t="n"/>
      <c r="C3617" s="24" t="n"/>
      <c r="D3617" s="15" t="n"/>
      <c r="E3617" s="23" t="n"/>
      <c r="F3617" s="15" t="n"/>
      <c r="G3617" s="23" t="n"/>
      <c r="H3617" s="25" t="n"/>
      <c r="I3617" s="15" t="n"/>
      <c r="J3617" s="26">
        <f>IF($A3617="","",LEN($C3617)-LEN(SUBSTITUTE($C3617,",",""))+1)</f>
        <v/>
      </c>
      <c r="K3617" s="26">
        <f>IF($A3617="","",SUMPRODUCT(--ISNUMBER(SEARCH('Category Dictionary'!$D$5:$D$135&amp;"",$C3617)),--('Category Dictionary'!$D$5:$D$135&lt;&gt;"")))</f>
        <v/>
      </c>
      <c r="L3617" s="27">
        <f>IF($A3617="","",TRIM(IF(ISERROR(FIND(",",$C3617)),$C3617,LEFT($C3617,FIND(",",$C3617)-1))))</f>
        <v/>
      </c>
      <c r="M3617" s="28">
        <f>IF($H3617="","",DATE(YEAR($H3617),MONTH($H3617),1))</f>
        <v/>
      </c>
      <c r="N3617" s="26">
        <f>IF($H3617="","",TODAY()-$H3617)</f>
        <v/>
      </c>
      <c r="O3617" s="15" t="n"/>
      <c r="P3617" s="26">
        <f>IF($A3617="","",COUNTIFS('Audit Versions'!$A$6:$A$605,$A3617,'Audit Versions'!$L$6:$L$605,"Active"))</f>
        <v/>
      </c>
      <c r="Q3617" s="15" t="n"/>
      <c r="R3617" s="26">
        <f>IF(OR($A3617="",$P3617=0),"",MOD(N($Q3617),$P3617)+1)</f>
        <v/>
      </c>
      <c r="S3617" s="15" t="n"/>
      <c r="T3617" s="25" t="n"/>
      <c r="U3617" s="26">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Builder'!$B$12="",N($S3617)&lt;='Assignment Builder'!$B$12)))</f>
        <v/>
      </c>
      <c r="V3617" s="23" t="n"/>
    </row>
    <row r="3618">
      <c r="A3618" s="23" t="n"/>
      <c r="B3618" s="23" t="n"/>
      <c r="C3618" s="24" t="n"/>
      <c r="D3618" s="15" t="n"/>
      <c r="E3618" s="23" t="n"/>
      <c r="F3618" s="15" t="n"/>
      <c r="G3618" s="23" t="n"/>
      <c r="H3618" s="25" t="n"/>
      <c r="I3618" s="15" t="n"/>
      <c r="J3618" s="26">
        <f>IF($A3618="","",LEN($C3618)-LEN(SUBSTITUTE($C3618,",",""))+1)</f>
        <v/>
      </c>
      <c r="K3618" s="26">
        <f>IF($A3618="","",SUMPRODUCT(--ISNUMBER(SEARCH('Category Dictionary'!$D$5:$D$135&amp;"",$C3618)),--('Category Dictionary'!$D$5:$D$135&lt;&gt;"")))</f>
        <v/>
      </c>
      <c r="L3618" s="27">
        <f>IF($A3618="","",TRIM(IF(ISERROR(FIND(",",$C3618)),$C3618,LEFT($C3618,FIND(",",$C3618)-1))))</f>
        <v/>
      </c>
      <c r="M3618" s="28">
        <f>IF($H3618="","",DATE(YEAR($H3618),MONTH($H3618),1))</f>
        <v/>
      </c>
      <c r="N3618" s="26">
        <f>IF($H3618="","",TODAY()-$H3618)</f>
        <v/>
      </c>
      <c r="O3618" s="15" t="n"/>
      <c r="P3618" s="26">
        <f>IF($A3618="","",COUNTIFS('Audit Versions'!$A$6:$A$605,$A3618,'Audit Versions'!$L$6:$L$605,"Active"))</f>
        <v/>
      </c>
      <c r="Q3618" s="15" t="n"/>
      <c r="R3618" s="26">
        <f>IF(OR($A3618="",$P3618=0),"",MOD(N($Q3618),$P3618)+1)</f>
        <v/>
      </c>
      <c r="S3618" s="15" t="n"/>
      <c r="T3618" s="25" t="n"/>
      <c r="U3618" s="26">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Builder'!$B$12="",N($S3618)&lt;='Assignment Builder'!$B$12)))</f>
        <v/>
      </c>
      <c r="V3618" s="23" t="n"/>
    </row>
    <row r="3619">
      <c r="A3619" s="23" t="n"/>
      <c r="B3619" s="23" t="n"/>
      <c r="C3619" s="24" t="n"/>
      <c r="D3619" s="15" t="n"/>
      <c r="E3619" s="23" t="n"/>
      <c r="F3619" s="15" t="n"/>
      <c r="G3619" s="23" t="n"/>
      <c r="H3619" s="25" t="n"/>
      <c r="I3619" s="15" t="n"/>
      <c r="J3619" s="26">
        <f>IF($A3619="","",LEN($C3619)-LEN(SUBSTITUTE($C3619,",",""))+1)</f>
        <v/>
      </c>
      <c r="K3619" s="26">
        <f>IF($A3619="","",SUMPRODUCT(--ISNUMBER(SEARCH('Category Dictionary'!$D$5:$D$135&amp;"",$C3619)),--('Category Dictionary'!$D$5:$D$135&lt;&gt;"")))</f>
        <v/>
      </c>
      <c r="L3619" s="27">
        <f>IF($A3619="","",TRIM(IF(ISERROR(FIND(",",$C3619)),$C3619,LEFT($C3619,FIND(",",$C3619)-1))))</f>
        <v/>
      </c>
      <c r="M3619" s="28">
        <f>IF($H3619="","",DATE(YEAR($H3619),MONTH($H3619),1))</f>
        <v/>
      </c>
      <c r="N3619" s="26">
        <f>IF($H3619="","",TODAY()-$H3619)</f>
        <v/>
      </c>
      <c r="O3619" s="15" t="n"/>
      <c r="P3619" s="26">
        <f>IF($A3619="","",COUNTIFS('Audit Versions'!$A$6:$A$605,$A3619,'Audit Versions'!$L$6:$L$605,"Active"))</f>
        <v/>
      </c>
      <c r="Q3619" s="15" t="n"/>
      <c r="R3619" s="26">
        <f>IF(OR($A3619="",$P3619=0),"",MOD(N($Q3619),$P3619)+1)</f>
        <v/>
      </c>
      <c r="S3619" s="15" t="n"/>
      <c r="T3619" s="25" t="n"/>
      <c r="U3619" s="26">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Builder'!$B$12="",N($S3619)&lt;='Assignment Builder'!$B$12)))</f>
        <v/>
      </c>
      <c r="V3619" s="23" t="n"/>
    </row>
    <row r="3620">
      <c r="A3620" s="23" t="n"/>
      <c r="B3620" s="23" t="n"/>
      <c r="C3620" s="24" t="n"/>
      <c r="D3620" s="15" t="n"/>
      <c r="E3620" s="23" t="n"/>
      <c r="F3620" s="15" t="n"/>
      <c r="G3620" s="23" t="n"/>
      <c r="H3620" s="25" t="n"/>
      <c r="I3620" s="15" t="n"/>
      <c r="J3620" s="26">
        <f>IF($A3620="","",LEN($C3620)-LEN(SUBSTITUTE($C3620,",",""))+1)</f>
        <v/>
      </c>
      <c r="K3620" s="26">
        <f>IF($A3620="","",SUMPRODUCT(--ISNUMBER(SEARCH('Category Dictionary'!$D$5:$D$135&amp;"",$C3620)),--('Category Dictionary'!$D$5:$D$135&lt;&gt;"")))</f>
        <v/>
      </c>
      <c r="L3620" s="27">
        <f>IF($A3620="","",TRIM(IF(ISERROR(FIND(",",$C3620)),$C3620,LEFT($C3620,FIND(",",$C3620)-1))))</f>
        <v/>
      </c>
      <c r="M3620" s="28">
        <f>IF($H3620="","",DATE(YEAR($H3620),MONTH($H3620),1))</f>
        <v/>
      </c>
      <c r="N3620" s="26">
        <f>IF($H3620="","",TODAY()-$H3620)</f>
        <v/>
      </c>
      <c r="O3620" s="15" t="n"/>
      <c r="P3620" s="26">
        <f>IF($A3620="","",COUNTIFS('Audit Versions'!$A$6:$A$605,$A3620,'Audit Versions'!$L$6:$L$605,"Active"))</f>
        <v/>
      </c>
      <c r="Q3620" s="15" t="n"/>
      <c r="R3620" s="26">
        <f>IF(OR($A3620="",$P3620=0),"",MOD(N($Q3620),$P3620)+1)</f>
        <v/>
      </c>
      <c r="S3620" s="15" t="n"/>
      <c r="T3620" s="25" t="n"/>
      <c r="U3620" s="26">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Builder'!$B$12="",N($S3620)&lt;='Assignment Builder'!$B$12)))</f>
        <v/>
      </c>
      <c r="V3620" s="23" t="n"/>
    </row>
    <row r="3621">
      <c r="A3621" s="23" t="n"/>
      <c r="B3621" s="23" t="n"/>
      <c r="C3621" s="24" t="n"/>
      <c r="D3621" s="15" t="n"/>
      <c r="E3621" s="23" t="n"/>
      <c r="F3621" s="15" t="n"/>
      <c r="G3621" s="23" t="n"/>
      <c r="H3621" s="25" t="n"/>
      <c r="I3621" s="15" t="n"/>
      <c r="J3621" s="26">
        <f>IF($A3621="","",LEN($C3621)-LEN(SUBSTITUTE($C3621,",",""))+1)</f>
        <v/>
      </c>
      <c r="K3621" s="26">
        <f>IF($A3621="","",SUMPRODUCT(--ISNUMBER(SEARCH('Category Dictionary'!$D$5:$D$135&amp;"",$C3621)),--('Category Dictionary'!$D$5:$D$135&lt;&gt;"")))</f>
        <v/>
      </c>
      <c r="L3621" s="27">
        <f>IF($A3621="","",TRIM(IF(ISERROR(FIND(",",$C3621)),$C3621,LEFT($C3621,FIND(",",$C3621)-1))))</f>
        <v/>
      </c>
      <c r="M3621" s="28">
        <f>IF($H3621="","",DATE(YEAR($H3621),MONTH($H3621),1))</f>
        <v/>
      </c>
      <c r="N3621" s="26">
        <f>IF($H3621="","",TODAY()-$H3621)</f>
        <v/>
      </c>
      <c r="O3621" s="15" t="n"/>
      <c r="P3621" s="26">
        <f>IF($A3621="","",COUNTIFS('Audit Versions'!$A$6:$A$605,$A3621,'Audit Versions'!$L$6:$L$605,"Active"))</f>
        <v/>
      </c>
      <c r="Q3621" s="15" t="n"/>
      <c r="R3621" s="26">
        <f>IF(OR($A3621="",$P3621=0),"",MOD(N($Q3621),$P3621)+1)</f>
        <v/>
      </c>
      <c r="S3621" s="15" t="n"/>
      <c r="T3621" s="25" t="n"/>
      <c r="U3621" s="26">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Builder'!$B$12="",N($S3621)&lt;='Assignment Builder'!$B$12)))</f>
        <v/>
      </c>
      <c r="V3621" s="23" t="n"/>
    </row>
    <row r="3622">
      <c r="A3622" s="23" t="n"/>
      <c r="B3622" s="23" t="n"/>
      <c r="C3622" s="24" t="n"/>
      <c r="D3622" s="15" t="n"/>
      <c r="E3622" s="23" t="n"/>
      <c r="F3622" s="15" t="n"/>
      <c r="G3622" s="23" t="n"/>
      <c r="H3622" s="25" t="n"/>
      <c r="I3622" s="15" t="n"/>
      <c r="J3622" s="26">
        <f>IF($A3622="","",LEN($C3622)-LEN(SUBSTITUTE($C3622,",",""))+1)</f>
        <v/>
      </c>
      <c r="K3622" s="26">
        <f>IF($A3622="","",SUMPRODUCT(--ISNUMBER(SEARCH('Category Dictionary'!$D$5:$D$135&amp;"",$C3622)),--('Category Dictionary'!$D$5:$D$135&lt;&gt;"")))</f>
        <v/>
      </c>
      <c r="L3622" s="27">
        <f>IF($A3622="","",TRIM(IF(ISERROR(FIND(",",$C3622)),$C3622,LEFT($C3622,FIND(",",$C3622)-1))))</f>
        <v/>
      </c>
      <c r="M3622" s="28">
        <f>IF($H3622="","",DATE(YEAR($H3622),MONTH($H3622),1))</f>
        <v/>
      </c>
      <c r="N3622" s="26">
        <f>IF($H3622="","",TODAY()-$H3622)</f>
        <v/>
      </c>
      <c r="O3622" s="15" t="n"/>
      <c r="P3622" s="26">
        <f>IF($A3622="","",COUNTIFS('Audit Versions'!$A$6:$A$605,$A3622,'Audit Versions'!$L$6:$L$605,"Active"))</f>
        <v/>
      </c>
      <c r="Q3622" s="15" t="n"/>
      <c r="R3622" s="26">
        <f>IF(OR($A3622="",$P3622=0),"",MOD(N($Q3622),$P3622)+1)</f>
        <v/>
      </c>
      <c r="S3622" s="15" t="n"/>
      <c r="T3622" s="25" t="n"/>
      <c r="U3622" s="26">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Builder'!$B$12="",N($S3622)&lt;='Assignment Builder'!$B$12)))</f>
        <v/>
      </c>
      <c r="V3622" s="23" t="n"/>
    </row>
    <row r="3623">
      <c r="A3623" s="23" t="n"/>
      <c r="B3623" s="23" t="n"/>
      <c r="C3623" s="24" t="n"/>
      <c r="D3623" s="15" t="n"/>
      <c r="E3623" s="23" t="n"/>
      <c r="F3623" s="15" t="n"/>
      <c r="G3623" s="23" t="n"/>
      <c r="H3623" s="25" t="n"/>
      <c r="I3623" s="15" t="n"/>
      <c r="J3623" s="26">
        <f>IF($A3623="","",LEN($C3623)-LEN(SUBSTITUTE($C3623,",",""))+1)</f>
        <v/>
      </c>
      <c r="K3623" s="26">
        <f>IF($A3623="","",SUMPRODUCT(--ISNUMBER(SEARCH('Category Dictionary'!$D$5:$D$135&amp;"",$C3623)),--('Category Dictionary'!$D$5:$D$135&lt;&gt;"")))</f>
        <v/>
      </c>
      <c r="L3623" s="27">
        <f>IF($A3623="","",TRIM(IF(ISERROR(FIND(",",$C3623)),$C3623,LEFT($C3623,FIND(",",$C3623)-1))))</f>
        <v/>
      </c>
      <c r="M3623" s="28">
        <f>IF($H3623="","",DATE(YEAR($H3623),MONTH($H3623),1))</f>
        <v/>
      </c>
      <c r="N3623" s="26">
        <f>IF($H3623="","",TODAY()-$H3623)</f>
        <v/>
      </c>
      <c r="O3623" s="15" t="n"/>
      <c r="P3623" s="26">
        <f>IF($A3623="","",COUNTIFS('Audit Versions'!$A$6:$A$605,$A3623,'Audit Versions'!$L$6:$L$605,"Active"))</f>
        <v/>
      </c>
      <c r="Q3623" s="15" t="n"/>
      <c r="R3623" s="26">
        <f>IF(OR($A3623="",$P3623=0),"",MOD(N($Q3623),$P3623)+1)</f>
        <v/>
      </c>
      <c r="S3623" s="15" t="n"/>
      <c r="T3623" s="25" t="n"/>
      <c r="U3623" s="26">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Builder'!$B$12="",N($S3623)&lt;='Assignment Builder'!$B$12)))</f>
        <v/>
      </c>
      <c r="V3623" s="23" t="n"/>
    </row>
    <row r="3624">
      <c r="A3624" s="23" t="n"/>
      <c r="B3624" s="23" t="n"/>
      <c r="C3624" s="24" t="n"/>
      <c r="D3624" s="15" t="n"/>
      <c r="E3624" s="23" t="n"/>
      <c r="F3624" s="15" t="n"/>
      <c r="G3624" s="23" t="n"/>
      <c r="H3624" s="25" t="n"/>
      <c r="I3624" s="15" t="n"/>
      <c r="J3624" s="26">
        <f>IF($A3624="","",LEN($C3624)-LEN(SUBSTITUTE($C3624,",",""))+1)</f>
        <v/>
      </c>
      <c r="K3624" s="26">
        <f>IF($A3624="","",SUMPRODUCT(--ISNUMBER(SEARCH('Category Dictionary'!$D$5:$D$135&amp;"",$C3624)),--('Category Dictionary'!$D$5:$D$135&lt;&gt;"")))</f>
        <v/>
      </c>
      <c r="L3624" s="27">
        <f>IF($A3624="","",TRIM(IF(ISERROR(FIND(",",$C3624)),$C3624,LEFT($C3624,FIND(",",$C3624)-1))))</f>
        <v/>
      </c>
      <c r="M3624" s="28">
        <f>IF($H3624="","",DATE(YEAR($H3624),MONTH($H3624),1))</f>
        <v/>
      </c>
      <c r="N3624" s="26">
        <f>IF($H3624="","",TODAY()-$H3624)</f>
        <v/>
      </c>
      <c r="O3624" s="15" t="n"/>
      <c r="P3624" s="26">
        <f>IF($A3624="","",COUNTIFS('Audit Versions'!$A$6:$A$605,$A3624,'Audit Versions'!$L$6:$L$605,"Active"))</f>
        <v/>
      </c>
      <c r="Q3624" s="15" t="n"/>
      <c r="R3624" s="26">
        <f>IF(OR($A3624="",$P3624=0),"",MOD(N($Q3624),$P3624)+1)</f>
        <v/>
      </c>
      <c r="S3624" s="15" t="n"/>
      <c r="T3624" s="25" t="n"/>
      <c r="U3624" s="26">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Builder'!$B$12="",N($S3624)&lt;='Assignment Builder'!$B$12)))</f>
        <v/>
      </c>
      <c r="V3624" s="23" t="n"/>
    </row>
    <row r="3625">
      <c r="A3625" s="23" t="n"/>
      <c r="B3625" s="23" t="n"/>
      <c r="C3625" s="24" t="n"/>
      <c r="D3625" s="15" t="n"/>
      <c r="E3625" s="23" t="n"/>
      <c r="F3625" s="15" t="n"/>
      <c r="G3625" s="23" t="n"/>
      <c r="H3625" s="25" t="n"/>
      <c r="I3625" s="15" t="n"/>
      <c r="J3625" s="26">
        <f>IF($A3625="","",LEN($C3625)-LEN(SUBSTITUTE($C3625,",",""))+1)</f>
        <v/>
      </c>
      <c r="K3625" s="26">
        <f>IF($A3625="","",SUMPRODUCT(--ISNUMBER(SEARCH('Category Dictionary'!$D$5:$D$135&amp;"",$C3625)),--('Category Dictionary'!$D$5:$D$135&lt;&gt;"")))</f>
        <v/>
      </c>
      <c r="L3625" s="27">
        <f>IF($A3625="","",TRIM(IF(ISERROR(FIND(",",$C3625)),$C3625,LEFT($C3625,FIND(",",$C3625)-1))))</f>
        <v/>
      </c>
      <c r="M3625" s="28">
        <f>IF($H3625="","",DATE(YEAR($H3625),MONTH($H3625),1))</f>
        <v/>
      </c>
      <c r="N3625" s="26">
        <f>IF($H3625="","",TODAY()-$H3625)</f>
        <v/>
      </c>
      <c r="O3625" s="15" t="n"/>
      <c r="P3625" s="26">
        <f>IF($A3625="","",COUNTIFS('Audit Versions'!$A$6:$A$605,$A3625,'Audit Versions'!$L$6:$L$605,"Active"))</f>
        <v/>
      </c>
      <c r="Q3625" s="15" t="n"/>
      <c r="R3625" s="26">
        <f>IF(OR($A3625="",$P3625=0),"",MOD(N($Q3625),$P3625)+1)</f>
        <v/>
      </c>
      <c r="S3625" s="15" t="n"/>
      <c r="T3625" s="25" t="n"/>
      <c r="U3625" s="26">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Builder'!$B$12="",N($S3625)&lt;='Assignment Builder'!$B$12)))</f>
        <v/>
      </c>
      <c r="V3625" s="23" t="n"/>
    </row>
    <row r="3626">
      <c r="A3626" s="23" t="n"/>
      <c r="B3626" s="23" t="n"/>
      <c r="C3626" s="24" t="n"/>
      <c r="D3626" s="15" t="n"/>
      <c r="E3626" s="23" t="n"/>
      <c r="F3626" s="15" t="n"/>
      <c r="G3626" s="23" t="n"/>
      <c r="H3626" s="25" t="n"/>
      <c r="I3626" s="15" t="n"/>
      <c r="J3626" s="26">
        <f>IF($A3626="","",LEN($C3626)-LEN(SUBSTITUTE($C3626,",",""))+1)</f>
        <v/>
      </c>
      <c r="K3626" s="26">
        <f>IF($A3626="","",SUMPRODUCT(--ISNUMBER(SEARCH('Category Dictionary'!$D$5:$D$135&amp;"",$C3626)),--('Category Dictionary'!$D$5:$D$135&lt;&gt;"")))</f>
        <v/>
      </c>
      <c r="L3626" s="27">
        <f>IF($A3626="","",TRIM(IF(ISERROR(FIND(",",$C3626)),$C3626,LEFT($C3626,FIND(",",$C3626)-1))))</f>
        <v/>
      </c>
      <c r="M3626" s="28">
        <f>IF($H3626="","",DATE(YEAR($H3626),MONTH($H3626),1))</f>
        <v/>
      </c>
      <c r="N3626" s="26">
        <f>IF($H3626="","",TODAY()-$H3626)</f>
        <v/>
      </c>
      <c r="O3626" s="15" t="n"/>
      <c r="P3626" s="26">
        <f>IF($A3626="","",COUNTIFS('Audit Versions'!$A$6:$A$605,$A3626,'Audit Versions'!$L$6:$L$605,"Active"))</f>
        <v/>
      </c>
      <c r="Q3626" s="15" t="n"/>
      <c r="R3626" s="26">
        <f>IF(OR($A3626="",$P3626=0),"",MOD(N($Q3626),$P3626)+1)</f>
        <v/>
      </c>
      <c r="S3626" s="15" t="n"/>
      <c r="T3626" s="25" t="n"/>
      <c r="U3626" s="26">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Builder'!$B$12="",N($S3626)&lt;='Assignment Builder'!$B$12)))</f>
        <v/>
      </c>
      <c r="V3626" s="23" t="n"/>
    </row>
    <row r="3627">
      <c r="A3627" s="23" t="n"/>
      <c r="B3627" s="23" t="n"/>
      <c r="C3627" s="24" t="n"/>
      <c r="D3627" s="15" t="n"/>
      <c r="E3627" s="23" t="n"/>
      <c r="F3627" s="15" t="n"/>
      <c r="G3627" s="23" t="n"/>
      <c r="H3627" s="25" t="n"/>
      <c r="I3627" s="15" t="n"/>
      <c r="J3627" s="26">
        <f>IF($A3627="","",LEN($C3627)-LEN(SUBSTITUTE($C3627,",",""))+1)</f>
        <v/>
      </c>
      <c r="K3627" s="26">
        <f>IF($A3627="","",SUMPRODUCT(--ISNUMBER(SEARCH('Category Dictionary'!$D$5:$D$135&amp;"",$C3627)),--('Category Dictionary'!$D$5:$D$135&lt;&gt;"")))</f>
        <v/>
      </c>
      <c r="L3627" s="27">
        <f>IF($A3627="","",TRIM(IF(ISERROR(FIND(",",$C3627)),$C3627,LEFT($C3627,FIND(",",$C3627)-1))))</f>
        <v/>
      </c>
      <c r="M3627" s="28">
        <f>IF($H3627="","",DATE(YEAR($H3627),MONTH($H3627),1))</f>
        <v/>
      </c>
      <c r="N3627" s="26">
        <f>IF($H3627="","",TODAY()-$H3627)</f>
        <v/>
      </c>
      <c r="O3627" s="15" t="n"/>
      <c r="P3627" s="26">
        <f>IF($A3627="","",COUNTIFS('Audit Versions'!$A$6:$A$605,$A3627,'Audit Versions'!$L$6:$L$605,"Active"))</f>
        <v/>
      </c>
      <c r="Q3627" s="15" t="n"/>
      <c r="R3627" s="26">
        <f>IF(OR($A3627="",$P3627=0),"",MOD(N($Q3627),$P3627)+1)</f>
        <v/>
      </c>
      <c r="S3627" s="15" t="n"/>
      <c r="T3627" s="25" t="n"/>
      <c r="U3627" s="26">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Builder'!$B$12="",N($S3627)&lt;='Assignment Builder'!$B$12)))</f>
        <v/>
      </c>
      <c r="V3627" s="23" t="n"/>
    </row>
    <row r="3628">
      <c r="A3628" s="23" t="n"/>
      <c r="B3628" s="23" t="n"/>
      <c r="C3628" s="24" t="n"/>
      <c r="D3628" s="15" t="n"/>
      <c r="E3628" s="23" t="n"/>
      <c r="F3628" s="15" t="n"/>
      <c r="G3628" s="23" t="n"/>
      <c r="H3628" s="25" t="n"/>
      <c r="I3628" s="15" t="n"/>
      <c r="J3628" s="26">
        <f>IF($A3628="","",LEN($C3628)-LEN(SUBSTITUTE($C3628,",",""))+1)</f>
        <v/>
      </c>
      <c r="K3628" s="26">
        <f>IF($A3628="","",SUMPRODUCT(--ISNUMBER(SEARCH('Category Dictionary'!$D$5:$D$135&amp;"",$C3628)),--('Category Dictionary'!$D$5:$D$135&lt;&gt;"")))</f>
        <v/>
      </c>
      <c r="L3628" s="27">
        <f>IF($A3628="","",TRIM(IF(ISERROR(FIND(",",$C3628)),$C3628,LEFT($C3628,FIND(",",$C3628)-1))))</f>
        <v/>
      </c>
      <c r="M3628" s="28">
        <f>IF($H3628="","",DATE(YEAR($H3628),MONTH($H3628),1))</f>
        <v/>
      </c>
      <c r="N3628" s="26">
        <f>IF($H3628="","",TODAY()-$H3628)</f>
        <v/>
      </c>
      <c r="O3628" s="15" t="n"/>
      <c r="P3628" s="26">
        <f>IF($A3628="","",COUNTIFS('Audit Versions'!$A$6:$A$605,$A3628,'Audit Versions'!$L$6:$L$605,"Active"))</f>
        <v/>
      </c>
      <c r="Q3628" s="15" t="n"/>
      <c r="R3628" s="26">
        <f>IF(OR($A3628="",$P3628=0),"",MOD(N($Q3628),$P3628)+1)</f>
        <v/>
      </c>
      <c r="S3628" s="15" t="n"/>
      <c r="T3628" s="25" t="n"/>
      <c r="U3628" s="26">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Builder'!$B$12="",N($S3628)&lt;='Assignment Builder'!$B$12)))</f>
        <v/>
      </c>
      <c r="V3628" s="23" t="n"/>
    </row>
    <row r="3629">
      <c r="A3629" s="23" t="n"/>
      <c r="B3629" s="23" t="n"/>
      <c r="C3629" s="24" t="n"/>
      <c r="D3629" s="15" t="n"/>
      <c r="E3629" s="23" t="n"/>
      <c r="F3629" s="15" t="n"/>
      <c r="G3629" s="23" t="n"/>
      <c r="H3629" s="25" t="n"/>
      <c r="I3629" s="15" t="n"/>
      <c r="J3629" s="26">
        <f>IF($A3629="","",LEN($C3629)-LEN(SUBSTITUTE($C3629,",",""))+1)</f>
        <v/>
      </c>
      <c r="K3629" s="26">
        <f>IF($A3629="","",SUMPRODUCT(--ISNUMBER(SEARCH('Category Dictionary'!$D$5:$D$135&amp;"",$C3629)),--('Category Dictionary'!$D$5:$D$135&lt;&gt;"")))</f>
        <v/>
      </c>
      <c r="L3629" s="27">
        <f>IF($A3629="","",TRIM(IF(ISERROR(FIND(",",$C3629)),$C3629,LEFT($C3629,FIND(",",$C3629)-1))))</f>
        <v/>
      </c>
      <c r="M3629" s="28">
        <f>IF($H3629="","",DATE(YEAR($H3629),MONTH($H3629),1))</f>
        <v/>
      </c>
      <c r="N3629" s="26">
        <f>IF($H3629="","",TODAY()-$H3629)</f>
        <v/>
      </c>
      <c r="O3629" s="15" t="n"/>
      <c r="P3629" s="26">
        <f>IF($A3629="","",COUNTIFS('Audit Versions'!$A$6:$A$605,$A3629,'Audit Versions'!$L$6:$L$605,"Active"))</f>
        <v/>
      </c>
      <c r="Q3629" s="15" t="n"/>
      <c r="R3629" s="26">
        <f>IF(OR($A3629="",$P3629=0),"",MOD(N($Q3629),$P3629)+1)</f>
        <v/>
      </c>
      <c r="S3629" s="15" t="n"/>
      <c r="T3629" s="25" t="n"/>
      <c r="U3629" s="26">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Builder'!$B$12="",N($S3629)&lt;='Assignment Builder'!$B$12)))</f>
        <v/>
      </c>
      <c r="V3629" s="23" t="n"/>
    </row>
    <row r="3630">
      <c r="A3630" s="23" t="n"/>
      <c r="B3630" s="23" t="n"/>
      <c r="C3630" s="24" t="n"/>
      <c r="D3630" s="15" t="n"/>
      <c r="E3630" s="23" t="n"/>
      <c r="F3630" s="15" t="n"/>
      <c r="G3630" s="23" t="n"/>
      <c r="H3630" s="25" t="n"/>
      <c r="I3630" s="15" t="n"/>
      <c r="J3630" s="26">
        <f>IF($A3630="","",LEN($C3630)-LEN(SUBSTITUTE($C3630,",",""))+1)</f>
        <v/>
      </c>
      <c r="K3630" s="26">
        <f>IF($A3630="","",SUMPRODUCT(--ISNUMBER(SEARCH('Category Dictionary'!$D$5:$D$135&amp;"",$C3630)),--('Category Dictionary'!$D$5:$D$135&lt;&gt;"")))</f>
        <v/>
      </c>
      <c r="L3630" s="27">
        <f>IF($A3630="","",TRIM(IF(ISERROR(FIND(",",$C3630)),$C3630,LEFT($C3630,FIND(",",$C3630)-1))))</f>
        <v/>
      </c>
      <c r="M3630" s="28">
        <f>IF($H3630="","",DATE(YEAR($H3630),MONTH($H3630),1))</f>
        <v/>
      </c>
      <c r="N3630" s="26">
        <f>IF($H3630="","",TODAY()-$H3630)</f>
        <v/>
      </c>
      <c r="O3630" s="15" t="n"/>
      <c r="P3630" s="26">
        <f>IF($A3630="","",COUNTIFS('Audit Versions'!$A$6:$A$605,$A3630,'Audit Versions'!$L$6:$L$605,"Active"))</f>
        <v/>
      </c>
      <c r="Q3630" s="15" t="n"/>
      <c r="R3630" s="26">
        <f>IF(OR($A3630="",$P3630=0),"",MOD(N($Q3630),$P3630)+1)</f>
        <v/>
      </c>
      <c r="S3630" s="15" t="n"/>
      <c r="T3630" s="25" t="n"/>
      <c r="U3630" s="26">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Builder'!$B$12="",N($S3630)&lt;='Assignment Builder'!$B$12)))</f>
        <v/>
      </c>
      <c r="V3630" s="23" t="n"/>
    </row>
    <row r="3631">
      <c r="A3631" s="23" t="n"/>
      <c r="B3631" s="23" t="n"/>
      <c r="C3631" s="24" t="n"/>
      <c r="D3631" s="15" t="n"/>
      <c r="E3631" s="23" t="n"/>
      <c r="F3631" s="15" t="n"/>
      <c r="G3631" s="23" t="n"/>
      <c r="H3631" s="25" t="n"/>
      <c r="I3631" s="15" t="n"/>
      <c r="J3631" s="26">
        <f>IF($A3631="","",LEN($C3631)-LEN(SUBSTITUTE($C3631,",",""))+1)</f>
        <v/>
      </c>
      <c r="K3631" s="26">
        <f>IF($A3631="","",SUMPRODUCT(--ISNUMBER(SEARCH('Category Dictionary'!$D$5:$D$135&amp;"",$C3631)),--('Category Dictionary'!$D$5:$D$135&lt;&gt;"")))</f>
        <v/>
      </c>
      <c r="L3631" s="27">
        <f>IF($A3631="","",TRIM(IF(ISERROR(FIND(",",$C3631)),$C3631,LEFT($C3631,FIND(",",$C3631)-1))))</f>
        <v/>
      </c>
      <c r="M3631" s="28">
        <f>IF($H3631="","",DATE(YEAR($H3631),MONTH($H3631),1))</f>
        <v/>
      </c>
      <c r="N3631" s="26">
        <f>IF($H3631="","",TODAY()-$H3631)</f>
        <v/>
      </c>
      <c r="O3631" s="15" t="n"/>
      <c r="P3631" s="26">
        <f>IF($A3631="","",COUNTIFS('Audit Versions'!$A$6:$A$605,$A3631,'Audit Versions'!$L$6:$L$605,"Active"))</f>
        <v/>
      </c>
      <c r="Q3631" s="15" t="n"/>
      <c r="R3631" s="26">
        <f>IF(OR($A3631="",$P3631=0),"",MOD(N($Q3631),$P3631)+1)</f>
        <v/>
      </c>
      <c r="S3631" s="15" t="n"/>
      <c r="T3631" s="25" t="n"/>
      <c r="U3631" s="26">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Builder'!$B$12="",N($S3631)&lt;='Assignment Builder'!$B$12)))</f>
        <v/>
      </c>
      <c r="V3631" s="23" t="n"/>
    </row>
    <row r="3632">
      <c r="A3632" s="23" t="n"/>
      <c r="B3632" s="23" t="n"/>
      <c r="C3632" s="24" t="n"/>
      <c r="D3632" s="15" t="n"/>
      <c r="E3632" s="23" t="n"/>
      <c r="F3632" s="15" t="n"/>
      <c r="G3632" s="23" t="n"/>
      <c r="H3632" s="25" t="n"/>
      <c r="I3632" s="15" t="n"/>
      <c r="J3632" s="26">
        <f>IF($A3632="","",LEN($C3632)-LEN(SUBSTITUTE($C3632,",",""))+1)</f>
        <v/>
      </c>
      <c r="K3632" s="26">
        <f>IF($A3632="","",SUMPRODUCT(--ISNUMBER(SEARCH('Category Dictionary'!$D$5:$D$135&amp;"",$C3632)),--('Category Dictionary'!$D$5:$D$135&lt;&gt;"")))</f>
        <v/>
      </c>
      <c r="L3632" s="27">
        <f>IF($A3632="","",TRIM(IF(ISERROR(FIND(",",$C3632)),$C3632,LEFT($C3632,FIND(",",$C3632)-1))))</f>
        <v/>
      </c>
      <c r="M3632" s="28">
        <f>IF($H3632="","",DATE(YEAR($H3632),MONTH($H3632),1))</f>
        <v/>
      </c>
      <c r="N3632" s="26">
        <f>IF($H3632="","",TODAY()-$H3632)</f>
        <v/>
      </c>
      <c r="O3632" s="15" t="n"/>
      <c r="P3632" s="26">
        <f>IF($A3632="","",COUNTIFS('Audit Versions'!$A$6:$A$605,$A3632,'Audit Versions'!$L$6:$L$605,"Active"))</f>
        <v/>
      </c>
      <c r="Q3632" s="15" t="n"/>
      <c r="R3632" s="26">
        <f>IF(OR($A3632="",$P3632=0),"",MOD(N($Q3632),$P3632)+1)</f>
        <v/>
      </c>
      <c r="S3632" s="15" t="n"/>
      <c r="T3632" s="25" t="n"/>
      <c r="U3632" s="26">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Builder'!$B$12="",N($S3632)&lt;='Assignment Builder'!$B$12)))</f>
        <v/>
      </c>
      <c r="V3632" s="23" t="n"/>
    </row>
    <row r="3633">
      <c r="A3633" s="23" t="n"/>
      <c r="B3633" s="23" t="n"/>
      <c r="C3633" s="24" t="n"/>
      <c r="D3633" s="15" t="n"/>
      <c r="E3633" s="23" t="n"/>
      <c r="F3633" s="15" t="n"/>
      <c r="G3633" s="23" t="n"/>
      <c r="H3633" s="25" t="n"/>
      <c r="I3633" s="15" t="n"/>
      <c r="J3633" s="26">
        <f>IF($A3633="","",LEN($C3633)-LEN(SUBSTITUTE($C3633,",",""))+1)</f>
        <v/>
      </c>
      <c r="K3633" s="26">
        <f>IF($A3633="","",SUMPRODUCT(--ISNUMBER(SEARCH('Category Dictionary'!$D$5:$D$135&amp;"",$C3633)),--('Category Dictionary'!$D$5:$D$135&lt;&gt;"")))</f>
        <v/>
      </c>
      <c r="L3633" s="27">
        <f>IF($A3633="","",TRIM(IF(ISERROR(FIND(",",$C3633)),$C3633,LEFT($C3633,FIND(",",$C3633)-1))))</f>
        <v/>
      </c>
      <c r="M3633" s="28">
        <f>IF($H3633="","",DATE(YEAR($H3633),MONTH($H3633),1))</f>
        <v/>
      </c>
      <c r="N3633" s="26">
        <f>IF($H3633="","",TODAY()-$H3633)</f>
        <v/>
      </c>
      <c r="O3633" s="15" t="n"/>
      <c r="P3633" s="26">
        <f>IF($A3633="","",COUNTIFS('Audit Versions'!$A$6:$A$605,$A3633,'Audit Versions'!$L$6:$L$605,"Active"))</f>
        <v/>
      </c>
      <c r="Q3633" s="15" t="n"/>
      <c r="R3633" s="26">
        <f>IF(OR($A3633="",$P3633=0),"",MOD(N($Q3633),$P3633)+1)</f>
        <v/>
      </c>
      <c r="S3633" s="15" t="n"/>
      <c r="T3633" s="25" t="n"/>
      <c r="U3633" s="26">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Builder'!$B$12="",N($S3633)&lt;='Assignment Builder'!$B$12)))</f>
        <v/>
      </c>
      <c r="V3633" s="23" t="n"/>
    </row>
    <row r="3634">
      <c r="A3634" s="23" t="n"/>
      <c r="B3634" s="23" t="n"/>
      <c r="C3634" s="24" t="n"/>
      <c r="D3634" s="15" t="n"/>
      <c r="E3634" s="23" t="n"/>
      <c r="F3634" s="15" t="n"/>
      <c r="G3634" s="23" t="n"/>
      <c r="H3634" s="25" t="n"/>
      <c r="I3634" s="15" t="n"/>
      <c r="J3634" s="26">
        <f>IF($A3634="","",LEN($C3634)-LEN(SUBSTITUTE($C3634,",",""))+1)</f>
        <v/>
      </c>
      <c r="K3634" s="26">
        <f>IF($A3634="","",SUMPRODUCT(--ISNUMBER(SEARCH('Category Dictionary'!$D$5:$D$135&amp;"",$C3634)),--('Category Dictionary'!$D$5:$D$135&lt;&gt;"")))</f>
        <v/>
      </c>
      <c r="L3634" s="27">
        <f>IF($A3634="","",TRIM(IF(ISERROR(FIND(",",$C3634)),$C3634,LEFT($C3634,FIND(",",$C3634)-1))))</f>
        <v/>
      </c>
      <c r="M3634" s="28">
        <f>IF($H3634="","",DATE(YEAR($H3634),MONTH($H3634),1))</f>
        <v/>
      </c>
      <c r="N3634" s="26">
        <f>IF($H3634="","",TODAY()-$H3634)</f>
        <v/>
      </c>
      <c r="O3634" s="15" t="n"/>
      <c r="P3634" s="26">
        <f>IF($A3634="","",COUNTIFS('Audit Versions'!$A$6:$A$605,$A3634,'Audit Versions'!$L$6:$L$605,"Active"))</f>
        <v/>
      </c>
      <c r="Q3634" s="15" t="n"/>
      <c r="R3634" s="26">
        <f>IF(OR($A3634="",$P3634=0),"",MOD(N($Q3634),$P3634)+1)</f>
        <v/>
      </c>
      <c r="S3634" s="15" t="n"/>
      <c r="T3634" s="25" t="n"/>
      <c r="U3634" s="26">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Builder'!$B$12="",N($S3634)&lt;='Assignment Builder'!$B$12)))</f>
        <v/>
      </c>
      <c r="V3634" s="23" t="n"/>
    </row>
    <row r="3635">
      <c r="A3635" s="23" t="n"/>
      <c r="B3635" s="23" t="n"/>
      <c r="C3635" s="24" t="n"/>
      <c r="D3635" s="15" t="n"/>
      <c r="E3635" s="23" t="n"/>
      <c r="F3635" s="15" t="n"/>
      <c r="G3635" s="23" t="n"/>
      <c r="H3635" s="25" t="n"/>
      <c r="I3635" s="15" t="n"/>
      <c r="J3635" s="26">
        <f>IF($A3635="","",LEN($C3635)-LEN(SUBSTITUTE($C3635,",",""))+1)</f>
        <v/>
      </c>
      <c r="K3635" s="26">
        <f>IF($A3635="","",SUMPRODUCT(--ISNUMBER(SEARCH('Category Dictionary'!$D$5:$D$135&amp;"",$C3635)),--('Category Dictionary'!$D$5:$D$135&lt;&gt;"")))</f>
        <v/>
      </c>
      <c r="L3635" s="27">
        <f>IF($A3635="","",TRIM(IF(ISERROR(FIND(",",$C3635)),$C3635,LEFT($C3635,FIND(",",$C3635)-1))))</f>
        <v/>
      </c>
      <c r="M3635" s="28">
        <f>IF($H3635="","",DATE(YEAR($H3635),MONTH($H3635),1))</f>
        <v/>
      </c>
      <c r="N3635" s="26">
        <f>IF($H3635="","",TODAY()-$H3635)</f>
        <v/>
      </c>
      <c r="O3635" s="15" t="n"/>
      <c r="P3635" s="26">
        <f>IF($A3635="","",COUNTIFS('Audit Versions'!$A$6:$A$605,$A3635,'Audit Versions'!$L$6:$L$605,"Active"))</f>
        <v/>
      </c>
      <c r="Q3635" s="15" t="n"/>
      <c r="R3635" s="26">
        <f>IF(OR($A3635="",$P3635=0),"",MOD(N($Q3635),$P3635)+1)</f>
        <v/>
      </c>
      <c r="S3635" s="15" t="n"/>
      <c r="T3635" s="25" t="n"/>
      <c r="U3635" s="26">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Builder'!$B$12="",N($S3635)&lt;='Assignment Builder'!$B$12)))</f>
        <v/>
      </c>
      <c r="V3635" s="23" t="n"/>
    </row>
    <row r="3636">
      <c r="A3636" s="23" t="n"/>
      <c r="B3636" s="23" t="n"/>
      <c r="C3636" s="24" t="n"/>
      <c r="D3636" s="15" t="n"/>
      <c r="E3636" s="23" t="n"/>
      <c r="F3636" s="15" t="n"/>
      <c r="G3636" s="23" t="n"/>
      <c r="H3636" s="25" t="n"/>
      <c r="I3636" s="15" t="n"/>
      <c r="J3636" s="26">
        <f>IF($A3636="","",LEN($C3636)-LEN(SUBSTITUTE($C3636,",",""))+1)</f>
        <v/>
      </c>
      <c r="K3636" s="26">
        <f>IF($A3636="","",SUMPRODUCT(--ISNUMBER(SEARCH('Category Dictionary'!$D$5:$D$135&amp;"",$C3636)),--('Category Dictionary'!$D$5:$D$135&lt;&gt;"")))</f>
        <v/>
      </c>
      <c r="L3636" s="27">
        <f>IF($A3636="","",TRIM(IF(ISERROR(FIND(",",$C3636)),$C3636,LEFT($C3636,FIND(",",$C3636)-1))))</f>
        <v/>
      </c>
      <c r="M3636" s="28">
        <f>IF($H3636="","",DATE(YEAR($H3636),MONTH($H3636),1))</f>
        <v/>
      </c>
      <c r="N3636" s="26">
        <f>IF($H3636="","",TODAY()-$H3636)</f>
        <v/>
      </c>
      <c r="O3636" s="15" t="n"/>
      <c r="P3636" s="26">
        <f>IF($A3636="","",COUNTIFS('Audit Versions'!$A$6:$A$605,$A3636,'Audit Versions'!$L$6:$L$605,"Active"))</f>
        <v/>
      </c>
      <c r="Q3636" s="15" t="n"/>
      <c r="R3636" s="26">
        <f>IF(OR($A3636="",$P3636=0),"",MOD(N($Q3636),$P3636)+1)</f>
        <v/>
      </c>
      <c r="S3636" s="15" t="n"/>
      <c r="T3636" s="25" t="n"/>
      <c r="U3636" s="26">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Builder'!$B$12="",N($S3636)&lt;='Assignment Builder'!$B$12)))</f>
        <v/>
      </c>
      <c r="V3636" s="23" t="n"/>
    </row>
    <row r="3637">
      <c r="A3637" s="23" t="n"/>
      <c r="B3637" s="23" t="n"/>
      <c r="C3637" s="24" t="n"/>
      <c r="D3637" s="15" t="n"/>
      <c r="E3637" s="23" t="n"/>
      <c r="F3637" s="15" t="n"/>
      <c r="G3637" s="23" t="n"/>
      <c r="H3637" s="25" t="n"/>
      <c r="I3637" s="15" t="n"/>
      <c r="J3637" s="26">
        <f>IF($A3637="","",LEN($C3637)-LEN(SUBSTITUTE($C3637,",",""))+1)</f>
        <v/>
      </c>
      <c r="K3637" s="26">
        <f>IF($A3637="","",SUMPRODUCT(--ISNUMBER(SEARCH('Category Dictionary'!$D$5:$D$135&amp;"",$C3637)),--('Category Dictionary'!$D$5:$D$135&lt;&gt;"")))</f>
        <v/>
      </c>
      <c r="L3637" s="27">
        <f>IF($A3637="","",TRIM(IF(ISERROR(FIND(",",$C3637)),$C3637,LEFT($C3637,FIND(",",$C3637)-1))))</f>
        <v/>
      </c>
      <c r="M3637" s="28">
        <f>IF($H3637="","",DATE(YEAR($H3637),MONTH($H3637),1))</f>
        <v/>
      </c>
      <c r="N3637" s="26">
        <f>IF($H3637="","",TODAY()-$H3637)</f>
        <v/>
      </c>
      <c r="O3637" s="15" t="n"/>
      <c r="P3637" s="26">
        <f>IF($A3637="","",COUNTIFS('Audit Versions'!$A$6:$A$605,$A3637,'Audit Versions'!$L$6:$L$605,"Active"))</f>
        <v/>
      </c>
      <c r="Q3637" s="15" t="n"/>
      <c r="R3637" s="26">
        <f>IF(OR($A3637="",$P3637=0),"",MOD(N($Q3637),$P3637)+1)</f>
        <v/>
      </c>
      <c r="S3637" s="15" t="n"/>
      <c r="T3637" s="25" t="n"/>
      <c r="U3637" s="26">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Builder'!$B$12="",N($S3637)&lt;='Assignment Builder'!$B$12)))</f>
        <v/>
      </c>
      <c r="V3637" s="23" t="n"/>
    </row>
    <row r="3638">
      <c r="A3638" s="23" t="n"/>
      <c r="B3638" s="23" t="n"/>
      <c r="C3638" s="24" t="n"/>
      <c r="D3638" s="15" t="n"/>
      <c r="E3638" s="23" t="n"/>
      <c r="F3638" s="15" t="n"/>
      <c r="G3638" s="23" t="n"/>
      <c r="H3638" s="25" t="n"/>
      <c r="I3638" s="15" t="n"/>
      <c r="J3638" s="26">
        <f>IF($A3638="","",LEN($C3638)-LEN(SUBSTITUTE($C3638,",",""))+1)</f>
        <v/>
      </c>
      <c r="K3638" s="26">
        <f>IF($A3638="","",SUMPRODUCT(--ISNUMBER(SEARCH('Category Dictionary'!$D$5:$D$135&amp;"",$C3638)),--('Category Dictionary'!$D$5:$D$135&lt;&gt;"")))</f>
        <v/>
      </c>
      <c r="L3638" s="27">
        <f>IF($A3638="","",TRIM(IF(ISERROR(FIND(",",$C3638)),$C3638,LEFT($C3638,FIND(",",$C3638)-1))))</f>
        <v/>
      </c>
      <c r="M3638" s="28">
        <f>IF($H3638="","",DATE(YEAR($H3638),MONTH($H3638),1))</f>
        <v/>
      </c>
      <c r="N3638" s="26">
        <f>IF($H3638="","",TODAY()-$H3638)</f>
        <v/>
      </c>
      <c r="O3638" s="15" t="n"/>
      <c r="P3638" s="26">
        <f>IF($A3638="","",COUNTIFS('Audit Versions'!$A$6:$A$605,$A3638,'Audit Versions'!$L$6:$L$605,"Active"))</f>
        <v/>
      </c>
      <c r="Q3638" s="15" t="n"/>
      <c r="R3638" s="26">
        <f>IF(OR($A3638="",$P3638=0),"",MOD(N($Q3638),$P3638)+1)</f>
        <v/>
      </c>
      <c r="S3638" s="15" t="n"/>
      <c r="T3638" s="25" t="n"/>
      <c r="U3638" s="26">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Builder'!$B$12="",N($S3638)&lt;='Assignment Builder'!$B$12)))</f>
        <v/>
      </c>
      <c r="V3638" s="23" t="n"/>
    </row>
    <row r="3639">
      <c r="A3639" s="23" t="n"/>
      <c r="B3639" s="23" t="n"/>
      <c r="C3639" s="24" t="n"/>
      <c r="D3639" s="15" t="n"/>
      <c r="E3639" s="23" t="n"/>
      <c r="F3639" s="15" t="n"/>
      <c r="G3639" s="23" t="n"/>
      <c r="H3639" s="25" t="n"/>
      <c r="I3639" s="15" t="n"/>
      <c r="J3639" s="26">
        <f>IF($A3639="","",LEN($C3639)-LEN(SUBSTITUTE($C3639,",",""))+1)</f>
        <v/>
      </c>
      <c r="K3639" s="26">
        <f>IF($A3639="","",SUMPRODUCT(--ISNUMBER(SEARCH('Category Dictionary'!$D$5:$D$135&amp;"",$C3639)),--('Category Dictionary'!$D$5:$D$135&lt;&gt;"")))</f>
        <v/>
      </c>
      <c r="L3639" s="27">
        <f>IF($A3639="","",TRIM(IF(ISERROR(FIND(",",$C3639)),$C3639,LEFT($C3639,FIND(",",$C3639)-1))))</f>
        <v/>
      </c>
      <c r="M3639" s="28">
        <f>IF($H3639="","",DATE(YEAR($H3639),MONTH($H3639),1))</f>
        <v/>
      </c>
      <c r="N3639" s="26">
        <f>IF($H3639="","",TODAY()-$H3639)</f>
        <v/>
      </c>
      <c r="O3639" s="15" t="n"/>
      <c r="P3639" s="26">
        <f>IF($A3639="","",COUNTIFS('Audit Versions'!$A$6:$A$605,$A3639,'Audit Versions'!$L$6:$L$605,"Active"))</f>
        <v/>
      </c>
      <c r="Q3639" s="15" t="n"/>
      <c r="R3639" s="26">
        <f>IF(OR($A3639="",$P3639=0),"",MOD(N($Q3639),$P3639)+1)</f>
        <v/>
      </c>
      <c r="S3639" s="15" t="n"/>
      <c r="T3639" s="25" t="n"/>
      <c r="U3639" s="26">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Builder'!$B$12="",N($S3639)&lt;='Assignment Builder'!$B$12)))</f>
        <v/>
      </c>
      <c r="V3639" s="23" t="n"/>
    </row>
    <row r="3640">
      <c r="A3640" s="23" t="n"/>
      <c r="B3640" s="23" t="n"/>
      <c r="C3640" s="24" t="n"/>
      <c r="D3640" s="15" t="n"/>
      <c r="E3640" s="23" t="n"/>
      <c r="F3640" s="15" t="n"/>
      <c r="G3640" s="23" t="n"/>
      <c r="H3640" s="25" t="n"/>
      <c r="I3640" s="15" t="n"/>
      <c r="J3640" s="26">
        <f>IF($A3640="","",LEN($C3640)-LEN(SUBSTITUTE($C3640,",",""))+1)</f>
        <v/>
      </c>
      <c r="K3640" s="26">
        <f>IF($A3640="","",SUMPRODUCT(--ISNUMBER(SEARCH('Category Dictionary'!$D$5:$D$135&amp;"",$C3640)),--('Category Dictionary'!$D$5:$D$135&lt;&gt;"")))</f>
        <v/>
      </c>
      <c r="L3640" s="27">
        <f>IF($A3640="","",TRIM(IF(ISERROR(FIND(",",$C3640)),$C3640,LEFT($C3640,FIND(",",$C3640)-1))))</f>
        <v/>
      </c>
      <c r="M3640" s="28">
        <f>IF($H3640="","",DATE(YEAR($H3640),MONTH($H3640),1))</f>
        <v/>
      </c>
      <c r="N3640" s="26">
        <f>IF($H3640="","",TODAY()-$H3640)</f>
        <v/>
      </c>
      <c r="O3640" s="15" t="n"/>
      <c r="P3640" s="26">
        <f>IF($A3640="","",COUNTIFS('Audit Versions'!$A$6:$A$605,$A3640,'Audit Versions'!$L$6:$L$605,"Active"))</f>
        <v/>
      </c>
      <c r="Q3640" s="15" t="n"/>
      <c r="R3640" s="26">
        <f>IF(OR($A3640="",$P3640=0),"",MOD(N($Q3640),$P3640)+1)</f>
        <v/>
      </c>
      <c r="S3640" s="15" t="n"/>
      <c r="T3640" s="25" t="n"/>
      <c r="U3640" s="26">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Builder'!$B$12="",N($S3640)&lt;='Assignment Builder'!$B$12)))</f>
        <v/>
      </c>
      <c r="V3640" s="23" t="n"/>
    </row>
    <row r="3641">
      <c r="A3641" s="23" t="n"/>
      <c r="B3641" s="23" t="n"/>
      <c r="C3641" s="24" t="n"/>
      <c r="D3641" s="15" t="n"/>
      <c r="E3641" s="23" t="n"/>
      <c r="F3641" s="15" t="n"/>
      <c r="G3641" s="23" t="n"/>
      <c r="H3641" s="25" t="n"/>
      <c r="I3641" s="15" t="n"/>
      <c r="J3641" s="26">
        <f>IF($A3641="","",LEN($C3641)-LEN(SUBSTITUTE($C3641,",",""))+1)</f>
        <v/>
      </c>
      <c r="K3641" s="26">
        <f>IF($A3641="","",SUMPRODUCT(--ISNUMBER(SEARCH('Category Dictionary'!$D$5:$D$135&amp;"",$C3641)),--('Category Dictionary'!$D$5:$D$135&lt;&gt;"")))</f>
        <v/>
      </c>
      <c r="L3641" s="27">
        <f>IF($A3641="","",TRIM(IF(ISERROR(FIND(",",$C3641)),$C3641,LEFT($C3641,FIND(",",$C3641)-1))))</f>
        <v/>
      </c>
      <c r="M3641" s="28">
        <f>IF($H3641="","",DATE(YEAR($H3641),MONTH($H3641),1))</f>
        <v/>
      </c>
      <c r="N3641" s="26">
        <f>IF($H3641="","",TODAY()-$H3641)</f>
        <v/>
      </c>
      <c r="O3641" s="15" t="n"/>
      <c r="P3641" s="26">
        <f>IF($A3641="","",COUNTIFS('Audit Versions'!$A$6:$A$605,$A3641,'Audit Versions'!$L$6:$L$605,"Active"))</f>
        <v/>
      </c>
      <c r="Q3641" s="15" t="n"/>
      <c r="R3641" s="26">
        <f>IF(OR($A3641="",$P3641=0),"",MOD(N($Q3641),$P3641)+1)</f>
        <v/>
      </c>
      <c r="S3641" s="15" t="n"/>
      <c r="T3641" s="25" t="n"/>
      <c r="U3641" s="26">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Builder'!$B$12="",N($S3641)&lt;='Assignment Builder'!$B$12)))</f>
        <v/>
      </c>
      <c r="V3641" s="23" t="n"/>
    </row>
    <row r="3642">
      <c r="A3642" s="23" t="n"/>
      <c r="B3642" s="23" t="n"/>
      <c r="C3642" s="24" t="n"/>
      <c r="D3642" s="15" t="n"/>
      <c r="E3642" s="23" t="n"/>
      <c r="F3642" s="15" t="n"/>
      <c r="G3642" s="23" t="n"/>
      <c r="H3642" s="25" t="n"/>
      <c r="I3642" s="15" t="n"/>
      <c r="J3642" s="26">
        <f>IF($A3642="","",LEN($C3642)-LEN(SUBSTITUTE($C3642,",",""))+1)</f>
        <v/>
      </c>
      <c r="K3642" s="26">
        <f>IF($A3642="","",SUMPRODUCT(--ISNUMBER(SEARCH('Category Dictionary'!$D$5:$D$135&amp;"",$C3642)),--('Category Dictionary'!$D$5:$D$135&lt;&gt;"")))</f>
        <v/>
      </c>
      <c r="L3642" s="27">
        <f>IF($A3642="","",TRIM(IF(ISERROR(FIND(",",$C3642)),$C3642,LEFT($C3642,FIND(",",$C3642)-1))))</f>
        <v/>
      </c>
      <c r="M3642" s="28">
        <f>IF($H3642="","",DATE(YEAR($H3642),MONTH($H3642),1))</f>
        <v/>
      </c>
      <c r="N3642" s="26">
        <f>IF($H3642="","",TODAY()-$H3642)</f>
        <v/>
      </c>
      <c r="O3642" s="15" t="n"/>
      <c r="P3642" s="26">
        <f>IF($A3642="","",COUNTIFS('Audit Versions'!$A$6:$A$605,$A3642,'Audit Versions'!$L$6:$L$605,"Active"))</f>
        <v/>
      </c>
      <c r="Q3642" s="15" t="n"/>
      <c r="R3642" s="26">
        <f>IF(OR($A3642="",$P3642=0),"",MOD(N($Q3642),$P3642)+1)</f>
        <v/>
      </c>
      <c r="S3642" s="15" t="n"/>
      <c r="T3642" s="25" t="n"/>
      <c r="U3642" s="26">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Builder'!$B$12="",N($S3642)&lt;='Assignment Builder'!$B$12)))</f>
        <v/>
      </c>
      <c r="V3642" s="23" t="n"/>
    </row>
    <row r="3643">
      <c r="A3643" s="23" t="n"/>
      <c r="B3643" s="23" t="n"/>
      <c r="C3643" s="24" t="n"/>
      <c r="D3643" s="15" t="n"/>
      <c r="E3643" s="23" t="n"/>
      <c r="F3643" s="15" t="n"/>
      <c r="G3643" s="23" t="n"/>
      <c r="H3643" s="25" t="n"/>
      <c r="I3643" s="15" t="n"/>
      <c r="J3643" s="26">
        <f>IF($A3643="","",LEN($C3643)-LEN(SUBSTITUTE($C3643,",",""))+1)</f>
        <v/>
      </c>
      <c r="K3643" s="26">
        <f>IF($A3643="","",SUMPRODUCT(--ISNUMBER(SEARCH('Category Dictionary'!$D$5:$D$135&amp;"",$C3643)),--('Category Dictionary'!$D$5:$D$135&lt;&gt;"")))</f>
        <v/>
      </c>
      <c r="L3643" s="27">
        <f>IF($A3643="","",TRIM(IF(ISERROR(FIND(",",$C3643)),$C3643,LEFT($C3643,FIND(",",$C3643)-1))))</f>
        <v/>
      </c>
      <c r="M3643" s="28">
        <f>IF($H3643="","",DATE(YEAR($H3643),MONTH($H3643),1))</f>
        <v/>
      </c>
      <c r="N3643" s="26">
        <f>IF($H3643="","",TODAY()-$H3643)</f>
        <v/>
      </c>
      <c r="O3643" s="15" t="n"/>
      <c r="P3643" s="26">
        <f>IF($A3643="","",COUNTIFS('Audit Versions'!$A$6:$A$605,$A3643,'Audit Versions'!$L$6:$L$605,"Active"))</f>
        <v/>
      </c>
      <c r="Q3643" s="15" t="n"/>
      <c r="R3643" s="26">
        <f>IF(OR($A3643="",$P3643=0),"",MOD(N($Q3643),$P3643)+1)</f>
        <v/>
      </c>
      <c r="S3643" s="15" t="n"/>
      <c r="T3643" s="25" t="n"/>
      <c r="U3643" s="26">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Builder'!$B$12="",N($S3643)&lt;='Assignment Builder'!$B$12)))</f>
        <v/>
      </c>
      <c r="V3643" s="23" t="n"/>
    </row>
    <row r="3644">
      <c r="A3644" s="23" t="n"/>
      <c r="B3644" s="23" t="n"/>
      <c r="C3644" s="24" t="n"/>
      <c r="D3644" s="15" t="n"/>
      <c r="E3644" s="23" t="n"/>
      <c r="F3644" s="15" t="n"/>
      <c r="G3644" s="23" t="n"/>
      <c r="H3644" s="25" t="n"/>
      <c r="I3644" s="15" t="n"/>
      <c r="J3644" s="26">
        <f>IF($A3644="","",LEN($C3644)-LEN(SUBSTITUTE($C3644,",",""))+1)</f>
        <v/>
      </c>
      <c r="K3644" s="26">
        <f>IF($A3644="","",SUMPRODUCT(--ISNUMBER(SEARCH('Category Dictionary'!$D$5:$D$135&amp;"",$C3644)),--('Category Dictionary'!$D$5:$D$135&lt;&gt;"")))</f>
        <v/>
      </c>
      <c r="L3644" s="27">
        <f>IF($A3644="","",TRIM(IF(ISERROR(FIND(",",$C3644)),$C3644,LEFT($C3644,FIND(",",$C3644)-1))))</f>
        <v/>
      </c>
      <c r="M3644" s="28">
        <f>IF($H3644="","",DATE(YEAR($H3644),MONTH($H3644),1))</f>
        <v/>
      </c>
      <c r="N3644" s="26">
        <f>IF($H3644="","",TODAY()-$H3644)</f>
        <v/>
      </c>
      <c r="O3644" s="15" t="n"/>
      <c r="P3644" s="26">
        <f>IF($A3644="","",COUNTIFS('Audit Versions'!$A$6:$A$605,$A3644,'Audit Versions'!$L$6:$L$605,"Active"))</f>
        <v/>
      </c>
      <c r="Q3644" s="15" t="n"/>
      <c r="R3644" s="26">
        <f>IF(OR($A3644="",$P3644=0),"",MOD(N($Q3644),$P3644)+1)</f>
        <v/>
      </c>
      <c r="S3644" s="15" t="n"/>
      <c r="T3644" s="25" t="n"/>
      <c r="U3644" s="26">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Builder'!$B$12="",N($S3644)&lt;='Assignment Builder'!$B$12)))</f>
        <v/>
      </c>
      <c r="V3644" s="23" t="n"/>
    </row>
    <row r="3645">
      <c r="A3645" s="23" t="n"/>
      <c r="B3645" s="23" t="n"/>
      <c r="C3645" s="24" t="n"/>
      <c r="D3645" s="15" t="n"/>
      <c r="E3645" s="23" t="n"/>
      <c r="F3645" s="15" t="n"/>
      <c r="G3645" s="23" t="n"/>
      <c r="H3645" s="25" t="n"/>
      <c r="I3645" s="15" t="n"/>
      <c r="J3645" s="26">
        <f>IF($A3645="","",LEN($C3645)-LEN(SUBSTITUTE($C3645,",",""))+1)</f>
        <v/>
      </c>
      <c r="K3645" s="26">
        <f>IF($A3645="","",SUMPRODUCT(--ISNUMBER(SEARCH('Category Dictionary'!$D$5:$D$135&amp;"",$C3645)),--('Category Dictionary'!$D$5:$D$135&lt;&gt;"")))</f>
        <v/>
      </c>
      <c r="L3645" s="27">
        <f>IF($A3645="","",TRIM(IF(ISERROR(FIND(",",$C3645)),$C3645,LEFT($C3645,FIND(",",$C3645)-1))))</f>
        <v/>
      </c>
      <c r="M3645" s="28">
        <f>IF($H3645="","",DATE(YEAR($H3645),MONTH($H3645),1))</f>
        <v/>
      </c>
      <c r="N3645" s="26">
        <f>IF($H3645="","",TODAY()-$H3645)</f>
        <v/>
      </c>
      <c r="O3645" s="15" t="n"/>
      <c r="P3645" s="26">
        <f>IF($A3645="","",COUNTIFS('Audit Versions'!$A$6:$A$605,$A3645,'Audit Versions'!$L$6:$L$605,"Active"))</f>
        <v/>
      </c>
      <c r="Q3645" s="15" t="n"/>
      <c r="R3645" s="26">
        <f>IF(OR($A3645="",$P3645=0),"",MOD(N($Q3645),$P3645)+1)</f>
        <v/>
      </c>
      <c r="S3645" s="15" t="n"/>
      <c r="T3645" s="25" t="n"/>
      <c r="U3645" s="26">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Builder'!$B$12="",N($S3645)&lt;='Assignment Builder'!$B$12)))</f>
        <v/>
      </c>
      <c r="V3645" s="23" t="n"/>
    </row>
    <row r="3646">
      <c r="A3646" s="23" t="n"/>
      <c r="B3646" s="23" t="n"/>
      <c r="C3646" s="24" t="n"/>
      <c r="D3646" s="15" t="n"/>
      <c r="E3646" s="23" t="n"/>
      <c r="F3646" s="15" t="n"/>
      <c r="G3646" s="23" t="n"/>
      <c r="H3646" s="25" t="n"/>
      <c r="I3646" s="15" t="n"/>
      <c r="J3646" s="26">
        <f>IF($A3646="","",LEN($C3646)-LEN(SUBSTITUTE($C3646,",",""))+1)</f>
        <v/>
      </c>
      <c r="K3646" s="26">
        <f>IF($A3646="","",SUMPRODUCT(--ISNUMBER(SEARCH('Category Dictionary'!$D$5:$D$135&amp;"",$C3646)),--('Category Dictionary'!$D$5:$D$135&lt;&gt;"")))</f>
        <v/>
      </c>
      <c r="L3646" s="27">
        <f>IF($A3646="","",TRIM(IF(ISERROR(FIND(",",$C3646)),$C3646,LEFT($C3646,FIND(",",$C3646)-1))))</f>
        <v/>
      </c>
      <c r="M3646" s="28">
        <f>IF($H3646="","",DATE(YEAR($H3646),MONTH($H3646),1))</f>
        <v/>
      </c>
      <c r="N3646" s="26">
        <f>IF($H3646="","",TODAY()-$H3646)</f>
        <v/>
      </c>
      <c r="O3646" s="15" t="n"/>
      <c r="P3646" s="26">
        <f>IF($A3646="","",COUNTIFS('Audit Versions'!$A$6:$A$605,$A3646,'Audit Versions'!$L$6:$L$605,"Active"))</f>
        <v/>
      </c>
      <c r="Q3646" s="15" t="n"/>
      <c r="R3646" s="26">
        <f>IF(OR($A3646="",$P3646=0),"",MOD(N($Q3646),$P3646)+1)</f>
        <v/>
      </c>
      <c r="S3646" s="15" t="n"/>
      <c r="T3646" s="25" t="n"/>
      <c r="U3646" s="26">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Builder'!$B$12="",N($S3646)&lt;='Assignment Builder'!$B$12)))</f>
        <v/>
      </c>
      <c r="V3646" s="23" t="n"/>
    </row>
    <row r="3647">
      <c r="A3647" s="23" t="n"/>
      <c r="B3647" s="23" t="n"/>
      <c r="C3647" s="24" t="n"/>
      <c r="D3647" s="15" t="n"/>
      <c r="E3647" s="23" t="n"/>
      <c r="F3647" s="15" t="n"/>
      <c r="G3647" s="23" t="n"/>
      <c r="H3647" s="25" t="n"/>
      <c r="I3647" s="15" t="n"/>
      <c r="J3647" s="26">
        <f>IF($A3647="","",LEN($C3647)-LEN(SUBSTITUTE($C3647,",",""))+1)</f>
        <v/>
      </c>
      <c r="K3647" s="26">
        <f>IF($A3647="","",SUMPRODUCT(--ISNUMBER(SEARCH('Category Dictionary'!$D$5:$D$135&amp;"",$C3647)),--('Category Dictionary'!$D$5:$D$135&lt;&gt;"")))</f>
        <v/>
      </c>
      <c r="L3647" s="27">
        <f>IF($A3647="","",TRIM(IF(ISERROR(FIND(",",$C3647)),$C3647,LEFT($C3647,FIND(",",$C3647)-1))))</f>
        <v/>
      </c>
      <c r="M3647" s="28">
        <f>IF($H3647="","",DATE(YEAR($H3647),MONTH($H3647),1))</f>
        <v/>
      </c>
      <c r="N3647" s="26">
        <f>IF($H3647="","",TODAY()-$H3647)</f>
        <v/>
      </c>
      <c r="O3647" s="15" t="n"/>
      <c r="P3647" s="26">
        <f>IF($A3647="","",COUNTIFS('Audit Versions'!$A$6:$A$605,$A3647,'Audit Versions'!$L$6:$L$605,"Active"))</f>
        <v/>
      </c>
      <c r="Q3647" s="15" t="n"/>
      <c r="R3647" s="26">
        <f>IF(OR($A3647="",$P3647=0),"",MOD(N($Q3647),$P3647)+1)</f>
        <v/>
      </c>
      <c r="S3647" s="15" t="n"/>
      <c r="T3647" s="25" t="n"/>
      <c r="U3647" s="26">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Builder'!$B$12="",N($S3647)&lt;='Assignment Builder'!$B$12)))</f>
        <v/>
      </c>
      <c r="V3647" s="23" t="n"/>
    </row>
    <row r="3648">
      <c r="A3648" s="23" t="n"/>
      <c r="B3648" s="23" t="n"/>
      <c r="C3648" s="24" t="n"/>
      <c r="D3648" s="15" t="n"/>
      <c r="E3648" s="23" t="n"/>
      <c r="F3648" s="15" t="n"/>
      <c r="G3648" s="23" t="n"/>
      <c r="H3648" s="25" t="n"/>
      <c r="I3648" s="15" t="n"/>
      <c r="J3648" s="26">
        <f>IF($A3648="","",LEN($C3648)-LEN(SUBSTITUTE($C3648,",",""))+1)</f>
        <v/>
      </c>
      <c r="K3648" s="26">
        <f>IF($A3648="","",SUMPRODUCT(--ISNUMBER(SEARCH('Category Dictionary'!$D$5:$D$135&amp;"",$C3648)),--('Category Dictionary'!$D$5:$D$135&lt;&gt;"")))</f>
        <v/>
      </c>
      <c r="L3648" s="27">
        <f>IF($A3648="","",TRIM(IF(ISERROR(FIND(",",$C3648)),$C3648,LEFT($C3648,FIND(",",$C3648)-1))))</f>
        <v/>
      </c>
      <c r="M3648" s="28">
        <f>IF($H3648="","",DATE(YEAR($H3648),MONTH($H3648),1))</f>
        <v/>
      </c>
      <c r="N3648" s="26">
        <f>IF($H3648="","",TODAY()-$H3648)</f>
        <v/>
      </c>
      <c r="O3648" s="15" t="n"/>
      <c r="P3648" s="26">
        <f>IF($A3648="","",COUNTIFS('Audit Versions'!$A$6:$A$605,$A3648,'Audit Versions'!$L$6:$L$605,"Active"))</f>
        <v/>
      </c>
      <c r="Q3648" s="15" t="n"/>
      <c r="R3648" s="26">
        <f>IF(OR($A3648="",$P3648=0),"",MOD(N($Q3648),$P3648)+1)</f>
        <v/>
      </c>
      <c r="S3648" s="15" t="n"/>
      <c r="T3648" s="25" t="n"/>
      <c r="U3648" s="26">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Builder'!$B$12="",N($S3648)&lt;='Assignment Builder'!$B$12)))</f>
        <v/>
      </c>
      <c r="V3648" s="23" t="n"/>
    </row>
    <row r="3649">
      <c r="A3649" s="23" t="n"/>
      <c r="B3649" s="23" t="n"/>
      <c r="C3649" s="24" t="n"/>
      <c r="D3649" s="15" t="n"/>
      <c r="E3649" s="23" t="n"/>
      <c r="F3649" s="15" t="n"/>
      <c r="G3649" s="23" t="n"/>
      <c r="H3649" s="25" t="n"/>
      <c r="I3649" s="15" t="n"/>
      <c r="J3649" s="26">
        <f>IF($A3649="","",LEN($C3649)-LEN(SUBSTITUTE($C3649,",",""))+1)</f>
        <v/>
      </c>
      <c r="K3649" s="26">
        <f>IF($A3649="","",SUMPRODUCT(--ISNUMBER(SEARCH('Category Dictionary'!$D$5:$D$135&amp;"",$C3649)),--('Category Dictionary'!$D$5:$D$135&lt;&gt;"")))</f>
        <v/>
      </c>
      <c r="L3649" s="27">
        <f>IF($A3649="","",TRIM(IF(ISERROR(FIND(",",$C3649)),$C3649,LEFT($C3649,FIND(",",$C3649)-1))))</f>
        <v/>
      </c>
      <c r="M3649" s="28">
        <f>IF($H3649="","",DATE(YEAR($H3649),MONTH($H3649),1))</f>
        <v/>
      </c>
      <c r="N3649" s="26">
        <f>IF($H3649="","",TODAY()-$H3649)</f>
        <v/>
      </c>
      <c r="O3649" s="15" t="n"/>
      <c r="P3649" s="26">
        <f>IF($A3649="","",COUNTIFS('Audit Versions'!$A$6:$A$605,$A3649,'Audit Versions'!$L$6:$L$605,"Active"))</f>
        <v/>
      </c>
      <c r="Q3649" s="15" t="n"/>
      <c r="R3649" s="26">
        <f>IF(OR($A3649="",$P3649=0),"",MOD(N($Q3649),$P3649)+1)</f>
        <v/>
      </c>
      <c r="S3649" s="15" t="n"/>
      <c r="T3649" s="25" t="n"/>
      <c r="U3649" s="26">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Builder'!$B$12="",N($S3649)&lt;='Assignment Builder'!$B$12)))</f>
        <v/>
      </c>
      <c r="V3649" s="23" t="n"/>
    </row>
    <row r="3650">
      <c r="A3650" s="23" t="n"/>
      <c r="B3650" s="23" t="n"/>
      <c r="C3650" s="24" t="n"/>
      <c r="D3650" s="15" t="n"/>
      <c r="E3650" s="23" t="n"/>
      <c r="F3650" s="15" t="n"/>
      <c r="G3650" s="23" t="n"/>
      <c r="H3650" s="25" t="n"/>
      <c r="I3650" s="15" t="n"/>
      <c r="J3650" s="26">
        <f>IF($A3650="","",LEN($C3650)-LEN(SUBSTITUTE($C3650,",",""))+1)</f>
        <v/>
      </c>
      <c r="K3650" s="26">
        <f>IF($A3650="","",SUMPRODUCT(--ISNUMBER(SEARCH('Category Dictionary'!$D$5:$D$135&amp;"",$C3650)),--('Category Dictionary'!$D$5:$D$135&lt;&gt;"")))</f>
        <v/>
      </c>
      <c r="L3650" s="27">
        <f>IF($A3650="","",TRIM(IF(ISERROR(FIND(",",$C3650)),$C3650,LEFT($C3650,FIND(",",$C3650)-1))))</f>
        <v/>
      </c>
      <c r="M3650" s="28">
        <f>IF($H3650="","",DATE(YEAR($H3650),MONTH($H3650),1))</f>
        <v/>
      </c>
      <c r="N3650" s="26">
        <f>IF($H3650="","",TODAY()-$H3650)</f>
        <v/>
      </c>
      <c r="O3650" s="15" t="n"/>
      <c r="P3650" s="26">
        <f>IF($A3650="","",COUNTIFS('Audit Versions'!$A$6:$A$605,$A3650,'Audit Versions'!$L$6:$L$605,"Active"))</f>
        <v/>
      </c>
      <c r="Q3650" s="15" t="n"/>
      <c r="R3650" s="26">
        <f>IF(OR($A3650="",$P3650=0),"",MOD(N($Q3650),$P3650)+1)</f>
        <v/>
      </c>
      <c r="S3650" s="15" t="n"/>
      <c r="T3650" s="25" t="n"/>
      <c r="U3650" s="26">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Builder'!$B$12="",N($S3650)&lt;='Assignment Builder'!$B$12)))</f>
        <v/>
      </c>
      <c r="V3650" s="23" t="n"/>
    </row>
    <row r="3651">
      <c r="A3651" s="23" t="n"/>
      <c r="B3651" s="23" t="n"/>
      <c r="C3651" s="24" t="n"/>
      <c r="D3651" s="15" t="n"/>
      <c r="E3651" s="23" t="n"/>
      <c r="F3651" s="15" t="n"/>
      <c r="G3651" s="23" t="n"/>
      <c r="H3651" s="25" t="n"/>
      <c r="I3651" s="15" t="n"/>
      <c r="J3651" s="26">
        <f>IF($A3651="","",LEN($C3651)-LEN(SUBSTITUTE($C3651,",",""))+1)</f>
        <v/>
      </c>
      <c r="K3651" s="26">
        <f>IF($A3651="","",SUMPRODUCT(--ISNUMBER(SEARCH('Category Dictionary'!$D$5:$D$135&amp;"",$C3651)),--('Category Dictionary'!$D$5:$D$135&lt;&gt;"")))</f>
        <v/>
      </c>
      <c r="L3651" s="27">
        <f>IF($A3651="","",TRIM(IF(ISERROR(FIND(",",$C3651)),$C3651,LEFT($C3651,FIND(",",$C3651)-1))))</f>
        <v/>
      </c>
      <c r="M3651" s="28">
        <f>IF($H3651="","",DATE(YEAR($H3651),MONTH($H3651),1))</f>
        <v/>
      </c>
      <c r="N3651" s="26">
        <f>IF($H3651="","",TODAY()-$H3651)</f>
        <v/>
      </c>
      <c r="O3651" s="15" t="n"/>
      <c r="P3651" s="26">
        <f>IF($A3651="","",COUNTIFS('Audit Versions'!$A$6:$A$605,$A3651,'Audit Versions'!$L$6:$L$605,"Active"))</f>
        <v/>
      </c>
      <c r="Q3651" s="15" t="n"/>
      <c r="R3651" s="26">
        <f>IF(OR($A3651="",$P3651=0),"",MOD(N($Q3651),$P3651)+1)</f>
        <v/>
      </c>
      <c r="S3651" s="15" t="n"/>
      <c r="T3651" s="25" t="n"/>
      <c r="U3651" s="26">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Builder'!$B$12="",N($S3651)&lt;='Assignment Builder'!$B$12)))</f>
        <v/>
      </c>
      <c r="V3651" s="23" t="n"/>
    </row>
    <row r="3652">
      <c r="A3652" s="23" t="n"/>
      <c r="B3652" s="23" t="n"/>
      <c r="C3652" s="24" t="n"/>
      <c r="D3652" s="15" t="n"/>
      <c r="E3652" s="23" t="n"/>
      <c r="F3652" s="15" t="n"/>
      <c r="G3652" s="23" t="n"/>
      <c r="H3652" s="25" t="n"/>
      <c r="I3652" s="15" t="n"/>
      <c r="J3652" s="26">
        <f>IF($A3652="","",LEN($C3652)-LEN(SUBSTITUTE($C3652,",",""))+1)</f>
        <v/>
      </c>
      <c r="K3652" s="26">
        <f>IF($A3652="","",SUMPRODUCT(--ISNUMBER(SEARCH('Category Dictionary'!$D$5:$D$135&amp;"",$C3652)),--('Category Dictionary'!$D$5:$D$135&lt;&gt;"")))</f>
        <v/>
      </c>
      <c r="L3652" s="27">
        <f>IF($A3652="","",TRIM(IF(ISERROR(FIND(",",$C3652)),$C3652,LEFT($C3652,FIND(",",$C3652)-1))))</f>
        <v/>
      </c>
      <c r="M3652" s="28">
        <f>IF($H3652="","",DATE(YEAR($H3652),MONTH($H3652),1))</f>
        <v/>
      </c>
      <c r="N3652" s="26">
        <f>IF($H3652="","",TODAY()-$H3652)</f>
        <v/>
      </c>
      <c r="O3652" s="15" t="n"/>
      <c r="P3652" s="26">
        <f>IF($A3652="","",COUNTIFS('Audit Versions'!$A$6:$A$605,$A3652,'Audit Versions'!$L$6:$L$605,"Active"))</f>
        <v/>
      </c>
      <c r="Q3652" s="15" t="n"/>
      <c r="R3652" s="26">
        <f>IF(OR($A3652="",$P3652=0),"",MOD(N($Q3652),$P3652)+1)</f>
        <v/>
      </c>
      <c r="S3652" s="15" t="n"/>
      <c r="T3652" s="25" t="n"/>
      <c r="U3652" s="26">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Builder'!$B$12="",N($S3652)&lt;='Assignment Builder'!$B$12)))</f>
        <v/>
      </c>
      <c r="V3652" s="23" t="n"/>
    </row>
    <row r="3653">
      <c r="A3653" s="23" t="n"/>
      <c r="B3653" s="23" t="n"/>
      <c r="C3653" s="24" t="n"/>
      <c r="D3653" s="15" t="n"/>
      <c r="E3653" s="23" t="n"/>
      <c r="F3653" s="15" t="n"/>
      <c r="G3653" s="23" t="n"/>
      <c r="H3653" s="25" t="n"/>
      <c r="I3653" s="15" t="n"/>
      <c r="J3653" s="26">
        <f>IF($A3653="","",LEN($C3653)-LEN(SUBSTITUTE($C3653,",",""))+1)</f>
        <v/>
      </c>
      <c r="K3653" s="26">
        <f>IF($A3653="","",SUMPRODUCT(--ISNUMBER(SEARCH('Category Dictionary'!$D$5:$D$135&amp;"",$C3653)),--('Category Dictionary'!$D$5:$D$135&lt;&gt;"")))</f>
        <v/>
      </c>
      <c r="L3653" s="27">
        <f>IF($A3653="","",TRIM(IF(ISERROR(FIND(",",$C3653)),$C3653,LEFT($C3653,FIND(",",$C3653)-1))))</f>
        <v/>
      </c>
      <c r="M3653" s="28">
        <f>IF($H3653="","",DATE(YEAR($H3653),MONTH($H3653),1))</f>
        <v/>
      </c>
      <c r="N3653" s="26">
        <f>IF($H3653="","",TODAY()-$H3653)</f>
        <v/>
      </c>
      <c r="O3653" s="15" t="n"/>
      <c r="P3653" s="26">
        <f>IF($A3653="","",COUNTIFS('Audit Versions'!$A$6:$A$605,$A3653,'Audit Versions'!$L$6:$L$605,"Active"))</f>
        <v/>
      </c>
      <c r="Q3653" s="15" t="n"/>
      <c r="R3653" s="26">
        <f>IF(OR($A3653="",$P3653=0),"",MOD(N($Q3653),$P3653)+1)</f>
        <v/>
      </c>
      <c r="S3653" s="15" t="n"/>
      <c r="T3653" s="25" t="n"/>
      <c r="U3653" s="26">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Builder'!$B$12="",N($S3653)&lt;='Assignment Builder'!$B$12)))</f>
        <v/>
      </c>
      <c r="V3653" s="23" t="n"/>
    </row>
    <row r="3654">
      <c r="A3654" s="23" t="n"/>
      <c r="B3654" s="23" t="n"/>
      <c r="C3654" s="24" t="n"/>
      <c r="D3654" s="15" t="n"/>
      <c r="E3654" s="23" t="n"/>
      <c r="F3654" s="15" t="n"/>
      <c r="G3654" s="23" t="n"/>
      <c r="H3654" s="25" t="n"/>
      <c r="I3654" s="15" t="n"/>
      <c r="J3654" s="26">
        <f>IF($A3654="","",LEN($C3654)-LEN(SUBSTITUTE($C3654,",",""))+1)</f>
        <v/>
      </c>
      <c r="K3654" s="26">
        <f>IF($A3654="","",SUMPRODUCT(--ISNUMBER(SEARCH('Category Dictionary'!$D$5:$D$135&amp;"",$C3654)),--('Category Dictionary'!$D$5:$D$135&lt;&gt;"")))</f>
        <v/>
      </c>
      <c r="L3654" s="27">
        <f>IF($A3654="","",TRIM(IF(ISERROR(FIND(",",$C3654)),$C3654,LEFT($C3654,FIND(",",$C3654)-1))))</f>
        <v/>
      </c>
      <c r="M3654" s="28">
        <f>IF($H3654="","",DATE(YEAR($H3654),MONTH($H3654),1))</f>
        <v/>
      </c>
      <c r="N3654" s="26">
        <f>IF($H3654="","",TODAY()-$H3654)</f>
        <v/>
      </c>
      <c r="O3654" s="15" t="n"/>
      <c r="P3654" s="26">
        <f>IF($A3654="","",COUNTIFS('Audit Versions'!$A$6:$A$605,$A3654,'Audit Versions'!$L$6:$L$605,"Active"))</f>
        <v/>
      </c>
      <c r="Q3654" s="15" t="n"/>
      <c r="R3654" s="26">
        <f>IF(OR($A3654="",$P3654=0),"",MOD(N($Q3654),$P3654)+1)</f>
        <v/>
      </c>
      <c r="S3654" s="15" t="n"/>
      <c r="T3654" s="25" t="n"/>
      <c r="U3654" s="26">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Builder'!$B$12="",N($S3654)&lt;='Assignment Builder'!$B$12)))</f>
        <v/>
      </c>
      <c r="V3654" s="23" t="n"/>
    </row>
    <row r="3655">
      <c r="A3655" s="23" t="n"/>
      <c r="B3655" s="23" t="n"/>
      <c r="C3655" s="24" t="n"/>
      <c r="D3655" s="15" t="n"/>
      <c r="E3655" s="23" t="n"/>
      <c r="F3655" s="15" t="n"/>
      <c r="G3655" s="23" t="n"/>
      <c r="H3655" s="25" t="n"/>
      <c r="I3655" s="15" t="n"/>
      <c r="J3655" s="26">
        <f>IF($A3655="","",LEN($C3655)-LEN(SUBSTITUTE($C3655,",",""))+1)</f>
        <v/>
      </c>
      <c r="K3655" s="26">
        <f>IF($A3655="","",SUMPRODUCT(--ISNUMBER(SEARCH('Category Dictionary'!$D$5:$D$135&amp;"",$C3655)),--('Category Dictionary'!$D$5:$D$135&lt;&gt;"")))</f>
        <v/>
      </c>
      <c r="L3655" s="27">
        <f>IF($A3655="","",TRIM(IF(ISERROR(FIND(",",$C3655)),$C3655,LEFT($C3655,FIND(",",$C3655)-1))))</f>
        <v/>
      </c>
      <c r="M3655" s="28">
        <f>IF($H3655="","",DATE(YEAR($H3655),MONTH($H3655),1))</f>
        <v/>
      </c>
      <c r="N3655" s="26">
        <f>IF($H3655="","",TODAY()-$H3655)</f>
        <v/>
      </c>
      <c r="O3655" s="15" t="n"/>
      <c r="P3655" s="26">
        <f>IF($A3655="","",COUNTIFS('Audit Versions'!$A$6:$A$605,$A3655,'Audit Versions'!$L$6:$L$605,"Active"))</f>
        <v/>
      </c>
      <c r="Q3655" s="15" t="n"/>
      <c r="R3655" s="26">
        <f>IF(OR($A3655="",$P3655=0),"",MOD(N($Q3655),$P3655)+1)</f>
        <v/>
      </c>
      <c r="S3655" s="15" t="n"/>
      <c r="T3655" s="25" t="n"/>
      <c r="U3655" s="26">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Builder'!$B$12="",N($S3655)&lt;='Assignment Builder'!$B$12)))</f>
        <v/>
      </c>
      <c r="V3655" s="23" t="n"/>
    </row>
    <row r="3656">
      <c r="A3656" s="23" t="n"/>
      <c r="B3656" s="23" t="n"/>
      <c r="C3656" s="24" t="n"/>
      <c r="D3656" s="15" t="n"/>
      <c r="E3656" s="23" t="n"/>
      <c r="F3656" s="15" t="n"/>
      <c r="G3656" s="23" t="n"/>
      <c r="H3656" s="25" t="n"/>
      <c r="I3656" s="15" t="n"/>
      <c r="J3656" s="26">
        <f>IF($A3656="","",LEN($C3656)-LEN(SUBSTITUTE($C3656,",",""))+1)</f>
        <v/>
      </c>
      <c r="K3656" s="26">
        <f>IF($A3656="","",SUMPRODUCT(--ISNUMBER(SEARCH('Category Dictionary'!$D$5:$D$135&amp;"",$C3656)),--('Category Dictionary'!$D$5:$D$135&lt;&gt;"")))</f>
        <v/>
      </c>
      <c r="L3656" s="27">
        <f>IF($A3656="","",TRIM(IF(ISERROR(FIND(",",$C3656)),$C3656,LEFT($C3656,FIND(",",$C3656)-1))))</f>
        <v/>
      </c>
      <c r="M3656" s="28">
        <f>IF($H3656="","",DATE(YEAR($H3656),MONTH($H3656),1))</f>
        <v/>
      </c>
      <c r="N3656" s="26">
        <f>IF($H3656="","",TODAY()-$H3656)</f>
        <v/>
      </c>
      <c r="O3656" s="15" t="n"/>
      <c r="P3656" s="26">
        <f>IF($A3656="","",COUNTIFS('Audit Versions'!$A$6:$A$605,$A3656,'Audit Versions'!$L$6:$L$605,"Active"))</f>
        <v/>
      </c>
      <c r="Q3656" s="15" t="n"/>
      <c r="R3656" s="26">
        <f>IF(OR($A3656="",$P3656=0),"",MOD(N($Q3656),$P3656)+1)</f>
        <v/>
      </c>
      <c r="S3656" s="15" t="n"/>
      <c r="T3656" s="25" t="n"/>
      <c r="U3656" s="26">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Builder'!$B$12="",N($S3656)&lt;='Assignment Builder'!$B$12)))</f>
        <v/>
      </c>
      <c r="V3656" s="23" t="n"/>
    </row>
    <row r="3657">
      <c r="A3657" s="23" t="n"/>
      <c r="B3657" s="23" t="n"/>
      <c r="C3657" s="24" t="n"/>
      <c r="D3657" s="15" t="n"/>
      <c r="E3657" s="23" t="n"/>
      <c r="F3657" s="15" t="n"/>
      <c r="G3657" s="23" t="n"/>
      <c r="H3657" s="25" t="n"/>
      <c r="I3657" s="15" t="n"/>
      <c r="J3657" s="26">
        <f>IF($A3657="","",LEN($C3657)-LEN(SUBSTITUTE($C3657,",",""))+1)</f>
        <v/>
      </c>
      <c r="K3657" s="26">
        <f>IF($A3657="","",SUMPRODUCT(--ISNUMBER(SEARCH('Category Dictionary'!$D$5:$D$135&amp;"",$C3657)),--('Category Dictionary'!$D$5:$D$135&lt;&gt;"")))</f>
        <v/>
      </c>
      <c r="L3657" s="27">
        <f>IF($A3657="","",TRIM(IF(ISERROR(FIND(",",$C3657)),$C3657,LEFT($C3657,FIND(",",$C3657)-1))))</f>
        <v/>
      </c>
      <c r="M3657" s="28">
        <f>IF($H3657="","",DATE(YEAR($H3657),MONTH($H3657),1))</f>
        <v/>
      </c>
      <c r="N3657" s="26">
        <f>IF($H3657="","",TODAY()-$H3657)</f>
        <v/>
      </c>
      <c r="O3657" s="15" t="n"/>
      <c r="P3657" s="26">
        <f>IF($A3657="","",COUNTIFS('Audit Versions'!$A$6:$A$605,$A3657,'Audit Versions'!$L$6:$L$605,"Active"))</f>
        <v/>
      </c>
      <c r="Q3657" s="15" t="n"/>
      <c r="R3657" s="26">
        <f>IF(OR($A3657="",$P3657=0),"",MOD(N($Q3657),$P3657)+1)</f>
        <v/>
      </c>
      <c r="S3657" s="15" t="n"/>
      <c r="T3657" s="25" t="n"/>
      <c r="U3657" s="26">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Builder'!$B$12="",N($S3657)&lt;='Assignment Builder'!$B$12)))</f>
        <v/>
      </c>
      <c r="V3657" s="23" t="n"/>
    </row>
    <row r="3658">
      <c r="A3658" s="23" t="n"/>
      <c r="B3658" s="23" t="n"/>
      <c r="C3658" s="24" t="n"/>
      <c r="D3658" s="15" t="n"/>
      <c r="E3658" s="23" t="n"/>
      <c r="F3658" s="15" t="n"/>
      <c r="G3658" s="23" t="n"/>
      <c r="H3658" s="25" t="n"/>
      <c r="I3658" s="15" t="n"/>
      <c r="J3658" s="26">
        <f>IF($A3658="","",LEN($C3658)-LEN(SUBSTITUTE($C3658,",",""))+1)</f>
        <v/>
      </c>
      <c r="K3658" s="26">
        <f>IF($A3658="","",SUMPRODUCT(--ISNUMBER(SEARCH('Category Dictionary'!$D$5:$D$135&amp;"",$C3658)),--('Category Dictionary'!$D$5:$D$135&lt;&gt;"")))</f>
        <v/>
      </c>
      <c r="L3658" s="27">
        <f>IF($A3658="","",TRIM(IF(ISERROR(FIND(",",$C3658)),$C3658,LEFT($C3658,FIND(",",$C3658)-1))))</f>
        <v/>
      </c>
      <c r="M3658" s="28">
        <f>IF($H3658="","",DATE(YEAR($H3658),MONTH($H3658),1))</f>
        <v/>
      </c>
      <c r="N3658" s="26">
        <f>IF($H3658="","",TODAY()-$H3658)</f>
        <v/>
      </c>
      <c r="O3658" s="15" t="n"/>
      <c r="P3658" s="26">
        <f>IF($A3658="","",COUNTIFS('Audit Versions'!$A$6:$A$605,$A3658,'Audit Versions'!$L$6:$L$605,"Active"))</f>
        <v/>
      </c>
      <c r="Q3658" s="15" t="n"/>
      <c r="R3658" s="26">
        <f>IF(OR($A3658="",$P3658=0),"",MOD(N($Q3658),$P3658)+1)</f>
        <v/>
      </c>
      <c r="S3658" s="15" t="n"/>
      <c r="T3658" s="25" t="n"/>
      <c r="U3658" s="26">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Builder'!$B$12="",N($S3658)&lt;='Assignment Builder'!$B$12)))</f>
        <v/>
      </c>
      <c r="V3658" s="23" t="n"/>
    </row>
    <row r="3659">
      <c r="A3659" s="23" t="n"/>
      <c r="B3659" s="23" t="n"/>
      <c r="C3659" s="24" t="n"/>
      <c r="D3659" s="15" t="n"/>
      <c r="E3659" s="23" t="n"/>
      <c r="F3659" s="15" t="n"/>
      <c r="G3659" s="23" t="n"/>
      <c r="H3659" s="25" t="n"/>
      <c r="I3659" s="15" t="n"/>
      <c r="J3659" s="26">
        <f>IF($A3659="","",LEN($C3659)-LEN(SUBSTITUTE($C3659,",",""))+1)</f>
        <v/>
      </c>
      <c r="K3659" s="26">
        <f>IF($A3659="","",SUMPRODUCT(--ISNUMBER(SEARCH('Category Dictionary'!$D$5:$D$135&amp;"",$C3659)),--('Category Dictionary'!$D$5:$D$135&lt;&gt;"")))</f>
        <v/>
      </c>
      <c r="L3659" s="27">
        <f>IF($A3659="","",TRIM(IF(ISERROR(FIND(",",$C3659)),$C3659,LEFT($C3659,FIND(",",$C3659)-1))))</f>
        <v/>
      </c>
      <c r="M3659" s="28">
        <f>IF($H3659="","",DATE(YEAR($H3659),MONTH($H3659),1))</f>
        <v/>
      </c>
      <c r="N3659" s="26">
        <f>IF($H3659="","",TODAY()-$H3659)</f>
        <v/>
      </c>
      <c r="O3659" s="15" t="n"/>
      <c r="P3659" s="26">
        <f>IF($A3659="","",COUNTIFS('Audit Versions'!$A$6:$A$605,$A3659,'Audit Versions'!$L$6:$L$605,"Active"))</f>
        <v/>
      </c>
      <c r="Q3659" s="15" t="n"/>
      <c r="R3659" s="26">
        <f>IF(OR($A3659="",$P3659=0),"",MOD(N($Q3659),$P3659)+1)</f>
        <v/>
      </c>
      <c r="S3659" s="15" t="n"/>
      <c r="T3659" s="25" t="n"/>
      <c r="U3659" s="26">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Builder'!$B$12="",N($S3659)&lt;='Assignment Builder'!$B$12)))</f>
        <v/>
      </c>
      <c r="V3659" s="23" t="n"/>
    </row>
    <row r="3660">
      <c r="A3660" s="23" t="n"/>
      <c r="B3660" s="23" t="n"/>
      <c r="C3660" s="24" t="n"/>
      <c r="D3660" s="15" t="n"/>
      <c r="E3660" s="23" t="n"/>
      <c r="F3660" s="15" t="n"/>
      <c r="G3660" s="23" t="n"/>
      <c r="H3660" s="25" t="n"/>
      <c r="I3660" s="15" t="n"/>
      <c r="J3660" s="26">
        <f>IF($A3660="","",LEN($C3660)-LEN(SUBSTITUTE($C3660,",",""))+1)</f>
        <v/>
      </c>
      <c r="K3660" s="26">
        <f>IF($A3660="","",SUMPRODUCT(--ISNUMBER(SEARCH('Category Dictionary'!$D$5:$D$135&amp;"",$C3660)),--('Category Dictionary'!$D$5:$D$135&lt;&gt;"")))</f>
        <v/>
      </c>
      <c r="L3660" s="27">
        <f>IF($A3660="","",TRIM(IF(ISERROR(FIND(",",$C3660)),$C3660,LEFT($C3660,FIND(",",$C3660)-1))))</f>
        <v/>
      </c>
      <c r="M3660" s="28">
        <f>IF($H3660="","",DATE(YEAR($H3660),MONTH($H3660),1))</f>
        <v/>
      </c>
      <c r="N3660" s="26">
        <f>IF($H3660="","",TODAY()-$H3660)</f>
        <v/>
      </c>
      <c r="O3660" s="15" t="n"/>
      <c r="P3660" s="26">
        <f>IF($A3660="","",COUNTIFS('Audit Versions'!$A$6:$A$605,$A3660,'Audit Versions'!$L$6:$L$605,"Active"))</f>
        <v/>
      </c>
      <c r="Q3660" s="15" t="n"/>
      <c r="R3660" s="26">
        <f>IF(OR($A3660="",$P3660=0),"",MOD(N($Q3660),$P3660)+1)</f>
        <v/>
      </c>
      <c r="S3660" s="15" t="n"/>
      <c r="T3660" s="25" t="n"/>
      <c r="U3660" s="26">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Builder'!$B$12="",N($S3660)&lt;='Assignment Builder'!$B$12)))</f>
        <v/>
      </c>
      <c r="V3660" s="23" t="n"/>
    </row>
    <row r="3661">
      <c r="A3661" s="23" t="n"/>
      <c r="B3661" s="23" t="n"/>
      <c r="C3661" s="24" t="n"/>
      <c r="D3661" s="15" t="n"/>
      <c r="E3661" s="23" t="n"/>
      <c r="F3661" s="15" t="n"/>
      <c r="G3661" s="23" t="n"/>
      <c r="H3661" s="25" t="n"/>
      <c r="I3661" s="15" t="n"/>
      <c r="J3661" s="26">
        <f>IF($A3661="","",LEN($C3661)-LEN(SUBSTITUTE($C3661,",",""))+1)</f>
        <v/>
      </c>
      <c r="K3661" s="26">
        <f>IF($A3661="","",SUMPRODUCT(--ISNUMBER(SEARCH('Category Dictionary'!$D$5:$D$135&amp;"",$C3661)),--('Category Dictionary'!$D$5:$D$135&lt;&gt;"")))</f>
        <v/>
      </c>
      <c r="L3661" s="27">
        <f>IF($A3661="","",TRIM(IF(ISERROR(FIND(",",$C3661)),$C3661,LEFT($C3661,FIND(",",$C3661)-1))))</f>
        <v/>
      </c>
      <c r="M3661" s="28">
        <f>IF($H3661="","",DATE(YEAR($H3661),MONTH($H3661),1))</f>
        <v/>
      </c>
      <c r="N3661" s="26">
        <f>IF($H3661="","",TODAY()-$H3661)</f>
        <v/>
      </c>
      <c r="O3661" s="15" t="n"/>
      <c r="P3661" s="26">
        <f>IF($A3661="","",COUNTIFS('Audit Versions'!$A$6:$A$605,$A3661,'Audit Versions'!$L$6:$L$605,"Active"))</f>
        <v/>
      </c>
      <c r="Q3661" s="15" t="n"/>
      <c r="R3661" s="26">
        <f>IF(OR($A3661="",$P3661=0),"",MOD(N($Q3661),$P3661)+1)</f>
        <v/>
      </c>
      <c r="S3661" s="15" t="n"/>
      <c r="T3661" s="25" t="n"/>
      <c r="U3661" s="26">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Builder'!$B$12="",N($S3661)&lt;='Assignment Builder'!$B$12)))</f>
        <v/>
      </c>
      <c r="V3661" s="23" t="n"/>
    </row>
    <row r="3662">
      <c r="A3662" s="23" t="n"/>
      <c r="B3662" s="23" t="n"/>
      <c r="C3662" s="24" t="n"/>
      <c r="D3662" s="15" t="n"/>
      <c r="E3662" s="23" t="n"/>
      <c r="F3662" s="15" t="n"/>
      <c r="G3662" s="23" t="n"/>
      <c r="H3662" s="25" t="n"/>
      <c r="I3662" s="15" t="n"/>
      <c r="J3662" s="26">
        <f>IF($A3662="","",LEN($C3662)-LEN(SUBSTITUTE($C3662,",",""))+1)</f>
        <v/>
      </c>
      <c r="K3662" s="26">
        <f>IF($A3662="","",SUMPRODUCT(--ISNUMBER(SEARCH('Category Dictionary'!$D$5:$D$135&amp;"",$C3662)),--('Category Dictionary'!$D$5:$D$135&lt;&gt;"")))</f>
        <v/>
      </c>
      <c r="L3662" s="27">
        <f>IF($A3662="","",TRIM(IF(ISERROR(FIND(",",$C3662)),$C3662,LEFT($C3662,FIND(",",$C3662)-1))))</f>
        <v/>
      </c>
      <c r="M3662" s="28">
        <f>IF($H3662="","",DATE(YEAR($H3662),MONTH($H3662),1))</f>
        <v/>
      </c>
      <c r="N3662" s="26">
        <f>IF($H3662="","",TODAY()-$H3662)</f>
        <v/>
      </c>
      <c r="O3662" s="15" t="n"/>
      <c r="P3662" s="26">
        <f>IF($A3662="","",COUNTIFS('Audit Versions'!$A$6:$A$605,$A3662,'Audit Versions'!$L$6:$L$605,"Active"))</f>
        <v/>
      </c>
      <c r="Q3662" s="15" t="n"/>
      <c r="R3662" s="26">
        <f>IF(OR($A3662="",$P3662=0),"",MOD(N($Q3662),$P3662)+1)</f>
        <v/>
      </c>
      <c r="S3662" s="15" t="n"/>
      <c r="T3662" s="25" t="n"/>
      <c r="U3662" s="26">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Builder'!$B$12="",N($S3662)&lt;='Assignment Builder'!$B$12)))</f>
        <v/>
      </c>
      <c r="V3662" s="23" t="n"/>
    </row>
    <row r="3663">
      <c r="A3663" s="23" t="n"/>
      <c r="B3663" s="23" t="n"/>
      <c r="C3663" s="24" t="n"/>
      <c r="D3663" s="15" t="n"/>
      <c r="E3663" s="23" t="n"/>
      <c r="F3663" s="15" t="n"/>
      <c r="G3663" s="23" t="n"/>
      <c r="H3663" s="25" t="n"/>
      <c r="I3663" s="15" t="n"/>
      <c r="J3663" s="26">
        <f>IF($A3663="","",LEN($C3663)-LEN(SUBSTITUTE($C3663,",",""))+1)</f>
        <v/>
      </c>
      <c r="K3663" s="26">
        <f>IF($A3663="","",SUMPRODUCT(--ISNUMBER(SEARCH('Category Dictionary'!$D$5:$D$135&amp;"",$C3663)),--('Category Dictionary'!$D$5:$D$135&lt;&gt;"")))</f>
        <v/>
      </c>
      <c r="L3663" s="27">
        <f>IF($A3663="","",TRIM(IF(ISERROR(FIND(",",$C3663)),$C3663,LEFT($C3663,FIND(",",$C3663)-1))))</f>
        <v/>
      </c>
      <c r="M3663" s="28">
        <f>IF($H3663="","",DATE(YEAR($H3663),MONTH($H3663),1))</f>
        <v/>
      </c>
      <c r="N3663" s="26">
        <f>IF($H3663="","",TODAY()-$H3663)</f>
        <v/>
      </c>
      <c r="O3663" s="15" t="n"/>
      <c r="P3663" s="26">
        <f>IF($A3663="","",COUNTIFS('Audit Versions'!$A$6:$A$605,$A3663,'Audit Versions'!$L$6:$L$605,"Active"))</f>
        <v/>
      </c>
      <c r="Q3663" s="15" t="n"/>
      <c r="R3663" s="26">
        <f>IF(OR($A3663="",$P3663=0),"",MOD(N($Q3663),$P3663)+1)</f>
        <v/>
      </c>
      <c r="S3663" s="15" t="n"/>
      <c r="T3663" s="25" t="n"/>
      <c r="U3663" s="26">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Builder'!$B$12="",N($S3663)&lt;='Assignment Builder'!$B$12)))</f>
        <v/>
      </c>
      <c r="V3663" s="23" t="n"/>
    </row>
    <row r="3664">
      <c r="A3664" s="23" t="n"/>
      <c r="B3664" s="23" t="n"/>
      <c r="C3664" s="24" t="n"/>
      <c r="D3664" s="15" t="n"/>
      <c r="E3664" s="23" t="n"/>
      <c r="F3664" s="15" t="n"/>
      <c r="G3664" s="23" t="n"/>
      <c r="H3664" s="25" t="n"/>
      <c r="I3664" s="15" t="n"/>
      <c r="J3664" s="26">
        <f>IF($A3664="","",LEN($C3664)-LEN(SUBSTITUTE($C3664,",",""))+1)</f>
        <v/>
      </c>
      <c r="K3664" s="26">
        <f>IF($A3664="","",SUMPRODUCT(--ISNUMBER(SEARCH('Category Dictionary'!$D$5:$D$135&amp;"",$C3664)),--('Category Dictionary'!$D$5:$D$135&lt;&gt;"")))</f>
        <v/>
      </c>
      <c r="L3664" s="27">
        <f>IF($A3664="","",TRIM(IF(ISERROR(FIND(",",$C3664)),$C3664,LEFT($C3664,FIND(",",$C3664)-1))))</f>
        <v/>
      </c>
      <c r="M3664" s="28">
        <f>IF($H3664="","",DATE(YEAR($H3664),MONTH($H3664),1))</f>
        <v/>
      </c>
      <c r="N3664" s="26">
        <f>IF($H3664="","",TODAY()-$H3664)</f>
        <v/>
      </c>
      <c r="O3664" s="15" t="n"/>
      <c r="P3664" s="26">
        <f>IF($A3664="","",COUNTIFS('Audit Versions'!$A$6:$A$605,$A3664,'Audit Versions'!$L$6:$L$605,"Active"))</f>
        <v/>
      </c>
      <c r="Q3664" s="15" t="n"/>
      <c r="R3664" s="26">
        <f>IF(OR($A3664="",$P3664=0),"",MOD(N($Q3664),$P3664)+1)</f>
        <v/>
      </c>
      <c r="S3664" s="15" t="n"/>
      <c r="T3664" s="25" t="n"/>
      <c r="U3664" s="26">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Builder'!$B$12="",N($S3664)&lt;='Assignment Builder'!$B$12)))</f>
        <v/>
      </c>
      <c r="V3664" s="23" t="n"/>
    </row>
    <row r="3665">
      <c r="A3665" s="23" t="n"/>
      <c r="B3665" s="23" t="n"/>
      <c r="C3665" s="24" t="n"/>
      <c r="D3665" s="15" t="n"/>
      <c r="E3665" s="23" t="n"/>
      <c r="F3665" s="15" t="n"/>
      <c r="G3665" s="23" t="n"/>
      <c r="H3665" s="25" t="n"/>
      <c r="I3665" s="15" t="n"/>
      <c r="J3665" s="26">
        <f>IF($A3665="","",LEN($C3665)-LEN(SUBSTITUTE($C3665,",",""))+1)</f>
        <v/>
      </c>
      <c r="K3665" s="26">
        <f>IF($A3665="","",SUMPRODUCT(--ISNUMBER(SEARCH('Category Dictionary'!$D$5:$D$135&amp;"",$C3665)),--('Category Dictionary'!$D$5:$D$135&lt;&gt;"")))</f>
        <v/>
      </c>
      <c r="L3665" s="27">
        <f>IF($A3665="","",TRIM(IF(ISERROR(FIND(",",$C3665)),$C3665,LEFT($C3665,FIND(",",$C3665)-1))))</f>
        <v/>
      </c>
      <c r="M3665" s="28">
        <f>IF($H3665="","",DATE(YEAR($H3665),MONTH($H3665),1))</f>
        <v/>
      </c>
      <c r="N3665" s="26">
        <f>IF($H3665="","",TODAY()-$H3665)</f>
        <v/>
      </c>
      <c r="O3665" s="15" t="n"/>
      <c r="P3665" s="26">
        <f>IF($A3665="","",COUNTIFS('Audit Versions'!$A$6:$A$605,$A3665,'Audit Versions'!$L$6:$L$605,"Active"))</f>
        <v/>
      </c>
      <c r="Q3665" s="15" t="n"/>
      <c r="R3665" s="26">
        <f>IF(OR($A3665="",$P3665=0),"",MOD(N($Q3665),$P3665)+1)</f>
        <v/>
      </c>
      <c r="S3665" s="15" t="n"/>
      <c r="T3665" s="25" t="n"/>
      <c r="U3665" s="26">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Builder'!$B$12="",N($S3665)&lt;='Assignment Builder'!$B$12)))</f>
        <v/>
      </c>
      <c r="V3665" s="23" t="n"/>
    </row>
    <row r="3666">
      <c r="A3666" s="23" t="n"/>
      <c r="B3666" s="23" t="n"/>
      <c r="C3666" s="24" t="n"/>
      <c r="D3666" s="15" t="n"/>
      <c r="E3666" s="23" t="n"/>
      <c r="F3666" s="15" t="n"/>
      <c r="G3666" s="23" t="n"/>
      <c r="H3666" s="25" t="n"/>
      <c r="I3666" s="15" t="n"/>
      <c r="J3666" s="26">
        <f>IF($A3666="","",LEN($C3666)-LEN(SUBSTITUTE($C3666,",",""))+1)</f>
        <v/>
      </c>
      <c r="K3666" s="26">
        <f>IF($A3666="","",SUMPRODUCT(--ISNUMBER(SEARCH('Category Dictionary'!$D$5:$D$135&amp;"",$C3666)),--('Category Dictionary'!$D$5:$D$135&lt;&gt;"")))</f>
        <v/>
      </c>
      <c r="L3666" s="27">
        <f>IF($A3666="","",TRIM(IF(ISERROR(FIND(",",$C3666)),$C3666,LEFT($C3666,FIND(",",$C3666)-1))))</f>
        <v/>
      </c>
      <c r="M3666" s="28">
        <f>IF($H3666="","",DATE(YEAR($H3666),MONTH($H3666),1))</f>
        <v/>
      </c>
      <c r="N3666" s="26">
        <f>IF($H3666="","",TODAY()-$H3666)</f>
        <v/>
      </c>
      <c r="O3666" s="15" t="n"/>
      <c r="P3666" s="26">
        <f>IF($A3666="","",COUNTIFS('Audit Versions'!$A$6:$A$605,$A3666,'Audit Versions'!$L$6:$L$605,"Active"))</f>
        <v/>
      </c>
      <c r="Q3666" s="15" t="n"/>
      <c r="R3666" s="26">
        <f>IF(OR($A3666="",$P3666=0),"",MOD(N($Q3666),$P3666)+1)</f>
        <v/>
      </c>
      <c r="S3666" s="15" t="n"/>
      <c r="T3666" s="25" t="n"/>
      <c r="U3666" s="26">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Builder'!$B$12="",N($S3666)&lt;='Assignment Builder'!$B$12)))</f>
        <v/>
      </c>
      <c r="V3666" s="23" t="n"/>
    </row>
    <row r="3667">
      <c r="A3667" s="23" t="n"/>
      <c r="B3667" s="23" t="n"/>
      <c r="C3667" s="24" t="n"/>
      <c r="D3667" s="15" t="n"/>
      <c r="E3667" s="23" t="n"/>
      <c r="F3667" s="15" t="n"/>
      <c r="G3667" s="23" t="n"/>
      <c r="H3667" s="25" t="n"/>
      <c r="I3667" s="15" t="n"/>
      <c r="J3667" s="26">
        <f>IF($A3667="","",LEN($C3667)-LEN(SUBSTITUTE($C3667,",",""))+1)</f>
        <v/>
      </c>
      <c r="K3667" s="26">
        <f>IF($A3667="","",SUMPRODUCT(--ISNUMBER(SEARCH('Category Dictionary'!$D$5:$D$135&amp;"",$C3667)),--('Category Dictionary'!$D$5:$D$135&lt;&gt;"")))</f>
        <v/>
      </c>
      <c r="L3667" s="27">
        <f>IF($A3667="","",TRIM(IF(ISERROR(FIND(",",$C3667)),$C3667,LEFT($C3667,FIND(",",$C3667)-1))))</f>
        <v/>
      </c>
      <c r="M3667" s="28">
        <f>IF($H3667="","",DATE(YEAR($H3667),MONTH($H3667),1))</f>
        <v/>
      </c>
      <c r="N3667" s="26">
        <f>IF($H3667="","",TODAY()-$H3667)</f>
        <v/>
      </c>
      <c r="O3667" s="15" t="n"/>
      <c r="P3667" s="26">
        <f>IF($A3667="","",COUNTIFS('Audit Versions'!$A$6:$A$605,$A3667,'Audit Versions'!$L$6:$L$605,"Active"))</f>
        <v/>
      </c>
      <c r="Q3667" s="15" t="n"/>
      <c r="R3667" s="26">
        <f>IF(OR($A3667="",$P3667=0),"",MOD(N($Q3667),$P3667)+1)</f>
        <v/>
      </c>
      <c r="S3667" s="15" t="n"/>
      <c r="T3667" s="25" t="n"/>
      <c r="U3667" s="26">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Builder'!$B$12="",N($S3667)&lt;='Assignment Builder'!$B$12)))</f>
        <v/>
      </c>
      <c r="V3667" s="23" t="n"/>
    </row>
    <row r="3668">
      <c r="A3668" s="23" t="n"/>
      <c r="B3668" s="23" t="n"/>
      <c r="C3668" s="24" t="n"/>
      <c r="D3668" s="15" t="n"/>
      <c r="E3668" s="23" t="n"/>
      <c r="F3668" s="15" t="n"/>
      <c r="G3668" s="23" t="n"/>
      <c r="H3668" s="25" t="n"/>
      <c r="I3668" s="15" t="n"/>
      <c r="J3668" s="26">
        <f>IF($A3668="","",LEN($C3668)-LEN(SUBSTITUTE($C3668,",",""))+1)</f>
        <v/>
      </c>
      <c r="K3668" s="26">
        <f>IF($A3668="","",SUMPRODUCT(--ISNUMBER(SEARCH('Category Dictionary'!$D$5:$D$135&amp;"",$C3668)),--('Category Dictionary'!$D$5:$D$135&lt;&gt;"")))</f>
        <v/>
      </c>
      <c r="L3668" s="27">
        <f>IF($A3668="","",TRIM(IF(ISERROR(FIND(",",$C3668)),$C3668,LEFT($C3668,FIND(",",$C3668)-1))))</f>
        <v/>
      </c>
      <c r="M3668" s="28">
        <f>IF($H3668="","",DATE(YEAR($H3668),MONTH($H3668),1))</f>
        <v/>
      </c>
      <c r="N3668" s="26">
        <f>IF($H3668="","",TODAY()-$H3668)</f>
        <v/>
      </c>
      <c r="O3668" s="15" t="n"/>
      <c r="P3668" s="26">
        <f>IF($A3668="","",COUNTIFS('Audit Versions'!$A$6:$A$605,$A3668,'Audit Versions'!$L$6:$L$605,"Active"))</f>
        <v/>
      </c>
      <c r="Q3668" s="15" t="n"/>
      <c r="R3668" s="26">
        <f>IF(OR($A3668="",$P3668=0),"",MOD(N($Q3668),$P3668)+1)</f>
        <v/>
      </c>
      <c r="S3668" s="15" t="n"/>
      <c r="T3668" s="25" t="n"/>
      <c r="U3668" s="26">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Builder'!$B$12="",N($S3668)&lt;='Assignment Builder'!$B$12)))</f>
        <v/>
      </c>
      <c r="V3668" s="23" t="n"/>
    </row>
    <row r="3669">
      <c r="A3669" s="23" t="n"/>
      <c r="B3669" s="23" t="n"/>
      <c r="C3669" s="24" t="n"/>
      <c r="D3669" s="15" t="n"/>
      <c r="E3669" s="23" t="n"/>
      <c r="F3669" s="15" t="n"/>
      <c r="G3669" s="23" t="n"/>
      <c r="H3669" s="25" t="n"/>
      <c r="I3669" s="15" t="n"/>
      <c r="J3669" s="26">
        <f>IF($A3669="","",LEN($C3669)-LEN(SUBSTITUTE($C3669,",",""))+1)</f>
        <v/>
      </c>
      <c r="K3669" s="26">
        <f>IF($A3669="","",SUMPRODUCT(--ISNUMBER(SEARCH('Category Dictionary'!$D$5:$D$135&amp;"",$C3669)),--('Category Dictionary'!$D$5:$D$135&lt;&gt;"")))</f>
        <v/>
      </c>
      <c r="L3669" s="27">
        <f>IF($A3669="","",TRIM(IF(ISERROR(FIND(",",$C3669)),$C3669,LEFT($C3669,FIND(",",$C3669)-1))))</f>
        <v/>
      </c>
      <c r="M3669" s="28">
        <f>IF($H3669="","",DATE(YEAR($H3669),MONTH($H3669),1))</f>
        <v/>
      </c>
      <c r="N3669" s="26">
        <f>IF($H3669="","",TODAY()-$H3669)</f>
        <v/>
      </c>
      <c r="O3669" s="15" t="n"/>
      <c r="P3669" s="26">
        <f>IF($A3669="","",COUNTIFS('Audit Versions'!$A$6:$A$605,$A3669,'Audit Versions'!$L$6:$L$605,"Active"))</f>
        <v/>
      </c>
      <c r="Q3669" s="15" t="n"/>
      <c r="R3669" s="26">
        <f>IF(OR($A3669="",$P3669=0),"",MOD(N($Q3669),$P3669)+1)</f>
        <v/>
      </c>
      <c r="S3669" s="15" t="n"/>
      <c r="T3669" s="25" t="n"/>
      <c r="U3669" s="26">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Builder'!$B$12="",N($S3669)&lt;='Assignment Builder'!$B$12)))</f>
        <v/>
      </c>
      <c r="V3669" s="23" t="n"/>
    </row>
    <row r="3670">
      <c r="A3670" s="23" t="n"/>
      <c r="B3670" s="23" t="n"/>
      <c r="C3670" s="24" t="n"/>
      <c r="D3670" s="15" t="n"/>
      <c r="E3670" s="23" t="n"/>
      <c r="F3670" s="15" t="n"/>
      <c r="G3670" s="23" t="n"/>
      <c r="H3670" s="25" t="n"/>
      <c r="I3670" s="15" t="n"/>
      <c r="J3670" s="26">
        <f>IF($A3670="","",LEN($C3670)-LEN(SUBSTITUTE($C3670,",",""))+1)</f>
        <v/>
      </c>
      <c r="K3670" s="26">
        <f>IF($A3670="","",SUMPRODUCT(--ISNUMBER(SEARCH('Category Dictionary'!$D$5:$D$135&amp;"",$C3670)),--('Category Dictionary'!$D$5:$D$135&lt;&gt;"")))</f>
        <v/>
      </c>
      <c r="L3670" s="27">
        <f>IF($A3670="","",TRIM(IF(ISERROR(FIND(",",$C3670)),$C3670,LEFT($C3670,FIND(",",$C3670)-1))))</f>
        <v/>
      </c>
      <c r="M3670" s="28">
        <f>IF($H3670="","",DATE(YEAR($H3670),MONTH($H3670),1))</f>
        <v/>
      </c>
      <c r="N3670" s="26">
        <f>IF($H3670="","",TODAY()-$H3670)</f>
        <v/>
      </c>
      <c r="O3670" s="15" t="n"/>
      <c r="P3670" s="26">
        <f>IF($A3670="","",COUNTIFS('Audit Versions'!$A$6:$A$605,$A3670,'Audit Versions'!$L$6:$L$605,"Active"))</f>
        <v/>
      </c>
      <c r="Q3670" s="15" t="n"/>
      <c r="R3670" s="26">
        <f>IF(OR($A3670="",$P3670=0),"",MOD(N($Q3670),$P3670)+1)</f>
        <v/>
      </c>
      <c r="S3670" s="15" t="n"/>
      <c r="T3670" s="25" t="n"/>
      <c r="U3670" s="26">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Builder'!$B$12="",N($S3670)&lt;='Assignment Builder'!$B$12)))</f>
        <v/>
      </c>
      <c r="V3670" s="23" t="n"/>
    </row>
    <row r="3671">
      <c r="A3671" s="23" t="n"/>
      <c r="B3671" s="23" t="n"/>
      <c r="C3671" s="24" t="n"/>
      <c r="D3671" s="15" t="n"/>
      <c r="E3671" s="23" t="n"/>
      <c r="F3671" s="15" t="n"/>
      <c r="G3671" s="23" t="n"/>
      <c r="H3671" s="25" t="n"/>
      <c r="I3671" s="15" t="n"/>
      <c r="J3671" s="26">
        <f>IF($A3671="","",LEN($C3671)-LEN(SUBSTITUTE($C3671,",",""))+1)</f>
        <v/>
      </c>
      <c r="K3671" s="26">
        <f>IF($A3671="","",SUMPRODUCT(--ISNUMBER(SEARCH('Category Dictionary'!$D$5:$D$135&amp;"",$C3671)),--('Category Dictionary'!$D$5:$D$135&lt;&gt;"")))</f>
        <v/>
      </c>
      <c r="L3671" s="27">
        <f>IF($A3671="","",TRIM(IF(ISERROR(FIND(",",$C3671)),$C3671,LEFT($C3671,FIND(",",$C3671)-1))))</f>
        <v/>
      </c>
      <c r="M3671" s="28">
        <f>IF($H3671="","",DATE(YEAR($H3671),MONTH($H3671),1))</f>
        <v/>
      </c>
      <c r="N3671" s="26">
        <f>IF($H3671="","",TODAY()-$H3671)</f>
        <v/>
      </c>
      <c r="O3671" s="15" t="n"/>
      <c r="P3671" s="26">
        <f>IF($A3671="","",COUNTIFS('Audit Versions'!$A$6:$A$605,$A3671,'Audit Versions'!$L$6:$L$605,"Active"))</f>
        <v/>
      </c>
      <c r="Q3671" s="15" t="n"/>
      <c r="R3671" s="26">
        <f>IF(OR($A3671="",$P3671=0),"",MOD(N($Q3671),$P3671)+1)</f>
        <v/>
      </c>
      <c r="S3671" s="15" t="n"/>
      <c r="T3671" s="25" t="n"/>
      <c r="U3671" s="26">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Builder'!$B$12="",N($S3671)&lt;='Assignment Builder'!$B$12)))</f>
        <v/>
      </c>
      <c r="V3671" s="23" t="n"/>
    </row>
    <row r="3672">
      <c r="A3672" s="23" t="n"/>
      <c r="B3672" s="23" t="n"/>
      <c r="C3672" s="24" t="n"/>
      <c r="D3672" s="15" t="n"/>
      <c r="E3672" s="23" t="n"/>
      <c r="F3672" s="15" t="n"/>
      <c r="G3672" s="23" t="n"/>
      <c r="H3672" s="25" t="n"/>
      <c r="I3672" s="15" t="n"/>
      <c r="J3672" s="26">
        <f>IF($A3672="","",LEN($C3672)-LEN(SUBSTITUTE($C3672,",",""))+1)</f>
        <v/>
      </c>
      <c r="K3672" s="26">
        <f>IF($A3672="","",SUMPRODUCT(--ISNUMBER(SEARCH('Category Dictionary'!$D$5:$D$135&amp;"",$C3672)),--('Category Dictionary'!$D$5:$D$135&lt;&gt;"")))</f>
        <v/>
      </c>
      <c r="L3672" s="27">
        <f>IF($A3672="","",TRIM(IF(ISERROR(FIND(",",$C3672)),$C3672,LEFT($C3672,FIND(",",$C3672)-1))))</f>
        <v/>
      </c>
      <c r="M3672" s="28">
        <f>IF($H3672="","",DATE(YEAR($H3672),MONTH($H3672),1))</f>
        <v/>
      </c>
      <c r="N3672" s="26">
        <f>IF($H3672="","",TODAY()-$H3672)</f>
        <v/>
      </c>
      <c r="O3672" s="15" t="n"/>
      <c r="P3672" s="26">
        <f>IF($A3672="","",COUNTIFS('Audit Versions'!$A$6:$A$605,$A3672,'Audit Versions'!$L$6:$L$605,"Active"))</f>
        <v/>
      </c>
      <c r="Q3672" s="15" t="n"/>
      <c r="R3672" s="26">
        <f>IF(OR($A3672="",$P3672=0),"",MOD(N($Q3672),$P3672)+1)</f>
        <v/>
      </c>
      <c r="S3672" s="15" t="n"/>
      <c r="T3672" s="25" t="n"/>
      <c r="U3672" s="26">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Builder'!$B$12="",N($S3672)&lt;='Assignment Builder'!$B$12)))</f>
        <v/>
      </c>
      <c r="V3672" s="23" t="n"/>
    </row>
    <row r="3673">
      <c r="A3673" s="23" t="n"/>
      <c r="B3673" s="23" t="n"/>
      <c r="C3673" s="24" t="n"/>
      <c r="D3673" s="15" t="n"/>
      <c r="E3673" s="23" t="n"/>
      <c r="F3673" s="15" t="n"/>
      <c r="G3673" s="23" t="n"/>
      <c r="H3673" s="25" t="n"/>
      <c r="I3673" s="15" t="n"/>
      <c r="J3673" s="26">
        <f>IF($A3673="","",LEN($C3673)-LEN(SUBSTITUTE($C3673,",",""))+1)</f>
        <v/>
      </c>
      <c r="K3673" s="26">
        <f>IF($A3673="","",SUMPRODUCT(--ISNUMBER(SEARCH('Category Dictionary'!$D$5:$D$135&amp;"",$C3673)),--('Category Dictionary'!$D$5:$D$135&lt;&gt;"")))</f>
        <v/>
      </c>
      <c r="L3673" s="27">
        <f>IF($A3673="","",TRIM(IF(ISERROR(FIND(",",$C3673)),$C3673,LEFT($C3673,FIND(",",$C3673)-1))))</f>
        <v/>
      </c>
      <c r="M3673" s="28">
        <f>IF($H3673="","",DATE(YEAR($H3673),MONTH($H3673),1))</f>
        <v/>
      </c>
      <c r="N3673" s="26">
        <f>IF($H3673="","",TODAY()-$H3673)</f>
        <v/>
      </c>
      <c r="O3673" s="15" t="n"/>
      <c r="P3673" s="26">
        <f>IF($A3673="","",COUNTIFS('Audit Versions'!$A$6:$A$605,$A3673,'Audit Versions'!$L$6:$L$605,"Active"))</f>
        <v/>
      </c>
      <c r="Q3673" s="15" t="n"/>
      <c r="R3673" s="26">
        <f>IF(OR($A3673="",$P3673=0),"",MOD(N($Q3673),$P3673)+1)</f>
        <v/>
      </c>
      <c r="S3673" s="15" t="n"/>
      <c r="T3673" s="25" t="n"/>
      <c r="U3673" s="26">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Builder'!$B$12="",N($S3673)&lt;='Assignment Builder'!$B$12)))</f>
        <v/>
      </c>
      <c r="V3673" s="23" t="n"/>
    </row>
    <row r="3674">
      <c r="A3674" s="23" t="n"/>
      <c r="B3674" s="23" t="n"/>
      <c r="C3674" s="24" t="n"/>
      <c r="D3674" s="15" t="n"/>
      <c r="E3674" s="23" t="n"/>
      <c r="F3674" s="15" t="n"/>
      <c r="G3674" s="23" t="n"/>
      <c r="H3674" s="25" t="n"/>
      <c r="I3674" s="15" t="n"/>
      <c r="J3674" s="26">
        <f>IF($A3674="","",LEN($C3674)-LEN(SUBSTITUTE($C3674,",",""))+1)</f>
        <v/>
      </c>
      <c r="K3674" s="26">
        <f>IF($A3674="","",SUMPRODUCT(--ISNUMBER(SEARCH('Category Dictionary'!$D$5:$D$135&amp;"",$C3674)),--('Category Dictionary'!$D$5:$D$135&lt;&gt;"")))</f>
        <v/>
      </c>
      <c r="L3674" s="27">
        <f>IF($A3674="","",TRIM(IF(ISERROR(FIND(",",$C3674)),$C3674,LEFT($C3674,FIND(",",$C3674)-1))))</f>
        <v/>
      </c>
      <c r="M3674" s="28">
        <f>IF($H3674="","",DATE(YEAR($H3674),MONTH($H3674),1))</f>
        <v/>
      </c>
      <c r="N3674" s="26">
        <f>IF($H3674="","",TODAY()-$H3674)</f>
        <v/>
      </c>
      <c r="O3674" s="15" t="n"/>
      <c r="P3674" s="26">
        <f>IF($A3674="","",COUNTIFS('Audit Versions'!$A$6:$A$605,$A3674,'Audit Versions'!$L$6:$L$605,"Active"))</f>
        <v/>
      </c>
      <c r="Q3674" s="15" t="n"/>
      <c r="R3674" s="26">
        <f>IF(OR($A3674="",$P3674=0),"",MOD(N($Q3674),$P3674)+1)</f>
        <v/>
      </c>
      <c r="S3674" s="15" t="n"/>
      <c r="T3674" s="25" t="n"/>
      <c r="U3674" s="26">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Builder'!$B$12="",N($S3674)&lt;='Assignment Builder'!$B$12)))</f>
        <v/>
      </c>
      <c r="V3674" s="23" t="n"/>
    </row>
    <row r="3675">
      <c r="A3675" s="23" t="n"/>
      <c r="B3675" s="23" t="n"/>
      <c r="C3675" s="24" t="n"/>
      <c r="D3675" s="15" t="n"/>
      <c r="E3675" s="23" t="n"/>
      <c r="F3675" s="15" t="n"/>
      <c r="G3675" s="23" t="n"/>
      <c r="H3675" s="25" t="n"/>
      <c r="I3675" s="15" t="n"/>
      <c r="J3675" s="26">
        <f>IF($A3675="","",LEN($C3675)-LEN(SUBSTITUTE($C3675,",",""))+1)</f>
        <v/>
      </c>
      <c r="K3675" s="26">
        <f>IF($A3675="","",SUMPRODUCT(--ISNUMBER(SEARCH('Category Dictionary'!$D$5:$D$135&amp;"",$C3675)),--('Category Dictionary'!$D$5:$D$135&lt;&gt;"")))</f>
        <v/>
      </c>
      <c r="L3675" s="27">
        <f>IF($A3675="","",TRIM(IF(ISERROR(FIND(",",$C3675)),$C3675,LEFT($C3675,FIND(",",$C3675)-1))))</f>
        <v/>
      </c>
      <c r="M3675" s="28">
        <f>IF($H3675="","",DATE(YEAR($H3675),MONTH($H3675),1))</f>
        <v/>
      </c>
      <c r="N3675" s="26">
        <f>IF($H3675="","",TODAY()-$H3675)</f>
        <v/>
      </c>
      <c r="O3675" s="15" t="n"/>
      <c r="P3675" s="26">
        <f>IF($A3675="","",COUNTIFS('Audit Versions'!$A$6:$A$605,$A3675,'Audit Versions'!$L$6:$L$605,"Active"))</f>
        <v/>
      </c>
      <c r="Q3675" s="15" t="n"/>
      <c r="R3675" s="26">
        <f>IF(OR($A3675="",$P3675=0),"",MOD(N($Q3675),$P3675)+1)</f>
        <v/>
      </c>
      <c r="S3675" s="15" t="n"/>
      <c r="T3675" s="25" t="n"/>
      <c r="U3675" s="26">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Builder'!$B$12="",N($S3675)&lt;='Assignment Builder'!$B$12)))</f>
        <v/>
      </c>
      <c r="V3675" s="23" t="n"/>
    </row>
    <row r="3676">
      <c r="A3676" s="23" t="n"/>
      <c r="B3676" s="23" t="n"/>
      <c r="C3676" s="24" t="n"/>
      <c r="D3676" s="15" t="n"/>
      <c r="E3676" s="23" t="n"/>
      <c r="F3676" s="15" t="n"/>
      <c r="G3676" s="23" t="n"/>
      <c r="H3676" s="25" t="n"/>
      <c r="I3676" s="15" t="n"/>
      <c r="J3676" s="26">
        <f>IF($A3676="","",LEN($C3676)-LEN(SUBSTITUTE($C3676,",",""))+1)</f>
        <v/>
      </c>
      <c r="K3676" s="26">
        <f>IF($A3676="","",SUMPRODUCT(--ISNUMBER(SEARCH('Category Dictionary'!$D$5:$D$135&amp;"",$C3676)),--('Category Dictionary'!$D$5:$D$135&lt;&gt;"")))</f>
        <v/>
      </c>
      <c r="L3676" s="27">
        <f>IF($A3676="","",TRIM(IF(ISERROR(FIND(",",$C3676)),$C3676,LEFT($C3676,FIND(",",$C3676)-1))))</f>
        <v/>
      </c>
      <c r="M3676" s="28">
        <f>IF($H3676="","",DATE(YEAR($H3676),MONTH($H3676),1))</f>
        <v/>
      </c>
      <c r="N3676" s="26">
        <f>IF($H3676="","",TODAY()-$H3676)</f>
        <v/>
      </c>
      <c r="O3676" s="15" t="n"/>
      <c r="P3676" s="26">
        <f>IF($A3676="","",COUNTIFS('Audit Versions'!$A$6:$A$605,$A3676,'Audit Versions'!$L$6:$L$605,"Active"))</f>
        <v/>
      </c>
      <c r="Q3676" s="15" t="n"/>
      <c r="R3676" s="26">
        <f>IF(OR($A3676="",$P3676=0),"",MOD(N($Q3676),$P3676)+1)</f>
        <v/>
      </c>
      <c r="S3676" s="15" t="n"/>
      <c r="T3676" s="25" t="n"/>
      <c r="U3676" s="26">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Builder'!$B$12="",N($S3676)&lt;='Assignment Builder'!$B$12)))</f>
        <v/>
      </c>
      <c r="V3676" s="23" t="n"/>
    </row>
    <row r="3677">
      <c r="A3677" s="23" t="n"/>
      <c r="B3677" s="23" t="n"/>
      <c r="C3677" s="24" t="n"/>
      <c r="D3677" s="15" t="n"/>
      <c r="E3677" s="23" t="n"/>
      <c r="F3677" s="15" t="n"/>
      <c r="G3677" s="23" t="n"/>
      <c r="H3677" s="25" t="n"/>
      <c r="I3677" s="15" t="n"/>
      <c r="J3677" s="26">
        <f>IF($A3677="","",LEN($C3677)-LEN(SUBSTITUTE($C3677,",",""))+1)</f>
        <v/>
      </c>
      <c r="K3677" s="26">
        <f>IF($A3677="","",SUMPRODUCT(--ISNUMBER(SEARCH('Category Dictionary'!$D$5:$D$135&amp;"",$C3677)),--('Category Dictionary'!$D$5:$D$135&lt;&gt;"")))</f>
        <v/>
      </c>
      <c r="L3677" s="27">
        <f>IF($A3677="","",TRIM(IF(ISERROR(FIND(",",$C3677)),$C3677,LEFT($C3677,FIND(",",$C3677)-1))))</f>
        <v/>
      </c>
      <c r="M3677" s="28">
        <f>IF($H3677="","",DATE(YEAR($H3677),MONTH($H3677),1))</f>
        <v/>
      </c>
      <c r="N3677" s="26">
        <f>IF($H3677="","",TODAY()-$H3677)</f>
        <v/>
      </c>
      <c r="O3677" s="15" t="n"/>
      <c r="P3677" s="26">
        <f>IF($A3677="","",COUNTIFS('Audit Versions'!$A$6:$A$605,$A3677,'Audit Versions'!$L$6:$L$605,"Active"))</f>
        <v/>
      </c>
      <c r="Q3677" s="15" t="n"/>
      <c r="R3677" s="26">
        <f>IF(OR($A3677="",$P3677=0),"",MOD(N($Q3677),$P3677)+1)</f>
        <v/>
      </c>
      <c r="S3677" s="15" t="n"/>
      <c r="T3677" s="25" t="n"/>
      <c r="U3677" s="26">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Builder'!$B$12="",N($S3677)&lt;='Assignment Builder'!$B$12)))</f>
        <v/>
      </c>
      <c r="V3677" s="23" t="n"/>
    </row>
    <row r="3678">
      <c r="A3678" s="23" t="n"/>
      <c r="B3678" s="23" t="n"/>
      <c r="C3678" s="24" t="n"/>
      <c r="D3678" s="15" t="n"/>
      <c r="E3678" s="23" t="n"/>
      <c r="F3678" s="15" t="n"/>
      <c r="G3678" s="23" t="n"/>
      <c r="H3678" s="25" t="n"/>
      <c r="I3678" s="15" t="n"/>
      <c r="J3678" s="26">
        <f>IF($A3678="","",LEN($C3678)-LEN(SUBSTITUTE($C3678,",",""))+1)</f>
        <v/>
      </c>
      <c r="K3678" s="26">
        <f>IF($A3678="","",SUMPRODUCT(--ISNUMBER(SEARCH('Category Dictionary'!$D$5:$D$135&amp;"",$C3678)),--('Category Dictionary'!$D$5:$D$135&lt;&gt;"")))</f>
        <v/>
      </c>
      <c r="L3678" s="27">
        <f>IF($A3678="","",TRIM(IF(ISERROR(FIND(",",$C3678)),$C3678,LEFT($C3678,FIND(",",$C3678)-1))))</f>
        <v/>
      </c>
      <c r="M3678" s="28">
        <f>IF($H3678="","",DATE(YEAR($H3678),MONTH($H3678),1))</f>
        <v/>
      </c>
      <c r="N3678" s="26">
        <f>IF($H3678="","",TODAY()-$H3678)</f>
        <v/>
      </c>
      <c r="O3678" s="15" t="n"/>
      <c r="P3678" s="26">
        <f>IF($A3678="","",COUNTIFS('Audit Versions'!$A$6:$A$605,$A3678,'Audit Versions'!$L$6:$L$605,"Active"))</f>
        <v/>
      </c>
      <c r="Q3678" s="15" t="n"/>
      <c r="R3678" s="26">
        <f>IF(OR($A3678="",$P3678=0),"",MOD(N($Q3678),$P3678)+1)</f>
        <v/>
      </c>
      <c r="S3678" s="15" t="n"/>
      <c r="T3678" s="25" t="n"/>
      <c r="U3678" s="26">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Builder'!$B$12="",N($S3678)&lt;='Assignment Builder'!$B$12)))</f>
        <v/>
      </c>
      <c r="V3678" s="23" t="n"/>
    </row>
    <row r="3679">
      <c r="A3679" s="23" t="n"/>
      <c r="B3679" s="23" t="n"/>
      <c r="C3679" s="24" t="n"/>
      <c r="D3679" s="15" t="n"/>
      <c r="E3679" s="23" t="n"/>
      <c r="F3679" s="15" t="n"/>
      <c r="G3679" s="23" t="n"/>
      <c r="H3679" s="25" t="n"/>
      <c r="I3679" s="15" t="n"/>
      <c r="J3679" s="26">
        <f>IF($A3679="","",LEN($C3679)-LEN(SUBSTITUTE($C3679,",",""))+1)</f>
        <v/>
      </c>
      <c r="K3679" s="26">
        <f>IF($A3679="","",SUMPRODUCT(--ISNUMBER(SEARCH('Category Dictionary'!$D$5:$D$135&amp;"",$C3679)),--('Category Dictionary'!$D$5:$D$135&lt;&gt;"")))</f>
        <v/>
      </c>
      <c r="L3679" s="27">
        <f>IF($A3679="","",TRIM(IF(ISERROR(FIND(",",$C3679)),$C3679,LEFT($C3679,FIND(",",$C3679)-1))))</f>
        <v/>
      </c>
      <c r="M3679" s="28">
        <f>IF($H3679="","",DATE(YEAR($H3679),MONTH($H3679),1))</f>
        <v/>
      </c>
      <c r="N3679" s="26">
        <f>IF($H3679="","",TODAY()-$H3679)</f>
        <v/>
      </c>
      <c r="O3679" s="15" t="n"/>
      <c r="P3679" s="26">
        <f>IF($A3679="","",COUNTIFS('Audit Versions'!$A$6:$A$605,$A3679,'Audit Versions'!$L$6:$L$605,"Active"))</f>
        <v/>
      </c>
      <c r="Q3679" s="15" t="n"/>
      <c r="R3679" s="26">
        <f>IF(OR($A3679="",$P3679=0),"",MOD(N($Q3679),$P3679)+1)</f>
        <v/>
      </c>
      <c r="S3679" s="15" t="n"/>
      <c r="T3679" s="25" t="n"/>
      <c r="U3679" s="26">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Builder'!$B$12="",N($S3679)&lt;='Assignment Builder'!$B$12)))</f>
        <v/>
      </c>
      <c r="V3679" s="23" t="n"/>
    </row>
    <row r="3680">
      <c r="A3680" s="23" t="n"/>
      <c r="B3680" s="23" t="n"/>
      <c r="C3680" s="24" t="n"/>
      <c r="D3680" s="15" t="n"/>
      <c r="E3680" s="23" t="n"/>
      <c r="F3680" s="15" t="n"/>
      <c r="G3680" s="23" t="n"/>
      <c r="H3680" s="25" t="n"/>
      <c r="I3680" s="15" t="n"/>
      <c r="J3680" s="26">
        <f>IF($A3680="","",LEN($C3680)-LEN(SUBSTITUTE($C3680,",",""))+1)</f>
        <v/>
      </c>
      <c r="K3680" s="26">
        <f>IF($A3680="","",SUMPRODUCT(--ISNUMBER(SEARCH('Category Dictionary'!$D$5:$D$135&amp;"",$C3680)),--('Category Dictionary'!$D$5:$D$135&lt;&gt;"")))</f>
        <v/>
      </c>
      <c r="L3680" s="27">
        <f>IF($A3680="","",TRIM(IF(ISERROR(FIND(",",$C3680)),$C3680,LEFT($C3680,FIND(",",$C3680)-1))))</f>
        <v/>
      </c>
      <c r="M3680" s="28">
        <f>IF($H3680="","",DATE(YEAR($H3680),MONTH($H3680),1))</f>
        <v/>
      </c>
      <c r="N3680" s="26">
        <f>IF($H3680="","",TODAY()-$H3680)</f>
        <v/>
      </c>
      <c r="O3680" s="15" t="n"/>
      <c r="P3680" s="26">
        <f>IF($A3680="","",COUNTIFS('Audit Versions'!$A$6:$A$605,$A3680,'Audit Versions'!$L$6:$L$605,"Active"))</f>
        <v/>
      </c>
      <c r="Q3680" s="15" t="n"/>
      <c r="R3680" s="26">
        <f>IF(OR($A3680="",$P3680=0),"",MOD(N($Q3680),$P3680)+1)</f>
        <v/>
      </c>
      <c r="S3680" s="15" t="n"/>
      <c r="T3680" s="25" t="n"/>
      <c r="U3680" s="26">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Builder'!$B$12="",N($S3680)&lt;='Assignment Builder'!$B$12)))</f>
        <v/>
      </c>
      <c r="V3680" s="23" t="n"/>
    </row>
    <row r="3681">
      <c r="A3681" s="23" t="n"/>
      <c r="B3681" s="23" t="n"/>
      <c r="C3681" s="24" t="n"/>
      <c r="D3681" s="15" t="n"/>
      <c r="E3681" s="23" t="n"/>
      <c r="F3681" s="15" t="n"/>
      <c r="G3681" s="23" t="n"/>
      <c r="H3681" s="25" t="n"/>
      <c r="I3681" s="15" t="n"/>
      <c r="J3681" s="26">
        <f>IF($A3681="","",LEN($C3681)-LEN(SUBSTITUTE($C3681,",",""))+1)</f>
        <v/>
      </c>
      <c r="K3681" s="26">
        <f>IF($A3681="","",SUMPRODUCT(--ISNUMBER(SEARCH('Category Dictionary'!$D$5:$D$135&amp;"",$C3681)),--('Category Dictionary'!$D$5:$D$135&lt;&gt;"")))</f>
        <v/>
      </c>
      <c r="L3681" s="27">
        <f>IF($A3681="","",TRIM(IF(ISERROR(FIND(",",$C3681)),$C3681,LEFT($C3681,FIND(",",$C3681)-1))))</f>
        <v/>
      </c>
      <c r="M3681" s="28">
        <f>IF($H3681="","",DATE(YEAR($H3681),MONTH($H3681),1))</f>
        <v/>
      </c>
      <c r="N3681" s="26">
        <f>IF($H3681="","",TODAY()-$H3681)</f>
        <v/>
      </c>
      <c r="O3681" s="15" t="n"/>
      <c r="P3681" s="26">
        <f>IF($A3681="","",COUNTIFS('Audit Versions'!$A$6:$A$605,$A3681,'Audit Versions'!$L$6:$L$605,"Active"))</f>
        <v/>
      </c>
      <c r="Q3681" s="15" t="n"/>
      <c r="R3681" s="26">
        <f>IF(OR($A3681="",$P3681=0),"",MOD(N($Q3681),$P3681)+1)</f>
        <v/>
      </c>
      <c r="S3681" s="15" t="n"/>
      <c r="T3681" s="25" t="n"/>
      <c r="U3681" s="26">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Builder'!$B$12="",N($S3681)&lt;='Assignment Builder'!$B$12)))</f>
        <v/>
      </c>
      <c r="V3681" s="23" t="n"/>
    </row>
    <row r="3682">
      <c r="A3682" s="23" t="n"/>
      <c r="B3682" s="23" t="n"/>
      <c r="C3682" s="24" t="n"/>
      <c r="D3682" s="15" t="n"/>
      <c r="E3682" s="23" t="n"/>
      <c r="F3682" s="15" t="n"/>
      <c r="G3682" s="23" t="n"/>
      <c r="H3682" s="25" t="n"/>
      <c r="I3682" s="15" t="n"/>
      <c r="J3682" s="26">
        <f>IF($A3682="","",LEN($C3682)-LEN(SUBSTITUTE($C3682,",",""))+1)</f>
        <v/>
      </c>
      <c r="K3682" s="26">
        <f>IF($A3682="","",SUMPRODUCT(--ISNUMBER(SEARCH('Category Dictionary'!$D$5:$D$135&amp;"",$C3682)),--('Category Dictionary'!$D$5:$D$135&lt;&gt;"")))</f>
        <v/>
      </c>
      <c r="L3682" s="27">
        <f>IF($A3682="","",TRIM(IF(ISERROR(FIND(",",$C3682)),$C3682,LEFT($C3682,FIND(",",$C3682)-1))))</f>
        <v/>
      </c>
      <c r="M3682" s="28">
        <f>IF($H3682="","",DATE(YEAR($H3682),MONTH($H3682),1))</f>
        <v/>
      </c>
      <c r="N3682" s="26">
        <f>IF($H3682="","",TODAY()-$H3682)</f>
        <v/>
      </c>
      <c r="O3682" s="15" t="n"/>
      <c r="P3682" s="26">
        <f>IF($A3682="","",COUNTIFS('Audit Versions'!$A$6:$A$605,$A3682,'Audit Versions'!$L$6:$L$605,"Active"))</f>
        <v/>
      </c>
      <c r="Q3682" s="15" t="n"/>
      <c r="R3682" s="26">
        <f>IF(OR($A3682="",$P3682=0),"",MOD(N($Q3682),$P3682)+1)</f>
        <v/>
      </c>
      <c r="S3682" s="15" t="n"/>
      <c r="T3682" s="25" t="n"/>
      <c r="U3682" s="26">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Builder'!$B$12="",N($S3682)&lt;='Assignment Builder'!$B$12)))</f>
        <v/>
      </c>
      <c r="V3682" s="23" t="n"/>
    </row>
    <row r="3683">
      <c r="A3683" s="23" t="n"/>
      <c r="B3683" s="23" t="n"/>
      <c r="C3683" s="24" t="n"/>
      <c r="D3683" s="15" t="n"/>
      <c r="E3683" s="23" t="n"/>
      <c r="F3683" s="15" t="n"/>
      <c r="G3683" s="23" t="n"/>
      <c r="H3683" s="25" t="n"/>
      <c r="I3683" s="15" t="n"/>
      <c r="J3683" s="26">
        <f>IF($A3683="","",LEN($C3683)-LEN(SUBSTITUTE($C3683,",",""))+1)</f>
        <v/>
      </c>
      <c r="K3683" s="26">
        <f>IF($A3683="","",SUMPRODUCT(--ISNUMBER(SEARCH('Category Dictionary'!$D$5:$D$135&amp;"",$C3683)),--('Category Dictionary'!$D$5:$D$135&lt;&gt;"")))</f>
        <v/>
      </c>
      <c r="L3683" s="27">
        <f>IF($A3683="","",TRIM(IF(ISERROR(FIND(",",$C3683)),$C3683,LEFT($C3683,FIND(",",$C3683)-1))))</f>
        <v/>
      </c>
      <c r="M3683" s="28">
        <f>IF($H3683="","",DATE(YEAR($H3683),MONTH($H3683),1))</f>
        <v/>
      </c>
      <c r="N3683" s="26">
        <f>IF($H3683="","",TODAY()-$H3683)</f>
        <v/>
      </c>
      <c r="O3683" s="15" t="n"/>
      <c r="P3683" s="26">
        <f>IF($A3683="","",COUNTIFS('Audit Versions'!$A$6:$A$605,$A3683,'Audit Versions'!$L$6:$L$605,"Active"))</f>
        <v/>
      </c>
      <c r="Q3683" s="15" t="n"/>
      <c r="R3683" s="26">
        <f>IF(OR($A3683="",$P3683=0),"",MOD(N($Q3683),$P3683)+1)</f>
        <v/>
      </c>
      <c r="S3683" s="15" t="n"/>
      <c r="T3683" s="25" t="n"/>
      <c r="U3683" s="26">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Builder'!$B$12="",N($S3683)&lt;='Assignment Builder'!$B$12)))</f>
        <v/>
      </c>
      <c r="V3683" s="23" t="n"/>
    </row>
    <row r="3684">
      <c r="A3684" s="23" t="n"/>
      <c r="B3684" s="23" t="n"/>
      <c r="C3684" s="24" t="n"/>
      <c r="D3684" s="15" t="n"/>
      <c r="E3684" s="23" t="n"/>
      <c r="F3684" s="15" t="n"/>
      <c r="G3684" s="23" t="n"/>
      <c r="H3684" s="25" t="n"/>
      <c r="I3684" s="15" t="n"/>
      <c r="J3684" s="26">
        <f>IF($A3684="","",LEN($C3684)-LEN(SUBSTITUTE($C3684,",",""))+1)</f>
        <v/>
      </c>
      <c r="K3684" s="26">
        <f>IF($A3684="","",SUMPRODUCT(--ISNUMBER(SEARCH('Category Dictionary'!$D$5:$D$135&amp;"",$C3684)),--('Category Dictionary'!$D$5:$D$135&lt;&gt;"")))</f>
        <v/>
      </c>
      <c r="L3684" s="27">
        <f>IF($A3684="","",TRIM(IF(ISERROR(FIND(",",$C3684)),$C3684,LEFT($C3684,FIND(",",$C3684)-1))))</f>
        <v/>
      </c>
      <c r="M3684" s="28">
        <f>IF($H3684="","",DATE(YEAR($H3684),MONTH($H3684),1))</f>
        <v/>
      </c>
      <c r="N3684" s="26">
        <f>IF($H3684="","",TODAY()-$H3684)</f>
        <v/>
      </c>
      <c r="O3684" s="15" t="n"/>
      <c r="P3684" s="26">
        <f>IF($A3684="","",COUNTIFS('Audit Versions'!$A$6:$A$605,$A3684,'Audit Versions'!$L$6:$L$605,"Active"))</f>
        <v/>
      </c>
      <c r="Q3684" s="15" t="n"/>
      <c r="R3684" s="26">
        <f>IF(OR($A3684="",$P3684=0),"",MOD(N($Q3684),$P3684)+1)</f>
        <v/>
      </c>
      <c r="S3684" s="15" t="n"/>
      <c r="T3684" s="25" t="n"/>
      <c r="U3684" s="26">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Builder'!$B$12="",N($S3684)&lt;='Assignment Builder'!$B$12)))</f>
        <v/>
      </c>
      <c r="V3684" s="23" t="n"/>
    </row>
    <row r="3685">
      <c r="A3685" s="23" t="n"/>
      <c r="B3685" s="23" t="n"/>
      <c r="C3685" s="24" t="n"/>
      <c r="D3685" s="15" t="n"/>
      <c r="E3685" s="23" t="n"/>
      <c r="F3685" s="15" t="n"/>
      <c r="G3685" s="23" t="n"/>
      <c r="H3685" s="25" t="n"/>
      <c r="I3685" s="15" t="n"/>
      <c r="J3685" s="26">
        <f>IF($A3685="","",LEN($C3685)-LEN(SUBSTITUTE($C3685,",",""))+1)</f>
        <v/>
      </c>
      <c r="K3685" s="26">
        <f>IF($A3685="","",SUMPRODUCT(--ISNUMBER(SEARCH('Category Dictionary'!$D$5:$D$135&amp;"",$C3685)),--('Category Dictionary'!$D$5:$D$135&lt;&gt;"")))</f>
        <v/>
      </c>
      <c r="L3685" s="27">
        <f>IF($A3685="","",TRIM(IF(ISERROR(FIND(",",$C3685)),$C3685,LEFT($C3685,FIND(",",$C3685)-1))))</f>
        <v/>
      </c>
      <c r="M3685" s="28">
        <f>IF($H3685="","",DATE(YEAR($H3685),MONTH($H3685),1))</f>
        <v/>
      </c>
      <c r="N3685" s="26">
        <f>IF($H3685="","",TODAY()-$H3685)</f>
        <v/>
      </c>
      <c r="O3685" s="15" t="n"/>
      <c r="P3685" s="26">
        <f>IF($A3685="","",COUNTIFS('Audit Versions'!$A$6:$A$605,$A3685,'Audit Versions'!$L$6:$L$605,"Active"))</f>
        <v/>
      </c>
      <c r="Q3685" s="15" t="n"/>
      <c r="R3685" s="26">
        <f>IF(OR($A3685="",$P3685=0),"",MOD(N($Q3685),$P3685)+1)</f>
        <v/>
      </c>
      <c r="S3685" s="15" t="n"/>
      <c r="T3685" s="25" t="n"/>
      <c r="U3685" s="26">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Builder'!$B$12="",N($S3685)&lt;='Assignment Builder'!$B$12)))</f>
        <v/>
      </c>
      <c r="V3685" s="23" t="n"/>
    </row>
    <row r="3686">
      <c r="A3686" s="23" t="n"/>
      <c r="B3686" s="23" t="n"/>
      <c r="C3686" s="24" t="n"/>
      <c r="D3686" s="15" t="n"/>
      <c r="E3686" s="23" t="n"/>
      <c r="F3686" s="15" t="n"/>
      <c r="G3686" s="23" t="n"/>
      <c r="H3686" s="25" t="n"/>
      <c r="I3686" s="15" t="n"/>
      <c r="J3686" s="26">
        <f>IF($A3686="","",LEN($C3686)-LEN(SUBSTITUTE($C3686,",",""))+1)</f>
        <v/>
      </c>
      <c r="K3686" s="26">
        <f>IF($A3686="","",SUMPRODUCT(--ISNUMBER(SEARCH('Category Dictionary'!$D$5:$D$135&amp;"",$C3686)),--('Category Dictionary'!$D$5:$D$135&lt;&gt;"")))</f>
        <v/>
      </c>
      <c r="L3686" s="27">
        <f>IF($A3686="","",TRIM(IF(ISERROR(FIND(",",$C3686)),$C3686,LEFT($C3686,FIND(",",$C3686)-1))))</f>
        <v/>
      </c>
      <c r="M3686" s="28">
        <f>IF($H3686="","",DATE(YEAR($H3686),MONTH($H3686),1))</f>
        <v/>
      </c>
      <c r="N3686" s="26">
        <f>IF($H3686="","",TODAY()-$H3686)</f>
        <v/>
      </c>
      <c r="O3686" s="15" t="n"/>
      <c r="P3686" s="26">
        <f>IF($A3686="","",COUNTIFS('Audit Versions'!$A$6:$A$605,$A3686,'Audit Versions'!$L$6:$L$605,"Active"))</f>
        <v/>
      </c>
      <c r="Q3686" s="15" t="n"/>
      <c r="R3686" s="26">
        <f>IF(OR($A3686="",$P3686=0),"",MOD(N($Q3686),$P3686)+1)</f>
        <v/>
      </c>
      <c r="S3686" s="15" t="n"/>
      <c r="T3686" s="25" t="n"/>
      <c r="U3686" s="26">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Builder'!$B$12="",N($S3686)&lt;='Assignment Builder'!$B$12)))</f>
        <v/>
      </c>
      <c r="V3686" s="23" t="n"/>
    </row>
    <row r="3687">
      <c r="A3687" s="23" t="n"/>
      <c r="B3687" s="23" t="n"/>
      <c r="C3687" s="24" t="n"/>
      <c r="D3687" s="15" t="n"/>
      <c r="E3687" s="23" t="n"/>
      <c r="F3687" s="15" t="n"/>
      <c r="G3687" s="23" t="n"/>
      <c r="H3687" s="25" t="n"/>
      <c r="I3687" s="15" t="n"/>
      <c r="J3687" s="26">
        <f>IF($A3687="","",LEN($C3687)-LEN(SUBSTITUTE($C3687,",",""))+1)</f>
        <v/>
      </c>
      <c r="K3687" s="26">
        <f>IF($A3687="","",SUMPRODUCT(--ISNUMBER(SEARCH('Category Dictionary'!$D$5:$D$135&amp;"",$C3687)),--('Category Dictionary'!$D$5:$D$135&lt;&gt;"")))</f>
        <v/>
      </c>
      <c r="L3687" s="27">
        <f>IF($A3687="","",TRIM(IF(ISERROR(FIND(",",$C3687)),$C3687,LEFT($C3687,FIND(",",$C3687)-1))))</f>
        <v/>
      </c>
      <c r="M3687" s="28">
        <f>IF($H3687="","",DATE(YEAR($H3687),MONTH($H3687),1))</f>
        <v/>
      </c>
      <c r="N3687" s="26">
        <f>IF($H3687="","",TODAY()-$H3687)</f>
        <v/>
      </c>
      <c r="O3687" s="15" t="n"/>
      <c r="P3687" s="26">
        <f>IF($A3687="","",COUNTIFS('Audit Versions'!$A$6:$A$605,$A3687,'Audit Versions'!$L$6:$L$605,"Active"))</f>
        <v/>
      </c>
      <c r="Q3687" s="15" t="n"/>
      <c r="R3687" s="26">
        <f>IF(OR($A3687="",$P3687=0),"",MOD(N($Q3687),$P3687)+1)</f>
        <v/>
      </c>
      <c r="S3687" s="15" t="n"/>
      <c r="T3687" s="25" t="n"/>
      <c r="U3687" s="26">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Builder'!$B$12="",N($S3687)&lt;='Assignment Builder'!$B$12)))</f>
        <v/>
      </c>
      <c r="V3687" s="23" t="n"/>
    </row>
    <row r="3688">
      <c r="A3688" s="23" t="n"/>
      <c r="B3688" s="23" t="n"/>
      <c r="C3688" s="24" t="n"/>
      <c r="D3688" s="15" t="n"/>
      <c r="E3688" s="23" t="n"/>
      <c r="F3688" s="15" t="n"/>
      <c r="G3688" s="23" t="n"/>
      <c r="H3688" s="25" t="n"/>
      <c r="I3688" s="15" t="n"/>
      <c r="J3688" s="26">
        <f>IF($A3688="","",LEN($C3688)-LEN(SUBSTITUTE($C3688,",",""))+1)</f>
        <v/>
      </c>
      <c r="K3688" s="26">
        <f>IF($A3688="","",SUMPRODUCT(--ISNUMBER(SEARCH('Category Dictionary'!$D$5:$D$135&amp;"",$C3688)),--('Category Dictionary'!$D$5:$D$135&lt;&gt;"")))</f>
        <v/>
      </c>
      <c r="L3688" s="27">
        <f>IF($A3688="","",TRIM(IF(ISERROR(FIND(",",$C3688)),$C3688,LEFT($C3688,FIND(",",$C3688)-1))))</f>
        <v/>
      </c>
      <c r="M3688" s="28">
        <f>IF($H3688="","",DATE(YEAR($H3688),MONTH($H3688),1))</f>
        <v/>
      </c>
      <c r="N3688" s="26">
        <f>IF($H3688="","",TODAY()-$H3688)</f>
        <v/>
      </c>
      <c r="O3688" s="15" t="n"/>
      <c r="P3688" s="26">
        <f>IF($A3688="","",COUNTIFS('Audit Versions'!$A$6:$A$605,$A3688,'Audit Versions'!$L$6:$L$605,"Active"))</f>
        <v/>
      </c>
      <c r="Q3688" s="15" t="n"/>
      <c r="R3688" s="26">
        <f>IF(OR($A3688="",$P3688=0),"",MOD(N($Q3688),$P3688)+1)</f>
        <v/>
      </c>
      <c r="S3688" s="15" t="n"/>
      <c r="T3688" s="25" t="n"/>
      <c r="U3688" s="26">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Builder'!$B$12="",N($S3688)&lt;='Assignment Builder'!$B$12)))</f>
        <v/>
      </c>
      <c r="V3688" s="23" t="n"/>
    </row>
    <row r="3689">
      <c r="A3689" s="23" t="n"/>
      <c r="B3689" s="23" t="n"/>
      <c r="C3689" s="24" t="n"/>
      <c r="D3689" s="15" t="n"/>
      <c r="E3689" s="23" t="n"/>
      <c r="F3689" s="15" t="n"/>
      <c r="G3689" s="23" t="n"/>
      <c r="H3689" s="25" t="n"/>
      <c r="I3689" s="15" t="n"/>
      <c r="J3689" s="26">
        <f>IF($A3689="","",LEN($C3689)-LEN(SUBSTITUTE($C3689,",",""))+1)</f>
        <v/>
      </c>
      <c r="K3689" s="26">
        <f>IF($A3689="","",SUMPRODUCT(--ISNUMBER(SEARCH('Category Dictionary'!$D$5:$D$135&amp;"",$C3689)),--('Category Dictionary'!$D$5:$D$135&lt;&gt;"")))</f>
        <v/>
      </c>
      <c r="L3689" s="27">
        <f>IF($A3689="","",TRIM(IF(ISERROR(FIND(",",$C3689)),$C3689,LEFT($C3689,FIND(",",$C3689)-1))))</f>
        <v/>
      </c>
      <c r="M3689" s="28">
        <f>IF($H3689="","",DATE(YEAR($H3689),MONTH($H3689),1))</f>
        <v/>
      </c>
      <c r="N3689" s="26">
        <f>IF($H3689="","",TODAY()-$H3689)</f>
        <v/>
      </c>
      <c r="O3689" s="15" t="n"/>
      <c r="P3689" s="26">
        <f>IF($A3689="","",COUNTIFS('Audit Versions'!$A$6:$A$605,$A3689,'Audit Versions'!$L$6:$L$605,"Active"))</f>
        <v/>
      </c>
      <c r="Q3689" s="15" t="n"/>
      <c r="R3689" s="26">
        <f>IF(OR($A3689="",$P3689=0),"",MOD(N($Q3689),$P3689)+1)</f>
        <v/>
      </c>
      <c r="S3689" s="15" t="n"/>
      <c r="T3689" s="25" t="n"/>
      <c r="U3689" s="26">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Builder'!$B$12="",N($S3689)&lt;='Assignment Builder'!$B$12)))</f>
        <v/>
      </c>
      <c r="V3689" s="23" t="n"/>
    </row>
    <row r="3690">
      <c r="A3690" s="23" t="n"/>
      <c r="B3690" s="23" t="n"/>
      <c r="C3690" s="24" t="n"/>
      <c r="D3690" s="15" t="n"/>
      <c r="E3690" s="23" t="n"/>
      <c r="F3690" s="15" t="n"/>
      <c r="G3690" s="23" t="n"/>
      <c r="H3690" s="25" t="n"/>
      <c r="I3690" s="15" t="n"/>
      <c r="J3690" s="26">
        <f>IF($A3690="","",LEN($C3690)-LEN(SUBSTITUTE($C3690,",",""))+1)</f>
        <v/>
      </c>
      <c r="K3690" s="26">
        <f>IF($A3690="","",SUMPRODUCT(--ISNUMBER(SEARCH('Category Dictionary'!$D$5:$D$135&amp;"",$C3690)),--('Category Dictionary'!$D$5:$D$135&lt;&gt;"")))</f>
        <v/>
      </c>
      <c r="L3690" s="27">
        <f>IF($A3690="","",TRIM(IF(ISERROR(FIND(",",$C3690)),$C3690,LEFT($C3690,FIND(",",$C3690)-1))))</f>
        <v/>
      </c>
      <c r="M3690" s="28">
        <f>IF($H3690="","",DATE(YEAR($H3690),MONTH($H3690),1))</f>
        <v/>
      </c>
      <c r="N3690" s="26">
        <f>IF($H3690="","",TODAY()-$H3690)</f>
        <v/>
      </c>
      <c r="O3690" s="15" t="n"/>
      <c r="P3690" s="26">
        <f>IF($A3690="","",COUNTIFS('Audit Versions'!$A$6:$A$605,$A3690,'Audit Versions'!$L$6:$L$605,"Active"))</f>
        <v/>
      </c>
      <c r="Q3690" s="15" t="n"/>
      <c r="R3690" s="26">
        <f>IF(OR($A3690="",$P3690=0),"",MOD(N($Q3690),$P3690)+1)</f>
        <v/>
      </c>
      <c r="S3690" s="15" t="n"/>
      <c r="T3690" s="25" t="n"/>
      <c r="U3690" s="26">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Builder'!$B$12="",N($S3690)&lt;='Assignment Builder'!$B$12)))</f>
        <v/>
      </c>
      <c r="V3690" s="23" t="n"/>
    </row>
    <row r="3691">
      <c r="A3691" s="23" t="n"/>
      <c r="B3691" s="23" t="n"/>
      <c r="C3691" s="24" t="n"/>
      <c r="D3691" s="15" t="n"/>
      <c r="E3691" s="23" t="n"/>
      <c r="F3691" s="15" t="n"/>
      <c r="G3691" s="23" t="n"/>
      <c r="H3691" s="25" t="n"/>
      <c r="I3691" s="15" t="n"/>
      <c r="J3691" s="26">
        <f>IF($A3691="","",LEN($C3691)-LEN(SUBSTITUTE($C3691,",",""))+1)</f>
        <v/>
      </c>
      <c r="K3691" s="26">
        <f>IF($A3691="","",SUMPRODUCT(--ISNUMBER(SEARCH('Category Dictionary'!$D$5:$D$135&amp;"",$C3691)),--('Category Dictionary'!$D$5:$D$135&lt;&gt;"")))</f>
        <v/>
      </c>
      <c r="L3691" s="27">
        <f>IF($A3691="","",TRIM(IF(ISERROR(FIND(",",$C3691)),$C3691,LEFT($C3691,FIND(",",$C3691)-1))))</f>
        <v/>
      </c>
      <c r="M3691" s="28">
        <f>IF($H3691="","",DATE(YEAR($H3691),MONTH($H3691),1))</f>
        <v/>
      </c>
      <c r="N3691" s="26">
        <f>IF($H3691="","",TODAY()-$H3691)</f>
        <v/>
      </c>
      <c r="O3691" s="15" t="n"/>
      <c r="P3691" s="26">
        <f>IF($A3691="","",COUNTIFS('Audit Versions'!$A$6:$A$605,$A3691,'Audit Versions'!$L$6:$L$605,"Active"))</f>
        <v/>
      </c>
      <c r="Q3691" s="15" t="n"/>
      <c r="R3691" s="26">
        <f>IF(OR($A3691="",$P3691=0),"",MOD(N($Q3691),$P3691)+1)</f>
        <v/>
      </c>
      <c r="S3691" s="15" t="n"/>
      <c r="T3691" s="25" t="n"/>
      <c r="U3691" s="26">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Builder'!$B$12="",N($S3691)&lt;='Assignment Builder'!$B$12)))</f>
        <v/>
      </c>
      <c r="V3691" s="23" t="n"/>
    </row>
    <row r="3692">
      <c r="A3692" s="23" t="n"/>
      <c r="B3692" s="23" t="n"/>
      <c r="C3692" s="24" t="n"/>
      <c r="D3692" s="15" t="n"/>
      <c r="E3692" s="23" t="n"/>
      <c r="F3692" s="15" t="n"/>
      <c r="G3692" s="23" t="n"/>
      <c r="H3692" s="25" t="n"/>
      <c r="I3692" s="15" t="n"/>
      <c r="J3692" s="26">
        <f>IF($A3692="","",LEN($C3692)-LEN(SUBSTITUTE($C3692,",",""))+1)</f>
        <v/>
      </c>
      <c r="K3692" s="26">
        <f>IF($A3692="","",SUMPRODUCT(--ISNUMBER(SEARCH('Category Dictionary'!$D$5:$D$135&amp;"",$C3692)),--('Category Dictionary'!$D$5:$D$135&lt;&gt;"")))</f>
        <v/>
      </c>
      <c r="L3692" s="27">
        <f>IF($A3692="","",TRIM(IF(ISERROR(FIND(",",$C3692)),$C3692,LEFT($C3692,FIND(",",$C3692)-1))))</f>
        <v/>
      </c>
      <c r="M3692" s="28">
        <f>IF($H3692="","",DATE(YEAR($H3692),MONTH($H3692),1))</f>
        <v/>
      </c>
      <c r="N3692" s="26">
        <f>IF($H3692="","",TODAY()-$H3692)</f>
        <v/>
      </c>
      <c r="O3692" s="15" t="n"/>
      <c r="P3692" s="26">
        <f>IF($A3692="","",COUNTIFS('Audit Versions'!$A$6:$A$605,$A3692,'Audit Versions'!$L$6:$L$605,"Active"))</f>
        <v/>
      </c>
      <c r="Q3692" s="15" t="n"/>
      <c r="R3692" s="26">
        <f>IF(OR($A3692="",$P3692=0),"",MOD(N($Q3692),$P3692)+1)</f>
        <v/>
      </c>
      <c r="S3692" s="15" t="n"/>
      <c r="T3692" s="25" t="n"/>
      <c r="U3692" s="26">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Builder'!$B$12="",N($S3692)&lt;='Assignment Builder'!$B$12)))</f>
        <v/>
      </c>
      <c r="V3692" s="23" t="n"/>
    </row>
    <row r="3693">
      <c r="A3693" s="23" t="n"/>
      <c r="B3693" s="23" t="n"/>
      <c r="C3693" s="24" t="n"/>
      <c r="D3693" s="15" t="n"/>
      <c r="E3693" s="23" t="n"/>
      <c r="F3693" s="15" t="n"/>
      <c r="G3693" s="23" t="n"/>
      <c r="H3693" s="25" t="n"/>
      <c r="I3693" s="15" t="n"/>
      <c r="J3693" s="26">
        <f>IF($A3693="","",LEN($C3693)-LEN(SUBSTITUTE($C3693,",",""))+1)</f>
        <v/>
      </c>
      <c r="K3693" s="26">
        <f>IF($A3693="","",SUMPRODUCT(--ISNUMBER(SEARCH('Category Dictionary'!$D$5:$D$135&amp;"",$C3693)),--('Category Dictionary'!$D$5:$D$135&lt;&gt;"")))</f>
        <v/>
      </c>
      <c r="L3693" s="27">
        <f>IF($A3693="","",TRIM(IF(ISERROR(FIND(",",$C3693)),$C3693,LEFT($C3693,FIND(",",$C3693)-1))))</f>
        <v/>
      </c>
      <c r="M3693" s="28">
        <f>IF($H3693="","",DATE(YEAR($H3693),MONTH($H3693),1))</f>
        <v/>
      </c>
      <c r="N3693" s="26">
        <f>IF($H3693="","",TODAY()-$H3693)</f>
        <v/>
      </c>
      <c r="O3693" s="15" t="n"/>
      <c r="P3693" s="26">
        <f>IF($A3693="","",COUNTIFS('Audit Versions'!$A$6:$A$605,$A3693,'Audit Versions'!$L$6:$L$605,"Active"))</f>
        <v/>
      </c>
      <c r="Q3693" s="15" t="n"/>
      <c r="R3693" s="26">
        <f>IF(OR($A3693="",$P3693=0),"",MOD(N($Q3693),$P3693)+1)</f>
        <v/>
      </c>
      <c r="S3693" s="15" t="n"/>
      <c r="T3693" s="25" t="n"/>
      <c r="U3693" s="26">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Builder'!$B$12="",N($S3693)&lt;='Assignment Builder'!$B$12)))</f>
        <v/>
      </c>
      <c r="V3693" s="23" t="n"/>
    </row>
    <row r="3694">
      <c r="A3694" s="23" t="n"/>
      <c r="B3694" s="23" t="n"/>
      <c r="C3694" s="24" t="n"/>
      <c r="D3694" s="15" t="n"/>
      <c r="E3694" s="23" t="n"/>
      <c r="F3694" s="15" t="n"/>
      <c r="G3694" s="23" t="n"/>
      <c r="H3694" s="25" t="n"/>
      <c r="I3694" s="15" t="n"/>
      <c r="J3694" s="26">
        <f>IF($A3694="","",LEN($C3694)-LEN(SUBSTITUTE($C3694,",",""))+1)</f>
        <v/>
      </c>
      <c r="K3694" s="26">
        <f>IF($A3694="","",SUMPRODUCT(--ISNUMBER(SEARCH('Category Dictionary'!$D$5:$D$135&amp;"",$C3694)),--('Category Dictionary'!$D$5:$D$135&lt;&gt;"")))</f>
        <v/>
      </c>
      <c r="L3694" s="27">
        <f>IF($A3694="","",TRIM(IF(ISERROR(FIND(",",$C3694)),$C3694,LEFT($C3694,FIND(",",$C3694)-1))))</f>
        <v/>
      </c>
      <c r="M3694" s="28">
        <f>IF($H3694="","",DATE(YEAR($H3694),MONTH($H3694),1))</f>
        <v/>
      </c>
      <c r="N3694" s="26">
        <f>IF($H3694="","",TODAY()-$H3694)</f>
        <v/>
      </c>
      <c r="O3694" s="15" t="n"/>
      <c r="P3694" s="26">
        <f>IF($A3694="","",COUNTIFS('Audit Versions'!$A$6:$A$605,$A3694,'Audit Versions'!$L$6:$L$605,"Active"))</f>
        <v/>
      </c>
      <c r="Q3694" s="15" t="n"/>
      <c r="R3694" s="26">
        <f>IF(OR($A3694="",$P3694=0),"",MOD(N($Q3694),$P3694)+1)</f>
        <v/>
      </c>
      <c r="S3694" s="15" t="n"/>
      <c r="T3694" s="25" t="n"/>
      <c r="U3694" s="26">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Builder'!$B$12="",N($S3694)&lt;='Assignment Builder'!$B$12)))</f>
        <v/>
      </c>
      <c r="V3694" s="23" t="n"/>
    </row>
    <row r="3695">
      <c r="A3695" s="23" t="n"/>
      <c r="B3695" s="23" t="n"/>
      <c r="C3695" s="24" t="n"/>
      <c r="D3695" s="15" t="n"/>
      <c r="E3695" s="23" t="n"/>
      <c r="F3695" s="15" t="n"/>
      <c r="G3695" s="23" t="n"/>
      <c r="H3695" s="25" t="n"/>
      <c r="I3695" s="15" t="n"/>
      <c r="J3695" s="26">
        <f>IF($A3695="","",LEN($C3695)-LEN(SUBSTITUTE($C3695,",",""))+1)</f>
        <v/>
      </c>
      <c r="K3695" s="26">
        <f>IF($A3695="","",SUMPRODUCT(--ISNUMBER(SEARCH('Category Dictionary'!$D$5:$D$135&amp;"",$C3695)),--('Category Dictionary'!$D$5:$D$135&lt;&gt;"")))</f>
        <v/>
      </c>
      <c r="L3695" s="27">
        <f>IF($A3695="","",TRIM(IF(ISERROR(FIND(",",$C3695)),$C3695,LEFT($C3695,FIND(",",$C3695)-1))))</f>
        <v/>
      </c>
      <c r="M3695" s="28">
        <f>IF($H3695="","",DATE(YEAR($H3695),MONTH($H3695),1))</f>
        <v/>
      </c>
      <c r="N3695" s="26">
        <f>IF($H3695="","",TODAY()-$H3695)</f>
        <v/>
      </c>
      <c r="O3695" s="15" t="n"/>
      <c r="P3695" s="26">
        <f>IF($A3695="","",COUNTIFS('Audit Versions'!$A$6:$A$605,$A3695,'Audit Versions'!$L$6:$L$605,"Active"))</f>
        <v/>
      </c>
      <c r="Q3695" s="15" t="n"/>
      <c r="R3695" s="26">
        <f>IF(OR($A3695="",$P3695=0),"",MOD(N($Q3695),$P3695)+1)</f>
        <v/>
      </c>
      <c r="S3695" s="15" t="n"/>
      <c r="T3695" s="25" t="n"/>
      <c r="U3695" s="26">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Builder'!$B$12="",N($S3695)&lt;='Assignment Builder'!$B$12)))</f>
        <v/>
      </c>
      <c r="V3695" s="23" t="n"/>
    </row>
    <row r="3696">
      <c r="A3696" s="23" t="n"/>
      <c r="B3696" s="23" t="n"/>
      <c r="C3696" s="24" t="n"/>
      <c r="D3696" s="15" t="n"/>
      <c r="E3696" s="23" t="n"/>
      <c r="F3696" s="15" t="n"/>
      <c r="G3696" s="23" t="n"/>
      <c r="H3696" s="25" t="n"/>
      <c r="I3696" s="15" t="n"/>
      <c r="J3696" s="26">
        <f>IF($A3696="","",LEN($C3696)-LEN(SUBSTITUTE($C3696,",",""))+1)</f>
        <v/>
      </c>
      <c r="K3696" s="26">
        <f>IF($A3696="","",SUMPRODUCT(--ISNUMBER(SEARCH('Category Dictionary'!$D$5:$D$135&amp;"",$C3696)),--('Category Dictionary'!$D$5:$D$135&lt;&gt;"")))</f>
        <v/>
      </c>
      <c r="L3696" s="27">
        <f>IF($A3696="","",TRIM(IF(ISERROR(FIND(",",$C3696)),$C3696,LEFT($C3696,FIND(",",$C3696)-1))))</f>
        <v/>
      </c>
      <c r="M3696" s="28">
        <f>IF($H3696="","",DATE(YEAR($H3696),MONTH($H3696),1))</f>
        <v/>
      </c>
      <c r="N3696" s="26">
        <f>IF($H3696="","",TODAY()-$H3696)</f>
        <v/>
      </c>
      <c r="O3696" s="15" t="n"/>
      <c r="P3696" s="26">
        <f>IF($A3696="","",COUNTIFS('Audit Versions'!$A$6:$A$605,$A3696,'Audit Versions'!$L$6:$L$605,"Active"))</f>
        <v/>
      </c>
      <c r="Q3696" s="15" t="n"/>
      <c r="R3696" s="26">
        <f>IF(OR($A3696="",$P3696=0),"",MOD(N($Q3696),$P3696)+1)</f>
        <v/>
      </c>
      <c r="S3696" s="15" t="n"/>
      <c r="T3696" s="25" t="n"/>
      <c r="U3696" s="26">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Builder'!$B$12="",N($S3696)&lt;='Assignment Builder'!$B$12)))</f>
        <v/>
      </c>
      <c r="V3696" s="23" t="n"/>
    </row>
    <row r="3697">
      <c r="A3697" s="23" t="n"/>
      <c r="B3697" s="23" t="n"/>
      <c r="C3697" s="24" t="n"/>
      <c r="D3697" s="15" t="n"/>
      <c r="E3697" s="23" t="n"/>
      <c r="F3697" s="15" t="n"/>
      <c r="G3697" s="23" t="n"/>
      <c r="H3697" s="25" t="n"/>
      <c r="I3697" s="15" t="n"/>
      <c r="J3697" s="26">
        <f>IF($A3697="","",LEN($C3697)-LEN(SUBSTITUTE($C3697,",",""))+1)</f>
        <v/>
      </c>
      <c r="K3697" s="26">
        <f>IF($A3697="","",SUMPRODUCT(--ISNUMBER(SEARCH('Category Dictionary'!$D$5:$D$135&amp;"",$C3697)),--('Category Dictionary'!$D$5:$D$135&lt;&gt;"")))</f>
        <v/>
      </c>
      <c r="L3697" s="27">
        <f>IF($A3697="","",TRIM(IF(ISERROR(FIND(",",$C3697)),$C3697,LEFT($C3697,FIND(",",$C3697)-1))))</f>
        <v/>
      </c>
      <c r="M3697" s="28">
        <f>IF($H3697="","",DATE(YEAR($H3697),MONTH($H3697),1))</f>
        <v/>
      </c>
      <c r="N3697" s="26">
        <f>IF($H3697="","",TODAY()-$H3697)</f>
        <v/>
      </c>
      <c r="O3697" s="15" t="n"/>
      <c r="P3697" s="26">
        <f>IF($A3697="","",COUNTIFS('Audit Versions'!$A$6:$A$605,$A3697,'Audit Versions'!$L$6:$L$605,"Active"))</f>
        <v/>
      </c>
      <c r="Q3697" s="15" t="n"/>
      <c r="R3697" s="26">
        <f>IF(OR($A3697="",$P3697=0),"",MOD(N($Q3697),$P3697)+1)</f>
        <v/>
      </c>
      <c r="S3697" s="15" t="n"/>
      <c r="T3697" s="25" t="n"/>
      <c r="U3697" s="26">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Builder'!$B$12="",N($S3697)&lt;='Assignment Builder'!$B$12)))</f>
        <v/>
      </c>
      <c r="V3697" s="23" t="n"/>
    </row>
    <row r="3698">
      <c r="A3698" s="23" t="n"/>
      <c r="B3698" s="23" t="n"/>
      <c r="C3698" s="24" t="n"/>
      <c r="D3698" s="15" t="n"/>
      <c r="E3698" s="23" t="n"/>
      <c r="F3698" s="15" t="n"/>
      <c r="G3698" s="23" t="n"/>
      <c r="H3698" s="25" t="n"/>
      <c r="I3698" s="15" t="n"/>
      <c r="J3698" s="26">
        <f>IF($A3698="","",LEN($C3698)-LEN(SUBSTITUTE($C3698,",",""))+1)</f>
        <v/>
      </c>
      <c r="K3698" s="26">
        <f>IF($A3698="","",SUMPRODUCT(--ISNUMBER(SEARCH('Category Dictionary'!$D$5:$D$135&amp;"",$C3698)),--('Category Dictionary'!$D$5:$D$135&lt;&gt;"")))</f>
        <v/>
      </c>
      <c r="L3698" s="27">
        <f>IF($A3698="","",TRIM(IF(ISERROR(FIND(",",$C3698)),$C3698,LEFT($C3698,FIND(",",$C3698)-1))))</f>
        <v/>
      </c>
      <c r="M3698" s="28">
        <f>IF($H3698="","",DATE(YEAR($H3698),MONTH($H3698),1))</f>
        <v/>
      </c>
      <c r="N3698" s="26">
        <f>IF($H3698="","",TODAY()-$H3698)</f>
        <v/>
      </c>
      <c r="O3698" s="15" t="n"/>
      <c r="P3698" s="26">
        <f>IF($A3698="","",COUNTIFS('Audit Versions'!$A$6:$A$605,$A3698,'Audit Versions'!$L$6:$L$605,"Active"))</f>
        <v/>
      </c>
      <c r="Q3698" s="15" t="n"/>
      <c r="R3698" s="26">
        <f>IF(OR($A3698="",$P3698=0),"",MOD(N($Q3698),$P3698)+1)</f>
        <v/>
      </c>
      <c r="S3698" s="15" t="n"/>
      <c r="T3698" s="25" t="n"/>
      <c r="U3698" s="26">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Builder'!$B$12="",N($S3698)&lt;='Assignment Builder'!$B$12)))</f>
        <v/>
      </c>
      <c r="V3698" s="23" t="n"/>
    </row>
    <row r="3699">
      <c r="A3699" s="23" t="n"/>
      <c r="B3699" s="23" t="n"/>
      <c r="C3699" s="24" t="n"/>
      <c r="D3699" s="15" t="n"/>
      <c r="E3699" s="23" t="n"/>
      <c r="F3699" s="15" t="n"/>
      <c r="G3699" s="23" t="n"/>
      <c r="H3699" s="25" t="n"/>
      <c r="I3699" s="15" t="n"/>
      <c r="J3699" s="26">
        <f>IF($A3699="","",LEN($C3699)-LEN(SUBSTITUTE($C3699,",",""))+1)</f>
        <v/>
      </c>
      <c r="K3699" s="26">
        <f>IF($A3699="","",SUMPRODUCT(--ISNUMBER(SEARCH('Category Dictionary'!$D$5:$D$135&amp;"",$C3699)),--('Category Dictionary'!$D$5:$D$135&lt;&gt;"")))</f>
        <v/>
      </c>
      <c r="L3699" s="27">
        <f>IF($A3699="","",TRIM(IF(ISERROR(FIND(",",$C3699)),$C3699,LEFT($C3699,FIND(",",$C3699)-1))))</f>
        <v/>
      </c>
      <c r="M3699" s="28">
        <f>IF($H3699="","",DATE(YEAR($H3699),MONTH($H3699),1))</f>
        <v/>
      </c>
      <c r="N3699" s="26">
        <f>IF($H3699="","",TODAY()-$H3699)</f>
        <v/>
      </c>
      <c r="O3699" s="15" t="n"/>
      <c r="P3699" s="26">
        <f>IF($A3699="","",COUNTIFS('Audit Versions'!$A$6:$A$605,$A3699,'Audit Versions'!$L$6:$L$605,"Active"))</f>
        <v/>
      </c>
      <c r="Q3699" s="15" t="n"/>
      <c r="R3699" s="26">
        <f>IF(OR($A3699="",$P3699=0),"",MOD(N($Q3699),$P3699)+1)</f>
        <v/>
      </c>
      <c r="S3699" s="15" t="n"/>
      <c r="T3699" s="25" t="n"/>
      <c r="U3699" s="26">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Builder'!$B$12="",N($S3699)&lt;='Assignment Builder'!$B$12)))</f>
        <v/>
      </c>
      <c r="V3699" s="23" t="n"/>
    </row>
    <row r="3700">
      <c r="A3700" s="23" t="n"/>
      <c r="B3700" s="23" t="n"/>
      <c r="C3700" s="24" t="n"/>
      <c r="D3700" s="15" t="n"/>
      <c r="E3700" s="23" t="n"/>
      <c r="F3700" s="15" t="n"/>
      <c r="G3700" s="23" t="n"/>
      <c r="H3700" s="25" t="n"/>
      <c r="I3700" s="15" t="n"/>
      <c r="J3700" s="26">
        <f>IF($A3700="","",LEN($C3700)-LEN(SUBSTITUTE($C3700,",",""))+1)</f>
        <v/>
      </c>
      <c r="K3700" s="26">
        <f>IF($A3700="","",SUMPRODUCT(--ISNUMBER(SEARCH('Category Dictionary'!$D$5:$D$135&amp;"",$C3700)),--('Category Dictionary'!$D$5:$D$135&lt;&gt;"")))</f>
        <v/>
      </c>
      <c r="L3700" s="27">
        <f>IF($A3700="","",TRIM(IF(ISERROR(FIND(",",$C3700)),$C3700,LEFT($C3700,FIND(",",$C3700)-1))))</f>
        <v/>
      </c>
      <c r="M3700" s="28">
        <f>IF($H3700="","",DATE(YEAR($H3700),MONTH($H3700),1))</f>
        <v/>
      </c>
      <c r="N3700" s="26">
        <f>IF($H3700="","",TODAY()-$H3700)</f>
        <v/>
      </c>
      <c r="O3700" s="15" t="n"/>
      <c r="P3700" s="26">
        <f>IF($A3700="","",COUNTIFS('Audit Versions'!$A$6:$A$605,$A3700,'Audit Versions'!$L$6:$L$605,"Active"))</f>
        <v/>
      </c>
      <c r="Q3700" s="15" t="n"/>
      <c r="R3700" s="26">
        <f>IF(OR($A3700="",$P3700=0),"",MOD(N($Q3700),$P3700)+1)</f>
        <v/>
      </c>
      <c r="S3700" s="15" t="n"/>
      <c r="T3700" s="25" t="n"/>
      <c r="U3700" s="26">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Builder'!$B$12="",N($S3700)&lt;='Assignment Builder'!$B$12)))</f>
        <v/>
      </c>
      <c r="V3700" s="23" t="n"/>
    </row>
    <row r="3701">
      <c r="A3701" s="23" t="n"/>
      <c r="B3701" s="23" t="n"/>
      <c r="C3701" s="24" t="n"/>
      <c r="D3701" s="15" t="n"/>
      <c r="E3701" s="23" t="n"/>
      <c r="F3701" s="15" t="n"/>
      <c r="G3701" s="23" t="n"/>
      <c r="H3701" s="25" t="n"/>
      <c r="I3701" s="15" t="n"/>
      <c r="J3701" s="26">
        <f>IF($A3701="","",LEN($C3701)-LEN(SUBSTITUTE($C3701,",",""))+1)</f>
        <v/>
      </c>
      <c r="K3701" s="26">
        <f>IF($A3701="","",SUMPRODUCT(--ISNUMBER(SEARCH('Category Dictionary'!$D$5:$D$135&amp;"",$C3701)),--('Category Dictionary'!$D$5:$D$135&lt;&gt;"")))</f>
        <v/>
      </c>
      <c r="L3701" s="27">
        <f>IF($A3701="","",TRIM(IF(ISERROR(FIND(",",$C3701)),$C3701,LEFT($C3701,FIND(",",$C3701)-1))))</f>
        <v/>
      </c>
      <c r="M3701" s="28">
        <f>IF($H3701="","",DATE(YEAR($H3701),MONTH($H3701),1))</f>
        <v/>
      </c>
      <c r="N3701" s="26">
        <f>IF($H3701="","",TODAY()-$H3701)</f>
        <v/>
      </c>
      <c r="O3701" s="15" t="n"/>
      <c r="P3701" s="26">
        <f>IF($A3701="","",COUNTIFS('Audit Versions'!$A$6:$A$605,$A3701,'Audit Versions'!$L$6:$L$605,"Active"))</f>
        <v/>
      </c>
      <c r="Q3701" s="15" t="n"/>
      <c r="R3701" s="26">
        <f>IF(OR($A3701="",$P3701=0),"",MOD(N($Q3701),$P3701)+1)</f>
        <v/>
      </c>
      <c r="S3701" s="15" t="n"/>
      <c r="T3701" s="25" t="n"/>
      <c r="U3701" s="26">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Builder'!$B$12="",N($S3701)&lt;='Assignment Builder'!$B$12)))</f>
        <v/>
      </c>
      <c r="V3701" s="23" t="n"/>
    </row>
    <row r="3702">
      <c r="A3702" s="23" t="n"/>
      <c r="B3702" s="23" t="n"/>
      <c r="C3702" s="24" t="n"/>
      <c r="D3702" s="15" t="n"/>
      <c r="E3702" s="23" t="n"/>
      <c r="F3702" s="15" t="n"/>
      <c r="G3702" s="23" t="n"/>
      <c r="H3702" s="25" t="n"/>
      <c r="I3702" s="15" t="n"/>
      <c r="J3702" s="26">
        <f>IF($A3702="","",LEN($C3702)-LEN(SUBSTITUTE($C3702,",",""))+1)</f>
        <v/>
      </c>
      <c r="K3702" s="26">
        <f>IF($A3702="","",SUMPRODUCT(--ISNUMBER(SEARCH('Category Dictionary'!$D$5:$D$135&amp;"",$C3702)),--('Category Dictionary'!$D$5:$D$135&lt;&gt;"")))</f>
        <v/>
      </c>
      <c r="L3702" s="27">
        <f>IF($A3702="","",TRIM(IF(ISERROR(FIND(",",$C3702)),$C3702,LEFT($C3702,FIND(",",$C3702)-1))))</f>
        <v/>
      </c>
      <c r="M3702" s="28">
        <f>IF($H3702="","",DATE(YEAR($H3702),MONTH($H3702),1))</f>
        <v/>
      </c>
      <c r="N3702" s="26">
        <f>IF($H3702="","",TODAY()-$H3702)</f>
        <v/>
      </c>
      <c r="O3702" s="15" t="n"/>
      <c r="P3702" s="26">
        <f>IF($A3702="","",COUNTIFS('Audit Versions'!$A$6:$A$605,$A3702,'Audit Versions'!$L$6:$L$605,"Active"))</f>
        <v/>
      </c>
      <c r="Q3702" s="15" t="n"/>
      <c r="R3702" s="26">
        <f>IF(OR($A3702="",$P3702=0),"",MOD(N($Q3702),$P3702)+1)</f>
        <v/>
      </c>
      <c r="S3702" s="15" t="n"/>
      <c r="T3702" s="25" t="n"/>
      <c r="U3702" s="26">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Builder'!$B$12="",N($S3702)&lt;='Assignment Builder'!$B$12)))</f>
        <v/>
      </c>
      <c r="V3702" s="23" t="n"/>
    </row>
    <row r="3703">
      <c r="A3703" s="23" t="n"/>
      <c r="B3703" s="23" t="n"/>
      <c r="C3703" s="24" t="n"/>
      <c r="D3703" s="15" t="n"/>
      <c r="E3703" s="23" t="n"/>
      <c r="F3703" s="15" t="n"/>
      <c r="G3703" s="23" t="n"/>
      <c r="H3703" s="25" t="n"/>
      <c r="I3703" s="15" t="n"/>
      <c r="J3703" s="26">
        <f>IF($A3703="","",LEN($C3703)-LEN(SUBSTITUTE($C3703,",",""))+1)</f>
        <v/>
      </c>
      <c r="K3703" s="26">
        <f>IF($A3703="","",SUMPRODUCT(--ISNUMBER(SEARCH('Category Dictionary'!$D$5:$D$135&amp;"",$C3703)),--('Category Dictionary'!$D$5:$D$135&lt;&gt;"")))</f>
        <v/>
      </c>
      <c r="L3703" s="27">
        <f>IF($A3703="","",TRIM(IF(ISERROR(FIND(",",$C3703)),$C3703,LEFT($C3703,FIND(",",$C3703)-1))))</f>
        <v/>
      </c>
      <c r="M3703" s="28">
        <f>IF($H3703="","",DATE(YEAR($H3703),MONTH($H3703),1))</f>
        <v/>
      </c>
      <c r="N3703" s="26">
        <f>IF($H3703="","",TODAY()-$H3703)</f>
        <v/>
      </c>
      <c r="O3703" s="15" t="n"/>
      <c r="P3703" s="26">
        <f>IF($A3703="","",COUNTIFS('Audit Versions'!$A$6:$A$605,$A3703,'Audit Versions'!$L$6:$L$605,"Active"))</f>
        <v/>
      </c>
      <c r="Q3703" s="15" t="n"/>
      <c r="R3703" s="26">
        <f>IF(OR($A3703="",$P3703=0),"",MOD(N($Q3703),$P3703)+1)</f>
        <v/>
      </c>
      <c r="S3703" s="15" t="n"/>
      <c r="T3703" s="25" t="n"/>
      <c r="U3703" s="26">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Builder'!$B$12="",N($S3703)&lt;='Assignment Builder'!$B$12)))</f>
        <v/>
      </c>
      <c r="V3703" s="23" t="n"/>
    </row>
    <row r="3704">
      <c r="A3704" s="23" t="n"/>
      <c r="B3704" s="23" t="n"/>
      <c r="C3704" s="24" t="n"/>
      <c r="D3704" s="15" t="n"/>
      <c r="E3704" s="23" t="n"/>
      <c r="F3704" s="15" t="n"/>
      <c r="G3704" s="23" t="n"/>
      <c r="H3704" s="25" t="n"/>
      <c r="I3704" s="15" t="n"/>
      <c r="J3704" s="26">
        <f>IF($A3704="","",LEN($C3704)-LEN(SUBSTITUTE($C3704,",",""))+1)</f>
        <v/>
      </c>
      <c r="K3704" s="26">
        <f>IF($A3704="","",SUMPRODUCT(--ISNUMBER(SEARCH('Category Dictionary'!$D$5:$D$135&amp;"",$C3704)),--('Category Dictionary'!$D$5:$D$135&lt;&gt;"")))</f>
        <v/>
      </c>
      <c r="L3704" s="27">
        <f>IF($A3704="","",TRIM(IF(ISERROR(FIND(",",$C3704)),$C3704,LEFT($C3704,FIND(",",$C3704)-1))))</f>
        <v/>
      </c>
      <c r="M3704" s="28">
        <f>IF($H3704="","",DATE(YEAR($H3704),MONTH($H3704),1))</f>
        <v/>
      </c>
      <c r="N3704" s="26">
        <f>IF($H3704="","",TODAY()-$H3704)</f>
        <v/>
      </c>
      <c r="O3704" s="15" t="n"/>
      <c r="P3704" s="26">
        <f>IF($A3704="","",COUNTIFS('Audit Versions'!$A$6:$A$605,$A3704,'Audit Versions'!$L$6:$L$605,"Active"))</f>
        <v/>
      </c>
      <c r="Q3704" s="15" t="n"/>
      <c r="R3704" s="26">
        <f>IF(OR($A3704="",$P3704=0),"",MOD(N($Q3704),$P3704)+1)</f>
        <v/>
      </c>
      <c r="S3704" s="15" t="n"/>
      <c r="T3704" s="25" t="n"/>
      <c r="U3704" s="26">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Builder'!$B$12="",N($S3704)&lt;='Assignment Builder'!$B$12)))</f>
        <v/>
      </c>
      <c r="V3704" s="23" t="n"/>
    </row>
    <row r="3705">
      <c r="A3705" s="23" t="n"/>
      <c r="B3705" s="23" t="n"/>
      <c r="C3705" s="24" t="n"/>
      <c r="D3705" s="15" t="n"/>
      <c r="E3705" s="23" t="n"/>
      <c r="F3705" s="15" t="n"/>
      <c r="G3705" s="23" t="n"/>
      <c r="H3705" s="25" t="n"/>
      <c r="I3705" s="15" t="n"/>
      <c r="J3705" s="26">
        <f>IF($A3705="","",LEN($C3705)-LEN(SUBSTITUTE($C3705,",",""))+1)</f>
        <v/>
      </c>
      <c r="K3705" s="26">
        <f>IF($A3705="","",SUMPRODUCT(--ISNUMBER(SEARCH('Category Dictionary'!$D$5:$D$135&amp;"",$C3705)),--('Category Dictionary'!$D$5:$D$135&lt;&gt;"")))</f>
        <v/>
      </c>
      <c r="L3705" s="27">
        <f>IF($A3705="","",TRIM(IF(ISERROR(FIND(",",$C3705)),$C3705,LEFT($C3705,FIND(",",$C3705)-1))))</f>
        <v/>
      </c>
      <c r="M3705" s="28">
        <f>IF($H3705="","",DATE(YEAR($H3705),MONTH($H3705),1))</f>
        <v/>
      </c>
      <c r="N3705" s="26">
        <f>IF($H3705="","",TODAY()-$H3705)</f>
        <v/>
      </c>
      <c r="O3705" s="15" t="n"/>
      <c r="P3705" s="26">
        <f>IF($A3705="","",COUNTIFS('Audit Versions'!$A$6:$A$605,$A3705,'Audit Versions'!$L$6:$L$605,"Active"))</f>
        <v/>
      </c>
      <c r="Q3705" s="15" t="n"/>
      <c r="R3705" s="26">
        <f>IF(OR($A3705="",$P3705=0),"",MOD(N($Q3705),$P3705)+1)</f>
        <v/>
      </c>
      <c r="S3705" s="15" t="n"/>
      <c r="T3705" s="25" t="n"/>
      <c r="U3705" s="26">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Builder'!$B$12="",N($S3705)&lt;='Assignment Builder'!$B$12)))</f>
        <v/>
      </c>
      <c r="V3705" s="23" t="n"/>
    </row>
    <row r="3706">
      <c r="A3706" s="23" t="n"/>
      <c r="B3706" s="23" t="n"/>
      <c r="C3706" s="24" t="n"/>
      <c r="D3706" s="15" t="n"/>
      <c r="E3706" s="23" t="n"/>
      <c r="F3706" s="15" t="n"/>
      <c r="G3706" s="23" t="n"/>
      <c r="H3706" s="25" t="n"/>
      <c r="I3706" s="15" t="n"/>
      <c r="J3706" s="26">
        <f>IF($A3706="","",LEN($C3706)-LEN(SUBSTITUTE($C3706,",",""))+1)</f>
        <v/>
      </c>
      <c r="K3706" s="26">
        <f>IF($A3706="","",SUMPRODUCT(--ISNUMBER(SEARCH('Category Dictionary'!$D$5:$D$135&amp;"",$C3706)),--('Category Dictionary'!$D$5:$D$135&lt;&gt;"")))</f>
        <v/>
      </c>
      <c r="L3706" s="27">
        <f>IF($A3706="","",TRIM(IF(ISERROR(FIND(",",$C3706)),$C3706,LEFT($C3706,FIND(",",$C3706)-1))))</f>
        <v/>
      </c>
      <c r="M3706" s="28">
        <f>IF($H3706="","",DATE(YEAR($H3706),MONTH($H3706),1))</f>
        <v/>
      </c>
      <c r="N3706" s="26">
        <f>IF($H3706="","",TODAY()-$H3706)</f>
        <v/>
      </c>
      <c r="O3706" s="15" t="n"/>
      <c r="P3706" s="26">
        <f>IF($A3706="","",COUNTIFS('Audit Versions'!$A$6:$A$605,$A3706,'Audit Versions'!$L$6:$L$605,"Active"))</f>
        <v/>
      </c>
      <c r="Q3706" s="15" t="n"/>
      <c r="R3706" s="26">
        <f>IF(OR($A3706="",$P3706=0),"",MOD(N($Q3706),$P3706)+1)</f>
        <v/>
      </c>
      <c r="S3706" s="15" t="n"/>
      <c r="T3706" s="25" t="n"/>
      <c r="U3706" s="26">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Builder'!$B$12="",N($S3706)&lt;='Assignment Builder'!$B$12)))</f>
        <v/>
      </c>
      <c r="V3706" s="23" t="n"/>
    </row>
    <row r="3707">
      <c r="A3707" s="23" t="n"/>
      <c r="B3707" s="23" t="n"/>
      <c r="C3707" s="24" t="n"/>
      <c r="D3707" s="15" t="n"/>
      <c r="E3707" s="23" t="n"/>
      <c r="F3707" s="15" t="n"/>
      <c r="G3707" s="23" t="n"/>
      <c r="H3707" s="25" t="n"/>
      <c r="I3707" s="15" t="n"/>
      <c r="J3707" s="26">
        <f>IF($A3707="","",LEN($C3707)-LEN(SUBSTITUTE($C3707,",",""))+1)</f>
        <v/>
      </c>
      <c r="K3707" s="26">
        <f>IF($A3707="","",SUMPRODUCT(--ISNUMBER(SEARCH('Category Dictionary'!$D$5:$D$135&amp;"",$C3707)),--('Category Dictionary'!$D$5:$D$135&lt;&gt;"")))</f>
        <v/>
      </c>
      <c r="L3707" s="27">
        <f>IF($A3707="","",TRIM(IF(ISERROR(FIND(",",$C3707)),$C3707,LEFT($C3707,FIND(",",$C3707)-1))))</f>
        <v/>
      </c>
      <c r="M3707" s="28">
        <f>IF($H3707="","",DATE(YEAR($H3707),MONTH($H3707),1))</f>
        <v/>
      </c>
      <c r="N3707" s="26">
        <f>IF($H3707="","",TODAY()-$H3707)</f>
        <v/>
      </c>
      <c r="O3707" s="15" t="n"/>
      <c r="P3707" s="26">
        <f>IF($A3707="","",COUNTIFS('Audit Versions'!$A$6:$A$605,$A3707,'Audit Versions'!$L$6:$L$605,"Active"))</f>
        <v/>
      </c>
      <c r="Q3707" s="15" t="n"/>
      <c r="R3707" s="26">
        <f>IF(OR($A3707="",$P3707=0),"",MOD(N($Q3707),$P3707)+1)</f>
        <v/>
      </c>
      <c r="S3707" s="15" t="n"/>
      <c r="T3707" s="25" t="n"/>
      <c r="U3707" s="26">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Builder'!$B$12="",N($S3707)&lt;='Assignment Builder'!$B$12)))</f>
        <v/>
      </c>
      <c r="V3707" s="23" t="n"/>
    </row>
    <row r="3708">
      <c r="A3708" s="23" t="n"/>
      <c r="B3708" s="23" t="n"/>
      <c r="C3708" s="24" t="n"/>
      <c r="D3708" s="15" t="n"/>
      <c r="E3708" s="23" t="n"/>
      <c r="F3708" s="15" t="n"/>
      <c r="G3708" s="23" t="n"/>
      <c r="H3708" s="25" t="n"/>
      <c r="I3708" s="15" t="n"/>
      <c r="J3708" s="26">
        <f>IF($A3708="","",LEN($C3708)-LEN(SUBSTITUTE($C3708,",",""))+1)</f>
        <v/>
      </c>
      <c r="K3708" s="26">
        <f>IF($A3708="","",SUMPRODUCT(--ISNUMBER(SEARCH('Category Dictionary'!$D$5:$D$135&amp;"",$C3708)),--('Category Dictionary'!$D$5:$D$135&lt;&gt;"")))</f>
        <v/>
      </c>
      <c r="L3708" s="27">
        <f>IF($A3708="","",TRIM(IF(ISERROR(FIND(",",$C3708)),$C3708,LEFT($C3708,FIND(",",$C3708)-1))))</f>
        <v/>
      </c>
      <c r="M3708" s="28">
        <f>IF($H3708="","",DATE(YEAR($H3708),MONTH($H3708),1))</f>
        <v/>
      </c>
      <c r="N3708" s="26">
        <f>IF($H3708="","",TODAY()-$H3708)</f>
        <v/>
      </c>
      <c r="O3708" s="15" t="n"/>
      <c r="P3708" s="26">
        <f>IF($A3708="","",COUNTIFS('Audit Versions'!$A$6:$A$605,$A3708,'Audit Versions'!$L$6:$L$605,"Active"))</f>
        <v/>
      </c>
      <c r="Q3708" s="15" t="n"/>
      <c r="R3708" s="26">
        <f>IF(OR($A3708="",$P3708=0),"",MOD(N($Q3708),$P3708)+1)</f>
        <v/>
      </c>
      <c r="S3708" s="15" t="n"/>
      <c r="T3708" s="25" t="n"/>
      <c r="U3708" s="26">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Builder'!$B$12="",N($S3708)&lt;='Assignment Builder'!$B$12)))</f>
        <v/>
      </c>
      <c r="V3708" s="23" t="n"/>
    </row>
    <row r="3709">
      <c r="A3709" s="23" t="n"/>
      <c r="B3709" s="23" t="n"/>
      <c r="C3709" s="24" t="n"/>
      <c r="D3709" s="15" t="n"/>
      <c r="E3709" s="23" t="n"/>
      <c r="F3709" s="15" t="n"/>
      <c r="G3709" s="23" t="n"/>
      <c r="H3709" s="25" t="n"/>
      <c r="I3709" s="15" t="n"/>
      <c r="J3709" s="26">
        <f>IF($A3709="","",LEN($C3709)-LEN(SUBSTITUTE($C3709,",",""))+1)</f>
        <v/>
      </c>
      <c r="K3709" s="26">
        <f>IF($A3709="","",SUMPRODUCT(--ISNUMBER(SEARCH('Category Dictionary'!$D$5:$D$135&amp;"",$C3709)),--('Category Dictionary'!$D$5:$D$135&lt;&gt;"")))</f>
        <v/>
      </c>
      <c r="L3709" s="27">
        <f>IF($A3709="","",TRIM(IF(ISERROR(FIND(",",$C3709)),$C3709,LEFT($C3709,FIND(",",$C3709)-1))))</f>
        <v/>
      </c>
      <c r="M3709" s="28">
        <f>IF($H3709="","",DATE(YEAR($H3709),MONTH($H3709),1))</f>
        <v/>
      </c>
      <c r="N3709" s="26">
        <f>IF($H3709="","",TODAY()-$H3709)</f>
        <v/>
      </c>
      <c r="O3709" s="15" t="n"/>
      <c r="P3709" s="26">
        <f>IF($A3709="","",COUNTIFS('Audit Versions'!$A$6:$A$605,$A3709,'Audit Versions'!$L$6:$L$605,"Active"))</f>
        <v/>
      </c>
      <c r="Q3709" s="15" t="n"/>
      <c r="R3709" s="26">
        <f>IF(OR($A3709="",$P3709=0),"",MOD(N($Q3709),$P3709)+1)</f>
        <v/>
      </c>
      <c r="S3709" s="15" t="n"/>
      <c r="T3709" s="25" t="n"/>
      <c r="U3709" s="26">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Builder'!$B$12="",N($S3709)&lt;='Assignment Builder'!$B$12)))</f>
        <v/>
      </c>
      <c r="V3709" s="23" t="n"/>
    </row>
    <row r="3710">
      <c r="A3710" s="23" t="n"/>
      <c r="B3710" s="23" t="n"/>
      <c r="C3710" s="24" t="n"/>
      <c r="D3710" s="15" t="n"/>
      <c r="E3710" s="23" t="n"/>
      <c r="F3710" s="15" t="n"/>
      <c r="G3710" s="23" t="n"/>
      <c r="H3710" s="25" t="n"/>
      <c r="I3710" s="15" t="n"/>
      <c r="J3710" s="26">
        <f>IF($A3710="","",LEN($C3710)-LEN(SUBSTITUTE($C3710,",",""))+1)</f>
        <v/>
      </c>
      <c r="K3710" s="26">
        <f>IF($A3710="","",SUMPRODUCT(--ISNUMBER(SEARCH('Category Dictionary'!$D$5:$D$135&amp;"",$C3710)),--('Category Dictionary'!$D$5:$D$135&lt;&gt;"")))</f>
        <v/>
      </c>
      <c r="L3710" s="27">
        <f>IF($A3710="","",TRIM(IF(ISERROR(FIND(",",$C3710)),$C3710,LEFT($C3710,FIND(",",$C3710)-1))))</f>
        <v/>
      </c>
      <c r="M3710" s="28">
        <f>IF($H3710="","",DATE(YEAR($H3710),MONTH($H3710),1))</f>
        <v/>
      </c>
      <c r="N3710" s="26">
        <f>IF($H3710="","",TODAY()-$H3710)</f>
        <v/>
      </c>
      <c r="O3710" s="15" t="n"/>
      <c r="P3710" s="26">
        <f>IF($A3710="","",COUNTIFS('Audit Versions'!$A$6:$A$605,$A3710,'Audit Versions'!$L$6:$L$605,"Active"))</f>
        <v/>
      </c>
      <c r="Q3710" s="15" t="n"/>
      <c r="R3710" s="26">
        <f>IF(OR($A3710="",$P3710=0),"",MOD(N($Q3710),$P3710)+1)</f>
        <v/>
      </c>
      <c r="S3710" s="15" t="n"/>
      <c r="T3710" s="25" t="n"/>
      <c r="U3710" s="26">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Builder'!$B$12="",N($S3710)&lt;='Assignment Builder'!$B$12)))</f>
        <v/>
      </c>
      <c r="V3710" s="23" t="n"/>
    </row>
    <row r="3711">
      <c r="A3711" s="23" t="n"/>
      <c r="B3711" s="23" t="n"/>
      <c r="C3711" s="24" t="n"/>
      <c r="D3711" s="15" t="n"/>
      <c r="E3711" s="23" t="n"/>
      <c r="F3711" s="15" t="n"/>
      <c r="G3711" s="23" t="n"/>
      <c r="H3711" s="25" t="n"/>
      <c r="I3711" s="15" t="n"/>
      <c r="J3711" s="26">
        <f>IF($A3711="","",LEN($C3711)-LEN(SUBSTITUTE($C3711,",",""))+1)</f>
        <v/>
      </c>
      <c r="K3711" s="26">
        <f>IF($A3711="","",SUMPRODUCT(--ISNUMBER(SEARCH('Category Dictionary'!$D$5:$D$135&amp;"",$C3711)),--('Category Dictionary'!$D$5:$D$135&lt;&gt;"")))</f>
        <v/>
      </c>
      <c r="L3711" s="27">
        <f>IF($A3711="","",TRIM(IF(ISERROR(FIND(",",$C3711)),$C3711,LEFT($C3711,FIND(",",$C3711)-1))))</f>
        <v/>
      </c>
      <c r="M3711" s="28">
        <f>IF($H3711="","",DATE(YEAR($H3711),MONTH($H3711),1))</f>
        <v/>
      </c>
      <c r="N3711" s="26">
        <f>IF($H3711="","",TODAY()-$H3711)</f>
        <v/>
      </c>
      <c r="O3711" s="15" t="n"/>
      <c r="P3711" s="26">
        <f>IF($A3711="","",COUNTIFS('Audit Versions'!$A$6:$A$605,$A3711,'Audit Versions'!$L$6:$L$605,"Active"))</f>
        <v/>
      </c>
      <c r="Q3711" s="15" t="n"/>
      <c r="R3711" s="26">
        <f>IF(OR($A3711="",$P3711=0),"",MOD(N($Q3711),$P3711)+1)</f>
        <v/>
      </c>
      <c r="S3711" s="15" t="n"/>
      <c r="T3711" s="25" t="n"/>
      <c r="U3711" s="26">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Builder'!$B$12="",N($S3711)&lt;='Assignment Builder'!$B$12)))</f>
        <v/>
      </c>
      <c r="V3711" s="23" t="n"/>
    </row>
    <row r="3712">
      <c r="A3712" s="23" t="n"/>
      <c r="B3712" s="23" t="n"/>
      <c r="C3712" s="24" t="n"/>
      <c r="D3712" s="15" t="n"/>
      <c r="E3712" s="23" t="n"/>
      <c r="F3712" s="15" t="n"/>
      <c r="G3712" s="23" t="n"/>
      <c r="H3712" s="25" t="n"/>
      <c r="I3712" s="15" t="n"/>
      <c r="J3712" s="26">
        <f>IF($A3712="","",LEN($C3712)-LEN(SUBSTITUTE($C3712,",",""))+1)</f>
        <v/>
      </c>
      <c r="K3712" s="26">
        <f>IF($A3712="","",SUMPRODUCT(--ISNUMBER(SEARCH('Category Dictionary'!$D$5:$D$135&amp;"",$C3712)),--('Category Dictionary'!$D$5:$D$135&lt;&gt;"")))</f>
        <v/>
      </c>
      <c r="L3712" s="27">
        <f>IF($A3712="","",TRIM(IF(ISERROR(FIND(",",$C3712)),$C3712,LEFT($C3712,FIND(",",$C3712)-1))))</f>
        <v/>
      </c>
      <c r="M3712" s="28">
        <f>IF($H3712="","",DATE(YEAR($H3712),MONTH($H3712),1))</f>
        <v/>
      </c>
      <c r="N3712" s="26">
        <f>IF($H3712="","",TODAY()-$H3712)</f>
        <v/>
      </c>
      <c r="O3712" s="15" t="n"/>
      <c r="P3712" s="26">
        <f>IF($A3712="","",COUNTIFS('Audit Versions'!$A$6:$A$605,$A3712,'Audit Versions'!$L$6:$L$605,"Active"))</f>
        <v/>
      </c>
      <c r="Q3712" s="15" t="n"/>
      <c r="R3712" s="26">
        <f>IF(OR($A3712="",$P3712=0),"",MOD(N($Q3712),$P3712)+1)</f>
        <v/>
      </c>
      <c r="S3712" s="15" t="n"/>
      <c r="T3712" s="25" t="n"/>
      <c r="U3712" s="26">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Builder'!$B$12="",N($S3712)&lt;='Assignment Builder'!$B$12)))</f>
        <v/>
      </c>
      <c r="V3712" s="23" t="n"/>
    </row>
    <row r="3713">
      <c r="A3713" s="23" t="n"/>
      <c r="B3713" s="23" t="n"/>
      <c r="C3713" s="24" t="n"/>
      <c r="D3713" s="15" t="n"/>
      <c r="E3713" s="23" t="n"/>
      <c r="F3713" s="15" t="n"/>
      <c r="G3713" s="23" t="n"/>
      <c r="H3713" s="25" t="n"/>
      <c r="I3713" s="15" t="n"/>
      <c r="J3713" s="26">
        <f>IF($A3713="","",LEN($C3713)-LEN(SUBSTITUTE($C3713,",",""))+1)</f>
        <v/>
      </c>
      <c r="K3713" s="26">
        <f>IF($A3713="","",SUMPRODUCT(--ISNUMBER(SEARCH('Category Dictionary'!$D$5:$D$135&amp;"",$C3713)),--('Category Dictionary'!$D$5:$D$135&lt;&gt;"")))</f>
        <v/>
      </c>
      <c r="L3713" s="27">
        <f>IF($A3713="","",TRIM(IF(ISERROR(FIND(",",$C3713)),$C3713,LEFT($C3713,FIND(",",$C3713)-1))))</f>
        <v/>
      </c>
      <c r="M3713" s="28">
        <f>IF($H3713="","",DATE(YEAR($H3713),MONTH($H3713),1))</f>
        <v/>
      </c>
      <c r="N3713" s="26">
        <f>IF($H3713="","",TODAY()-$H3713)</f>
        <v/>
      </c>
      <c r="O3713" s="15" t="n"/>
      <c r="P3713" s="26">
        <f>IF($A3713="","",COUNTIFS('Audit Versions'!$A$6:$A$605,$A3713,'Audit Versions'!$L$6:$L$605,"Active"))</f>
        <v/>
      </c>
      <c r="Q3713" s="15" t="n"/>
      <c r="R3713" s="26">
        <f>IF(OR($A3713="",$P3713=0),"",MOD(N($Q3713),$P3713)+1)</f>
        <v/>
      </c>
      <c r="S3713" s="15" t="n"/>
      <c r="T3713" s="25" t="n"/>
      <c r="U3713" s="26">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Builder'!$B$12="",N($S3713)&lt;='Assignment Builder'!$B$12)))</f>
        <v/>
      </c>
      <c r="V3713" s="23" t="n"/>
    </row>
    <row r="3714">
      <c r="A3714" s="23" t="n"/>
      <c r="B3714" s="23" t="n"/>
      <c r="C3714" s="24" t="n"/>
      <c r="D3714" s="15" t="n"/>
      <c r="E3714" s="23" t="n"/>
      <c r="F3714" s="15" t="n"/>
      <c r="G3714" s="23" t="n"/>
      <c r="H3714" s="25" t="n"/>
      <c r="I3714" s="15" t="n"/>
      <c r="J3714" s="26">
        <f>IF($A3714="","",LEN($C3714)-LEN(SUBSTITUTE($C3714,",",""))+1)</f>
        <v/>
      </c>
      <c r="K3714" s="26">
        <f>IF($A3714="","",SUMPRODUCT(--ISNUMBER(SEARCH('Category Dictionary'!$D$5:$D$135&amp;"",$C3714)),--('Category Dictionary'!$D$5:$D$135&lt;&gt;"")))</f>
        <v/>
      </c>
      <c r="L3714" s="27">
        <f>IF($A3714="","",TRIM(IF(ISERROR(FIND(",",$C3714)),$C3714,LEFT($C3714,FIND(",",$C3714)-1))))</f>
        <v/>
      </c>
      <c r="M3714" s="28">
        <f>IF($H3714="","",DATE(YEAR($H3714),MONTH($H3714),1))</f>
        <v/>
      </c>
      <c r="N3714" s="26">
        <f>IF($H3714="","",TODAY()-$H3714)</f>
        <v/>
      </c>
      <c r="O3714" s="15" t="n"/>
      <c r="P3714" s="26">
        <f>IF($A3714="","",COUNTIFS('Audit Versions'!$A$6:$A$605,$A3714,'Audit Versions'!$L$6:$L$605,"Active"))</f>
        <v/>
      </c>
      <c r="Q3714" s="15" t="n"/>
      <c r="R3714" s="26">
        <f>IF(OR($A3714="",$P3714=0),"",MOD(N($Q3714),$P3714)+1)</f>
        <v/>
      </c>
      <c r="S3714" s="15" t="n"/>
      <c r="T3714" s="25" t="n"/>
      <c r="U3714" s="26">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Builder'!$B$12="",N($S3714)&lt;='Assignment Builder'!$B$12)))</f>
        <v/>
      </c>
      <c r="V3714" s="23" t="n"/>
    </row>
    <row r="3715">
      <c r="A3715" s="23" t="n"/>
      <c r="B3715" s="23" t="n"/>
      <c r="C3715" s="24" t="n"/>
      <c r="D3715" s="15" t="n"/>
      <c r="E3715" s="23" t="n"/>
      <c r="F3715" s="15" t="n"/>
      <c r="G3715" s="23" t="n"/>
      <c r="H3715" s="25" t="n"/>
      <c r="I3715" s="15" t="n"/>
      <c r="J3715" s="26">
        <f>IF($A3715="","",LEN($C3715)-LEN(SUBSTITUTE($C3715,",",""))+1)</f>
        <v/>
      </c>
      <c r="K3715" s="26">
        <f>IF($A3715="","",SUMPRODUCT(--ISNUMBER(SEARCH('Category Dictionary'!$D$5:$D$135&amp;"",$C3715)),--('Category Dictionary'!$D$5:$D$135&lt;&gt;"")))</f>
        <v/>
      </c>
      <c r="L3715" s="27">
        <f>IF($A3715="","",TRIM(IF(ISERROR(FIND(",",$C3715)),$C3715,LEFT($C3715,FIND(",",$C3715)-1))))</f>
        <v/>
      </c>
      <c r="M3715" s="28">
        <f>IF($H3715="","",DATE(YEAR($H3715),MONTH($H3715),1))</f>
        <v/>
      </c>
      <c r="N3715" s="26">
        <f>IF($H3715="","",TODAY()-$H3715)</f>
        <v/>
      </c>
      <c r="O3715" s="15" t="n"/>
      <c r="P3715" s="26">
        <f>IF($A3715="","",COUNTIFS('Audit Versions'!$A$6:$A$605,$A3715,'Audit Versions'!$L$6:$L$605,"Active"))</f>
        <v/>
      </c>
      <c r="Q3715" s="15" t="n"/>
      <c r="R3715" s="26">
        <f>IF(OR($A3715="",$P3715=0),"",MOD(N($Q3715),$P3715)+1)</f>
        <v/>
      </c>
      <c r="S3715" s="15" t="n"/>
      <c r="T3715" s="25" t="n"/>
      <c r="U3715" s="26">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Builder'!$B$12="",N($S3715)&lt;='Assignment Builder'!$B$12)))</f>
        <v/>
      </c>
      <c r="V3715" s="23" t="n"/>
    </row>
    <row r="3716">
      <c r="A3716" s="23" t="n"/>
      <c r="B3716" s="23" t="n"/>
      <c r="C3716" s="24" t="n"/>
      <c r="D3716" s="15" t="n"/>
      <c r="E3716" s="23" t="n"/>
      <c r="F3716" s="15" t="n"/>
      <c r="G3716" s="23" t="n"/>
      <c r="H3716" s="25" t="n"/>
      <c r="I3716" s="15" t="n"/>
      <c r="J3716" s="26">
        <f>IF($A3716="","",LEN($C3716)-LEN(SUBSTITUTE($C3716,",",""))+1)</f>
        <v/>
      </c>
      <c r="K3716" s="26">
        <f>IF($A3716="","",SUMPRODUCT(--ISNUMBER(SEARCH('Category Dictionary'!$D$5:$D$135&amp;"",$C3716)),--('Category Dictionary'!$D$5:$D$135&lt;&gt;"")))</f>
        <v/>
      </c>
      <c r="L3716" s="27">
        <f>IF($A3716="","",TRIM(IF(ISERROR(FIND(",",$C3716)),$C3716,LEFT($C3716,FIND(",",$C3716)-1))))</f>
        <v/>
      </c>
      <c r="M3716" s="28">
        <f>IF($H3716="","",DATE(YEAR($H3716),MONTH($H3716),1))</f>
        <v/>
      </c>
      <c r="N3716" s="26">
        <f>IF($H3716="","",TODAY()-$H3716)</f>
        <v/>
      </c>
      <c r="O3716" s="15" t="n"/>
      <c r="P3716" s="26">
        <f>IF($A3716="","",COUNTIFS('Audit Versions'!$A$6:$A$605,$A3716,'Audit Versions'!$L$6:$L$605,"Active"))</f>
        <v/>
      </c>
      <c r="Q3716" s="15" t="n"/>
      <c r="R3716" s="26">
        <f>IF(OR($A3716="",$P3716=0),"",MOD(N($Q3716),$P3716)+1)</f>
        <v/>
      </c>
      <c r="S3716" s="15" t="n"/>
      <c r="T3716" s="25" t="n"/>
      <c r="U3716" s="26">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Builder'!$B$12="",N($S3716)&lt;='Assignment Builder'!$B$12)))</f>
        <v/>
      </c>
      <c r="V3716" s="23" t="n"/>
    </row>
    <row r="3717">
      <c r="A3717" s="23" t="n"/>
      <c r="B3717" s="23" t="n"/>
      <c r="C3717" s="24" t="n"/>
      <c r="D3717" s="15" t="n"/>
      <c r="E3717" s="23" t="n"/>
      <c r="F3717" s="15" t="n"/>
      <c r="G3717" s="23" t="n"/>
      <c r="H3717" s="25" t="n"/>
      <c r="I3717" s="15" t="n"/>
      <c r="J3717" s="26">
        <f>IF($A3717="","",LEN($C3717)-LEN(SUBSTITUTE($C3717,",",""))+1)</f>
        <v/>
      </c>
      <c r="K3717" s="26">
        <f>IF($A3717="","",SUMPRODUCT(--ISNUMBER(SEARCH('Category Dictionary'!$D$5:$D$135&amp;"",$C3717)),--('Category Dictionary'!$D$5:$D$135&lt;&gt;"")))</f>
        <v/>
      </c>
      <c r="L3717" s="27">
        <f>IF($A3717="","",TRIM(IF(ISERROR(FIND(",",$C3717)),$C3717,LEFT($C3717,FIND(",",$C3717)-1))))</f>
        <v/>
      </c>
      <c r="M3717" s="28">
        <f>IF($H3717="","",DATE(YEAR($H3717),MONTH($H3717),1))</f>
        <v/>
      </c>
      <c r="N3717" s="26">
        <f>IF($H3717="","",TODAY()-$H3717)</f>
        <v/>
      </c>
      <c r="O3717" s="15" t="n"/>
      <c r="P3717" s="26">
        <f>IF($A3717="","",COUNTIFS('Audit Versions'!$A$6:$A$605,$A3717,'Audit Versions'!$L$6:$L$605,"Active"))</f>
        <v/>
      </c>
      <c r="Q3717" s="15" t="n"/>
      <c r="R3717" s="26">
        <f>IF(OR($A3717="",$P3717=0),"",MOD(N($Q3717),$P3717)+1)</f>
        <v/>
      </c>
      <c r="S3717" s="15" t="n"/>
      <c r="T3717" s="25" t="n"/>
      <c r="U3717" s="26">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Builder'!$B$12="",N($S3717)&lt;='Assignment Builder'!$B$12)))</f>
        <v/>
      </c>
      <c r="V3717" s="23" t="n"/>
    </row>
    <row r="3718">
      <c r="A3718" s="23" t="n"/>
      <c r="B3718" s="23" t="n"/>
      <c r="C3718" s="24" t="n"/>
      <c r="D3718" s="15" t="n"/>
      <c r="E3718" s="23" t="n"/>
      <c r="F3718" s="15" t="n"/>
      <c r="G3718" s="23" t="n"/>
      <c r="H3718" s="25" t="n"/>
      <c r="I3718" s="15" t="n"/>
      <c r="J3718" s="26">
        <f>IF($A3718="","",LEN($C3718)-LEN(SUBSTITUTE($C3718,",",""))+1)</f>
        <v/>
      </c>
      <c r="K3718" s="26">
        <f>IF($A3718="","",SUMPRODUCT(--ISNUMBER(SEARCH('Category Dictionary'!$D$5:$D$135&amp;"",$C3718)),--('Category Dictionary'!$D$5:$D$135&lt;&gt;"")))</f>
        <v/>
      </c>
      <c r="L3718" s="27">
        <f>IF($A3718="","",TRIM(IF(ISERROR(FIND(",",$C3718)),$C3718,LEFT($C3718,FIND(",",$C3718)-1))))</f>
        <v/>
      </c>
      <c r="M3718" s="28">
        <f>IF($H3718="","",DATE(YEAR($H3718),MONTH($H3718),1))</f>
        <v/>
      </c>
      <c r="N3718" s="26">
        <f>IF($H3718="","",TODAY()-$H3718)</f>
        <v/>
      </c>
      <c r="O3718" s="15" t="n"/>
      <c r="P3718" s="26">
        <f>IF($A3718="","",COUNTIFS('Audit Versions'!$A$6:$A$605,$A3718,'Audit Versions'!$L$6:$L$605,"Active"))</f>
        <v/>
      </c>
      <c r="Q3718" s="15" t="n"/>
      <c r="R3718" s="26">
        <f>IF(OR($A3718="",$P3718=0),"",MOD(N($Q3718),$P3718)+1)</f>
        <v/>
      </c>
      <c r="S3718" s="15" t="n"/>
      <c r="T3718" s="25" t="n"/>
      <c r="U3718" s="26">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Builder'!$B$12="",N($S3718)&lt;='Assignment Builder'!$B$12)))</f>
        <v/>
      </c>
      <c r="V3718" s="23" t="n"/>
    </row>
    <row r="3719">
      <c r="A3719" s="23" t="n"/>
      <c r="B3719" s="23" t="n"/>
      <c r="C3719" s="24" t="n"/>
      <c r="D3719" s="15" t="n"/>
      <c r="E3719" s="23" t="n"/>
      <c r="F3719" s="15" t="n"/>
      <c r="G3719" s="23" t="n"/>
      <c r="H3719" s="25" t="n"/>
      <c r="I3719" s="15" t="n"/>
      <c r="J3719" s="26">
        <f>IF($A3719="","",LEN($C3719)-LEN(SUBSTITUTE($C3719,",",""))+1)</f>
        <v/>
      </c>
      <c r="K3719" s="26">
        <f>IF($A3719="","",SUMPRODUCT(--ISNUMBER(SEARCH('Category Dictionary'!$D$5:$D$135&amp;"",$C3719)),--('Category Dictionary'!$D$5:$D$135&lt;&gt;"")))</f>
        <v/>
      </c>
      <c r="L3719" s="27">
        <f>IF($A3719="","",TRIM(IF(ISERROR(FIND(",",$C3719)),$C3719,LEFT($C3719,FIND(",",$C3719)-1))))</f>
        <v/>
      </c>
      <c r="M3719" s="28">
        <f>IF($H3719="","",DATE(YEAR($H3719),MONTH($H3719),1))</f>
        <v/>
      </c>
      <c r="N3719" s="26">
        <f>IF($H3719="","",TODAY()-$H3719)</f>
        <v/>
      </c>
      <c r="O3719" s="15" t="n"/>
      <c r="P3719" s="26">
        <f>IF($A3719="","",COUNTIFS('Audit Versions'!$A$6:$A$605,$A3719,'Audit Versions'!$L$6:$L$605,"Active"))</f>
        <v/>
      </c>
      <c r="Q3719" s="15" t="n"/>
      <c r="R3719" s="26">
        <f>IF(OR($A3719="",$P3719=0),"",MOD(N($Q3719),$P3719)+1)</f>
        <v/>
      </c>
      <c r="S3719" s="15" t="n"/>
      <c r="T3719" s="25" t="n"/>
      <c r="U3719" s="26">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Builder'!$B$12="",N($S3719)&lt;='Assignment Builder'!$B$12)))</f>
        <v/>
      </c>
      <c r="V3719" s="23" t="n"/>
    </row>
    <row r="3720">
      <c r="A3720" s="23" t="n"/>
      <c r="B3720" s="23" t="n"/>
      <c r="C3720" s="24" t="n"/>
      <c r="D3720" s="15" t="n"/>
      <c r="E3720" s="23" t="n"/>
      <c r="F3720" s="15" t="n"/>
      <c r="G3720" s="23" t="n"/>
      <c r="H3720" s="25" t="n"/>
      <c r="I3720" s="15" t="n"/>
      <c r="J3720" s="26">
        <f>IF($A3720="","",LEN($C3720)-LEN(SUBSTITUTE($C3720,",",""))+1)</f>
        <v/>
      </c>
      <c r="K3720" s="26">
        <f>IF($A3720="","",SUMPRODUCT(--ISNUMBER(SEARCH('Category Dictionary'!$D$5:$D$135&amp;"",$C3720)),--('Category Dictionary'!$D$5:$D$135&lt;&gt;"")))</f>
        <v/>
      </c>
      <c r="L3720" s="27">
        <f>IF($A3720="","",TRIM(IF(ISERROR(FIND(",",$C3720)),$C3720,LEFT($C3720,FIND(",",$C3720)-1))))</f>
        <v/>
      </c>
      <c r="M3720" s="28">
        <f>IF($H3720="","",DATE(YEAR($H3720),MONTH($H3720),1))</f>
        <v/>
      </c>
      <c r="N3720" s="26">
        <f>IF($H3720="","",TODAY()-$H3720)</f>
        <v/>
      </c>
      <c r="O3720" s="15" t="n"/>
      <c r="P3720" s="26">
        <f>IF($A3720="","",COUNTIFS('Audit Versions'!$A$6:$A$605,$A3720,'Audit Versions'!$L$6:$L$605,"Active"))</f>
        <v/>
      </c>
      <c r="Q3720" s="15" t="n"/>
      <c r="R3720" s="26">
        <f>IF(OR($A3720="",$P3720=0),"",MOD(N($Q3720),$P3720)+1)</f>
        <v/>
      </c>
      <c r="S3720" s="15" t="n"/>
      <c r="T3720" s="25" t="n"/>
      <c r="U3720" s="26">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Builder'!$B$12="",N($S3720)&lt;='Assignment Builder'!$B$12)))</f>
        <v/>
      </c>
      <c r="V3720" s="23" t="n"/>
    </row>
    <row r="3721">
      <c r="A3721" s="23" t="n"/>
      <c r="B3721" s="23" t="n"/>
      <c r="C3721" s="24" t="n"/>
      <c r="D3721" s="15" t="n"/>
      <c r="E3721" s="23" t="n"/>
      <c r="F3721" s="15" t="n"/>
      <c r="G3721" s="23" t="n"/>
      <c r="H3721" s="25" t="n"/>
      <c r="I3721" s="15" t="n"/>
      <c r="J3721" s="26">
        <f>IF($A3721="","",LEN($C3721)-LEN(SUBSTITUTE($C3721,",",""))+1)</f>
        <v/>
      </c>
      <c r="K3721" s="26">
        <f>IF($A3721="","",SUMPRODUCT(--ISNUMBER(SEARCH('Category Dictionary'!$D$5:$D$135&amp;"",$C3721)),--('Category Dictionary'!$D$5:$D$135&lt;&gt;"")))</f>
        <v/>
      </c>
      <c r="L3721" s="27">
        <f>IF($A3721="","",TRIM(IF(ISERROR(FIND(",",$C3721)),$C3721,LEFT($C3721,FIND(",",$C3721)-1))))</f>
        <v/>
      </c>
      <c r="M3721" s="28">
        <f>IF($H3721="","",DATE(YEAR($H3721),MONTH($H3721),1))</f>
        <v/>
      </c>
      <c r="N3721" s="26">
        <f>IF($H3721="","",TODAY()-$H3721)</f>
        <v/>
      </c>
      <c r="O3721" s="15" t="n"/>
      <c r="P3721" s="26">
        <f>IF($A3721="","",COUNTIFS('Audit Versions'!$A$6:$A$605,$A3721,'Audit Versions'!$L$6:$L$605,"Active"))</f>
        <v/>
      </c>
      <c r="Q3721" s="15" t="n"/>
      <c r="R3721" s="26">
        <f>IF(OR($A3721="",$P3721=0),"",MOD(N($Q3721),$P3721)+1)</f>
        <v/>
      </c>
      <c r="S3721" s="15" t="n"/>
      <c r="T3721" s="25" t="n"/>
      <c r="U3721" s="26">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Builder'!$B$12="",N($S3721)&lt;='Assignment Builder'!$B$12)))</f>
        <v/>
      </c>
      <c r="V3721" s="23" t="n"/>
    </row>
    <row r="3722">
      <c r="A3722" s="23" t="n"/>
      <c r="B3722" s="23" t="n"/>
      <c r="C3722" s="24" t="n"/>
      <c r="D3722" s="15" t="n"/>
      <c r="E3722" s="23" t="n"/>
      <c r="F3722" s="15" t="n"/>
      <c r="G3722" s="23" t="n"/>
      <c r="H3722" s="25" t="n"/>
      <c r="I3722" s="15" t="n"/>
      <c r="J3722" s="26">
        <f>IF($A3722="","",LEN($C3722)-LEN(SUBSTITUTE($C3722,",",""))+1)</f>
        <v/>
      </c>
      <c r="K3722" s="26">
        <f>IF($A3722="","",SUMPRODUCT(--ISNUMBER(SEARCH('Category Dictionary'!$D$5:$D$135&amp;"",$C3722)),--('Category Dictionary'!$D$5:$D$135&lt;&gt;"")))</f>
        <v/>
      </c>
      <c r="L3722" s="27">
        <f>IF($A3722="","",TRIM(IF(ISERROR(FIND(",",$C3722)),$C3722,LEFT($C3722,FIND(",",$C3722)-1))))</f>
        <v/>
      </c>
      <c r="M3722" s="28">
        <f>IF($H3722="","",DATE(YEAR($H3722),MONTH($H3722),1))</f>
        <v/>
      </c>
      <c r="N3722" s="26">
        <f>IF($H3722="","",TODAY()-$H3722)</f>
        <v/>
      </c>
      <c r="O3722" s="15" t="n"/>
      <c r="P3722" s="26">
        <f>IF($A3722="","",COUNTIFS('Audit Versions'!$A$6:$A$605,$A3722,'Audit Versions'!$L$6:$L$605,"Active"))</f>
        <v/>
      </c>
      <c r="Q3722" s="15" t="n"/>
      <c r="R3722" s="26">
        <f>IF(OR($A3722="",$P3722=0),"",MOD(N($Q3722),$P3722)+1)</f>
        <v/>
      </c>
      <c r="S3722" s="15" t="n"/>
      <c r="T3722" s="25" t="n"/>
      <c r="U3722" s="26">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Builder'!$B$12="",N($S3722)&lt;='Assignment Builder'!$B$12)))</f>
        <v/>
      </c>
      <c r="V3722" s="23" t="n"/>
    </row>
    <row r="3723">
      <c r="A3723" s="23" t="n"/>
      <c r="B3723" s="23" t="n"/>
      <c r="C3723" s="24" t="n"/>
      <c r="D3723" s="15" t="n"/>
      <c r="E3723" s="23" t="n"/>
      <c r="F3723" s="15" t="n"/>
      <c r="G3723" s="23" t="n"/>
      <c r="H3723" s="25" t="n"/>
      <c r="I3723" s="15" t="n"/>
      <c r="J3723" s="26">
        <f>IF($A3723="","",LEN($C3723)-LEN(SUBSTITUTE($C3723,",",""))+1)</f>
        <v/>
      </c>
      <c r="K3723" s="26">
        <f>IF($A3723="","",SUMPRODUCT(--ISNUMBER(SEARCH('Category Dictionary'!$D$5:$D$135&amp;"",$C3723)),--('Category Dictionary'!$D$5:$D$135&lt;&gt;"")))</f>
        <v/>
      </c>
      <c r="L3723" s="27">
        <f>IF($A3723="","",TRIM(IF(ISERROR(FIND(",",$C3723)),$C3723,LEFT($C3723,FIND(",",$C3723)-1))))</f>
        <v/>
      </c>
      <c r="M3723" s="28">
        <f>IF($H3723="","",DATE(YEAR($H3723),MONTH($H3723),1))</f>
        <v/>
      </c>
      <c r="N3723" s="26">
        <f>IF($H3723="","",TODAY()-$H3723)</f>
        <v/>
      </c>
      <c r="O3723" s="15" t="n"/>
      <c r="P3723" s="26">
        <f>IF($A3723="","",COUNTIFS('Audit Versions'!$A$6:$A$605,$A3723,'Audit Versions'!$L$6:$L$605,"Active"))</f>
        <v/>
      </c>
      <c r="Q3723" s="15" t="n"/>
      <c r="R3723" s="26">
        <f>IF(OR($A3723="",$P3723=0),"",MOD(N($Q3723),$P3723)+1)</f>
        <v/>
      </c>
      <c r="S3723" s="15" t="n"/>
      <c r="T3723" s="25" t="n"/>
      <c r="U3723" s="26">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Builder'!$B$12="",N($S3723)&lt;='Assignment Builder'!$B$12)))</f>
        <v/>
      </c>
      <c r="V3723" s="23" t="n"/>
    </row>
    <row r="3724">
      <c r="A3724" s="23" t="n"/>
      <c r="B3724" s="23" t="n"/>
      <c r="C3724" s="24" t="n"/>
      <c r="D3724" s="15" t="n"/>
      <c r="E3724" s="23" t="n"/>
      <c r="F3724" s="15" t="n"/>
      <c r="G3724" s="23" t="n"/>
      <c r="H3724" s="25" t="n"/>
      <c r="I3724" s="15" t="n"/>
      <c r="J3724" s="26">
        <f>IF($A3724="","",LEN($C3724)-LEN(SUBSTITUTE($C3724,",",""))+1)</f>
        <v/>
      </c>
      <c r="K3724" s="26">
        <f>IF($A3724="","",SUMPRODUCT(--ISNUMBER(SEARCH('Category Dictionary'!$D$5:$D$135&amp;"",$C3724)),--('Category Dictionary'!$D$5:$D$135&lt;&gt;"")))</f>
        <v/>
      </c>
      <c r="L3724" s="27">
        <f>IF($A3724="","",TRIM(IF(ISERROR(FIND(",",$C3724)),$C3724,LEFT($C3724,FIND(",",$C3724)-1))))</f>
        <v/>
      </c>
      <c r="M3724" s="28">
        <f>IF($H3724="","",DATE(YEAR($H3724),MONTH($H3724),1))</f>
        <v/>
      </c>
      <c r="N3724" s="26">
        <f>IF($H3724="","",TODAY()-$H3724)</f>
        <v/>
      </c>
      <c r="O3724" s="15" t="n"/>
      <c r="P3724" s="26">
        <f>IF($A3724="","",COUNTIFS('Audit Versions'!$A$6:$A$605,$A3724,'Audit Versions'!$L$6:$L$605,"Active"))</f>
        <v/>
      </c>
      <c r="Q3724" s="15" t="n"/>
      <c r="R3724" s="26">
        <f>IF(OR($A3724="",$P3724=0),"",MOD(N($Q3724),$P3724)+1)</f>
        <v/>
      </c>
      <c r="S3724" s="15" t="n"/>
      <c r="T3724" s="25" t="n"/>
      <c r="U3724" s="26">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Builder'!$B$12="",N($S3724)&lt;='Assignment Builder'!$B$12)))</f>
        <v/>
      </c>
      <c r="V3724" s="23" t="n"/>
    </row>
    <row r="3725">
      <c r="A3725" s="23" t="n"/>
      <c r="B3725" s="23" t="n"/>
      <c r="C3725" s="24" t="n"/>
      <c r="D3725" s="15" t="n"/>
      <c r="E3725" s="23" t="n"/>
      <c r="F3725" s="15" t="n"/>
      <c r="G3725" s="23" t="n"/>
      <c r="H3725" s="25" t="n"/>
      <c r="I3725" s="15" t="n"/>
      <c r="J3725" s="26">
        <f>IF($A3725="","",LEN($C3725)-LEN(SUBSTITUTE($C3725,",",""))+1)</f>
        <v/>
      </c>
      <c r="K3725" s="26">
        <f>IF($A3725="","",SUMPRODUCT(--ISNUMBER(SEARCH('Category Dictionary'!$D$5:$D$135&amp;"",$C3725)),--('Category Dictionary'!$D$5:$D$135&lt;&gt;"")))</f>
        <v/>
      </c>
      <c r="L3725" s="27">
        <f>IF($A3725="","",TRIM(IF(ISERROR(FIND(",",$C3725)),$C3725,LEFT($C3725,FIND(",",$C3725)-1))))</f>
        <v/>
      </c>
      <c r="M3725" s="28">
        <f>IF($H3725="","",DATE(YEAR($H3725),MONTH($H3725),1))</f>
        <v/>
      </c>
      <c r="N3725" s="26">
        <f>IF($H3725="","",TODAY()-$H3725)</f>
        <v/>
      </c>
      <c r="O3725" s="15" t="n"/>
      <c r="P3725" s="26">
        <f>IF($A3725="","",COUNTIFS('Audit Versions'!$A$6:$A$605,$A3725,'Audit Versions'!$L$6:$L$605,"Active"))</f>
        <v/>
      </c>
      <c r="Q3725" s="15" t="n"/>
      <c r="R3725" s="26">
        <f>IF(OR($A3725="",$P3725=0),"",MOD(N($Q3725),$P3725)+1)</f>
        <v/>
      </c>
      <c r="S3725" s="15" t="n"/>
      <c r="T3725" s="25" t="n"/>
      <c r="U3725" s="26">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Builder'!$B$12="",N($S3725)&lt;='Assignment Builder'!$B$12)))</f>
        <v/>
      </c>
      <c r="V3725" s="23" t="n"/>
    </row>
    <row r="3726">
      <c r="A3726" s="23" t="n"/>
      <c r="B3726" s="23" t="n"/>
      <c r="C3726" s="24" t="n"/>
      <c r="D3726" s="15" t="n"/>
      <c r="E3726" s="23" t="n"/>
      <c r="F3726" s="15" t="n"/>
      <c r="G3726" s="23" t="n"/>
      <c r="H3726" s="25" t="n"/>
      <c r="I3726" s="15" t="n"/>
      <c r="J3726" s="26">
        <f>IF($A3726="","",LEN($C3726)-LEN(SUBSTITUTE($C3726,",",""))+1)</f>
        <v/>
      </c>
      <c r="K3726" s="26">
        <f>IF($A3726="","",SUMPRODUCT(--ISNUMBER(SEARCH('Category Dictionary'!$D$5:$D$135&amp;"",$C3726)),--('Category Dictionary'!$D$5:$D$135&lt;&gt;"")))</f>
        <v/>
      </c>
      <c r="L3726" s="27">
        <f>IF($A3726="","",TRIM(IF(ISERROR(FIND(",",$C3726)),$C3726,LEFT($C3726,FIND(",",$C3726)-1))))</f>
        <v/>
      </c>
      <c r="M3726" s="28">
        <f>IF($H3726="","",DATE(YEAR($H3726),MONTH($H3726),1))</f>
        <v/>
      </c>
      <c r="N3726" s="26">
        <f>IF($H3726="","",TODAY()-$H3726)</f>
        <v/>
      </c>
      <c r="O3726" s="15" t="n"/>
      <c r="P3726" s="26">
        <f>IF($A3726="","",COUNTIFS('Audit Versions'!$A$6:$A$605,$A3726,'Audit Versions'!$L$6:$L$605,"Active"))</f>
        <v/>
      </c>
      <c r="Q3726" s="15" t="n"/>
      <c r="R3726" s="26">
        <f>IF(OR($A3726="",$P3726=0),"",MOD(N($Q3726),$P3726)+1)</f>
        <v/>
      </c>
      <c r="S3726" s="15" t="n"/>
      <c r="T3726" s="25" t="n"/>
      <c r="U3726" s="26">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Builder'!$B$12="",N($S3726)&lt;='Assignment Builder'!$B$12)))</f>
        <v/>
      </c>
      <c r="V3726" s="23" t="n"/>
    </row>
    <row r="3727">
      <c r="A3727" s="23" t="n"/>
      <c r="B3727" s="23" t="n"/>
      <c r="C3727" s="24" t="n"/>
      <c r="D3727" s="15" t="n"/>
      <c r="E3727" s="23" t="n"/>
      <c r="F3727" s="15" t="n"/>
      <c r="G3727" s="23" t="n"/>
      <c r="H3727" s="25" t="n"/>
      <c r="I3727" s="15" t="n"/>
      <c r="J3727" s="26">
        <f>IF($A3727="","",LEN($C3727)-LEN(SUBSTITUTE($C3727,",",""))+1)</f>
        <v/>
      </c>
      <c r="K3727" s="26">
        <f>IF($A3727="","",SUMPRODUCT(--ISNUMBER(SEARCH('Category Dictionary'!$D$5:$D$135&amp;"",$C3727)),--('Category Dictionary'!$D$5:$D$135&lt;&gt;"")))</f>
        <v/>
      </c>
      <c r="L3727" s="27">
        <f>IF($A3727="","",TRIM(IF(ISERROR(FIND(",",$C3727)),$C3727,LEFT($C3727,FIND(",",$C3727)-1))))</f>
        <v/>
      </c>
      <c r="M3727" s="28">
        <f>IF($H3727="","",DATE(YEAR($H3727),MONTH($H3727),1))</f>
        <v/>
      </c>
      <c r="N3727" s="26">
        <f>IF($H3727="","",TODAY()-$H3727)</f>
        <v/>
      </c>
      <c r="O3727" s="15" t="n"/>
      <c r="P3727" s="26">
        <f>IF($A3727="","",COUNTIFS('Audit Versions'!$A$6:$A$605,$A3727,'Audit Versions'!$L$6:$L$605,"Active"))</f>
        <v/>
      </c>
      <c r="Q3727" s="15" t="n"/>
      <c r="R3727" s="26">
        <f>IF(OR($A3727="",$P3727=0),"",MOD(N($Q3727),$P3727)+1)</f>
        <v/>
      </c>
      <c r="S3727" s="15" t="n"/>
      <c r="T3727" s="25" t="n"/>
      <c r="U3727" s="26">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Builder'!$B$12="",N($S3727)&lt;='Assignment Builder'!$B$12)))</f>
        <v/>
      </c>
      <c r="V3727" s="23" t="n"/>
    </row>
    <row r="3728">
      <c r="A3728" s="23" t="n"/>
      <c r="B3728" s="23" t="n"/>
      <c r="C3728" s="24" t="n"/>
      <c r="D3728" s="15" t="n"/>
      <c r="E3728" s="23" t="n"/>
      <c r="F3728" s="15" t="n"/>
      <c r="G3728" s="23" t="n"/>
      <c r="H3728" s="25" t="n"/>
      <c r="I3728" s="15" t="n"/>
      <c r="J3728" s="26">
        <f>IF($A3728="","",LEN($C3728)-LEN(SUBSTITUTE($C3728,",",""))+1)</f>
        <v/>
      </c>
      <c r="K3728" s="26">
        <f>IF($A3728="","",SUMPRODUCT(--ISNUMBER(SEARCH('Category Dictionary'!$D$5:$D$135&amp;"",$C3728)),--('Category Dictionary'!$D$5:$D$135&lt;&gt;"")))</f>
        <v/>
      </c>
      <c r="L3728" s="27">
        <f>IF($A3728="","",TRIM(IF(ISERROR(FIND(",",$C3728)),$C3728,LEFT($C3728,FIND(",",$C3728)-1))))</f>
        <v/>
      </c>
      <c r="M3728" s="28">
        <f>IF($H3728="","",DATE(YEAR($H3728),MONTH($H3728),1))</f>
        <v/>
      </c>
      <c r="N3728" s="26">
        <f>IF($H3728="","",TODAY()-$H3728)</f>
        <v/>
      </c>
      <c r="O3728" s="15" t="n"/>
      <c r="P3728" s="26">
        <f>IF($A3728="","",COUNTIFS('Audit Versions'!$A$6:$A$605,$A3728,'Audit Versions'!$L$6:$L$605,"Active"))</f>
        <v/>
      </c>
      <c r="Q3728" s="15" t="n"/>
      <c r="R3728" s="26">
        <f>IF(OR($A3728="",$P3728=0),"",MOD(N($Q3728),$P3728)+1)</f>
        <v/>
      </c>
      <c r="S3728" s="15" t="n"/>
      <c r="T3728" s="25" t="n"/>
      <c r="U3728" s="26">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Builder'!$B$12="",N($S3728)&lt;='Assignment Builder'!$B$12)))</f>
        <v/>
      </c>
      <c r="V3728" s="23" t="n"/>
    </row>
    <row r="3729">
      <c r="A3729" s="23" t="n"/>
      <c r="B3729" s="23" t="n"/>
      <c r="C3729" s="24" t="n"/>
      <c r="D3729" s="15" t="n"/>
      <c r="E3729" s="23" t="n"/>
      <c r="F3729" s="15" t="n"/>
      <c r="G3729" s="23" t="n"/>
      <c r="H3729" s="25" t="n"/>
      <c r="I3729" s="15" t="n"/>
      <c r="J3729" s="26">
        <f>IF($A3729="","",LEN($C3729)-LEN(SUBSTITUTE($C3729,",",""))+1)</f>
        <v/>
      </c>
      <c r="K3729" s="26">
        <f>IF($A3729="","",SUMPRODUCT(--ISNUMBER(SEARCH('Category Dictionary'!$D$5:$D$135&amp;"",$C3729)),--('Category Dictionary'!$D$5:$D$135&lt;&gt;"")))</f>
        <v/>
      </c>
      <c r="L3729" s="27">
        <f>IF($A3729="","",TRIM(IF(ISERROR(FIND(",",$C3729)),$C3729,LEFT($C3729,FIND(",",$C3729)-1))))</f>
        <v/>
      </c>
      <c r="M3729" s="28">
        <f>IF($H3729="","",DATE(YEAR($H3729),MONTH($H3729),1))</f>
        <v/>
      </c>
      <c r="N3729" s="26">
        <f>IF($H3729="","",TODAY()-$H3729)</f>
        <v/>
      </c>
      <c r="O3729" s="15" t="n"/>
      <c r="P3729" s="26">
        <f>IF($A3729="","",COUNTIFS('Audit Versions'!$A$6:$A$605,$A3729,'Audit Versions'!$L$6:$L$605,"Active"))</f>
        <v/>
      </c>
      <c r="Q3729" s="15" t="n"/>
      <c r="R3729" s="26">
        <f>IF(OR($A3729="",$P3729=0),"",MOD(N($Q3729),$P3729)+1)</f>
        <v/>
      </c>
      <c r="S3729" s="15" t="n"/>
      <c r="T3729" s="25" t="n"/>
      <c r="U3729" s="26">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Builder'!$B$12="",N($S3729)&lt;='Assignment Builder'!$B$12)))</f>
        <v/>
      </c>
      <c r="V3729" s="23" t="n"/>
    </row>
    <row r="3730">
      <c r="A3730" s="23" t="n"/>
      <c r="B3730" s="23" t="n"/>
      <c r="C3730" s="24" t="n"/>
      <c r="D3730" s="15" t="n"/>
      <c r="E3730" s="23" t="n"/>
      <c r="F3730" s="15" t="n"/>
      <c r="G3730" s="23" t="n"/>
      <c r="H3730" s="25" t="n"/>
      <c r="I3730" s="15" t="n"/>
      <c r="J3730" s="26">
        <f>IF($A3730="","",LEN($C3730)-LEN(SUBSTITUTE($C3730,",",""))+1)</f>
        <v/>
      </c>
      <c r="K3730" s="26">
        <f>IF($A3730="","",SUMPRODUCT(--ISNUMBER(SEARCH('Category Dictionary'!$D$5:$D$135&amp;"",$C3730)),--('Category Dictionary'!$D$5:$D$135&lt;&gt;"")))</f>
        <v/>
      </c>
      <c r="L3730" s="27">
        <f>IF($A3730="","",TRIM(IF(ISERROR(FIND(",",$C3730)),$C3730,LEFT($C3730,FIND(",",$C3730)-1))))</f>
        <v/>
      </c>
      <c r="M3730" s="28">
        <f>IF($H3730="","",DATE(YEAR($H3730),MONTH($H3730),1))</f>
        <v/>
      </c>
      <c r="N3730" s="26">
        <f>IF($H3730="","",TODAY()-$H3730)</f>
        <v/>
      </c>
      <c r="O3730" s="15" t="n"/>
      <c r="P3730" s="26">
        <f>IF($A3730="","",COUNTIFS('Audit Versions'!$A$6:$A$605,$A3730,'Audit Versions'!$L$6:$L$605,"Active"))</f>
        <v/>
      </c>
      <c r="Q3730" s="15" t="n"/>
      <c r="R3730" s="26">
        <f>IF(OR($A3730="",$P3730=0),"",MOD(N($Q3730),$P3730)+1)</f>
        <v/>
      </c>
      <c r="S3730" s="15" t="n"/>
      <c r="T3730" s="25" t="n"/>
      <c r="U3730" s="26">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Builder'!$B$12="",N($S3730)&lt;='Assignment Builder'!$B$12)))</f>
        <v/>
      </c>
      <c r="V3730" s="23" t="n"/>
    </row>
    <row r="3731">
      <c r="A3731" s="23" t="n"/>
      <c r="B3731" s="23" t="n"/>
      <c r="C3731" s="24" t="n"/>
      <c r="D3731" s="15" t="n"/>
      <c r="E3731" s="23" t="n"/>
      <c r="F3731" s="15" t="n"/>
      <c r="G3731" s="23" t="n"/>
      <c r="H3731" s="25" t="n"/>
      <c r="I3731" s="15" t="n"/>
      <c r="J3731" s="26">
        <f>IF($A3731="","",LEN($C3731)-LEN(SUBSTITUTE($C3731,",",""))+1)</f>
        <v/>
      </c>
      <c r="K3731" s="26">
        <f>IF($A3731="","",SUMPRODUCT(--ISNUMBER(SEARCH('Category Dictionary'!$D$5:$D$135&amp;"",$C3731)),--('Category Dictionary'!$D$5:$D$135&lt;&gt;"")))</f>
        <v/>
      </c>
      <c r="L3731" s="27">
        <f>IF($A3731="","",TRIM(IF(ISERROR(FIND(",",$C3731)),$C3731,LEFT($C3731,FIND(",",$C3731)-1))))</f>
        <v/>
      </c>
      <c r="M3731" s="28">
        <f>IF($H3731="","",DATE(YEAR($H3731),MONTH($H3731),1))</f>
        <v/>
      </c>
      <c r="N3731" s="26">
        <f>IF($H3731="","",TODAY()-$H3731)</f>
        <v/>
      </c>
      <c r="O3731" s="15" t="n"/>
      <c r="P3731" s="26">
        <f>IF($A3731="","",COUNTIFS('Audit Versions'!$A$6:$A$605,$A3731,'Audit Versions'!$L$6:$L$605,"Active"))</f>
        <v/>
      </c>
      <c r="Q3731" s="15" t="n"/>
      <c r="R3731" s="26">
        <f>IF(OR($A3731="",$P3731=0),"",MOD(N($Q3731),$P3731)+1)</f>
        <v/>
      </c>
      <c r="S3731" s="15" t="n"/>
      <c r="T3731" s="25" t="n"/>
      <c r="U3731" s="26">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Builder'!$B$12="",N($S3731)&lt;='Assignment Builder'!$B$12)))</f>
        <v/>
      </c>
      <c r="V3731" s="23" t="n"/>
    </row>
    <row r="3732">
      <c r="A3732" s="23" t="n"/>
      <c r="B3732" s="23" t="n"/>
      <c r="C3732" s="24" t="n"/>
      <c r="D3732" s="15" t="n"/>
      <c r="E3732" s="23" t="n"/>
      <c r="F3732" s="15" t="n"/>
      <c r="G3732" s="23" t="n"/>
      <c r="H3732" s="25" t="n"/>
      <c r="I3732" s="15" t="n"/>
      <c r="J3732" s="26">
        <f>IF($A3732="","",LEN($C3732)-LEN(SUBSTITUTE($C3732,",",""))+1)</f>
        <v/>
      </c>
      <c r="K3732" s="26">
        <f>IF($A3732="","",SUMPRODUCT(--ISNUMBER(SEARCH('Category Dictionary'!$D$5:$D$135&amp;"",$C3732)),--('Category Dictionary'!$D$5:$D$135&lt;&gt;"")))</f>
        <v/>
      </c>
      <c r="L3732" s="27">
        <f>IF($A3732="","",TRIM(IF(ISERROR(FIND(",",$C3732)),$C3732,LEFT($C3732,FIND(",",$C3732)-1))))</f>
        <v/>
      </c>
      <c r="M3732" s="28">
        <f>IF($H3732="","",DATE(YEAR($H3732),MONTH($H3732),1))</f>
        <v/>
      </c>
      <c r="N3732" s="26">
        <f>IF($H3732="","",TODAY()-$H3732)</f>
        <v/>
      </c>
      <c r="O3732" s="15" t="n"/>
      <c r="P3732" s="26">
        <f>IF($A3732="","",COUNTIFS('Audit Versions'!$A$6:$A$605,$A3732,'Audit Versions'!$L$6:$L$605,"Active"))</f>
        <v/>
      </c>
      <c r="Q3732" s="15" t="n"/>
      <c r="R3732" s="26">
        <f>IF(OR($A3732="",$P3732=0),"",MOD(N($Q3732),$P3732)+1)</f>
        <v/>
      </c>
      <c r="S3732" s="15" t="n"/>
      <c r="T3732" s="25" t="n"/>
      <c r="U3732" s="26">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Builder'!$B$12="",N($S3732)&lt;='Assignment Builder'!$B$12)))</f>
        <v/>
      </c>
      <c r="V3732" s="23" t="n"/>
    </row>
    <row r="3733">
      <c r="A3733" s="23" t="n"/>
      <c r="B3733" s="23" t="n"/>
      <c r="C3733" s="24" t="n"/>
      <c r="D3733" s="15" t="n"/>
      <c r="E3733" s="23" t="n"/>
      <c r="F3733" s="15" t="n"/>
      <c r="G3733" s="23" t="n"/>
      <c r="H3733" s="25" t="n"/>
      <c r="I3733" s="15" t="n"/>
      <c r="J3733" s="26">
        <f>IF($A3733="","",LEN($C3733)-LEN(SUBSTITUTE($C3733,",",""))+1)</f>
        <v/>
      </c>
      <c r="K3733" s="26">
        <f>IF($A3733="","",SUMPRODUCT(--ISNUMBER(SEARCH('Category Dictionary'!$D$5:$D$135&amp;"",$C3733)),--('Category Dictionary'!$D$5:$D$135&lt;&gt;"")))</f>
        <v/>
      </c>
      <c r="L3733" s="27">
        <f>IF($A3733="","",TRIM(IF(ISERROR(FIND(",",$C3733)),$C3733,LEFT($C3733,FIND(",",$C3733)-1))))</f>
        <v/>
      </c>
      <c r="M3733" s="28">
        <f>IF($H3733="","",DATE(YEAR($H3733),MONTH($H3733),1))</f>
        <v/>
      </c>
      <c r="N3733" s="26">
        <f>IF($H3733="","",TODAY()-$H3733)</f>
        <v/>
      </c>
      <c r="O3733" s="15" t="n"/>
      <c r="P3733" s="26">
        <f>IF($A3733="","",COUNTIFS('Audit Versions'!$A$6:$A$605,$A3733,'Audit Versions'!$L$6:$L$605,"Active"))</f>
        <v/>
      </c>
      <c r="Q3733" s="15" t="n"/>
      <c r="R3733" s="26">
        <f>IF(OR($A3733="",$P3733=0),"",MOD(N($Q3733),$P3733)+1)</f>
        <v/>
      </c>
      <c r="S3733" s="15" t="n"/>
      <c r="T3733" s="25" t="n"/>
      <c r="U3733" s="26">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Builder'!$B$12="",N($S3733)&lt;='Assignment Builder'!$B$12)))</f>
        <v/>
      </c>
      <c r="V3733" s="23" t="n"/>
    </row>
    <row r="3734">
      <c r="A3734" s="23" t="n"/>
      <c r="B3734" s="23" t="n"/>
      <c r="C3734" s="24" t="n"/>
      <c r="D3734" s="15" t="n"/>
      <c r="E3734" s="23" t="n"/>
      <c r="F3734" s="15" t="n"/>
      <c r="G3734" s="23" t="n"/>
      <c r="H3734" s="25" t="n"/>
      <c r="I3734" s="15" t="n"/>
      <c r="J3734" s="26">
        <f>IF($A3734="","",LEN($C3734)-LEN(SUBSTITUTE($C3734,",",""))+1)</f>
        <v/>
      </c>
      <c r="K3734" s="26">
        <f>IF($A3734="","",SUMPRODUCT(--ISNUMBER(SEARCH('Category Dictionary'!$D$5:$D$135&amp;"",$C3734)),--('Category Dictionary'!$D$5:$D$135&lt;&gt;"")))</f>
        <v/>
      </c>
      <c r="L3734" s="27">
        <f>IF($A3734="","",TRIM(IF(ISERROR(FIND(",",$C3734)),$C3734,LEFT($C3734,FIND(",",$C3734)-1))))</f>
        <v/>
      </c>
      <c r="M3734" s="28">
        <f>IF($H3734="","",DATE(YEAR($H3734),MONTH($H3734),1))</f>
        <v/>
      </c>
      <c r="N3734" s="26">
        <f>IF($H3734="","",TODAY()-$H3734)</f>
        <v/>
      </c>
      <c r="O3734" s="15" t="n"/>
      <c r="P3734" s="26">
        <f>IF($A3734="","",COUNTIFS('Audit Versions'!$A$6:$A$605,$A3734,'Audit Versions'!$L$6:$L$605,"Active"))</f>
        <v/>
      </c>
      <c r="Q3734" s="15" t="n"/>
      <c r="R3734" s="26">
        <f>IF(OR($A3734="",$P3734=0),"",MOD(N($Q3734),$P3734)+1)</f>
        <v/>
      </c>
      <c r="S3734" s="15" t="n"/>
      <c r="T3734" s="25" t="n"/>
      <c r="U3734" s="26">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Builder'!$B$12="",N($S3734)&lt;='Assignment Builder'!$B$12)))</f>
        <v/>
      </c>
      <c r="V3734" s="23" t="n"/>
    </row>
    <row r="3735">
      <c r="A3735" s="23" t="n"/>
      <c r="B3735" s="23" t="n"/>
      <c r="C3735" s="24" t="n"/>
      <c r="D3735" s="15" t="n"/>
      <c r="E3735" s="23" t="n"/>
      <c r="F3735" s="15" t="n"/>
      <c r="G3735" s="23" t="n"/>
      <c r="H3735" s="25" t="n"/>
      <c r="I3735" s="15" t="n"/>
      <c r="J3735" s="26">
        <f>IF($A3735="","",LEN($C3735)-LEN(SUBSTITUTE($C3735,",",""))+1)</f>
        <v/>
      </c>
      <c r="K3735" s="26">
        <f>IF($A3735="","",SUMPRODUCT(--ISNUMBER(SEARCH('Category Dictionary'!$D$5:$D$135&amp;"",$C3735)),--('Category Dictionary'!$D$5:$D$135&lt;&gt;"")))</f>
        <v/>
      </c>
      <c r="L3735" s="27">
        <f>IF($A3735="","",TRIM(IF(ISERROR(FIND(",",$C3735)),$C3735,LEFT($C3735,FIND(",",$C3735)-1))))</f>
        <v/>
      </c>
      <c r="M3735" s="28">
        <f>IF($H3735="","",DATE(YEAR($H3735),MONTH($H3735),1))</f>
        <v/>
      </c>
      <c r="N3735" s="26">
        <f>IF($H3735="","",TODAY()-$H3735)</f>
        <v/>
      </c>
      <c r="O3735" s="15" t="n"/>
      <c r="P3735" s="26">
        <f>IF($A3735="","",COUNTIFS('Audit Versions'!$A$6:$A$605,$A3735,'Audit Versions'!$L$6:$L$605,"Active"))</f>
        <v/>
      </c>
      <c r="Q3735" s="15" t="n"/>
      <c r="R3735" s="26">
        <f>IF(OR($A3735="",$P3735=0),"",MOD(N($Q3735),$P3735)+1)</f>
        <v/>
      </c>
      <c r="S3735" s="15" t="n"/>
      <c r="T3735" s="25" t="n"/>
      <c r="U3735" s="26">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Builder'!$B$12="",N($S3735)&lt;='Assignment Builder'!$B$12)))</f>
        <v/>
      </c>
      <c r="V3735" s="23" t="n"/>
    </row>
    <row r="3736">
      <c r="A3736" s="23" t="n"/>
      <c r="B3736" s="23" t="n"/>
      <c r="C3736" s="24" t="n"/>
      <c r="D3736" s="15" t="n"/>
      <c r="E3736" s="23" t="n"/>
      <c r="F3736" s="15" t="n"/>
      <c r="G3736" s="23" t="n"/>
      <c r="H3736" s="25" t="n"/>
      <c r="I3736" s="15" t="n"/>
      <c r="J3736" s="26">
        <f>IF($A3736="","",LEN($C3736)-LEN(SUBSTITUTE($C3736,",",""))+1)</f>
        <v/>
      </c>
      <c r="K3736" s="26">
        <f>IF($A3736="","",SUMPRODUCT(--ISNUMBER(SEARCH('Category Dictionary'!$D$5:$D$135&amp;"",$C3736)),--('Category Dictionary'!$D$5:$D$135&lt;&gt;"")))</f>
        <v/>
      </c>
      <c r="L3736" s="27">
        <f>IF($A3736="","",TRIM(IF(ISERROR(FIND(",",$C3736)),$C3736,LEFT($C3736,FIND(",",$C3736)-1))))</f>
        <v/>
      </c>
      <c r="M3736" s="28">
        <f>IF($H3736="","",DATE(YEAR($H3736),MONTH($H3736),1))</f>
        <v/>
      </c>
      <c r="N3736" s="26">
        <f>IF($H3736="","",TODAY()-$H3736)</f>
        <v/>
      </c>
      <c r="O3736" s="15" t="n"/>
      <c r="P3736" s="26">
        <f>IF($A3736="","",COUNTIFS('Audit Versions'!$A$6:$A$605,$A3736,'Audit Versions'!$L$6:$L$605,"Active"))</f>
        <v/>
      </c>
      <c r="Q3736" s="15" t="n"/>
      <c r="R3736" s="26">
        <f>IF(OR($A3736="",$P3736=0),"",MOD(N($Q3736),$P3736)+1)</f>
        <v/>
      </c>
      <c r="S3736" s="15" t="n"/>
      <c r="T3736" s="25" t="n"/>
      <c r="U3736" s="26">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Builder'!$B$12="",N($S3736)&lt;='Assignment Builder'!$B$12)))</f>
        <v/>
      </c>
      <c r="V3736" s="23" t="n"/>
    </row>
    <row r="3737">
      <c r="A3737" s="23" t="n"/>
      <c r="B3737" s="23" t="n"/>
      <c r="C3737" s="24" t="n"/>
      <c r="D3737" s="15" t="n"/>
      <c r="E3737" s="23" t="n"/>
      <c r="F3737" s="15" t="n"/>
      <c r="G3737" s="23" t="n"/>
      <c r="H3737" s="25" t="n"/>
      <c r="I3737" s="15" t="n"/>
      <c r="J3737" s="26">
        <f>IF($A3737="","",LEN($C3737)-LEN(SUBSTITUTE($C3737,",",""))+1)</f>
        <v/>
      </c>
      <c r="K3737" s="26">
        <f>IF($A3737="","",SUMPRODUCT(--ISNUMBER(SEARCH('Category Dictionary'!$D$5:$D$135&amp;"",$C3737)),--('Category Dictionary'!$D$5:$D$135&lt;&gt;"")))</f>
        <v/>
      </c>
      <c r="L3737" s="27">
        <f>IF($A3737="","",TRIM(IF(ISERROR(FIND(",",$C3737)),$C3737,LEFT($C3737,FIND(",",$C3737)-1))))</f>
        <v/>
      </c>
      <c r="M3737" s="28">
        <f>IF($H3737="","",DATE(YEAR($H3737),MONTH($H3737),1))</f>
        <v/>
      </c>
      <c r="N3737" s="26">
        <f>IF($H3737="","",TODAY()-$H3737)</f>
        <v/>
      </c>
      <c r="O3737" s="15" t="n"/>
      <c r="P3737" s="26">
        <f>IF($A3737="","",COUNTIFS('Audit Versions'!$A$6:$A$605,$A3737,'Audit Versions'!$L$6:$L$605,"Active"))</f>
        <v/>
      </c>
      <c r="Q3737" s="15" t="n"/>
      <c r="R3737" s="26">
        <f>IF(OR($A3737="",$P3737=0),"",MOD(N($Q3737),$P3737)+1)</f>
        <v/>
      </c>
      <c r="S3737" s="15" t="n"/>
      <c r="T3737" s="25" t="n"/>
      <c r="U3737" s="26">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Builder'!$B$12="",N($S3737)&lt;='Assignment Builder'!$B$12)))</f>
        <v/>
      </c>
      <c r="V3737" s="23" t="n"/>
    </row>
    <row r="3738">
      <c r="A3738" s="23" t="n"/>
      <c r="B3738" s="23" t="n"/>
      <c r="C3738" s="24" t="n"/>
      <c r="D3738" s="15" t="n"/>
      <c r="E3738" s="23" t="n"/>
      <c r="F3738" s="15" t="n"/>
      <c r="G3738" s="23" t="n"/>
      <c r="H3738" s="25" t="n"/>
      <c r="I3738" s="15" t="n"/>
      <c r="J3738" s="26">
        <f>IF($A3738="","",LEN($C3738)-LEN(SUBSTITUTE($C3738,",",""))+1)</f>
        <v/>
      </c>
      <c r="K3738" s="26">
        <f>IF($A3738="","",SUMPRODUCT(--ISNUMBER(SEARCH('Category Dictionary'!$D$5:$D$135&amp;"",$C3738)),--('Category Dictionary'!$D$5:$D$135&lt;&gt;"")))</f>
        <v/>
      </c>
      <c r="L3738" s="27">
        <f>IF($A3738="","",TRIM(IF(ISERROR(FIND(",",$C3738)),$C3738,LEFT($C3738,FIND(",",$C3738)-1))))</f>
        <v/>
      </c>
      <c r="M3738" s="28">
        <f>IF($H3738="","",DATE(YEAR($H3738),MONTH($H3738),1))</f>
        <v/>
      </c>
      <c r="N3738" s="26">
        <f>IF($H3738="","",TODAY()-$H3738)</f>
        <v/>
      </c>
      <c r="O3738" s="15" t="n"/>
      <c r="P3738" s="26">
        <f>IF($A3738="","",COUNTIFS('Audit Versions'!$A$6:$A$605,$A3738,'Audit Versions'!$L$6:$L$605,"Active"))</f>
        <v/>
      </c>
      <c r="Q3738" s="15" t="n"/>
      <c r="R3738" s="26">
        <f>IF(OR($A3738="",$P3738=0),"",MOD(N($Q3738),$P3738)+1)</f>
        <v/>
      </c>
      <c r="S3738" s="15" t="n"/>
      <c r="T3738" s="25" t="n"/>
      <c r="U3738" s="26">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Builder'!$B$12="",N($S3738)&lt;='Assignment Builder'!$B$12)))</f>
        <v/>
      </c>
      <c r="V3738" s="23" t="n"/>
    </row>
    <row r="3739">
      <c r="A3739" s="23" t="n"/>
      <c r="B3739" s="23" t="n"/>
      <c r="C3739" s="24" t="n"/>
      <c r="D3739" s="15" t="n"/>
      <c r="E3739" s="23" t="n"/>
      <c r="F3739" s="15" t="n"/>
      <c r="G3739" s="23" t="n"/>
      <c r="H3739" s="25" t="n"/>
      <c r="I3739" s="15" t="n"/>
      <c r="J3739" s="26">
        <f>IF($A3739="","",LEN($C3739)-LEN(SUBSTITUTE($C3739,",",""))+1)</f>
        <v/>
      </c>
      <c r="K3739" s="26">
        <f>IF($A3739="","",SUMPRODUCT(--ISNUMBER(SEARCH('Category Dictionary'!$D$5:$D$135&amp;"",$C3739)),--('Category Dictionary'!$D$5:$D$135&lt;&gt;"")))</f>
        <v/>
      </c>
      <c r="L3739" s="27">
        <f>IF($A3739="","",TRIM(IF(ISERROR(FIND(",",$C3739)),$C3739,LEFT($C3739,FIND(",",$C3739)-1))))</f>
        <v/>
      </c>
      <c r="M3739" s="28">
        <f>IF($H3739="","",DATE(YEAR($H3739),MONTH($H3739),1))</f>
        <v/>
      </c>
      <c r="N3739" s="26">
        <f>IF($H3739="","",TODAY()-$H3739)</f>
        <v/>
      </c>
      <c r="O3739" s="15" t="n"/>
      <c r="P3739" s="26">
        <f>IF($A3739="","",COUNTIFS('Audit Versions'!$A$6:$A$605,$A3739,'Audit Versions'!$L$6:$L$605,"Active"))</f>
        <v/>
      </c>
      <c r="Q3739" s="15" t="n"/>
      <c r="R3739" s="26">
        <f>IF(OR($A3739="",$P3739=0),"",MOD(N($Q3739),$P3739)+1)</f>
        <v/>
      </c>
      <c r="S3739" s="15" t="n"/>
      <c r="T3739" s="25" t="n"/>
      <c r="U3739" s="26">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Builder'!$B$12="",N($S3739)&lt;='Assignment Builder'!$B$12)))</f>
        <v/>
      </c>
      <c r="V3739" s="23" t="n"/>
    </row>
    <row r="3740">
      <c r="A3740" s="23" t="n"/>
      <c r="B3740" s="23" t="n"/>
      <c r="C3740" s="24" t="n"/>
      <c r="D3740" s="15" t="n"/>
      <c r="E3740" s="23" t="n"/>
      <c r="F3740" s="15" t="n"/>
      <c r="G3740" s="23" t="n"/>
      <c r="H3740" s="25" t="n"/>
      <c r="I3740" s="15" t="n"/>
      <c r="J3740" s="26">
        <f>IF($A3740="","",LEN($C3740)-LEN(SUBSTITUTE($C3740,",",""))+1)</f>
        <v/>
      </c>
      <c r="K3740" s="26">
        <f>IF($A3740="","",SUMPRODUCT(--ISNUMBER(SEARCH('Category Dictionary'!$D$5:$D$135&amp;"",$C3740)),--('Category Dictionary'!$D$5:$D$135&lt;&gt;"")))</f>
        <v/>
      </c>
      <c r="L3740" s="27">
        <f>IF($A3740="","",TRIM(IF(ISERROR(FIND(",",$C3740)),$C3740,LEFT($C3740,FIND(",",$C3740)-1))))</f>
        <v/>
      </c>
      <c r="M3740" s="28">
        <f>IF($H3740="","",DATE(YEAR($H3740),MONTH($H3740),1))</f>
        <v/>
      </c>
      <c r="N3740" s="26">
        <f>IF($H3740="","",TODAY()-$H3740)</f>
        <v/>
      </c>
      <c r="O3740" s="15" t="n"/>
      <c r="P3740" s="26">
        <f>IF($A3740="","",COUNTIFS('Audit Versions'!$A$6:$A$605,$A3740,'Audit Versions'!$L$6:$L$605,"Active"))</f>
        <v/>
      </c>
      <c r="Q3740" s="15" t="n"/>
      <c r="R3740" s="26">
        <f>IF(OR($A3740="",$P3740=0),"",MOD(N($Q3740),$P3740)+1)</f>
        <v/>
      </c>
      <c r="S3740" s="15" t="n"/>
      <c r="T3740" s="25" t="n"/>
      <c r="U3740" s="26">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Builder'!$B$12="",N($S3740)&lt;='Assignment Builder'!$B$12)))</f>
        <v/>
      </c>
      <c r="V3740" s="23" t="n"/>
    </row>
    <row r="3741">
      <c r="A3741" s="23" t="n"/>
      <c r="B3741" s="23" t="n"/>
      <c r="C3741" s="24" t="n"/>
      <c r="D3741" s="15" t="n"/>
      <c r="E3741" s="23" t="n"/>
      <c r="F3741" s="15" t="n"/>
      <c r="G3741" s="23" t="n"/>
      <c r="H3741" s="25" t="n"/>
      <c r="I3741" s="15" t="n"/>
      <c r="J3741" s="26">
        <f>IF($A3741="","",LEN($C3741)-LEN(SUBSTITUTE($C3741,",",""))+1)</f>
        <v/>
      </c>
      <c r="K3741" s="26">
        <f>IF($A3741="","",SUMPRODUCT(--ISNUMBER(SEARCH('Category Dictionary'!$D$5:$D$135&amp;"",$C3741)),--('Category Dictionary'!$D$5:$D$135&lt;&gt;"")))</f>
        <v/>
      </c>
      <c r="L3741" s="27">
        <f>IF($A3741="","",TRIM(IF(ISERROR(FIND(",",$C3741)),$C3741,LEFT($C3741,FIND(",",$C3741)-1))))</f>
        <v/>
      </c>
      <c r="M3741" s="28">
        <f>IF($H3741="","",DATE(YEAR($H3741),MONTH($H3741),1))</f>
        <v/>
      </c>
      <c r="N3741" s="26">
        <f>IF($H3741="","",TODAY()-$H3741)</f>
        <v/>
      </c>
      <c r="O3741" s="15" t="n"/>
      <c r="P3741" s="26">
        <f>IF($A3741="","",COUNTIFS('Audit Versions'!$A$6:$A$605,$A3741,'Audit Versions'!$L$6:$L$605,"Active"))</f>
        <v/>
      </c>
      <c r="Q3741" s="15" t="n"/>
      <c r="R3741" s="26">
        <f>IF(OR($A3741="",$P3741=0),"",MOD(N($Q3741),$P3741)+1)</f>
        <v/>
      </c>
      <c r="S3741" s="15" t="n"/>
      <c r="T3741" s="25" t="n"/>
      <c r="U3741" s="26">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Builder'!$B$12="",N($S3741)&lt;='Assignment Builder'!$B$12)))</f>
        <v/>
      </c>
      <c r="V3741" s="23" t="n"/>
    </row>
    <row r="3742">
      <c r="A3742" s="23" t="n"/>
      <c r="B3742" s="23" t="n"/>
      <c r="C3742" s="24" t="n"/>
      <c r="D3742" s="15" t="n"/>
      <c r="E3742" s="23" t="n"/>
      <c r="F3742" s="15" t="n"/>
      <c r="G3742" s="23" t="n"/>
      <c r="H3742" s="25" t="n"/>
      <c r="I3742" s="15" t="n"/>
      <c r="J3742" s="26">
        <f>IF($A3742="","",LEN($C3742)-LEN(SUBSTITUTE($C3742,",",""))+1)</f>
        <v/>
      </c>
      <c r="K3742" s="26">
        <f>IF($A3742="","",SUMPRODUCT(--ISNUMBER(SEARCH('Category Dictionary'!$D$5:$D$135&amp;"",$C3742)),--('Category Dictionary'!$D$5:$D$135&lt;&gt;"")))</f>
        <v/>
      </c>
      <c r="L3742" s="27">
        <f>IF($A3742="","",TRIM(IF(ISERROR(FIND(",",$C3742)),$C3742,LEFT($C3742,FIND(",",$C3742)-1))))</f>
        <v/>
      </c>
      <c r="M3742" s="28">
        <f>IF($H3742="","",DATE(YEAR($H3742),MONTH($H3742),1))</f>
        <v/>
      </c>
      <c r="N3742" s="26">
        <f>IF($H3742="","",TODAY()-$H3742)</f>
        <v/>
      </c>
      <c r="O3742" s="15" t="n"/>
      <c r="P3742" s="26">
        <f>IF($A3742="","",COUNTIFS('Audit Versions'!$A$6:$A$605,$A3742,'Audit Versions'!$L$6:$L$605,"Active"))</f>
        <v/>
      </c>
      <c r="Q3742" s="15" t="n"/>
      <c r="R3742" s="26">
        <f>IF(OR($A3742="",$P3742=0),"",MOD(N($Q3742),$P3742)+1)</f>
        <v/>
      </c>
      <c r="S3742" s="15" t="n"/>
      <c r="T3742" s="25" t="n"/>
      <c r="U3742" s="26">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Builder'!$B$12="",N($S3742)&lt;='Assignment Builder'!$B$12)))</f>
        <v/>
      </c>
      <c r="V3742" s="23" t="n"/>
    </row>
    <row r="3743">
      <c r="A3743" s="23" t="n"/>
      <c r="B3743" s="23" t="n"/>
      <c r="C3743" s="24" t="n"/>
      <c r="D3743" s="15" t="n"/>
      <c r="E3743" s="23" t="n"/>
      <c r="F3743" s="15" t="n"/>
      <c r="G3743" s="23" t="n"/>
      <c r="H3743" s="25" t="n"/>
      <c r="I3743" s="15" t="n"/>
      <c r="J3743" s="26">
        <f>IF($A3743="","",LEN($C3743)-LEN(SUBSTITUTE($C3743,",",""))+1)</f>
        <v/>
      </c>
      <c r="K3743" s="26">
        <f>IF($A3743="","",SUMPRODUCT(--ISNUMBER(SEARCH('Category Dictionary'!$D$5:$D$135&amp;"",$C3743)),--('Category Dictionary'!$D$5:$D$135&lt;&gt;"")))</f>
        <v/>
      </c>
      <c r="L3743" s="27">
        <f>IF($A3743="","",TRIM(IF(ISERROR(FIND(",",$C3743)),$C3743,LEFT($C3743,FIND(",",$C3743)-1))))</f>
        <v/>
      </c>
      <c r="M3743" s="28">
        <f>IF($H3743="","",DATE(YEAR($H3743),MONTH($H3743),1))</f>
        <v/>
      </c>
      <c r="N3743" s="26">
        <f>IF($H3743="","",TODAY()-$H3743)</f>
        <v/>
      </c>
      <c r="O3743" s="15" t="n"/>
      <c r="P3743" s="26">
        <f>IF($A3743="","",COUNTIFS('Audit Versions'!$A$6:$A$605,$A3743,'Audit Versions'!$L$6:$L$605,"Active"))</f>
        <v/>
      </c>
      <c r="Q3743" s="15" t="n"/>
      <c r="R3743" s="26">
        <f>IF(OR($A3743="",$P3743=0),"",MOD(N($Q3743),$P3743)+1)</f>
        <v/>
      </c>
      <c r="S3743" s="15" t="n"/>
      <c r="T3743" s="25" t="n"/>
      <c r="U3743" s="26">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Builder'!$B$12="",N($S3743)&lt;='Assignment Builder'!$B$12)))</f>
        <v/>
      </c>
      <c r="V3743" s="23" t="n"/>
    </row>
    <row r="3744">
      <c r="A3744" s="23" t="n"/>
      <c r="B3744" s="23" t="n"/>
      <c r="C3744" s="24" t="n"/>
      <c r="D3744" s="15" t="n"/>
      <c r="E3744" s="23" t="n"/>
      <c r="F3744" s="15" t="n"/>
      <c r="G3744" s="23" t="n"/>
      <c r="H3744" s="25" t="n"/>
      <c r="I3744" s="15" t="n"/>
      <c r="J3744" s="26">
        <f>IF($A3744="","",LEN($C3744)-LEN(SUBSTITUTE($C3744,",",""))+1)</f>
        <v/>
      </c>
      <c r="K3744" s="26">
        <f>IF($A3744="","",SUMPRODUCT(--ISNUMBER(SEARCH('Category Dictionary'!$D$5:$D$135&amp;"",$C3744)),--('Category Dictionary'!$D$5:$D$135&lt;&gt;"")))</f>
        <v/>
      </c>
      <c r="L3744" s="27">
        <f>IF($A3744="","",TRIM(IF(ISERROR(FIND(",",$C3744)),$C3744,LEFT($C3744,FIND(",",$C3744)-1))))</f>
        <v/>
      </c>
      <c r="M3744" s="28">
        <f>IF($H3744="","",DATE(YEAR($H3744),MONTH($H3744),1))</f>
        <v/>
      </c>
      <c r="N3744" s="26">
        <f>IF($H3744="","",TODAY()-$H3744)</f>
        <v/>
      </c>
      <c r="O3744" s="15" t="n"/>
      <c r="P3744" s="26">
        <f>IF($A3744="","",COUNTIFS('Audit Versions'!$A$6:$A$605,$A3744,'Audit Versions'!$L$6:$L$605,"Active"))</f>
        <v/>
      </c>
      <c r="Q3744" s="15" t="n"/>
      <c r="R3744" s="26">
        <f>IF(OR($A3744="",$P3744=0),"",MOD(N($Q3744),$P3744)+1)</f>
        <v/>
      </c>
      <c r="S3744" s="15" t="n"/>
      <c r="T3744" s="25" t="n"/>
      <c r="U3744" s="26">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Builder'!$B$12="",N($S3744)&lt;='Assignment Builder'!$B$12)))</f>
        <v/>
      </c>
      <c r="V3744" s="23" t="n"/>
    </row>
    <row r="3745">
      <c r="A3745" s="23" t="n"/>
      <c r="B3745" s="23" t="n"/>
      <c r="C3745" s="24" t="n"/>
      <c r="D3745" s="15" t="n"/>
      <c r="E3745" s="23" t="n"/>
      <c r="F3745" s="15" t="n"/>
      <c r="G3745" s="23" t="n"/>
      <c r="H3745" s="25" t="n"/>
      <c r="I3745" s="15" t="n"/>
      <c r="J3745" s="26">
        <f>IF($A3745="","",LEN($C3745)-LEN(SUBSTITUTE($C3745,",",""))+1)</f>
        <v/>
      </c>
      <c r="K3745" s="26">
        <f>IF($A3745="","",SUMPRODUCT(--ISNUMBER(SEARCH('Category Dictionary'!$D$5:$D$135&amp;"",$C3745)),--('Category Dictionary'!$D$5:$D$135&lt;&gt;"")))</f>
        <v/>
      </c>
      <c r="L3745" s="27">
        <f>IF($A3745="","",TRIM(IF(ISERROR(FIND(",",$C3745)),$C3745,LEFT($C3745,FIND(",",$C3745)-1))))</f>
        <v/>
      </c>
      <c r="M3745" s="28">
        <f>IF($H3745="","",DATE(YEAR($H3745),MONTH($H3745),1))</f>
        <v/>
      </c>
      <c r="N3745" s="26">
        <f>IF($H3745="","",TODAY()-$H3745)</f>
        <v/>
      </c>
      <c r="O3745" s="15" t="n"/>
      <c r="P3745" s="26">
        <f>IF($A3745="","",COUNTIFS('Audit Versions'!$A$6:$A$605,$A3745,'Audit Versions'!$L$6:$L$605,"Active"))</f>
        <v/>
      </c>
      <c r="Q3745" s="15" t="n"/>
      <c r="R3745" s="26">
        <f>IF(OR($A3745="",$P3745=0),"",MOD(N($Q3745),$P3745)+1)</f>
        <v/>
      </c>
      <c r="S3745" s="15" t="n"/>
      <c r="T3745" s="25" t="n"/>
      <c r="U3745" s="26">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Builder'!$B$12="",N($S3745)&lt;='Assignment Builder'!$B$12)))</f>
        <v/>
      </c>
      <c r="V3745" s="23" t="n"/>
    </row>
    <row r="3746">
      <c r="A3746" s="23" t="n"/>
      <c r="B3746" s="23" t="n"/>
      <c r="C3746" s="24" t="n"/>
      <c r="D3746" s="15" t="n"/>
      <c r="E3746" s="23" t="n"/>
      <c r="F3746" s="15" t="n"/>
      <c r="G3746" s="23" t="n"/>
      <c r="H3746" s="25" t="n"/>
      <c r="I3746" s="15" t="n"/>
      <c r="J3746" s="26">
        <f>IF($A3746="","",LEN($C3746)-LEN(SUBSTITUTE($C3746,",",""))+1)</f>
        <v/>
      </c>
      <c r="K3746" s="26">
        <f>IF($A3746="","",SUMPRODUCT(--ISNUMBER(SEARCH('Category Dictionary'!$D$5:$D$135&amp;"",$C3746)),--('Category Dictionary'!$D$5:$D$135&lt;&gt;"")))</f>
        <v/>
      </c>
      <c r="L3746" s="27">
        <f>IF($A3746="","",TRIM(IF(ISERROR(FIND(",",$C3746)),$C3746,LEFT($C3746,FIND(",",$C3746)-1))))</f>
        <v/>
      </c>
      <c r="M3746" s="28">
        <f>IF($H3746="","",DATE(YEAR($H3746),MONTH($H3746),1))</f>
        <v/>
      </c>
      <c r="N3746" s="26">
        <f>IF($H3746="","",TODAY()-$H3746)</f>
        <v/>
      </c>
      <c r="O3746" s="15" t="n"/>
      <c r="P3746" s="26">
        <f>IF($A3746="","",COUNTIFS('Audit Versions'!$A$6:$A$605,$A3746,'Audit Versions'!$L$6:$L$605,"Active"))</f>
        <v/>
      </c>
      <c r="Q3746" s="15" t="n"/>
      <c r="R3746" s="26">
        <f>IF(OR($A3746="",$P3746=0),"",MOD(N($Q3746),$P3746)+1)</f>
        <v/>
      </c>
      <c r="S3746" s="15" t="n"/>
      <c r="T3746" s="25" t="n"/>
      <c r="U3746" s="26">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Builder'!$B$12="",N($S3746)&lt;='Assignment Builder'!$B$12)))</f>
        <v/>
      </c>
      <c r="V3746" s="23" t="n"/>
    </row>
    <row r="3747">
      <c r="A3747" s="23" t="n"/>
      <c r="B3747" s="23" t="n"/>
      <c r="C3747" s="24" t="n"/>
      <c r="D3747" s="15" t="n"/>
      <c r="E3747" s="23" t="n"/>
      <c r="F3747" s="15" t="n"/>
      <c r="G3747" s="23" t="n"/>
      <c r="H3747" s="25" t="n"/>
      <c r="I3747" s="15" t="n"/>
      <c r="J3747" s="26">
        <f>IF($A3747="","",LEN($C3747)-LEN(SUBSTITUTE($C3747,",",""))+1)</f>
        <v/>
      </c>
      <c r="K3747" s="26">
        <f>IF($A3747="","",SUMPRODUCT(--ISNUMBER(SEARCH('Category Dictionary'!$D$5:$D$135&amp;"",$C3747)),--('Category Dictionary'!$D$5:$D$135&lt;&gt;"")))</f>
        <v/>
      </c>
      <c r="L3747" s="27">
        <f>IF($A3747="","",TRIM(IF(ISERROR(FIND(",",$C3747)),$C3747,LEFT($C3747,FIND(",",$C3747)-1))))</f>
        <v/>
      </c>
      <c r="M3747" s="28">
        <f>IF($H3747="","",DATE(YEAR($H3747),MONTH($H3747),1))</f>
        <v/>
      </c>
      <c r="N3747" s="26">
        <f>IF($H3747="","",TODAY()-$H3747)</f>
        <v/>
      </c>
      <c r="O3747" s="15" t="n"/>
      <c r="P3747" s="26">
        <f>IF($A3747="","",COUNTIFS('Audit Versions'!$A$6:$A$605,$A3747,'Audit Versions'!$L$6:$L$605,"Active"))</f>
        <v/>
      </c>
      <c r="Q3747" s="15" t="n"/>
      <c r="R3747" s="26">
        <f>IF(OR($A3747="",$P3747=0),"",MOD(N($Q3747),$P3747)+1)</f>
        <v/>
      </c>
      <c r="S3747" s="15" t="n"/>
      <c r="T3747" s="25" t="n"/>
      <c r="U3747" s="26">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Builder'!$B$12="",N($S3747)&lt;='Assignment Builder'!$B$12)))</f>
        <v/>
      </c>
      <c r="V3747" s="23" t="n"/>
    </row>
    <row r="3748">
      <c r="A3748" s="23" t="n"/>
      <c r="B3748" s="23" t="n"/>
      <c r="C3748" s="24" t="n"/>
      <c r="D3748" s="15" t="n"/>
      <c r="E3748" s="23" t="n"/>
      <c r="F3748" s="15" t="n"/>
      <c r="G3748" s="23" t="n"/>
      <c r="H3748" s="25" t="n"/>
      <c r="I3748" s="15" t="n"/>
      <c r="J3748" s="26">
        <f>IF($A3748="","",LEN($C3748)-LEN(SUBSTITUTE($C3748,",",""))+1)</f>
        <v/>
      </c>
      <c r="K3748" s="26">
        <f>IF($A3748="","",SUMPRODUCT(--ISNUMBER(SEARCH('Category Dictionary'!$D$5:$D$135&amp;"",$C3748)),--('Category Dictionary'!$D$5:$D$135&lt;&gt;"")))</f>
        <v/>
      </c>
      <c r="L3748" s="27">
        <f>IF($A3748="","",TRIM(IF(ISERROR(FIND(",",$C3748)),$C3748,LEFT($C3748,FIND(",",$C3748)-1))))</f>
        <v/>
      </c>
      <c r="M3748" s="28">
        <f>IF($H3748="","",DATE(YEAR($H3748),MONTH($H3748),1))</f>
        <v/>
      </c>
      <c r="N3748" s="26">
        <f>IF($H3748="","",TODAY()-$H3748)</f>
        <v/>
      </c>
      <c r="O3748" s="15" t="n"/>
      <c r="P3748" s="26">
        <f>IF($A3748="","",COUNTIFS('Audit Versions'!$A$6:$A$605,$A3748,'Audit Versions'!$L$6:$L$605,"Active"))</f>
        <v/>
      </c>
      <c r="Q3748" s="15" t="n"/>
      <c r="R3748" s="26">
        <f>IF(OR($A3748="",$P3748=0),"",MOD(N($Q3748),$P3748)+1)</f>
        <v/>
      </c>
      <c r="S3748" s="15" t="n"/>
      <c r="T3748" s="25" t="n"/>
      <c r="U3748" s="26">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Builder'!$B$12="",N($S3748)&lt;='Assignment Builder'!$B$12)))</f>
        <v/>
      </c>
      <c r="V3748" s="23" t="n"/>
    </row>
    <row r="3749">
      <c r="A3749" s="23" t="n"/>
      <c r="B3749" s="23" t="n"/>
      <c r="C3749" s="24" t="n"/>
      <c r="D3749" s="15" t="n"/>
      <c r="E3749" s="23" t="n"/>
      <c r="F3749" s="15" t="n"/>
      <c r="G3749" s="23" t="n"/>
      <c r="H3749" s="25" t="n"/>
      <c r="I3749" s="15" t="n"/>
      <c r="J3749" s="26">
        <f>IF($A3749="","",LEN($C3749)-LEN(SUBSTITUTE($C3749,",",""))+1)</f>
        <v/>
      </c>
      <c r="K3749" s="26">
        <f>IF($A3749="","",SUMPRODUCT(--ISNUMBER(SEARCH('Category Dictionary'!$D$5:$D$135&amp;"",$C3749)),--('Category Dictionary'!$D$5:$D$135&lt;&gt;"")))</f>
        <v/>
      </c>
      <c r="L3749" s="27">
        <f>IF($A3749="","",TRIM(IF(ISERROR(FIND(",",$C3749)),$C3749,LEFT($C3749,FIND(",",$C3749)-1))))</f>
        <v/>
      </c>
      <c r="M3749" s="28">
        <f>IF($H3749="","",DATE(YEAR($H3749),MONTH($H3749),1))</f>
        <v/>
      </c>
      <c r="N3749" s="26">
        <f>IF($H3749="","",TODAY()-$H3749)</f>
        <v/>
      </c>
      <c r="O3749" s="15" t="n"/>
      <c r="P3749" s="26">
        <f>IF($A3749="","",COUNTIFS('Audit Versions'!$A$6:$A$605,$A3749,'Audit Versions'!$L$6:$L$605,"Active"))</f>
        <v/>
      </c>
      <c r="Q3749" s="15" t="n"/>
      <c r="R3749" s="26">
        <f>IF(OR($A3749="",$P3749=0),"",MOD(N($Q3749),$P3749)+1)</f>
        <v/>
      </c>
      <c r="S3749" s="15" t="n"/>
      <c r="T3749" s="25" t="n"/>
      <c r="U3749" s="26">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Builder'!$B$12="",N($S3749)&lt;='Assignment Builder'!$B$12)))</f>
        <v/>
      </c>
      <c r="V3749" s="23" t="n"/>
    </row>
    <row r="3750">
      <c r="A3750" s="23" t="n"/>
      <c r="B3750" s="23" t="n"/>
      <c r="C3750" s="24" t="n"/>
      <c r="D3750" s="15" t="n"/>
      <c r="E3750" s="23" t="n"/>
      <c r="F3750" s="15" t="n"/>
      <c r="G3750" s="23" t="n"/>
      <c r="H3750" s="25" t="n"/>
      <c r="I3750" s="15" t="n"/>
      <c r="J3750" s="26">
        <f>IF($A3750="","",LEN($C3750)-LEN(SUBSTITUTE($C3750,",",""))+1)</f>
        <v/>
      </c>
      <c r="K3750" s="26">
        <f>IF($A3750="","",SUMPRODUCT(--ISNUMBER(SEARCH('Category Dictionary'!$D$5:$D$135&amp;"",$C3750)),--('Category Dictionary'!$D$5:$D$135&lt;&gt;"")))</f>
        <v/>
      </c>
      <c r="L3750" s="27">
        <f>IF($A3750="","",TRIM(IF(ISERROR(FIND(",",$C3750)),$C3750,LEFT($C3750,FIND(",",$C3750)-1))))</f>
        <v/>
      </c>
      <c r="M3750" s="28">
        <f>IF($H3750="","",DATE(YEAR($H3750),MONTH($H3750),1))</f>
        <v/>
      </c>
      <c r="N3750" s="26">
        <f>IF($H3750="","",TODAY()-$H3750)</f>
        <v/>
      </c>
      <c r="O3750" s="15" t="n"/>
      <c r="P3750" s="26">
        <f>IF($A3750="","",COUNTIFS('Audit Versions'!$A$6:$A$605,$A3750,'Audit Versions'!$L$6:$L$605,"Active"))</f>
        <v/>
      </c>
      <c r="Q3750" s="15" t="n"/>
      <c r="R3750" s="26">
        <f>IF(OR($A3750="",$P3750=0),"",MOD(N($Q3750),$P3750)+1)</f>
        <v/>
      </c>
      <c r="S3750" s="15" t="n"/>
      <c r="T3750" s="25" t="n"/>
      <c r="U3750" s="26">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Builder'!$B$12="",N($S3750)&lt;='Assignment Builder'!$B$12)))</f>
        <v/>
      </c>
      <c r="V3750" s="23" t="n"/>
    </row>
    <row r="3751">
      <c r="A3751" s="23" t="n"/>
      <c r="B3751" s="23" t="n"/>
      <c r="C3751" s="24" t="n"/>
      <c r="D3751" s="15" t="n"/>
      <c r="E3751" s="23" t="n"/>
      <c r="F3751" s="15" t="n"/>
      <c r="G3751" s="23" t="n"/>
      <c r="H3751" s="25" t="n"/>
      <c r="I3751" s="15" t="n"/>
      <c r="J3751" s="26">
        <f>IF($A3751="","",LEN($C3751)-LEN(SUBSTITUTE($C3751,",",""))+1)</f>
        <v/>
      </c>
      <c r="K3751" s="26">
        <f>IF($A3751="","",SUMPRODUCT(--ISNUMBER(SEARCH('Category Dictionary'!$D$5:$D$135&amp;"",$C3751)),--('Category Dictionary'!$D$5:$D$135&lt;&gt;"")))</f>
        <v/>
      </c>
      <c r="L3751" s="27">
        <f>IF($A3751="","",TRIM(IF(ISERROR(FIND(",",$C3751)),$C3751,LEFT($C3751,FIND(",",$C3751)-1))))</f>
        <v/>
      </c>
      <c r="M3751" s="28">
        <f>IF($H3751="","",DATE(YEAR($H3751),MONTH($H3751),1))</f>
        <v/>
      </c>
      <c r="N3751" s="26">
        <f>IF($H3751="","",TODAY()-$H3751)</f>
        <v/>
      </c>
      <c r="O3751" s="15" t="n"/>
      <c r="P3751" s="26">
        <f>IF($A3751="","",COUNTIFS('Audit Versions'!$A$6:$A$605,$A3751,'Audit Versions'!$L$6:$L$605,"Active"))</f>
        <v/>
      </c>
      <c r="Q3751" s="15" t="n"/>
      <c r="R3751" s="26">
        <f>IF(OR($A3751="",$P3751=0),"",MOD(N($Q3751),$P3751)+1)</f>
        <v/>
      </c>
      <c r="S3751" s="15" t="n"/>
      <c r="T3751" s="25" t="n"/>
      <c r="U3751" s="26">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Builder'!$B$12="",N($S3751)&lt;='Assignment Builder'!$B$12)))</f>
        <v/>
      </c>
      <c r="V3751" s="23" t="n"/>
    </row>
    <row r="3752">
      <c r="A3752" s="23" t="n"/>
      <c r="B3752" s="23" t="n"/>
      <c r="C3752" s="24" t="n"/>
      <c r="D3752" s="15" t="n"/>
      <c r="E3752" s="23" t="n"/>
      <c r="F3752" s="15" t="n"/>
      <c r="G3752" s="23" t="n"/>
      <c r="H3752" s="25" t="n"/>
      <c r="I3752" s="15" t="n"/>
      <c r="J3752" s="26">
        <f>IF($A3752="","",LEN($C3752)-LEN(SUBSTITUTE($C3752,",",""))+1)</f>
        <v/>
      </c>
      <c r="K3752" s="26">
        <f>IF($A3752="","",SUMPRODUCT(--ISNUMBER(SEARCH('Category Dictionary'!$D$5:$D$135&amp;"",$C3752)),--('Category Dictionary'!$D$5:$D$135&lt;&gt;"")))</f>
        <v/>
      </c>
      <c r="L3752" s="27">
        <f>IF($A3752="","",TRIM(IF(ISERROR(FIND(",",$C3752)),$C3752,LEFT($C3752,FIND(",",$C3752)-1))))</f>
        <v/>
      </c>
      <c r="M3752" s="28">
        <f>IF($H3752="","",DATE(YEAR($H3752),MONTH($H3752),1))</f>
        <v/>
      </c>
      <c r="N3752" s="26">
        <f>IF($H3752="","",TODAY()-$H3752)</f>
        <v/>
      </c>
      <c r="O3752" s="15" t="n"/>
      <c r="P3752" s="26">
        <f>IF($A3752="","",COUNTIFS('Audit Versions'!$A$6:$A$605,$A3752,'Audit Versions'!$L$6:$L$605,"Active"))</f>
        <v/>
      </c>
      <c r="Q3752" s="15" t="n"/>
      <c r="R3752" s="26">
        <f>IF(OR($A3752="",$P3752=0),"",MOD(N($Q3752),$P3752)+1)</f>
        <v/>
      </c>
      <c r="S3752" s="15" t="n"/>
      <c r="T3752" s="25" t="n"/>
      <c r="U3752" s="26">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Builder'!$B$12="",N($S3752)&lt;='Assignment Builder'!$B$12)))</f>
        <v/>
      </c>
      <c r="V3752" s="23" t="n"/>
    </row>
    <row r="3753">
      <c r="A3753" s="23" t="n"/>
      <c r="B3753" s="23" t="n"/>
      <c r="C3753" s="24" t="n"/>
      <c r="D3753" s="15" t="n"/>
      <c r="E3753" s="23" t="n"/>
      <c r="F3753" s="15" t="n"/>
      <c r="G3753" s="23" t="n"/>
      <c r="H3753" s="25" t="n"/>
      <c r="I3753" s="15" t="n"/>
      <c r="J3753" s="26">
        <f>IF($A3753="","",LEN($C3753)-LEN(SUBSTITUTE($C3753,",",""))+1)</f>
        <v/>
      </c>
      <c r="K3753" s="26">
        <f>IF($A3753="","",SUMPRODUCT(--ISNUMBER(SEARCH('Category Dictionary'!$D$5:$D$135&amp;"",$C3753)),--('Category Dictionary'!$D$5:$D$135&lt;&gt;"")))</f>
        <v/>
      </c>
      <c r="L3753" s="27">
        <f>IF($A3753="","",TRIM(IF(ISERROR(FIND(",",$C3753)),$C3753,LEFT($C3753,FIND(",",$C3753)-1))))</f>
        <v/>
      </c>
      <c r="M3753" s="28">
        <f>IF($H3753="","",DATE(YEAR($H3753),MONTH($H3753),1))</f>
        <v/>
      </c>
      <c r="N3753" s="26">
        <f>IF($H3753="","",TODAY()-$H3753)</f>
        <v/>
      </c>
      <c r="O3753" s="15" t="n"/>
      <c r="P3753" s="26">
        <f>IF($A3753="","",COUNTIFS('Audit Versions'!$A$6:$A$605,$A3753,'Audit Versions'!$L$6:$L$605,"Active"))</f>
        <v/>
      </c>
      <c r="Q3753" s="15" t="n"/>
      <c r="R3753" s="26">
        <f>IF(OR($A3753="",$P3753=0),"",MOD(N($Q3753),$P3753)+1)</f>
        <v/>
      </c>
      <c r="S3753" s="15" t="n"/>
      <c r="T3753" s="25" t="n"/>
      <c r="U3753" s="26">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Builder'!$B$12="",N($S3753)&lt;='Assignment Builder'!$B$12)))</f>
        <v/>
      </c>
      <c r="V3753" s="23" t="n"/>
    </row>
    <row r="3754">
      <c r="A3754" s="23" t="n"/>
      <c r="B3754" s="23" t="n"/>
      <c r="C3754" s="24" t="n"/>
      <c r="D3754" s="15" t="n"/>
      <c r="E3754" s="23" t="n"/>
      <c r="F3754" s="15" t="n"/>
      <c r="G3754" s="23" t="n"/>
      <c r="H3754" s="25" t="n"/>
      <c r="I3754" s="15" t="n"/>
      <c r="J3754" s="26">
        <f>IF($A3754="","",LEN($C3754)-LEN(SUBSTITUTE($C3754,",",""))+1)</f>
        <v/>
      </c>
      <c r="K3754" s="26">
        <f>IF($A3754="","",SUMPRODUCT(--ISNUMBER(SEARCH('Category Dictionary'!$D$5:$D$135&amp;"",$C3754)),--('Category Dictionary'!$D$5:$D$135&lt;&gt;"")))</f>
        <v/>
      </c>
      <c r="L3754" s="27">
        <f>IF($A3754="","",TRIM(IF(ISERROR(FIND(",",$C3754)),$C3754,LEFT($C3754,FIND(",",$C3754)-1))))</f>
        <v/>
      </c>
      <c r="M3754" s="28">
        <f>IF($H3754="","",DATE(YEAR($H3754),MONTH($H3754),1))</f>
        <v/>
      </c>
      <c r="N3754" s="26">
        <f>IF($H3754="","",TODAY()-$H3754)</f>
        <v/>
      </c>
      <c r="O3754" s="15" t="n"/>
      <c r="P3754" s="26">
        <f>IF($A3754="","",COUNTIFS('Audit Versions'!$A$6:$A$605,$A3754,'Audit Versions'!$L$6:$L$605,"Active"))</f>
        <v/>
      </c>
      <c r="Q3754" s="15" t="n"/>
      <c r="R3754" s="26">
        <f>IF(OR($A3754="",$P3754=0),"",MOD(N($Q3754),$P3754)+1)</f>
        <v/>
      </c>
      <c r="S3754" s="15" t="n"/>
      <c r="T3754" s="25" t="n"/>
      <c r="U3754" s="26">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Builder'!$B$12="",N($S3754)&lt;='Assignment Builder'!$B$12)))</f>
        <v/>
      </c>
      <c r="V3754" s="23" t="n"/>
    </row>
    <row r="3755">
      <c r="A3755" s="23" t="n"/>
      <c r="B3755" s="23" t="n"/>
      <c r="C3755" s="24" t="n"/>
      <c r="D3755" s="15" t="n"/>
      <c r="E3755" s="23" t="n"/>
      <c r="F3755" s="15" t="n"/>
      <c r="G3755" s="23" t="n"/>
      <c r="H3755" s="25" t="n"/>
      <c r="I3755" s="15" t="n"/>
      <c r="J3755" s="26">
        <f>IF($A3755="","",LEN($C3755)-LEN(SUBSTITUTE($C3755,",",""))+1)</f>
        <v/>
      </c>
      <c r="K3755" s="26">
        <f>IF($A3755="","",SUMPRODUCT(--ISNUMBER(SEARCH('Category Dictionary'!$D$5:$D$135&amp;"",$C3755)),--('Category Dictionary'!$D$5:$D$135&lt;&gt;"")))</f>
        <v/>
      </c>
      <c r="L3755" s="27">
        <f>IF($A3755="","",TRIM(IF(ISERROR(FIND(",",$C3755)),$C3755,LEFT($C3755,FIND(",",$C3755)-1))))</f>
        <v/>
      </c>
      <c r="M3755" s="28">
        <f>IF($H3755="","",DATE(YEAR($H3755),MONTH($H3755),1))</f>
        <v/>
      </c>
      <c r="N3755" s="26">
        <f>IF($H3755="","",TODAY()-$H3755)</f>
        <v/>
      </c>
      <c r="O3755" s="15" t="n"/>
      <c r="P3755" s="26">
        <f>IF($A3755="","",COUNTIFS('Audit Versions'!$A$6:$A$605,$A3755,'Audit Versions'!$L$6:$L$605,"Active"))</f>
        <v/>
      </c>
      <c r="Q3755" s="15" t="n"/>
      <c r="R3755" s="26">
        <f>IF(OR($A3755="",$P3755=0),"",MOD(N($Q3755),$P3755)+1)</f>
        <v/>
      </c>
      <c r="S3755" s="15" t="n"/>
      <c r="T3755" s="25" t="n"/>
      <c r="U3755" s="26">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Builder'!$B$12="",N($S3755)&lt;='Assignment Builder'!$B$12)))</f>
        <v/>
      </c>
      <c r="V3755" s="23" t="n"/>
    </row>
    <row r="3756">
      <c r="A3756" s="23" t="n"/>
      <c r="B3756" s="23" t="n"/>
      <c r="C3756" s="24" t="n"/>
      <c r="D3756" s="15" t="n"/>
      <c r="E3756" s="23" t="n"/>
      <c r="F3756" s="15" t="n"/>
      <c r="G3756" s="23" t="n"/>
      <c r="H3756" s="25" t="n"/>
      <c r="I3756" s="15" t="n"/>
      <c r="J3756" s="26">
        <f>IF($A3756="","",LEN($C3756)-LEN(SUBSTITUTE($C3756,",",""))+1)</f>
        <v/>
      </c>
      <c r="K3756" s="26">
        <f>IF($A3756="","",SUMPRODUCT(--ISNUMBER(SEARCH('Category Dictionary'!$D$5:$D$135&amp;"",$C3756)),--('Category Dictionary'!$D$5:$D$135&lt;&gt;"")))</f>
        <v/>
      </c>
      <c r="L3756" s="27">
        <f>IF($A3756="","",TRIM(IF(ISERROR(FIND(",",$C3756)),$C3756,LEFT($C3756,FIND(",",$C3756)-1))))</f>
        <v/>
      </c>
      <c r="M3756" s="28">
        <f>IF($H3756="","",DATE(YEAR($H3756),MONTH($H3756),1))</f>
        <v/>
      </c>
      <c r="N3756" s="26">
        <f>IF($H3756="","",TODAY()-$H3756)</f>
        <v/>
      </c>
      <c r="O3756" s="15" t="n"/>
      <c r="P3756" s="26">
        <f>IF($A3756="","",COUNTIFS('Audit Versions'!$A$6:$A$605,$A3756,'Audit Versions'!$L$6:$L$605,"Active"))</f>
        <v/>
      </c>
      <c r="Q3756" s="15" t="n"/>
      <c r="R3756" s="26">
        <f>IF(OR($A3756="",$P3756=0),"",MOD(N($Q3756),$P3756)+1)</f>
        <v/>
      </c>
      <c r="S3756" s="15" t="n"/>
      <c r="T3756" s="25" t="n"/>
      <c r="U3756" s="26">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Builder'!$B$12="",N($S3756)&lt;='Assignment Builder'!$B$12)))</f>
        <v/>
      </c>
      <c r="V3756" s="23" t="n"/>
    </row>
    <row r="3757">
      <c r="A3757" s="23" t="n"/>
      <c r="B3757" s="23" t="n"/>
      <c r="C3757" s="24" t="n"/>
      <c r="D3757" s="15" t="n"/>
      <c r="E3757" s="23" t="n"/>
      <c r="F3757" s="15" t="n"/>
      <c r="G3757" s="23" t="n"/>
      <c r="H3757" s="25" t="n"/>
      <c r="I3757" s="15" t="n"/>
      <c r="J3757" s="26">
        <f>IF($A3757="","",LEN($C3757)-LEN(SUBSTITUTE($C3757,",",""))+1)</f>
        <v/>
      </c>
      <c r="K3757" s="26">
        <f>IF($A3757="","",SUMPRODUCT(--ISNUMBER(SEARCH('Category Dictionary'!$D$5:$D$135&amp;"",$C3757)),--('Category Dictionary'!$D$5:$D$135&lt;&gt;"")))</f>
        <v/>
      </c>
      <c r="L3757" s="27">
        <f>IF($A3757="","",TRIM(IF(ISERROR(FIND(",",$C3757)),$C3757,LEFT($C3757,FIND(",",$C3757)-1))))</f>
        <v/>
      </c>
      <c r="M3757" s="28">
        <f>IF($H3757="","",DATE(YEAR($H3757),MONTH($H3757),1))</f>
        <v/>
      </c>
      <c r="N3757" s="26">
        <f>IF($H3757="","",TODAY()-$H3757)</f>
        <v/>
      </c>
      <c r="O3757" s="15" t="n"/>
      <c r="P3757" s="26">
        <f>IF($A3757="","",COUNTIFS('Audit Versions'!$A$6:$A$605,$A3757,'Audit Versions'!$L$6:$L$605,"Active"))</f>
        <v/>
      </c>
      <c r="Q3757" s="15" t="n"/>
      <c r="R3757" s="26">
        <f>IF(OR($A3757="",$P3757=0),"",MOD(N($Q3757),$P3757)+1)</f>
        <v/>
      </c>
      <c r="S3757" s="15" t="n"/>
      <c r="T3757" s="25" t="n"/>
      <c r="U3757" s="26">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Builder'!$B$12="",N($S3757)&lt;='Assignment Builder'!$B$12)))</f>
        <v/>
      </c>
      <c r="V3757" s="23" t="n"/>
    </row>
    <row r="3758">
      <c r="A3758" s="23" t="n"/>
      <c r="B3758" s="23" t="n"/>
      <c r="C3758" s="24" t="n"/>
      <c r="D3758" s="15" t="n"/>
      <c r="E3758" s="23" t="n"/>
      <c r="F3758" s="15" t="n"/>
      <c r="G3758" s="23" t="n"/>
      <c r="H3758" s="25" t="n"/>
      <c r="I3758" s="15" t="n"/>
      <c r="J3758" s="26">
        <f>IF($A3758="","",LEN($C3758)-LEN(SUBSTITUTE($C3758,",",""))+1)</f>
        <v/>
      </c>
      <c r="K3758" s="26">
        <f>IF($A3758="","",SUMPRODUCT(--ISNUMBER(SEARCH('Category Dictionary'!$D$5:$D$135&amp;"",$C3758)),--('Category Dictionary'!$D$5:$D$135&lt;&gt;"")))</f>
        <v/>
      </c>
      <c r="L3758" s="27">
        <f>IF($A3758="","",TRIM(IF(ISERROR(FIND(",",$C3758)),$C3758,LEFT($C3758,FIND(",",$C3758)-1))))</f>
        <v/>
      </c>
      <c r="M3758" s="28">
        <f>IF($H3758="","",DATE(YEAR($H3758),MONTH($H3758),1))</f>
        <v/>
      </c>
      <c r="N3758" s="26">
        <f>IF($H3758="","",TODAY()-$H3758)</f>
        <v/>
      </c>
      <c r="O3758" s="15" t="n"/>
      <c r="P3758" s="26">
        <f>IF($A3758="","",COUNTIFS('Audit Versions'!$A$6:$A$605,$A3758,'Audit Versions'!$L$6:$L$605,"Active"))</f>
        <v/>
      </c>
      <c r="Q3758" s="15" t="n"/>
      <c r="R3758" s="26">
        <f>IF(OR($A3758="",$P3758=0),"",MOD(N($Q3758),$P3758)+1)</f>
        <v/>
      </c>
      <c r="S3758" s="15" t="n"/>
      <c r="T3758" s="25" t="n"/>
      <c r="U3758" s="26">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Builder'!$B$12="",N($S3758)&lt;='Assignment Builder'!$B$12)))</f>
        <v/>
      </c>
      <c r="V3758" s="23" t="n"/>
    </row>
    <row r="3759">
      <c r="A3759" s="23" t="n"/>
      <c r="B3759" s="23" t="n"/>
      <c r="C3759" s="24" t="n"/>
      <c r="D3759" s="15" t="n"/>
      <c r="E3759" s="23" t="n"/>
      <c r="F3759" s="15" t="n"/>
      <c r="G3759" s="23" t="n"/>
      <c r="H3759" s="25" t="n"/>
      <c r="I3759" s="15" t="n"/>
      <c r="J3759" s="26">
        <f>IF($A3759="","",LEN($C3759)-LEN(SUBSTITUTE($C3759,",",""))+1)</f>
        <v/>
      </c>
      <c r="K3759" s="26">
        <f>IF($A3759="","",SUMPRODUCT(--ISNUMBER(SEARCH('Category Dictionary'!$D$5:$D$135&amp;"",$C3759)),--('Category Dictionary'!$D$5:$D$135&lt;&gt;"")))</f>
        <v/>
      </c>
      <c r="L3759" s="27">
        <f>IF($A3759="","",TRIM(IF(ISERROR(FIND(",",$C3759)),$C3759,LEFT($C3759,FIND(",",$C3759)-1))))</f>
        <v/>
      </c>
      <c r="M3759" s="28">
        <f>IF($H3759="","",DATE(YEAR($H3759),MONTH($H3759),1))</f>
        <v/>
      </c>
      <c r="N3759" s="26">
        <f>IF($H3759="","",TODAY()-$H3759)</f>
        <v/>
      </c>
      <c r="O3759" s="15" t="n"/>
      <c r="P3759" s="26">
        <f>IF($A3759="","",COUNTIFS('Audit Versions'!$A$6:$A$605,$A3759,'Audit Versions'!$L$6:$L$605,"Active"))</f>
        <v/>
      </c>
      <c r="Q3759" s="15" t="n"/>
      <c r="R3759" s="26">
        <f>IF(OR($A3759="",$P3759=0),"",MOD(N($Q3759),$P3759)+1)</f>
        <v/>
      </c>
      <c r="S3759" s="15" t="n"/>
      <c r="T3759" s="25" t="n"/>
      <c r="U3759" s="26">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Builder'!$B$12="",N($S3759)&lt;='Assignment Builder'!$B$12)))</f>
        <v/>
      </c>
      <c r="V3759" s="23" t="n"/>
    </row>
    <row r="3760">
      <c r="A3760" s="23" t="n"/>
      <c r="B3760" s="23" t="n"/>
      <c r="C3760" s="24" t="n"/>
      <c r="D3760" s="15" t="n"/>
      <c r="E3760" s="23" t="n"/>
      <c r="F3760" s="15" t="n"/>
      <c r="G3760" s="23" t="n"/>
      <c r="H3760" s="25" t="n"/>
      <c r="I3760" s="15" t="n"/>
      <c r="J3760" s="26">
        <f>IF($A3760="","",LEN($C3760)-LEN(SUBSTITUTE($C3760,",",""))+1)</f>
        <v/>
      </c>
      <c r="K3760" s="26">
        <f>IF($A3760="","",SUMPRODUCT(--ISNUMBER(SEARCH('Category Dictionary'!$D$5:$D$135&amp;"",$C3760)),--('Category Dictionary'!$D$5:$D$135&lt;&gt;"")))</f>
        <v/>
      </c>
      <c r="L3760" s="27">
        <f>IF($A3760="","",TRIM(IF(ISERROR(FIND(",",$C3760)),$C3760,LEFT($C3760,FIND(",",$C3760)-1))))</f>
        <v/>
      </c>
      <c r="M3760" s="28">
        <f>IF($H3760="","",DATE(YEAR($H3760),MONTH($H3760),1))</f>
        <v/>
      </c>
      <c r="N3760" s="26">
        <f>IF($H3760="","",TODAY()-$H3760)</f>
        <v/>
      </c>
      <c r="O3760" s="15" t="n"/>
      <c r="P3760" s="26">
        <f>IF($A3760="","",COUNTIFS('Audit Versions'!$A$6:$A$605,$A3760,'Audit Versions'!$L$6:$L$605,"Active"))</f>
        <v/>
      </c>
      <c r="Q3760" s="15" t="n"/>
      <c r="R3760" s="26">
        <f>IF(OR($A3760="",$P3760=0),"",MOD(N($Q3760),$P3760)+1)</f>
        <v/>
      </c>
      <c r="S3760" s="15" t="n"/>
      <c r="T3760" s="25" t="n"/>
      <c r="U3760" s="26">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Builder'!$B$12="",N($S3760)&lt;='Assignment Builder'!$B$12)))</f>
        <v/>
      </c>
      <c r="V3760" s="23" t="n"/>
    </row>
    <row r="3761">
      <c r="A3761" s="23" t="n"/>
      <c r="B3761" s="23" t="n"/>
      <c r="C3761" s="24" t="n"/>
      <c r="D3761" s="15" t="n"/>
      <c r="E3761" s="23" t="n"/>
      <c r="F3761" s="15" t="n"/>
      <c r="G3761" s="23" t="n"/>
      <c r="H3761" s="25" t="n"/>
      <c r="I3761" s="15" t="n"/>
      <c r="J3761" s="26">
        <f>IF($A3761="","",LEN($C3761)-LEN(SUBSTITUTE($C3761,",",""))+1)</f>
        <v/>
      </c>
      <c r="K3761" s="26">
        <f>IF($A3761="","",SUMPRODUCT(--ISNUMBER(SEARCH('Category Dictionary'!$D$5:$D$135&amp;"",$C3761)),--('Category Dictionary'!$D$5:$D$135&lt;&gt;"")))</f>
        <v/>
      </c>
      <c r="L3761" s="27">
        <f>IF($A3761="","",TRIM(IF(ISERROR(FIND(",",$C3761)),$C3761,LEFT($C3761,FIND(",",$C3761)-1))))</f>
        <v/>
      </c>
      <c r="M3761" s="28">
        <f>IF($H3761="","",DATE(YEAR($H3761),MONTH($H3761),1))</f>
        <v/>
      </c>
      <c r="N3761" s="26">
        <f>IF($H3761="","",TODAY()-$H3761)</f>
        <v/>
      </c>
      <c r="O3761" s="15" t="n"/>
      <c r="P3761" s="26">
        <f>IF($A3761="","",COUNTIFS('Audit Versions'!$A$6:$A$605,$A3761,'Audit Versions'!$L$6:$L$605,"Active"))</f>
        <v/>
      </c>
      <c r="Q3761" s="15" t="n"/>
      <c r="R3761" s="26">
        <f>IF(OR($A3761="",$P3761=0),"",MOD(N($Q3761),$P3761)+1)</f>
        <v/>
      </c>
      <c r="S3761" s="15" t="n"/>
      <c r="T3761" s="25" t="n"/>
      <c r="U3761" s="26">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Builder'!$B$12="",N($S3761)&lt;='Assignment Builder'!$B$12)))</f>
        <v/>
      </c>
      <c r="V3761" s="23" t="n"/>
    </row>
    <row r="3762">
      <c r="A3762" s="23" t="n"/>
      <c r="B3762" s="23" t="n"/>
      <c r="C3762" s="24" t="n"/>
      <c r="D3762" s="15" t="n"/>
      <c r="E3762" s="23" t="n"/>
      <c r="F3762" s="15" t="n"/>
      <c r="G3762" s="23" t="n"/>
      <c r="H3762" s="25" t="n"/>
      <c r="I3762" s="15" t="n"/>
      <c r="J3762" s="26">
        <f>IF($A3762="","",LEN($C3762)-LEN(SUBSTITUTE($C3762,",",""))+1)</f>
        <v/>
      </c>
      <c r="K3762" s="26">
        <f>IF($A3762="","",SUMPRODUCT(--ISNUMBER(SEARCH('Category Dictionary'!$D$5:$D$135&amp;"",$C3762)),--('Category Dictionary'!$D$5:$D$135&lt;&gt;"")))</f>
        <v/>
      </c>
      <c r="L3762" s="27">
        <f>IF($A3762="","",TRIM(IF(ISERROR(FIND(",",$C3762)),$C3762,LEFT($C3762,FIND(",",$C3762)-1))))</f>
        <v/>
      </c>
      <c r="M3762" s="28">
        <f>IF($H3762="","",DATE(YEAR($H3762),MONTH($H3762),1))</f>
        <v/>
      </c>
      <c r="N3762" s="26">
        <f>IF($H3762="","",TODAY()-$H3762)</f>
        <v/>
      </c>
      <c r="O3762" s="15" t="n"/>
      <c r="P3762" s="26">
        <f>IF($A3762="","",COUNTIFS('Audit Versions'!$A$6:$A$605,$A3762,'Audit Versions'!$L$6:$L$605,"Active"))</f>
        <v/>
      </c>
      <c r="Q3762" s="15" t="n"/>
      <c r="R3762" s="26">
        <f>IF(OR($A3762="",$P3762=0),"",MOD(N($Q3762),$P3762)+1)</f>
        <v/>
      </c>
      <c r="S3762" s="15" t="n"/>
      <c r="T3762" s="25" t="n"/>
      <c r="U3762" s="26">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Builder'!$B$12="",N($S3762)&lt;='Assignment Builder'!$B$12)))</f>
        <v/>
      </c>
      <c r="V3762" s="23" t="n"/>
    </row>
    <row r="3763">
      <c r="A3763" s="23" t="n"/>
      <c r="B3763" s="23" t="n"/>
      <c r="C3763" s="24" t="n"/>
      <c r="D3763" s="15" t="n"/>
      <c r="E3763" s="23" t="n"/>
      <c r="F3763" s="15" t="n"/>
      <c r="G3763" s="23" t="n"/>
      <c r="H3763" s="25" t="n"/>
      <c r="I3763" s="15" t="n"/>
      <c r="J3763" s="26">
        <f>IF($A3763="","",LEN($C3763)-LEN(SUBSTITUTE($C3763,",",""))+1)</f>
        <v/>
      </c>
      <c r="K3763" s="26">
        <f>IF($A3763="","",SUMPRODUCT(--ISNUMBER(SEARCH('Category Dictionary'!$D$5:$D$135&amp;"",$C3763)),--('Category Dictionary'!$D$5:$D$135&lt;&gt;"")))</f>
        <v/>
      </c>
      <c r="L3763" s="27">
        <f>IF($A3763="","",TRIM(IF(ISERROR(FIND(",",$C3763)),$C3763,LEFT($C3763,FIND(",",$C3763)-1))))</f>
        <v/>
      </c>
      <c r="M3763" s="28">
        <f>IF($H3763="","",DATE(YEAR($H3763),MONTH($H3763),1))</f>
        <v/>
      </c>
      <c r="N3763" s="26">
        <f>IF($H3763="","",TODAY()-$H3763)</f>
        <v/>
      </c>
      <c r="O3763" s="15" t="n"/>
      <c r="P3763" s="26">
        <f>IF($A3763="","",COUNTIFS('Audit Versions'!$A$6:$A$605,$A3763,'Audit Versions'!$L$6:$L$605,"Active"))</f>
        <v/>
      </c>
      <c r="Q3763" s="15" t="n"/>
      <c r="R3763" s="26">
        <f>IF(OR($A3763="",$P3763=0),"",MOD(N($Q3763),$P3763)+1)</f>
        <v/>
      </c>
      <c r="S3763" s="15" t="n"/>
      <c r="T3763" s="25" t="n"/>
      <c r="U3763" s="26">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Builder'!$B$12="",N($S3763)&lt;='Assignment Builder'!$B$12)))</f>
        <v/>
      </c>
      <c r="V3763" s="23" t="n"/>
    </row>
    <row r="3764">
      <c r="A3764" s="23" t="n"/>
      <c r="B3764" s="23" t="n"/>
      <c r="C3764" s="24" t="n"/>
      <c r="D3764" s="15" t="n"/>
      <c r="E3764" s="23" t="n"/>
      <c r="F3764" s="15" t="n"/>
      <c r="G3764" s="23" t="n"/>
      <c r="H3764" s="25" t="n"/>
      <c r="I3764" s="15" t="n"/>
      <c r="J3764" s="26">
        <f>IF($A3764="","",LEN($C3764)-LEN(SUBSTITUTE($C3764,",",""))+1)</f>
        <v/>
      </c>
      <c r="K3764" s="26">
        <f>IF($A3764="","",SUMPRODUCT(--ISNUMBER(SEARCH('Category Dictionary'!$D$5:$D$135&amp;"",$C3764)),--('Category Dictionary'!$D$5:$D$135&lt;&gt;"")))</f>
        <v/>
      </c>
      <c r="L3764" s="27">
        <f>IF($A3764="","",TRIM(IF(ISERROR(FIND(",",$C3764)),$C3764,LEFT($C3764,FIND(",",$C3764)-1))))</f>
        <v/>
      </c>
      <c r="M3764" s="28">
        <f>IF($H3764="","",DATE(YEAR($H3764),MONTH($H3764),1))</f>
        <v/>
      </c>
      <c r="N3764" s="26">
        <f>IF($H3764="","",TODAY()-$H3764)</f>
        <v/>
      </c>
      <c r="O3764" s="15" t="n"/>
      <c r="P3764" s="26">
        <f>IF($A3764="","",COUNTIFS('Audit Versions'!$A$6:$A$605,$A3764,'Audit Versions'!$L$6:$L$605,"Active"))</f>
        <v/>
      </c>
      <c r="Q3764" s="15" t="n"/>
      <c r="R3764" s="26">
        <f>IF(OR($A3764="",$P3764=0),"",MOD(N($Q3764),$P3764)+1)</f>
        <v/>
      </c>
      <c r="S3764" s="15" t="n"/>
      <c r="T3764" s="25" t="n"/>
      <c r="U3764" s="26">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Builder'!$B$12="",N($S3764)&lt;='Assignment Builder'!$B$12)))</f>
        <v/>
      </c>
      <c r="V3764" s="23" t="n"/>
    </row>
    <row r="3765">
      <c r="A3765" s="23" t="n"/>
      <c r="B3765" s="23" t="n"/>
      <c r="C3765" s="24" t="n"/>
      <c r="D3765" s="15" t="n"/>
      <c r="E3765" s="23" t="n"/>
      <c r="F3765" s="15" t="n"/>
      <c r="G3765" s="23" t="n"/>
      <c r="H3765" s="25" t="n"/>
      <c r="I3765" s="15" t="n"/>
      <c r="J3765" s="26">
        <f>IF($A3765="","",LEN($C3765)-LEN(SUBSTITUTE($C3765,",",""))+1)</f>
        <v/>
      </c>
      <c r="K3765" s="26">
        <f>IF($A3765="","",SUMPRODUCT(--ISNUMBER(SEARCH('Category Dictionary'!$D$5:$D$135&amp;"",$C3765)),--('Category Dictionary'!$D$5:$D$135&lt;&gt;"")))</f>
        <v/>
      </c>
      <c r="L3765" s="27">
        <f>IF($A3765="","",TRIM(IF(ISERROR(FIND(",",$C3765)),$C3765,LEFT($C3765,FIND(",",$C3765)-1))))</f>
        <v/>
      </c>
      <c r="M3765" s="28">
        <f>IF($H3765="","",DATE(YEAR($H3765),MONTH($H3765),1))</f>
        <v/>
      </c>
      <c r="N3765" s="26">
        <f>IF($H3765="","",TODAY()-$H3765)</f>
        <v/>
      </c>
      <c r="O3765" s="15" t="n"/>
      <c r="P3765" s="26">
        <f>IF($A3765="","",COUNTIFS('Audit Versions'!$A$6:$A$605,$A3765,'Audit Versions'!$L$6:$L$605,"Active"))</f>
        <v/>
      </c>
      <c r="Q3765" s="15" t="n"/>
      <c r="R3765" s="26">
        <f>IF(OR($A3765="",$P3765=0),"",MOD(N($Q3765),$P3765)+1)</f>
        <v/>
      </c>
      <c r="S3765" s="15" t="n"/>
      <c r="T3765" s="25" t="n"/>
      <c r="U3765" s="26">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Builder'!$B$12="",N($S3765)&lt;='Assignment Builder'!$B$12)))</f>
        <v/>
      </c>
      <c r="V3765" s="23" t="n"/>
    </row>
    <row r="3766">
      <c r="A3766" s="23" t="n"/>
      <c r="B3766" s="23" t="n"/>
      <c r="C3766" s="24" t="n"/>
      <c r="D3766" s="15" t="n"/>
      <c r="E3766" s="23" t="n"/>
      <c r="F3766" s="15" t="n"/>
      <c r="G3766" s="23" t="n"/>
      <c r="H3766" s="25" t="n"/>
      <c r="I3766" s="15" t="n"/>
      <c r="J3766" s="26">
        <f>IF($A3766="","",LEN($C3766)-LEN(SUBSTITUTE($C3766,",",""))+1)</f>
        <v/>
      </c>
      <c r="K3766" s="26">
        <f>IF($A3766="","",SUMPRODUCT(--ISNUMBER(SEARCH('Category Dictionary'!$D$5:$D$135&amp;"",$C3766)),--('Category Dictionary'!$D$5:$D$135&lt;&gt;"")))</f>
        <v/>
      </c>
      <c r="L3766" s="27">
        <f>IF($A3766="","",TRIM(IF(ISERROR(FIND(",",$C3766)),$C3766,LEFT($C3766,FIND(",",$C3766)-1))))</f>
        <v/>
      </c>
      <c r="M3766" s="28">
        <f>IF($H3766="","",DATE(YEAR($H3766),MONTH($H3766),1))</f>
        <v/>
      </c>
      <c r="N3766" s="26">
        <f>IF($H3766="","",TODAY()-$H3766)</f>
        <v/>
      </c>
      <c r="O3766" s="15" t="n"/>
      <c r="P3766" s="26">
        <f>IF($A3766="","",COUNTIFS('Audit Versions'!$A$6:$A$605,$A3766,'Audit Versions'!$L$6:$L$605,"Active"))</f>
        <v/>
      </c>
      <c r="Q3766" s="15" t="n"/>
      <c r="R3766" s="26">
        <f>IF(OR($A3766="",$P3766=0),"",MOD(N($Q3766),$P3766)+1)</f>
        <v/>
      </c>
      <c r="S3766" s="15" t="n"/>
      <c r="T3766" s="25" t="n"/>
      <c r="U3766" s="26">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Builder'!$B$12="",N($S3766)&lt;='Assignment Builder'!$B$12)))</f>
        <v/>
      </c>
      <c r="V3766" s="23" t="n"/>
    </row>
    <row r="3767">
      <c r="A3767" s="23" t="n"/>
      <c r="B3767" s="23" t="n"/>
      <c r="C3767" s="24" t="n"/>
      <c r="D3767" s="15" t="n"/>
      <c r="E3767" s="23" t="n"/>
      <c r="F3767" s="15" t="n"/>
      <c r="G3767" s="23" t="n"/>
      <c r="H3767" s="25" t="n"/>
      <c r="I3767" s="15" t="n"/>
      <c r="J3767" s="26">
        <f>IF($A3767="","",LEN($C3767)-LEN(SUBSTITUTE($C3767,",",""))+1)</f>
        <v/>
      </c>
      <c r="K3767" s="26">
        <f>IF($A3767="","",SUMPRODUCT(--ISNUMBER(SEARCH('Category Dictionary'!$D$5:$D$135&amp;"",$C3767)),--('Category Dictionary'!$D$5:$D$135&lt;&gt;"")))</f>
        <v/>
      </c>
      <c r="L3767" s="27">
        <f>IF($A3767="","",TRIM(IF(ISERROR(FIND(",",$C3767)),$C3767,LEFT($C3767,FIND(",",$C3767)-1))))</f>
        <v/>
      </c>
      <c r="M3767" s="28">
        <f>IF($H3767="","",DATE(YEAR($H3767),MONTH($H3767),1))</f>
        <v/>
      </c>
      <c r="N3767" s="26">
        <f>IF($H3767="","",TODAY()-$H3767)</f>
        <v/>
      </c>
      <c r="O3767" s="15" t="n"/>
      <c r="P3767" s="26">
        <f>IF($A3767="","",COUNTIFS('Audit Versions'!$A$6:$A$605,$A3767,'Audit Versions'!$L$6:$L$605,"Active"))</f>
        <v/>
      </c>
      <c r="Q3767" s="15" t="n"/>
      <c r="R3767" s="26">
        <f>IF(OR($A3767="",$P3767=0),"",MOD(N($Q3767),$P3767)+1)</f>
        <v/>
      </c>
      <c r="S3767" s="15" t="n"/>
      <c r="T3767" s="25" t="n"/>
      <c r="U3767" s="26">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Builder'!$B$12="",N($S3767)&lt;='Assignment Builder'!$B$12)))</f>
        <v/>
      </c>
      <c r="V3767" s="23" t="n"/>
    </row>
    <row r="3768">
      <c r="A3768" s="23" t="n"/>
      <c r="B3768" s="23" t="n"/>
      <c r="C3768" s="24" t="n"/>
      <c r="D3768" s="15" t="n"/>
      <c r="E3768" s="23" t="n"/>
      <c r="F3768" s="15" t="n"/>
      <c r="G3768" s="23" t="n"/>
      <c r="H3768" s="25" t="n"/>
      <c r="I3768" s="15" t="n"/>
      <c r="J3768" s="26">
        <f>IF($A3768="","",LEN($C3768)-LEN(SUBSTITUTE($C3768,",",""))+1)</f>
        <v/>
      </c>
      <c r="K3768" s="26">
        <f>IF($A3768="","",SUMPRODUCT(--ISNUMBER(SEARCH('Category Dictionary'!$D$5:$D$135&amp;"",$C3768)),--('Category Dictionary'!$D$5:$D$135&lt;&gt;"")))</f>
        <v/>
      </c>
      <c r="L3768" s="27">
        <f>IF($A3768="","",TRIM(IF(ISERROR(FIND(",",$C3768)),$C3768,LEFT($C3768,FIND(",",$C3768)-1))))</f>
        <v/>
      </c>
      <c r="M3768" s="28">
        <f>IF($H3768="","",DATE(YEAR($H3768),MONTH($H3768),1))</f>
        <v/>
      </c>
      <c r="N3768" s="26">
        <f>IF($H3768="","",TODAY()-$H3768)</f>
        <v/>
      </c>
      <c r="O3768" s="15" t="n"/>
      <c r="P3768" s="26">
        <f>IF($A3768="","",COUNTIFS('Audit Versions'!$A$6:$A$605,$A3768,'Audit Versions'!$L$6:$L$605,"Active"))</f>
        <v/>
      </c>
      <c r="Q3768" s="15" t="n"/>
      <c r="R3768" s="26">
        <f>IF(OR($A3768="",$P3768=0),"",MOD(N($Q3768),$P3768)+1)</f>
        <v/>
      </c>
      <c r="S3768" s="15" t="n"/>
      <c r="T3768" s="25" t="n"/>
      <c r="U3768" s="26">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Builder'!$B$12="",N($S3768)&lt;='Assignment Builder'!$B$12)))</f>
        <v/>
      </c>
      <c r="V3768" s="23" t="n"/>
    </row>
    <row r="3769">
      <c r="A3769" s="23" t="n"/>
      <c r="B3769" s="23" t="n"/>
      <c r="C3769" s="24" t="n"/>
      <c r="D3769" s="15" t="n"/>
      <c r="E3769" s="23" t="n"/>
      <c r="F3769" s="15" t="n"/>
      <c r="G3769" s="23" t="n"/>
      <c r="H3769" s="25" t="n"/>
      <c r="I3769" s="15" t="n"/>
      <c r="J3769" s="26">
        <f>IF($A3769="","",LEN($C3769)-LEN(SUBSTITUTE($C3769,",",""))+1)</f>
        <v/>
      </c>
      <c r="K3769" s="26">
        <f>IF($A3769="","",SUMPRODUCT(--ISNUMBER(SEARCH('Category Dictionary'!$D$5:$D$135&amp;"",$C3769)),--('Category Dictionary'!$D$5:$D$135&lt;&gt;"")))</f>
        <v/>
      </c>
      <c r="L3769" s="27">
        <f>IF($A3769="","",TRIM(IF(ISERROR(FIND(",",$C3769)),$C3769,LEFT($C3769,FIND(",",$C3769)-1))))</f>
        <v/>
      </c>
      <c r="M3769" s="28">
        <f>IF($H3769="","",DATE(YEAR($H3769),MONTH($H3769),1))</f>
        <v/>
      </c>
      <c r="N3769" s="26">
        <f>IF($H3769="","",TODAY()-$H3769)</f>
        <v/>
      </c>
      <c r="O3769" s="15" t="n"/>
      <c r="P3769" s="26">
        <f>IF($A3769="","",COUNTIFS('Audit Versions'!$A$6:$A$605,$A3769,'Audit Versions'!$L$6:$L$605,"Active"))</f>
        <v/>
      </c>
      <c r="Q3769" s="15" t="n"/>
      <c r="R3769" s="26">
        <f>IF(OR($A3769="",$P3769=0),"",MOD(N($Q3769),$P3769)+1)</f>
        <v/>
      </c>
      <c r="S3769" s="15" t="n"/>
      <c r="T3769" s="25" t="n"/>
      <c r="U3769" s="26">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Builder'!$B$12="",N($S3769)&lt;='Assignment Builder'!$B$12)))</f>
        <v/>
      </c>
      <c r="V3769" s="23" t="n"/>
    </row>
    <row r="3770">
      <c r="A3770" s="23" t="n"/>
      <c r="B3770" s="23" t="n"/>
      <c r="C3770" s="24" t="n"/>
      <c r="D3770" s="15" t="n"/>
      <c r="E3770" s="23" t="n"/>
      <c r="F3770" s="15" t="n"/>
      <c r="G3770" s="23" t="n"/>
      <c r="H3770" s="25" t="n"/>
      <c r="I3770" s="15" t="n"/>
      <c r="J3770" s="26">
        <f>IF($A3770="","",LEN($C3770)-LEN(SUBSTITUTE($C3770,",",""))+1)</f>
        <v/>
      </c>
      <c r="K3770" s="26">
        <f>IF($A3770="","",SUMPRODUCT(--ISNUMBER(SEARCH('Category Dictionary'!$D$5:$D$135&amp;"",$C3770)),--('Category Dictionary'!$D$5:$D$135&lt;&gt;"")))</f>
        <v/>
      </c>
      <c r="L3770" s="27">
        <f>IF($A3770="","",TRIM(IF(ISERROR(FIND(",",$C3770)),$C3770,LEFT($C3770,FIND(",",$C3770)-1))))</f>
        <v/>
      </c>
      <c r="M3770" s="28">
        <f>IF($H3770="","",DATE(YEAR($H3770),MONTH($H3770),1))</f>
        <v/>
      </c>
      <c r="N3770" s="26">
        <f>IF($H3770="","",TODAY()-$H3770)</f>
        <v/>
      </c>
      <c r="O3770" s="15" t="n"/>
      <c r="P3770" s="26">
        <f>IF($A3770="","",COUNTIFS('Audit Versions'!$A$6:$A$605,$A3770,'Audit Versions'!$L$6:$L$605,"Active"))</f>
        <v/>
      </c>
      <c r="Q3770" s="15" t="n"/>
      <c r="R3770" s="26">
        <f>IF(OR($A3770="",$P3770=0),"",MOD(N($Q3770),$P3770)+1)</f>
        <v/>
      </c>
      <c r="S3770" s="15" t="n"/>
      <c r="T3770" s="25" t="n"/>
      <c r="U3770" s="26">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Builder'!$B$12="",N($S3770)&lt;='Assignment Builder'!$B$12)))</f>
        <v/>
      </c>
      <c r="V3770" s="23" t="n"/>
    </row>
    <row r="3771">
      <c r="A3771" s="23" t="n"/>
      <c r="B3771" s="23" t="n"/>
      <c r="C3771" s="24" t="n"/>
      <c r="D3771" s="15" t="n"/>
      <c r="E3771" s="23" t="n"/>
      <c r="F3771" s="15" t="n"/>
      <c r="G3771" s="23" t="n"/>
      <c r="H3771" s="25" t="n"/>
      <c r="I3771" s="15" t="n"/>
      <c r="J3771" s="26">
        <f>IF($A3771="","",LEN($C3771)-LEN(SUBSTITUTE($C3771,",",""))+1)</f>
        <v/>
      </c>
      <c r="K3771" s="26">
        <f>IF($A3771="","",SUMPRODUCT(--ISNUMBER(SEARCH('Category Dictionary'!$D$5:$D$135&amp;"",$C3771)),--('Category Dictionary'!$D$5:$D$135&lt;&gt;"")))</f>
        <v/>
      </c>
      <c r="L3771" s="27">
        <f>IF($A3771="","",TRIM(IF(ISERROR(FIND(",",$C3771)),$C3771,LEFT($C3771,FIND(",",$C3771)-1))))</f>
        <v/>
      </c>
      <c r="M3771" s="28">
        <f>IF($H3771="","",DATE(YEAR($H3771),MONTH($H3771),1))</f>
        <v/>
      </c>
      <c r="N3771" s="26">
        <f>IF($H3771="","",TODAY()-$H3771)</f>
        <v/>
      </c>
      <c r="O3771" s="15" t="n"/>
      <c r="P3771" s="26">
        <f>IF($A3771="","",COUNTIFS('Audit Versions'!$A$6:$A$605,$A3771,'Audit Versions'!$L$6:$L$605,"Active"))</f>
        <v/>
      </c>
      <c r="Q3771" s="15" t="n"/>
      <c r="R3771" s="26">
        <f>IF(OR($A3771="",$P3771=0),"",MOD(N($Q3771),$P3771)+1)</f>
        <v/>
      </c>
      <c r="S3771" s="15" t="n"/>
      <c r="T3771" s="25" t="n"/>
      <c r="U3771" s="26">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Builder'!$B$12="",N($S3771)&lt;='Assignment Builder'!$B$12)))</f>
        <v/>
      </c>
      <c r="V3771" s="23" t="n"/>
    </row>
    <row r="3772">
      <c r="A3772" s="23" t="n"/>
      <c r="B3772" s="23" t="n"/>
      <c r="C3772" s="24" t="n"/>
      <c r="D3772" s="15" t="n"/>
      <c r="E3772" s="23" t="n"/>
      <c r="F3772" s="15" t="n"/>
      <c r="G3772" s="23" t="n"/>
      <c r="H3772" s="25" t="n"/>
      <c r="I3772" s="15" t="n"/>
      <c r="J3772" s="26">
        <f>IF($A3772="","",LEN($C3772)-LEN(SUBSTITUTE($C3772,",",""))+1)</f>
        <v/>
      </c>
      <c r="K3772" s="26">
        <f>IF($A3772="","",SUMPRODUCT(--ISNUMBER(SEARCH('Category Dictionary'!$D$5:$D$135&amp;"",$C3772)),--('Category Dictionary'!$D$5:$D$135&lt;&gt;"")))</f>
        <v/>
      </c>
      <c r="L3772" s="27">
        <f>IF($A3772="","",TRIM(IF(ISERROR(FIND(",",$C3772)),$C3772,LEFT($C3772,FIND(",",$C3772)-1))))</f>
        <v/>
      </c>
      <c r="M3772" s="28">
        <f>IF($H3772="","",DATE(YEAR($H3772),MONTH($H3772),1))</f>
        <v/>
      </c>
      <c r="N3772" s="26">
        <f>IF($H3772="","",TODAY()-$H3772)</f>
        <v/>
      </c>
      <c r="O3772" s="15" t="n"/>
      <c r="P3772" s="26">
        <f>IF($A3772="","",COUNTIFS('Audit Versions'!$A$6:$A$605,$A3772,'Audit Versions'!$L$6:$L$605,"Active"))</f>
        <v/>
      </c>
      <c r="Q3772" s="15" t="n"/>
      <c r="R3772" s="26">
        <f>IF(OR($A3772="",$P3772=0),"",MOD(N($Q3772),$P3772)+1)</f>
        <v/>
      </c>
      <c r="S3772" s="15" t="n"/>
      <c r="T3772" s="25" t="n"/>
      <c r="U3772" s="26">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Builder'!$B$12="",N($S3772)&lt;='Assignment Builder'!$B$12)))</f>
        <v/>
      </c>
      <c r="V3772" s="23" t="n"/>
    </row>
    <row r="3773">
      <c r="A3773" s="23" t="n"/>
      <c r="B3773" s="23" t="n"/>
      <c r="C3773" s="24" t="n"/>
      <c r="D3773" s="15" t="n"/>
      <c r="E3773" s="23" t="n"/>
      <c r="F3773" s="15" t="n"/>
      <c r="G3773" s="23" t="n"/>
      <c r="H3773" s="25" t="n"/>
      <c r="I3773" s="15" t="n"/>
      <c r="J3773" s="26">
        <f>IF($A3773="","",LEN($C3773)-LEN(SUBSTITUTE($C3773,",",""))+1)</f>
        <v/>
      </c>
      <c r="K3773" s="26">
        <f>IF($A3773="","",SUMPRODUCT(--ISNUMBER(SEARCH('Category Dictionary'!$D$5:$D$135&amp;"",$C3773)),--('Category Dictionary'!$D$5:$D$135&lt;&gt;"")))</f>
        <v/>
      </c>
      <c r="L3773" s="27">
        <f>IF($A3773="","",TRIM(IF(ISERROR(FIND(",",$C3773)),$C3773,LEFT($C3773,FIND(",",$C3773)-1))))</f>
        <v/>
      </c>
      <c r="M3773" s="28">
        <f>IF($H3773="","",DATE(YEAR($H3773),MONTH($H3773),1))</f>
        <v/>
      </c>
      <c r="N3773" s="26">
        <f>IF($H3773="","",TODAY()-$H3773)</f>
        <v/>
      </c>
      <c r="O3773" s="15" t="n"/>
      <c r="P3773" s="26">
        <f>IF($A3773="","",COUNTIFS('Audit Versions'!$A$6:$A$605,$A3773,'Audit Versions'!$L$6:$L$605,"Active"))</f>
        <v/>
      </c>
      <c r="Q3773" s="15" t="n"/>
      <c r="R3773" s="26">
        <f>IF(OR($A3773="",$P3773=0),"",MOD(N($Q3773),$P3773)+1)</f>
        <v/>
      </c>
      <c r="S3773" s="15" t="n"/>
      <c r="T3773" s="25" t="n"/>
      <c r="U3773" s="26">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Builder'!$B$12="",N($S3773)&lt;='Assignment Builder'!$B$12)))</f>
        <v/>
      </c>
      <c r="V3773" s="23" t="n"/>
    </row>
    <row r="3774">
      <c r="A3774" s="23" t="n"/>
      <c r="B3774" s="23" t="n"/>
      <c r="C3774" s="24" t="n"/>
      <c r="D3774" s="15" t="n"/>
      <c r="E3774" s="23" t="n"/>
      <c r="F3774" s="15" t="n"/>
      <c r="G3774" s="23" t="n"/>
      <c r="H3774" s="25" t="n"/>
      <c r="I3774" s="15" t="n"/>
      <c r="J3774" s="26">
        <f>IF($A3774="","",LEN($C3774)-LEN(SUBSTITUTE($C3774,",",""))+1)</f>
        <v/>
      </c>
      <c r="K3774" s="26">
        <f>IF($A3774="","",SUMPRODUCT(--ISNUMBER(SEARCH('Category Dictionary'!$D$5:$D$135&amp;"",$C3774)),--('Category Dictionary'!$D$5:$D$135&lt;&gt;"")))</f>
        <v/>
      </c>
      <c r="L3774" s="27">
        <f>IF($A3774="","",TRIM(IF(ISERROR(FIND(",",$C3774)),$C3774,LEFT($C3774,FIND(",",$C3774)-1))))</f>
        <v/>
      </c>
      <c r="M3774" s="28">
        <f>IF($H3774="","",DATE(YEAR($H3774),MONTH($H3774),1))</f>
        <v/>
      </c>
      <c r="N3774" s="26">
        <f>IF($H3774="","",TODAY()-$H3774)</f>
        <v/>
      </c>
      <c r="O3774" s="15" t="n"/>
      <c r="P3774" s="26">
        <f>IF($A3774="","",COUNTIFS('Audit Versions'!$A$6:$A$605,$A3774,'Audit Versions'!$L$6:$L$605,"Active"))</f>
        <v/>
      </c>
      <c r="Q3774" s="15" t="n"/>
      <c r="R3774" s="26">
        <f>IF(OR($A3774="",$P3774=0),"",MOD(N($Q3774),$P3774)+1)</f>
        <v/>
      </c>
      <c r="S3774" s="15" t="n"/>
      <c r="T3774" s="25" t="n"/>
      <c r="U3774" s="26">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Builder'!$B$12="",N($S3774)&lt;='Assignment Builder'!$B$12)))</f>
        <v/>
      </c>
      <c r="V3774" s="23" t="n"/>
    </row>
    <row r="3775">
      <c r="A3775" s="23" t="n"/>
      <c r="B3775" s="23" t="n"/>
      <c r="C3775" s="24" t="n"/>
      <c r="D3775" s="15" t="n"/>
      <c r="E3775" s="23" t="n"/>
      <c r="F3775" s="15" t="n"/>
      <c r="G3775" s="23" t="n"/>
      <c r="H3775" s="25" t="n"/>
      <c r="I3775" s="15" t="n"/>
      <c r="J3775" s="26">
        <f>IF($A3775="","",LEN($C3775)-LEN(SUBSTITUTE($C3775,",",""))+1)</f>
        <v/>
      </c>
      <c r="K3775" s="26">
        <f>IF($A3775="","",SUMPRODUCT(--ISNUMBER(SEARCH('Category Dictionary'!$D$5:$D$135&amp;"",$C3775)),--('Category Dictionary'!$D$5:$D$135&lt;&gt;"")))</f>
        <v/>
      </c>
      <c r="L3775" s="27">
        <f>IF($A3775="","",TRIM(IF(ISERROR(FIND(",",$C3775)),$C3775,LEFT($C3775,FIND(",",$C3775)-1))))</f>
        <v/>
      </c>
      <c r="M3775" s="28">
        <f>IF($H3775="","",DATE(YEAR($H3775),MONTH($H3775),1))</f>
        <v/>
      </c>
      <c r="N3775" s="26">
        <f>IF($H3775="","",TODAY()-$H3775)</f>
        <v/>
      </c>
      <c r="O3775" s="15" t="n"/>
      <c r="P3775" s="26">
        <f>IF($A3775="","",COUNTIFS('Audit Versions'!$A$6:$A$605,$A3775,'Audit Versions'!$L$6:$L$605,"Active"))</f>
        <v/>
      </c>
      <c r="Q3775" s="15" t="n"/>
      <c r="R3775" s="26">
        <f>IF(OR($A3775="",$P3775=0),"",MOD(N($Q3775),$P3775)+1)</f>
        <v/>
      </c>
      <c r="S3775" s="15" t="n"/>
      <c r="T3775" s="25" t="n"/>
      <c r="U3775" s="26">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Builder'!$B$12="",N($S3775)&lt;='Assignment Builder'!$B$12)))</f>
        <v/>
      </c>
      <c r="V3775" s="23" t="n"/>
    </row>
    <row r="3776">
      <c r="A3776" s="23" t="n"/>
      <c r="B3776" s="23" t="n"/>
      <c r="C3776" s="24" t="n"/>
      <c r="D3776" s="15" t="n"/>
      <c r="E3776" s="23" t="n"/>
      <c r="F3776" s="15" t="n"/>
      <c r="G3776" s="23" t="n"/>
      <c r="H3776" s="25" t="n"/>
      <c r="I3776" s="15" t="n"/>
      <c r="J3776" s="26">
        <f>IF($A3776="","",LEN($C3776)-LEN(SUBSTITUTE($C3776,",",""))+1)</f>
        <v/>
      </c>
      <c r="K3776" s="26">
        <f>IF($A3776="","",SUMPRODUCT(--ISNUMBER(SEARCH('Category Dictionary'!$D$5:$D$135&amp;"",$C3776)),--('Category Dictionary'!$D$5:$D$135&lt;&gt;"")))</f>
        <v/>
      </c>
      <c r="L3776" s="27">
        <f>IF($A3776="","",TRIM(IF(ISERROR(FIND(",",$C3776)),$C3776,LEFT($C3776,FIND(",",$C3776)-1))))</f>
        <v/>
      </c>
      <c r="M3776" s="28">
        <f>IF($H3776="","",DATE(YEAR($H3776),MONTH($H3776),1))</f>
        <v/>
      </c>
      <c r="N3776" s="26">
        <f>IF($H3776="","",TODAY()-$H3776)</f>
        <v/>
      </c>
      <c r="O3776" s="15" t="n"/>
      <c r="P3776" s="26">
        <f>IF($A3776="","",COUNTIFS('Audit Versions'!$A$6:$A$605,$A3776,'Audit Versions'!$L$6:$L$605,"Active"))</f>
        <v/>
      </c>
      <c r="Q3776" s="15" t="n"/>
      <c r="R3776" s="26">
        <f>IF(OR($A3776="",$P3776=0),"",MOD(N($Q3776),$P3776)+1)</f>
        <v/>
      </c>
      <c r="S3776" s="15" t="n"/>
      <c r="T3776" s="25" t="n"/>
      <c r="U3776" s="26">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Builder'!$B$12="",N($S3776)&lt;='Assignment Builder'!$B$12)))</f>
        <v/>
      </c>
      <c r="V3776" s="23" t="n"/>
    </row>
    <row r="3777">
      <c r="A3777" s="23" t="n"/>
      <c r="B3777" s="23" t="n"/>
      <c r="C3777" s="24" t="n"/>
      <c r="D3777" s="15" t="n"/>
      <c r="E3777" s="23" t="n"/>
      <c r="F3777" s="15" t="n"/>
      <c r="G3777" s="23" t="n"/>
      <c r="H3777" s="25" t="n"/>
      <c r="I3777" s="15" t="n"/>
      <c r="J3777" s="26">
        <f>IF($A3777="","",LEN($C3777)-LEN(SUBSTITUTE($C3777,",",""))+1)</f>
        <v/>
      </c>
      <c r="K3777" s="26">
        <f>IF($A3777="","",SUMPRODUCT(--ISNUMBER(SEARCH('Category Dictionary'!$D$5:$D$135&amp;"",$C3777)),--('Category Dictionary'!$D$5:$D$135&lt;&gt;"")))</f>
        <v/>
      </c>
      <c r="L3777" s="27">
        <f>IF($A3777="","",TRIM(IF(ISERROR(FIND(",",$C3777)),$C3777,LEFT($C3777,FIND(",",$C3777)-1))))</f>
        <v/>
      </c>
      <c r="M3777" s="28">
        <f>IF($H3777="","",DATE(YEAR($H3777),MONTH($H3777),1))</f>
        <v/>
      </c>
      <c r="N3777" s="26">
        <f>IF($H3777="","",TODAY()-$H3777)</f>
        <v/>
      </c>
      <c r="O3777" s="15" t="n"/>
      <c r="P3777" s="26">
        <f>IF($A3777="","",COUNTIFS('Audit Versions'!$A$6:$A$605,$A3777,'Audit Versions'!$L$6:$L$605,"Active"))</f>
        <v/>
      </c>
      <c r="Q3777" s="15" t="n"/>
      <c r="R3777" s="26">
        <f>IF(OR($A3777="",$P3777=0),"",MOD(N($Q3777),$P3777)+1)</f>
        <v/>
      </c>
      <c r="S3777" s="15" t="n"/>
      <c r="T3777" s="25" t="n"/>
      <c r="U3777" s="26">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Builder'!$B$12="",N($S3777)&lt;='Assignment Builder'!$B$12)))</f>
        <v/>
      </c>
      <c r="V3777" s="23" t="n"/>
    </row>
    <row r="3778">
      <c r="A3778" s="23" t="n"/>
      <c r="B3778" s="23" t="n"/>
      <c r="C3778" s="24" t="n"/>
      <c r="D3778" s="15" t="n"/>
      <c r="E3778" s="23" t="n"/>
      <c r="F3778" s="15" t="n"/>
      <c r="G3778" s="23" t="n"/>
      <c r="H3778" s="25" t="n"/>
      <c r="I3778" s="15" t="n"/>
      <c r="J3778" s="26">
        <f>IF($A3778="","",LEN($C3778)-LEN(SUBSTITUTE($C3778,",",""))+1)</f>
        <v/>
      </c>
      <c r="K3778" s="26">
        <f>IF($A3778="","",SUMPRODUCT(--ISNUMBER(SEARCH('Category Dictionary'!$D$5:$D$135&amp;"",$C3778)),--('Category Dictionary'!$D$5:$D$135&lt;&gt;"")))</f>
        <v/>
      </c>
      <c r="L3778" s="27">
        <f>IF($A3778="","",TRIM(IF(ISERROR(FIND(",",$C3778)),$C3778,LEFT($C3778,FIND(",",$C3778)-1))))</f>
        <v/>
      </c>
      <c r="M3778" s="28">
        <f>IF($H3778="","",DATE(YEAR($H3778),MONTH($H3778),1))</f>
        <v/>
      </c>
      <c r="N3778" s="26">
        <f>IF($H3778="","",TODAY()-$H3778)</f>
        <v/>
      </c>
      <c r="O3778" s="15" t="n"/>
      <c r="P3778" s="26">
        <f>IF($A3778="","",COUNTIFS('Audit Versions'!$A$6:$A$605,$A3778,'Audit Versions'!$L$6:$L$605,"Active"))</f>
        <v/>
      </c>
      <c r="Q3778" s="15" t="n"/>
      <c r="R3778" s="26">
        <f>IF(OR($A3778="",$P3778=0),"",MOD(N($Q3778),$P3778)+1)</f>
        <v/>
      </c>
      <c r="S3778" s="15" t="n"/>
      <c r="T3778" s="25" t="n"/>
      <c r="U3778" s="26">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Builder'!$B$12="",N($S3778)&lt;='Assignment Builder'!$B$12)))</f>
        <v/>
      </c>
      <c r="V3778" s="23" t="n"/>
    </row>
    <row r="3779">
      <c r="A3779" s="23" t="n"/>
      <c r="B3779" s="23" t="n"/>
      <c r="C3779" s="24" t="n"/>
      <c r="D3779" s="15" t="n"/>
      <c r="E3779" s="23" t="n"/>
      <c r="F3779" s="15" t="n"/>
      <c r="G3779" s="23" t="n"/>
      <c r="H3779" s="25" t="n"/>
      <c r="I3779" s="15" t="n"/>
      <c r="J3779" s="26">
        <f>IF($A3779="","",LEN($C3779)-LEN(SUBSTITUTE($C3779,",",""))+1)</f>
        <v/>
      </c>
      <c r="K3779" s="26">
        <f>IF($A3779="","",SUMPRODUCT(--ISNUMBER(SEARCH('Category Dictionary'!$D$5:$D$135&amp;"",$C3779)),--('Category Dictionary'!$D$5:$D$135&lt;&gt;"")))</f>
        <v/>
      </c>
      <c r="L3779" s="27">
        <f>IF($A3779="","",TRIM(IF(ISERROR(FIND(",",$C3779)),$C3779,LEFT($C3779,FIND(",",$C3779)-1))))</f>
        <v/>
      </c>
      <c r="M3779" s="28">
        <f>IF($H3779="","",DATE(YEAR($H3779),MONTH($H3779),1))</f>
        <v/>
      </c>
      <c r="N3779" s="26">
        <f>IF($H3779="","",TODAY()-$H3779)</f>
        <v/>
      </c>
      <c r="O3779" s="15" t="n"/>
      <c r="P3779" s="26">
        <f>IF($A3779="","",COUNTIFS('Audit Versions'!$A$6:$A$605,$A3779,'Audit Versions'!$L$6:$L$605,"Active"))</f>
        <v/>
      </c>
      <c r="Q3779" s="15" t="n"/>
      <c r="R3779" s="26">
        <f>IF(OR($A3779="",$P3779=0),"",MOD(N($Q3779),$P3779)+1)</f>
        <v/>
      </c>
      <c r="S3779" s="15" t="n"/>
      <c r="T3779" s="25" t="n"/>
      <c r="U3779" s="26">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Builder'!$B$12="",N($S3779)&lt;='Assignment Builder'!$B$12)))</f>
        <v/>
      </c>
      <c r="V3779" s="23" t="n"/>
    </row>
    <row r="3780">
      <c r="A3780" s="23" t="n"/>
      <c r="B3780" s="23" t="n"/>
      <c r="C3780" s="24" t="n"/>
      <c r="D3780" s="15" t="n"/>
      <c r="E3780" s="23" t="n"/>
      <c r="F3780" s="15" t="n"/>
      <c r="G3780" s="23" t="n"/>
      <c r="H3780" s="25" t="n"/>
      <c r="I3780" s="15" t="n"/>
      <c r="J3780" s="26">
        <f>IF($A3780="","",LEN($C3780)-LEN(SUBSTITUTE($C3780,",",""))+1)</f>
        <v/>
      </c>
      <c r="K3780" s="26">
        <f>IF($A3780="","",SUMPRODUCT(--ISNUMBER(SEARCH('Category Dictionary'!$D$5:$D$135&amp;"",$C3780)),--('Category Dictionary'!$D$5:$D$135&lt;&gt;"")))</f>
        <v/>
      </c>
      <c r="L3780" s="27">
        <f>IF($A3780="","",TRIM(IF(ISERROR(FIND(",",$C3780)),$C3780,LEFT($C3780,FIND(",",$C3780)-1))))</f>
        <v/>
      </c>
      <c r="M3780" s="28">
        <f>IF($H3780="","",DATE(YEAR($H3780),MONTH($H3780),1))</f>
        <v/>
      </c>
      <c r="N3780" s="26">
        <f>IF($H3780="","",TODAY()-$H3780)</f>
        <v/>
      </c>
      <c r="O3780" s="15" t="n"/>
      <c r="P3780" s="26">
        <f>IF($A3780="","",COUNTIFS('Audit Versions'!$A$6:$A$605,$A3780,'Audit Versions'!$L$6:$L$605,"Active"))</f>
        <v/>
      </c>
      <c r="Q3780" s="15" t="n"/>
      <c r="R3780" s="26">
        <f>IF(OR($A3780="",$P3780=0),"",MOD(N($Q3780),$P3780)+1)</f>
        <v/>
      </c>
      <c r="S3780" s="15" t="n"/>
      <c r="T3780" s="25" t="n"/>
      <c r="U3780" s="26">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Builder'!$B$12="",N($S3780)&lt;='Assignment Builder'!$B$12)))</f>
        <v/>
      </c>
      <c r="V3780" s="23" t="n"/>
    </row>
    <row r="3781">
      <c r="A3781" s="23" t="n"/>
      <c r="B3781" s="23" t="n"/>
      <c r="C3781" s="24" t="n"/>
      <c r="D3781" s="15" t="n"/>
      <c r="E3781" s="23" t="n"/>
      <c r="F3781" s="15" t="n"/>
      <c r="G3781" s="23" t="n"/>
      <c r="H3781" s="25" t="n"/>
      <c r="I3781" s="15" t="n"/>
      <c r="J3781" s="26">
        <f>IF($A3781="","",LEN($C3781)-LEN(SUBSTITUTE($C3781,",",""))+1)</f>
        <v/>
      </c>
      <c r="K3781" s="26">
        <f>IF($A3781="","",SUMPRODUCT(--ISNUMBER(SEARCH('Category Dictionary'!$D$5:$D$135&amp;"",$C3781)),--('Category Dictionary'!$D$5:$D$135&lt;&gt;"")))</f>
        <v/>
      </c>
      <c r="L3781" s="27">
        <f>IF($A3781="","",TRIM(IF(ISERROR(FIND(",",$C3781)),$C3781,LEFT($C3781,FIND(",",$C3781)-1))))</f>
        <v/>
      </c>
      <c r="M3781" s="28">
        <f>IF($H3781="","",DATE(YEAR($H3781),MONTH($H3781),1))</f>
        <v/>
      </c>
      <c r="N3781" s="26">
        <f>IF($H3781="","",TODAY()-$H3781)</f>
        <v/>
      </c>
      <c r="O3781" s="15" t="n"/>
      <c r="P3781" s="26">
        <f>IF($A3781="","",COUNTIFS('Audit Versions'!$A$6:$A$605,$A3781,'Audit Versions'!$L$6:$L$605,"Active"))</f>
        <v/>
      </c>
      <c r="Q3781" s="15" t="n"/>
      <c r="R3781" s="26">
        <f>IF(OR($A3781="",$P3781=0),"",MOD(N($Q3781),$P3781)+1)</f>
        <v/>
      </c>
      <c r="S3781" s="15" t="n"/>
      <c r="T3781" s="25" t="n"/>
      <c r="U3781" s="26">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Builder'!$B$12="",N($S3781)&lt;='Assignment Builder'!$B$12)))</f>
        <v/>
      </c>
      <c r="V3781" s="23" t="n"/>
    </row>
    <row r="3782">
      <c r="A3782" s="23" t="n"/>
      <c r="B3782" s="23" t="n"/>
      <c r="C3782" s="24" t="n"/>
      <c r="D3782" s="15" t="n"/>
      <c r="E3782" s="23" t="n"/>
      <c r="F3782" s="15" t="n"/>
      <c r="G3782" s="23" t="n"/>
      <c r="H3782" s="25" t="n"/>
      <c r="I3782" s="15" t="n"/>
      <c r="J3782" s="26">
        <f>IF($A3782="","",LEN($C3782)-LEN(SUBSTITUTE($C3782,",",""))+1)</f>
        <v/>
      </c>
      <c r="K3782" s="26">
        <f>IF($A3782="","",SUMPRODUCT(--ISNUMBER(SEARCH('Category Dictionary'!$D$5:$D$135&amp;"",$C3782)),--('Category Dictionary'!$D$5:$D$135&lt;&gt;"")))</f>
        <v/>
      </c>
      <c r="L3782" s="27">
        <f>IF($A3782="","",TRIM(IF(ISERROR(FIND(",",$C3782)),$C3782,LEFT($C3782,FIND(",",$C3782)-1))))</f>
        <v/>
      </c>
      <c r="M3782" s="28">
        <f>IF($H3782="","",DATE(YEAR($H3782),MONTH($H3782),1))</f>
        <v/>
      </c>
      <c r="N3782" s="26">
        <f>IF($H3782="","",TODAY()-$H3782)</f>
        <v/>
      </c>
      <c r="O3782" s="15" t="n"/>
      <c r="P3782" s="26">
        <f>IF($A3782="","",COUNTIFS('Audit Versions'!$A$6:$A$605,$A3782,'Audit Versions'!$L$6:$L$605,"Active"))</f>
        <v/>
      </c>
      <c r="Q3782" s="15" t="n"/>
      <c r="R3782" s="26">
        <f>IF(OR($A3782="",$P3782=0),"",MOD(N($Q3782),$P3782)+1)</f>
        <v/>
      </c>
      <c r="S3782" s="15" t="n"/>
      <c r="T3782" s="25" t="n"/>
      <c r="U3782" s="26">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Builder'!$B$12="",N($S3782)&lt;='Assignment Builder'!$B$12)))</f>
        <v/>
      </c>
      <c r="V3782" s="23" t="n"/>
    </row>
    <row r="3783">
      <c r="A3783" s="23" t="n"/>
      <c r="B3783" s="23" t="n"/>
      <c r="C3783" s="24" t="n"/>
      <c r="D3783" s="15" t="n"/>
      <c r="E3783" s="23" t="n"/>
      <c r="F3783" s="15" t="n"/>
      <c r="G3783" s="23" t="n"/>
      <c r="H3783" s="25" t="n"/>
      <c r="I3783" s="15" t="n"/>
      <c r="J3783" s="26">
        <f>IF($A3783="","",LEN($C3783)-LEN(SUBSTITUTE($C3783,",",""))+1)</f>
        <v/>
      </c>
      <c r="K3783" s="26">
        <f>IF($A3783="","",SUMPRODUCT(--ISNUMBER(SEARCH('Category Dictionary'!$D$5:$D$135&amp;"",$C3783)),--('Category Dictionary'!$D$5:$D$135&lt;&gt;"")))</f>
        <v/>
      </c>
      <c r="L3783" s="27">
        <f>IF($A3783="","",TRIM(IF(ISERROR(FIND(",",$C3783)),$C3783,LEFT($C3783,FIND(",",$C3783)-1))))</f>
        <v/>
      </c>
      <c r="M3783" s="28">
        <f>IF($H3783="","",DATE(YEAR($H3783),MONTH($H3783),1))</f>
        <v/>
      </c>
      <c r="N3783" s="26">
        <f>IF($H3783="","",TODAY()-$H3783)</f>
        <v/>
      </c>
      <c r="O3783" s="15" t="n"/>
      <c r="P3783" s="26">
        <f>IF($A3783="","",COUNTIFS('Audit Versions'!$A$6:$A$605,$A3783,'Audit Versions'!$L$6:$L$605,"Active"))</f>
        <v/>
      </c>
      <c r="Q3783" s="15" t="n"/>
      <c r="R3783" s="26">
        <f>IF(OR($A3783="",$P3783=0),"",MOD(N($Q3783),$P3783)+1)</f>
        <v/>
      </c>
      <c r="S3783" s="15" t="n"/>
      <c r="T3783" s="25" t="n"/>
      <c r="U3783" s="26">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Builder'!$B$12="",N($S3783)&lt;='Assignment Builder'!$B$12)))</f>
        <v/>
      </c>
      <c r="V3783" s="23" t="n"/>
    </row>
    <row r="3784">
      <c r="A3784" s="23" t="n"/>
      <c r="B3784" s="23" t="n"/>
      <c r="C3784" s="24" t="n"/>
      <c r="D3784" s="15" t="n"/>
      <c r="E3784" s="23" t="n"/>
      <c r="F3784" s="15" t="n"/>
      <c r="G3784" s="23" t="n"/>
      <c r="H3784" s="25" t="n"/>
      <c r="I3784" s="15" t="n"/>
      <c r="J3784" s="26">
        <f>IF($A3784="","",LEN($C3784)-LEN(SUBSTITUTE($C3784,",",""))+1)</f>
        <v/>
      </c>
      <c r="K3784" s="26">
        <f>IF($A3784="","",SUMPRODUCT(--ISNUMBER(SEARCH('Category Dictionary'!$D$5:$D$135&amp;"",$C3784)),--('Category Dictionary'!$D$5:$D$135&lt;&gt;"")))</f>
        <v/>
      </c>
      <c r="L3784" s="27">
        <f>IF($A3784="","",TRIM(IF(ISERROR(FIND(",",$C3784)),$C3784,LEFT($C3784,FIND(",",$C3784)-1))))</f>
        <v/>
      </c>
      <c r="M3784" s="28">
        <f>IF($H3784="","",DATE(YEAR($H3784),MONTH($H3784),1))</f>
        <v/>
      </c>
      <c r="N3784" s="26">
        <f>IF($H3784="","",TODAY()-$H3784)</f>
        <v/>
      </c>
      <c r="O3784" s="15" t="n"/>
      <c r="P3784" s="26">
        <f>IF($A3784="","",COUNTIFS('Audit Versions'!$A$6:$A$605,$A3784,'Audit Versions'!$L$6:$L$605,"Active"))</f>
        <v/>
      </c>
      <c r="Q3784" s="15" t="n"/>
      <c r="R3784" s="26">
        <f>IF(OR($A3784="",$P3784=0),"",MOD(N($Q3784),$P3784)+1)</f>
        <v/>
      </c>
      <c r="S3784" s="15" t="n"/>
      <c r="T3784" s="25" t="n"/>
      <c r="U3784" s="26">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Builder'!$B$12="",N($S3784)&lt;='Assignment Builder'!$B$12)))</f>
        <v/>
      </c>
      <c r="V3784" s="23" t="n"/>
    </row>
    <row r="3785">
      <c r="A3785" s="23" t="n"/>
      <c r="B3785" s="23" t="n"/>
      <c r="C3785" s="24" t="n"/>
      <c r="D3785" s="15" t="n"/>
      <c r="E3785" s="23" t="n"/>
      <c r="F3785" s="15" t="n"/>
      <c r="G3785" s="23" t="n"/>
      <c r="H3785" s="25" t="n"/>
      <c r="I3785" s="15" t="n"/>
      <c r="J3785" s="26">
        <f>IF($A3785="","",LEN($C3785)-LEN(SUBSTITUTE($C3785,",",""))+1)</f>
        <v/>
      </c>
      <c r="K3785" s="26">
        <f>IF($A3785="","",SUMPRODUCT(--ISNUMBER(SEARCH('Category Dictionary'!$D$5:$D$135&amp;"",$C3785)),--('Category Dictionary'!$D$5:$D$135&lt;&gt;"")))</f>
        <v/>
      </c>
      <c r="L3785" s="27">
        <f>IF($A3785="","",TRIM(IF(ISERROR(FIND(",",$C3785)),$C3785,LEFT($C3785,FIND(",",$C3785)-1))))</f>
        <v/>
      </c>
      <c r="M3785" s="28">
        <f>IF($H3785="","",DATE(YEAR($H3785),MONTH($H3785),1))</f>
        <v/>
      </c>
      <c r="N3785" s="26">
        <f>IF($H3785="","",TODAY()-$H3785)</f>
        <v/>
      </c>
      <c r="O3785" s="15" t="n"/>
      <c r="P3785" s="26">
        <f>IF($A3785="","",COUNTIFS('Audit Versions'!$A$6:$A$605,$A3785,'Audit Versions'!$L$6:$L$605,"Active"))</f>
        <v/>
      </c>
      <c r="Q3785" s="15" t="n"/>
      <c r="R3785" s="26">
        <f>IF(OR($A3785="",$P3785=0),"",MOD(N($Q3785),$P3785)+1)</f>
        <v/>
      </c>
      <c r="S3785" s="15" t="n"/>
      <c r="T3785" s="25" t="n"/>
      <c r="U3785" s="26">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Builder'!$B$12="",N($S3785)&lt;='Assignment Builder'!$B$12)))</f>
        <v/>
      </c>
      <c r="V3785" s="23" t="n"/>
    </row>
    <row r="3786">
      <c r="A3786" s="23" t="n"/>
      <c r="B3786" s="23" t="n"/>
      <c r="C3786" s="24" t="n"/>
      <c r="D3786" s="15" t="n"/>
      <c r="E3786" s="23" t="n"/>
      <c r="F3786" s="15" t="n"/>
      <c r="G3786" s="23" t="n"/>
      <c r="H3786" s="25" t="n"/>
      <c r="I3786" s="15" t="n"/>
      <c r="J3786" s="26">
        <f>IF($A3786="","",LEN($C3786)-LEN(SUBSTITUTE($C3786,",",""))+1)</f>
        <v/>
      </c>
      <c r="K3786" s="26">
        <f>IF($A3786="","",SUMPRODUCT(--ISNUMBER(SEARCH('Category Dictionary'!$D$5:$D$135&amp;"",$C3786)),--('Category Dictionary'!$D$5:$D$135&lt;&gt;"")))</f>
        <v/>
      </c>
      <c r="L3786" s="27">
        <f>IF($A3786="","",TRIM(IF(ISERROR(FIND(",",$C3786)),$C3786,LEFT($C3786,FIND(",",$C3786)-1))))</f>
        <v/>
      </c>
      <c r="M3786" s="28">
        <f>IF($H3786="","",DATE(YEAR($H3786),MONTH($H3786),1))</f>
        <v/>
      </c>
      <c r="N3786" s="26">
        <f>IF($H3786="","",TODAY()-$H3786)</f>
        <v/>
      </c>
      <c r="O3786" s="15" t="n"/>
      <c r="P3786" s="26">
        <f>IF($A3786="","",COUNTIFS('Audit Versions'!$A$6:$A$605,$A3786,'Audit Versions'!$L$6:$L$605,"Active"))</f>
        <v/>
      </c>
      <c r="Q3786" s="15" t="n"/>
      <c r="R3786" s="26">
        <f>IF(OR($A3786="",$P3786=0),"",MOD(N($Q3786),$P3786)+1)</f>
        <v/>
      </c>
      <c r="S3786" s="15" t="n"/>
      <c r="T3786" s="25" t="n"/>
      <c r="U3786" s="26">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Builder'!$B$12="",N($S3786)&lt;='Assignment Builder'!$B$12)))</f>
        <v/>
      </c>
      <c r="V3786" s="23" t="n"/>
    </row>
    <row r="3787">
      <c r="A3787" s="23" t="n"/>
      <c r="B3787" s="23" t="n"/>
      <c r="C3787" s="24" t="n"/>
      <c r="D3787" s="15" t="n"/>
      <c r="E3787" s="23" t="n"/>
      <c r="F3787" s="15" t="n"/>
      <c r="G3787" s="23" t="n"/>
      <c r="H3787" s="25" t="n"/>
      <c r="I3787" s="15" t="n"/>
      <c r="J3787" s="26">
        <f>IF($A3787="","",LEN($C3787)-LEN(SUBSTITUTE($C3787,",",""))+1)</f>
        <v/>
      </c>
      <c r="K3787" s="26">
        <f>IF($A3787="","",SUMPRODUCT(--ISNUMBER(SEARCH('Category Dictionary'!$D$5:$D$135&amp;"",$C3787)),--('Category Dictionary'!$D$5:$D$135&lt;&gt;"")))</f>
        <v/>
      </c>
      <c r="L3787" s="27">
        <f>IF($A3787="","",TRIM(IF(ISERROR(FIND(",",$C3787)),$C3787,LEFT($C3787,FIND(",",$C3787)-1))))</f>
        <v/>
      </c>
      <c r="M3787" s="28">
        <f>IF($H3787="","",DATE(YEAR($H3787),MONTH($H3787),1))</f>
        <v/>
      </c>
      <c r="N3787" s="26">
        <f>IF($H3787="","",TODAY()-$H3787)</f>
        <v/>
      </c>
      <c r="O3787" s="15" t="n"/>
      <c r="P3787" s="26">
        <f>IF($A3787="","",COUNTIFS('Audit Versions'!$A$6:$A$605,$A3787,'Audit Versions'!$L$6:$L$605,"Active"))</f>
        <v/>
      </c>
      <c r="Q3787" s="15" t="n"/>
      <c r="R3787" s="26">
        <f>IF(OR($A3787="",$P3787=0),"",MOD(N($Q3787),$P3787)+1)</f>
        <v/>
      </c>
      <c r="S3787" s="15" t="n"/>
      <c r="T3787" s="25" t="n"/>
      <c r="U3787" s="26">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Builder'!$B$12="",N($S3787)&lt;='Assignment Builder'!$B$12)))</f>
        <v/>
      </c>
      <c r="V3787" s="23" t="n"/>
    </row>
    <row r="3788">
      <c r="A3788" s="23" t="n"/>
      <c r="B3788" s="23" t="n"/>
      <c r="C3788" s="24" t="n"/>
      <c r="D3788" s="15" t="n"/>
      <c r="E3788" s="23" t="n"/>
      <c r="F3788" s="15" t="n"/>
      <c r="G3788" s="23" t="n"/>
      <c r="H3788" s="25" t="n"/>
      <c r="I3788" s="15" t="n"/>
      <c r="J3788" s="26">
        <f>IF($A3788="","",LEN($C3788)-LEN(SUBSTITUTE($C3788,",",""))+1)</f>
        <v/>
      </c>
      <c r="K3788" s="26">
        <f>IF($A3788="","",SUMPRODUCT(--ISNUMBER(SEARCH('Category Dictionary'!$D$5:$D$135&amp;"",$C3788)),--('Category Dictionary'!$D$5:$D$135&lt;&gt;"")))</f>
        <v/>
      </c>
      <c r="L3788" s="27">
        <f>IF($A3788="","",TRIM(IF(ISERROR(FIND(",",$C3788)),$C3788,LEFT($C3788,FIND(",",$C3788)-1))))</f>
        <v/>
      </c>
      <c r="M3788" s="28">
        <f>IF($H3788="","",DATE(YEAR($H3788),MONTH($H3788),1))</f>
        <v/>
      </c>
      <c r="N3788" s="26">
        <f>IF($H3788="","",TODAY()-$H3788)</f>
        <v/>
      </c>
      <c r="O3788" s="15" t="n"/>
      <c r="P3788" s="26">
        <f>IF($A3788="","",COUNTIFS('Audit Versions'!$A$6:$A$605,$A3788,'Audit Versions'!$L$6:$L$605,"Active"))</f>
        <v/>
      </c>
      <c r="Q3788" s="15" t="n"/>
      <c r="R3788" s="26">
        <f>IF(OR($A3788="",$P3788=0),"",MOD(N($Q3788),$P3788)+1)</f>
        <v/>
      </c>
      <c r="S3788" s="15" t="n"/>
      <c r="T3788" s="25" t="n"/>
      <c r="U3788" s="26">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Builder'!$B$12="",N($S3788)&lt;='Assignment Builder'!$B$12)))</f>
        <v/>
      </c>
      <c r="V3788" s="23" t="n"/>
    </row>
    <row r="3789">
      <c r="A3789" s="23" t="n"/>
      <c r="B3789" s="23" t="n"/>
      <c r="C3789" s="24" t="n"/>
      <c r="D3789" s="15" t="n"/>
      <c r="E3789" s="23" t="n"/>
      <c r="F3789" s="15" t="n"/>
      <c r="G3789" s="23" t="n"/>
      <c r="H3789" s="25" t="n"/>
      <c r="I3789" s="15" t="n"/>
      <c r="J3789" s="26">
        <f>IF($A3789="","",LEN($C3789)-LEN(SUBSTITUTE($C3789,",",""))+1)</f>
        <v/>
      </c>
      <c r="K3789" s="26">
        <f>IF($A3789="","",SUMPRODUCT(--ISNUMBER(SEARCH('Category Dictionary'!$D$5:$D$135&amp;"",$C3789)),--('Category Dictionary'!$D$5:$D$135&lt;&gt;"")))</f>
        <v/>
      </c>
      <c r="L3789" s="27">
        <f>IF($A3789="","",TRIM(IF(ISERROR(FIND(",",$C3789)),$C3789,LEFT($C3789,FIND(",",$C3789)-1))))</f>
        <v/>
      </c>
      <c r="M3789" s="28">
        <f>IF($H3789="","",DATE(YEAR($H3789),MONTH($H3789),1))</f>
        <v/>
      </c>
      <c r="N3789" s="26">
        <f>IF($H3789="","",TODAY()-$H3789)</f>
        <v/>
      </c>
      <c r="O3789" s="15" t="n"/>
      <c r="P3789" s="26">
        <f>IF($A3789="","",COUNTIFS('Audit Versions'!$A$6:$A$605,$A3789,'Audit Versions'!$L$6:$L$605,"Active"))</f>
        <v/>
      </c>
      <c r="Q3789" s="15" t="n"/>
      <c r="R3789" s="26">
        <f>IF(OR($A3789="",$P3789=0),"",MOD(N($Q3789),$P3789)+1)</f>
        <v/>
      </c>
      <c r="S3789" s="15" t="n"/>
      <c r="T3789" s="25" t="n"/>
      <c r="U3789" s="26">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Builder'!$B$12="",N($S3789)&lt;='Assignment Builder'!$B$12)))</f>
        <v/>
      </c>
      <c r="V3789" s="23" t="n"/>
    </row>
    <row r="3790">
      <c r="A3790" s="23" t="n"/>
      <c r="B3790" s="23" t="n"/>
      <c r="C3790" s="24" t="n"/>
      <c r="D3790" s="15" t="n"/>
      <c r="E3790" s="23" t="n"/>
      <c r="F3790" s="15" t="n"/>
      <c r="G3790" s="23" t="n"/>
      <c r="H3790" s="25" t="n"/>
      <c r="I3790" s="15" t="n"/>
      <c r="J3790" s="26">
        <f>IF($A3790="","",LEN($C3790)-LEN(SUBSTITUTE($C3790,",",""))+1)</f>
        <v/>
      </c>
      <c r="K3790" s="26">
        <f>IF($A3790="","",SUMPRODUCT(--ISNUMBER(SEARCH('Category Dictionary'!$D$5:$D$135&amp;"",$C3790)),--('Category Dictionary'!$D$5:$D$135&lt;&gt;"")))</f>
        <v/>
      </c>
      <c r="L3790" s="27">
        <f>IF($A3790="","",TRIM(IF(ISERROR(FIND(",",$C3790)),$C3790,LEFT($C3790,FIND(",",$C3790)-1))))</f>
        <v/>
      </c>
      <c r="M3790" s="28">
        <f>IF($H3790="","",DATE(YEAR($H3790),MONTH($H3790),1))</f>
        <v/>
      </c>
      <c r="N3790" s="26">
        <f>IF($H3790="","",TODAY()-$H3790)</f>
        <v/>
      </c>
      <c r="O3790" s="15" t="n"/>
      <c r="P3790" s="26">
        <f>IF($A3790="","",COUNTIFS('Audit Versions'!$A$6:$A$605,$A3790,'Audit Versions'!$L$6:$L$605,"Active"))</f>
        <v/>
      </c>
      <c r="Q3790" s="15" t="n"/>
      <c r="R3790" s="26">
        <f>IF(OR($A3790="",$P3790=0),"",MOD(N($Q3790),$P3790)+1)</f>
        <v/>
      </c>
      <c r="S3790" s="15" t="n"/>
      <c r="T3790" s="25" t="n"/>
      <c r="U3790" s="26">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Builder'!$B$12="",N($S3790)&lt;='Assignment Builder'!$B$12)))</f>
        <v/>
      </c>
      <c r="V3790" s="23" t="n"/>
    </row>
    <row r="3791">
      <c r="A3791" s="23" t="n"/>
      <c r="B3791" s="23" t="n"/>
      <c r="C3791" s="24" t="n"/>
      <c r="D3791" s="15" t="n"/>
      <c r="E3791" s="23" t="n"/>
      <c r="F3791" s="15" t="n"/>
      <c r="G3791" s="23" t="n"/>
      <c r="H3791" s="25" t="n"/>
      <c r="I3791" s="15" t="n"/>
      <c r="J3791" s="26">
        <f>IF($A3791="","",LEN($C3791)-LEN(SUBSTITUTE($C3791,",",""))+1)</f>
        <v/>
      </c>
      <c r="K3791" s="26">
        <f>IF($A3791="","",SUMPRODUCT(--ISNUMBER(SEARCH('Category Dictionary'!$D$5:$D$135&amp;"",$C3791)),--('Category Dictionary'!$D$5:$D$135&lt;&gt;"")))</f>
        <v/>
      </c>
      <c r="L3791" s="27">
        <f>IF($A3791="","",TRIM(IF(ISERROR(FIND(",",$C3791)),$C3791,LEFT($C3791,FIND(",",$C3791)-1))))</f>
        <v/>
      </c>
      <c r="M3791" s="28">
        <f>IF($H3791="","",DATE(YEAR($H3791),MONTH($H3791),1))</f>
        <v/>
      </c>
      <c r="N3791" s="26">
        <f>IF($H3791="","",TODAY()-$H3791)</f>
        <v/>
      </c>
      <c r="O3791" s="15" t="n"/>
      <c r="P3791" s="26">
        <f>IF($A3791="","",COUNTIFS('Audit Versions'!$A$6:$A$605,$A3791,'Audit Versions'!$L$6:$L$605,"Active"))</f>
        <v/>
      </c>
      <c r="Q3791" s="15" t="n"/>
      <c r="R3791" s="26">
        <f>IF(OR($A3791="",$P3791=0),"",MOD(N($Q3791),$P3791)+1)</f>
        <v/>
      </c>
      <c r="S3791" s="15" t="n"/>
      <c r="T3791" s="25" t="n"/>
      <c r="U3791" s="26">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Builder'!$B$12="",N($S3791)&lt;='Assignment Builder'!$B$12)))</f>
        <v/>
      </c>
      <c r="V3791" s="23" t="n"/>
    </row>
    <row r="3792">
      <c r="A3792" s="23" t="n"/>
      <c r="B3792" s="23" t="n"/>
      <c r="C3792" s="24" t="n"/>
      <c r="D3792" s="15" t="n"/>
      <c r="E3792" s="23" t="n"/>
      <c r="F3792" s="15" t="n"/>
      <c r="G3792" s="23" t="n"/>
      <c r="H3792" s="25" t="n"/>
      <c r="I3792" s="15" t="n"/>
      <c r="J3792" s="26">
        <f>IF($A3792="","",LEN($C3792)-LEN(SUBSTITUTE($C3792,",",""))+1)</f>
        <v/>
      </c>
      <c r="K3792" s="26">
        <f>IF($A3792="","",SUMPRODUCT(--ISNUMBER(SEARCH('Category Dictionary'!$D$5:$D$135&amp;"",$C3792)),--('Category Dictionary'!$D$5:$D$135&lt;&gt;"")))</f>
        <v/>
      </c>
      <c r="L3792" s="27">
        <f>IF($A3792="","",TRIM(IF(ISERROR(FIND(",",$C3792)),$C3792,LEFT($C3792,FIND(",",$C3792)-1))))</f>
        <v/>
      </c>
      <c r="M3792" s="28">
        <f>IF($H3792="","",DATE(YEAR($H3792),MONTH($H3792),1))</f>
        <v/>
      </c>
      <c r="N3792" s="26">
        <f>IF($H3792="","",TODAY()-$H3792)</f>
        <v/>
      </c>
      <c r="O3792" s="15" t="n"/>
      <c r="P3792" s="26">
        <f>IF($A3792="","",COUNTIFS('Audit Versions'!$A$6:$A$605,$A3792,'Audit Versions'!$L$6:$L$605,"Active"))</f>
        <v/>
      </c>
      <c r="Q3792" s="15" t="n"/>
      <c r="R3792" s="26">
        <f>IF(OR($A3792="",$P3792=0),"",MOD(N($Q3792),$P3792)+1)</f>
        <v/>
      </c>
      <c r="S3792" s="15" t="n"/>
      <c r="T3792" s="25" t="n"/>
      <c r="U3792" s="26">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Builder'!$B$12="",N($S3792)&lt;='Assignment Builder'!$B$12)))</f>
        <v/>
      </c>
      <c r="V3792" s="23" t="n"/>
    </row>
    <row r="3793">
      <c r="A3793" s="23" t="n"/>
      <c r="B3793" s="23" t="n"/>
      <c r="C3793" s="24" t="n"/>
      <c r="D3793" s="15" t="n"/>
      <c r="E3793" s="23" t="n"/>
      <c r="F3793" s="15" t="n"/>
      <c r="G3793" s="23" t="n"/>
      <c r="H3793" s="25" t="n"/>
      <c r="I3793" s="15" t="n"/>
      <c r="J3793" s="26">
        <f>IF($A3793="","",LEN($C3793)-LEN(SUBSTITUTE($C3793,",",""))+1)</f>
        <v/>
      </c>
      <c r="K3793" s="26">
        <f>IF($A3793="","",SUMPRODUCT(--ISNUMBER(SEARCH('Category Dictionary'!$D$5:$D$135&amp;"",$C3793)),--('Category Dictionary'!$D$5:$D$135&lt;&gt;"")))</f>
        <v/>
      </c>
      <c r="L3793" s="27">
        <f>IF($A3793="","",TRIM(IF(ISERROR(FIND(",",$C3793)),$C3793,LEFT($C3793,FIND(",",$C3793)-1))))</f>
        <v/>
      </c>
      <c r="M3793" s="28">
        <f>IF($H3793="","",DATE(YEAR($H3793),MONTH($H3793),1))</f>
        <v/>
      </c>
      <c r="N3793" s="26">
        <f>IF($H3793="","",TODAY()-$H3793)</f>
        <v/>
      </c>
      <c r="O3793" s="15" t="n"/>
      <c r="P3793" s="26">
        <f>IF($A3793="","",COUNTIFS('Audit Versions'!$A$6:$A$605,$A3793,'Audit Versions'!$L$6:$L$605,"Active"))</f>
        <v/>
      </c>
      <c r="Q3793" s="15" t="n"/>
      <c r="R3793" s="26">
        <f>IF(OR($A3793="",$P3793=0),"",MOD(N($Q3793),$P3793)+1)</f>
        <v/>
      </c>
      <c r="S3793" s="15" t="n"/>
      <c r="T3793" s="25" t="n"/>
      <c r="U3793" s="26">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Builder'!$B$12="",N($S3793)&lt;='Assignment Builder'!$B$12)))</f>
        <v/>
      </c>
      <c r="V3793" s="23" t="n"/>
    </row>
    <row r="3794">
      <c r="A3794" s="23" t="n"/>
      <c r="B3794" s="23" t="n"/>
      <c r="C3794" s="24" t="n"/>
      <c r="D3794" s="15" t="n"/>
      <c r="E3794" s="23" t="n"/>
      <c r="F3794" s="15" t="n"/>
      <c r="G3794" s="23" t="n"/>
      <c r="H3794" s="25" t="n"/>
      <c r="I3794" s="15" t="n"/>
      <c r="J3794" s="26">
        <f>IF($A3794="","",LEN($C3794)-LEN(SUBSTITUTE($C3794,",",""))+1)</f>
        <v/>
      </c>
      <c r="K3794" s="26">
        <f>IF($A3794="","",SUMPRODUCT(--ISNUMBER(SEARCH('Category Dictionary'!$D$5:$D$135&amp;"",$C3794)),--('Category Dictionary'!$D$5:$D$135&lt;&gt;"")))</f>
        <v/>
      </c>
      <c r="L3794" s="27">
        <f>IF($A3794="","",TRIM(IF(ISERROR(FIND(",",$C3794)),$C3794,LEFT($C3794,FIND(",",$C3794)-1))))</f>
        <v/>
      </c>
      <c r="M3794" s="28">
        <f>IF($H3794="","",DATE(YEAR($H3794),MONTH($H3794),1))</f>
        <v/>
      </c>
      <c r="N3794" s="26">
        <f>IF($H3794="","",TODAY()-$H3794)</f>
        <v/>
      </c>
      <c r="O3794" s="15" t="n"/>
      <c r="P3794" s="26">
        <f>IF($A3794="","",COUNTIFS('Audit Versions'!$A$6:$A$605,$A3794,'Audit Versions'!$L$6:$L$605,"Active"))</f>
        <v/>
      </c>
      <c r="Q3794" s="15" t="n"/>
      <c r="R3794" s="26">
        <f>IF(OR($A3794="",$P3794=0),"",MOD(N($Q3794),$P3794)+1)</f>
        <v/>
      </c>
      <c r="S3794" s="15" t="n"/>
      <c r="T3794" s="25" t="n"/>
      <c r="U3794" s="26">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Builder'!$B$12="",N($S3794)&lt;='Assignment Builder'!$B$12)))</f>
        <v/>
      </c>
      <c r="V3794" s="23" t="n"/>
    </row>
    <row r="3795">
      <c r="A3795" s="23" t="n"/>
      <c r="B3795" s="23" t="n"/>
      <c r="C3795" s="24" t="n"/>
      <c r="D3795" s="15" t="n"/>
      <c r="E3795" s="23" t="n"/>
      <c r="F3795" s="15" t="n"/>
      <c r="G3795" s="23" t="n"/>
      <c r="H3795" s="25" t="n"/>
      <c r="I3795" s="15" t="n"/>
      <c r="J3795" s="26">
        <f>IF($A3795="","",LEN($C3795)-LEN(SUBSTITUTE($C3795,",",""))+1)</f>
        <v/>
      </c>
      <c r="K3795" s="26">
        <f>IF($A3795="","",SUMPRODUCT(--ISNUMBER(SEARCH('Category Dictionary'!$D$5:$D$135&amp;"",$C3795)),--('Category Dictionary'!$D$5:$D$135&lt;&gt;"")))</f>
        <v/>
      </c>
      <c r="L3795" s="27">
        <f>IF($A3795="","",TRIM(IF(ISERROR(FIND(",",$C3795)),$C3795,LEFT($C3795,FIND(",",$C3795)-1))))</f>
        <v/>
      </c>
      <c r="M3795" s="28">
        <f>IF($H3795="","",DATE(YEAR($H3795),MONTH($H3795),1))</f>
        <v/>
      </c>
      <c r="N3795" s="26">
        <f>IF($H3795="","",TODAY()-$H3795)</f>
        <v/>
      </c>
      <c r="O3795" s="15" t="n"/>
      <c r="P3795" s="26">
        <f>IF($A3795="","",COUNTIFS('Audit Versions'!$A$6:$A$605,$A3795,'Audit Versions'!$L$6:$L$605,"Active"))</f>
        <v/>
      </c>
      <c r="Q3795" s="15" t="n"/>
      <c r="R3795" s="26">
        <f>IF(OR($A3795="",$P3795=0),"",MOD(N($Q3795),$P3795)+1)</f>
        <v/>
      </c>
      <c r="S3795" s="15" t="n"/>
      <c r="T3795" s="25" t="n"/>
      <c r="U3795" s="26">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Builder'!$B$12="",N($S3795)&lt;='Assignment Builder'!$B$12)))</f>
        <v/>
      </c>
      <c r="V3795" s="23" t="n"/>
    </row>
    <row r="3796">
      <c r="A3796" s="23" t="n"/>
      <c r="B3796" s="23" t="n"/>
      <c r="C3796" s="24" t="n"/>
      <c r="D3796" s="15" t="n"/>
      <c r="E3796" s="23" t="n"/>
      <c r="F3796" s="15" t="n"/>
      <c r="G3796" s="23" t="n"/>
      <c r="H3796" s="25" t="n"/>
      <c r="I3796" s="15" t="n"/>
      <c r="J3796" s="26">
        <f>IF($A3796="","",LEN($C3796)-LEN(SUBSTITUTE($C3796,",",""))+1)</f>
        <v/>
      </c>
      <c r="K3796" s="26">
        <f>IF($A3796="","",SUMPRODUCT(--ISNUMBER(SEARCH('Category Dictionary'!$D$5:$D$135&amp;"",$C3796)),--('Category Dictionary'!$D$5:$D$135&lt;&gt;"")))</f>
        <v/>
      </c>
      <c r="L3796" s="27">
        <f>IF($A3796="","",TRIM(IF(ISERROR(FIND(",",$C3796)),$C3796,LEFT($C3796,FIND(",",$C3796)-1))))</f>
        <v/>
      </c>
      <c r="M3796" s="28">
        <f>IF($H3796="","",DATE(YEAR($H3796),MONTH($H3796),1))</f>
        <v/>
      </c>
      <c r="N3796" s="26">
        <f>IF($H3796="","",TODAY()-$H3796)</f>
        <v/>
      </c>
      <c r="O3796" s="15" t="n"/>
      <c r="P3796" s="26">
        <f>IF($A3796="","",COUNTIFS('Audit Versions'!$A$6:$A$605,$A3796,'Audit Versions'!$L$6:$L$605,"Active"))</f>
        <v/>
      </c>
      <c r="Q3796" s="15" t="n"/>
      <c r="R3796" s="26">
        <f>IF(OR($A3796="",$P3796=0),"",MOD(N($Q3796),$P3796)+1)</f>
        <v/>
      </c>
      <c r="S3796" s="15" t="n"/>
      <c r="T3796" s="25" t="n"/>
      <c r="U3796" s="26">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Builder'!$B$12="",N($S3796)&lt;='Assignment Builder'!$B$12)))</f>
        <v/>
      </c>
      <c r="V3796" s="23" t="n"/>
    </row>
    <row r="3797">
      <c r="A3797" s="23" t="n"/>
      <c r="B3797" s="23" t="n"/>
      <c r="C3797" s="24" t="n"/>
      <c r="D3797" s="15" t="n"/>
      <c r="E3797" s="23" t="n"/>
      <c r="F3797" s="15" t="n"/>
      <c r="G3797" s="23" t="n"/>
      <c r="H3797" s="25" t="n"/>
      <c r="I3797" s="15" t="n"/>
      <c r="J3797" s="26">
        <f>IF($A3797="","",LEN($C3797)-LEN(SUBSTITUTE($C3797,",",""))+1)</f>
        <v/>
      </c>
      <c r="K3797" s="26">
        <f>IF($A3797="","",SUMPRODUCT(--ISNUMBER(SEARCH('Category Dictionary'!$D$5:$D$135&amp;"",$C3797)),--('Category Dictionary'!$D$5:$D$135&lt;&gt;"")))</f>
        <v/>
      </c>
      <c r="L3797" s="27">
        <f>IF($A3797="","",TRIM(IF(ISERROR(FIND(",",$C3797)),$C3797,LEFT($C3797,FIND(",",$C3797)-1))))</f>
        <v/>
      </c>
      <c r="M3797" s="28">
        <f>IF($H3797="","",DATE(YEAR($H3797),MONTH($H3797),1))</f>
        <v/>
      </c>
      <c r="N3797" s="26">
        <f>IF($H3797="","",TODAY()-$H3797)</f>
        <v/>
      </c>
      <c r="O3797" s="15" t="n"/>
      <c r="P3797" s="26">
        <f>IF($A3797="","",COUNTIFS('Audit Versions'!$A$6:$A$605,$A3797,'Audit Versions'!$L$6:$L$605,"Active"))</f>
        <v/>
      </c>
      <c r="Q3797" s="15" t="n"/>
      <c r="R3797" s="26">
        <f>IF(OR($A3797="",$P3797=0),"",MOD(N($Q3797),$P3797)+1)</f>
        <v/>
      </c>
      <c r="S3797" s="15" t="n"/>
      <c r="T3797" s="25" t="n"/>
      <c r="U3797" s="26">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Builder'!$B$12="",N($S3797)&lt;='Assignment Builder'!$B$12)))</f>
        <v/>
      </c>
      <c r="V3797" s="23" t="n"/>
    </row>
    <row r="3798">
      <c r="A3798" s="23" t="n"/>
      <c r="B3798" s="23" t="n"/>
      <c r="C3798" s="24" t="n"/>
      <c r="D3798" s="15" t="n"/>
      <c r="E3798" s="23" t="n"/>
      <c r="F3798" s="15" t="n"/>
      <c r="G3798" s="23" t="n"/>
      <c r="H3798" s="25" t="n"/>
      <c r="I3798" s="15" t="n"/>
      <c r="J3798" s="26">
        <f>IF($A3798="","",LEN($C3798)-LEN(SUBSTITUTE($C3798,",",""))+1)</f>
        <v/>
      </c>
      <c r="K3798" s="26">
        <f>IF($A3798="","",SUMPRODUCT(--ISNUMBER(SEARCH('Category Dictionary'!$D$5:$D$135&amp;"",$C3798)),--('Category Dictionary'!$D$5:$D$135&lt;&gt;"")))</f>
        <v/>
      </c>
      <c r="L3798" s="27">
        <f>IF($A3798="","",TRIM(IF(ISERROR(FIND(",",$C3798)),$C3798,LEFT($C3798,FIND(",",$C3798)-1))))</f>
        <v/>
      </c>
      <c r="M3798" s="28">
        <f>IF($H3798="","",DATE(YEAR($H3798),MONTH($H3798),1))</f>
        <v/>
      </c>
      <c r="N3798" s="26">
        <f>IF($H3798="","",TODAY()-$H3798)</f>
        <v/>
      </c>
      <c r="O3798" s="15" t="n"/>
      <c r="P3798" s="26">
        <f>IF($A3798="","",COUNTIFS('Audit Versions'!$A$6:$A$605,$A3798,'Audit Versions'!$L$6:$L$605,"Active"))</f>
        <v/>
      </c>
      <c r="Q3798" s="15" t="n"/>
      <c r="R3798" s="26">
        <f>IF(OR($A3798="",$P3798=0),"",MOD(N($Q3798),$P3798)+1)</f>
        <v/>
      </c>
      <c r="S3798" s="15" t="n"/>
      <c r="T3798" s="25" t="n"/>
      <c r="U3798" s="26">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Builder'!$B$12="",N($S3798)&lt;='Assignment Builder'!$B$12)))</f>
        <v/>
      </c>
      <c r="V3798" s="23" t="n"/>
    </row>
    <row r="3799">
      <c r="A3799" s="23" t="n"/>
      <c r="B3799" s="23" t="n"/>
      <c r="C3799" s="24" t="n"/>
      <c r="D3799" s="15" t="n"/>
      <c r="E3799" s="23" t="n"/>
      <c r="F3799" s="15" t="n"/>
      <c r="G3799" s="23" t="n"/>
      <c r="H3799" s="25" t="n"/>
      <c r="I3799" s="15" t="n"/>
      <c r="J3799" s="26">
        <f>IF($A3799="","",LEN($C3799)-LEN(SUBSTITUTE($C3799,",",""))+1)</f>
        <v/>
      </c>
      <c r="K3799" s="26">
        <f>IF($A3799="","",SUMPRODUCT(--ISNUMBER(SEARCH('Category Dictionary'!$D$5:$D$135&amp;"",$C3799)),--('Category Dictionary'!$D$5:$D$135&lt;&gt;"")))</f>
        <v/>
      </c>
      <c r="L3799" s="27">
        <f>IF($A3799="","",TRIM(IF(ISERROR(FIND(",",$C3799)),$C3799,LEFT($C3799,FIND(",",$C3799)-1))))</f>
        <v/>
      </c>
      <c r="M3799" s="28">
        <f>IF($H3799="","",DATE(YEAR($H3799),MONTH($H3799),1))</f>
        <v/>
      </c>
      <c r="N3799" s="26">
        <f>IF($H3799="","",TODAY()-$H3799)</f>
        <v/>
      </c>
      <c r="O3799" s="15" t="n"/>
      <c r="P3799" s="26">
        <f>IF($A3799="","",COUNTIFS('Audit Versions'!$A$6:$A$605,$A3799,'Audit Versions'!$L$6:$L$605,"Active"))</f>
        <v/>
      </c>
      <c r="Q3799" s="15" t="n"/>
      <c r="R3799" s="26">
        <f>IF(OR($A3799="",$P3799=0),"",MOD(N($Q3799),$P3799)+1)</f>
        <v/>
      </c>
      <c r="S3799" s="15" t="n"/>
      <c r="T3799" s="25" t="n"/>
      <c r="U3799" s="26">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Builder'!$B$12="",N($S3799)&lt;='Assignment Builder'!$B$12)))</f>
        <v/>
      </c>
      <c r="V3799" s="23" t="n"/>
    </row>
    <row r="3800">
      <c r="A3800" s="23" t="n"/>
      <c r="B3800" s="23" t="n"/>
      <c r="C3800" s="24" t="n"/>
      <c r="D3800" s="15" t="n"/>
      <c r="E3800" s="23" t="n"/>
      <c r="F3800" s="15" t="n"/>
      <c r="G3800" s="23" t="n"/>
      <c r="H3800" s="25" t="n"/>
      <c r="I3800" s="15" t="n"/>
      <c r="J3800" s="26">
        <f>IF($A3800="","",LEN($C3800)-LEN(SUBSTITUTE($C3800,",",""))+1)</f>
        <v/>
      </c>
      <c r="K3800" s="26">
        <f>IF($A3800="","",SUMPRODUCT(--ISNUMBER(SEARCH('Category Dictionary'!$D$5:$D$135&amp;"",$C3800)),--('Category Dictionary'!$D$5:$D$135&lt;&gt;"")))</f>
        <v/>
      </c>
      <c r="L3800" s="27">
        <f>IF($A3800="","",TRIM(IF(ISERROR(FIND(",",$C3800)),$C3800,LEFT($C3800,FIND(",",$C3800)-1))))</f>
        <v/>
      </c>
      <c r="M3800" s="28">
        <f>IF($H3800="","",DATE(YEAR($H3800),MONTH($H3800),1))</f>
        <v/>
      </c>
      <c r="N3800" s="26">
        <f>IF($H3800="","",TODAY()-$H3800)</f>
        <v/>
      </c>
      <c r="O3800" s="15" t="n"/>
      <c r="P3800" s="26">
        <f>IF($A3800="","",COUNTIFS('Audit Versions'!$A$6:$A$605,$A3800,'Audit Versions'!$L$6:$L$605,"Active"))</f>
        <v/>
      </c>
      <c r="Q3800" s="15" t="n"/>
      <c r="R3800" s="26">
        <f>IF(OR($A3800="",$P3800=0),"",MOD(N($Q3800),$P3800)+1)</f>
        <v/>
      </c>
      <c r="S3800" s="15" t="n"/>
      <c r="T3800" s="25" t="n"/>
      <c r="U3800" s="26">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Builder'!$B$12="",N($S3800)&lt;='Assignment Builder'!$B$12)))</f>
        <v/>
      </c>
      <c r="V3800" s="23" t="n"/>
    </row>
    <row r="3801">
      <c r="A3801" s="23" t="n"/>
      <c r="B3801" s="23" t="n"/>
      <c r="C3801" s="24" t="n"/>
      <c r="D3801" s="15" t="n"/>
      <c r="E3801" s="23" t="n"/>
      <c r="F3801" s="15" t="n"/>
      <c r="G3801" s="23" t="n"/>
      <c r="H3801" s="25" t="n"/>
      <c r="I3801" s="15" t="n"/>
      <c r="J3801" s="26">
        <f>IF($A3801="","",LEN($C3801)-LEN(SUBSTITUTE($C3801,",",""))+1)</f>
        <v/>
      </c>
      <c r="K3801" s="26">
        <f>IF($A3801="","",SUMPRODUCT(--ISNUMBER(SEARCH('Category Dictionary'!$D$5:$D$135&amp;"",$C3801)),--('Category Dictionary'!$D$5:$D$135&lt;&gt;"")))</f>
        <v/>
      </c>
      <c r="L3801" s="27">
        <f>IF($A3801="","",TRIM(IF(ISERROR(FIND(",",$C3801)),$C3801,LEFT($C3801,FIND(",",$C3801)-1))))</f>
        <v/>
      </c>
      <c r="M3801" s="28">
        <f>IF($H3801="","",DATE(YEAR($H3801),MONTH($H3801),1))</f>
        <v/>
      </c>
      <c r="N3801" s="26">
        <f>IF($H3801="","",TODAY()-$H3801)</f>
        <v/>
      </c>
      <c r="O3801" s="15" t="n"/>
      <c r="P3801" s="26">
        <f>IF($A3801="","",COUNTIFS('Audit Versions'!$A$6:$A$605,$A3801,'Audit Versions'!$L$6:$L$605,"Active"))</f>
        <v/>
      </c>
      <c r="Q3801" s="15" t="n"/>
      <c r="R3801" s="26">
        <f>IF(OR($A3801="",$P3801=0),"",MOD(N($Q3801),$P3801)+1)</f>
        <v/>
      </c>
      <c r="S3801" s="15" t="n"/>
      <c r="T3801" s="25" t="n"/>
      <c r="U3801" s="26">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Builder'!$B$12="",N($S3801)&lt;='Assignment Builder'!$B$12)))</f>
        <v/>
      </c>
      <c r="V3801" s="23" t="n"/>
    </row>
    <row r="3802">
      <c r="A3802" s="23" t="n"/>
      <c r="B3802" s="23" t="n"/>
      <c r="C3802" s="24" t="n"/>
      <c r="D3802" s="15" t="n"/>
      <c r="E3802" s="23" t="n"/>
      <c r="F3802" s="15" t="n"/>
      <c r="G3802" s="23" t="n"/>
      <c r="H3802" s="25" t="n"/>
      <c r="I3802" s="15" t="n"/>
      <c r="J3802" s="26">
        <f>IF($A3802="","",LEN($C3802)-LEN(SUBSTITUTE($C3802,",",""))+1)</f>
        <v/>
      </c>
      <c r="K3802" s="26">
        <f>IF($A3802="","",SUMPRODUCT(--ISNUMBER(SEARCH('Category Dictionary'!$D$5:$D$135&amp;"",$C3802)),--('Category Dictionary'!$D$5:$D$135&lt;&gt;"")))</f>
        <v/>
      </c>
      <c r="L3802" s="27">
        <f>IF($A3802="","",TRIM(IF(ISERROR(FIND(",",$C3802)),$C3802,LEFT($C3802,FIND(",",$C3802)-1))))</f>
        <v/>
      </c>
      <c r="M3802" s="28">
        <f>IF($H3802="","",DATE(YEAR($H3802),MONTH($H3802),1))</f>
        <v/>
      </c>
      <c r="N3802" s="26">
        <f>IF($H3802="","",TODAY()-$H3802)</f>
        <v/>
      </c>
      <c r="O3802" s="15" t="n"/>
      <c r="P3802" s="26">
        <f>IF($A3802="","",COUNTIFS('Audit Versions'!$A$6:$A$605,$A3802,'Audit Versions'!$L$6:$L$605,"Active"))</f>
        <v/>
      </c>
      <c r="Q3802" s="15" t="n"/>
      <c r="R3802" s="26">
        <f>IF(OR($A3802="",$P3802=0),"",MOD(N($Q3802),$P3802)+1)</f>
        <v/>
      </c>
      <c r="S3802" s="15" t="n"/>
      <c r="T3802" s="25" t="n"/>
      <c r="U3802" s="26">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Builder'!$B$12="",N($S3802)&lt;='Assignment Builder'!$B$12)))</f>
        <v/>
      </c>
      <c r="V3802" s="23" t="n"/>
    </row>
    <row r="3803">
      <c r="A3803" s="23" t="n"/>
      <c r="B3803" s="23" t="n"/>
      <c r="C3803" s="24" t="n"/>
      <c r="D3803" s="15" t="n"/>
      <c r="E3803" s="23" t="n"/>
      <c r="F3803" s="15" t="n"/>
      <c r="G3803" s="23" t="n"/>
      <c r="H3803" s="25" t="n"/>
      <c r="I3803" s="15" t="n"/>
      <c r="J3803" s="26">
        <f>IF($A3803="","",LEN($C3803)-LEN(SUBSTITUTE($C3803,",",""))+1)</f>
        <v/>
      </c>
      <c r="K3803" s="26">
        <f>IF($A3803="","",SUMPRODUCT(--ISNUMBER(SEARCH('Category Dictionary'!$D$5:$D$135&amp;"",$C3803)),--('Category Dictionary'!$D$5:$D$135&lt;&gt;"")))</f>
        <v/>
      </c>
      <c r="L3803" s="27">
        <f>IF($A3803="","",TRIM(IF(ISERROR(FIND(",",$C3803)),$C3803,LEFT($C3803,FIND(",",$C3803)-1))))</f>
        <v/>
      </c>
      <c r="M3803" s="28">
        <f>IF($H3803="","",DATE(YEAR($H3803),MONTH($H3803),1))</f>
        <v/>
      </c>
      <c r="N3803" s="26">
        <f>IF($H3803="","",TODAY()-$H3803)</f>
        <v/>
      </c>
      <c r="O3803" s="15" t="n"/>
      <c r="P3803" s="26">
        <f>IF($A3803="","",COUNTIFS('Audit Versions'!$A$6:$A$605,$A3803,'Audit Versions'!$L$6:$L$605,"Active"))</f>
        <v/>
      </c>
      <c r="Q3803" s="15" t="n"/>
      <c r="R3803" s="26">
        <f>IF(OR($A3803="",$P3803=0),"",MOD(N($Q3803),$P3803)+1)</f>
        <v/>
      </c>
      <c r="S3803" s="15" t="n"/>
      <c r="T3803" s="25" t="n"/>
      <c r="U3803" s="26">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Builder'!$B$12="",N($S3803)&lt;='Assignment Builder'!$B$12)))</f>
        <v/>
      </c>
      <c r="V3803" s="23" t="n"/>
    </row>
    <row r="3804">
      <c r="A3804" s="23" t="n"/>
      <c r="B3804" s="23" t="n"/>
      <c r="C3804" s="24" t="n"/>
      <c r="D3804" s="15" t="n"/>
      <c r="E3804" s="23" t="n"/>
      <c r="F3804" s="15" t="n"/>
      <c r="G3804" s="23" t="n"/>
      <c r="H3804" s="25" t="n"/>
      <c r="I3804" s="15" t="n"/>
      <c r="J3804" s="26">
        <f>IF($A3804="","",LEN($C3804)-LEN(SUBSTITUTE($C3804,",",""))+1)</f>
        <v/>
      </c>
      <c r="K3804" s="26">
        <f>IF($A3804="","",SUMPRODUCT(--ISNUMBER(SEARCH('Category Dictionary'!$D$5:$D$135&amp;"",$C3804)),--('Category Dictionary'!$D$5:$D$135&lt;&gt;"")))</f>
        <v/>
      </c>
      <c r="L3804" s="27">
        <f>IF($A3804="","",TRIM(IF(ISERROR(FIND(",",$C3804)),$C3804,LEFT($C3804,FIND(",",$C3804)-1))))</f>
        <v/>
      </c>
      <c r="M3804" s="28">
        <f>IF($H3804="","",DATE(YEAR($H3804),MONTH($H3804),1))</f>
        <v/>
      </c>
      <c r="N3804" s="26">
        <f>IF($H3804="","",TODAY()-$H3804)</f>
        <v/>
      </c>
      <c r="O3804" s="15" t="n"/>
      <c r="P3804" s="26">
        <f>IF($A3804="","",COUNTIFS('Audit Versions'!$A$6:$A$605,$A3804,'Audit Versions'!$L$6:$L$605,"Active"))</f>
        <v/>
      </c>
      <c r="Q3804" s="15" t="n"/>
      <c r="R3804" s="26">
        <f>IF(OR($A3804="",$P3804=0),"",MOD(N($Q3804),$P3804)+1)</f>
        <v/>
      </c>
      <c r="S3804" s="15" t="n"/>
      <c r="T3804" s="25" t="n"/>
      <c r="U3804" s="26">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Builder'!$B$12="",N($S3804)&lt;='Assignment Builder'!$B$12)))</f>
        <v/>
      </c>
      <c r="V3804" s="23" t="n"/>
    </row>
    <row r="3805">
      <c r="A3805" s="23" t="n"/>
      <c r="B3805" s="23" t="n"/>
      <c r="C3805" s="24" t="n"/>
      <c r="D3805" s="15" t="n"/>
      <c r="E3805" s="23" t="n"/>
      <c r="F3805" s="15" t="n"/>
      <c r="G3805" s="23" t="n"/>
      <c r="H3805" s="25" t="n"/>
      <c r="I3805" s="15" t="n"/>
      <c r="J3805" s="26">
        <f>IF($A3805="","",LEN($C3805)-LEN(SUBSTITUTE($C3805,",",""))+1)</f>
        <v/>
      </c>
      <c r="K3805" s="26">
        <f>IF($A3805="","",SUMPRODUCT(--ISNUMBER(SEARCH('Category Dictionary'!$D$5:$D$135&amp;"",$C3805)),--('Category Dictionary'!$D$5:$D$135&lt;&gt;"")))</f>
        <v/>
      </c>
      <c r="L3805" s="27">
        <f>IF($A3805="","",TRIM(IF(ISERROR(FIND(",",$C3805)),$C3805,LEFT($C3805,FIND(",",$C3805)-1))))</f>
        <v/>
      </c>
      <c r="M3805" s="28">
        <f>IF($H3805="","",DATE(YEAR($H3805),MONTH($H3805),1))</f>
        <v/>
      </c>
      <c r="N3805" s="26">
        <f>IF($H3805="","",TODAY()-$H3805)</f>
        <v/>
      </c>
      <c r="O3805" s="15" t="n"/>
      <c r="P3805" s="26">
        <f>IF($A3805="","",COUNTIFS('Audit Versions'!$A$6:$A$605,$A3805,'Audit Versions'!$L$6:$L$605,"Active"))</f>
        <v/>
      </c>
      <c r="Q3805" s="15" t="n"/>
      <c r="R3805" s="26">
        <f>IF(OR($A3805="",$P3805=0),"",MOD(N($Q3805),$P3805)+1)</f>
        <v/>
      </c>
      <c r="S3805" s="15" t="n"/>
      <c r="T3805" s="25" t="n"/>
      <c r="U3805" s="26">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Builder'!$B$12="",N($S3805)&lt;='Assignment Builder'!$B$12)))</f>
        <v/>
      </c>
      <c r="V3805" s="23" t="n"/>
    </row>
    <row r="3806">
      <c r="A3806" s="23" t="n"/>
      <c r="B3806" s="23" t="n"/>
      <c r="C3806" s="24" t="n"/>
      <c r="D3806" s="15" t="n"/>
      <c r="E3806" s="23" t="n"/>
      <c r="F3806" s="15" t="n"/>
      <c r="G3806" s="23" t="n"/>
      <c r="H3806" s="25" t="n"/>
      <c r="I3806" s="15" t="n"/>
      <c r="J3806" s="26">
        <f>IF($A3806="","",LEN($C3806)-LEN(SUBSTITUTE($C3806,",",""))+1)</f>
        <v/>
      </c>
      <c r="K3806" s="26">
        <f>IF($A3806="","",SUMPRODUCT(--ISNUMBER(SEARCH('Category Dictionary'!$D$5:$D$135&amp;"",$C3806)),--('Category Dictionary'!$D$5:$D$135&lt;&gt;"")))</f>
        <v/>
      </c>
      <c r="L3806" s="27">
        <f>IF($A3806="","",TRIM(IF(ISERROR(FIND(",",$C3806)),$C3806,LEFT($C3806,FIND(",",$C3806)-1))))</f>
        <v/>
      </c>
      <c r="M3806" s="28">
        <f>IF($H3806="","",DATE(YEAR($H3806),MONTH($H3806),1))</f>
        <v/>
      </c>
      <c r="N3806" s="26">
        <f>IF($H3806="","",TODAY()-$H3806)</f>
        <v/>
      </c>
      <c r="O3806" s="15" t="n"/>
      <c r="P3806" s="26">
        <f>IF($A3806="","",COUNTIFS('Audit Versions'!$A$6:$A$605,$A3806,'Audit Versions'!$L$6:$L$605,"Active"))</f>
        <v/>
      </c>
      <c r="Q3806" s="15" t="n"/>
      <c r="R3806" s="26">
        <f>IF(OR($A3806="",$P3806=0),"",MOD(N($Q3806),$P3806)+1)</f>
        <v/>
      </c>
      <c r="S3806" s="15" t="n"/>
      <c r="T3806" s="25" t="n"/>
      <c r="U3806" s="26">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Builder'!$B$12="",N($S3806)&lt;='Assignment Builder'!$B$12)))</f>
        <v/>
      </c>
      <c r="V3806" s="23" t="n"/>
    </row>
    <row r="3807">
      <c r="A3807" s="23" t="n"/>
      <c r="B3807" s="23" t="n"/>
      <c r="C3807" s="24" t="n"/>
      <c r="D3807" s="15" t="n"/>
      <c r="E3807" s="23" t="n"/>
      <c r="F3807" s="15" t="n"/>
      <c r="G3807" s="23" t="n"/>
      <c r="H3807" s="25" t="n"/>
      <c r="I3807" s="15" t="n"/>
      <c r="J3807" s="26">
        <f>IF($A3807="","",LEN($C3807)-LEN(SUBSTITUTE($C3807,",",""))+1)</f>
        <v/>
      </c>
      <c r="K3807" s="26">
        <f>IF($A3807="","",SUMPRODUCT(--ISNUMBER(SEARCH('Category Dictionary'!$D$5:$D$135&amp;"",$C3807)),--('Category Dictionary'!$D$5:$D$135&lt;&gt;"")))</f>
        <v/>
      </c>
      <c r="L3807" s="27">
        <f>IF($A3807="","",TRIM(IF(ISERROR(FIND(",",$C3807)),$C3807,LEFT($C3807,FIND(",",$C3807)-1))))</f>
        <v/>
      </c>
      <c r="M3807" s="28">
        <f>IF($H3807="","",DATE(YEAR($H3807),MONTH($H3807),1))</f>
        <v/>
      </c>
      <c r="N3807" s="26">
        <f>IF($H3807="","",TODAY()-$H3807)</f>
        <v/>
      </c>
      <c r="O3807" s="15" t="n"/>
      <c r="P3807" s="26">
        <f>IF($A3807="","",COUNTIFS('Audit Versions'!$A$6:$A$605,$A3807,'Audit Versions'!$L$6:$L$605,"Active"))</f>
        <v/>
      </c>
      <c r="Q3807" s="15" t="n"/>
      <c r="R3807" s="26">
        <f>IF(OR($A3807="",$P3807=0),"",MOD(N($Q3807),$P3807)+1)</f>
        <v/>
      </c>
      <c r="S3807" s="15" t="n"/>
      <c r="T3807" s="25" t="n"/>
      <c r="U3807" s="26">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Builder'!$B$12="",N($S3807)&lt;='Assignment Builder'!$B$12)))</f>
        <v/>
      </c>
      <c r="V3807" s="23" t="n"/>
    </row>
    <row r="3808">
      <c r="A3808" s="23" t="n"/>
      <c r="B3808" s="23" t="n"/>
      <c r="C3808" s="24" t="n"/>
      <c r="D3808" s="15" t="n"/>
      <c r="E3808" s="23" t="n"/>
      <c r="F3808" s="15" t="n"/>
      <c r="G3808" s="23" t="n"/>
      <c r="H3808" s="25" t="n"/>
      <c r="I3808" s="15" t="n"/>
      <c r="J3808" s="26">
        <f>IF($A3808="","",LEN($C3808)-LEN(SUBSTITUTE($C3808,",",""))+1)</f>
        <v/>
      </c>
      <c r="K3808" s="26">
        <f>IF($A3808="","",SUMPRODUCT(--ISNUMBER(SEARCH('Category Dictionary'!$D$5:$D$135&amp;"",$C3808)),--('Category Dictionary'!$D$5:$D$135&lt;&gt;"")))</f>
        <v/>
      </c>
      <c r="L3808" s="27">
        <f>IF($A3808="","",TRIM(IF(ISERROR(FIND(",",$C3808)),$C3808,LEFT($C3808,FIND(",",$C3808)-1))))</f>
        <v/>
      </c>
      <c r="M3808" s="28">
        <f>IF($H3808="","",DATE(YEAR($H3808),MONTH($H3808),1))</f>
        <v/>
      </c>
      <c r="N3808" s="26">
        <f>IF($H3808="","",TODAY()-$H3808)</f>
        <v/>
      </c>
      <c r="O3808" s="15" t="n"/>
      <c r="P3808" s="26">
        <f>IF($A3808="","",COUNTIFS('Audit Versions'!$A$6:$A$605,$A3808,'Audit Versions'!$L$6:$L$605,"Active"))</f>
        <v/>
      </c>
      <c r="Q3808" s="15" t="n"/>
      <c r="R3808" s="26">
        <f>IF(OR($A3808="",$P3808=0),"",MOD(N($Q3808),$P3808)+1)</f>
        <v/>
      </c>
      <c r="S3808" s="15" t="n"/>
      <c r="T3808" s="25" t="n"/>
      <c r="U3808" s="26">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Builder'!$B$12="",N($S3808)&lt;='Assignment Builder'!$B$12)))</f>
        <v/>
      </c>
      <c r="V3808" s="23" t="n"/>
    </row>
    <row r="3809">
      <c r="A3809" s="23" t="n"/>
      <c r="B3809" s="23" t="n"/>
      <c r="C3809" s="24" t="n"/>
      <c r="D3809" s="15" t="n"/>
      <c r="E3809" s="23" t="n"/>
      <c r="F3809" s="15" t="n"/>
      <c r="G3809" s="23" t="n"/>
      <c r="H3809" s="25" t="n"/>
      <c r="I3809" s="15" t="n"/>
      <c r="J3809" s="26">
        <f>IF($A3809="","",LEN($C3809)-LEN(SUBSTITUTE($C3809,",",""))+1)</f>
        <v/>
      </c>
      <c r="K3809" s="26">
        <f>IF($A3809="","",SUMPRODUCT(--ISNUMBER(SEARCH('Category Dictionary'!$D$5:$D$135&amp;"",$C3809)),--('Category Dictionary'!$D$5:$D$135&lt;&gt;"")))</f>
        <v/>
      </c>
      <c r="L3809" s="27">
        <f>IF($A3809="","",TRIM(IF(ISERROR(FIND(",",$C3809)),$C3809,LEFT($C3809,FIND(",",$C3809)-1))))</f>
        <v/>
      </c>
      <c r="M3809" s="28">
        <f>IF($H3809="","",DATE(YEAR($H3809),MONTH($H3809),1))</f>
        <v/>
      </c>
      <c r="N3809" s="26">
        <f>IF($H3809="","",TODAY()-$H3809)</f>
        <v/>
      </c>
      <c r="O3809" s="15" t="n"/>
      <c r="P3809" s="26">
        <f>IF($A3809="","",COUNTIFS('Audit Versions'!$A$6:$A$605,$A3809,'Audit Versions'!$L$6:$L$605,"Active"))</f>
        <v/>
      </c>
      <c r="Q3809" s="15" t="n"/>
      <c r="R3809" s="26">
        <f>IF(OR($A3809="",$P3809=0),"",MOD(N($Q3809),$P3809)+1)</f>
        <v/>
      </c>
      <c r="S3809" s="15" t="n"/>
      <c r="T3809" s="25" t="n"/>
      <c r="U3809" s="26">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Builder'!$B$12="",N($S3809)&lt;='Assignment Builder'!$B$12)))</f>
        <v/>
      </c>
      <c r="V3809" s="23" t="n"/>
    </row>
    <row r="3810">
      <c r="A3810" s="23" t="n"/>
      <c r="B3810" s="23" t="n"/>
      <c r="C3810" s="24" t="n"/>
      <c r="D3810" s="15" t="n"/>
      <c r="E3810" s="23" t="n"/>
      <c r="F3810" s="15" t="n"/>
      <c r="G3810" s="23" t="n"/>
      <c r="H3810" s="25" t="n"/>
      <c r="I3810" s="15" t="n"/>
      <c r="J3810" s="26">
        <f>IF($A3810="","",LEN($C3810)-LEN(SUBSTITUTE($C3810,",",""))+1)</f>
        <v/>
      </c>
      <c r="K3810" s="26">
        <f>IF($A3810="","",SUMPRODUCT(--ISNUMBER(SEARCH('Category Dictionary'!$D$5:$D$135&amp;"",$C3810)),--('Category Dictionary'!$D$5:$D$135&lt;&gt;"")))</f>
        <v/>
      </c>
      <c r="L3810" s="27">
        <f>IF($A3810="","",TRIM(IF(ISERROR(FIND(",",$C3810)),$C3810,LEFT($C3810,FIND(",",$C3810)-1))))</f>
        <v/>
      </c>
      <c r="M3810" s="28">
        <f>IF($H3810="","",DATE(YEAR($H3810),MONTH($H3810),1))</f>
        <v/>
      </c>
      <c r="N3810" s="26">
        <f>IF($H3810="","",TODAY()-$H3810)</f>
        <v/>
      </c>
      <c r="O3810" s="15" t="n"/>
      <c r="P3810" s="26">
        <f>IF($A3810="","",COUNTIFS('Audit Versions'!$A$6:$A$605,$A3810,'Audit Versions'!$L$6:$L$605,"Active"))</f>
        <v/>
      </c>
      <c r="Q3810" s="15" t="n"/>
      <c r="R3810" s="26">
        <f>IF(OR($A3810="",$P3810=0),"",MOD(N($Q3810),$P3810)+1)</f>
        <v/>
      </c>
      <c r="S3810" s="15" t="n"/>
      <c r="T3810" s="25" t="n"/>
      <c r="U3810" s="26">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Builder'!$B$12="",N($S3810)&lt;='Assignment Builder'!$B$12)))</f>
        <v/>
      </c>
      <c r="V3810" s="23" t="n"/>
    </row>
    <row r="3811">
      <c r="A3811" s="23" t="n"/>
      <c r="B3811" s="23" t="n"/>
      <c r="C3811" s="24" t="n"/>
      <c r="D3811" s="15" t="n"/>
      <c r="E3811" s="23" t="n"/>
      <c r="F3811" s="15" t="n"/>
      <c r="G3811" s="23" t="n"/>
      <c r="H3811" s="25" t="n"/>
      <c r="I3811" s="15" t="n"/>
      <c r="J3811" s="26">
        <f>IF($A3811="","",LEN($C3811)-LEN(SUBSTITUTE($C3811,",",""))+1)</f>
        <v/>
      </c>
      <c r="K3811" s="26">
        <f>IF($A3811="","",SUMPRODUCT(--ISNUMBER(SEARCH('Category Dictionary'!$D$5:$D$135&amp;"",$C3811)),--('Category Dictionary'!$D$5:$D$135&lt;&gt;"")))</f>
        <v/>
      </c>
      <c r="L3811" s="27">
        <f>IF($A3811="","",TRIM(IF(ISERROR(FIND(",",$C3811)),$C3811,LEFT($C3811,FIND(",",$C3811)-1))))</f>
        <v/>
      </c>
      <c r="M3811" s="28">
        <f>IF($H3811="","",DATE(YEAR($H3811),MONTH($H3811),1))</f>
        <v/>
      </c>
      <c r="N3811" s="26">
        <f>IF($H3811="","",TODAY()-$H3811)</f>
        <v/>
      </c>
      <c r="O3811" s="15" t="n"/>
      <c r="P3811" s="26">
        <f>IF($A3811="","",COUNTIFS('Audit Versions'!$A$6:$A$605,$A3811,'Audit Versions'!$L$6:$L$605,"Active"))</f>
        <v/>
      </c>
      <c r="Q3811" s="15" t="n"/>
      <c r="R3811" s="26">
        <f>IF(OR($A3811="",$P3811=0),"",MOD(N($Q3811),$P3811)+1)</f>
        <v/>
      </c>
      <c r="S3811" s="15" t="n"/>
      <c r="T3811" s="25" t="n"/>
      <c r="U3811" s="26">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Builder'!$B$12="",N($S3811)&lt;='Assignment Builder'!$B$12)))</f>
        <v/>
      </c>
      <c r="V3811" s="23" t="n"/>
    </row>
    <row r="3812">
      <c r="A3812" s="23" t="n"/>
      <c r="B3812" s="23" t="n"/>
      <c r="C3812" s="24" t="n"/>
      <c r="D3812" s="15" t="n"/>
      <c r="E3812" s="23" t="n"/>
      <c r="F3812" s="15" t="n"/>
      <c r="G3812" s="23" t="n"/>
      <c r="H3812" s="25" t="n"/>
      <c r="I3812" s="15" t="n"/>
      <c r="J3812" s="26">
        <f>IF($A3812="","",LEN($C3812)-LEN(SUBSTITUTE($C3812,",",""))+1)</f>
        <v/>
      </c>
      <c r="K3812" s="26">
        <f>IF($A3812="","",SUMPRODUCT(--ISNUMBER(SEARCH('Category Dictionary'!$D$5:$D$135&amp;"",$C3812)),--('Category Dictionary'!$D$5:$D$135&lt;&gt;"")))</f>
        <v/>
      </c>
      <c r="L3812" s="27">
        <f>IF($A3812="","",TRIM(IF(ISERROR(FIND(",",$C3812)),$C3812,LEFT($C3812,FIND(",",$C3812)-1))))</f>
        <v/>
      </c>
      <c r="M3812" s="28">
        <f>IF($H3812="","",DATE(YEAR($H3812),MONTH($H3812),1))</f>
        <v/>
      </c>
      <c r="N3812" s="26">
        <f>IF($H3812="","",TODAY()-$H3812)</f>
        <v/>
      </c>
      <c r="O3812" s="15" t="n"/>
      <c r="P3812" s="26">
        <f>IF($A3812="","",COUNTIFS('Audit Versions'!$A$6:$A$605,$A3812,'Audit Versions'!$L$6:$L$605,"Active"))</f>
        <v/>
      </c>
      <c r="Q3812" s="15" t="n"/>
      <c r="R3812" s="26">
        <f>IF(OR($A3812="",$P3812=0),"",MOD(N($Q3812),$P3812)+1)</f>
        <v/>
      </c>
      <c r="S3812" s="15" t="n"/>
      <c r="T3812" s="25" t="n"/>
      <c r="U3812" s="26">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Builder'!$B$12="",N($S3812)&lt;='Assignment Builder'!$B$12)))</f>
        <v/>
      </c>
      <c r="V3812" s="23" t="n"/>
    </row>
    <row r="3813">
      <c r="A3813" s="23" t="n"/>
      <c r="B3813" s="23" t="n"/>
      <c r="C3813" s="24" t="n"/>
      <c r="D3813" s="15" t="n"/>
      <c r="E3813" s="23" t="n"/>
      <c r="F3813" s="15" t="n"/>
      <c r="G3813" s="23" t="n"/>
      <c r="H3813" s="25" t="n"/>
      <c r="I3813" s="15" t="n"/>
      <c r="J3813" s="26">
        <f>IF($A3813="","",LEN($C3813)-LEN(SUBSTITUTE($C3813,",",""))+1)</f>
        <v/>
      </c>
      <c r="K3813" s="26">
        <f>IF($A3813="","",SUMPRODUCT(--ISNUMBER(SEARCH('Category Dictionary'!$D$5:$D$135&amp;"",$C3813)),--('Category Dictionary'!$D$5:$D$135&lt;&gt;"")))</f>
        <v/>
      </c>
      <c r="L3813" s="27">
        <f>IF($A3813="","",TRIM(IF(ISERROR(FIND(",",$C3813)),$C3813,LEFT($C3813,FIND(",",$C3813)-1))))</f>
        <v/>
      </c>
      <c r="M3813" s="28">
        <f>IF($H3813="","",DATE(YEAR($H3813),MONTH($H3813),1))</f>
        <v/>
      </c>
      <c r="N3813" s="26">
        <f>IF($H3813="","",TODAY()-$H3813)</f>
        <v/>
      </c>
      <c r="O3813" s="15" t="n"/>
      <c r="P3813" s="26">
        <f>IF($A3813="","",COUNTIFS('Audit Versions'!$A$6:$A$605,$A3813,'Audit Versions'!$L$6:$L$605,"Active"))</f>
        <v/>
      </c>
      <c r="Q3813" s="15" t="n"/>
      <c r="R3813" s="26">
        <f>IF(OR($A3813="",$P3813=0),"",MOD(N($Q3813),$P3813)+1)</f>
        <v/>
      </c>
      <c r="S3813" s="15" t="n"/>
      <c r="T3813" s="25" t="n"/>
      <c r="U3813" s="26">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Builder'!$B$12="",N($S3813)&lt;='Assignment Builder'!$B$12)))</f>
        <v/>
      </c>
      <c r="V3813" s="23" t="n"/>
    </row>
    <row r="3814">
      <c r="A3814" s="23" t="n"/>
      <c r="B3814" s="23" t="n"/>
      <c r="C3814" s="24" t="n"/>
      <c r="D3814" s="15" t="n"/>
      <c r="E3814" s="23" t="n"/>
      <c r="F3814" s="15" t="n"/>
      <c r="G3814" s="23" t="n"/>
      <c r="H3814" s="25" t="n"/>
      <c r="I3814" s="15" t="n"/>
      <c r="J3814" s="26">
        <f>IF($A3814="","",LEN($C3814)-LEN(SUBSTITUTE($C3814,",",""))+1)</f>
        <v/>
      </c>
      <c r="K3814" s="26">
        <f>IF($A3814="","",SUMPRODUCT(--ISNUMBER(SEARCH('Category Dictionary'!$D$5:$D$135&amp;"",$C3814)),--('Category Dictionary'!$D$5:$D$135&lt;&gt;"")))</f>
        <v/>
      </c>
      <c r="L3814" s="27">
        <f>IF($A3814="","",TRIM(IF(ISERROR(FIND(",",$C3814)),$C3814,LEFT($C3814,FIND(",",$C3814)-1))))</f>
        <v/>
      </c>
      <c r="M3814" s="28">
        <f>IF($H3814="","",DATE(YEAR($H3814),MONTH($H3814),1))</f>
        <v/>
      </c>
      <c r="N3814" s="26">
        <f>IF($H3814="","",TODAY()-$H3814)</f>
        <v/>
      </c>
      <c r="O3814" s="15" t="n"/>
      <c r="P3814" s="26">
        <f>IF($A3814="","",COUNTIFS('Audit Versions'!$A$6:$A$605,$A3814,'Audit Versions'!$L$6:$L$605,"Active"))</f>
        <v/>
      </c>
      <c r="Q3814" s="15" t="n"/>
      <c r="R3814" s="26">
        <f>IF(OR($A3814="",$P3814=0),"",MOD(N($Q3814),$P3814)+1)</f>
        <v/>
      </c>
      <c r="S3814" s="15" t="n"/>
      <c r="T3814" s="25" t="n"/>
      <c r="U3814" s="26">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Builder'!$B$12="",N($S3814)&lt;='Assignment Builder'!$B$12)))</f>
        <v/>
      </c>
      <c r="V3814" s="23" t="n"/>
    </row>
    <row r="3815">
      <c r="A3815" s="23" t="n"/>
      <c r="B3815" s="23" t="n"/>
      <c r="C3815" s="24" t="n"/>
      <c r="D3815" s="15" t="n"/>
      <c r="E3815" s="23" t="n"/>
      <c r="F3815" s="15" t="n"/>
      <c r="G3815" s="23" t="n"/>
      <c r="H3815" s="25" t="n"/>
      <c r="I3815" s="15" t="n"/>
      <c r="J3815" s="26">
        <f>IF($A3815="","",LEN($C3815)-LEN(SUBSTITUTE($C3815,",",""))+1)</f>
        <v/>
      </c>
      <c r="K3815" s="26">
        <f>IF($A3815="","",SUMPRODUCT(--ISNUMBER(SEARCH('Category Dictionary'!$D$5:$D$135&amp;"",$C3815)),--('Category Dictionary'!$D$5:$D$135&lt;&gt;"")))</f>
        <v/>
      </c>
      <c r="L3815" s="27">
        <f>IF($A3815="","",TRIM(IF(ISERROR(FIND(",",$C3815)),$C3815,LEFT($C3815,FIND(",",$C3815)-1))))</f>
        <v/>
      </c>
      <c r="M3815" s="28">
        <f>IF($H3815="","",DATE(YEAR($H3815),MONTH($H3815),1))</f>
        <v/>
      </c>
      <c r="N3815" s="26">
        <f>IF($H3815="","",TODAY()-$H3815)</f>
        <v/>
      </c>
      <c r="O3815" s="15" t="n"/>
      <c r="P3815" s="26">
        <f>IF($A3815="","",COUNTIFS('Audit Versions'!$A$6:$A$605,$A3815,'Audit Versions'!$L$6:$L$605,"Active"))</f>
        <v/>
      </c>
      <c r="Q3815" s="15" t="n"/>
      <c r="R3815" s="26">
        <f>IF(OR($A3815="",$P3815=0),"",MOD(N($Q3815),$P3815)+1)</f>
        <v/>
      </c>
      <c r="S3815" s="15" t="n"/>
      <c r="T3815" s="25" t="n"/>
      <c r="U3815" s="26">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Builder'!$B$12="",N($S3815)&lt;='Assignment Builder'!$B$12)))</f>
        <v/>
      </c>
      <c r="V3815" s="23" t="n"/>
    </row>
    <row r="3816">
      <c r="A3816" s="23" t="n"/>
      <c r="B3816" s="23" t="n"/>
      <c r="C3816" s="24" t="n"/>
      <c r="D3816" s="15" t="n"/>
      <c r="E3816" s="23" t="n"/>
      <c r="F3816" s="15" t="n"/>
      <c r="G3816" s="23" t="n"/>
      <c r="H3816" s="25" t="n"/>
      <c r="I3816" s="15" t="n"/>
      <c r="J3816" s="26">
        <f>IF($A3816="","",LEN($C3816)-LEN(SUBSTITUTE($C3816,",",""))+1)</f>
        <v/>
      </c>
      <c r="K3816" s="26">
        <f>IF($A3816="","",SUMPRODUCT(--ISNUMBER(SEARCH('Category Dictionary'!$D$5:$D$135&amp;"",$C3816)),--('Category Dictionary'!$D$5:$D$135&lt;&gt;"")))</f>
        <v/>
      </c>
      <c r="L3816" s="27">
        <f>IF($A3816="","",TRIM(IF(ISERROR(FIND(",",$C3816)),$C3816,LEFT($C3816,FIND(",",$C3816)-1))))</f>
        <v/>
      </c>
      <c r="M3816" s="28">
        <f>IF($H3816="","",DATE(YEAR($H3816),MONTH($H3816),1))</f>
        <v/>
      </c>
      <c r="N3816" s="26">
        <f>IF($H3816="","",TODAY()-$H3816)</f>
        <v/>
      </c>
      <c r="O3816" s="15" t="n"/>
      <c r="P3816" s="26">
        <f>IF($A3816="","",COUNTIFS('Audit Versions'!$A$6:$A$605,$A3816,'Audit Versions'!$L$6:$L$605,"Active"))</f>
        <v/>
      </c>
      <c r="Q3816" s="15" t="n"/>
      <c r="R3816" s="26">
        <f>IF(OR($A3816="",$P3816=0),"",MOD(N($Q3816),$P3816)+1)</f>
        <v/>
      </c>
      <c r="S3816" s="15" t="n"/>
      <c r="T3816" s="25" t="n"/>
      <c r="U3816" s="26">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Builder'!$B$12="",N($S3816)&lt;='Assignment Builder'!$B$12)))</f>
        <v/>
      </c>
      <c r="V3816" s="23" t="n"/>
    </row>
    <row r="3817">
      <c r="A3817" s="23" t="n"/>
      <c r="B3817" s="23" t="n"/>
      <c r="C3817" s="24" t="n"/>
      <c r="D3817" s="15" t="n"/>
      <c r="E3817" s="23" t="n"/>
      <c r="F3817" s="15" t="n"/>
      <c r="G3817" s="23" t="n"/>
      <c r="H3817" s="25" t="n"/>
      <c r="I3817" s="15" t="n"/>
      <c r="J3817" s="26">
        <f>IF($A3817="","",LEN($C3817)-LEN(SUBSTITUTE($C3817,",",""))+1)</f>
        <v/>
      </c>
      <c r="K3817" s="26">
        <f>IF($A3817="","",SUMPRODUCT(--ISNUMBER(SEARCH('Category Dictionary'!$D$5:$D$135&amp;"",$C3817)),--('Category Dictionary'!$D$5:$D$135&lt;&gt;"")))</f>
        <v/>
      </c>
      <c r="L3817" s="27">
        <f>IF($A3817="","",TRIM(IF(ISERROR(FIND(",",$C3817)),$C3817,LEFT($C3817,FIND(",",$C3817)-1))))</f>
        <v/>
      </c>
      <c r="M3817" s="28">
        <f>IF($H3817="","",DATE(YEAR($H3817),MONTH($H3817),1))</f>
        <v/>
      </c>
      <c r="N3817" s="26">
        <f>IF($H3817="","",TODAY()-$H3817)</f>
        <v/>
      </c>
      <c r="O3817" s="15" t="n"/>
      <c r="P3817" s="26">
        <f>IF($A3817="","",COUNTIFS('Audit Versions'!$A$6:$A$605,$A3817,'Audit Versions'!$L$6:$L$605,"Active"))</f>
        <v/>
      </c>
      <c r="Q3817" s="15" t="n"/>
      <c r="R3817" s="26">
        <f>IF(OR($A3817="",$P3817=0),"",MOD(N($Q3817),$P3817)+1)</f>
        <v/>
      </c>
      <c r="S3817" s="15" t="n"/>
      <c r="T3817" s="25" t="n"/>
      <c r="U3817" s="26">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Builder'!$B$12="",N($S3817)&lt;='Assignment Builder'!$B$12)))</f>
        <v/>
      </c>
      <c r="V3817" s="23" t="n"/>
    </row>
    <row r="3818">
      <c r="A3818" s="23" t="n"/>
      <c r="B3818" s="23" t="n"/>
      <c r="C3818" s="24" t="n"/>
      <c r="D3818" s="15" t="n"/>
      <c r="E3818" s="23" t="n"/>
      <c r="F3818" s="15" t="n"/>
      <c r="G3818" s="23" t="n"/>
      <c r="H3818" s="25" t="n"/>
      <c r="I3818" s="15" t="n"/>
      <c r="J3818" s="26">
        <f>IF($A3818="","",LEN($C3818)-LEN(SUBSTITUTE($C3818,",",""))+1)</f>
        <v/>
      </c>
      <c r="K3818" s="26">
        <f>IF($A3818="","",SUMPRODUCT(--ISNUMBER(SEARCH('Category Dictionary'!$D$5:$D$135&amp;"",$C3818)),--('Category Dictionary'!$D$5:$D$135&lt;&gt;"")))</f>
        <v/>
      </c>
      <c r="L3818" s="27">
        <f>IF($A3818="","",TRIM(IF(ISERROR(FIND(",",$C3818)),$C3818,LEFT($C3818,FIND(",",$C3818)-1))))</f>
        <v/>
      </c>
      <c r="M3818" s="28">
        <f>IF($H3818="","",DATE(YEAR($H3818),MONTH($H3818),1))</f>
        <v/>
      </c>
      <c r="N3818" s="26">
        <f>IF($H3818="","",TODAY()-$H3818)</f>
        <v/>
      </c>
      <c r="O3818" s="15" t="n"/>
      <c r="P3818" s="26">
        <f>IF($A3818="","",COUNTIFS('Audit Versions'!$A$6:$A$605,$A3818,'Audit Versions'!$L$6:$L$605,"Active"))</f>
        <v/>
      </c>
      <c r="Q3818" s="15" t="n"/>
      <c r="R3818" s="26">
        <f>IF(OR($A3818="",$P3818=0),"",MOD(N($Q3818),$P3818)+1)</f>
        <v/>
      </c>
      <c r="S3818" s="15" t="n"/>
      <c r="T3818" s="25" t="n"/>
      <c r="U3818" s="26">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Builder'!$B$12="",N($S3818)&lt;='Assignment Builder'!$B$12)))</f>
        <v/>
      </c>
      <c r="V3818" s="23" t="n"/>
    </row>
    <row r="3819">
      <c r="A3819" s="23" t="n"/>
      <c r="B3819" s="23" t="n"/>
      <c r="C3819" s="24" t="n"/>
      <c r="D3819" s="15" t="n"/>
      <c r="E3819" s="23" t="n"/>
      <c r="F3819" s="15" t="n"/>
      <c r="G3819" s="23" t="n"/>
      <c r="H3819" s="25" t="n"/>
      <c r="I3819" s="15" t="n"/>
      <c r="J3819" s="26">
        <f>IF($A3819="","",LEN($C3819)-LEN(SUBSTITUTE($C3819,",",""))+1)</f>
        <v/>
      </c>
      <c r="K3819" s="26">
        <f>IF($A3819="","",SUMPRODUCT(--ISNUMBER(SEARCH('Category Dictionary'!$D$5:$D$135&amp;"",$C3819)),--('Category Dictionary'!$D$5:$D$135&lt;&gt;"")))</f>
        <v/>
      </c>
      <c r="L3819" s="27">
        <f>IF($A3819="","",TRIM(IF(ISERROR(FIND(",",$C3819)),$C3819,LEFT($C3819,FIND(",",$C3819)-1))))</f>
        <v/>
      </c>
      <c r="M3819" s="28">
        <f>IF($H3819="","",DATE(YEAR($H3819),MONTH($H3819),1))</f>
        <v/>
      </c>
      <c r="N3819" s="26">
        <f>IF($H3819="","",TODAY()-$H3819)</f>
        <v/>
      </c>
      <c r="O3819" s="15" t="n"/>
      <c r="P3819" s="26">
        <f>IF($A3819="","",COUNTIFS('Audit Versions'!$A$6:$A$605,$A3819,'Audit Versions'!$L$6:$L$605,"Active"))</f>
        <v/>
      </c>
      <c r="Q3819" s="15" t="n"/>
      <c r="R3819" s="26">
        <f>IF(OR($A3819="",$P3819=0),"",MOD(N($Q3819),$P3819)+1)</f>
        <v/>
      </c>
      <c r="S3819" s="15" t="n"/>
      <c r="T3819" s="25" t="n"/>
      <c r="U3819" s="26">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Builder'!$B$12="",N($S3819)&lt;='Assignment Builder'!$B$12)))</f>
        <v/>
      </c>
      <c r="V3819" s="23" t="n"/>
    </row>
    <row r="3820">
      <c r="A3820" s="23" t="n"/>
      <c r="B3820" s="23" t="n"/>
      <c r="C3820" s="24" t="n"/>
      <c r="D3820" s="15" t="n"/>
      <c r="E3820" s="23" t="n"/>
      <c r="F3820" s="15" t="n"/>
      <c r="G3820" s="23" t="n"/>
      <c r="H3820" s="25" t="n"/>
      <c r="I3820" s="15" t="n"/>
      <c r="J3820" s="26">
        <f>IF($A3820="","",LEN($C3820)-LEN(SUBSTITUTE($C3820,",",""))+1)</f>
        <v/>
      </c>
      <c r="K3820" s="26">
        <f>IF($A3820="","",SUMPRODUCT(--ISNUMBER(SEARCH('Category Dictionary'!$D$5:$D$135&amp;"",$C3820)),--('Category Dictionary'!$D$5:$D$135&lt;&gt;"")))</f>
        <v/>
      </c>
      <c r="L3820" s="27">
        <f>IF($A3820="","",TRIM(IF(ISERROR(FIND(",",$C3820)),$C3820,LEFT($C3820,FIND(",",$C3820)-1))))</f>
        <v/>
      </c>
      <c r="M3820" s="28">
        <f>IF($H3820="","",DATE(YEAR($H3820),MONTH($H3820),1))</f>
        <v/>
      </c>
      <c r="N3820" s="26">
        <f>IF($H3820="","",TODAY()-$H3820)</f>
        <v/>
      </c>
      <c r="O3820" s="15" t="n"/>
      <c r="P3820" s="26">
        <f>IF($A3820="","",COUNTIFS('Audit Versions'!$A$6:$A$605,$A3820,'Audit Versions'!$L$6:$L$605,"Active"))</f>
        <v/>
      </c>
      <c r="Q3820" s="15" t="n"/>
      <c r="R3820" s="26">
        <f>IF(OR($A3820="",$P3820=0),"",MOD(N($Q3820),$P3820)+1)</f>
        <v/>
      </c>
      <c r="S3820" s="15" t="n"/>
      <c r="T3820" s="25" t="n"/>
      <c r="U3820" s="26">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Builder'!$B$12="",N($S3820)&lt;='Assignment Builder'!$B$12)))</f>
        <v/>
      </c>
      <c r="V3820" s="23" t="n"/>
    </row>
    <row r="3821">
      <c r="A3821" s="23" t="n"/>
      <c r="B3821" s="23" t="n"/>
      <c r="C3821" s="24" t="n"/>
      <c r="D3821" s="15" t="n"/>
      <c r="E3821" s="23" t="n"/>
      <c r="F3821" s="15" t="n"/>
      <c r="G3821" s="23" t="n"/>
      <c r="H3821" s="25" t="n"/>
      <c r="I3821" s="15" t="n"/>
      <c r="J3821" s="26">
        <f>IF($A3821="","",LEN($C3821)-LEN(SUBSTITUTE($C3821,",",""))+1)</f>
        <v/>
      </c>
      <c r="K3821" s="26">
        <f>IF($A3821="","",SUMPRODUCT(--ISNUMBER(SEARCH('Category Dictionary'!$D$5:$D$135&amp;"",$C3821)),--('Category Dictionary'!$D$5:$D$135&lt;&gt;"")))</f>
        <v/>
      </c>
      <c r="L3821" s="27">
        <f>IF($A3821="","",TRIM(IF(ISERROR(FIND(",",$C3821)),$C3821,LEFT($C3821,FIND(",",$C3821)-1))))</f>
        <v/>
      </c>
      <c r="M3821" s="28">
        <f>IF($H3821="","",DATE(YEAR($H3821),MONTH($H3821),1))</f>
        <v/>
      </c>
      <c r="N3821" s="26">
        <f>IF($H3821="","",TODAY()-$H3821)</f>
        <v/>
      </c>
      <c r="O3821" s="15" t="n"/>
      <c r="P3821" s="26">
        <f>IF($A3821="","",COUNTIFS('Audit Versions'!$A$6:$A$605,$A3821,'Audit Versions'!$L$6:$L$605,"Active"))</f>
        <v/>
      </c>
      <c r="Q3821" s="15" t="n"/>
      <c r="R3821" s="26">
        <f>IF(OR($A3821="",$P3821=0),"",MOD(N($Q3821),$P3821)+1)</f>
        <v/>
      </c>
      <c r="S3821" s="15" t="n"/>
      <c r="T3821" s="25" t="n"/>
      <c r="U3821" s="26">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Builder'!$B$12="",N($S3821)&lt;='Assignment Builder'!$B$12)))</f>
        <v/>
      </c>
      <c r="V3821" s="23" t="n"/>
    </row>
    <row r="3822">
      <c r="A3822" s="23" t="n"/>
      <c r="B3822" s="23" t="n"/>
      <c r="C3822" s="24" t="n"/>
      <c r="D3822" s="15" t="n"/>
      <c r="E3822" s="23" t="n"/>
      <c r="F3822" s="15" t="n"/>
      <c r="G3822" s="23" t="n"/>
      <c r="H3822" s="25" t="n"/>
      <c r="I3822" s="15" t="n"/>
      <c r="J3822" s="26">
        <f>IF($A3822="","",LEN($C3822)-LEN(SUBSTITUTE($C3822,",",""))+1)</f>
        <v/>
      </c>
      <c r="K3822" s="26">
        <f>IF($A3822="","",SUMPRODUCT(--ISNUMBER(SEARCH('Category Dictionary'!$D$5:$D$135&amp;"",$C3822)),--('Category Dictionary'!$D$5:$D$135&lt;&gt;"")))</f>
        <v/>
      </c>
      <c r="L3822" s="27">
        <f>IF($A3822="","",TRIM(IF(ISERROR(FIND(",",$C3822)),$C3822,LEFT($C3822,FIND(",",$C3822)-1))))</f>
        <v/>
      </c>
      <c r="M3822" s="28">
        <f>IF($H3822="","",DATE(YEAR($H3822),MONTH($H3822),1))</f>
        <v/>
      </c>
      <c r="N3822" s="26">
        <f>IF($H3822="","",TODAY()-$H3822)</f>
        <v/>
      </c>
      <c r="O3822" s="15" t="n"/>
      <c r="P3822" s="26">
        <f>IF($A3822="","",COUNTIFS('Audit Versions'!$A$6:$A$605,$A3822,'Audit Versions'!$L$6:$L$605,"Active"))</f>
        <v/>
      </c>
      <c r="Q3822" s="15" t="n"/>
      <c r="R3822" s="26">
        <f>IF(OR($A3822="",$P3822=0),"",MOD(N($Q3822),$P3822)+1)</f>
        <v/>
      </c>
      <c r="S3822" s="15" t="n"/>
      <c r="T3822" s="25" t="n"/>
      <c r="U3822" s="26">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Builder'!$B$12="",N($S3822)&lt;='Assignment Builder'!$B$12)))</f>
        <v/>
      </c>
      <c r="V3822" s="23" t="n"/>
    </row>
    <row r="3823">
      <c r="A3823" s="23" t="n"/>
      <c r="B3823" s="23" t="n"/>
      <c r="C3823" s="24" t="n"/>
      <c r="D3823" s="15" t="n"/>
      <c r="E3823" s="23" t="n"/>
      <c r="F3823" s="15" t="n"/>
      <c r="G3823" s="23" t="n"/>
      <c r="H3823" s="25" t="n"/>
      <c r="I3823" s="15" t="n"/>
      <c r="J3823" s="26">
        <f>IF($A3823="","",LEN($C3823)-LEN(SUBSTITUTE($C3823,",",""))+1)</f>
        <v/>
      </c>
      <c r="K3823" s="26">
        <f>IF($A3823="","",SUMPRODUCT(--ISNUMBER(SEARCH('Category Dictionary'!$D$5:$D$135&amp;"",$C3823)),--('Category Dictionary'!$D$5:$D$135&lt;&gt;"")))</f>
        <v/>
      </c>
      <c r="L3823" s="27">
        <f>IF($A3823="","",TRIM(IF(ISERROR(FIND(",",$C3823)),$C3823,LEFT($C3823,FIND(",",$C3823)-1))))</f>
        <v/>
      </c>
      <c r="M3823" s="28">
        <f>IF($H3823="","",DATE(YEAR($H3823),MONTH($H3823),1))</f>
        <v/>
      </c>
      <c r="N3823" s="26">
        <f>IF($H3823="","",TODAY()-$H3823)</f>
        <v/>
      </c>
      <c r="O3823" s="15" t="n"/>
      <c r="P3823" s="26">
        <f>IF($A3823="","",COUNTIFS('Audit Versions'!$A$6:$A$605,$A3823,'Audit Versions'!$L$6:$L$605,"Active"))</f>
        <v/>
      </c>
      <c r="Q3823" s="15" t="n"/>
      <c r="R3823" s="26">
        <f>IF(OR($A3823="",$P3823=0),"",MOD(N($Q3823),$P3823)+1)</f>
        <v/>
      </c>
      <c r="S3823" s="15" t="n"/>
      <c r="T3823" s="25" t="n"/>
      <c r="U3823" s="26">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Builder'!$B$12="",N($S3823)&lt;='Assignment Builder'!$B$12)))</f>
        <v/>
      </c>
      <c r="V3823" s="23" t="n"/>
    </row>
    <row r="3824">
      <c r="A3824" s="23" t="n"/>
      <c r="B3824" s="23" t="n"/>
      <c r="C3824" s="24" t="n"/>
      <c r="D3824" s="15" t="n"/>
      <c r="E3824" s="23" t="n"/>
      <c r="F3824" s="15" t="n"/>
      <c r="G3824" s="23" t="n"/>
      <c r="H3824" s="25" t="n"/>
      <c r="I3824" s="15" t="n"/>
      <c r="J3824" s="26">
        <f>IF($A3824="","",LEN($C3824)-LEN(SUBSTITUTE($C3824,",",""))+1)</f>
        <v/>
      </c>
      <c r="K3824" s="26">
        <f>IF($A3824="","",SUMPRODUCT(--ISNUMBER(SEARCH('Category Dictionary'!$D$5:$D$135&amp;"",$C3824)),--('Category Dictionary'!$D$5:$D$135&lt;&gt;"")))</f>
        <v/>
      </c>
      <c r="L3824" s="27">
        <f>IF($A3824="","",TRIM(IF(ISERROR(FIND(",",$C3824)),$C3824,LEFT($C3824,FIND(",",$C3824)-1))))</f>
        <v/>
      </c>
      <c r="M3824" s="28">
        <f>IF($H3824="","",DATE(YEAR($H3824),MONTH($H3824),1))</f>
        <v/>
      </c>
      <c r="N3824" s="26">
        <f>IF($H3824="","",TODAY()-$H3824)</f>
        <v/>
      </c>
      <c r="O3824" s="15" t="n"/>
      <c r="P3824" s="26">
        <f>IF($A3824="","",COUNTIFS('Audit Versions'!$A$6:$A$605,$A3824,'Audit Versions'!$L$6:$L$605,"Active"))</f>
        <v/>
      </c>
      <c r="Q3824" s="15" t="n"/>
      <c r="R3824" s="26">
        <f>IF(OR($A3824="",$P3824=0),"",MOD(N($Q3824),$P3824)+1)</f>
        <v/>
      </c>
      <c r="S3824" s="15" t="n"/>
      <c r="T3824" s="25" t="n"/>
      <c r="U3824" s="26">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Builder'!$B$12="",N($S3824)&lt;='Assignment Builder'!$B$12)))</f>
        <v/>
      </c>
      <c r="V3824" s="23" t="n"/>
    </row>
    <row r="3825">
      <c r="A3825" s="23" t="n"/>
      <c r="B3825" s="23" t="n"/>
      <c r="C3825" s="24" t="n"/>
      <c r="D3825" s="15" t="n"/>
      <c r="E3825" s="23" t="n"/>
      <c r="F3825" s="15" t="n"/>
      <c r="G3825" s="23" t="n"/>
      <c r="H3825" s="25" t="n"/>
      <c r="I3825" s="15" t="n"/>
      <c r="J3825" s="26">
        <f>IF($A3825="","",LEN($C3825)-LEN(SUBSTITUTE($C3825,",",""))+1)</f>
        <v/>
      </c>
      <c r="K3825" s="26">
        <f>IF($A3825="","",SUMPRODUCT(--ISNUMBER(SEARCH('Category Dictionary'!$D$5:$D$135&amp;"",$C3825)),--('Category Dictionary'!$D$5:$D$135&lt;&gt;"")))</f>
        <v/>
      </c>
      <c r="L3825" s="27">
        <f>IF($A3825="","",TRIM(IF(ISERROR(FIND(",",$C3825)),$C3825,LEFT($C3825,FIND(",",$C3825)-1))))</f>
        <v/>
      </c>
      <c r="M3825" s="28">
        <f>IF($H3825="","",DATE(YEAR($H3825),MONTH($H3825),1))</f>
        <v/>
      </c>
      <c r="N3825" s="26">
        <f>IF($H3825="","",TODAY()-$H3825)</f>
        <v/>
      </c>
      <c r="O3825" s="15" t="n"/>
      <c r="P3825" s="26">
        <f>IF($A3825="","",COUNTIFS('Audit Versions'!$A$6:$A$605,$A3825,'Audit Versions'!$L$6:$L$605,"Active"))</f>
        <v/>
      </c>
      <c r="Q3825" s="15" t="n"/>
      <c r="R3825" s="26">
        <f>IF(OR($A3825="",$P3825=0),"",MOD(N($Q3825),$P3825)+1)</f>
        <v/>
      </c>
      <c r="S3825" s="15" t="n"/>
      <c r="T3825" s="25" t="n"/>
      <c r="U3825" s="26">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Builder'!$B$12="",N($S3825)&lt;='Assignment Builder'!$B$12)))</f>
        <v/>
      </c>
      <c r="V3825" s="23" t="n"/>
    </row>
    <row r="3826">
      <c r="A3826" s="23" t="n"/>
      <c r="B3826" s="23" t="n"/>
      <c r="C3826" s="24" t="n"/>
      <c r="D3826" s="15" t="n"/>
      <c r="E3826" s="23" t="n"/>
      <c r="F3826" s="15" t="n"/>
      <c r="G3826" s="23" t="n"/>
      <c r="H3826" s="25" t="n"/>
      <c r="I3826" s="15" t="n"/>
      <c r="J3826" s="26">
        <f>IF($A3826="","",LEN($C3826)-LEN(SUBSTITUTE($C3826,",",""))+1)</f>
        <v/>
      </c>
      <c r="K3826" s="26">
        <f>IF($A3826="","",SUMPRODUCT(--ISNUMBER(SEARCH('Category Dictionary'!$D$5:$D$135&amp;"",$C3826)),--('Category Dictionary'!$D$5:$D$135&lt;&gt;"")))</f>
        <v/>
      </c>
      <c r="L3826" s="27">
        <f>IF($A3826="","",TRIM(IF(ISERROR(FIND(",",$C3826)),$C3826,LEFT($C3826,FIND(",",$C3826)-1))))</f>
        <v/>
      </c>
      <c r="M3826" s="28">
        <f>IF($H3826="","",DATE(YEAR($H3826),MONTH($H3826),1))</f>
        <v/>
      </c>
      <c r="N3826" s="26">
        <f>IF($H3826="","",TODAY()-$H3826)</f>
        <v/>
      </c>
      <c r="O3826" s="15" t="n"/>
      <c r="P3826" s="26">
        <f>IF($A3826="","",COUNTIFS('Audit Versions'!$A$6:$A$605,$A3826,'Audit Versions'!$L$6:$L$605,"Active"))</f>
        <v/>
      </c>
      <c r="Q3826" s="15" t="n"/>
      <c r="R3826" s="26">
        <f>IF(OR($A3826="",$P3826=0),"",MOD(N($Q3826),$P3826)+1)</f>
        <v/>
      </c>
      <c r="S3826" s="15" t="n"/>
      <c r="T3826" s="25" t="n"/>
      <c r="U3826" s="26">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Builder'!$B$12="",N($S3826)&lt;='Assignment Builder'!$B$12)))</f>
        <v/>
      </c>
      <c r="V3826" s="23" t="n"/>
    </row>
    <row r="3827">
      <c r="A3827" s="23" t="n"/>
      <c r="B3827" s="23" t="n"/>
      <c r="C3827" s="24" t="n"/>
      <c r="D3827" s="15" t="n"/>
      <c r="E3827" s="23" t="n"/>
      <c r="F3827" s="15" t="n"/>
      <c r="G3827" s="23" t="n"/>
      <c r="H3827" s="25" t="n"/>
      <c r="I3827" s="15" t="n"/>
      <c r="J3827" s="26">
        <f>IF($A3827="","",LEN($C3827)-LEN(SUBSTITUTE($C3827,",",""))+1)</f>
        <v/>
      </c>
      <c r="K3827" s="26">
        <f>IF($A3827="","",SUMPRODUCT(--ISNUMBER(SEARCH('Category Dictionary'!$D$5:$D$135&amp;"",$C3827)),--('Category Dictionary'!$D$5:$D$135&lt;&gt;"")))</f>
        <v/>
      </c>
      <c r="L3827" s="27">
        <f>IF($A3827="","",TRIM(IF(ISERROR(FIND(",",$C3827)),$C3827,LEFT($C3827,FIND(",",$C3827)-1))))</f>
        <v/>
      </c>
      <c r="M3827" s="28">
        <f>IF($H3827="","",DATE(YEAR($H3827),MONTH($H3827),1))</f>
        <v/>
      </c>
      <c r="N3827" s="26">
        <f>IF($H3827="","",TODAY()-$H3827)</f>
        <v/>
      </c>
      <c r="O3827" s="15" t="n"/>
      <c r="P3827" s="26">
        <f>IF($A3827="","",COUNTIFS('Audit Versions'!$A$6:$A$605,$A3827,'Audit Versions'!$L$6:$L$605,"Active"))</f>
        <v/>
      </c>
      <c r="Q3827" s="15" t="n"/>
      <c r="R3827" s="26">
        <f>IF(OR($A3827="",$P3827=0),"",MOD(N($Q3827),$P3827)+1)</f>
        <v/>
      </c>
      <c r="S3827" s="15" t="n"/>
      <c r="T3827" s="25" t="n"/>
      <c r="U3827" s="26">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Builder'!$B$12="",N($S3827)&lt;='Assignment Builder'!$B$12)))</f>
        <v/>
      </c>
      <c r="V3827" s="23" t="n"/>
    </row>
    <row r="3828">
      <c r="A3828" s="23" t="n"/>
      <c r="B3828" s="23" t="n"/>
      <c r="C3828" s="24" t="n"/>
      <c r="D3828" s="15" t="n"/>
      <c r="E3828" s="23" t="n"/>
      <c r="F3828" s="15" t="n"/>
      <c r="G3828" s="23" t="n"/>
      <c r="H3828" s="25" t="n"/>
      <c r="I3828" s="15" t="n"/>
      <c r="J3828" s="26">
        <f>IF($A3828="","",LEN($C3828)-LEN(SUBSTITUTE($C3828,",",""))+1)</f>
        <v/>
      </c>
      <c r="K3828" s="26">
        <f>IF($A3828="","",SUMPRODUCT(--ISNUMBER(SEARCH('Category Dictionary'!$D$5:$D$135&amp;"",$C3828)),--('Category Dictionary'!$D$5:$D$135&lt;&gt;"")))</f>
        <v/>
      </c>
      <c r="L3828" s="27">
        <f>IF($A3828="","",TRIM(IF(ISERROR(FIND(",",$C3828)),$C3828,LEFT($C3828,FIND(",",$C3828)-1))))</f>
        <v/>
      </c>
      <c r="M3828" s="28">
        <f>IF($H3828="","",DATE(YEAR($H3828),MONTH($H3828),1))</f>
        <v/>
      </c>
      <c r="N3828" s="26">
        <f>IF($H3828="","",TODAY()-$H3828)</f>
        <v/>
      </c>
      <c r="O3828" s="15" t="n"/>
      <c r="P3828" s="26">
        <f>IF($A3828="","",COUNTIFS('Audit Versions'!$A$6:$A$605,$A3828,'Audit Versions'!$L$6:$L$605,"Active"))</f>
        <v/>
      </c>
      <c r="Q3828" s="15" t="n"/>
      <c r="R3828" s="26">
        <f>IF(OR($A3828="",$P3828=0),"",MOD(N($Q3828),$P3828)+1)</f>
        <v/>
      </c>
      <c r="S3828" s="15" t="n"/>
      <c r="T3828" s="25" t="n"/>
      <c r="U3828" s="26">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Builder'!$B$12="",N($S3828)&lt;='Assignment Builder'!$B$12)))</f>
        <v/>
      </c>
      <c r="V3828" s="23" t="n"/>
    </row>
    <row r="3829">
      <c r="A3829" s="23" t="n"/>
      <c r="B3829" s="23" t="n"/>
      <c r="C3829" s="24" t="n"/>
      <c r="D3829" s="15" t="n"/>
      <c r="E3829" s="23" t="n"/>
      <c r="F3829" s="15" t="n"/>
      <c r="G3829" s="23" t="n"/>
      <c r="H3829" s="25" t="n"/>
      <c r="I3829" s="15" t="n"/>
      <c r="J3829" s="26">
        <f>IF($A3829="","",LEN($C3829)-LEN(SUBSTITUTE($C3829,",",""))+1)</f>
        <v/>
      </c>
      <c r="K3829" s="26">
        <f>IF($A3829="","",SUMPRODUCT(--ISNUMBER(SEARCH('Category Dictionary'!$D$5:$D$135&amp;"",$C3829)),--('Category Dictionary'!$D$5:$D$135&lt;&gt;"")))</f>
        <v/>
      </c>
      <c r="L3829" s="27">
        <f>IF($A3829="","",TRIM(IF(ISERROR(FIND(",",$C3829)),$C3829,LEFT($C3829,FIND(",",$C3829)-1))))</f>
        <v/>
      </c>
      <c r="M3829" s="28">
        <f>IF($H3829="","",DATE(YEAR($H3829),MONTH($H3829),1))</f>
        <v/>
      </c>
      <c r="N3829" s="26">
        <f>IF($H3829="","",TODAY()-$H3829)</f>
        <v/>
      </c>
      <c r="O3829" s="15" t="n"/>
      <c r="P3829" s="26">
        <f>IF($A3829="","",COUNTIFS('Audit Versions'!$A$6:$A$605,$A3829,'Audit Versions'!$L$6:$L$605,"Active"))</f>
        <v/>
      </c>
      <c r="Q3829" s="15" t="n"/>
      <c r="R3829" s="26">
        <f>IF(OR($A3829="",$P3829=0),"",MOD(N($Q3829),$P3829)+1)</f>
        <v/>
      </c>
      <c r="S3829" s="15" t="n"/>
      <c r="T3829" s="25" t="n"/>
      <c r="U3829" s="26">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Builder'!$B$12="",N($S3829)&lt;='Assignment Builder'!$B$12)))</f>
        <v/>
      </c>
      <c r="V3829" s="23" t="n"/>
    </row>
    <row r="3830">
      <c r="A3830" s="23" t="n"/>
      <c r="B3830" s="23" t="n"/>
      <c r="C3830" s="24" t="n"/>
      <c r="D3830" s="15" t="n"/>
      <c r="E3830" s="23" t="n"/>
      <c r="F3830" s="15" t="n"/>
      <c r="G3830" s="23" t="n"/>
      <c r="H3830" s="25" t="n"/>
      <c r="I3830" s="15" t="n"/>
      <c r="J3830" s="26">
        <f>IF($A3830="","",LEN($C3830)-LEN(SUBSTITUTE($C3830,",",""))+1)</f>
        <v/>
      </c>
      <c r="K3830" s="26">
        <f>IF($A3830="","",SUMPRODUCT(--ISNUMBER(SEARCH('Category Dictionary'!$D$5:$D$135&amp;"",$C3830)),--('Category Dictionary'!$D$5:$D$135&lt;&gt;"")))</f>
        <v/>
      </c>
      <c r="L3830" s="27">
        <f>IF($A3830="","",TRIM(IF(ISERROR(FIND(",",$C3830)),$C3830,LEFT($C3830,FIND(",",$C3830)-1))))</f>
        <v/>
      </c>
      <c r="M3830" s="28">
        <f>IF($H3830="","",DATE(YEAR($H3830),MONTH($H3830),1))</f>
        <v/>
      </c>
      <c r="N3830" s="26">
        <f>IF($H3830="","",TODAY()-$H3830)</f>
        <v/>
      </c>
      <c r="O3830" s="15" t="n"/>
      <c r="P3830" s="26">
        <f>IF($A3830="","",COUNTIFS('Audit Versions'!$A$6:$A$605,$A3830,'Audit Versions'!$L$6:$L$605,"Active"))</f>
        <v/>
      </c>
      <c r="Q3830" s="15" t="n"/>
      <c r="R3830" s="26">
        <f>IF(OR($A3830="",$P3830=0),"",MOD(N($Q3830),$P3830)+1)</f>
        <v/>
      </c>
      <c r="S3830" s="15" t="n"/>
      <c r="T3830" s="25" t="n"/>
      <c r="U3830" s="26">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Builder'!$B$12="",N($S3830)&lt;='Assignment Builder'!$B$12)))</f>
        <v/>
      </c>
      <c r="V3830" s="23" t="n"/>
    </row>
    <row r="3831">
      <c r="A3831" s="23" t="n"/>
      <c r="B3831" s="23" t="n"/>
      <c r="C3831" s="24" t="n"/>
      <c r="D3831" s="15" t="n"/>
      <c r="E3831" s="23" t="n"/>
      <c r="F3831" s="15" t="n"/>
      <c r="G3831" s="23" t="n"/>
      <c r="H3831" s="25" t="n"/>
      <c r="I3831" s="15" t="n"/>
      <c r="J3831" s="26">
        <f>IF($A3831="","",LEN($C3831)-LEN(SUBSTITUTE($C3831,",",""))+1)</f>
        <v/>
      </c>
      <c r="K3831" s="26">
        <f>IF($A3831="","",SUMPRODUCT(--ISNUMBER(SEARCH('Category Dictionary'!$D$5:$D$135&amp;"",$C3831)),--('Category Dictionary'!$D$5:$D$135&lt;&gt;"")))</f>
        <v/>
      </c>
      <c r="L3831" s="27">
        <f>IF($A3831="","",TRIM(IF(ISERROR(FIND(",",$C3831)),$C3831,LEFT($C3831,FIND(",",$C3831)-1))))</f>
        <v/>
      </c>
      <c r="M3831" s="28">
        <f>IF($H3831="","",DATE(YEAR($H3831),MONTH($H3831),1))</f>
        <v/>
      </c>
      <c r="N3831" s="26">
        <f>IF($H3831="","",TODAY()-$H3831)</f>
        <v/>
      </c>
      <c r="O3831" s="15" t="n"/>
      <c r="P3831" s="26">
        <f>IF($A3831="","",COUNTIFS('Audit Versions'!$A$6:$A$605,$A3831,'Audit Versions'!$L$6:$L$605,"Active"))</f>
        <v/>
      </c>
      <c r="Q3831" s="15" t="n"/>
      <c r="R3831" s="26">
        <f>IF(OR($A3831="",$P3831=0),"",MOD(N($Q3831),$P3831)+1)</f>
        <v/>
      </c>
      <c r="S3831" s="15" t="n"/>
      <c r="T3831" s="25" t="n"/>
      <c r="U3831" s="26">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Builder'!$B$12="",N($S3831)&lt;='Assignment Builder'!$B$12)))</f>
        <v/>
      </c>
      <c r="V3831" s="23" t="n"/>
    </row>
    <row r="3832">
      <c r="A3832" s="23" t="n"/>
      <c r="B3832" s="23" t="n"/>
      <c r="C3832" s="24" t="n"/>
      <c r="D3832" s="15" t="n"/>
      <c r="E3832" s="23" t="n"/>
      <c r="F3832" s="15" t="n"/>
      <c r="G3832" s="23" t="n"/>
      <c r="H3832" s="25" t="n"/>
      <c r="I3832" s="15" t="n"/>
      <c r="J3832" s="26">
        <f>IF($A3832="","",LEN($C3832)-LEN(SUBSTITUTE($C3832,",",""))+1)</f>
        <v/>
      </c>
      <c r="K3832" s="26">
        <f>IF($A3832="","",SUMPRODUCT(--ISNUMBER(SEARCH('Category Dictionary'!$D$5:$D$135&amp;"",$C3832)),--('Category Dictionary'!$D$5:$D$135&lt;&gt;"")))</f>
        <v/>
      </c>
      <c r="L3832" s="27">
        <f>IF($A3832="","",TRIM(IF(ISERROR(FIND(",",$C3832)),$C3832,LEFT($C3832,FIND(",",$C3832)-1))))</f>
        <v/>
      </c>
      <c r="M3832" s="28">
        <f>IF($H3832="","",DATE(YEAR($H3832),MONTH($H3832),1))</f>
        <v/>
      </c>
      <c r="N3832" s="26">
        <f>IF($H3832="","",TODAY()-$H3832)</f>
        <v/>
      </c>
      <c r="O3832" s="15" t="n"/>
      <c r="P3832" s="26">
        <f>IF($A3832="","",COUNTIFS('Audit Versions'!$A$6:$A$605,$A3832,'Audit Versions'!$L$6:$L$605,"Active"))</f>
        <v/>
      </c>
      <c r="Q3832" s="15" t="n"/>
      <c r="R3832" s="26">
        <f>IF(OR($A3832="",$P3832=0),"",MOD(N($Q3832),$P3832)+1)</f>
        <v/>
      </c>
      <c r="S3832" s="15" t="n"/>
      <c r="T3832" s="25" t="n"/>
      <c r="U3832" s="26">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Builder'!$B$12="",N($S3832)&lt;='Assignment Builder'!$B$12)))</f>
        <v/>
      </c>
      <c r="V3832" s="23" t="n"/>
    </row>
    <row r="3833">
      <c r="A3833" s="23" t="n"/>
      <c r="B3833" s="23" t="n"/>
      <c r="C3833" s="24" t="n"/>
      <c r="D3833" s="15" t="n"/>
      <c r="E3833" s="23" t="n"/>
      <c r="F3833" s="15" t="n"/>
      <c r="G3833" s="23" t="n"/>
      <c r="H3833" s="25" t="n"/>
      <c r="I3833" s="15" t="n"/>
      <c r="J3833" s="26">
        <f>IF($A3833="","",LEN($C3833)-LEN(SUBSTITUTE($C3833,",",""))+1)</f>
        <v/>
      </c>
      <c r="K3833" s="26">
        <f>IF($A3833="","",SUMPRODUCT(--ISNUMBER(SEARCH('Category Dictionary'!$D$5:$D$135&amp;"",$C3833)),--('Category Dictionary'!$D$5:$D$135&lt;&gt;"")))</f>
        <v/>
      </c>
      <c r="L3833" s="27">
        <f>IF($A3833="","",TRIM(IF(ISERROR(FIND(",",$C3833)),$C3833,LEFT($C3833,FIND(",",$C3833)-1))))</f>
        <v/>
      </c>
      <c r="M3833" s="28">
        <f>IF($H3833="","",DATE(YEAR($H3833),MONTH($H3833),1))</f>
        <v/>
      </c>
      <c r="N3833" s="26">
        <f>IF($H3833="","",TODAY()-$H3833)</f>
        <v/>
      </c>
      <c r="O3833" s="15" t="n"/>
      <c r="P3833" s="26">
        <f>IF($A3833="","",COUNTIFS('Audit Versions'!$A$6:$A$605,$A3833,'Audit Versions'!$L$6:$L$605,"Active"))</f>
        <v/>
      </c>
      <c r="Q3833" s="15" t="n"/>
      <c r="R3833" s="26">
        <f>IF(OR($A3833="",$P3833=0),"",MOD(N($Q3833),$P3833)+1)</f>
        <v/>
      </c>
      <c r="S3833" s="15" t="n"/>
      <c r="T3833" s="25" t="n"/>
      <c r="U3833" s="26">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Builder'!$B$12="",N($S3833)&lt;='Assignment Builder'!$B$12)))</f>
        <v/>
      </c>
      <c r="V3833" s="23" t="n"/>
    </row>
    <row r="3834">
      <c r="A3834" s="23" t="n"/>
      <c r="B3834" s="23" t="n"/>
      <c r="C3834" s="24" t="n"/>
      <c r="D3834" s="15" t="n"/>
      <c r="E3834" s="23" t="n"/>
      <c r="F3834" s="15" t="n"/>
      <c r="G3834" s="23" t="n"/>
      <c r="H3834" s="25" t="n"/>
      <c r="I3834" s="15" t="n"/>
      <c r="J3834" s="26">
        <f>IF($A3834="","",LEN($C3834)-LEN(SUBSTITUTE($C3834,",",""))+1)</f>
        <v/>
      </c>
      <c r="K3834" s="26">
        <f>IF($A3834="","",SUMPRODUCT(--ISNUMBER(SEARCH('Category Dictionary'!$D$5:$D$135&amp;"",$C3834)),--('Category Dictionary'!$D$5:$D$135&lt;&gt;"")))</f>
        <v/>
      </c>
      <c r="L3834" s="27">
        <f>IF($A3834="","",TRIM(IF(ISERROR(FIND(",",$C3834)),$C3834,LEFT($C3834,FIND(",",$C3834)-1))))</f>
        <v/>
      </c>
      <c r="M3834" s="28">
        <f>IF($H3834="","",DATE(YEAR($H3834),MONTH($H3834),1))</f>
        <v/>
      </c>
      <c r="N3834" s="26">
        <f>IF($H3834="","",TODAY()-$H3834)</f>
        <v/>
      </c>
      <c r="O3834" s="15" t="n"/>
      <c r="P3834" s="26">
        <f>IF($A3834="","",COUNTIFS('Audit Versions'!$A$6:$A$605,$A3834,'Audit Versions'!$L$6:$L$605,"Active"))</f>
        <v/>
      </c>
      <c r="Q3834" s="15" t="n"/>
      <c r="R3834" s="26">
        <f>IF(OR($A3834="",$P3834=0),"",MOD(N($Q3834),$P3834)+1)</f>
        <v/>
      </c>
      <c r="S3834" s="15" t="n"/>
      <c r="T3834" s="25" t="n"/>
      <c r="U3834" s="26">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Builder'!$B$12="",N($S3834)&lt;='Assignment Builder'!$B$12)))</f>
        <v/>
      </c>
      <c r="V3834" s="23" t="n"/>
    </row>
    <row r="3835">
      <c r="A3835" s="23" t="n"/>
      <c r="B3835" s="23" t="n"/>
      <c r="C3835" s="24" t="n"/>
      <c r="D3835" s="15" t="n"/>
      <c r="E3835" s="23" t="n"/>
      <c r="F3835" s="15" t="n"/>
      <c r="G3835" s="23" t="n"/>
      <c r="H3835" s="25" t="n"/>
      <c r="I3835" s="15" t="n"/>
      <c r="J3835" s="26">
        <f>IF($A3835="","",LEN($C3835)-LEN(SUBSTITUTE($C3835,",",""))+1)</f>
        <v/>
      </c>
      <c r="K3835" s="26">
        <f>IF($A3835="","",SUMPRODUCT(--ISNUMBER(SEARCH('Category Dictionary'!$D$5:$D$135&amp;"",$C3835)),--('Category Dictionary'!$D$5:$D$135&lt;&gt;"")))</f>
        <v/>
      </c>
      <c r="L3835" s="27">
        <f>IF($A3835="","",TRIM(IF(ISERROR(FIND(",",$C3835)),$C3835,LEFT($C3835,FIND(",",$C3835)-1))))</f>
        <v/>
      </c>
      <c r="M3835" s="28">
        <f>IF($H3835="","",DATE(YEAR($H3835),MONTH($H3835),1))</f>
        <v/>
      </c>
      <c r="N3835" s="26">
        <f>IF($H3835="","",TODAY()-$H3835)</f>
        <v/>
      </c>
      <c r="O3835" s="15" t="n"/>
      <c r="P3835" s="26">
        <f>IF($A3835="","",COUNTIFS('Audit Versions'!$A$6:$A$605,$A3835,'Audit Versions'!$L$6:$L$605,"Active"))</f>
        <v/>
      </c>
      <c r="Q3835" s="15" t="n"/>
      <c r="R3835" s="26">
        <f>IF(OR($A3835="",$P3835=0),"",MOD(N($Q3835),$P3835)+1)</f>
        <v/>
      </c>
      <c r="S3835" s="15" t="n"/>
      <c r="T3835" s="25" t="n"/>
      <c r="U3835" s="26">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Builder'!$B$12="",N($S3835)&lt;='Assignment Builder'!$B$12)))</f>
        <v/>
      </c>
      <c r="V3835" s="23" t="n"/>
    </row>
    <row r="3836">
      <c r="A3836" s="23" t="n"/>
      <c r="B3836" s="23" t="n"/>
      <c r="C3836" s="24" t="n"/>
      <c r="D3836" s="15" t="n"/>
      <c r="E3836" s="23" t="n"/>
      <c r="F3836" s="15" t="n"/>
      <c r="G3836" s="23" t="n"/>
      <c r="H3836" s="25" t="n"/>
      <c r="I3836" s="15" t="n"/>
      <c r="J3836" s="26">
        <f>IF($A3836="","",LEN($C3836)-LEN(SUBSTITUTE($C3836,",",""))+1)</f>
        <v/>
      </c>
      <c r="K3836" s="26">
        <f>IF($A3836="","",SUMPRODUCT(--ISNUMBER(SEARCH('Category Dictionary'!$D$5:$D$135&amp;"",$C3836)),--('Category Dictionary'!$D$5:$D$135&lt;&gt;"")))</f>
        <v/>
      </c>
      <c r="L3836" s="27">
        <f>IF($A3836="","",TRIM(IF(ISERROR(FIND(",",$C3836)),$C3836,LEFT($C3836,FIND(",",$C3836)-1))))</f>
        <v/>
      </c>
      <c r="M3836" s="28">
        <f>IF($H3836="","",DATE(YEAR($H3836),MONTH($H3836),1))</f>
        <v/>
      </c>
      <c r="N3836" s="26">
        <f>IF($H3836="","",TODAY()-$H3836)</f>
        <v/>
      </c>
      <c r="O3836" s="15" t="n"/>
      <c r="P3836" s="26">
        <f>IF($A3836="","",COUNTIFS('Audit Versions'!$A$6:$A$605,$A3836,'Audit Versions'!$L$6:$L$605,"Active"))</f>
        <v/>
      </c>
      <c r="Q3836" s="15" t="n"/>
      <c r="R3836" s="26">
        <f>IF(OR($A3836="",$P3836=0),"",MOD(N($Q3836),$P3836)+1)</f>
        <v/>
      </c>
      <c r="S3836" s="15" t="n"/>
      <c r="T3836" s="25" t="n"/>
      <c r="U3836" s="26">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Builder'!$B$12="",N($S3836)&lt;='Assignment Builder'!$B$12)))</f>
        <v/>
      </c>
      <c r="V3836" s="23" t="n"/>
    </row>
    <row r="3837">
      <c r="A3837" s="23" t="n"/>
      <c r="B3837" s="23" t="n"/>
      <c r="C3837" s="24" t="n"/>
      <c r="D3837" s="15" t="n"/>
      <c r="E3837" s="23" t="n"/>
      <c r="F3837" s="15" t="n"/>
      <c r="G3837" s="23" t="n"/>
      <c r="H3837" s="25" t="n"/>
      <c r="I3837" s="15" t="n"/>
      <c r="J3837" s="26">
        <f>IF($A3837="","",LEN($C3837)-LEN(SUBSTITUTE($C3837,",",""))+1)</f>
        <v/>
      </c>
      <c r="K3837" s="26">
        <f>IF($A3837="","",SUMPRODUCT(--ISNUMBER(SEARCH('Category Dictionary'!$D$5:$D$135&amp;"",$C3837)),--('Category Dictionary'!$D$5:$D$135&lt;&gt;"")))</f>
        <v/>
      </c>
      <c r="L3837" s="27">
        <f>IF($A3837="","",TRIM(IF(ISERROR(FIND(",",$C3837)),$C3837,LEFT($C3837,FIND(",",$C3837)-1))))</f>
        <v/>
      </c>
      <c r="M3837" s="28">
        <f>IF($H3837="","",DATE(YEAR($H3837),MONTH($H3837),1))</f>
        <v/>
      </c>
      <c r="N3837" s="26">
        <f>IF($H3837="","",TODAY()-$H3837)</f>
        <v/>
      </c>
      <c r="O3837" s="15" t="n"/>
      <c r="P3837" s="26">
        <f>IF($A3837="","",COUNTIFS('Audit Versions'!$A$6:$A$605,$A3837,'Audit Versions'!$L$6:$L$605,"Active"))</f>
        <v/>
      </c>
      <c r="Q3837" s="15" t="n"/>
      <c r="R3837" s="26">
        <f>IF(OR($A3837="",$P3837=0),"",MOD(N($Q3837),$P3837)+1)</f>
        <v/>
      </c>
      <c r="S3837" s="15" t="n"/>
      <c r="T3837" s="25" t="n"/>
      <c r="U3837" s="26">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Builder'!$B$12="",N($S3837)&lt;='Assignment Builder'!$B$12)))</f>
        <v/>
      </c>
      <c r="V3837" s="23" t="n"/>
    </row>
    <row r="3838">
      <c r="A3838" s="23" t="n"/>
      <c r="B3838" s="23" t="n"/>
      <c r="C3838" s="24" t="n"/>
      <c r="D3838" s="15" t="n"/>
      <c r="E3838" s="23" t="n"/>
      <c r="F3838" s="15" t="n"/>
      <c r="G3838" s="23" t="n"/>
      <c r="H3838" s="25" t="n"/>
      <c r="I3838" s="15" t="n"/>
      <c r="J3838" s="26">
        <f>IF($A3838="","",LEN($C3838)-LEN(SUBSTITUTE($C3838,",",""))+1)</f>
        <v/>
      </c>
      <c r="K3838" s="26">
        <f>IF($A3838="","",SUMPRODUCT(--ISNUMBER(SEARCH('Category Dictionary'!$D$5:$D$135&amp;"",$C3838)),--('Category Dictionary'!$D$5:$D$135&lt;&gt;"")))</f>
        <v/>
      </c>
      <c r="L3838" s="27">
        <f>IF($A3838="","",TRIM(IF(ISERROR(FIND(",",$C3838)),$C3838,LEFT($C3838,FIND(",",$C3838)-1))))</f>
        <v/>
      </c>
      <c r="M3838" s="28">
        <f>IF($H3838="","",DATE(YEAR($H3838),MONTH($H3838),1))</f>
        <v/>
      </c>
      <c r="N3838" s="26">
        <f>IF($H3838="","",TODAY()-$H3838)</f>
        <v/>
      </c>
      <c r="O3838" s="15" t="n"/>
      <c r="P3838" s="26">
        <f>IF($A3838="","",COUNTIFS('Audit Versions'!$A$6:$A$605,$A3838,'Audit Versions'!$L$6:$L$605,"Active"))</f>
        <v/>
      </c>
      <c r="Q3838" s="15" t="n"/>
      <c r="R3838" s="26">
        <f>IF(OR($A3838="",$P3838=0),"",MOD(N($Q3838),$P3838)+1)</f>
        <v/>
      </c>
      <c r="S3838" s="15" t="n"/>
      <c r="T3838" s="25" t="n"/>
      <c r="U3838" s="26">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Builder'!$B$12="",N($S3838)&lt;='Assignment Builder'!$B$12)))</f>
        <v/>
      </c>
      <c r="V3838" s="23" t="n"/>
    </row>
    <row r="3839">
      <c r="A3839" s="23" t="n"/>
      <c r="B3839" s="23" t="n"/>
      <c r="C3839" s="24" t="n"/>
      <c r="D3839" s="15" t="n"/>
      <c r="E3839" s="23" t="n"/>
      <c r="F3839" s="15" t="n"/>
      <c r="G3839" s="23" t="n"/>
      <c r="H3839" s="25" t="n"/>
      <c r="I3839" s="15" t="n"/>
      <c r="J3839" s="26">
        <f>IF($A3839="","",LEN($C3839)-LEN(SUBSTITUTE($C3839,",",""))+1)</f>
        <v/>
      </c>
      <c r="K3839" s="26">
        <f>IF($A3839="","",SUMPRODUCT(--ISNUMBER(SEARCH('Category Dictionary'!$D$5:$D$135&amp;"",$C3839)),--('Category Dictionary'!$D$5:$D$135&lt;&gt;"")))</f>
        <v/>
      </c>
      <c r="L3839" s="27">
        <f>IF($A3839="","",TRIM(IF(ISERROR(FIND(",",$C3839)),$C3839,LEFT($C3839,FIND(",",$C3839)-1))))</f>
        <v/>
      </c>
      <c r="M3839" s="28">
        <f>IF($H3839="","",DATE(YEAR($H3839),MONTH($H3839),1))</f>
        <v/>
      </c>
      <c r="N3839" s="26">
        <f>IF($H3839="","",TODAY()-$H3839)</f>
        <v/>
      </c>
      <c r="O3839" s="15" t="n"/>
      <c r="P3839" s="26">
        <f>IF($A3839="","",COUNTIFS('Audit Versions'!$A$6:$A$605,$A3839,'Audit Versions'!$L$6:$L$605,"Active"))</f>
        <v/>
      </c>
      <c r="Q3839" s="15" t="n"/>
      <c r="R3839" s="26">
        <f>IF(OR($A3839="",$P3839=0),"",MOD(N($Q3839),$P3839)+1)</f>
        <v/>
      </c>
      <c r="S3839" s="15" t="n"/>
      <c r="T3839" s="25" t="n"/>
      <c r="U3839" s="26">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Builder'!$B$12="",N($S3839)&lt;='Assignment Builder'!$B$12)))</f>
        <v/>
      </c>
      <c r="V3839" s="23" t="n"/>
    </row>
    <row r="3840">
      <c r="A3840" s="23" t="n"/>
      <c r="B3840" s="23" t="n"/>
      <c r="C3840" s="24" t="n"/>
      <c r="D3840" s="15" t="n"/>
      <c r="E3840" s="23" t="n"/>
      <c r="F3840" s="15" t="n"/>
      <c r="G3840" s="23" t="n"/>
      <c r="H3840" s="25" t="n"/>
      <c r="I3840" s="15" t="n"/>
      <c r="J3840" s="26">
        <f>IF($A3840="","",LEN($C3840)-LEN(SUBSTITUTE($C3840,",",""))+1)</f>
        <v/>
      </c>
      <c r="K3840" s="26">
        <f>IF($A3840="","",SUMPRODUCT(--ISNUMBER(SEARCH('Category Dictionary'!$D$5:$D$135&amp;"",$C3840)),--('Category Dictionary'!$D$5:$D$135&lt;&gt;"")))</f>
        <v/>
      </c>
      <c r="L3840" s="27">
        <f>IF($A3840="","",TRIM(IF(ISERROR(FIND(",",$C3840)),$C3840,LEFT($C3840,FIND(",",$C3840)-1))))</f>
        <v/>
      </c>
      <c r="M3840" s="28">
        <f>IF($H3840="","",DATE(YEAR($H3840),MONTH($H3840),1))</f>
        <v/>
      </c>
      <c r="N3840" s="26">
        <f>IF($H3840="","",TODAY()-$H3840)</f>
        <v/>
      </c>
      <c r="O3840" s="15" t="n"/>
      <c r="P3840" s="26">
        <f>IF($A3840="","",COUNTIFS('Audit Versions'!$A$6:$A$605,$A3840,'Audit Versions'!$L$6:$L$605,"Active"))</f>
        <v/>
      </c>
      <c r="Q3840" s="15" t="n"/>
      <c r="R3840" s="26">
        <f>IF(OR($A3840="",$P3840=0),"",MOD(N($Q3840),$P3840)+1)</f>
        <v/>
      </c>
      <c r="S3840" s="15" t="n"/>
      <c r="T3840" s="25" t="n"/>
      <c r="U3840" s="26">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Builder'!$B$12="",N($S3840)&lt;='Assignment Builder'!$B$12)))</f>
        <v/>
      </c>
      <c r="V3840" s="23" t="n"/>
    </row>
    <row r="3841">
      <c r="A3841" s="23" t="n"/>
      <c r="B3841" s="23" t="n"/>
      <c r="C3841" s="24" t="n"/>
      <c r="D3841" s="15" t="n"/>
      <c r="E3841" s="23" t="n"/>
      <c r="F3841" s="15" t="n"/>
      <c r="G3841" s="23" t="n"/>
      <c r="H3841" s="25" t="n"/>
      <c r="I3841" s="15" t="n"/>
      <c r="J3841" s="26">
        <f>IF($A3841="","",LEN($C3841)-LEN(SUBSTITUTE($C3841,",",""))+1)</f>
        <v/>
      </c>
      <c r="K3841" s="26">
        <f>IF($A3841="","",SUMPRODUCT(--ISNUMBER(SEARCH('Category Dictionary'!$D$5:$D$135&amp;"",$C3841)),--('Category Dictionary'!$D$5:$D$135&lt;&gt;"")))</f>
        <v/>
      </c>
      <c r="L3841" s="27">
        <f>IF($A3841="","",TRIM(IF(ISERROR(FIND(",",$C3841)),$C3841,LEFT($C3841,FIND(",",$C3841)-1))))</f>
        <v/>
      </c>
      <c r="M3841" s="28">
        <f>IF($H3841="","",DATE(YEAR($H3841),MONTH($H3841),1))</f>
        <v/>
      </c>
      <c r="N3841" s="26">
        <f>IF($H3841="","",TODAY()-$H3841)</f>
        <v/>
      </c>
      <c r="O3841" s="15" t="n"/>
      <c r="P3841" s="26">
        <f>IF($A3841="","",COUNTIFS('Audit Versions'!$A$6:$A$605,$A3841,'Audit Versions'!$L$6:$L$605,"Active"))</f>
        <v/>
      </c>
      <c r="Q3841" s="15" t="n"/>
      <c r="R3841" s="26">
        <f>IF(OR($A3841="",$P3841=0),"",MOD(N($Q3841),$P3841)+1)</f>
        <v/>
      </c>
      <c r="S3841" s="15" t="n"/>
      <c r="T3841" s="25" t="n"/>
      <c r="U3841" s="26">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Builder'!$B$12="",N($S3841)&lt;='Assignment Builder'!$B$12)))</f>
        <v/>
      </c>
      <c r="V3841" s="23" t="n"/>
    </row>
    <row r="3842">
      <c r="A3842" s="23" t="n"/>
      <c r="B3842" s="23" t="n"/>
      <c r="C3842" s="24" t="n"/>
      <c r="D3842" s="15" t="n"/>
      <c r="E3842" s="23" t="n"/>
      <c r="F3842" s="15" t="n"/>
      <c r="G3842" s="23" t="n"/>
      <c r="H3842" s="25" t="n"/>
      <c r="I3842" s="15" t="n"/>
      <c r="J3842" s="26">
        <f>IF($A3842="","",LEN($C3842)-LEN(SUBSTITUTE($C3842,",",""))+1)</f>
        <v/>
      </c>
      <c r="K3842" s="26">
        <f>IF($A3842="","",SUMPRODUCT(--ISNUMBER(SEARCH('Category Dictionary'!$D$5:$D$135&amp;"",$C3842)),--('Category Dictionary'!$D$5:$D$135&lt;&gt;"")))</f>
        <v/>
      </c>
      <c r="L3842" s="27">
        <f>IF($A3842="","",TRIM(IF(ISERROR(FIND(",",$C3842)),$C3842,LEFT($C3842,FIND(",",$C3842)-1))))</f>
        <v/>
      </c>
      <c r="M3842" s="28">
        <f>IF($H3842="","",DATE(YEAR($H3842),MONTH($H3842),1))</f>
        <v/>
      </c>
      <c r="N3842" s="26">
        <f>IF($H3842="","",TODAY()-$H3842)</f>
        <v/>
      </c>
      <c r="O3842" s="15" t="n"/>
      <c r="P3842" s="26">
        <f>IF($A3842="","",COUNTIFS('Audit Versions'!$A$6:$A$605,$A3842,'Audit Versions'!$L$6:$L$605,"Active"))</f>
        <v/>
      </c>
      <c r="Q3842" s="15" t="n"/>
      <c r="R3842" s="26">
        <f>IF(OR($A3842="",$P3842=0),"",MOD(N($Q3842),$P3842)+1)</f>
        <v/>
      </c>
      <c r="S3842" s="15" t="n"/>
      <c r="T3842" s="25" t="n"/>
      <c r="U3842" s="26">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Builder'!$B$12="",N($S3842)&lt;='Assignment Builder'!$B$12)))</f>
        <v/>
      </c>
      <c r="V3842" s="23" t="n"/>
    </row>
    <row r="3843">
      <c r="A3843" s="23" t="n"/>
      <c r="B3843" s="23" t="n"/>
      <c r="C3843" s="24" t="n"/>
      <c r="D3843" s="15" t="n"/>
      <c r="E3843" s="23" t="n"/>
      <c r="F3843" s="15" t="n"/>
      <c r="G3843" s="23" t="n"/>
      <c r="H3843" s="25" t="n"/>
      <c r="I3843" s="15" t="n"/>
      <c r="J3843" s="26">
        <f>IF($A3843="","",LEN($C3843)-LEN(SUBSTITUTE($C3843,",",""))+1)</f>
        <v/>
      </c>
      <c r="K3843" s="26">
        <f>IF($A3843="","",SUMPRODUCT(--ISNUMBER(SEARCH('Category Dictionary'!$D$5:$D$135&amp;"",$C3843)),--('Category Dictionary'!$D$5:$D$135&lt;&gt;"")))</f>
        <v/>
      </c>
      <c r="L3843" s="27">
        <f>IF($A3843="","",TRIM(IF(ISERROR(FIND(",",$C3843)),$C3843,LEFT($C3843,FIND(",",$C3843)-1))))</f>
        <v/>
      </c>
      <c r="M3843" s="28">
        <f>IF($H3843="","",DATE(YEAR($H3843),MONTH($H3843),1))</f>
        <v/>
      </c>
      <c r="N3843" s="26">
        <f>IF($H3843="","",TODAY()-$H3843)</f>
        <v/>
      </c>
      <c r="O3843" s="15" t="n"/>
      <c r="P3843" s="26">
        <f>IF($A3843="","",COUNTIFS('Audit Versions'!$A$6:$A$605,$A3843,'Audit Versions'!$L$6:$L$605,"Active"))</f>
        <v/>
      </c>
      <c r="Q3843" s="15" t="n"/>
      <c r="R3843" s="26">
        <f>IF(OR($A3843="",$P3843=0),"",MOD(N($Q3843),$P3843)+1)</f>
        <v/>
      </c>
      <c r="S3843" s="15" t="n"/>
      <c r="T3843" s="25" t="n"/>
      <c r="U3843" s="26">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Builder'!$B$12="",N($S3843)&lt;='Assignment Builder'!$B$12)))</f>
        <v/>
      </c>
      <c r="V3843" s="23" t="n"/>
    </row>
    <row r="3844">
      <c r="A3844" s="23" t="n"/>
      <c r="B3844" s="23" t="n"/>
      <c r="C3844" s="24" t="n"/>
      <c r="D3844" s="15" t="n"/>
      <c r="E3844" s="23" t="n"/>
      <c r="F3844" s="15" t="n"/>
      <c r="G3844" s="23" t="n"/>
      <c r="H3844" s="25" t="n"/>
      <c r="I3844" s="15" t="n"/>
      <c r="J3844" s="26">
        <f>IF($A3844="","",LEN($C3844)-LEN(SUBSTITUTE($C3844,",",""))+1)</f>
        <v/>
      </c>
      <c r="K3844" s="26">
        <f>IF($A3844="","",SUMPRODUCT(--ISNUMBER(SEARCH('Category Dictionary'!$D$5:$D$135&amp;"",$C3844)),--('Category Dictionary'!$D$5:$D$135&lt;&gt;"")))</f>
        <v/>
      </c>
      <c r="L3844" s="27">
        <f>IF($A3844="","",TRIM(IF(ISERROR(FIND(",",$C3844)),$C3844,LEFT($C3844,FIND(",",$C3844)-1))))</f>
        <v/>
      </c>
      <c r="M3844" s="28">
        <f>IF($H3844="","",DATE(YEAR($H3844),MONTH($H3844),1))</f>
        <v/>
      </c>
      <c r="N3844" s="26">
        <f>IF($H3844="","",TODAY()-$H3844)</f>
        <v/>
      </c>
      <c r="O3844" s="15" t="n"/>
      <c r="P3844" s="26">
        <f>IF($A3844="","",COUNTIFS('Audit Versions'!$A$6:$A$605,$A3844,'Audit Versions'!$L$6:$L$605,"Active"))</f>
        <v/>
      </c>
      <c r="Q3844" s="15" t="n"/>
      <c r="R3844" s="26">
        <f>IF(OR($A3844="",$P3844=0),"",MOD(N($Q3844),$P3844)+1)</f>
        <v/>
      </c>
      <c r="S3844" s="15" t="n"/>
      <c r="T3844" s="25" t="n"/>
      <c r="U3844" s="26">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Builder'!$B$12="",N($S3844)&lt;='Assignment Builder'!$B$12)))</f>
        <v/>
      </c>
      <c r="V3844" s="23" t="n"/>
    </row>
    <row r="3845">
      <c r="A3845" s="23" t="n"/>
      <c r="B3845" s="23" t="n"/>
      <c r="C3845" s="24" t="n"/>
      <c r="D3845" s="15" t="n"/>
      <c r="E3845" s="23" t="n"/>
      <c r="F3845" s="15" t="n"/>
      <c r="G3845" s="23" t="n"/>
      <c r="H3845" s="25" t="n"/>
      <c r="I3845" s="15" t="n"/>
      <c r="J3845" s="26">
        <f>IF($A3845="","",LEN($C3845)-LEN(SUBSTITUTE($C3845,",",""))+1)</f>
        <v/>
      </c>
      <c r="K3845" s="26">
        <f>IF($A3845="","",SUMPRODUCT(--ISNUMBER(SEARCH('Category Dictionary'!$D$5:$D$135&amp;"",$C3845)),--('Category Dictionary'!$D$5:$D$135&lt;&gt;"")))</f>
        <v/>
      </c>
      <c r="L3845" s="27">
        <f>IF($A3845="","",TRIM(IF(ISERROR(FIND(",",$C3845)),$C3845,LEFT($C3845,FIND(",",$C3845)-1))))</f>
        <v/>
      </c>
      <c r="M3845" s="28">
        <f>IF($H3845="","",DATE(YEAR($H3845),MONTH($H3845),1))</f>
        <v/>
      </c>
      <c r="N3845" s="26">
        <f>IF($H3845="","",TODAY()-$H3845)</f>
        <v/>
      </c>
      <c r="O3845" s="15" t="n"/>
      <c r="P3845" s="26">
        <f>IF($A3845="","",COUNTIFS('Audit Versions'!$A$6:$A$605,$A3845,'Audit Versions'!$L$6:$L$605,"Active"))</f>
        <v/>
      </c>
      <c r="Q3845" s="15" t="n"/>
      <c r="R3845" s="26">
        <f>IF(OR($A3845="",$P3845=0),"",MOD(N($Q3845),$P3845)+1)</f>
        <v/>
      </c>
      <c r="S3845" s="15" t="n"/>
      <c r="T3845" s="25" t="n"/>
      <c r="U3845" s="26">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Builder'!$B$12="",N($S3845)&lt;='Assignment Builder'!$B$12)))</f>
        <v/>
      </c>
      <c r="V3845" s="23" t="n"/>
    </row>
    <row r="3846">
      <c r="A3846" s="23" t="n"/>
      <c r="B3846" s="23" t="n"/>
      <c r="C3846" s="24" t="n"/>
      <c r="D3846" s="15" t="n"/>
      <c r="E3846" s="23" t="n"/>
      <c r="F3846" s="15" t="n"/>
      <c r="G3846" s="23" t="n"/>
      <c r="H3846" s="25" t="n"/>
      <c r="I3846" s="15" t="n"/>
      <c r="J3846" s="26">
        <f>IF($A3846="","",LEN($C3846)-LEN(SUBSTITUTE($C3846,",",""))+1)</f>
        <v/>
      </c>
      <c r="K3846" s="26">
        <f>IF($A3846="","",SUMPRODUCT(--ISNUMBER(SEARCH('Category Dictionary'!$D$5:$D$135&amp;"",$C3846)),--('Category Dictionary'!$D$5:$D$135&lt;&gt;"")))</f>
        <v/>
      </c>
      <c r="L3846" s="27">
        <f>IF($A3846="","",TRIM(IF(ISERROR(FIND(",",$C3846)),$C3846,LEFT($C3846,FIND(",",$C3846)-1))))</f>
        <v/>
      </c>
      <c r="M3846" s="28">
        <f>IF($H3846="","",DATE(YEAR($H3846),MONTH($H3846),1))</f>
        <v/>
      </c>
      <c r="N3846" s="26">
        <f>IF($H3846="","",TODAY()-$H3846)</f>
        <v/>
      </c>
      <c r="O3846" s="15" t="n"/>
      <c r="P3846" s="26">
        <f>IF($A3846="","",COUNTIFS('Audit Versions'!$A$6:$A$605,$A3846,'Audit Versions'!$L$6:$L$605,"Active"))</f>
        <v/>
      </c>
      <c r="Q3846" s="15" t="n"/>
      <c r="R3846" s="26">
        <f>IF(OR($A3846="",$P3846=0),"",MOD(N($Q3846),$P3846)+1)</f>
        <v/>
      </c>
      <c r="S3846" s="15" t="n"/>
      <c r="T3846" s="25" t="n"/>
      <c r="U3846" s="26">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Builder'!$B$12="",N($S3846)&lt;='Assignment Builder'!$B$12)))</f>
        <v/>
      </c>
      <c r="V3846" s="23" t="n"/>
    </row>
    <row r="3847">
      <c r="A3847" s="23" t="n"/>
      <c r="B3847" s="23" t="n"/>
      <c r="C3847" s="24" t="n"/>
      <c r="D3847" s="15" t="n"/>
      <c r="E3847" s="23" t="n"/>
      <c r="F3847" s="15" t="n"/>
      <c r="G3847" s="23" t="n"/>
      <c r="H3847" s="25" t="n"/>
      <c r="I3847" s="15" t="n"/>
      <c r="J3847" s="26">
        <f>IF($A3847="","",LEN($C3847)-LEN(SUBSTITUTE($C3847,",",""))+1)</f>
        <v/>
      </c>
      <c r="K3847" s="26">
        <f>IF($A3847="","",SUMPRODUCT(--ISNUMBER(SEARCH('Category Dictionary'!$D$5:$D$135&amp;"",$C3847)),--('Category Dictionary'!$D$5:$D$135&lt;&gt;"")))</f>
        <v/>
      </c>
      <c r="L3847" s="27">
        <f>IF($A3847="","",TRIM(IF(ISERROR(FIND(",",$C3847)),$C3847,LEFT($C3847,FIND(",",$C3847)-1))))</f>
        <v/>
      </c>
      <c r="M3847" s="28">
        <f>IF($H3847="","",DATE(YEAR($H3847),MONTH($H3847),1))</f>
        <v/>
      </c>
      <c r="N3847" s="26">
        <f>IF($H3847="","",TODAY()-$H3847)</f>
        <v/>
      </c>
      <c r="O3847" s="15" t="n"/>
      <c r="P3847" s="26">
        <f>IF($A3847="","",COUNTIFS('Audit Versions'!$A$6:$A$605,$A3847,'Audit Versions'!$L$6:$L$605,"Active"))</f>
        <v/>
      </c>
      <c r="Q3847" s="15" t="n"/>
      <c r="R3847" s="26">
        <f>IF(OR($A3847="",$P3847=0),"",MOD(N($Q3847),$P3847)+1)</f>
        <v/>
      </c>
      <c r="S3847" s="15" t="n"/>
      <c r="T3847" s="25" t="n"/>
      <c r="U3847" s="26">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Builder'!$B$12="",N($S3847)&lt;='Assignment Builder'!$B$12)))</f>
        <v/>
      </c>
      <c r="V3847" s="23" t="n"/>
    </row>
    <row r="3848">
      <c r="A3848" s="23" t="n"/>
      <c r="B3848" s="23" t="n"/>
      <c r="C3848" s="24" t="n"/>
      <c r="D3848" s="15" t="n"/>
      <c r="E3848" s="23" t="n"/>
      <c r="F3848" s="15" t="n"/>
      <c r="G3848" s="23" t="n"/>
      <c r="H3848" s="25" t="n"/>
      <c r="I3848" s="15" t="n"/>
      <c r="J3848" s="26">
        <f>IF($A3848="","",LEN($C3848)-LEN(SUBSTITUTE($C3848,",",""))+1)</f>
        <v/>
      </c>
      <c r="K3848" s="26">
        <f>IF($A3848="","",SUMPRODUCT(--ISNUMBER(SEARCH('Category Dictionary'!$D$5:$D$135&amp;"",$C3848)),--('Category Dictionary'!$D$5:$D$135&lt;&gt;"")))</f>
        <v/>
      </c>
      <c r="L3848" s="27">
        <f>IF($A3848="","",TRIM(IF(ISERROR(FIND(",",$C3848)),$C3848,LEFT($C3848,FIND(",",$C3848)-1))))</f>
        <v/>
      </c>
      <c r="M3848" s="28">
        <f>IF($H3848="","",DATE(YEAR($H3848),MONTH($H3848),1))</f>
        <v/>
      </c>
      <c r="N3848" s="26">
        <f>IF($H3848="","",TODAY()-$H3848)</f>
        <v/>
      </c>
      <c r="O3848" s="15" t="n"/>
      <c r="P3848" s="26">
        <f>IF($A3848="","",COUNTIFS('Audit Versions'!$A$6:$A$605,$A3848,'Audit Versions'!$L$6:$L$605,"Active"))</f>
        <v/>
      </c>
      <c r="Q3848" s="15" t="n"/>
      <c r="R3848" s="26">
        <f>IF(OR($A3848="",$P3848=0),"",MOD(N($Q3848),$P3848)+1)</f>
        <v/>
      </c>
      <c r="S3848" s="15" t="n"/>
      <c r="T3848" s="25" t="n"/>
      <c r="U3848" s="26">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Builder'!$B$12="",N($S3848)&lt;='Assignment Builder'!$B$12)))</f>
        <v/>
      </c>
      <c r="V3848" s="23" t="n"/>
    </row>
    <row r="3849">
      <c r="A3849" s="23" t="n"/>
      <c r="B3849" s="23" t="n"/>
      <c r="C3849" s="24" t="n"/>
      <c r="D3849" s="15" t="n"/>
      <c r="E3849" s="23" t="n"/>
      <c r="F3849" s="15" t="n"/>
      <c r="G3849" s="23" t="n"/>
      <c r="H3849" s="25" t="n"/>
      <c r="I3849" s="15" t="n"/>
      <c r="J3849" s="26">
        <f>IF($A3849="","",LEN($C3849)-LEN(SUBSTITUTE($C3849,",",""))+1)</f>
        <v/>
      </c>
      <c r="K3849" s="26">
        <f>IF($A3849="","",SUMPRODUCT(--ISNUMBER(SEARCH('Category Dictionary'!$D$5:$D$135&amp;"",$C3849)),--('Category Dictionary'!$D$5:$D$135&lt;&gt;"")))</f>
        <v/>
      </c>
      <c r="L3849" s="27">
        <f>IF($A3849="","",TRIM(IF(ISERROR(FIND(",",$C3849)),$C3849,LEFT($C3849,FIND(",",$C3849)-1))))</f>
        <v/>
      </c>
      <c r="M3849" s="28">
        <f>IF($H3849="","",DATE(YEAR($H3849),MONTH($H3849),1))</f>
        <v/>
      </c>
      <c r="N3849" s="26">
        <f>IF($H3849="","",TODAY()-$H3849)</f>
        <v/>
      </c>
      <c r="O3849" s="15" t="n"/>
      <c r="P3849" s="26">
        <f>IF($A3849="","",COUNTIFS('Audit Versions'!$A$6:$A$605,$A3849,'Audit Versions'!$L$6:$L$605,"Active"))</f>
        <v/>
      </c>
      <c r="Q3849" s="15" t="n"/>
      <c r="R3849" s="26">
        <f>IF(OR($A3849="",$P3849=0),"",MOD(N($Q3849),$P3849)+1)</f>
        <v/>
      </c>
      <c r="S3849" s="15" t="n"/>
      <c r="T3849" s="25" t="n"/>
      <c r="U3849" s="26">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Builder'!$B$12="",N($S3849)&lt;='Assignment Builder'!$B$12)))</f>
        <v/>
      </c>
      <c r="V3849" s="23" t="n"/>
    </row>
    <row r="3850">
      <c r="A3850" s="23" t="n"/>
      <c r="B3850" s="23" t="n"/>
      <c r="C3850" s="24" t="n"/>
      <c r="D3850" s="15" t="n"/>
      <c r="E3850" s="23" t="n"/>
      <c r="F3850" s="15" t="n"/>
      <c r="G3850" s="23" t="n"/>
      <c r="H3850" s="25" t="n"/>
      <c r="I3850" s="15" t="n"/>
      <c r="J3850" s="26">
        <f>IF($A3850="","",LEN($C3850)-LEN(SUBSTITUTE($C3850,",",""))+1)</f>
        <v/>
      </c>
      <c r="K3850" s="26">
        <f>IF($A3850="","",SUMPRODUCT(--ISNUMBER(SEARCH('Category Dictionary'!$D$5:$D$135&amp;"",$C3850)),--('Category Dictionary'!$D$5:$D$135&lt;&gt;"")))</f>
        <v/>
      </c>
      <c r="L3850" s="27">
        <f>IF($A3850="","",TRIM(IF(ISERROR(FIND(",",$C3850)),$C3850,LEFT($C3850,FIND(",",$C3850)-1))))</f>
        <v/>
      </c>
      <c r="M3850" s="28">
        <f>IF($H3850="","",DATE(YEAR($H3850),MONTH($H3850),1))</f>
        <v/>
      </c>
      <c r="N3850" s="26">
        <f>IF($H3850="","",TODAY()-$H3850)</f>
        <v/>
      </c>
      <c r="O3850" s="15" t="n"/>
      <c r="P3850" s="26">
        <f>IF($A3850="","",COUNTIFS('Audit Versions'!$A$6:$A$605,$A3850,'Audit Versions'!$L$6:$L$605,"Active"))</f>
        <v/>
      </c>
      <c r="Q3850" s="15" t="n"/>
      <c r="R3850" s="26">
        <f>IF(OR($A3850="",$P3850=0),"",MOD(N($Q3850),$P3850)+1)</f>
        <v/>
      </c>
      <c r="S3850" s="15" t="n"/>
      <c r="T3850" s="25" t="n"/>
      <c r="U3850" s="26">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Builder'!$B$12="",N($S3850)&lt;='Assignment Builder'!$B$12)))</f>
        <v/>
      </c>
      <c r="V3850" s="23" t="n"/>
    </row>
    <row r="3851">
      <c r="A3851" s="23" t="n"/>
      <c r="B3851" s="23" t="n"/>
      <c r="C3851" s="24" t="n"/>
      <c r="D3851" s="15" t="n"/>
      <c r="E3851" s="23" t="n"/>
      <c r="F3851" s="15" t="n"/>
      <c r="G3851" s="23" t="n"/>
      <c r="H3851" s="25" t="n"/>
      <c r="I3851" s="15" t="n"/>
      <c r="J3851" s="26">
        <f>IF($A3851="","",LEN($C3851)-LEN(SUBSTITUTE($C3851,",",""))+1)</f>
        <v/>
      </c>
      <c r="K3851" s="26">
        <f>IF($A3851="","",SUMPRODUCT(--ISNUMBER(SEARCH('Category Dictionary'!$D$5:$D$135&amp;"",$C3851)),--('Category Dictionary'!$D$5:$D$135&lt;&gt;"")))</f>
        <v/>
      </c>
      <c r="L3851" s="27">
        <f>IF($A3851="","",TRIM(IF(ISERROR(FIND(",",$C3851)),$C3851,LEFT($C3851,FIND(",",$C3851)-1))))</f>
        <v/>
      </c>
      <c r="M3851" s="28">
        <f>IF($H3851="","",DATE(YEAR($H3851),MONTH($H3851),1))</f>
        <v/>
      </c>
      <c r="N3851" s="26">
        <f>IF($H3851="","",TODAY()-$H3851)</f>
        <v/>
      </c>
      <c r="O3851" s="15" t="n"/>
      <c r="P3851" s="26">
        <f>IF($A3851="","",COUNTIFS('Audit Versions'!$A$6:$A$605,$A3851,'Audit Versions'!$L$6:$L$605,"Active"))</f>
        <v/>
      </c>
      <c r="Q3851" s="15" t="n"/>
      <c r="R3851" s="26">
        <f>IF(OR($A3851="",$P3851=0),"",MOD(N($Q3851),$P3851)+1)</f>
        <v/>
      </c>
      <c r="S3851" s="15" t="n"/>
      <c r="T3851" s="25" t="n"/>
      <c r="U3851" s="26">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Builder'!$B$12="",N($S3851)&lt;='Assignment Builder'!$B$12)))</f>
        <v/>
      </c>
      <c r="V3851" s="23" t="n"/>
    </row>
    <row r="3852">
      <c r="A3852" s="23" t="n"/>
      <c r="B3852" s="23" t="n"/>
      <c r="C3852" s="24" t="n"/>
      <c r="D3852" s="15" t="n"/>
      <c r="E3852" s="23" t="n"/>
      <c r="F3852" s="15" t="n"/>
      <c r="G3852" s="23" t="n"/>
      <c r="H3852" s="25" t="n"/>
      <c r="I3852" s="15" t="n"/>
      <c r="J3852" s="26">
        <f>IF($A3852="","",LEN($C3852)-LEN(SUBSTITUTE($C3852,",",""))+1)</f>
        <v/>
      </c>
      <c r="K3852" s="26">
        <f>IF($A3852="","",SUMPRODUCT(--ISNUMBER(SEARCH('Category Dictionary'!$D$5:$D$135&amp;"",$C3852)),--('Category Dictionary'!$D$5:$D$135&lt;&gt;"")))</f>
        <v/>
      </c>
      <c r="L3852" s="27">
        <f>IF($A3852="","",TRIM(IF(ISERROR(FIND(",",$C3852)),$C3852,LEFT($C3852,FIND(",",$C3852)-1))))</f>
        <v/>
      </c>
      <c r="M3852" s="28">
        <f>IF($H3852="","",DATE(YEAR($H3852),MONTH($H3852),1))</f>
        <v/>
      </c>
      <c r="N3852" s="26">
        <f>IF($H3852="","",TODAY()-$H3852)</f>
        <v/>
      </c>
      <c r="O3852" s="15" t="n"/>
      <c r="P3852" s="26">
        <f>IF($A3852="","",COUNTIFS('Audit Versions'!$A$6:$A$605,$A3852,'Audit Versions'!$L$6:$L$605,"Active"))</f>
        <v/>
      </c>
      <c r="Q3852" s="15" t="n"/>
      <c r="R3852" s="26">
        <f>IF(OR($A3852="",$P3852=0),"",MOD(N($Q3852),$P3852)+1)</f>
        <v/>
      </c>
      <c r="S3852" s="15" t="n"/>
      <c r="T3852" s="25" t="n"/>
      <c r="U3852" s="26">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Builder'!$B$12="",N($S3852)&lt;='Assignment Builder'!$B$12)))</f>
        <v/>
      </c>
      <c r="V3852" s="23" t="n"/>
    </row>
    <row r="3853">
      <c r="A3853" s="23" t="n"/>
      <c r="B3853" s="23" t="n"/>
      <c r="C3853" s="24" t="n"/>
      <c r="D3853" s="15" t="n"/>
      <c r="E3853" s="23" t="n"/>
      <c r="F3853" s="15" t="n"/>
      <c r="G3853" s="23" t="n"/>
      <c r="H3853" s="25" t="n"/>
      <c r="I3853" s="15" t="n"/>
      <c r="J3853" s="26">
        <f>IF($A3853="","",LEN($C3853)-LEN(SUBSTITUTE($C3853,",",""))+1)</f>
        <v/>
      </c>
      <c r="K3853" s="26">
        <f>IF($A3853="","",SUMPRODUCT(--ISNUMBER(SEARCH('Category Dictionary'!$D$5:$D$135&amp;"",$C3853)),--('Category Dictionary'!$D$5:$D$135&lt;&gt;"")))</f>
        <v/>
      </c>
      <c r="L3853" s="27">
        <f>IF($A3853="","",TRIM(IF(ISERROR(FIND(",",$C3853)),$C3853,LEFT($C3853,FIND(",",$C3853)-1))))</f>
        <v/>
      </c>
      <c r="M3853" s="28">
        <f>IF($H3853="","",DATE(YEAR($H3853),MONTH($H3853),1))</f>
        <v/>
      </c>
      <c r="N3853" s="26">
        <f>IF($H3853="","",TODAY()-$H3853)</f>
        <v/>
      </c>
      <c r="O3853" s="15" t="n"/>
      <c r="P3853" s="26">
        <f>IF($A3853="","",COUNTIFS('Audit Versions'!$A$6:$A$605,$A3853,'Audit Versions'!$L$6:$L$605,"Active"))</f>
        <v/>
      </c>
      <c r="Q3853" s="15" t="n"/>
      <c r="R3853" s="26">
        <f>IF(OR($A3853="",$P3853=0),"",MOD(N($Q3853),$P3853)+1)</f>
        <v/>
      </c>
      <c r="S3853" s="15" t="n"/>
      <c r="T3853" s="25" t="n"/>
      <c r="U3853" s="26">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Builder'!$B$12="",N($S3853)&lt;='Assignment Builder'!$B$12)))</f>
        <v/>
      </c>
      <c r="V3853" s="23" t="n"/>
    </row>
    <row r="3854">
      <c r="A3854" s="23" t="n"/>
      <c r="B3854" s="23" t="n"/>
      <c r="C3854" s="24" t="n"/>
      <c r="D3854" s="15" t="n"/>
      <c r="E3854" s="23" t="n"/>
      <c r="F3854" s="15" t="n"/>
      <c r="G3854" s="23" t="n"/>
      <c r="H3854" s="25" t="n"/>
      <c r="I3854" s="15" t="n"/>
      <c r="J3854" s="26">
        <f>IF($A3854="","",LEN($C3854)-LEN(SUBSTITUTE($C3854,",",""))+1)</f>
        <v/>
      </c>
      <c r="K3854" s="26">
        <f>IF($A3854="","",SUMPRODUCT(--ISNUMBER(SEARCH('Category Dictionary'!$D$5:$D$135&amp;"",$C3854)),--('Category Dictionary'!$D$5:$D$135&lt;&gt;"")))</f>
        <v/>
      </c>
      <c r="L3854" s="27">
        <f>IF($A3854="","",TRIM(IF(ISERROR(FIND(",",$C3854)),$C3854,LEFT($C3854,FIND(",",$C3854)-1))))</f>
        <v/>
      </c>
      <c r="M3854" s="28">
        <f>IF($H3854="","",DATE(YEAR($H3854),MONTH($H3854),1))</f>
        <v/>
      </c>
      <c r="N3854" s="26">
        <f>IF($H3854="","",TODAY()-$H3854)</f>
        <v/>
      </c>
      <c r="O3854" s="15" t="n"/>
      <c r="P3854" s="26">
        <f>IF($A3854="","",COUNTIFS('Audit Versions'!$A$6:$A$605,$A3854,'Audit Versions'!$L$6:$L$605,"Active"))</f>
        <v/>
      </c>
      <c r="Q3854" s="15" t="n"/>
      <c r="R3854" s="26">
        <f>IF(OR($A3854="",$P3854=0),"",MOD(N($Q3854),$P3854)+1)</f>
        <v/>
      </c>
      <c r="S3854" s="15" t="n"/>
      <c r="T3854" s="25" t="n"/>
      <c r="U3854" s="26">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Builder'!$B$12="",N($S3854)&lt;='Assignment Builder'!$B$12)))</f>
        <v/>
      </c>
      <c r="V3854" s="23" t="n"/>
    </row>
    <row r="3855">
      <c r="A3855" s="23" t="n"/>
      <c r="B3855" s="23" t="n"/>
      <c r="C3855" s="24" t="n"/>
      <c r="D3855" s="15" t="n"/>
      <c r="E3855" s="23" t="n"/>
      <c r="F3855" s="15" t="n"/>
      <c r="G3855" s="23" t="n"/>
      <c r="H3855" s="25" t="n"/>
      <c r="I3855" s="15" t="n"/>
      <c r="J3855" s="26">
        <f>IF($A3855="","",LEN($C3855)-LEN(SUBSTITUTE($C3855,",",""))+1)</f>
        <v/>
      </c>
      <c r="K3855" s="26">
        <f>IF($A3855="","",SUMPRODUCT(--ISNUMBER(SEARCH('Category Dictionary'!$D$5:$D$135&amp;"",$C3855)),--('Category Dictionary'!$D$5:$D$135&lt;&gt;"")))</f>
        <v/>
      </c>
      <c r="L3855" s="27">
        <f>IF($A3855="","",TRIM(IF(ISERROR(FIND(",",$C3855)),$C3855,LEFT($C3855,FIND(",",$C3855)-1))))</f>
        <v/>
      </c>
      <c r="M3855" s="28">
        <f>IF($H3855="","",DATE(YEAR($H3855),MONTH($H3855),1))</f>
        <v/>
      </c>
      <c r="N3855" s="26">
        <f>IF($H3855="","",TODAY()-$H3855)</f>
        <v/>
      </c>
      <c r="O3855" s="15" t="n"/>
      <c r="P3855" s="26">
        <f>IF($A3855="","",COUNTIFS('Audit Versions'!$A$6:$A$605,$A3855,'Audit Versions'!$L$6:$L$605,"Active"))</f>
        <v/>
      </c>
      <c r="Q3855" s="15" t="n"/>
      <c r="R3855" s="26">
        <f>IF(OR($A3855="",$P3855=0),"",MOD(N($Q3855),$P3855)+1)</f>
        <v/>
      </c>
      <c r="S3855" s="15" t="n"/>
      <c r="T3855" s="25" t="n"/>
      <c r="U3855" s="26">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Builder'!$B$12="",N($S3855)&lt;='Assignment Builder'!$B$12)))</f>
        <v/>
      </c>
      <c r="V3855" s="23" t="n"/>
    </row>
    <row r="3856">
      <c r="A3856" s="23" t="n"/>
      <c r="B3856" s="23" t="n"/>
      <c r="C3856" s="24" t="n"/>
      <c r="D3856" s="15" t="n"/>
      <c r="E3856" s="23" t="n"/>
      <c r="F3856" s="15" t="n"/>
      <c r="G3856" s="23" t="n"/>
      <c r="H3856" s="25" t="n"/>
      <c r="I3856" s="15" t="n"/>
      <c r="J3856" s="26">
        <f>IF($A3856="","",LEN($C3856)-LEN(SUBSTITUTE($C3856,",",""))+1)</f>
        <v/>
      </c>
      <c r="K3856" s="26">
        <f>IF($A3856="","",SUMPRODUCT(--ISNUMBER(SEARCH('Category Dictionary'!$D$5:$D$135&amp;"",$C3856)),--('Category Dictionary'!$D$5:$D$135&lt;&gt;"")))</f>
        <v/>
      </c>
      <c r="L3856" s="27">
        <f>IF($A3856="","",TRIM(IF(ISERROR(FIND(",",$C3856)),$C3856,LEFT($C3856,FIND(",",$C3856)-1))))</f>
        <v/>
      </c>
      <c r="M3856" s="28">
        <f>IF($H3856="","",DATE(YEAR($H3856),MONTH($H3856),1))</f>
        <v/>
      </c>
      <c r="N3856" s="26">
        <f>IF($H3856="","",TODAY()-$H3856)</f>
        <v/>
      </c>
      <c r="O3856" s="15" t="n"/>
      <c r="P3856" s="26">
        <f>IF($A3856="","",COUNTIFS('Audit Versions'!$A$6:$A$605,$A3856,'Audit Versions'!$L$6:$L$605,"Active"))</f>
        <v/>
      </c>
      <c r="Q3856" s="15" t="n"/>
      <c r="R3856" s="26">
        <f>IF(OR($A3856="",$P3856=0),"",MOD(N($Q3856),$P3856)+1)</f>
        <v/>
      </c>
      <c r="S3856" s="15" t="n"/>
      <c r="T3856" s="25" t="n"/>
      <c r="U3856" s="26">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Builder'!$B$12="",N($S3856)&lt;='Assignment Builder'!$B$12)))</f>
        <v/>
      </c>
      <c r="V3856" s="23" t="n"/>
    </row>
    <row r="3857">
      <c r="A3857" s="23" t="n"/>
      <c r="B3857" s="23" t="n"/>
      <c r="C3857" s="24" t="n"/>
      <c r="D3857" s="15" t="n"/>
      <c r="E3857" s="23" t="n"/>
      <c r="F3857" s="15" t="n"/>
      <c r="G3857" s="23" t="n"/>
      <c r="H3857" s="25" t="n"/>
      <c r="I3857" s="15" t="n"/>
      <c r="J3857" s="26">
        <f>IF($A3857="","",LEN($C3857)-LEN(SUBSTITUTE($C3857,",",""))+1)</f>
        <v/>
      </c>
      <c r="K3857" s="26">
        <f>IF($A3857="","",SUMPRODUCT(--ISNUMBER(SEARCH('Category Dictionary'!$D$5:$D$135&amp;"",$C3857)),--('Category Dictionary'!$D$5:$D$135&lt;&gt;"")))</f>
        <v/>
      </c>
      <c r="L3857" s="27">
        <f>IF($A3857="","",TRIM(IF(ISERROR(FIND(",",$C3857)),$C3857,LEFT($C3857,FIND(",",$C3857)-1))))</f>
        <v/>
      </c>
      <c r="M3857" s="28">
        <f>IF($H3857="","",DATE(YEAR($H3857),MONTH($H3857),1))</f>
        <v/>
      </c>
      <c r="N3857" s="26">
        <f>IF($H3857="","",TODAY()-$H3857)</f>
        <v/>
      </c>
      <c r="O3857" s="15" t="n"/>
      <c r="P3857" s="26">
        <f>IF($A3857="","",COUNTIFS('Audit Versions'!$A$6:$A$605,$A3857,'Audit Versions'!$L$6:$L$605,"Active"))</f>
        <v/>
      </c>
      <c r="Q3857" s="15" t="n"/>
      <c r="R3857" s="26">
        <f>IF(OR($A3857="",$P3857=0),"",MOD(N($Q3857),$P3857)+1)</f>
        <v/>
      </c>
      <c r="S3857" s="15" t="n"/>
      <c r="T3857" s="25" t="n"/>
      <c r="U3857" s="26">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Builder'!$B$12="",N($S3857)&lt;='Assignment Builder'!$B$12)))</f>
        <v/>
      </c>
      <c r="V3857" s="23" t="n"/>
    </row>
    <row r="3858">
      <c r="A3858" s="23" t="n"/>
      <c r="B3858" s="23" t="n"/>
      <c r="C3858" s="24" t="n"/>
      <c r="D3858" s="15" t="n"/>
      <c r="E3858" s="23" t="n"/>
      <c r="F3858" s="15" t="n"/>
      <c r="G3858" s="23" t="n"/>
      <c r="H3858" s="25" t="n"/>
      <c r="I3858" s="15" t="n"/>
      <c r="J3858" s="26">
        <f>IF($A3858="","",LEN($C3858)-LEN(SUBSTITUTE($C3858,",",""))+1)</f>
        <v/>
      </c>
      <c r="K3858" s="26">
        <f>IF($A3858="","",SUMPRODUCT(--ISNUMBER(SEARCH('Category Dictionary'!$D$5:$D$135&amp;"",$C3858)),--('Category Dictionary'!$D$5:$D$135&lt;&gt;"")))</f>
        <v/>
      </c>
      <c r="L3858" s="27">
        <f>IF($A3858="","",TRIM(IF(ISERROR(FIND(",",$C3858)),$C3858,LEFT($C3858,FIND(",",$C3858)-1))))</f>
        <v/>
      </c>
      <c r="M3858" s="28">
        <f>IF($H3858="","",DATE(YEAR($H3858),MONTH($H3858),1))</f>
        <v/>
      </c>
      <c r="N3858" s="26">
        <f>IF($H3858="","",TODAY()-$H3858)</f>
        <v/>
      </c>
      <c r="O3858" s="15" t="n"/>
      <c r="P3858" s="26">
        <f>IF($A3858="","",COUNTIFS('Audit Versions'!$A$6:$A$605,$A3858,'Audit Versions'!$L$6:$L$605,"Active"))</f>
        <v/>
      </c>
      <c r="Q3858" s="15" t="n"/>
      <c r="R3858" s="26">
        <f>IF(OR($A3858="",$P3858=0),"",MOD(N($Q3858),$P3858)+1)</f>
        <v/>
      </c>
      <c r="S3858" s="15" t="n"/>
      <c r="T3858" s="25" t="n"/>
      <c r="U3858" s="26">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Builder'!$B$12="",N($S3858)&lt;='Assignment Builder'!$B$12)))</f>
        <v/>
      </c>
      <c r="V3858" s="23" t="n"/>
    </row>
    <row r="3859">
      <c r="A3859" s="23" t="n"/>
      <c r="B3859" s="23" t="n"/>
      <c r="C3859" s="24" t="n"/>
      <c r="D3859" s="15" t="n"/>
      <c r="E3859" s="23" t="n"/>
      <c r="F3859" s="15" t="n"/>
      <c r="G3859" s="23" t="n"/>
      <c r="H3859" s="25" t="n"/>
      <c r="I3859" s="15" t="n"/>
      <c r="J3859" s="26">
        <f>IF($A3859="","",LEN($C3859)-LEN(SUBSTITUTE($C3859,",",""))+1)</f>
        <v/>
      </c>
      <c r="K3859" s="26">
        <f>IF($A3859="","",SUMPRODUCT(--ISNUMBER(SEARCH('Category Dictionary'!$D$5:$D$135&amp;"",$C3859)),--('Category Dictionary'!$D$5:$D$135&lt;&gt;"")))</f>
        <v/>
      </c>
      <c r="L3859" s="27">
        <f>IF($A3859="","",TRIM(IF(ISERROR(FIND(",",$C3859)),$C3859,LEFT($C3859,FIND(",",$C3859)-1))))</f>
        <v/>
      </c>
      <c r="M3859" s="28">
        <f>IF($H3859="","",DATE(YEAR($H3859),MONTH($H3859),1))</f>
        <v/>
      </c>
      <c r="N3859" s="26">
        <f>IF($H3859="","",TODAY()-$H3859)</f>
        <v/>
      </c>
      <c r="O3859" s="15" t="n"/>
      <c r="P3859" s="26">
        <f>IF($A3859="","",COUNTIFS('Audit Versions'!$A$6:$A$605,$A3859,'Audit Versions'!$L$6:$L$605,"Active"))</f>
        <v/>
      </c>
      <c r="Q3859" s="15" t="n"/>
      <c r="R3859" s="26">
        <f>IF(OR($A3859="",$P3859=0),"",MOD(N($Q3859),$P3859)+1)</f>
        <v/>
      </c>
      <c r="S3859" s="15" t="n"/>
      <c r="T3859" s="25" t="n"/>
      <c r="U3859" s="26">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Builder'!$B$12="",N($S3859)&lt;='Assignment Builder'!$B$12)))</f>
        <v/>
      </c>
      <c r="V3859" s="23" t="n"/>
    </row>
    <row r="3860">
      <c r="A3860" s="23" t="n"/>
      <c r="B3860" s="23" t="n"/>
      <c r="C3860" s="24" t="n"/>
      <c r="D3860" s="15" t="n"/>
      <c r="E3860" s="23" t="n"/>
      <c r="F3860" s="15" t="n"/>
      <c r="G3860" s="23" t="n"/>
      <c r="H3860" s="25" t="n"/>
      <c r="I3860" s="15" t="n"/>
      <c r="J3860" s="26">
        <f>IF($A3860="","",LEN($C3860)-LEN(SUBSTITUTE($C3860,",",""))+1)</f>
        <v/>
      </c>
      <c r="K3860" s="26">
        <f>IF($A3860="","",SUMPRODUCT(--ISNUMBER(SEARCH('Category Dictionary'!$D$5:$D$135&amp;"",$C3860)),--('Category Dictionary'!$D$5:$D$135&lt;&gt;"")))</f>
        <v/>
      </c>
      <c r="L3860" s="27">
        <f>IF($A3860="","",TRIM(IF(ISERROR(FIND(",",$C3860)),$C3860,LEFT($C3860,FIND(",",$C3860)-1))))</f>
        <v/>
      </c>
      <c r="M3860" s="28">
        <f>IF($H3860="","",DATE(YEAR($H3860),MONTH($H3860),1))</f>
        <v/>
      </c>
      <c r="N3860" s="26">
        <f>IF($H3860="","",TODAY()-$H3860)</f>
        <v/>
      </c>
      <c r="O3860" s="15" t="n"/>
      <c r="P3860" s="26">
        <f>IF($A3860="","",COUNTIFS('Audit Versions'!$A$6:$A$605,$A3860,'Audit Versions'!$L$6:$L$605,"Active"))</f>
        <v/>
      </c>
      <c r="Q3860" s="15" t="n"/>
      <c r="R3860" s="26">
        <f>IF(OR($A3860="",$P3860=0),"",MOD(N($Q3860),$P3860)+1)</f>
        <v/>
      </c>
      <c r="S3860" s="15" t="n"/>
      <c r="T3860" s="25" t="n"/>
      <c r="U3860" s="26">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Builder'!$B$12="",N($S3860)&lt;='Assignment Builder'!$B$12)))</f>
        <v/>
      </c>
      <c r="V3860" s="23" t="n"/>
    </row>
    <row r="3861">
      <c r="A3861" s="23" t="n"/>
      <c r="B3861" s="23" t="n"/>
      <c r="C3861" s="24" t="n"/>
      <c r="D3861" s="15" t="n"/>
      <c r="E3861" s="23" t="n"/>
      <c r="F3861" s="15" t="n"/>
      <c r="G3861" s="23" t="n"/>
      <c r="H3861" s="25" t="n"/>
      <c r="I3861" s="15" t="n"/>
      <c r="J3861" s="26">
        <f>IF($A3861="","",LEN($C3861)-LEN(SUBSTITUTE($C3861,",",""))+1)</f>
        <v/>
      </c>
      <c r="K3861" s="26">
        <f>IF($A3861="","",SUMPRODUCT(--ISNUMBER(SEARCH('Category Dictionary'!$D$5:$D$135&amp;"",$C3861)),--('Category Dictionary'!$D$5:$D$135&lt;&gt;"")))</f>
        <v/>
      </c>
      <c r="L3861" s="27">
        <f>IF($A3861="","",TRIM(IF(ISERROR(FIND(",",$C3861)),$C3861,LEFT($C3861,FIND(",",$C3861)-1))))</f>
        <v/>
      </c>
      <c r="M3861" s="28">
        <f>IF($H3861="","",DATE(YEAR($H3861),MONTH($H3861),1))</f>
        <v/>
      </c>
      <c r="N3861" s="26">
        <f>IF($H3861="","",TODAY()-$H3861)</f>
        <v/>
      </c>
      <c r="O3861" s="15" t="n"/>
      <c r="P3861" s="26">
        <f>IF($A3861="","",COUNTIFS('Audit Versions'!$A$6:$A$605,$A3861,'Audit Versions'!$L$6:$L$605,"Active"))</f>
        <v/>
      </c>
      <c r="Q3861" s="15" t="n"/>
      <c r="R3861" s="26">
        <f>IF(OR($A3861="",$P3861=0),"",MOD(N($Q3861),$P3861)+1)</f>
        <v/>
      </c>
      <c r="S3861" s="15" t="n"/>
      <c r="T3861" s="25" t="n"/>
      <c r="U3861" s="26">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Builder'!$B$12="",N($S3861)&lt;='Assignment Builder'!$B$12)))</f>
        <v/>
      </c>
      <c r="V3861" s="23" t="n"/>
    </row>
    <row r="3862">
      <c r="A3862" s="23" t="n"/>
      <c r="B3862" s="23" t="n"/>
      <c r="C3862" s="24" t="n"/>
      <c r="D3862" s="15" t="n"/>
      <c r="E3862" s="23" t="n"/>
      <c r="F3862" s="15" t="n"/>
      <c r="G3862" s="23" t="n"/>
      <c r="H3862" s="25" t="n"/>
      <c r="I3862" s="15" t="n"/>
      <c r="J3862" s="26">
        <f>IF($A3862="","",LEN($C3862)-LEN(SUBSTITUTE($C3862,",",""))+1)</f>
        <v/>
      </c>
      <c r="K3862" s="26">
        <f>IF($A3862="","",SUMPRODUCT(--ISNUMBER(SEARCH('Category Dictionary'!$D$5:$D$135&amp;"",$C3862)),--('Category Dictionary'!$D$5:$D$135&lt;&gt;"")))</f>
        <v/>
      </c>
      <c r="L3862" s="27">
        <f>IF($A3862="","",TRIM(IF(ISERROR(FIND(",",$C3862)),$C3862,LEFT($C3862,FIND(",",$C3862)-1))))</f>
        <v/>
      </c>
      <c r="M3862" s="28">
        <f>IF($H3862="","",DATE(YEAR($H3862),MONTH($H3862),1))</f>
        <v/>
      </c>
      <c r="N3862" s="26">
        <f>IF($H3862="","",TODAY()-$H3862)</f>
        <v/>
      </c>
      <c r="O3862" s="15" t="n"/>
      <c r="P3862" s="26">
        <f>IF($A3862="","",COUNTIFS('Audit Versions'!$A$6:$A$605,$A3862,'Audit Versions'!$L$6:$L$605,"Active"))</f>
        <v/>
      </c>
      <c r="Q3862" s="15" t="n"/>
      <c r="R3862" s="26">
        <f>IF(OR($A3862="",$P3862=0),"",MOD(N($Q3862),$P3862)+1)</f>
        <v/>
      </c>
      <c r="S3862" s="15" t="n"/>
      <c r="T3862" s="25" t="n"/>
      <c r="U3862" s="26">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Builder'!$B$12="",N($S3862)&lt;='Assignment Builder'!$B$12)))</f>
        <v/>
      </c>
      <c r="V3862" s="23" t="n"/>
    </row>
    <row r="3863">
      <c r="A3863" s="23" t="n"/>
      <c r="B3863" s="23" t="n"/>
      <c r="C3863" s="24" t="n"/>
      <c r="D3863" s="15" t="n"/>
      <c r="E3863" s="23" t="n"/>
      <c r="F3863" s="15" t="n"/>
      <c r="G3863" s="23" t="n"/>
      <c r="H3863" s="25" t="n"/>
      <c r="I3863" s="15" t="n"/>
      <c r="J3863" s="26">
        <f>IF($A3863="","",LEN($C3863)-LEN(SUBSTITUTE($C3863,",",""))+1)</f>
        <v/>
      </c>
      <c r="K3863" s="26">
        <f>IF($A3863="","",SUMPRODUCT(--ISNUMBER(SEARCH('Category Dictionary'!$D$5:$D$135&amp;"",$C3863)),--('Category Dictionary'!$D$5:$D$135&lt;&gt;"")))</f>
        <v/>
      </c>
      <c r="L3863" s="27">
        <f>IF($A3863="","",TRIM(IF(ISERROR(FIND(",",$C3863)),$C3863,LEFT($C3863,FIND(",",$C3863)-1))))</f>
        <v/>
      </c>
      <c r="M3863" s="28">
        <f>IF($H3863="","",DATE(YEAR($H3863),MONTH($H3863),1))</f>
        <v/>
      </c>
      <c r="N3863" s="26">
        <f>IF($H3863="","",TODAY()-$H3863)</f>
        <v/>
      </c>
      <c r="O3863" s="15" t="n"/>
      <c r="P3863" s="26">
        <f>IF($A3863="","",COUNTIFS('Audit Versions'!$A$6:$A$605,$A3863,'Audit Versions'!$L$6:$L$605,"Active"))</f>
        <v/>
      </c>
      <c r="Q3863" s="15" t="n"/>
      <c r="R3863" s="26">
        <f>IF(OR($A3863="",$P3863=0),"",MOD(N($Q3863),$P3863)+1)</f>
        <v/>
      </c>
      <c r="S3863" s="15" t="n"/>
      <c r="T3863" s="25" t="n"/>
      <c r="U3863" s="26">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Builder'!$B$12="",N($S3863)&lt;='Assignment Builder'!$B$12)))</f>
        <v/>
      </c>
      <c r="V3863" s="23" t="n"/>
    </row>
    <row r="3864">
      <c r="A3864" s="23" t="n"/>
      <c r="B3864" s="23" t="n"/>
      <c r="C3864" s="24" t="n"/>
      <c r="D3864" s="15" t="n"/>
      <c r="E3864" s="23" t="n"/>
      <c r="F3864" s="15" t="n"/>
      <c r="G3864" s="23" t="n"/>
      <c r="H3864" s="25" t="n"/>
      <c r="I3864" s="15" t="n"/>
      <c r="J3864" s="26">
        <f>IF($A3864="","",LEN($C3864)-LEN(SUBSTITUTE($C3864,",",""))+1)</f>
        <v/>
      </c>
      <c r="K3864" s="26">
        <f>IF($A3864="","",SUMPRODUCT(--ISNUMBER(SEARCH('Category Dictionary'!$D$5:$D$135&amp;"",$C3864)),--('Category Dictionary'!$D$5:$D$135&lt;&gt;"")))</f>
        <v/>
      </c>
      <c r="L3864" s="27">
        <f>IF($A3864="","",TRIM(IF(ISERROR(FIND(",",$C3864)),$C3864,LEFT($C3864,FIND(",",$C3864)-1))))</f>
        <v/>
      </c>
      <c r="M3864" s="28">
        <f>IF($H3864="","",DATE(YEAR($H3864),MONTH($H3864),1))</f>
        <v/>
      </c>
      <c r="N3864" s="26">
        <f>IF($H3864="","",TODAY()-$H3864)</f>
        <v/>
      </c>
      <c r="O3864" s="15" t="n"/>
      <c r="P3864" s="26">
        <f>IF($A3864="","",COUNTIFS('Audit Versions'!$A$6:$A$605,$A3864,'Audit Versions'!$L$6:$L$605,"Active"))</f>
        <v/>
      </c>
      <c r="Q3864" s="15" t="n"/>
      <c r="R3864" s="26">
        <f>IF(OR($A3864="",$P3864=0),"",MOD(N($Q3864),$P3864)+1)</f>
        <v/>
      </c>
      <c r="S3864" s="15" t="n"/>
      <c r="T3864" s="25" t="n"/>
      <c r="U3864" s="26">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Builder'!$B$12="",N($S3864)&lt;='Assignment Builder'!$B$12)))</f>
        <v/>
      </c>
      <c r="V3864" s="23" t="n"/>
    </row>
    <row r="3865">
      <c r="A3865" s="23" t="n"/>
      <c r="B3865" s="23" t="n"/>
      <c r="C3865" s="24" t="n"/>
      <c r="D3865" s="15" t="n"/>
      <c r="E3865" s="23" t="n"/>
      <c r="F3865" s="15" t="n"/>
      <c r="G3865" s="23" t="n"/>
      <c r="H3865" s="25" t="n"/>
      <c r="I3865" s="15" t="n"/>
      <c r="J3865" s="26">
        <f>IF($A3865="","",LEN($C3865)-LEN(SUBSTITUTE($C3865,",",""))+1)</f>
        <v/>
      </c>
      <c r="K3865" s="26">
        <f>IF($A3865="","",SUMPRODUCT(--ISNUMBER(SEARCH('Category Dictionary'!$D$5:$D$135&amp;"",$C3865)),--('Category Dictionary'!$D$5:$D$135&lt;&gt;"")))</f>
        <v/>
      </c>
      <c r="L3865" s="27">
        <f>IF($A3865="","",TRIM(IF(ISERROR(FIND(",",$C3865)),$C3865,LEFT($C3865,FIND(",",$C3865)-1))))</f>
        <v/>
      </c>
      <c r="M3865" s="28">
        <f>IF($H3865="","",DATE(YEAR($H3865),MONTH($H3865),1))</f>
        <v/>
      </c>
      <c r="N3865" s="26">
        <f>IF($H3865="","",TODAY()-$H3865)</f>
        <v/>
      </c>
      <c r="O3865" s="15" t="n"/>
      <c r="P3865" s="26">
        <f>IF($A3865="","",COUNTIFS('Audit Versions'!$A$6:$A$605,$A3865,'Audit Versions'!$L$6:$L$605,"Active"))</f>
        <v/>
      </c>
      <c r="Q3865" s="15" t="n"/>
      <c r="R3865" s="26">
        <f>IF(OR($A3865="",$P3865=0),"",MOD(N($Q3865),$P3865)+1)</f>
        <v/>
      </c>
      <c r="S3865" s="15" t="n"/>
      <c r="T3865" s="25" t="n"/>
      <c r="U3865" s="26">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Builder'!$B$12="",N($S3865)&lt;='Assignment Builder'!$B$12)))</f>
        <v/>
      </c>
      <c r="V3865" s="23" t="n"/>
    </row>
    <row r="3866">
      <c r="A3866" s="23" t="n"/>
      <c r="B3866" s="23" t="n"/>
      <c r="C3866" s="24" t="n"/>
      <c r="D3866" s="15" t="n"/>
      <c r="E3866" s="23" t="n"/>
      <c r="F3866" s="15" t="n"/>
      <c r="G3866" s="23" t="n"/>
      <c r="H3866" s="25" t="n"/>
      <c r="I3866" s="15" t="n"/>
      <c r="J3866" s="26">
        <f>IF($A3866="","",LEN($C3866)-LEN(SUBSTITUTE($C3866,",",""))+1)</f>
        <v/>
      </c>
      <c r="K3866" s="26">
        <f>IF($A3866="","",SUMPRODUCT(--ISNUMBER(SEARCH('Category Dictionary'!$D$5:$D$135&amp;"",$C3866)),--('Category Dictionary'!$D$5:$D$135&lt;&gt;"")))</f>
        <v/>
      </c>
      <c r="L3866" s="27">
        <f>IF($A3866="","",TRIM(IF(ISERROR(FIND(",",$C3866)),$C3866,LEFT($C3866,FIND(",",$C3866)-1))))</f>
        <v/>
      </c>
      <c r="M3866" s="28">
        <f>IF($H3866="","",DATE(YEAR($H3866),MONTH($H3866),1))</f>
        <v/>
      </c>
      <c r="N3866" s="26">
        <f>IF($H3866="","",TODAY()-$H3866)</f>
        <v/>
      </c>
      <c r="O3866" s="15" t="n"/>
      <c r="P3866" s="26">
        <f>IF($A3866="","",COUNTIFS('Audit Versions'!$A$6:$A$605,$A3866,'Audit Versions'!$L$6:$L$605,"Active"))</f>
        <v/>
      </c>
      <c r="Q3866" s="15" t="n"/>
      <c r="R3866" s="26">
        <f>IF(OR($A3866="",$P3866=0),"",MOD(N($Q3866),$P3866)+1)</f>
        <v/>
      </c>
      <c r="S3866" s="15" t="n"/>
      <c r="T3866" s="25" t="n"/>
      <c r="U3866" s="26">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Builder'!$B$12="",N($S3866)&lt;='Assignment Builder'!$B$12)))</f>
        <v/>
      </c>
      <c r="V3866" s="23" t="n"/>
    </row>
    <row r="3867">
      <c r="A3867" s="23" t="n"/>
      <c r="B3867" s="23" t="n"/>
      <c r="C3867" s="24" t="n"/>
      <c r="D3867" s="15" t="n"/>
      <c r="E3867" s="23" t="n"/>
      <c r="F3867" s="15" t="n"/>
      <c r="G3867" s="23" t="n"/>
      <c r="H3867" s="25" t="n"/>
      <c r="I3867" s="15" t="n"/>
      <c r="J3867" s="26">
        <f>IF($A3867="","",LEN($C3867)-LEN(SUBSTITUTE($C3867,",",""))+1)</f>
        <v/>
      </c>
      <c r="K3867" s="26">
        <f>IF($A3867="","",SUMPRODUCT(--ISNUMBER(SEARCH('Category Dictionary'!$D$5:$D$135&amp;"",$C3867)),--('Category Dictionary'!$D$5:$D$135&lt;&gt;"")))</f>
        <v/>
      </c>
      <c r="L3867" s="27">
        <f>IF($A3867="","",TRIM(IF(ISERROR(FIND(",",$C3867)),$C3867,LEFT($C3867,FIND(",",$C3867)-1))))</f>
        <v/>
      </c>
      <c r="M3867" s="28">
        <f>IF($H3867="","",DATE(YEAR($H3867),MONTH($H3867),1))</f>
        <v/>
      </c>
      <c r="N3867" s="26">
        <f>IF($H3867="","",TODAY()-$H3867)</f>
        <v/>
      </c>
      <c r="O3867" s="15" t="n"/>
      <c r="P3867" s="26">
        <f>IF($A3867="","",COUNTIFS('Audit Versions'!$A$6:$A$605,$A3867,'Audit Versions'!$L$6:$L$605,"Active"))</f>
        <v/>
      </c>
      <c r="Q3867" s="15" t="n"/>
      <c r="R3867" s="26">
        <f>IF(OR($A3867="",$P3867=0),"",MOD(N($Q3867),$P3867)+1)</f>
        <v/>
      </c>
      <c r="S3867" s="15" t="n"/>
      <c r="T3867" s="25" t="n"/>
      <c r="U3867" s="26">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Builder'!$B$12="",N($S3867)&lt;='Assignment Builder'!$B$12)))</f>
        <v/>
      </c>
      <c r="V3867" s="23" t="n"/>
    </row>
    <row r="3868">
      <c r="A3868" s="23" t="n"/>
      <c r="B3868" s="23" t="n"/>
      <c r="C3868" s="24" t="n"/>
      <c r="D3868" s="15" t="n"/>
      <c r="E3868" s="23" t="n"/>
      <c r="F3868" s="15" t="n"/>
      <c r="G3868" s="23" t="n"/>
      <c r="H3868" s="25" t="n"/>
      <c r="I3868" s="15" t="n"/>
      <c r="J3868" s="26">
        <f>IF($A3868="","",LEN($C3868)-LEN(SUBSTITUTE($C3868,",",""))+1)</f>
        <v/>
      </c>
      <c r="K3868" s="26">
        <f>IF($A3868="","",SUMPRODUCT(--ISNUMBER(SEARCH('Category Dictionary'!$D$5:$D$135&amp;"",$C3868)),--('Category Dictionary'!$D$5:$D$135&lt;&gt;"")))</f>
        <v/>
      </c>
      <c r="L3868" s="27">
        <f>IF($A3868="","",TRIM(IF(ISERROR(FIND(",",$C3868)),$C3868,LEFT($C3868,FIND(",",$C3868)-1))))</f>
        <v/>
      </c>
      <c r="M3868" s="28">
        <f>IF($H3868="","",DATE(YEAR($H3868),MONTH($H3868),1))</f>
        <v/>
      </c>
      <c r="N3868" s="26">
        <f>IF($H3868="","",TODAY()-$H3868)</f>
        <v/>
      </c>
      <c r="O3868" s="15" t="n"/>
      <c r="P3868" s="26">
        <f>IF($A3868="","",COUNTIFS('Audit Versions'!$A$6:$A$605,$A3868,'Audit Versions'!$L$6:$L$605,"Active"))</f>
        <v/>
      </c>
      <c r="Q3868" s="15" t="n"/>
      <c r="R3868" s="26">
        <f>IF(OR($A3868="",$P3868=0),"",MOD(N($Q3868),$P3868)+1)</f>
        <v/>
      </c>
      <c r="S3868" s="15" t="n"/>
      <c r="T3868" s="25" t="n"/>
      <c r="U3868" s="26">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Builder'!$B$12="",N($S3868)&lt;='Assignment Builder'!$B$12)))</f>
        <v/>
      </c>
      <c r="V3868" s="23" t="n"/>
    </row>
    <row r="3869">
      <c r="A3869" s="23" t="n"/>
      <c r="B3869" s="23" t="n"/>
      <c r="C3869" s="24" t="n"/>
      <c r="D3869" s="15" t="n"/>
      <c r="E3869" s="23" t="n"/>
      <c r="F3869" s="15" t="n"/>
      <c r="G3869" s="23" t="n"/>
      <c r="H3869" s="25" t="n"/>
      <c r="I3869" s="15" t="n"/>
      <c r="J3869" s="26">
        <f>IF($A3869="","",LEN($C3869)-LEN(SUBSTITUTE($C3869,",",""))+1)</f>
        <v/>
      </c>
      <c r="K3869" s="26">
        <f>IF($A3869="","",SUMPRODUCT(--ISNUMBER(SEARCH('Category Dictionary'!$D$5:$D$135&amp;"",$C3869)),--('Category Dictionary'!$D$5:$D$135&lt;&gt;"")))</f>
        <v/>
      </c>
      <c r="L3869" s="27">
        <f>IF($A3869="","",TRIM(IF(ISERROR(FIND(",",$C3869)),$C3869,LEFT($C3869,FIND(",",$C3869)-1))))</f>
        <v/>
      </c>
      <c r="M3869" s="28">
        <f>IF($H3869="","",DATE(YEAR($H3869),MONTH($H3869),1))</f>
        <v/>
      </c>
      <c r="N3869" s="26">
        <f>IF($H3869="","",TODAY()-$H3869)</f>
        <v/>
      </c>
      <c r="O3869" s="15" t="n"/>
      <c r="P3869" s="26">
        <f>IF($A3869="","",COUNTIFS('Audit Versions'!$A$6:$A$605,$A3869,'Audit Versions'!$L$6:$L$605,"Active"))</f>
        <v/>
      </c>
      <c r="Q3869" s="15" t="n"/>
      <c r="R3869" s="26">
        <f>IF(OR($A3869="",$P3869=0),"",MOD(N($Q3869),$P3869)+1)</f>
        <v/>
      </c>
      <c r="S3869" s="15" t="n"/>
      <c r="T3869" s="25" t="n"/>
      <c r="U3869" s="26">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Builder'!$B$12="",N($S3869)&lt;='Assignment Builder'!$B$12)))</f>
        <v/>
      </c>
      <c r="V3869" s="23" t="n"/>
    </row>
    <row r="3870">
      <c r="A3870" s="23" t="n"/>
      <c r="B3870" s="23" t="n"/>
      <c r="C3870" s="24" t="n"/>
      <c r="D3870" s="15" t="n"/>
      <c r="E3870" s="23" t="n"/>
      <c r="F3870" s="15" t="n"/>
      <c r="G3870" s="23" t="n"/>
      <c r="H3870" s="25" t="n"/>
      <c r="I3870" s="15" t="n"/>
      <c r="J3870" s="26">
        <f>IF($A3870="","",LEN($C3870)-LEN(SUBSTITUTE($C3870,",",""))+1)</f>
        <v/>
      </c>
      <c r="K3870" s="26">
        <f>IF($A3870="","",SUMPRODUCT(--ISNUMBER(SEARCH('Category Dictionary'!$D$5:$D$135&amp;"",$C3870)),--('Category Dictionary'!$D$5:$D$135&lt;&gt;"")))</f>
        <v/>
      </c>
      <c r="L3870" s="27">
        <f>IF($A3870="","",TRIM(IF(ISERROR(FIND(",",$C3870)),$C3870,LEFT($C3870,FIND(",",$C3870)-1))))</f>
        <v/>
      </c>
      <c r="M3870" s="28">
        <f>IF($H3870="","",DATE(YEAR($H3870),MONTH($H3870),1))</f>
        <v/>
      </c>
      <c r="N3870" s="26">
        <f>IF($H3870="","",TODAY()-$H3870)</f>
        <v/>
      </c>
      <c r="O3870" s="15" t="n"/>
      <c r="P3870" s="26">
        <f>IF($A3870="","",COUNTIFS('Audit Versions'!$A$6:$A$605,$A3870,'Audit Versions'!$L$6:$L$605,"Active"))</f>
        <v/>
      </c>
      <c r="Q3870" s="15" t="n"/>
      <c r="R3870" s="26">
        <f>IF(OR($A3870="",$P3870=0),"",MOD(N($Q3870),$P3870)+1)</f>
        <v/>
      </c>
      <c r="S3870" s="15" t="n"/>
      <c r="T3870" s="25" t="n"/>
      <c r="U3870" s="26">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Builder'!$B$12="",N($S3870)&lt;='Assignment Builder'!$B$12)))</f>
        <v/>
      </c>
      <c r="V3870" s="23" t="n"/>
    </row>
    <row r="3871">
      <c r="A3871" s="23" t="n"/>
      <c r="B3871" s="23" t="n"/>
      <c r="C3871" s="24" t="n"/>
      <c r="D3871" s="15" t="n"/>
      <c r="E3871" s="23" t="n"/>
      <c r="F3871" s="15" t="n"/>
      <c r="G3871" s="23" t="n"/>
      <c r="H3871" s="25" t="n"/>
      <c r="I3871" s="15" t="n"/>
      <c r="J3871" s="26">
        <f>IF($A3871="","",LEN($C3871)-LEN(SUBSTITUTE($C3871,",",""))+1)</f>
        <v/>
      </c>
      <c r="K3871" s="26">
        <f>IF($A3871="","",SUMPRODUCT(--ISNUMBER(SEARCH('Category Dictionary'!$D$5:$D$135&amp;"",$C3871)),--('Category Dictionary'!$D$5:$D$135&lt;&gt;"")))</f>
        <v/>
      </c>
      <c r="L3871" s="27">
        <f>IF($A3871="","",TRIM(IF(ISERROR(FIND(",",$C3871)),$C3871,LEFT($C3871,FIND(",",$C3871)-1))))</f>
        <v/>
      </c>
      <c r="M3871" s="28">
        <f>IF($H3871="","",DATE(YEAR($H3871),MONTH($H3871),1))</f>
        <v/>
      </c>
      <c r="N3871" s="26">
        <f>IF($H3871="","",TODAY()-$H3871)</f>
        <v/>
      </c>
      <c r="O3871" s="15" t="n"/>
      <c r="P3871" s="26">
        <f>IF($A3871="","",COUNTIFS('Audit Versions'!$A$6:$A$605,$A3871,'Audit Versions'!$L$6:$L$605,"Active"))</f>
        <v/>
      </c>
      <c r="Q3871" s="15" t="n"/>
      <c r="R3871" s="26">
        <f>IF(OR($A3871="",$P3871=0),"",MOD(N($Q3871),$P3871)+1)</f>
        <v/>
      </c>
      <c r="S3871" s="15" t="n"/>
      <c r="T3871" s="25" t="n"/>
      <c r="U3871" s="26">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Builder'!$B$12="",N($S3871)&lt;='Assignment Builder'!$B$12)))</f>
        <v/>
      </c>
      <c r="V3871" s="23" t="n"/>
    </row>
    <row r="3872">
      <c r="A3872" s="23" t="n"/>
      <c r="B3872" s="23" t="n"/>
      <c r="C3872" s="24" t="n"/>
      <c r="D3872" s="15" t="n"/>
      <c r="E3872" s="23" t="n"/>
      <c r="F3872" s="15" t="n"/>
      <c r="G3872" s="23" t="n"/>
      <c r="H3872" s="25" t="n"/>
      <c r="I3872" s="15" t="n"/>
      <c r="J3872" s="26">
        <f>IF($A3872="","",LEN($C3872)-LEN(SUBSTITUTE($C3872,",",""))+1)</f>
        <v/>
      </c>
      <c r="K3872" s="26">
        <f>IF($A3872="","",SUMPRODUCT(--ISNUMBER(SEARCH('Category Dictionary'!$D$5:$D$135&amp;"",$C3872)),--('Category Dictionary'!$D$5:$D$135&lt;&gt;"")))</f>
        <v/>
      </c>
      <c r="L3872" s="27">
        <f>IF($A3872="","",TRIM(IF(ISERROR(FIND(",",$C3872)),$C3872,LEFT($C3872,FIND(",",$C3872)-1))))</f>
        <v/>
      </c>
      <c r="M3872" s="28">
        <f>IF($H3872="","",DATE(YEAR($H3872),MONTH($H3872),1))</f>
        <v/>
      </c>
      <c r="N3872" s="26">
        <f>IF($H3872="","",TODAY()-$H3872)</f>
        <v/>
      </c>
      <c r="O3872" s="15" t="n"/>
      <c r="P3872" s="26">
        <f>IF($A3872="","",COUNTIFS('Audit Versions'!$A$6:$A$605,$A3872,'Audit Versions'!$L$6:$L$605,"Active"))</f>
        <v/>
      </c>
      <c r="Q3872" s="15" t="n"/>
      <c r="R3872" s="26">
        <f>IF(OR($A3872="",$P3872=0),"",MOD(N($Q3872),$P3872)+1)</f>
        <v/>
      </c>
      <c r="S3872" s="15" t="n"/>
      <c r="T3872" s="25" t="n"/>
      <c r="U3872" s="26">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Builder'!$B$12="",N($S3872)&lt;='Assignment Builder'!$B$12)))</f>
        <v/>
      </c>
      <c r="V3872" s="23" t="n"/>
    </row>
    <row r="3873">
      <c r="A3873" s="23" t="n"/>
      <c r="B3873" s="23" t="n"/>
      <c r="C3873" s="24" t="n"/>
      <c r="D3873" s="15" t="n"/>
      <c r="E3873" s="23" t="n"/>
      <c r="F3873" s="15" t="n"/>
      <c r="G3873" s="23" t="n"/>
      <c r="H3873" s="25" t="n"/>
      <c r="I3873" s="15" t="n"/>
      <c r="J3873" s="26">
        <f>IF($A3873="","",LEN($C3873)-LEN(SUBSTITUTE($C3873,",",""))+1)</f>
        <v/>
      </c>
      <c r="K3873" s="26">
        <f>IF($A3873="","",SUMPRODUCT(--ISNUMBER(SEARCH('Category Dictionary'!$D$5:$D$135&amp;"",$C3873)),--('Category Dictionary'!$D$5:$D$135&lt;&gt;"")))</f>
        <v/>
      </c>
      <c r="L3873" s="27">
        <f>IF($A3873="","",TRIM(IF(ISERROR(FIND(",",$C3873)),$C3873,LEFT($C3873,FIND(",",$C3873)-1))))</f>
        <v/>
      </c>
      <c r="M3873" s="28">
        <f>IF($H3873="","",DATE(YEAR($H3873),MONTH($H3873),1))</f>
        <v/>
      </c>
      <c r="N3873" s="26">
        <f>IF($H3873="","",TODAY()-$H3873)</f>
        <v/>
      </c>
      <c r="O3873" s="15" t="n"/>
      <c r="P3873" s="26">
        <f>IF($A3873="","",COUNTIFS('Audit Versions'!$A$6:$A$605,$A3873,'Audit Versions'!$L$6:$L$605,"Active"))</f>
        <v/>
      </c>
      <c r="Q3873" s="15" t="n"/>
      <c r="R3873" s="26">
        <f>IF(OR($A3873="",$P3873=0),"",MOD(N($Q3873),$P3873)+1)</f>
        <v/>
      </c>
      <c r="S3873" s="15" t="n"/>
      <c r="T3873" s="25" t="n"/>
      <c r="U3873" s="26">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Builder'!$B$12="",N($S3873)&lt;='Assignment Builder'!$B$12)))</f>
        <v/>
      </c>
      <c r="V3873" s="23" t="n"/>
    </row>
    <row r="3874">
      <c r="A3874" s="23" t="n"/>
      <c r="B3874" s="23" t="n"/>
      <c r="C3874" s="24" t="n"/>
      <c r="D3874" s="15" t="n"/>
      <c r="E3874" s="23" t="n"/>
      <c r="F3874" s="15" t="n"/>
      <c r="G3874" s="23" t="n"/>
      <c r="H3874" s="25" t="n"/>
      <c r="I3874" s="15" t="n"/>
      <c r="J3874" s="26">
        <f>IF($A3874="","",LEN($C3874)-LEN(SUBSTITUTE($C3874,",",""))+1)</f>
        <v/>
      </c>
      <c r="K3874" s="26">
        <f>IF($A3874="","",SUMPRODUCT(--ISNUMBER(SEARCH('Category Dictionary'!$D$5:$D$135&amp;"",$C3874)),--('Category Dictionary'!$D$5:$D$135&lt;&gt;"")))</f>
        <v/>
      </c>
      <c r="L3874" s="27">
        <f>IF($A3874="","",TRIM(IF(ISERROR(FIND(",",$C3874)),$C3874,LEFT($C3874,FIND(",",$C3874)-1))))</f>
        <v/>
      </c>
      <c r="M3874" s="28">
        <f>IF($H3874="","",DATE(YEAR($H3874),MONTH($H3874),1))</f>
        <v/>
      </c>
      <c r="N3874" s="26">
        <f>IF($H3874="","",TODAY()-$H3874)</f>
        <v/>
      </c>
      <c r="O3874" s="15" t="n"/>
      <c r="P3874" s="26">
        <f>IF($A3874="","",COUNTIFS('Audit Versions'!$A$6:$A$605,$A3874,'Audit Versions'!$L$6:$L$605,"Active"))</f>
        <v/>
      </c>
      <c r="Q3874" s="15" t="n"/>
      <c r="R3874" s="26">
        <f>IF(OR($A3874="",$P3874=0),"",MOD(N($Q3874),$P3874)+1)</f>
        <v/>
      </c>
      <c r="S3874" s="15" t="n"/>
      <c r="T3874" s="25" t="n"/>
      <c r="U3874" s="26">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Builder'!$B$12="",N($S3874)&lt;='Assignment Builder'!$B$12)))</f>
        <v/>
      </c>
      <c r="V3874" s="23" t="n"/>
    </row>
    <row r="3875">
      <c r="A3875" s="23" t="n"/>
      <c r="B3875" s="23" t="n"/>
      <c r="C3875" s="24" t="n"/>
      <c r="D3875" s="15" t="n"/>
      <c r="E3875" s="23" t="n"/>
      <c r="F3875" s="15" t="n"/>
      <c r="G3875" s="23" t="n"/>
      <c r="H3875" s="25" t="n"/>
      <c r="I3875" s="15" t="n"/>
      <c r="J3875" s="26">
        <f>IF($A3875="","",LEN($C3875)-LEN(SUBSTITUTE($C3875,",",""))+1)</f>
        <v/>
      </c>
      <c r="K3875" s="26">
        <f>IF($A3875="","",SUMPRODUCT(--ISNUMBER(SEARCH('Category Dictionary'!$D$5:$D$135&amp;"",$C3875)),--('Category Dictionary'!$D$5:$D$135&lt;&gt;"")))</f>
        <v/>
      </c>
      <c r="L3875" s="27">
        <f>IF($A3875="","",TRIM(IF(ISERROR(FIND(",",$C3875)),$C3875,LEFT($C3875,FIND(",",$C3875)-1))))</f>
        <v/>
      </c>
      <c r="M3875" s="28">
        <f>IF($H3875="","",DATE(YEAR($H3875),MONTH($H3875),1))</f>
        <v/>
      </c>
      <c r="N3875" s="26">
        <f>IF($H3875="","",TODAY()-$H3875)</f>
        <v/>
      </c>
      <c r="O3875" s="15" t="n"/>
      <c r="P3875" s="26">
        <f>IF($A3875="","",COUNTIFS('Audit Versions'!$A$6:$A$605,$A3875,'Audit Versions'!$L$6:$L$605,"Active"))</f>
        <v/>
      </c>
      <c r="Q3875" s="15" t="n"/>
      <c r="R3875" s="26">
        <f>IF(OR($A3875="",$P3875=0),"",MOD(N($Q3875),$P3875)+1)</f>
        <v/>
      </c>
      <c r="S3875" s="15" t="n"/>
      <c r="T3875" s="25" t="n"/>
      <c r="U3875" s="26">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Builder'!$B$12="",N($S3875)&lt;='Assignment Builder'!$B$12)))</f>
        <v/>
      </c>
      <c r="V3875" s="23" t="n"/>
    </row>
    <row r="3876">
      <c r="A3876" s="23" t="n"/>
      <c r="B3876" s="23" t="n"/>
      <c r="C3876" s="24" t="n"/>
      <c r="D3876" s="15" t="n"/>
      <c r="E3876" s="23" t="n"/>
      <c r="F3876" s="15" t="n"/>
      <c r="G3876" s="23" t="n"/>
      <c r="H3876" s="25" t="n"/>
      <c r="I3876" s="15" t="n"/>
      <c r="J3876" s="26">
        <f>IF($A3876="","",LEN($C3876)-LEN(SUBSTITUTE($C3876,",",""))+1)</f>
        <v/>
      </c>
      <c r="K3876" s="26">
        <f>IF($A3876="","",SUMPRODUCT(--ISNUMBER(SEARCH('Category Dictionary'!$D$5:$D$135&amp;"",$C3876)),--('Category Dictionary'!$D$5:$D$135&lt;&gt;"")))</f>
        <v/>
      </c>
      <c r="L3876" s="27">
        <f>IF($A3876="","",TRIM(IF(ISERROR(FIND(",",$C3876)),$C3876,LEFT($C3876,FIND(",",$C3876)-1))))</f>
        <v/>
      </c>
      <c r="M3876" s="28">
        <f>IF($H3876="","",DATE(YEAR($H3876),MONTH($H3876),1))</f>
        <v/>
      </c>
      <c r="N3876" s="26">
        <f>IF($H3876="","",TODAY()-$H3876)</f>
        <v/>
      </c>
      <c r="O3876" s="15" t="n"/>
      <c r="P3876" s="26">
        <f>IF($A3876="","",COUNTIFS('Audit Versions'!$A$6:$A$605,$A3876,'Audit Versions'!$L$6:$L$605,"Active"))</f>
        <v/>
      </c>
      <c r="Q3876" s="15" t="n"/>
      <c r="R3876" s="26">
        <f>IF(OR($A3876="",$P3876=0),"",MOD(N($Q3876),$P3876)+1)</f>
        <v/>
      </c>
      <c r="S3876" s="15" t="n"/>
      <c r="T3876" s="25" t="n"/>
      <c r="U3876" s="26">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Builder'!$B$12="",N($S3876)&lt;='Assignment Builder'!$B$12)))</f>
        <v/>
      </c>
      <c r="V3876" s="23" t="n"/>
    </row>
    <row r="3877">
      <c r="A3877" s="23" t="n"/>
      <c r="B3877" s="23" t="n"/>
      <c r="C3877" s="24" t="n"/>
      <c r="D3877" s="15" t="n"/>
      <c r="E3877" s="23" t="n"/>
      <c r="F3877" s="15" t="n"/>
      <c r="G3877" s="23" t="n"/>
      <c r="H3877" s="25" t="n"/>
      <c r="I3877" s="15" t="n"/>
      <c r="J3877" s="26">
        <f>IF($A3877="","",LEN($C3877)-LEN(SUBSTITUTE($C3877,",",""))+1)</f>
        <v/>
      </c>
      <c r="K3877" s="26">
        <f>IF($A3877="","",SUMPRODUCT(--ISNUMBER(SEARCH('Category Dictionary'!$D$5:$D$135&amp;"",$C3877)),--('Category Dictionary'!$D$5:$D$135&lt;&gt;"")))</f>
        <v/>
      </c>
      <c r="L3877" s="27">
        <f>IF($A3877="","",TRIM(IF(ISERROR(FIND(",",$C3877)),$C3877,LEFT($C3877,FIND(",",$C3877)-1))))</f>
        <v/>
      </c>
      <c r="M3877" s="28">
        <f>IF($H3877="","",DATE(YEAR($H3877),MONTH($H3877),1))</f>
        <v/>
      </c>
      <c r="N3877" s="26">
        <f>IF($H3877="","",TODAY()-$H3877)</f>
        <v/>
      </c>
      <c r="O3877" s="15" t="n"/>
      <c r="P3877" s="26">
        <f>IF($A3877="","",COUNTIFS('Audit Versions'!$A$6:$A$605,$A3877,'Audit Versions'!$L$6:$L$605,"Active"))</f>
        <v/>
      </c>
      <c r="Q3877" s="15" t="n"/>
      <c r="R3877" s="26">
        <f>IF(OR($A3877="",$P3877=0),"",MOD(N($Q3877),$P3877)+1)</f>
        <v/>
      </c>
      <c r="S3877" s="15" t="n"/>
      <c r="T3877" s="25" t="n"/>
      <c r="U3877" s="26">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Builder'!$B$12="",N($S3877)&lt;='Assignment Builder'!$B$12)))</f>
        <v/>
      </c>
      <c r="V3877" s="23" t="n"/>
    </row>
    <row r="3878">
      <c r="A3878" s="23" t="n"/>
      <c r="B3878" s="23" t="n"/>
      <c r="C3878" s="24" t="n"/>
      <c r="D3878" s="15" t="n"/>
      <c r="E3878" s="23" t="n"/>
      <c r="F3878" s="15" t="n"/>
      <c r="G3878" s="23" t="n"/>
      <c r="H3878" s="25" t="n"/>
      <c r="I3878" s="15" t="n"/>
      <c r="J3878" s="26">
        <f>IF($A3878="","",LEN($C3878)-LEN(SUBSTITUTE($C3878,",",""))+1)</f>
        <v/>
      </c>
      <c r="K3878" s="26">
        <f>IF($A3878="","",SUMPRODUCT(--ISNUMBER(SEARCH('Category Dictionary'!$D$5:$D$135&amp;"",$C3878)),--('Category Dictionary'!$D$5:$D$135&lt;&gt;"")))</f>
        <v/>
      </c>
      <c r="L3878" s="27">
        <f>IF($A3878="","",TRIM(IF(ISERROR(FIND(",",$C3878)),$C3878,LEFT($C3878,FIND(",",$C3878)-1))))</f>
        <v/>
      </c>
      <c r="M3878" s="28">
        <f>IF($H3878="","",DATE(YEAR($H3878),MONTH($H3878),1))</f>
        <v/>
      </c>
      <c r="N3878" s="26">
        <f>IF($H3878="","",TODAY()-$H3878)</f>
        <v/>
      </c>
      <c r="O3878" s="15" t="n"/>
      <c r="P3878" s="26">
        <f>IF($A3878="","",COUNTIFS('Audit Versions'!$A$6:$A$605,$A3878,'Audit Versions'!$L$6:$L$605,"Active"))</f>
        <v/>
      </c>
      <c r="Q3878" s="15" t="n"/>
      <c r="R3878" s="26">
        <f>IF(OR($A3878="",$P3878=0),"",MOD(N($Q3878),$P3878)+1)</f>
        <v/>
      </c>
      <c r="S3878" s="15" t="n"/>
      <c r="T3878" s="25" t="n"/>
      <c r="U3878" s="26">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Builder'!$B$12="",N($S3878)&lt;='Assignment Builder'!$B$12)))</f>
        <v/>
      </c>
      <c r="V3878" s="23" t="n"/>
    </row>
    <row r="3879">
      <c r="A3879" s="23" t="n"/>
      <c r="B3879" s="23" t="n"/>
      <c r="C3879" s="24" t="n"/>
      <c r="D3879" s="15" t="n"/>
      <c r="E3879" s="23" t="n"/>
      <c r="F3879" s="15" t="n"/>
      <c r="G3879" s="23" t="n"/>
      <c r="H3879" s="25" t="n"/>
      <c r="I3879" s="15" t="n"/>
      <c r="J3879" s="26">
        <f>IF($A3879="","",LEN($C3879)-LEN(SUBSTITUTE($C3879,",",""))+1)</f>
        <v/>
      </c>
      <c r="K3879" s="26">
        <f>IF($A3879="","",SUMPRODUCT(--ISNUMBER(SEARCH('Category Dictionary'!$D$5:$D$135&amp;"",$C3879)),--('Category Dictionary'!$D$5:$D$135&lt;&gt;"")))</f>
        <v/>
      </c>
      <c r="L3879" s="27">
        <f>IF($A3879="","",TRIM(IF(ISERROR(FIND(",",$C3879)),$C3879,LEFT($C3879,FIND(",",$C3879)-1))))</f>
        <v/>
      </c>
      <c r="M3879" s="28">
        <f>IF($H3879="","",DATE(YEAR($H3879),MONTH($H3879),1))</f>
        <v/>
      </c>
      <c r="N3879" s="26">
        <f>IF($H3879="","",TODAY()-$H3879)</f>
        <v/>
      </c>
      <c r="O3879" s="15" t="n"/>
      <c r="P3879" s="26">
        <f>IF($A3879="","",COUNTIFS('Audit Versions'!$A$6:$A$605,$A3879,'Audit Versions'!$L$6:$L$605,"Active"))</f>
        <v/>
      </c>
      <c r="Q3879" s="15" t="n"/>
      <c r="R3879" s="26">
        <f>IF(OR($A3879="",$P3879=0),"",MOD(N($Q3879),$P3879)+1)</f>
        <v/>
      </c>
      <c r="S3879" s="15" t="n"/>
      <c r="T3879" s="25" t="n"/>
      <c r="U3879" s="26">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Builder'!$B$12="",N($S3879)&lt;='Assignment Builder'!$B$12)))</f>
        <v/>
      </c>
      <c r="V3879" s="23" t="n"/>
    </row>
    <row r="3880">
      <c r="A3880" s="23" t="n"/>
      <c r="B3880" s="23" t="n"/>
      <c r="C3880" s="24" t="n"/>
      <c r="D3880" s="15" t="n"/>
      <c r="E3880" s="23" t="n"/>
      <c r="F3880" s="15" t="n"/>
      <c r="G3880" s="23" t="n"/>
      <c r="H3880" s="25" t="n"/>
      <c r="I3880" s="15" t="n"/>
      <c r="J3880" s="26">
        <f>IF($A3880="","",LEN($C3880)-LEN(SUBSTITUTE($C3880,",",""))+1)</f>
        <v/>
      </c>
      <c r="K3880" s="26">
        <f>IF($A3880="","",SUMPRODUCT(--ISNUMBER(SEARCH('Category Dictionary'!$D$5:$D$135&amp;"",$C3880)),--('Category Dictionary'!$D$5:$D$135&lt;&gt;"")))</f>
        <v/>
      </c>
      <c r="L3880" s="27">
        <f>IF($A3880="","",TRIM(IF(ISERROR(FIND(",",$C3880)),$C3880,LEFT($C3880,FIND(",",$C3880)-1))))</f>
        <v/>
      </c>
      <c r="M3880" s="28">
        <f>IF($H3880="","",DATE(YEAR($H3880),MONTH($H3880),1))</f>
        <v/>
      </c>
      <c r="N3880" s="26">
        <f>IF($H3880="","",TODAY()-$H3880)</f>
        <v/>
      </c>
      <c r="O3880" s="15" t="n"/>
      <c r="P3880" s="26">
        <f>IF($A3880="","",COUNTIFS('Audit Versions'!$A$6:$A$605,$A3880,'Audit Versions'!$L$6:$L$605,"Active"))</f>
        <v/>
      </c>
      <c r="Q3880" s="15" t="n"/>
      <c r="R3880" s="26">
        <f>IF(OR($A3880="",$P3880=0),"",MOD(N($Q3880),$P3880)+1)</f>
        <v/>
      </c>
      <c r="S3880" s="15" t="n"/>
      <c r="T3880" s="25" t="n"/>
      <c r="U3880" s="26">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Builder'!$B$12="",N($S3880)&lt;='Assignment Builder'!$B$12)))</f>
        <v/>
      </c>
      <c r="V3880" s="23" t="n"/>
    </row>
    <row r="3881">
      <c r="A3881" s="23" t="n"/>
      <c r="B3881" s="23" t="n"/>
      <c r="C3881" s="24" t="n"/>
      <c r="D3881" s="15" t="n"/>
      <c r="E3881" s="23" t="n"/>
      <c r="F3881" s="15" t="n"/>
      <c r="G3881" s="23" t="n"/>
      <c r="H3881" s="25" t="n"/>
      <c r="I3881" s="15" t="n"/>
      <c r="J3881" s="26">
        <f>IF($A3881="","",LEN($C3881)-LEN(SUBSTITUTE($C3881,",",""))+1)</f>
        <v/>
      </c>
      <c r="K3881" s="26">
        <f>IF($A3881="","",SUMPRODUCT(--ISNUMBER(SEARCH('Category Dictionary'!$D$5:$D$135&amp;"",$C3881)),--('Category Dictionary'!$D$5:$D$135&lt;&gt;"")))</f>
        <v/>
      </c>
      <c r="L3881" s="27">
        <f>IF($A3881="","",TRIM(IF(ISERROR(FIND(",",$C3881)),$C3881,LEFT($C3881,FIND(",",$C3881)-1))))</f>
        <v/>
      </c>
      <c r="M3881" s="28">
        <f>IF($H3881="","",DATE(YEAR($H3881),MONTH($H3881),1))</f>
        <v/>
      </c>
      <c r="N3881" s="26">
        <f>IF($H3881="","",TODAY()-$H3881)</f>
        <v/>
      </c>
      <c r="O3881" s="15" t="n"/>
      <c r="P3881" s="26">
        <f>IF($A3881="","",COUNTIFS('Audit Versions'!$A$6:$A$605,$A3881,'Audit Versions'!$L$6:$L$605,"Active"))</f>
        <v/>
      </c>
      <c r="Q3881" s="15" t="n"/>
      <c r="R3881" s="26">
        <f>IF(OR($A3881="",$P3881=0),"",MOD(N($Q3881),$P3881)+1)</f>
        <v/>
      </c>
      <c r="S3881" s="15" t="n"/>
      <c r="T3881" s="25" t="n"/>
      <c r="U3881" s="26">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Builder'!$B$12="",N($S3881)&lt;='Assignment Builder'!$B$12)))</f>
        <v/>
      </c>
      <c r="V3881" s="23" t="n"/>
    </row>
    <row r="3882">
      <c r="A3882" s="23" t="n"/>
      <c r="B3882" s="23" t="n"/>
      <c r="C3882" s="24" t="n"/>
      <c r="D3882" s="15" t="n"/>
      <c r="E3882" s="23" t="n"/>
      <c r="F3882" s="15" t="n"/>
      <c r="G3882" s="23" t="n"/>
      <c r="H3882" s="25" t="n"/>
      <c r="I3882" s="15" t="n"/>
      <c r="J3882" s="26">
        <f>IF($A3882="","",LEN($C3882)-LEN(SUBSTITUTE($C3882,",",""))+1)</f>
        <v/>
      </c>
      <c r="K3882" s="26">
        <f>IF($A3882="","",SUMPRODUCT(--ISNUMBER(SEARCH('Category Dictionary'!$D$5:$D$135&amp;"",$C3882)),--('Category Dictionary'!$D$5:$D$135&lt;&gt;"")))</f>
        <v/>
      </c>
      <c r="L3882" s="27">
        <f>IF($A3882="","",TRIM(IF(ISERROR(FIND(",",$C3882)),$C3882,LEFT($C3882,FIND(",",$C3882)-1))))</f>
        <v/>
      </c>
      <c r="M3882" s="28">
        <f>IF($H3882="","",DATE(YEAR($H3882),MONTH($H3882),1))</f>
        <v/>
      </c>
      <c r="N3882" s="26">
        <f>IF($H3882="","",TODAY()-$H3882)</f>
        <v/>
      </c>
      <c r="O3882" s="15" t="n"/>
      <c r="P3882" s="26">
        <f>IF($A3882="","",COUNTIFS('Audit Versions'!$A$6:$A$605,$A3882,'Audit Versions'!$L$6:$L$605,"Active"))</f>
        <v/>
      </c>
      <c r="Q3882" s="15" t="n"/>
      <c r="R3882" s="26">
        <f>IF(OR($A3882="",$P3882=0),"",MOD(N($Q3882),$P3882)+1)</f>
        <v/>
      </c>
      <c r="S3882" s="15" t="n"/>
      <c r="T3882" s="25" t="n"/>
      <c r="U3882" s="26">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Builder'!$B$12="",N($S3882)&lt;='Assignment Builder'!$B$12)))</f>
        <v/>
      </c>
      <c r="V3882" s="23" t="n"/>
    </row>
    <row r="3883">
      <c r="A3883" s="23" t="n"/>
      <c r="B3883" s="23" t="n"/>
      <c r="C3883" s="24" t="n"/>
      <c r="D3883" s="15" t="n"/>
      <c r="E3883" s="23" t="n"/>
      <c r="F3883" s="15" t="n"/>
      <c r="G3883" s="23" t="n"/>
      <c r="H3883" s="25" t="n"/>
      <c r="I3883" s="15" t="n"/>
      <c r="J3883" s="26">
        <f>IF($A3883="","",LEN($C3883)-LEN(SUBSTITUTE($C3883,",",""))+1)</f>
        <v/>
      </c>
      <c r="K3883" s="26">
        <f>IF($A3883="","",SUMPRODUCT(--ISNUMBER(SEARCH('Category Dictionary'!$D$5:$D$135&amp;"",$C3883)),--('Category Dictionary'!$D$5:$D$135&lt;&gt;"")))</f>
        <v/>
      </c>
      <c r="L3883" s="27">
        <f>IF($A3883="","",TRIM(IF(ISERROR(FIND(",",$C3883)),$C3883,LEFT($C3883,FIND(",",$C3883)-1))))</f>
        <v/>
      </c>
      <c r="M3883" s="28">
        <f>IF($H3883="","",DATE(YEAR($H3883),MONTH($H3883),1))</f>
        <v/>
      </c>
      <c r="N3883" s="26">
        <f>IF($H3883="","",TODAY()-$H3883)</f>
        <v/>
      </c>
      <c r="O3883" s="15" t="n"/>
      <c r="P3883" s="26">
        <f>IF($A3883="","",COUNTIFS('Audit Versions'!$A$6:$A$605,$A3883,'Audit Versions'!$L$6:$L$605,"Active"))</f>
        <v/>
      </c>
      <c r="Q3883" s="15" t="n"/>
      <c r="R3883" s="26">
        <f>IF(OR($A3883="",$P3883=0),"",MOD(N($Q3883),$P3883)+1)</f>
        <v/>
      </c>
      <c r="S3883" s="15" t="n"/>
      <c r="T3883" s="25" t="n"/>
      <c r="U3883" s="26">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Builder'!$B$12="",N($S3883)&lt;='Assignment Builder'!$B$12)))</f>
        <v/>
      </c>
      <c r="V3883" s="23" t="n"/>
    </row>
    <row r="3884">
      <c r="A3884" s="23" t="n"/>
      <c r="B3884" s="23" t="n"/>
      <c r="C3884" s="24" t="n"/>
      <c r="D3884" s="15" t="n"/>
      <c r="E3884" s="23" t="n"/>
      <c r="F3884" s="15" t="n"/>
      <c r="G3884" s="23" t="n"/>
      <c r="H3884" s="25" t="n"/>
      <c r="I3884" s="15" t="n"/>
      <c r="J3884" s="26">
        <f>IF($A3884="","",LEN($C3884)-LEN(SUBSTITUTE($C3884,",",""))+1)</f>
        <v/>
      </c>
      <c r="K3884" s="26">
        <f>IF($A3884="","",SUMPRODUCT(--ISNUMBER(SEARCH('Category Dictionary'!$D$5:$D$135&amp;"",$C3884)),--('Category Dictionary'!$D$5:$D$135&lt;&gt;"")))</f>
        <v/>
      </c>
      <c r="L3884" s="27">
        <f>IF($A3884="","",TRIM(IF(ISERROR(FIND(",",$C3884)),$C3884,LEFT($C3884,FIND(",",$C3884)-1))))</f>
        <v/>
      </c>
      <c r="M3884" s="28">
        <f>IF($H3884="","",DATE(YEAR($H3884),MONTH($H3884),1))</f>
        <v/>
      </c>
      <c r="N3884" s="26">
        <f>IF($H3884="","",TODAY()-$H3884)</f>
        <v/>
      </c>
      <c r="O3884" s="15" t="n"/>
      <c r="P3884" s="26">
        <f>IF($A3884="","",COUNTIFS('Audit Versions'!$A$6:$A$605,$A3884,'Audit Versions'!$L$6:$L$605,"Active"))</f>
        <v/>
      </c>
      <c r="Q3884" s="15" t="n"/>
      <c r="R3884" s="26">
        <f>IF(OR($A3884="",$P3884=0),"",MOD(N($Q3884),$P3884)+1)</f>
        <v/>
      </c>
      <c r="S3884" s="15" t="n"/>
      <c r="T3884" s="25" t="n"/>
      <c r="U3884" s="26">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Builder'!$B$12="",N($S3884)&lt;='Assignment Builder'!$B$12)))</f>
        <v/>
      </c>
      <c r="V3884" s="23" t="n"/>
    </row>
    <row r="3885">
      <c r="A3885" s="23" t="n"/>
      <c r="B3885" s="23" t="n"/>
      <c r="C3885" s="24" t="n"/>
      <c r="D3885" s="15" t="n"/>
      <c r="E3885" s="23" t="n"/>
      <c r="F3885" s="15" t="n"/>
      <c r="G3885" s="23" t="n"/>
      <c r="H3885" s="25" t="n"/>
      <c r="I3885" s="15" t="n"/>
      <c r="J3885" s="26">
        <f>IF($A3885="","",LEN($C3885)-LEN(SUBSTITUTE($C3885,",",""))+1)</f>
        <v/>
      </c>
      <c r="K3885" s="26">
        <f>IF($A3885="","",SUMPRODUCT(--ISNUMBER(SEARCH('Category Dictionary'!$D$5:$D$135&amp;"",$C3885)),--('Category Dictionary'!$D$5:$D$135&lt;&gt;"")))</f>
        <v/>
      </c>
      <c r="L3885" s="27">
        <f>IF($A3885="","",TRIM(IF(ISERROR(FIND(",",$C3885)),$C3885,LEFT($C3885,FIND(",",$C3885)-1))))</f>
        <v/>
      </c>
      <c r="M3885" s="28">
        <f>IF($H3885="","",DATE(YEAR($H3885),MONTH($H3885),1))</f>
        <v/>
      </c>
      <c r="N3885" s="26">
        <f>IF($H3885="","",TODAY()-$H3885)</f>
        <v/>
      </c>
      <c r="O3885" s="15" t="n"/>
      <c r="P3885" s="26">
        <f>IF($A3885="","",COUNTIFS('Audit Versions'!$A$6:$A$605,$A3885,'Audit Versions'!$L$6:$L$605,"Active"))</f>
        <v/>
      </c>
      <c r="Q3885" s="15" t="n"/>
      <c r="R3885" s="26">
        <f>IF(OR($A3885="",$P3885=0),"",MOD(N($Q3885),$P3885)+1)</f>
        <v/>
      </c>
      <c r="S3885" s="15" t="n"/>
      <c r="T3885" s="25" t="n"/>
      <c r="U3885" s="26">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Builder'!$B$12="",N($S3885)&lt;='Assignment Builder'!$B$12)))</f>
        <v/>
      </c>
      <c r="V3885" s="23" t="n"/>
    </row>
    <row r="3886">
      <c r="A3886" s="23" t="n"/>
      <c r="B3886" s="23" t="n"/>
      <c r="C3886" s="24" t="n"/>
      <c r="D3886" s="15" t="n"/>
      <c r="E3886" s="23" t="n"/>
      <c r="F3886" s="15" t="n"/>
      <c r="G3886" s="23" t="n"/>
      <c r="H3886" s="25" t="n"/>
      <c r="I3886" s="15" t="n"/>
      <c r="J3886" s="26">
        <f>IF($A3886="","",LEN($C3886)-LEN(SUBSTITUTE($C3886,",",""))+1)</f>
        <v/>
      </c>
      <c r="K3886" s="26">
        <f>IF($A3886="","",SUMPRODUCT(--ISNUMBER(SEARCH('Category Dictionary'!$D$5:$D$135&amp;"",$C3886)),--('Category Dictionary'!$D$5:$D$135&lt;&gt;"")))</f>
        <v/>
      </c>
      <c r="L3886" s="27">
        <f>IF($A3886="","",TRIM(IF(ISERROR(FIND(",",$C3886)),$C3886,LEFT($C3886,FIND(",",$C3886)-1))))</f>
        <v/>
      </c>
      <c r="M3886" s="28">
        <f>IF($H3886="","",DATE(YEAR($H3886),MONTH($H3886),1))</f>
        <v/>
      </c>
      <c r="N3886" s="26">
        <f>IF($H3886="","",TODAY()-$H3886)</f>
        <v/>
      </c>
      <c r="O3886" s="15" t="n"/>
      <c r="P3886" s="26">
        <f>IF($A3886="","",COUNTIFS('Audit Versions'!$A$6:$A$605,$A3886,'Audit Versions'!$L$6:$L$605,"Active"))</f>
        <v/>
      </c>
      <c r="Q3886" s="15" t="n"/>
      <c r="R3886" s="26">
        <f>IF(OR($A3886="",$P3886=0),"",MOD(N($Q3886),$P3886)+1)</f>
        <v/>
      </c>
      <c r="S3886" s="15" t="n"/>
      <c r="T3886" s="25" t="n"/>
      <c r="U3886" s="26">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Builder'!$B$12="",N($S3886)&lt;='Assignment Builder'!$B$12)))</f>
        <v/>
      </c>
      <c r="V3886" s="23" t="n"/>
    </row>
    <row r="3887">
      <c r="A3887" s="23" t="n"/>
      <c r="B3887" s="23" t="n"/>
      <c r="C3887" s="24" t="n"/>
      <c r="D3887" s="15" t="n"/>
      <c r="E3887" s="23" t="n"/>
      <c r="F3887" s="15" t="n"/>
      <c r="G3887" s="23" t="n"/>
      <c r="H3887" s="25" t="n"/>
      <c r="I3887" s="15" t="n"/>
      <c r="J3887" s="26">
        <f>IF($A3887="","",LEN($C3887)-LEN(SUBSTITUTE($C3887,",",""))+1)</f>
        <v/>
      </c>
      <c r="K3887" s="26">
        <f>IF($A3887="","",SUMPRODUCT(--ISNUMBER(SEARCH('Category Dictionary'!$D$5:$D$135&amp;"",$C3887)),--('Category Dictionary'!$D$5:$D$135&lt;&gt;"")))</f>
        <v/>
      </c>
      <c r="L3887" s="27">
        <f>IF($A3887="","",TRIM(IF(ISERROR(FIND(",",$C3887)),$C3887,LEFT($C3887,FIND(",",$C3887)-1))))</f>
        <v/>
      </c>
      <c r="M3887" s="28">
        <f>IF($H3887="","",DATE(YEAR($H3887),MONTH($H3887),1))</f>
        <v/>
      </c>
      <c r="N3887" s="26">
        <f>IF($H3887="","",TODAY()-$H3887)</f>
        <v/>
      </c>
      <c r="O3887" s="15" t="n"/>
      <c r="P3887" s="26">
        <f>IF($A3887="","",COUNTIFS('Audit Versions'!$A$6:$A$605,$A3887,'Audit Versions'!$L$6:$L$605,"Active"))</f>
        <v/>
      </c>
      <c r="Q3887" s="15" t="n"/>
      <c r="R3887" s="26">
        <f>IF(OR($A3887="",$P3887=0),"",MOD(N($Q3887),$P3887)+1)</f>
        <v/>
      </c>
      <c r="S3887" s="15" t="n"/>
      <c r="T3887" s="25" t="n"/>
      <c r="U3887" s="26">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Builder'!$B$12="",N($S3887)&lt;='Assignment Builder'!$B$12)))</f>
        <v/>
      </c>
      <c r="V3887" s="23" t="n"/>
    </row>
    <row r="3888">
      <c r="A3888" s="23" t="n"/>
      <c r="B3888" s="23" t="n"/>
      <c r="C3888" s="24" t="n"/>
      <c r="D3888" s="15" t="n"/>
      <c r="E3888" s="23" t="n"/>
      <c r="F3888" s="15" t="n"/>
      <c r="G3888" s="23" t="n"/>
      <c r="H3888" s="25" t="n"/>
      <c r="I3888" s="15" t="n"/>
      <c r="J3888" s="26">
        <f>IF($A3888="","",LEN($C3888)-LEN(SUBSTITUTE($C3888,",",""))+1)</f>
        <v/>
      </c>
      <c r="K3888" s="26">
        <f>IF($A3888="","",SUMPRODUCT(--ISNUMBER(SEARCH('Category Dictionary'!$D$5:$D$135&amp;"",$C3888)),--('Category Dictionary'!$D$5:$D$135&lt;&gt;"")))</f>
        <v/>
      </c>
      <c r="L3888" s="27">
        <f>IF($A3888="","",TRIM(IF(ISERROR(FIND(",",$C3888)),$C3888,LEFT($C3888,FIND(",",$C3888)-1))))</f>
        <v/>
      </c>
      <c r="M3888" s="28">
        <f>IF($H3888="","",DATE(YEAR($H3888),MONTH($H3888),1))</f>
        <v/>
      </c>
      <c r="N3888" s="26">
        <f>IF($H3888="","",TODAY()-$H3888)</f>
        <v/>
      </c>
      <c r="O3888" s="15" t="n"/>
      <c r="P3888" s="26">
        <f>IF($A3888="","",COUNTIFS('Audit Versions'!$A$6:$A$605,$A3888,'Audit Versions'!$L$6:$L$605,"Active"))</f>
        <v/>
      </c>
      <c r="Q3888" s="15" t="n"/>
      <c r="R3888" s="26">
        <f>IF(OR($A3888="",$P3888=0),"",MOD(N($Q3888),$P3888)+1)</f>
        <v/>
      </c>
      <c r="S3888" s="15" t="n"/>
      <c r="T3888" s="25" t="n"/>
      <c r="U3888" s="26">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Builder'!$B$12="",N($S3888)&lt;='Assignment Builder'!$B$12)))</f>
        <v/>
      </c>
      <c r="V3888" s="23" t="n"/>
    </row>
    <row r="3889">
      <c r="A3889" s="23" t="n"/>
      <c r="B3889" s="23" t="n"/>
      <c r="C3889" s="24" t="n"/>
      <c r="D3889" s="15" t="n"/>
      <c r="E3889" s="23" t="n"/>
      <c r="F3889" s="15" t="n"/>
      <c r="G3889" s="23" t="n"/>
      <c r="H3889" s="25" t="n"/>
      <c r="I3889" s="15" t="n"/>
      <c r="J3889" s="26">
        <f>IF($A3889="","",LEN($C3889)-LEN(SUBSTITUTE($C3889,",",""))+1)</f>
        <v/>
      </c>
      <c r="K3889" s="26">
        <f>IF($A3889="","",SUMPRODUCT(--ISNUMBER(SEARCH('Category Dictionary'!$D$5:$D$135&amp;"",$C3889)),--('Category Dictionary'!$D$5:$D$135&lt;&gt;"")))</f>
        <v/>
      </c>
      <c r="L3889" s="27">
        <f>IF($A3889="","",TRIM(IF(ISERROR(FIND(",",$C3889)),$C3889,LEFT($C3889,FIND(",",$C3889)-1))))</f>
        <v/>
      </c>
      <c r="M3889" s="28">
        <f>IF($H3889="","",DATE(YEAR($H3889),MONTH($H3889),1))</f>
        <v/>
      </c>
      <c r="N3889" s="26">
        <f>IF($H3889="","",TODAY()-$H3889)</f>
        <v/>
      </c>
      <c r="O3889" s="15" t="n"/>
      <c r="P3889" s="26">
        <f>IF($A3889="","",COUNTIFS('Audit Versions'!$A$6:$A$605,$A3889,'Audit Versions'!$L$6:$L$605,"Active"))</f>
        <v/>
      </c>
      <c r="Q3889" s="15" t="n"/>
      <c r="R3889" s="26">
        <f>IF(OR($A3889="",$P3889=0),"",MOD(N($Q3889),$P3889)+1)</f>
        <v/>
      </c>
      <c r="S3889" s="15" t="n"/>
      <c r="T3889" s="25" t="n"/>
      <c r="U3889" s="26">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Builder'!$B$12="",N($S3889)&lt;='Assignment Builder'!$B$12)))</f>
        <v/>
      </c>
      <c r="V3889" s="23" t="n"/>
    </row>
    <row r="3890">
      <c r="A3890" s="23" t="n"/>
      <c r="B3890" s="23" t="n"/>
      <c r="C3890" s="24" t="n"/>
      <c r="D3890" s="15" t="n"/>
      <c r="E3890" s="23" t="n"/>
      <c r="F3890" s="15" t="n"/>
      <c r="G3890" s="23" t="n"/>
      <c r="H3890" s="25" t="n"/>
      <c r="I3890" s="15" t="n"/>
      <c r="J3890" s="26">
        <f>IF($A3890="","",LEN($C3890)-LEN(SUBSTITUTE($C3890,",",""))+1)</f>
        <v/>
      </c>
      <c r="K3890" s="26">
        <f>IF($A3890="","",SUMPRODUCT(--ISNUMBER(SEARCH('Category Dictionary'!$D$5:$D$135&amp;"",$C3890)),--('Category Dictionary'!$D$5:$D$135&lt;&gt;"")))</f>
        <v/>
      </c>
      <c r="L3890" s="27">
        <f>IF($A3890="","",TRIM(IF(ISERROR(FIND(",",$C3890)),$C3890,LEFT($C3890,FIND(",",$C3890)-1))))</f>
        <v/>
      </c>
      <c r="M3890" s="28">
        <f>IF($H3890="","",DATE(YEAR($H3890),MONTH($H3890),1))</f>
        <v/>
      </c>
      <c r="N3890" s="26">
        <f>IF($H3890="","",TODAY()-$H3890)</f>
        <v/>
      </c>
      <c r="O3890" s="15" t="n"/>
      <c r="P3890" s="26">
        <f>IF($A3890="","",COUNTIFS('Audit Versions'!$A$6:$A$605,$A3890,'Audit Versions'!$L$6:$L$605,"Active"))</f>
        <v/>
      </c>
      <c r="Q3890" s="15" t="n"/>
      <c r="R3890" s="26">
        <f>IF(OR($A3890="",$P3890=0),"",MOD(N($Q3890),$P3890)+1)</f>
        <v/>
      </c>
      <c r="S3890" s="15" t="n"/>
      <c r="T3890" s="25" t="n"/>
      <c r="U3890" s="26">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Builder'!$B$12="",N($S3890)&lt;='Assignment Builder'!$B$12)))</f>
        <v/>
      </c>
      <c r="V3890" s="23" t="n"/>
    </row>
    <row r="3891">
      <c r="A3891" s="23" t="n"/>
      <c r="B3891" s="23" t="n"/>
      <c r="C3891" s="24" t="n"/>
      <c r="D3891" s="15" t="n"/>
      <c r="E3891" s="23" t="n"/>
      <c r="F3891" s="15" t="n"/>
      <c r="G3891" s="23" t="n"/>
      <c r="H3891" s="25" t="n"/>
      <c r="I3891" s="15" t="n"/>
      <c r="J3891" s="26">
        <f>IF($A3891="","",LEN($C3891)-LEN(SUBSTITUTE($C3891,",",""))+1)</f>
        <v/>
      </c>
      <c r="K3891" s="26">
        <f>IF($A3891="","",SUMPRODUCT(--ISNUMBER(SEARCH('Category Dictionary'!$D$5:$D$135&amp;"",$C3891)),--('Category Dictionary'!$D$5:$D$135&lt;&gt;"")))</f>
        <v/>
      </c>
      <c r="L3891" s="27">
        <f>IF($A3891="","",TRIM(IF(ISERROR(FIND(",",$C3891)),$C3891,LEFT($C3891,FIND(",",$C3891)-1))))</f>
        <v/>
      </c>
      <c r="M3891" s="28">
        <f>IF($H3891="","",DATE(YEAR($H3891),MONTH($H3891),1))</f>
        <v/>
      </c>
      <c r="N3891" s="26">
        <f>IF($H3891="","",TODAY()-$H3891)</f>
        <v/>
      </c>
      <c r="O3891" s="15" t="n"/>
      <c r="P3891" s="26">
        <f>IF($A3891="","",COUNTIFS('Audit Versions'!$A$6:$A$605,$A3891,'Audit Versions'!$L$6:$L$605,"Active"))</f>
        <v/>
      </c>
      <c r="Q3891" s="15" t="n"/>
      <c r="R3891" s="26">
        <f>IF(OR($A3891="",$P3891=0),"",MOD(N($Q3891),$P3891)+1)</f>
        <v/>
      </c>
      <c r="S3891" s="15" t="n"/>
      <c r="T3891" s="25" t="n"/>
      <c r="U3891" s="26">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Builder'!$B$12="",N($S3891)&lt;='Assignment Builder'!$B$12)))</f>
        <v/>
      </c>
      <c r="V3891" s="23" t="n"/>
    </row>
    <row r="3892">
      <c r="A3892" s="23" t="n"/>
      <c r="B3892" s="23" t="n"/>
      <c r="C3892" s="24" t="n"/>
      <c r="D3892" s="15" t="n"/>
      <c r="E3892" s="23" t="n"/>
      <c r="F3892" s="15" t="n"/>
      <c r="G3892" s="23" t="n"/>
      <c r="H3892" s="25" t="n"/>
      <c r="I3892" s="15" t="n"/>
      <c r="J3892" s="26">
        <f>IF($A3892="","",LEN($C3892)-LEN(SUBSTITUTE($C3892,",",""))+1)</f>
        <v/>
      </c>
      <c r="K3892" s="26">
        <f>IF($A3892="","",SUMPRODUCT(--ISNUMBER(SEARCH('Category Dictionary'!$D$5:$D$135&amp;"",$C3892)),--('Category Dictionary'!$D$5:$D$135&lt;&gt;"")))</f>
        <v/>
      </c>
      <c r="L3892" s="27">
        <f>IF($A3892="","",TRIM(IF(ISERROR(FIND(",",$C3892)),$C3892,LEFT($C3892,FIND(",",$C3892)-1))))</f>
        <v/>
      </c>
      <c r="M3892" s="28">
        <f>IF($H3892="","",DATE(YEAR($H3892),MONTH($H3892),1))</f>
        <v/>
      </c>
      <c r="N3892" s="26">
        <f>IF($H3892="","",TODAY()-$H3892)</f>
        <v/>
      </c>
      <c r="O3892" s="15" t="n"/>
      <c r="P3892" s="26">
        <f>IF($A3892="","",COUNTIFS('Audit Versions'!$A$6:$A$605,$A3892,'Audit Versions'!$L$6:$L$605,"Active"))</f>
        <v/>
      </c>
      <c r="Q3892" s="15" t="n"/>
      <c r="R3892" s="26">
        <f>IF(OR($A3892="",$P3892=0),"",MOD(N($Q3892),$P3892)+1)</f>
        <v/>
      </c>
      <c r="S3892" s="15" t="n"/>
      <c r="T3892" s="25" t="n"/>
      <c r="U3892" s="26">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Builder'!$B$12="",N($S3892)&lt;='Assignment Builder'!$B$12)))</f>
        <v/>
      </c>
      <c r="V3892" s="23" t="n"/>
    </row>
    <row r="3893">
      <c r="A3893" s="23" t="n"/>
      <c r="B3893" s="23" t="n"/>
      <c r="C3893" s="24" t="n"/>
      <c r="D3893" s="15" t="n"/>
      <c r="E3893" s="23" t="n"/>
      <c r="F3893" s="15" t="n"/>
      <c r="G3893" s="23" t="n"/>
      <c r="H3893" s="25" t="n"/>
      <c r="I3893" s="15" t="n"/>
      <c r="J3893" s="26">
        <f>IF($A3893="","",LEN($C3893)-LEN(SUBSTITUTE($C3893,",",""))+1)</f>
        <v/>
      </c>
      <c r="K3893" s="26">
        <f>IF($A3893="","",SUMPRODUCT(--ISNUMBER(SEARCH('Category Dictionary'!$D$5:$D$135&amp;"",$C3893)),--('Category Dictionary'!$D$5:$D$135&lt;&gt;"")))</f>
        <v/>
      </c>
      <c r="L3893" s="27">
        <f>IF($A3893="","",TRIM(IF(ISERROR(FIND(",",$C3893)),$C3893,LEFT($C3893,FIND(",",$C3893)-1))))</f>
        <v/>
      </c>
      <c r="M3893" s="28">
        <f>IF($H3893="","",DATE(YEAR($H3893),MONTH($H3893),1))</f>
        <v/>
      </c>
      <c r="N3893" s="26">
        <f>IF($H3893="","",TODAY()-$H3893)</f>
        <v/>
      </c>
      <c r="O3893" s="15" t="n"/>
      <c r="P3893" s="26">
        <f>IF($A3893="","",COUNTIFS('Audit Versions'!$A$6:$A$605,$A3893,'Audit Versions'!$L$6:$L$605,"Active"))</f>
        <v/>
      </c>
      <c r="Q3893" s="15" t="n"/>
      <c r="R3893" s="26">
        <f>IF(OR($A3893="",$P3893=0),"",MOD(N($Q3893),$P3893)+1)</f>
        <v/>
      </c>
      <c r="S3893" s="15" t="n"/>
      <c r="T3893" s="25" t="n"/>
      <c r="U3893" s="26">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Builder'!$B$12="",N($S3893)&lt;='Assignment Builder'!$B$12)))</f>
        <v/>
      </c>
      <c r="V3893" s="23" t="n"/>
    </row>
    <row r="3894">
      <c r="A3894" s="23" t="n"/>
      <c r="B3894" s="23" t="n"/>
      <c r="C3894" s="24" t="n"/>
      <c r="D3894" s="15" t="n"/>
      <c r="E3894" s="23" t="n"/>
      <c r="F3894" s="15" t="n"/>
      <c r="G3894" s="23" t="n"/>
      <c r="H3894" s="25" t="n"/>
      <c r="I3894" s="15" t="n"/>
      <c r="J3894" s="26">
        <f>IF($A3894="","",LEN($C3894)-LEN(SUBSTITUTE($C3894,",",""))+1)</f>
        <v/>
      </c>
      <c r="K3894" s="26">
        <f>IF($A3894="","",SUMPRODUCT(--ISNUMBER(SEARCH('Category Dictionary'!$D$5:$D$135&amp;"",$C3894)),--('Category Dictionary'!$D$5:$D$135&lt;&gt;"")))</f>
        <v/>
      </c>
      <c r="L3894" s="27">
        <f>IF($A3894="","",TRIM(IF(ISERROR(FIND(",",$C3894)),$C3894,LEFT($C3894,FIND(",",$C3894)-1))))</f>
        <v/>
      </c>
      <c r="M3894" s="28">
        <f>IF($H3894="","",DATE(YEAR($H3894),MONTH($H3894),1))</f>
        <v/>
      </c>
      <c r="N3894" s="26">
        <f>IF($H3894="","",TODAY()-$H3894)</f>
        <v/>
      </c>
      <c r="O3894" s="15" t="n"/>
      <c r="P3894" s="26">
        <f>IF($A3894="","",COUNTIFS('Audit Versions'!$A$6:$A$605,$A3894,'Audit Versions'!$L$6:$L$605,"Active"))</f>
        <v/>
      </c>
      <c r="Q3894" s="15" t="n"/>
      <c r="R3894" s="26">
        <f>IF(OR($A3894="",$P3894=0),"",MOD(N($Q3894),$P3894)+1)</f>
        <v/>
      </c>
      <c r="S3894" s="15" t="n"/>
      <c r="T3894" s="25" t="n"/>
      <c r="U3894" s="26">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Builder'!$B$12="",N($S3894)&lt;='Assignment Builder'!$B$12)))</f>
        <v/>
      </c>
      <c r="V3894" s="23" t="n"/>
    </row>
    <row r="3895">
      <c r="A3895" s="23" t="n"/>
      <c r="B3895" s="23" t="n"/>
      <c r="C3895" s="24" t="n"/>
      <c r="D3895" s="15" t="n"/>
      <c r="E3895" s="23" t="n"/>
      <c r="F3895" s="15" t="n"/>
      <c r="G3895" s="23" t="n"/>
      <c r="H3895" s="25" t="n"/>
      <c r="I3895" s="15" t="n"/>
      <c r="J3895" s="26">
        <f>IF($A3895="","",LEN($C3895)-LEN(SUBSTITUTE($C3895,",",""))+1)</f>
        <v/>
      </c>
      <c r="K3895" s="26">
        <f>IF($A3895="","",SUMPRODUCT(--ISNUMBER(SEARCH('Category Dictionary'!$D$5:$D$135&amp;"",$C3895)),--('Category Dictionary'!$D$5:$D$135&lt;&gt;"")))</f>
        <v/>
      </c>
      <c r="L3895" s="27">
        <f>IF($A3895="","",TRIM(IF(ISERROR(FIND(",",$C3895)),$C3895,LEFT($C3895,FIND(",",$C3895)-1))))</f>
        <v/>
      </c>
      <c r="M3895" s="28">
        <f>IF($H3895="","",DATE(YEAR($H3895),MONTH($H3895),1))</f>
        <v/>
      </c>
      <c r="N3895" s="26">
        <f>IF($H3895="","",TODAY()-$H3895)</f>
        <v/>
      </c>
      <c r="O3895" s="15" t="n"/>
      <c r="P3895" s="26">
        <f>IF($A3895="","",COUNTIFS('Audit Versions'!$A$6:$A$605,$A3895,'Audit Versions'!$L$6:$L$605,"Active"))</f>
        <v/>
      </c>
      <c r="Q3895" s="15" t="n"/>
      <c r="R3895" s="26">
        <f>IF(OR($A3895="",$P3895=0),"",MOD(N($Q3895),$P3895)+1)</f>
        <v/>
      </c>
      <c r="S3895" s="15" t="n"/>
      <c r="T3895" s="25" t="n"/>
      <c r="U3895" s="26">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Builder'!$B$12="",N($S3895)&lt;='Assignment Builder'!$B$12)))</f>
        <v/>
      </c>
      <c r="V3895" s="23" t="n"/>
    </row>
    <row r="3896">
      <c r="A3896" s="23" t="n"/>
      <c r="B3896" s="23" t="n"/>
      <c r="C3896" s="24" t="n"/>
      <c r="D3896" s="15" t="n"/>
      <c r="E3896" s="23" t="n"/>
      <c r="F3896" s="15" t="n"/>
      <c r="G3896" s="23" t="n"/>
      <c r="H3896" s="25" t="n"/>
      <c r="I3896" s="15" t="n"/>
      <c r="J3896" s="26">
        <f>IF($A3896="","",LEN($C3896)-LEN(SUBSTITUTE($C3896,",",""))+1)</f>
        <v/>
      </c>
      <c r="K3896" s="26">
        <f>IF($A3896="","",SUMPRODUCT(--ISNUMBER(SEARCH('Category Dictionary'!$D$5:$D$135&amp;"",$C3896)),--('Category Dictionary'!$D$5:$D$135&lt;&gt;"")))</f>
        <v/>
      </c>
      <c r="L3896" s="27">
        <f>IF($A3896="","",TRIM(IF(ISERROR(FIND(",",$C3896)),$C3896,LEFT($C3896,FIND(",",$C3896)-1))))</f>
        <v/>
      </c>
      <c r="M3896" s="28">
        <f>IF($H3896="","",DATE(YEAR($H3896),MONTH($H3896),1))</f>
        <v/>
      </c>
      <c r="N3896" s="26">
        <f>IF($H3896="","",TODAY()-$H3896)</f>
        <v/>
      </c>
      <c r="O3896" s="15" t="n"/>
      <c r="P3896" s="26">
        <f>IF($A3896="","",COUNTIFS('Audit Versions'!$A$6:$A$605,$A3896,'Audit Versions'!$L$6:$L$605,"Active"))</f>
        <v/>
      </c>
      <c r="Q3896" s="15" t="n"/>
      <c r="R3896" s="26">
        <f>IF(OR($A3896="",$P3896=0),"",MOD(N($Q3896),$P3896)+1)</f>
        <v/>
      </c>
      <c r="S3896" s="15" t="n"/>
      <c r="T3896" s="25" t="n"/>
      <c r="U3896" s="26">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Builder'!$B$12="",N($S3896)&lt;='Assignment Builder'!$B$12)))</f>
        <v/>
      </c>
      <c r="V3896" s="23" t="n"/>
    </row>
    <row r="3897">
      <c r="A3897" s="23" t="n"/>
      <c r="B3897" s="23" t="n"/>
      <c r="C3897" s="24" t="n"/>
      <c r="D3897" s="15" t="n"/>
      <c r="E3897" s="23" t="n"/>
      <c r="F3897" s="15" t="n"/>
      <c r="G3897" s="23" t="n"/>
      <c r="H3897" s="25" t="n"/>
      <c r="I3897" s="15" t="n"/>
      <c r="J3897" s="26">
        <f>IF($A3897="","",LEN($C3897)-LEN(SUBSTITUTE($C3897,",",""))+1)</f>
        <v/>
      </c>
      <c r="K3897" s="26">
        <f>IF($A3897="","",SUMPRODUCT(--ISNUMBER(SEARCH('Category Dictionary'!$D$5:$D$135&amp;"",$C3897)),--('Category Dictionary'!$D$5:$D$135&lt;&gt;"")))</f>
        <v/>
      </c>
      <c r="L3897" s="27">
        <f>IF($A3897="","",TRIM(IF(ISERROR(FIND(",",$C3897)),$C3897,LEFT($C3897,FIND(",",$C3897)-1))))</f>
        <v/>
      </c>
      <c r="M3897" s="28">
        <f>IF($H3897="","",DATE(YEAR($H3897),MONTH($H3897),1))</f>
        <v/>
      </c>
      <c r="N3897" s="26">
        <f>IF($H3897="","",TODAY()-$H3897)</f>
        <v/>
      </c>
      <c r="O3897" s="15" t="n"/>
      <c r="P3897" s="26">
        <f>IF($A3897="","",COUNTIFS('Audit Versions'!$A$6:$A$605,$A3897,'Audit Versions'!$L$6:$L$605,"Active"))</f>
        <v/>
      </c>
      <c r="Q3897" s="15" t="n"/>
      <c r="R3897" s="26">
        <f>IF(OR($A3897="",$P3897=0),"",MOD(N($Q3897),$P3897)+1)</f>
        <v/>
      </c>
      <c r="S3897" s="15" t="n"/>
      <c r="T3897" s="25" t="n"/>
      <c r="U3897" s="26">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Builder'!$B$12="",N($S3897)&lt;='Assignment Builder'!$B$12)))</f>
        <v/>
      </c>
      <c r="V3897" s="23" t="n"/>
    </row>
    <row r="3898">
      <c r="A3898" s="23" t="n"/>
      <c r="B3898" s="23" t="n"/>
      <c r="C3898" s="24" t="n"/>
      <c r="D3898" s="15" t="n"/>
      <c r="E3898" s="23" t="n"/>
      <c r="F3898" s="15" t="n"/>
      <c r="G3898" s="23" t="n"/>
      <c r="H3898" s="25" t="n"/>
      <c r="I3898" s="15" t="n"/>
      <c r="J3898" s="26">
        <f>IF($A3898="","",LEN($C3898)-LEN(SUBSTITUTE($C3898,",",""))+1)</f>
        <v/>
      </c>
      <c r="K3898" s="26">
        <f>IF($A3898="","",SUMPRODUCT(--ISNUMBER(SEARCH('Category Dictionary'!$D$5:$D$135&amp;"",$C3898)),--('Category Dictionary'!$D$5:$D$135&lt;&gt;"")))</f>
        <v/>
      </c>
      <c r="L3898" s="27">
        <f>IF($A3898="","",TRIM(IF(ISERROR(FIND(",",$C3898)),$C3898,LEFT($C3898,FIND(",",$C3898)-1))))</f>
        <v/>
      </c>
      <c r="M3898" s="28">
        <f>IF($H3898="","",DATE(YEAR($H3898),MONTH($H3898),1))</f>
        <v/>
      </c>
      <c r="N3898" s="26">
        <f>IF($H3898="","",TODAY()-$H3898)</f>
        <v/>
      </c>
      <c r="O3898" s="15" t="n"/>
      <c r="P3898" s="26">
        <f>IF($A3898="","",COUNTIFS('Audit Versions'!$A$6:$A$605,$A3898,'Audit Versions'!$L$6:$L$605,"Active"))</f>
        <v/>
      </c>
      <c r="Q3898" s="15" t="n"/>
      <c r="R3898" s="26">
        <f>IF(OR($A3898="",$P3898=0),"",MOD(N($Q3898),$P3898)+1)</f>
        <v/>
      </c>
      <c r="S3898" s="15" t="n"/>
      <c r="T3898" s="25" t="n"/>
      <c r="U3898" s="26">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Builder'!$B$12="",N($S3898)&lt;='Assignment Builder'!$B$12)))</f>
        <v/>
      </c>
      <c r="V3898" s="23" t="n"/>
    </row>
    <row r="3899">
      <c r="A3899" s="23" t="n"/>
      <c r="B3899" s="23" t="n"/>
      <c r="C3899" s="24" t="n"/>
      <c r="D3899" s="15" t="n"/>
      <c r="E3899" s="23" t="n"/>
      <c r="F3899" s="15" t="n"/>
      <c r="G3899" s="23" t="n"/>
      <c r="H3899" s="25" t="n"/>
      <c r="I3899" s="15" t="n"/>
      <c r="J3899" s="26">
        <f>IF($A3899="","",LEN($C3899)-LEN(SUBSTITUTE($C3899,",",""))+1)</f>
        <v/>
      </c>
      <c r="K3899" s="26">
        <f>IF($A3899="","",SUMPRODUCT(--ISNUMBER(SEARCH('Category Dictionary'!$D$5:$D$135&amp;"",$C3899)),--('Category Dictionary'!$D$5:$D$135&lt;&gt;"")))</f>
        <v/>
      </c>
      <c r="L3899" s="27">
        <f>IF($A3899="","",TRIM(IF(ISERROR(FIND(",",$C3899)),$C3899,LEFT($C3899,FIND(",",$C3899)-1))))</f>
        <v/>
      </c>
      <c r="M3899" s="28">
        <f>IF($H3899="","",DATE(YEAR($H3899),MONTH($H3899),1))</f>
        <v/>
      </c>
      <c r="N3899" s="26">
        <f>IF($H3899="","",TODAY()-$H3899)</f>
        <v/>
      </c>
      <c r="O3899" s="15" t="n"/>
      <c r="P3899" s="26">
        <f>IF($A3899="","",COUNTIFS('Audit Versions'!$A$6:$A$605,$A3899,'Audit Versions'!$L$6:$L$605,"Active"))</f>
        <v/>
      </c>
      <c r="Q3899" s="15" t="n"/>
      <c r="R3899" s="26">
        <f>IF(OR($A3899="",$P3899=0),"",MOD(N($Q3899),$P3899)+1)</f>
        <v/>
      </c>
      <c r="S3899" s="15" t="n"/>
      <c r="T3899" s="25" t="n"/>
      <c r="U3899" s="26">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Builder'!$B$12="",N($S3899)&lt;='Assignment Builder'!$B$12)))</f>
        <v/>
      </c>
      <c r="V3899" s="23" t="n"/>
    </row>
    <row r="3900">
      <c r="A3900" s="23" t="n"/>
      <c r="B3900" s="23" t="n"/>
      <c r="C3900" s="24" t="n"/>
      <c r="D3900" s="15" t="n"/>
      <c r="E3900" s="23" t="n"/>
      <c r="F3900" s="15" t="n"/>
      <c r="G3900" s="23" t="n"/>
      <c r="H3900" s="25" t="n"/>
      <c r="I3900" s="15" t="n"/>
      <c r="J3900" s="26">
        <f>IF($A3900="","",LEN($C3900)-LEN(SUBSTITUTE($C3900,",",""))+1)</f>
        <v/>
      </c>
      <c r="K3900" s="26">
        <f>IF($A3900="","",SUMPRODUCT(--ISNUMBER(SEARCH('Category Dictionary'!$D$5:$D$135&amp;"",$C3900)),--('Category Dictionary'!$D$5:$D$135&lt;&gt;"")))</f>
        <v/>
      </c>
      <c r="L3900" s="27">
        <f>IF($A3900="","",TRIM(IF(ISERROR(FIND(",",$C3900)),$C3900,LEFT($C3900,FIND(",",$C3900)-1))))</f>
        <v/>
      </c>
      <c r="M3900" s="28">
        <f>IF($H3900="","",DATE(YEAR($H3900),MONTH($H3900),1))</f>
        <v/>
      </c>
      <c r="N3900" s="26">
        <f>IF($H3900="","",TODAY()-$H3900)</f>
        <v/>
      </c>
      <c r="O3900" s="15" t="n"/>
      <c r="P3900" s="26">
        <f>IF($A3900="","",COUNTIFS('Audit Versions'!$A$6:$A$605,$A3900,'Audit Versions'!$L$6:$L$605,"Active"))</f>
        <v/>
      </c>
      <c r="Q3900" s="15" t="n"/>
      <c r="R3900" s="26">
        <f>IF(OR($A3900="",$P3900=0),"",MOD(N($Q3900),$P3900)+1)</f>
        <v/>
      </c>
      <c r="S3900" s="15" t="n"/>
      <c r="T3900" s="25" t="n"/>
      <c r="U3900" s="26">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Builder'!$B$12="",N($S3900)&lt;='Assignment Builder'!$B$12)))</f>
        <v/>
      </c>
      <c r="V3900" s="23" t="n"/>
    </row>
    <row r="3901">
      <c r="A3901" s="23" t="n"/>
      <c r="B3901" s="23" t="n"/>
      <c r="C3901" s="24" t="n"/>
      <c r="D3901" s="15" t="n"/>
      <c r="E3901" s="23" t="n"/>
      <c r="F3901" s="15" t="n"/>
      <c r="G3901" s="23" t="n"/>
      <c r="H3901" s="25" t="n"/>
      <c r="I3901" s="15" t="n"/>
      <c r="J3901" s="26">
        <f>IF($A3901="","",LEN($C3901)-LEN(SUBSTITUTE($C3901,",",""))+1)</f>
        <v/>
      </c>
      <c r="K3901" s="26">
        <f>IF($A3901="","",SUMPRODUCT(--ISNUMBER(SEARCH('Category Dictionary'!$D$5:$D$135&amp;"",$C3901)),--('Category Dictionary'!$D$5:$D$135&lt;&gt;"")))</f>
        <v/>
      </c>
      <c r="L3901" s="27">
        <f>IF($A3901="","",TRIM(IF(ISERROR(FIND(",",$C3901)),$C3901,LEFT($C3901,FIND(",",$C3901)-1))))</f>
        <v/>
      </c>
      <c r="M3901" s="28">
        <f>IF($H3901="","",DATE(YEAR($H3901),MONTH($H3901),1))</f>
        <v/>
      </c>
      <c r="N3901" s="26">
        <f>IF($H3901="","",TODAY()-$H3901)</f>
        <v/>
      </c>
      <c r="O3901" s="15" t="n"/>
      <c r="P3901" s="26">
        <f>IF($A3901="","",COUNTIFS('Audit Versions'!$A$6:$A$605,$A3901,'Audit Versions'!$L$6:$L$605,"Active"))</f>
        <v/>
      </c>
      <c r="Q3901" s="15" t="n"/>
      <c r="R3901" s="26">
        <f>IF(OR($A3901="",$P3901=0),"",MOD(N($Q3901),$P3901)+1)</f>
        <v/>
      </c>
      <c r="S3901" s="15" t="n"/>
      <c r="T3901" s="25" t="n"/>
      <c r="U3901" s="26">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Builder'!$B$12="",N($S3901)&lt;='Assignment Builder'!$B$12)))</f>
        <v/>
      </c>
      <c r="V3901" s="23" t="n"/>
    </row>
    <row r="3902">
      <c r="A3902" s="23" t="n"/>
      <c r="B3902" s="23" t="n"/>
      <c r="C3902" s="24" t="n"/>
      <c r="D3902" s="15" t="n"/>
      <c r="E3902" s="23" t="n"/>
      <c r="F3902" s="15" t="n"/>
      <c r="G3902" s="23" t="n"/>
      <c r="H3902" s="25" t="n"/>
      <c r="I3902" s="15" t="n"/>
      <c r="J3902" s="26">
        <f>IF($A3902="","",LEN($C3902)-LEN(SUBSTITUTE($C3902,",",""))+1)</f>
        <v/>
      </c>
      <c r="K3902" s="26">
        <f>IF($A3902="","",SUMPRODUCT(--ISNUMBER(SEARCH('Category Dictionary'!$D$5:$D$135&amp;"",$C3902)),--('Category Dictionary'!$D$5:$D$135&lt;&gt;"")))</f>
        <v/>
      </c>
      <c r="L3902" s="27">
        <f>IF($A3902="","",TRIM(IF(ISERROR(FIND(",",$C3902)),$C3902,LEFT($C3902,FIND(",",$C3902)-1))))</f>
        <v/>
      </c>
      <c r="M3902" s="28">
        <f>IF($H3902="","",DATE(YEAR($H3902),MONTH($H3902),1))</f>
        <v/>
      </c>
      <c r="N3902" s="26">
        <f>IF($H3902="","",TODAY()-$H3902)</f>
        <v/>
      </c>
      <c r="O3902" s="15" t="n"/>
      <c r="P3902" s="26">
        <f>IF($A3902="","",COUNTIFS('Audit Versions'!$A$6:$A$605,$A3902,'Audit Versions'!$L$6:$L$605,"Active"))</f>
        <v/>
      </c>
      <c r="Q3902" s="15" t="n"/>
      <c r="R3902" s="26">
        <f>IF(OR($A3902="",$P3902=0),"",MOD(N($Q3902),$P3902)+1)</f>
        <v/>
      </c>
      <c r="S3902" s="15" t="n"/>
      <c r="T3902" s="25" t="n"/>
      <c r="U3902" s="26">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Builder'!$B$12="",N($S3902)&lt;='Assignment Builder'!$B$12)))</f>
        <v/>
      </c>
      <c r="V3902" s="23" t="n"/>
    </row>
    <row r="3903">
      <c r="A3903" s="23" t="n"/>
      <c r="B3903" s="23" t="n"/>
      <c r="C3903" s="24" t="n"/>
      <c r="D3903" s="15" t="n"/>
      <c r="E3903" s="23" t="n"/>
      <c r="F3903" s="15" t="n"/>
      <c r="G3903" s="23" t="n"/>
      <c r="H3903" s="25" t="n"/>
      <c r="I3903" s="15" t="n"/>
      <c r="J3903" s="26">
        <f>IF($A3903="","",LEN($C3903)-LEN(SUBSTITUTE($C3903,",",""))+1)</f>
        <v/>
      </c>
      <c r="K3903" s="26">
        <f>IF($A3903="","",SUMPRODUCT(--ISNUMBER(SEARCH('Category Dictionary'!$D$5:$D$135&amp;"",$C3903)),--('Category Dictionary'!$D$5:$D$135&lt;&gt;"")))</f>
        <v/>
      </c>
      <c r="L3903" s="27">
        <f>IF($A3903="","",TRIM(IF(ISERROR(FIND(",",$C3903)),$C3903,LEFT($C3903,FIND(",",$C3903)-1))))</f>
        <v/>
      </c>
      <c r="M3903" s="28">
        <f>IF($H3903="","",DATE(YEAR($H3903),MONTH($H3903),1))</f>
        <v/>
      </c>
      <c r="N3903" s="26">
        <f>IF($H3903="","",TODAY()-$H3903)</f>
        <v/>
      </c>
      <c r="O3903" s="15" t="n"/>
      <c r="P3903" s="26">
        <f>IF($A3903="","",COUNTIFS('Audit Versions'!$A$6:$A$605,$A3903,'Audit Versions'!$L$6:$L$605,"Active"))</f>
        <v/>
      </c>
      <c r="Q3903" s="15" t="n"/>
      <c r="R3903" s="26">
        <f>IF(OR($A3903="",$P3903=0),"",MOD(N($Q3903),$P3903)+1)</f>
        <v/>
      </c>
      <c r="S3903" s="15" t="n"/>
      <c r="T3903" s="25" t="n"/>
      <c r="U3903" s="26">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Builder'!$B$12="",N($S3903)&lt;='Assignment Builder'!$B$12)))</f>
        <v/>
      </c>
      <c r="V3903" s="23" t="n"/>
    </row>
    <row r="3904">
      <c r="A3904" s="23" t="n"/>
      <c r="B3904" s="23" t="n"/>
      <c r="C3904" s="24" t="n"/>
      <c r="D3904" s="15" t="n"/>
      <c r="E3904" s="23" t="n"/>
      <c r="F3904" s="15" t="n"/>
      <c r="G3904" s="23" t="n"/>
      <c r="H3904" s="25" t="n"/>
      <c r="I3904" s="15" t="n"/>
      <c r="J3904" s="26">
        <f>IF($A3904="","",LEN($C3904)-LEN(SUBSTITUTE($C3904,",",""))+1)</f>
        <v/>
      </c>
      <c r="K3904" s="26">
        <f>IF($A3904="","",SUMPRODUCT(--ISNUMBER(SEARCH('Category Dictionary'!$D$5:$D$135&amp;"",$C3904)),--('Category Dictionary'!$D$5:$D$135&lt;&gt;"")))</f>
        <v/>
      </c>
      <c r="L3904" s="27">
        <f>IF($A3904="","",TRIM(IF(ISERROR(FIND(",",$C3904)),$C3904,LEFT($C3904,FIND(",",$C3904)-1))))</f>
        <v/>
      </c>
      <c r="M3904" s="28">
        <f>IF($H3904="","",DATE(YEAR($H3904),MONTH($H3904),1))</f>
        <v/>
      </c>
      <c r="N3904" s="26">
        <f>IF($H3904="","",TODAY()-$H3904)</f>
        <v/>
      </c>
      <c r="O3904" s="15" t="n"/>
      <c r="P3904" s="26">
        <f>IF($A3904="","",COUNTIFS('Audit Versions'!$A$6:$A$605,$A3904,'Audit Versions'!$L$6:$L$605,"Active"))</f>
        <v/>
      </c>
      <c r="Q3904" s="15" t="n"/>
      <c r="R3904" s="26">
        <f>IF(OR($A3904="",$P3904=0),"",MOD(N($Q3904),$P3904)+1)</f>
        <v/>
      </c>
      <c r="S3904" s="15" t="n"/>
      <c r="T3904" s="25" t="n"/>
      <c r="U3904" s="26">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Builder'!$B$12="",N($S3904)&lt;='Assignment Builder'!$B$12)))</f>
        <v/>
      </c>
      <c r="V3904" s="23" t="n"/>
    </row>
    <row r="3905">
      <c r="A3905" s="23" t="n"/>
      <c r="B3905" s="23" t="n"/>
      <c r="C3905" s="24" t="n"/>
      <c r="D3905" s="15" t="n"/>
      <c r="E3905" s="23" t="n"/>
      <c r="F3905" s="15" t="n"/>
      <c r="G3905" s="23" t="n"/>
      <c r="H3905" s="25" t="n"/>
      <c r="I3905" s="15" t="n"/>
      <c r="J3905" s="26">
        <f>IF($A3905="","",LEN($C3905)-LEN(SUBSTITUTE($C3905,",",""))+1)</f>
        <v/>
      </c>
      <c r="K3905" s="26">
        <f>IF($A3905="","",SUMPRODUCT(--ISNUMBER(SEARCH('Category Dictionary'!$D$5:$D$135&amp;"",$C3905)),--('Category Dictionary'!$D$5:$D$135&lt;&gt;"")))</f>
        <v/>
      </c>
      <c r="L3905" s="27">
        <f>IF($A3905="","",TRIM(IF(ISERROR(FIND(",",$C3905)),$C3905,LEFT($C3905,FIND(",",$C3905)-1))))</f>
        <v/>
      </c>
      <c r="M3905" s="28">
        <f>IF($H3905="","",DATE(YEAR($H3905),MONTH($H3905),1))</f>
        <v/>
      </c>
      <c r="N3905" s="26">
        <f>IF($H3905="","",TODAY()-$H3905)</f>
        <v/>
      </c>
      <c r="O3905" s="15" t="n"/>
      <c r="P3905" s="26">
        <f>IF($A3905="","",COUNTIFS('Audit Versions'!$A$6:$A$605,$A3905,'Audit Versions'!$L$6:$L$605,"Active"))</f>
        <v/>
      </c>
      <c r="Q3905" s="15" t="n"/>
      <c r="R3905" s="26">
        <f>IF(OR($A3905="",$P3905=0),"",MOD(N($Q3905),$P3905)+1)</f>
        <v/>
      </c>
      <c r="S3905" s="15" t="n"/>
      <c r="T3905" s="25" t="n"/>
      <c r="U3905" s="26">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Builder'!$B$12="",N($S3905)&lt;='Assignment Builder'!$B$12)))</f>
        <v/>
      </c>
      <c r="V3905" s="23" t="n"/>
    </row>
    <row r="3906">
      <c r="A3906" s="23" t="n"/>
      <c r="B3906" s="23" t="n"/>
      <c r="C3906" s="24" t="n"/>
      <c r="D3906" s="15" t="n"/>
      <c r="E3906" s="23" t="n"/>
      <c r="F3906" s="15" t="n"/>
      <c r="G3906" s="23" t="n"/>
      <c r="H3906" s="25" t="n"/>
      <c r="I3906" s="15" t="n"/>
      <c r="J3906" s="26">
        <f>IF($A3906="","",LEN($C3906)-LEN(SUBSTITUTE($C3906,",",""))+1)</f>
        <v/>
      </c>
      <c r="K3906" s="26">
        <f>IF($A3906="","",SUMPRODUCT(--ISNUMBER(SEARCH('Category Dictionary'!$D$5:$D$135&amp;"",$C3906)),--('Category Dictionary'!$D$5:$D$135&lt;&gt;"")))</f>
        <v/>
      </c>
      <c r="L3906" s="27">
        <f>IF($A3906="","",TRIM(IF(ISERROR(FIND(",",$C3906)),$C3906,LEFT($C3906,FIND(",",$C3906)-1))))</f>
        <v/>
      </c>
      <c r="M3906" s="28">
        <f>IF($H3906="","",DATE(YEAR($H3906),MONTH($H3906),1))</f>
        <v/>
      </c>
      <c r="N3906" s="26">
        <f>IF($H3906="","",TODAY()-$H3906)</f>
        <v/>
      </c>
      <c r="O3906" s="15" t="n"/>
      <c r="P3906" s="26">
        <f>IF($A3906="","",COUNTIFS('Audit Versions'!$A$6:$A$605,$A3906,'Audit Versions'!$L$6:$L$605,"Active"))</f>
        <v/>
      </c>
      <c r="Q3906" s="15" t="n"/>
      <c r="R3906" s="26">
        <f>IF(OR($A3906="",$P3906=0),"",MOD(N($Q3906),$P3906)+1)</f>
        <v/>
      </c>
      <c r="S3906" s="15" t="n"/>
      <c r="T3906" s="25" t="n"/>
      <c r="U3906" s="26">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Builder'!$B$12="",N($S3906)&lt;='Assignment Builder'!$B$12)))</f>
        <v/>
      </c>
      <c r="V3906" s="23" t="n"/>
    </row>
    <row r="3907">
      <c r="A3907" s="23" t="n"/>
      <c r="B3907" s="23" t="n"/>
      <c r="C3907" s="24" t="n"/>
      <c r="D3907" s="15" t="n"/>
      <c r="E3907" s="23" t="n"/>
      <c r="F3907" s="15" t="n"/>
      <c r="G3907" s="23" t="n"/>
      <c r="H3907" s="25" t="n"/>
      <c r="I3907" s="15" t="n"/>
      <c r="J3907" s="26">
        <f>IF($A3907="","",LEN($C3907)-LEN(SUBSTITUTE($C3907,",",""))+1)</f>
        <v/>
      </c>
      <c r="K3907" s="26">
        <f>IF($A3907="","",SUMPRODUCT(--ISNUMBER(SEARCH('Category Dictionary'!$D$5:$D$135&amp;"",$C3907)),--('Category Dictionary'!$D$5:$D$135&lt;&gt;"")))</f>
        <v/>
      </c>
      <c r="L3907" s="27">
        <f>IF($A3907="","",TRIM(IF(ISERROR(FIND(",",$C3907)),$C3907,LEFT($C3907,FIND(",",$C3907)-1))))</f>
        <v/>
      </c>
      <c r="M3907" s="28">
        <f>IF($H3907="","",DATE(YEAR($H3907),MONTH($H3907),1))</f>
        <v/>
      </c>
      <c r="N3907" s="26">
        <f>IF($H3907="","",TODAY()-$H3907)</f>
        <v/>
      </c>
      <c r="O3907" s="15" t="n"/>
      <c r="P3907" s="26">
        <f>IF($A3907="","",COUNTIFS('Audit Versions'!$A$6:$A$605,$A3907,'Audit Versions'!$L$6:$L$605,"Active"))</f>
        <v/>
      </c>
      <c r="Q3907" s="15" t="n"/>
      <c r="R3907" s="26">
        <f>IF(OR($A3907="",$P3907=0),"",MOD(N($Q3907),$P3907)+1)</f>
        <v/>
      </c>
      <c r="S3907" s="15" t="n"/>
      <c r="T3907" s="25" t="n"/>
      <c r="U3907" s="26">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Builder'!$B$12="",N($S3907)&lt;='Assignment Builder'!$B$12)))</f>
        <v/>
      </c>
      <c r="V3907" s="23" t="n"/>
    </row>
    <row r="3908">
      <c r="A3908" s="23" t="n"/>
      <c r="B3908" s="23" t="n"/>
      <c r="C3908" s="24" t="n"/>
      <c r="D3908" s="15" t="n"/>
      <c r="E3908" s="23" t="n"/>
      <c r="F3908" s="15" t="n"/>
      <c r="G3908" s="23" t="n"/>
      <c r="H3908" s="25" t="n"/>
      <c r="I3908" s="15" t="n"/>
      <c r="J3908" s="26">
        <f>IF($A3908="","",LEN($C3908)-LEN(SUBSTITUTE($C3908,",",""))+1)</f>
        <v/>
      </c>
      <c r="K3908" s="26">
        <f>IF($A3908="","",SUMPRODUCT(--ISNUMBER(SEARCH('Category Dictionary'!$D$5:$D$135&amp;"",$C3908)),--('Category Dictionary'!$D$5:$D$135&lt;&gt;"")))</f>
        <v/>
      </c>
      <c r="L3908" s="27">
        <f>IF($A3908="","",TRIM(IF(ISERROR(FIND(",",$C3908)),$C3908,LEFT($C3908,FIND(",",$C3908)-1))))</f>
        <v/>
      </c>
      <c r="M3908" s="28">
        <f>IF($H3908="","",DATE(YEAR($H3908),MONTH($H3908),1))</f>
        <v/>
      </c>
      <c r="N3908" s="26">
        <f>IF($H3908="","",TODAY()-$H3908)</f>
        <v/>
      </c>
      <c r="O3908" s="15" t="n"/>
      <c r="P3908" s="26">
        <f>IF($A3908="","",COUNTIFS('Audit Versions'!$A$6:$A$605,$A3908,'Audit Versions'!$L$6:$L$605,"Active"))</f>
        <v/>
      </c>
      <c r="Q3908" s="15" t="n"/>
      <c r="R3908" s="26">
        <f>IF(OR($A3908="",$P3908=0),"",MOD(N($Q3908),$P3908)+1)</f>
        <v/>
      </c>
      <c r="S3908" s="15" t="n"/>
      <c r="T3908" s="25" t="n"/>
      <c r="U3908" s="26">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Builder'!$B$12="",N($S3908)&lt;='Assignment Builder'!$B$12)))</f>
        <v/>
      </c>
      <c r="V3908" s="23" t="n"/>
    </row>
    <row r="3909">
      <c r="A3909" s="23" t="n"/>
      <c r="B3909" s="23" t="n"/>
      <c r="C3909" s="24" t="n"/>
      <c r="D3909" s="15" t="n"/>
      <c r="E3909" s="23" t="n"/>
      <c r="F3909" s="15" t="n"/>
      <c r="G3909" s="23" t="n"/>
      <c r="H3909" s="25" t="n"/>
      <c r="I3909" s="15" t="n"/>
      <c r="J3909" s="26">
        <f>IF($A3909="","",LEN($C3909)-LEN(SUBSTITUTE($C3909,",",""))+1)</f>
        <v/>
      </c>
      <c r="K3909" s="26">
        <f>IF($A3909="","",SUMPRODUCT(--ISNUMBER(SEARCH('Category Dictionary'!$D$5:$D$135&amp;"",$C3909)),--('Category Dictionary'!$D$5:$D$135&lt;&gt;"")))</f>
        <v/>
      </c>
      <c r="L3909" s="27">
        <f>IF($A3909="","",TRIM(IF(ISERROR(FIND(",",$C3909)),$C3909,LEFT($C3909,FIND(",",$C3909)-1))))</f>
        <v/>
      </c>
      <c r="M3909" s="28">
        <f>IF($H3909="","",DATE(YEAR($H3909),MONTH($H3909),1))</f>
        <v/>
      </c>
      <c r="N3909" s="26">
        <f>IF($H3909="","",TODAY()-$H3909)</f>
        <v/>
      </c>
      <c r="O3909" s="15" t="n"/>
      <c r="P3909" s="26">
        <f>IF($A3909="","",COUNTIFS('Audit Versions'!$A$6:$A$605,$A3909,'Audit Versions'!$L$6:$L$605,"Active"))</f>
        <v/>
      </c>
      <c r="Q3909" s="15" t="n"/>
      <c r="R3909" s="26">
        <f>IF(OR($A3909="",$P3909=0),"",MOD(N($Q3909),$P3909)+1)</f>
        <v/>
      </c>
      <c r="S3909" s="15" t="n"/>
      <c r="T3909" s="25" t="n"/>
      <c r="U3909" s="26">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Builder'!$B$12="",N($S3909)&lt;='Assignment Builder'!$B$12)))</f>
        <v/>
      </c>
      <c r="V3909" s="23" t="n"/>
    </row>
    <row r="3910">
      <c r="A3910" s="23" t="n"/>
      <c r="B3910" s="23" t="n"/>
      <c r="C3910" s="24" t="n"/>
      <c r="D3910" s="15" t="n"/>
      <c r="E3910" s="23" t="n"/>
      <c r="F3910" s="15" t="n"/>
      <c r="G3910" s="23" t="n"/>
      <c r="H3910" s="25" t="n"/>
      <c r="I3910" s="15" t="n"/>
      <c r="J3910" s="26">
        <f>IF($A3910="","",LEN($C3910)-LEN(SUBSTITUTE($C3910,",",""))+1)</f>
        <v/>
      </c>
      <c r="K3910" s="26">
        <f>IF($A3910="","",SUMPRODUCT(--ISNUMBER(SEARCH('Category Dictionary'!$D$5:$D$135&amp;"",$C3910)),--('Category Dictionary'!$D$5:$D$135&lt;&gt;"")))</f>
        <v/>
      </c>
      <c r="L3910" s="27">
        <f>IF($A3910="","",TRIM(IF(ISERROR(FIND(",",$C3910)),$C3910,LEFT($C3910,FIND(",",$C3910)-1))))</f>
        <v/>
      </c>
      <c r="M3910" s="28">
        <f>IF($H3910="","",DATE(YEAR($H3910),MONTH($H3910),1))</f>
        <v/>
      </c>
      <c r="N3910" s="26">
        <f>IF($H3910="","",TODAY()-$H3910)</f>
        <v/>
      </c>
      <c r="O3910" s="15" t="n"/>
      <c r="P3910" s="26">
        <f>IF($A3910="","",COUNTIFS('Audit Versions'!$A$6:$A$605,$A3910,'Audit Versions'!$L$6:$L$605,"Active"))</f>
        <v/>
      </c>
      <c r="Q3910" s="15" t="n"/>
      <c r="R3910" s="26">
        <f>IF(OR($A3910="",$P3910=0),"",MOD(N($Q3910),$P3910)+1)</f>
        <v/>
      </c>
      <c r="S3910" s="15" t="n"/>
      <c r="T3910" s="25" t="n"/>
      <c r="U3910" s="26">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Builder'!$B$12="",N($S3910)&lt;='Assignment Builder'!$B$12)))</f>
        <v/>
      </c>
      <c r="V3910" s="23" t="n"/>
    </row>
    <row r="3911">
      <c r="A3911" s="23" t="n"/>
      <c r="B3911" s="23" t="n"/>
      <c r="C3911" s="24" t="n"/>
      <c r="D3911" s="15" t="n"/>
      <c r="E3911" s="23" t="n"/>
      <c r="F3911" s="15" t="n"/>
      <c r="G3911" s="23" t="n"/>
      <c r="H3911" s="25" t="n"/>
      <c r="I3911" s="15" t="n"/>
      <c r="J3911" s="26">
        <f>IF($A3911="","",LEN($C3911)-LEN(SUBSTITUTE($C3911,",",""))+1)</f>
        <v/>
      </c>
      <c r="K3911" s="26">
        <f>IF($A3911="","",SUMPRODUCT(--ISNUMBER(SEARCH('Category Dictionary'!$D$5:$D$135&amp;"",$C3911)),--('Category Dictionary'!$D$5:$D$135&lt;&gt;"")))</f>
        <v/>
      </c>
      <c r="L3911" s="27">
        <f>IF($A3911="","",TRIM(IF(ISERROR(FIND(",",$C3911)),$C3911,LEFT($C3911,FIND(",",$C3911)-1))))</f>
        <v/>
      </c>
      <c r="M3911" s="28">
        <f>IF($H3911="","",DATE(YEAR($H3911),MONTH($H3911),1))</f>
        <v/>
      </c>
      <c r="N3911" s="26">
        <f>IF($H3911="","",TODAY()-$H3911)</f>
        <v/>
      </c>
      <c r="O3911" s="15" t="n"/>
      <c r="P3911" s="26">
        <f>IF($A3911="","",COUNTIFS('Audit Versions'!$A$6:$A$605,$A3911,'Audit Versions'!$L$6:$L$605,"Active"))</f>
        <v/>
      </c>
      <c r="Q3911" s="15" t="n"/>
      <c r="R3911" s="26">
        <f>IF(OR($A3911="",$P3911=0),"",MOD(N($Q3911),$P3911)+1)</f>
        <v/>
      </c>
      <c r="S3911" s="15" t="n"/>
      <c r="T3911" s="25" t="n"/>
      <c r="U3911" s="26">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Builder'!$B$12="",N($S3911)&lt;='Assignment Builder'!$B$12)))</f>
        <v/>
      </c>
      <c r="V3911" s="23" t="n"/>
    </row>
    <row r="3912">
      <c r="A3912" s="23" t="n"/>
      <c r="B3912" s="23" t="n"/>
      <c r="C3912" s="24" t="n"/>
      <c r="D3912" s="15" t="n"/>
      <c r="E3912" s="23" t="n"/>
      <c r="F3912" s="15" t="n"/>
      <c r="G3912" s="23" t="n"/>
      <c r="H3912" s="25" t="n"/>
      <c r="I3912" s="15" t="n"/>
      <c r="J3912" s="26">
        <f>IF($A3912="","",LEN($C3912)-LEN(SUBSTITUTE($C3912,",",""))+1)</f>
        <v/>
      </c>
      <c r="K3912" s="26">
        <f>IF($A3912="","",SUMPRODUCT(--ISNUMBER(SEARCH('Category Dictionary'!$D$5:$D$135&amp;"",$C3912)),--('Category Dictionary'!$D$5:$D$135&lt;&gt;"")))</f>
        <v/>
      </c>
      <c r="L3912" s="27">
        <f>IF($A3912="","",TRIM(IF(ISERROR(FIND(",",$C3912)),$C3912,LEFT($C3912,FIND(",",$C3912)-1))))</f>
        <v/>
      </c>
      <c r="M3912" s="28">
        <f>IF($H3912="","",DATE(YEAR($H3912),MONTH($H3912),1))</f>
        <v/>
      </c>
      <c r="N3912" s="26">
        <f>IF($H3912="","",TODAY()-$H3912)</f>
        <v/>
      </c>
      <c r="O3912" s="15" t="n"/>
      <c r="P3912" s="26">
        <f>IF($A3912="","",COUNTIFS('Audit Versions'!$A$6:$A$605,$A3912,'Audit Versions'!$L$6:$L$605,"Active"))</f>
        <v/>
      </c>
      <c r="Q3912" s="15" t="n"/>
      <c r="R3912" s="26">
        <f>IF(OR($A3912="",$P3912=0),"",MOD(N($Q3912),$P3912)+1)</f>
        <v/>
      </c>
      <c r="S3912" s="15" t="n"/>
      <c r="T3912" s="25" t="n"/>
      <c r="U3912" s="26">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Builder'!$B$12="",N($S3912)&lt;='Assignment Builder'!$B$12)))</f>
        <v/>
      </c>
      <c r="V3912" s="23" t="n"/>
    </row>
    <row r="3913">
      <c r="A3913" s="23" t="n"/>
      <c r="B3913" s="23" t="n"/>
      <c r="C3913" s="24" t="n"/>
      <c r="D3913" s="15" t="n"/>
      <c r="E3913" s="23" t="n"/>
      <c r="F3913" s="15" t="n"/>
      <c r="G3913" s="23" t="n"/>
      <c r="H3913" s="25" t="n"/>
      <c r="I3913" s="15" t="n"/>
      <c r="J3913" s="26">
        <f>IF($A3913="","",LEN($C3913)-LEN(SUBSTITUTE($C3913,",",""))+1)</f>
        <v/>
      </c>
      <c r="K3913" s="26">
        <f>IF($A3913="","",SUMPRODUCT(--ISNUMBER(SEARCH('Category Dictionary'!$D$5:$D$135&amp;"",$C3913)),--('Category Dictionary'!$D$5:$D$135&lt;&gt;"")))</f>
        <v/>
      </c>
      <c r="L3913" s="27">
        <f>IF($A3913="","",TRIM(IF(ISERROR(FIND(",",$C3913)),$C3913,LEFT($C3913,FIND(",",$C3913)-1))))</f>
        <v/>
      </c>
      <c r="M3913" s="28">
        <f>IF($H3913="","",DATE(YEAR($H3913),MONTH($H3913),1))</f>
        <v/>
      </c>
      <c r="N3913" s="26">
        <f>IF($H3913="","",TODAY()-$H3913)</f>
        <v/>
      </c>
      <c r="O3913" s="15" t="n"/>
      <c r="P3913" s="26">
        <f>IF($A3913="","",COUNTIFS('Audit Versions'!$A$6:$A$605,$A3913,'Audit Versions'!$L$6:$L$605,"Active"))</f>
        <v/>
      </c>
      <c r="Q3913" s="15" t="n"/>
      <c r="R3913" s="26">
        <f>IF(OR($A3913="",$P3913=0),"",MOD(N($Q3913),$P3913)+1)</f>
        <v/>
      </c>
      <c r="S3913" s="15" t="n"/>
      <c r="T3913" s="25" t="n"/>
      <c r="U3913" s="26">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Builder'!$B$12="",N($S3913)&lt;='Assignment Builder'!$B$12)))</f>
        <v/>
      </c>
      <c r="V3913" s="23" t="n"/>
    </row>
    <row r="3914">
      <c r="A3914" s="23" t="n"/>
      <c r="B3914" s="23" t="n"/>
      <c r="C3914" s="24" t="n"/>
      <c r="D3914" s="15" t="n"/>
      <c r="E3914" s="23" t="n"/>
      <c r="F3914" s="15" t="n"/>
      <c r="G3914" s="23" t="n"/>
      <c r="H3914" s="25" t="n"/>
      <c r="I3914" s="15" t="n"/>
      <c r="J3914" s="26">
        <f>IF($A3914="","",LEN($C3914)-LEN(SUBSTITUTE($C3914,",",""))+1)</f>
        <v/>
      </c>
      <c r="K3914" s="26">
        <f>IF($A3914="","",SUMPRODUCT(--ISNUMBER(SEARCH('Category Dictionary'!$D$5:$D$135&amp;"",$C3914)),--('Category Dictionary'!$D$5:$D$135&lt;&gt;"")))</f>
        <v/>
      </c>
      <c r="L3914" s="27">
        <f>IF($A3914="","",TRIM(IF(ISERROR(FIND(",",$C3914)),$C3914,LEFT($C3914,FIND(",",$C3914)-1))))</f>
        <v/>
      </c>
      <c r="M3914" s="28">
        <f>IF($H3914="","",DATE(YEAR($H3914),MONTH($H3914),1))</f>
        <v/>
      </c>
      <c r="N3914" s="26">
        <f>IF($H3914="","",TODAY()-$H3914)</f>
        <v/>
      </c>
      <c r="O3914" s="15" t="n"/>
      <c r="P3914" s="26">
        <f>IF($A3914="","",COUNTIFS('Audit Versions'!$A$6:$A$605,$A3914,'Audit Versions'!$L$6:$L$605,"Active"))</f>
        <v/>
      </c>
      <c r="Q3914" s="15" t="n"/>
      <c r="R3914" s="26">
        <f>IF(OR($A3914="",$P3914=0),"",MOD(N($Q3914),$P3914)+1)</f>
        <v/>
      </c>
      <c r="S3914" s="15" t="n"/>
      <c r="T3914" s="25" t="n"/>
      <c r="U3914" s="26">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Builder'!$B$12="",N($S3914)&lt;='Assignment Builder'!$B$12)))</f>
        <v/>
      </c>
      <c r="V3914" s="23" t="n"/>
    </row>
    <row r="3915">
      <c r="A3915" s="23" t="n"/>
      <c r="B3915" s="23" t="n"/>
      <c r="C3915" s="24" t="n"/>
      <c r="D3915" s="15" t="n"/>
      <c r="E3915" s="23" t="n"/>
      <c r="F3915" s="15" t="n"/>
      <c r="G3915" s="23" t="n"/>
      <c r="H3915" s="25" t="n"/>
      <c r="I3915" s="15" t="n"/>
      <c r="J3915" s="26">
        <f>IF($A3915="","",LEN($C3915)-LEN(SUBSTITUTE($C3915,",",""))+1)</f>
        <v/>
      </c>
      <c r="K3915" s="26">
        <f>IF($A3915="","",SUMPRODUCT(--ISNUMBER(SEARCH('Category Dictionary'!$D$5:$D$135&amp;"",$C3915)),--('Category Dictionary'!$D$5:$D$135&lt;&gt;"")))</f>
        <v/>
      </c>
      <c r="L3915" s="27">
        <f>IF($A3915="","",TRIM(IF(ISERROR(FIND(",",$C3915)),$C3915,LEFT($C3915,FIND(",",$C3915)-1))))</f>
        <v/>
      </c>
      <c r="M3915" s="28">
        <f>IF($H3915="","",DATE(YEAR($H3915),MONTH($H3915),1))</f>
        <v/>
      </c>
      <c r="N3915" s="26">
        <f>IF($H3915="","",TODAY()-$H3915)</f>
        <v/>
      </c>
      <c r="O3915" s="15" t="n"/>
      <c r="P3915" s="26">
        <f>IF($A3915="","",COUNTIFS('Audit Versions'!$A$6:$A$605,$A3915,'Audit Versions'!$L$6:$L$605,"Active"))</f>
        <v/>
      </c>
      <c r="Q3915" s="15" t="n"/>
      <c r="R3915" s="26">
        <f>IF(OR($A3915="",$P3915=0),"",MOD(N($Q3915),$P3915)+1)</f>
        <v/>
      </c>
      <c r="S3915" s="15" t="n"/>
      <c r="T3915" s="25" t="n"/>
      <c r="U3915" s="26">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Builder'!$B$12="",N($S3915)&lt;='Assignment Builder'!$B$12)))</f>
        <v/>
      </c>
      <c r="V3915" s="23" t="n"/>
    </row>
    <row r="3916">
      <c r="A3916" s="23" t="n"/>
      <c r="B3916" s="23" t="n"/>
      <c r="C3916" s="24" t="n"/>
      <c r="D3916" s="15" t="n"/>
      <c r="E3916" s="23" t="n"/>
      <c r="F3916" s="15" t="n"/>
      <c r="G3916" s="23" t="n"/>
      <c r="H3916" s="25" t="n"/>
      <c r="I3916" s="15" t="n"/>
      <c r="J3916" s="26">
        <f>IF($A3916="","",LEN($C3916)-LEN(SUBSTITUTE($C3916,",",""))+1)</f>
        <v/>
      </c>
      <c r="K3916" s="26">
        <f>IF($A3916="","",SUMPRODUCT(--ISNUMBER(SEARCH('Category Dictionary'!$D$5:$D$135&amp;"",$C3916)),--('Category Dictionary'!$D$5:$D$135&lt;&gt;"")))</f>
        <v/>
      </c>
      <c r="L3916" s="27">
        <f>IF($A3916="","",TRIM(IF(ISERROR(FIND(",",$C3916)),$C3916,LEFT($C3916,FIND(",",$C3916)-1))))</f>
        <v/>
      </c>
      <c r="M3916" s="28">
        <f>IF($H3916="","",DATE(YEAR($H3916),MONTH($H3916),1))</f>
        <v/>
      </c>
      <c r="N3916" s="26">
        <f>IF($H3916="","",TODAY()-$H3916)</f>
        <v/>
      </c>
      <c r="O3916" s="15" t="n"/>
      <c r="P3916" s="26">
        <f>IF($A3916="","",COUNTIFS('Audit Versions'!$A$6:$A$605,$A3916,'Audit Versions'!$L$6:$L$605,"Active"))</f>
        <v/>
      </c>
      <c r="Q3916" s="15" t="n"/>
      <c r="R3916" s="26">
        <f>IF(OR($A3916="",$P3916=0),"",MOD(N($Q3916),$P3916)+1)</f>
        <v/>
      </c>
      <c r="S3916" s="15" t="n"/>
      <c r="T3916" s="25" t="n"/>
      <c r="U3916" s="26">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Builder'!$B$12="",N($S3916)&lt;='Assignment Builder'!$B$12)))</f>
        <v/>
      </c>
      <c r="V3916" s="23" t="n"/>
    </row>
    <row r="3917">
      <c r="A3917" s="23" t="n"/>
      <c r="B3917" s="23" t="n"/>
      <c r="C3917" s="24" t="n"/>
      <c r="D3917" s="15" t="n"/>
      <c r="E3917" s="23" t="n"/>
      <c r="F3917" s="15" t="n"/>
      <c r="G3917" s="23" t="n"/>
      <c r="H3917" s="25" t="n"/>
      <c r="I3917" s="15" t="n"/>
      <c r="J3917" s="26">
        <f>IF($A3917="","",LEN($C3917)-LEN(SUBSTITUTE($C3917,",",""))+1)</f>
        <v/>
      </c>
      <c r="K3917" s="26">
        <f>IF($A3917="","",SUMPRODUCT(--ISNUMBER(SEARCH('Category Dictionary'!$D$5:$D$135&amp;"",$C3917)),--('Category Dictionary'!$D$5:$D$135&lt;&gt;"")))</f>
        <v/>
      </c>
      <c r="L3917" s="27">
        <f>IF($A3917="","",TRIM(IF(ISERROR(FIND(",",$C3917)),$C3917,LEFT($C3917,FIND(",",$C3917)-1))))</f>
        <v/>
      </c>
      <c r="M3917" s="28">
        <f>IF($H3917="","",DATE(YEAR($H3917),MONTH($H3917),1))</f>
        <v/>
      </c>
      <c r="N3917" s="26">
        <f>IF($H3917="","",TODAY()-$H3917)</f>
        <v/>
      </c>
      <c r="O3917" s="15" t="n"/>
      <c r="P3917" s="26">
        <f>IF($A3917="","",COUNTIFS('Audit Versions'!$A$6:$A$605,$A3917,'Audit Versions'!$L$6:$L$605,"Active"))</f>
        <v/>
      </c>
      <c r="Q3917" s="15" t="n"/>
      <c r="R3917" s="26">
        <f>IF(OR($A3917="",$P3917=0),"",MOD(N($Q3917),$P3917)+1)</f>
        <v/>
      </c>
      <c r="S3917" s="15" t="n"/>
      <c r="T3917" s="25" t="n"/>
      <c r="U3917" s="26">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Builder'!$B$12="",N($S3917)&lt;='Assignment Builder'!$B$12)))</f>
        <v/>
      </c>
      <c r="V3917" s="23" t="n"/>
    </row>
    <row r="3918">
      <c r="A3918" s="23" t="n"/>
      <c r="B3918" s="23" t="n"/>
      <c r="C3918" s="24" t="n"/>
      <c r="D3918" s="15" t="n"/>
      <c r="E3918" s="23" t="n"/>
      <c r="F3918" s="15" t="n"/>
      <c r="G3918" s="23" t="n"/>
      <c r="H3918" s="25" t="n"/>
      <c r="I3918" s="15" t="n"/>
      <c r="J3918" s="26">
        <f>IF($A3918="","",LEN($C3918)-LEN(SUBSTITUTE($C3918,",",""))+1)</f>
        <v/>
      </c>
      <c r="K3918" s="26">
        <f>IF($A3918="","",SUMPRODUCT(--ISNUMBER(SEARCH('Category Dictionary'!$D$5:$D$135&amp;"",$C3918)),--('Category Dictionary'!$D$5:$D$135&lt;&gt;"")))</f>
        <v/>
      </c>
      <c r="L3918" s="27">
        <f>IF($A3918="","",TRIM(IF(ISERROR(FIND(",",$C3918)),$C3918,LEFT($C3918,FIND(",",$C3918)-1))))</f>
        <v/>
      </c>
      <c r="M3918" s="28">
        <f>IF($H3918="","",DATE(YEAR($H3918),MONTH($H3918),1))</f>
        <v/>
      </c>
      <c r="N3918" s="26">
        <f>IF($H3918="","",TODAY()-$H3918)</f>
        <v/>
      </c>
      <c r="O3918" s="15" t="n"/>
      <c r="P3918" s="26">
        <f>IF($A3918="","",COUNTIFS('Audit Versions'!$A$6:$A$605,$A3918,'Audit Versions'!$L$6:$L$605,"Active"))</f>
        <v/>
      </c>
      <c r="Q3918" s="15" t="n"/>
      <c r="R3918" s="26">
        <f>IF(OR($A3918="",$P3918=0),"",MOD(N($Q3918),$P3918)+1)</f>
        <v/>
      </c>
      <c r="S3918" s="15" t="n"/>
      <c r="T3918" s="25" t="n"/>
      <c r="U3918" s="26">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Builder'!$B$12="",N($S3918)&lt;='Assignment Builder'!$B$12)))</f>
        <v/>
      </c>
      <c r="V3918" s="23" t="n"/>
    </row>
    <row r="3919">
      <c r="A3919" s="23" t="n"/>
      <c r="B3919" s="23" t="n"/>
      <c r="C3919" s="24" t="n"/>
      <c r="D3919" s="15" t="n"/>
      <c r="E3919" s="23" t="n"/>
      <c r="F3919" s="15" t="n"/>
      <c r="G3919" s="23" t="n"/>
      <c r="H3919" s="25" t="n"/>
      <c r="I3919" s="15" t="n"/>
      <c r="J3919" s="26">
        <f>IF($A3919="","",LEN($C3919)-LEN(SUBSTITUTE($C3919,",",""))+1)</f>
        <v/>
      </c>
      <c r="K3919" s="26">
        <f>IF($A3919="","",SUMPRODUCT(--ISNUMBER(SEARCH('Category Dictionary'!$D$5:$D$135&amp;"",$C3919)),--('Category Dictionary'!$D$5:$D$135&lt;&gt;"")))</f>
        <v/>
      </c>
      <c r="L3919" s="27">
        <f>IF($A3919="","",TRIM(IF(ISERROR(FIND(",",$C3919)),$C3919,LEFT($C3919,FIND(",",$C3919)-1))))</f>
        <v/>
      </c>
      <c r="M3919" s="28">
        <f>IF($H3919="","",DATE(YEAR($H3919),MONTH($H3919),1))</f>
        <v/>
      </c>
      <c r="N3919" s="26">
        <f>IF($H3919="","",TODAY()-$H3919)</f>
        <v/>
      </c>
      <c r="O3919" s="15" t="n"/>
      <c r="P3919" s="26">
        <f>IF($A3919="","",COUNTIFS('Audit Versions'!$A$6:$A$605,$A3919,'Audit Versions'!$L$6:$L$605,"Active"))</f>
        <v/>
      </c>
      <c r="Q3919" s="15" t="n"/>
      <c r="R3919" s="26">
        <f>IF(OR($A3919="",$P3919=0),"",MOD(N($Q3919),$P3919)+1)</f>
        <v/>
      </c>
      <c r="S3919" s="15" t="n"/>
      <c r="T3919" s="25" t="n"/>
      <c r="U3919" s="26">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Builder'!$B$12="",N($S3919)&lt;='Assignment Builder'!$B$12)))</f>
        <v/>
      </c>
      <c r="V3919" s="23" t="n"/>
    </row>
    <row r="3920">
      <c r="A3920" s="23" t="n"/>
      <c r="B3920" s="23" t="n"/>
      <c r="C3920" s="24" t="n"/>
      <c r="D3920" s="15" t="n"/>
      <c r="E3920" s="23" t="n"/>
      <c r="F3920" s="15" t="n"/>
      <c r="G3920" s="23" t="n"/>
      <c r="H3920" s="25" t="n"/>
      <c r="I3920" s="15" t="n"/>
      <c r="J3920" s="26">
        <f>IF($A3920="","",LEN($C3920)-LEN(SUBSTITUTE($C3920,",",""))+1)</f>
        <v/>
      </c>
      <c r="K3920" s="26">
        <f>IF($A3920="","",SUMPRODUCT(--ISNUMBER(SEARCH('Category Dictionary'!$D$5:$D$135&amp;"",$C3920)),--('Category Dictionary'!$D$5:$D$135&lt;&gt;"")))</f>
        <v/>
      </c>
      <c r="L3920" s="27">
        <f>IF($A3920="","",TRIM(IF(ISERROR(FIND(",",$C3920)),$C3920,LEFT($C3920,FIND(",",$C3920)-1))))</f>
        <v/>
      </c>
      <c r="M3920" s="28">
        <f>IF($H3920="","",DATE(YEAR($H3920),MONTH($H3920),1))</f>
        <v/>
      </c>
      <c r="N3920" s="26">
        <f>IF($H3920="","",TODAY()-$H3920)</f>
        <v/>
      </c>
      <c r="O3920" s="15" t="n"/>
      <c r="P3920" s="26">
        <f>IF($A3920="","",COUNTIFS('Audit Versions'!$A$6:$A$605,$A3920,'Audit Versions'!$L$6:$L$605,"Active"))</f>
        <v/>
      </c>
      <c r="Q3920" s="15" t="n"/>
      <c r="R3920" s="26">
        <f>IF(OR($A3920="",$P3920=0),"",MOD(N($Q3920),$P3920)+1)</f>
        <v/>
      </c>
      <c r="S3920" s="15" t="n"/>
      <c r="T3920" s="25" t="n"/>
      <c r="U3920" s="26">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Builder'!$B$12="",N($S3920)&lt;='Assignment Builder'!$B$12)))</f>
        <v/>
      </c>
      <c r="V3920" s="23" t="n"/>
    </row>
    <row r="3921">
      <c r="A3921" s="23" t="n"/>
      <c r="B3921" s="23" t="n"/>
      <c r="C3921" s="24" t="n"/>
      <c r="D3921" s="15" t="n"/>
      <c r="E3921" s="23" t="n"/>
      <c r="F3921" s="15" t="n"/>
      <c r="G3921" s="23" t="n"/>
      <c r="H3921" s="25" t="n"/>
      <c r="I3921" s="15" t="n"/>
      <c r="J3921" s="26">
        <f>IF($A3921="","",LEN($C3921)-LEN(SUBSTITUTE($C3921,",",""))+1)</f>
        <v/>
      </c>
      <c r="K3921" s="26">
        <f>IF($A3921="","",SUMPRODUCT(--ISNUMBER(SEARCH('Category Dictionary'!$D$5:$D$135&amp;"",$C3921)),--('Category Dictionary'!$D$5:$D$135&lt;&gt;"")))</f>
        <v/>
      </c>
      <c r="L3921" s="27">
        <f>IF($A3921="","",TRIM(IF(ISERROR(FIND(",",$C3921)),$C3921,LEFT($C3921,FIND(",",$C3921)-1))))</f>
        <v/>
      </c>
      <c r="M3921" s="28">
        <f>IF($H3921="","",DATE(YEAR($H3921),MONTH($H3921),1))</f>
        <v/>
      </c>
      <c r="N3921" s="26">
        <f>IF($H3921="","",TODAY()-$H3921)</f>
        <v/>
      </c>
      <c r="O3921" s="15" t="n"/>
      <c r="P3921" s="26">
        <f>IF($A3921="","",COUNTIFS('Audit Versions'!$A$6:$A$605,$A3921,'Audit Versions'!$L$6:$L$605,"Active"))</f>
        <v/>
      </c>
      <c r="Q3921" s="15" t="n"/>
      <c r="R3921" s="26">
        <f>IF(OR($A3921="",$P3921=0),"",MOD(N($Q3921),$P3921)+1)</f>
        <v/>
      </c>
      <c r="S3921" s="15" t="n"/>
      <c r="T3921" s="25" t="n"/>
      <c r="U3921" s="26">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Builder'!$B$12="",N($S3921)&lt;='Assignment Builder'!$B$12)))</f>
        <v/>
      </c>
      <c r="V3921" s="23" t="n"/>
    </row>
    <row r="3922">
      <c r="A3922" s="23" t="n"/>
      <c r="B3922" s="23" t="n"/>
      <c r="C3922" s="24" t="n"/>
      <c r="D3922" s="15" t="n"/>
      <c r="E3922" s="23" t="n"/>
      <c r="F3922" s="15" t="n"/>
      <c r="G3922" s="23" t="n"/>
      <c r="H3922" s="25" t="n"/>
      <c r="I3922" s="15" t="n"/>
      <c r="J3922" s="26">
        <f>IF($A3922="","",LEN($C3922)-LEN(SUBSTITUTE($C3922,",",""))+1)</f>
        <v/>
      </c>
      <c r="K3922" s="26">
        <f>IF($A3922="","",SUMPRODUCT(--ISNUMBER(SEARCH('Category Dictionary'!$D$5:$D$135&amp;"",$C3922)),--('Category Dictionary'!$D$5:$D$135&lt;&gt;"")))</f>
        <v/>
      </c>
      <c r="L3922" s="27">
        <f>IF($A3922="","",TRIM(IF(ISERROR(FIND(",",$C3922)),$C3922,LEFT($C3922,FIND(",",$C3922)-1))))</f>
        <v/>
      </c>
      <c r="M3922" s="28">
        <f>IF($H3922="","",DATE(YEAR($H3922),MONTH($H3922),1))</f>
        <v/>
      </c>
      <c r="N3922" s="26">
        <f>IF($H3922="","",TODAY()-$H3922)</f>
        <v/>
      </c>
      <c r="O3922" s="15" t="n"/>
      <c r="P3922" s="26">
        <f>IF($A3922="","",COUNTIFS('Audit Versions'!$A$6:$A$605,$A3922,'Audit Versions'!$L$6:$L$605,"Active"))</f>
        <v/>
      </c>
      <c r="Q3922" s="15" t="n"/>
      <c r="R3922" s="26">
        <f>IF(OR($A3922="",$P3922=0),"",MOD(N($Q3922),$P3922)+1)</f>
        <v/>
      </c>
      <c r="S3922" s="15" t="n"/>
      <c r="T3922" s="25" t="n"/>
      <c r="U3922" s="26">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Builder'!$B$12="",N($S3922)&lt;='Assignment Builder'!$B$12)))</f>
        <v/>
      </c>
      <c r="V3922" s="23" t="n"/>
    </row>
    <row r="3923">
      <c r="A3923" s="23" t="n"/>
      <c r="B3923" s="23" t="n"/>
      <c r="C3923" s="24" t="n"/>
      <c r="D3923" s="15" t="n"/>
      <c r="E3923" s="23" t="n"/>
      <c r="F3923" s="15" t="n"/>
      <c r="G3923" s="23" t="n"/>
      <c r="H3923" s="25" t="n"/>
      <c r="I3923" s="15" t="n"/>
      <c r="J3923" s="26">
        <f>IF($A3923="","",LEN($C3923)-LEN(SUBSTITUTE($C3923,",",""))+1)</f>
        <v/>
      </c>
      <c r="K3923" s="26">
        <f>IF($A3923="","",SUMPRODUCT(--ISNUMBER(SEARCH('Category Dictionary'!$D$5:$D$135&amp;"",$C3923)),--('Category Dictionary'!$D$5:$D$135&lt;&gt;"")))</f>
        <v/>
      </c>
      <c r="L3923" s="27">
        <f>IF($A3923="","",TRIM(IF(ISERROR(FIND(",",$C3923)),$C3923,LEFT($C3923,FIND(",",$C3923)-1))))</f>
        <v/>
      </c>
      <c r="M3923" s="28">
        <f>IF($H3923="","",DATE(YEAR($H3923),MONTH($H3923),1))</f>
        <v/>
      </c>
      <c r="N3923" s="26">
        <f>IF($H3923="","",TODAY()-$H3923)</f>
        <v/>
      </c>
      <c r="O3923" s="15" t="n"/>
      <c r="P3923" s="26">
        <f>IF($A3923="","",COUNTIFS('Audit Versions'!$A$6:$A$605,$A3923,'Audit Versions'!$L$6:$L$605,"Active"))</f>
        <v/>
      </c>
      <c r="Q3923" s="15" t="n"/>
      <c r="R3923" s="26">
        <f>IF(OR($A3923="",$P3923=0),"",MOD(N($Q3923),$P3923)+1)</f>
        <v/>
      </c>
      <c r="S3923" s="15" t="n"/>
      <c r="T3923" s="25" t="n"/>
      <c r="U3923" s="26">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Builder'!$B$12="",N($S3923)&lt;='Assignment Builder'!$B$12)))</f>
        <v/>
      </c>
      <c r="V3923" s="23" t="n"/>
    </row>
    <row r="3924">
      <c r="A3924" s="23" t="n"/>
      <c r="B3924" s="23" t="n"/>
      <c r="C3924" s="24" t="n"/>
      <c r="D3924" s="15" t="n"/>
      <c r="E3924" s="23" t="n"/>
      <c r="F3924" s="15" t="n"/>
      <c r="G3924" s="23" t="n"/>
      <c r="H3924" s="25" t="n"/>
      <c r="I3924" s="15" t="n"/>
      <c r="J3924" s="26">
        <f>IF($A3924="","",LEN($C3924)-LEN(SUBSTITUTE($C3924,",",""))+1)</f>
        <v/>
      </c>
      <c r="K3924" s="26">
        <f>IF($A3924="","",SUMPRODUCT(--ISNUMBER(SEARCH('Category Dictionary'!$D$5:$D$135&amp;"",$C3924)),--('Category Dictionary'!$D$5:$D$135&lt;&gt;"")))</f>
        <v/>
      </c>
      <c r="L3924" s="27">
        <f>IF($A3924="","",TRIM(IF(ISERROR(FIND(",",$C3924)),$C3924,LEFT($C3924,FIND(",",$C3924)-1))))</f>
        <v/>
      </c>
      <c r="M3924" s="28">
        <f>IF($H3924="","",DATE(YEAR($H3924),MONTH($H3924),1))</f>
        <v/>
      </c>
      <c r="N3924" s="26">
        <f>IF($H3924="","",TODAY()-$H3924)</f>
        <v/>
      </c>
      <c r="O3924" s="15" t="n"/>
      <c r="P3924" s="26">
        <f>IF($A3924="","",COUNTIFS('Audit Versions'!$A$6:$A$605,$A3924,'Audit Versions'!$L$6:$L$605,"Active"))</f>
        <v/>
      </c>
      <c r="Q3924" s="15" t="n"/>
      <c r="R3924" s="26">
        <f>IF(OR($A3924="",$P3924=0),"",MOD(N($Q3924),$P3924)+1)</f>
        <v/>
      </c>
      <c r="S3924" s="15" t="n"/>
      <c r="T3924" s="25" t="n"/>
      <c r="U3924" s="26">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Builder'!$B$12="",N($S3924)&lt;='Assignment Builder'!$B$12)))</f>
        <v/>
      </c>
      <c r="V3924" s="23" t="n"/>
    </row>
    <row r="3925">
      <c r="A3925" s="23" t="n"/>
      <c r="B3925" s="23" t="n"/>
      <c r="C3925" s="24" t="n"/>
      <c r="D3925" s="15" t="n"/>
      <c r="E3925" s="23" t="n"/>
      <c r="F3925" s="15" t="n"/>
      <c r="G3925" s="23" t="n"/>
      <c r="H3925" s="25" t="n"/>
      <c r="I3925" s="15" t="n"/>
      <c r="J3925" s="26">
        <f>IF($A3925="","",LEN($C3925)-LEN(SUBSTITUTE($C3925,",",""))+1)</f>
        <v/>
      </c>
      <c r="K3925" s="26">
        <f>IF($A3925="","",SUMPRODUCT(--ISNUMBER(SEARCH('Category Dictionary'!$D$5:$D$135&amp;"",$C3925)),--('Category Dictionary'!$D$5:$D$135&lt;&gt;"")))</f>
        <v/>
      </c>
      <c r="L3925" s="27">
        <f>IF($A3925="","",TRIM(IF(ISERROR(FIND(",",$C3925)),$C3925,LEFT($C3925,FIND(",",$C3925)-1))))</f>
        <v/>
      </c>
      <c r="M3925" s="28">
        <f>IF($H3925="","",DATE(YEAR($H3925),MONTH($H3925),1))</f>
        <v/>
      </c>
      <c r="N3925" s="26">
        <f>IF($H3925="","",TODAY()-$H3925)</f>
        <v/>
      </c>
      <c r="O3925" s="15" t="n"/>
      <c r="P3925" s="26">
        <f>IF($A3925="","",COUNTIFS('Audit Versions'!$A$6:$A$605,$A3925,'Audit Versions'!$L$6:$L$605,"Active"))</f>
        <v/>
      </c>
      <c r="Q3925" s="15" t="n"/>
      <c r="R3925" s="26">
        <f>IF(OR($A3925="",$P3925=0),"",MOD(N($Q3925),$P3925)+1)</f>
        <v/>
      </c>
      <c r="S3925" s="15" t="n"/>
      <c r="T3925" s="25" t="n"/>
      <c r="U3925" s="26">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Builder'!$B$12="",N($S3925)&lt;='Assignment Builder'!$B$12)))</f>
        <v/>
      </c>
      <c r="V3925" s="23" t="n"/>
    </row>
    <row r="3926">
      <c r="A3926" s="23" t="n"/>
      <c r="B3926" s="23" t="n"/>
      <c r="C3926" s="24" t="n"/>
      <c r="D3926" s="15" t="n"/>
      <c r="E3926" s="23" t="n"/>
      <c r="F3926" s="15" t="n"/>
      <c r="G3926" s="23" t="n"/>
      <c r="H3926" s="25" t="n"/>
      <c r="I3926" s="15" t="n"/>
      <c r="J3926" s="26">
        <f>IF($A3926="","",LEN($C3926)-LEN(SUBSTITUTE($C3926,",",""))+1)</f>
        <v/>
      </c>
      <c r="K3926" s="26">
        <f>IF($A3926="","",SUMPRODUCT(--ISNUMBER(SEARCH('Category Dictionary'!$D$5:$D$135&amp;"",$C3926)),--('Category Dictionary'!$D$5:$D$135&lt;&gt;"")))</f>
        <v/>
      </c>
      <c r="L3926" s="27">
        <f>IF($A3926="","",TRIM(IF(ISERROR(FIND(",",$C3926)),$C3926,LEFT($C3926,FIND(",",$C3926)-1))))</f>
        <v/>
      </c>
      <c r="M3926" s="28">
        <f>IF($H3926="","",DATE(YEAR($H3926),MONTH($H3926),1))</f>
        <v/>
      </c>
      <c r="N3926" s="26">
        <f>IF($H3926="","",TODAY()-$H3926)</f>
        <v/>
      </c>
      <c r="O3926" s="15" t="n"/>
      <c r="P3926" s="26">
        <f>IF($A3926="","",COUNTIFS('Audit Versions'!$A$6:$A$605,$A3926,'Audit Versions'!$L$6:$L$605,"Active"))</f>
        <v/>
      </c>
      <c r="Q3926" s="15" t="n"/>
      <c r="R3926" s="26">
        <f>IF(OR($A3926="",$P3926=0),"",MOD(N($Q3926),$P3926)+1)</f>
        <v/>
      </c>
      <c r="S3926" s="15" t="n"/>
      <c r="T3926" s="25" t="n"/>
      <c r="U3926" s="26">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Builder'!$B$12="",N($S3926)&lt;='Assignment Builder'!$B$12)))</f>
        <v/>
      </c>
      <c r="V3926" s="23" t="n"/>
    </row>
    <row r="3927">
      <c r="A3927" s="23" t="n"/>
      <c r="B3927" s="23" t="n"/>
      <c r="C3927" s="24" t="n"/>
      <c r="D3927" s="15" t="n"/>
      <c r="E3927" s="23" t="n"/>
      <c r="F3927" s="15" t="n"/>
      <c r="G3927" s="23" t="n"/>
      <c r="H3927" s="25" t="n"/>
      <c r="I3927" s="15" t="n"/>
      <c r="J3927" s="26">
        <f>IF($A3927="","",LEN($C3927)-LEN(SUBSTITUTE($C3927,",",""))+1)</f>
        <v/>
      </c>
      <c r="K3927" s="26">
        <f>IF($A3927="","",SUMPRODUCT(--ISNUMBER(SEARCH('Category Dictionary'!$D$5:$D$135&amp;"",$C3927)),--('Category Dictionary'!$D$5:$D$135&lt;&gt;"")))</f>
        <v/>
      </c>
      <c r="L3927" s="27">
        <f>IF($A3927="","",TRIM(IF(ISERROR(FIND(",",$C3927)),$C3927,LEFT($C3927,FIND(",",$C3927)-1))))</f>
        <v/>
      </c>
      <c r="M3927" s="28">
        <f>IF($H3927="","",DATE(YEAR($H3927),MONTH($H3927),1))</f>
        <v/>
      </c>
      <c r="N3927" s="26">
        <f>IF($H3927="","",TODAY()-$H3927)</f>
        <v/>
      </c>
      <c r="O3927" s="15" t="n"/>
      <c r="P3927" s="26">
        <f>IF($A3927="","",COUNTIFS('Audit Versions'!$A$6:$A$605,$A3927,'Audit Versions'!$L$6:$L$605,"Active"))</f>
        <v/>
      </c>
      <c r="Q3927" s="15" t="n"/>
      <c r="R3927" s="26">
        <f>IF(OR($A3927="",$P3927=0),"",MOD(N($Q3927),$P3927)+1)</f>
        <v/>
      </c>
      <c r="S3927" s="15" t="n"/>
      <c r="T3927" s="25" t="n"/>
      <c r="U3927" s="26">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Builder'!$B$12="",N($S3927)&lt;='Assignment Builder'!$B$12)))</f>
        <v/>
      </c>
      <c r="V3927" s="23" t="n"/>
    </row>
    <row r="3928">
      <c r="A3928" s="23" t="n"/>
      <c r="B3928" s="23" t="n"/>
      <c r="C3928" s="24" t="n"/>
      <c r="D3928" s="15" t="n"/>
      <c r="E3928" s="23" t="n"/>
      <c r="F3928" s="15" t="n"/>
      <c r="G3928" s="23" t="n"/>
      <c r="H3928" s="25" t="n"/>
      <c r="I3928" s="15" t="n"/>
      <c r="J3928" s="26">
        <f>IF($A3928="","",LEN($C3928)-LEN(SUBSTITUTE($C3928,",",""))+1)</f>
        <v/>
      </c>
      <c r="K3928" s="26">
        <f>IF($A3928="","",SUMPRODUCT(--ISNUMBER(SEARCH('Category Dictionary'!$D$5:$D$135&amp;"",$C3928)),--('Category Dictionary'!$D$5:$D$135&lt;&gt;"")))</f>
        <v/>
      </c>
      <c r="L3928" s="27">
        <f>IF($A3928="","",TRIM(IF(ISERROR(FIND(",",$C3928)),$C3928,LEFT($C3928,FIND(",",$C3928)-1))))</f>
        <v/>
      </c>
      <c r="M3928" s="28">
        <f>IF($H3928="","",DATE(YEAR($H3928),MONTH($H3928),1))</f>
        <v/>
      </c>
      <c r="N3928" s="26">
        <f>IF($H3928="","",TODAY()-$H3928)</f>
        <v/>
      </c>
      <c r="O3928" s="15" t="n"/>
      <c r="P3928" s="26">
        <f>IF($A3928="","",COUNTIFS('Audit Versions'!$A$6:$A$605,$A3928,'Audit Versions'!$L$6:$L$605,"Active"))</f>
        <v/>
      </c>
      <c r="Q3928" s="15" t="n"/>
      <c r="R3928" s="26">
        <f>IF(OR($A3928="",$P3928=0),"",MOD(N($Q3928),$P3928)+1)</f>
        <v/>
      </c>
      <c r="S3928" s="15" t="n"/>
      <c r="T3928" s="25" t="n"/>
      <c r="U3928" s="26">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Builder'!$B$12="",N($S3928)&lt;='Assignment Builder'!$B$12)))</f>
        <v/>
      </c>
      <c r="V3928" s="23" t="n"/>
    </row>
    <row r="3929">
      <c r="A3929" s="23" t="n"/>
      <c r="B3929" s="23" t="n"/>
      <c r="C3929" s="24" t="n"/>
      <c r="D3929" s="15" t="n"/>
      <c r="E3929" s="23" t="n"/>
      <c r="F3929" s="15" t="n"/>
      <c r="G3929" s="23" t="n"/>
      <c r="H3929" s="25" t="n"/>
      <c r="I3929" s="15" t="n"/>
      <c r="J3929" s="26">
        <f>IF($A3929="","",LEN($C3929)-LEN(SUBSTITUTE($C3929,",",""))+1)</f>
        <v/>
      </c>
      <c r="K3929" s="26">
        <f>IF($A3929="","",SUMPRODUCT(--ISNUMBER(SEARCH('Category Dictionary'!$D$5:$D$135&amp;"",$C3929)),--('Category Dictionary'!$D$5:$D$135&lt;&gt;"")))</f>
        <v/>
      </c>
      <c r="L3929" s="27">
        <f>IF($A3929="","",TRIM(IF(ISERROR(FIND(",",$C3929)),$C3929,LEFT($C3929,FIND(",",$C3929)-1))))</f>
        <v/>
      </c>
      <c r="M3929" s="28">
        <f>IF($H3929="","",DATE(YEAR($H3929),MONTH($H3929),1))</f>
        <v/>
      </c>
      <c r="N3929" s="26">
        <f>IF($H3929="","",TODAY()-$H3929)</f>
        <v/>
      </c>
      <c r="O3929" s="15" t="n"/>
      <c r="P3929" s="26">
        <f>IF($A3929="","",COUNTIFS('Audit Versions'!$A$6:$A$605,$A3929,'Audit Versions'!$L$6:$L$605,"Active"))</f>
        <v/>
      </c>
      <c r="Q3929" s="15" t="n"/>
      <c r="R3929" s="26">
        <f>IF(OR($A3929="",$P3929=0),"",MOD(N($Q3929),$P3929)+1)</f>
        <v/>
      </c>
      <c r="S3929" s="15" t="n"/>
      <c r="T3929" s="25" t="n"/>
      <c r="U3929" s="26">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Builder'!$B$12="",N($S3929)&lt;='Assignment Builder'!$B$12)))</f>
        <v/>
      </c>
      <c r="V3929" s="23" t="n"/>
    </row>
    <row r="3930">
      <c r="A3930" s="23" t="n"/>
      <c r="B3930" s="23" t="n"/>
      <c r="C3930" s="24" t="n"/>
      <c r="D3930" s="15" t="n"/>
      <c r="E3930" s="23" t="n"/>
      <c r="F3930" s="15" t="n"/>
      <c r="G3930" s="23" t="n"/>
      <c r="H3930" s="25" t="n"/>
      <c r="I3930" s="15" t="n"/>
      <c r="J3930" s="26">
        <f>IF($A3930="","",LEN($C3930)-LEN(SUBSTITUTE($C3930,",",""))+1)</f>
        <v/>
      </c>
      <c r="K3930" s="26">
        <f>IF($A3930="","",SUMPRODUCT(--ISNUMBER(SEARCH('Category Dictionary'!$D$5:$D$135&amp;"",$C3930)),--('Category Dictionary'!$D$5:$D$135&lt;&gt;"")))</f>
        <v/>
      </c>
      <c r="L3930" s="27">
        <f>IF($A3930="","",TRIM(IF(ISERROR(FIND(",",$C3930)),$C3930,LEFT($C3930,FIND(",",$C3930)-1))))</f>
        <v/>
      </c>
      <c r="M3930" s="28">
        <f>IF($H3930="","",DATE(YEAR($H3930),MONTH($H3930),1))</f>
        <v/>
      </c>
      <c r="N3930" s="26">
        <f>IF($H3930="","",TODAY()-$H3930)</f>
        <v/>
      </c>
      <c r="O3930" s="15" t="n"/>
      <c r="P3930" s="26">
        <f>IF($A3930="","",COUNTIFS('Audit Versions'!$A$6:$A$605,$A3930,'Audit Versions'!$L$6:$L$605,"Active"))</f>
        <v/>
      </c>
      <c r="Q3930" s="15" t="n"/>
      <c r="R3930" s="26">
        <f>IF(OR($A3930="",$P3930=0),"",MOD(N($Q3930),$P3930)+1)</f>
        <v/>
      </c>
      <c r="S3930" s="15" t="n"/>
      <c r="T3930" s="25" t="n"/>
      <c r="U3930" s="26">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Builder'!$B$12="",N($S3930)&lt;='Assignment Builder'!$B$12)))</f>
        <v/>
      </c>
      <c r="V3930" s="23" t="n"/>
    </row>
    <row r="3931">
      <c r="A3931" s="23" t="n"/>
      <c r="B3931" s="23" t="n"/>
      <c r="C3931" s="24" t="n"/>
      <c r="D3931" s="15" t="n"/>
      <c r="E3931" s="23" t="n"/>
      <c r="F3931" s="15" t="n"/>
      <c r="G3931" s="23" t="n"/>
      <c r="H3931" s="25" t="n"/>
      <c r="I3931" s="15" t="n"/>
      <c r="J3931" s="26">
        <f>IF($A3931="","",LEN($C3931)-LEN(SUBSTITUTE($C3931,",",""))+1)</f>
        <v/>
      </c>
      <c r="K3931" s="26">
        <f>IF($A3931="","",SUMPRODUCT(--ISNUMBER(SEARCH('Category Dictionary'!$D$5:$D$135&amp;"",$C3931)),--('Category Dictionary'!$D$5:$D$135&lt;&gt;"")))</f>
        <v/>
      </c>
      <c r="L3931" s="27">
        <f>IF($A3931="","",TRIM(IF(ISERROR(FIND(",",$C3931)),$C3931,LEFT($C3931,FIND(",",$C3931)-1))))</f>
        <v/>
      </c>
      <c r="M3931" s="28">
        <f>IF($H3931="","",DATE(YEAR($H3931),MONTH($H3931),1))</f>
        <v/>
      </c>
      <c r="N3931" s="26">
        <f>IF($H3931="","",TODAY()-$H3931)</f>
        <v/>
      </c>
      <c r="O3931" s="15" t="n"/>
      <c r="P3931" s="26">
        <f>IF($A3931="","",COUNTIFS('Audit Versions'!$A$6:$A$605,$A3931,'Audit Versions'!$L$6:$L$605,"Active"))</f>
        <v/>
      </c>
      <c r="Q3931" s="15" t="n"/>
      <c r="R3931" s="26">
        <f>IF(OR($A3931="",$P3931=0),"",MOD(N($Q3931),$P3931)+1)</f>
        <v/>
      </c>
      <c r="S3931" s="15" t="n"/>
      <c r="T3931" s="25" t="n"/>
      <c r="U3931" s="26">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Builder'!$B$12="",N($S3931)&lt;='Assignment Builder'!$B$12)))</f>
        <v/>
      </c>
      <c r="V3931" s="23" t="n"/>
    </row>
    <row r="3932">
      <c r="A3932" s="23" t="n"/>
      <c r="B3932" s="23" t="n"/>
      <c r="C3932" s="24" t="n"/>
      <c r="D3932" s="15" t="n"/>
      <c r="E3932" s="23" t="n"/>
      <c r="F3932" s="15" t="n"/>
      <c r="G3932" s="23" t="n"/>
      <c r="H3932" s="25" t="n"/>
      <c r="I3932" s="15" t="n"/>
      <c r="J3932" s="26">
        <f>IF($A3932="","",LEN($C3932)-LEN(SUBSTITUTE($C3932,",",""))+1)</f>
        <v/>
      </c>
      <c r="K3932" s="26">
        <f>IF($A3932="","",SUMPRODUCT(--ISNUMBER(SEARCH('Category Dictionary'!$D$5:$D$135&amp;"",$C3932)),--('Category Dictionary'!$D$5:$D$135&lt;&gt;"")))</f>
        <v/>
      </c>
      <c r="L3932" s="27">
        <f>IF($A3932="","",TRIM(IF(ISERROR(FIND(",",$C3932)),$C3932,LEFT($C3932,FIND(",",$C3932)-1))))</f>
        <v/>
      </c>
      <c r="M3932" s="28">
        <f>IF($H3932="","",DATE(YEAR($H3932),MONTH($H3932),1))</f>
        <v/>
      </c>
      <c r="N3932" s="26">
        <f>IF($H3932="","",TODAY()-$H3932)</f>
        <v/>
      </c>
      <c r="O3932" s="15" t="n"/>
      <c r="P3932" s="26">
        <f>IF($A3932="","",COUNTIFS('Audit Versions'!$A$6:$A$605,$A3932,'Audit Versions'!$L$6:$L$605,"Active"))</f>
        <v/>
      </c>
      <c r="Q3932" s="15" t="n"/>
      <c r="R3932" s="26">
        <f>IF(OR($A3932="",$P3932=0),"",MOD(N($Q3932),$P3932)+1)</f>
        <v/>
      </c>
      <c r="S3932" s="15" t="n"/>
      <c r="T3932" s="25" t="n"/>
      <c r="U3932" s="26">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Builder'!$B$12="",N($S3932)&lt;='Assignment Builder'!$B$12)))</f>
        <v/>
      </c>
      <c r="V3932" s="23" t="n"/>
    </row>
    <row r="3933">
      <c r="A3933" s="23" t="n"/>
      <c r="B3933" s="23" t="n"/>
      <c r="C3933" s="24" t="n"/>
      <c r="D3933" s="15" t="n"/>
      <c r="E3933" s="23" t="n"/>
      <c r="F3933" s="15" t="n"/>
      <c r="G3933" s="23" t="n"/>
      <c r="H3933" s="25" t="n"/>
      <c r="I3933" s="15" t="n"/>
      <c r="J3933" s="26">
        <f>IF($A3933="","",LEN($C3933)-LEN(SUBSTITUTE($C3933,",",""))+1)</f>
        <v/>
      </c>
      <c r="K3933" s="26">
        <f>IF($A3933="","",SUMPRODUCT(--ISNUMBER(SEARCH('Category Dictionary'!$D$5:$D$135&amp;"",$C3933)),--('Category Dictionary'!$D$5:$D$135&lt;&gt;"")))</f>
        <v/>
      </c>
      <c r="L3933" s="27">
        <f>IF($A3933="","",TRIM(IF(ISERROR(FIND(",",$C3933)),$C3933,LEFT($C3933,FIND(",",$C3933)-1))))</f>
        <v/>
      </c>
      <c r="M3933" s="28">
        <f>IF($H3933="","",DATE(YEAR($H3933),MONTH($H3933),1))</f>
        <v/>
      </c>
      <c r="N3933" s="26">
        <f>IF($H3933="","",TODAY()-$H3933)</f>
        <v/>
      </c>
      <c r="O3933" s="15" t="n"/>
      <c r="P3933" s="26">
        <f>IF($A3933="","",COUNTIFS('Audit Versions'!$A$6:$A$605,$A3933,'Audit Versions'!$L$6:$L$605,"Active"))</f>
        <v/>
      </c>
      <c r="Q3933" s="15" t="n"/>
      <c r="R3933" s="26">
        <f>IF(OR($A3933="",$P3933=0),"",MOD(N($Q3933),$P3933)+1)</f>
        <v/>
      </c>
      <c r="S3933" s="15" t="n"/>
      <c r="T3933" s="25" t="n"/>
      <c r="U3933" s="26">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Builder'!$B$12="",N($S3933)&lt;='Assignment Builder'!$B$12)))</f>
        <v/>
      </c>
      <c r="V3933" s="23" t="n"/>
    </row>
    <row r="3934">
      <c r="A3934" s="23" t="n"/>
      <c r="B3934" s="23" t="n"/>
      <c r="C3934" s="24" t="n"/>
      <c r="D3934" s="15" t="n"/>
      <c r="E3934" s="23" t="n"/>
      <c r="F3934" s="15" t="n"/>
      <c r="G3934" s="23" t="n"/>
      <c r="H3934" s="25" t="n"/>
      <c r="I3934" s="15" t="n"/>
      <c r="J3934" s="26">
        <f>IF($A3934="","",LEN($C3934)-LEN(SUBSTITUTE($C3934,",",""))+1)</f>
        <v/>
      </c>
      <c r="K3934" s="26">
        <f>IF($A3934="","",SUMPRODUCT(--ISNUMBER(SEARCH('Category Dictionary'!$D$5:$D$135&amp;"",$C3934)),--('Category Dictionary'!$D$5:$D$135&lt;&gt;"")))</f>
        <v/>
      </c>
      <c r="L3934" s="27">
        <f>IF($A3934="","",TRIM(IF(ISERROR(FIND(",",$C3934)),$C3934,LEFT($C3934,FIND(",",$C3934)-1))))</f>
        <v/>
      </c>
      <c r="M3934" s="28">
        <f>IF($H3934="","",DATE(YEAR($H3934),MONTH($H3934),1))</f>
        <v/>
      </c>
      <c r="N3934" s="26">
        <f>IF($H3934="","",TODAY()-$H3934)</f>
        <v/>
      </c>
      <c r="O3934" s="15" t="n"/>
      <c r="P3934" s="26">
        <f>IF($A3934="","",COUNTIFS('Audit Versions'!$A$6:$A$605,$A3934,'Audit Versions'!$L$6:$L$605,"Active"))</f>
        <v/>
      </c>
      <c r="Q3934" s="15" t="n"/>
      <c r="R3934" s="26">
        <f>IF(OR($A3934="",$P3934=0),"",MOD(N($Q3934),$P3934)+1)</f>
        <v/>
      </c>
      <c r="S3934" s="15" t="n"/>
      <c r="T3934" s="25" t="n"/>
      <c r="U3934" s="26">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Builder'!$B$12="",N($S3934)&lt;='Assignment Builder'!$B$12)))</f>
        <v/>
      </c>
      <c r="V3934" s="23" t="n"/>
    </row>
    <row r="3935">
      <c r="A3935" s="23" t="n"/>
      <c r="B3935" s="23" t="n"/>
      <c r="C3935" s="24" t="n"/>
      <c r="D3935" s="15" t="n"/>
      <c r="E3935" s="23" t="n"/>
      <c r="F3935" s="15" t="n"/>
      <c r="G3935" s="23" t="n"/>
      <c r="H3935" s="25" t="n"/>
      <c r="I3935" s="15" t="n"/>
      <c r="J3935" s="26">
        <f>IF($A3935="","",LEN($C3935)-LEN(SUBSTITUTE($C3935,",",""))+1)</f>
        <v/>
      </c>
      <c r="K3935" s="26">
        <f>IF($A3935="","",SUMPRODUCT(--ISNUMBER(SEARCH('Category Dictionary'!$D$5:$D$135&amp;"",$C3935)),--('Category Dictionary'!$D$5:$D$135&lt;&gt;"")))</f>
        <v/>
      </c>
      <c r="L3935" s="27">
        <f>IF($A3935="","",TRIM(IF(ISERROR(FIND(",",$C3935)),$C3935,LEFT($C3935,FIND(",",$C3935)-1))))</f>
        <v/>
      </c>
      <c r="M3935" s="28">
        <f>IF($H3935="","",DATE(YEAR($H3935),MONTH($H3935),1))</f>
        <v/>
      </c>
      <c r="N3935" s="26">
        <f>IF($H3935="","",TODAY()-$H3935)</f>
        <v/>
      </c>
      <c r="O3935" s="15" t="n"/>
      <c r="P3935" s="26">
        <f>IF($A3935="","",COUNTIFS('Audit Versions'!$A$6:$A$605,$A3935,'Audit Versions'!$L$6:$L$605,"Active"))</f>
        <v/>
      </c>
      <c r="Q3935" s="15" t="n"/>
      <c r="R3935" s="26">
        <f>IF(OR($A3935="",$P3935=0),"",MOD(N($Q3935),$P3935)+1)</f>
        <v/>
      </c>
      <c r="S3935" s="15" t="n"/>
      <c r="T3935" s="25" t="n"/>
      <c r="U3935" s="26">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Builder'!$B$12="",N($S3935)&lt;='Assignment Builder'!$B$12)))</f>
        <v/>
      </c>
      <c r="V3935" s="23" t="n"/>
    </row>
    <row r="3936">
      <c r="A3936" s="23" t="n"/>
      <c r="B3936" s="23" t="n"/>
      <c r="C3936" s="24" t="n"/>
      <c r="D3936" s="15" t="n"/>
      <c r="E3936" s="23" t="n"/>
      <c r="F3936" s="15" t="n"/>
      <c r="G3936" s="23" t="n"/>
      <c r="H3936" s="25" t="n"/>
      <c r="I3936" s="15" t="n"/>
      <c r="J3936" s="26">
        <f>IF($A3936="","",LEN($C3936)-LEN(SUBSTITUTE($C3936,",",""))+1)</f>
        <v/>
      </c>
      <c r="K3936" s="26">
        <f>IF($A3936="","",SUMPRODUCT(--ISNUMBER(SEARCH('Category Dictionary'!$D$5:$D$135&amp;"",$C3936)),--('Category Dictionary'!$D$5:$D$135&lt;&gt;"")))</f>
        <v/>
      </c>
      <c r="L3936" s="27">
        <f>IF($A3936="","",TRIM(IF(ISERROR(FIND(",",$C3936)),$C3936,LEFT($C3936,FIND(",",$C3936)-1))))</f>
        <v/>
      </c>
      <c r="M3936" s="28">
        <f>IF($H3936="","",DATE(YEAR($H3936),MONTH($H3936),1))</f>
        <v/>
      </c>
      <c r="N3936" s="26">
        <f>IF($H3936="","",TODAY()-$H3936)</f>
        <v/>
      </c>
      <c r="O3936" s="15" t="n"/>
      <c r="P3936" s="26">
        <f>IF($A3936="","",COUNTIFS('Audit Versions'!$A$6:$A$605,$A3936,'Audit Versions'!$L$6:$L$605,"Active"))</f>
        <v/>
      </c>
      <c r="Q3936" s="15" t="n"/>
      <c r="R3936" s="26">
        <f>IF(OR($A3936="",$P3936=0),"",MOD(N($Q3936),$P3936)+1)</f>
        <v/>
      </c>
      <c r="S3936" s="15" t="n"/>
      <c r="T3936" s="25" t="n"/>
      <c r="U3936" s="26">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Builder'!$B$12="",N($S3936)&lt;='Assignment Builder'!$B$12)))</f>
        <v/>
      </c>
      <c r="V3936" s="23" t="n"/>
    </row>
    <row r="3937">
      <c r="A3937" s="23" t="n"/>
      <c r="B3937" s="23" t="n"/>
      <c r="C3937" s="24" t="n"/>
      <c r="D3937" s="15" t="n"/>
      <c r="E3937" s="23" t="n"/>
      <c r="F3937" s="15" t="n"/>
      <c r="G3937" s="23" t="n"/>
      <c r="H3937" s="25" t="n"/>
      <c r="I3937" s="15" t="n"/>
      <c r="J3937" s="26">
        <f>IF($A3937="","",LEN($C3937)-LEN(SUBSTITUTE($C3937,",",""))+1)</f>
        <v/>
      </c>
      <c r="K3937" s="26">
        <f>IF($A3937="","",SUMPRODUCT(--ISNUMBER(SEARCH('Category Dictionary'!$D$5:$D$135&amp;"",$C3937)),--('Category Dictionary'!$D$5:$D$135&lt;&gt;"")))</f>
        <v/>
      </c>
      <c r="L3937" s="27">
        <f>IF($A3937="","",TRIM(IF(ISERROR(FIND(",",$C3937)),$C3937,LEFT($C3937,FIND(",",$C3937)-1))))</f>
        <v/>
      </c>
      <c r="M3937" s="28">
        <f>IF($H3937="","",DATE(YEAR($H3937),MONTH($H3937),1))</f>
        <v/>
      </c>
      <c r="N3937" s="26">
        <f>IF($H3937="","",TODAY()-$H3937)</f>
        <v/>
      </c>
      <c r="O3937" s="15" t="n"/>
      <c r="P3937" s="26">
        <f>IF($A3937="","",COUNTIFS('Audit Versions'!$A$6:$A$605,$A3937,'Audit Versions'!$L$6:$L$605,"Active"))</f>
        <v/>
      </c>
      <c r="Q3937" s="15" t="n"/>
      <c r="R3937" s="26">
        <f>IF(OR($A3937="",$P3937=0),"",MOD(N($Q3937),$P3937)+1)</f>
        <v/>
      </c>
      <c r="S3937" s="15" t="n"/>
      <c r="T3937" s="25" t="n"/>
      <c r="U3937" s="26">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Builder'!$B$12="",N($S3937)&lt;='Assignment Builder'!$B$12)))</f>
        <v/>
      </c>
      <c r="V3937" s="23" t="n"/>
    </row>
    <row r="3938">
      <c r="A3938" s="23" t="n"/>
      <c r="B3938" s="23" t="n"/>
      <c r="C3938" s="24" t="n"/>
      <c r="D3938" s="15" t="n"/>
      <c r="E3938" s="23" t="n"/>
      <c r="F3938" s="15" t="n"/>
      <c r="G3938" s="23" t="n"/>
      <c r="H3938" s="25" t="n"/>
      <c r="I3938" s="15" t="n"/>
      <c r="J3938" s="26">
        <f>IF($A3938="","",LEN($C3938)-LEN(SUBSTITUTE($C3938,",",""))+1)</f>
        <v/>
      </c>
      <c r="K3938" s="26">
        <f>IF($A3938="","",SUMPRODUCT(--ISNUMBER(SEARCH('Category Dictionary'!$D$5:$D$135&amp;"",$C3938)),--('Category Dictionary'!$D$5:$D$135&lt;&gt;"")))</f>
        <v/>
      </c>
      <c r="L3938" s="27">
        <f>IF($A3938="","",TRIM(IF(ISERROR(FIND(",",$C3938)),$C3938,LEFT($C3938,FIND(",",$C3938)-1))))</f>
        <v/>
      </c>
      <c r="M3938" s="28">
        <f>IF($H3938="","",DATE(YEAR($H3938),MONTH($H3938),1))</f>
        <v/>
      </c>
      <c r="N3938" s="26">
        <f>IF($H3938="","",TODAY()-$H3938)</f>
        <v/>
      </c>
      <c r="O3938" s="15" t="n"/>
      <c r="P3938" s="26">
        <f>IF($A3938="","",COUNTIFS('Audit Versions'!$A$6:$A$605,$A3938,'Audit Versions'!$L$6:$L$605,"Active"))</f>
        <v/>
      </c>
      <c r="Q3938" s="15" t="n"/>
      <c r="R3938" s="26">
        <f>IF(OR($A3938="",$P3938=0),"",MOD(N($Q3938),$P3938)+1)</f>
        <v/>
      </c>
      <c r="S3938" s="15" t="n"/>
      <c r="T3938" s="25" t="n"/>
      <c r="U3938" s="26">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Builder'!$B$12="",N($S3938)&lt;='Assignment Builder'!$B$12)))</f>
        <v/>
      </c>
      <c r="V3938" s="23" t="n"/>
    </row>
    <row r="3939">
      <c r="A3939" s="23" t="n"/>
      <c r="B3939" s="23" t="n"/>
      <c r="C3939" s="24" t="n"/>
      <c r="D3939" s="15" t="n"/>
      <c r="E3939" s="23" t="n"/>
      <c r="F3939" s="15" t="n"/>
      <c r="G3939" s="23" t="n"/>
      <c r="H3939" s="25" t="n"/>
      <c r="I3939" s="15" t="n"/>
      <c r="J3939" s="26">
        <f>IF($A3939="","",LEN($C3939)-LEN(SUBSTITUTE($C3939,",",""))+1)</f>
        <v/>
      </c>
      <c r="K3939" s="26">
        <f>IF($A3939="","",SUMPRODUCT(--ISNUMBER(SEARCH('Category Dictionary'!$D$5:$D$135&amp;"",$C3939)),--('Category Dictionary'!$D$5:$D$135&lt;&gt;"")))</f>
        <v/>
      </c>
      <c r="L3939" s="27">
        <f>IF($A3939="","",TRIM(IF(ISERROR(FIND(",",$C3939)),$C3939,LEFT($C3939,FIND(",",$C3939)-1))))</f>
        <v/>
      </c>
      <c r="M3939" s="28">
        <f>IF($H3939="","",DATE(YEAR($H3939),MONTH($H3939),1))</f>
        <v/>
      </c>
      <c r="N3939" s="26">
        <f>IF($H3939="","",TODAY()-$H3939)</f>
        <v/>
      </c>
      <c r="O3939" s="15" t="n"/>
      <c r="P3939" s="26">
        <f>IF($A3939="","",COUNTIFS('Audit Versions'!$A$6:$A$605,$A3939,'Audit Versions'!$L$6:$L$605,"Active"))</f>
        <v/>
      </c>
      <c r="Q3939" s="15" t="n"/>
      <c r="R3939" s="26">
        <f>IF(OR($A3939="",$P3939=0),"",MOD(N($Q3939),$P3939)+1)</f>
        <v/>
      </c>
      <c r="S3939" s="15" t="n"/>
      <c r="T3939" s="25" t="n"/>
      <c r="U3939" s="26">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Builder'!$B$12="",N($S3939)&lt;='Assignment Builder'!$B$12)))</f>
        <v/>
      </c>
      <c r="V3939" s="23" t="n"/>
    </row>
    <row r="3940">
      <c r="A3940" s="23" t="n"/>
      <c r="B3940" s="23" t="n"/>
      <c r="C3940" s="24" t="n"/>
      <c r="D3940" s="15" t="n"/>
      <c r="E3940" s="23" t="n"/>
      <c r="F3940" s="15" t="n"/>
      <c r="G3940" s="23" t="n"/>
      <c r="H3940" s="25" t="n"/>
      <c r="I3940" s="15" t="n"/>
      <c r="J3940" s="26">
        <f>IF($A3940="","",LEN($C3940)-LEN(SUBSTITUTE($C3940,",",""))+1)</f>
        <v/>
      </c>
      <c r="K3940" s="26">
        <f>IF($A3940="","",SUMPRODUCT(--ISNUMBER(SEARCH('Category Dictionary'!$D$5:$D$135&amp;"",$C3940)),--('Category Dictionary'!$D$5:$D$135&lt;&gt;"")))</f>
        <v/>
      </c>
      <c r="L3940" s="27">
        <f>IF($A3940="","",TRIM(IF(ISERROR(FIND(",",$C3940)),$C3940,LEFT($C3940,FIND(",",$C3940)-1))))</f>
        <v/>
      </c>
      <c r="M3940" s="28">
        <f>IF($H3940="","",DATE(YEAR($H3940),MONTH($H3940),1))</f>
        <v/>
      </c>
      <c r="N3940" s="26">
        <f>IF($H3940="","",TODAY()-$H3940)</f>
        <v/>
      </c>
      <c r="O3940" s="15" t="n"/>
      <c r="P3940" s="26">
        <f>IF($A3940="","",COUNTIFS('Audit Versions'!$A$6:$A$605,$A3940,'Audit Versions'!$L$6:$L$605,"Active"))</f>
        <v/>
      </c>
      <c r="Q3940" s="15" t="n"/>
      <c r="R3940" s="26">
        <f>IF(OR($A3940="",$P3940=0),"",MOD(N($Q3940),$P3940)+1)</f>
        <v/>
      </c>
      <c r="S3940" s="15" t="n"/>
      <c r="T3940" s="25" t="n"/>
      <c r="U3940" s="26">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Builder'!$B$12="",N($S3940)&lt;='Assignment Builder'!$B$12)))</f>
        <v/>
      </c>
      <c r="V3940" s="23" t="n"/>
    </row>
    <row r="3941">
      <c r="A3941" s="23" t="n"/>
      <c r="B3941" s="23" t="n"/>
      <c r="C3941" s="24" t="n"/>
      <c r="D3941" s="15" t="n"/>
      <c r="E3941" s="23" t="n"/>
      <c r="F3941" s="15" t="n"/>
      <c r="G3941" s="23" t="n"/>
      <c r="H3941" s="25" t="n"/>
      <c r="I3941" s="15" t="n"/>
      <c r="J3941" s="26">
        <f>IF($A3941="","",LEN($C3941)-LEN(SUBSTITUTE($C3941,",",""))+1)</f>
        <v/>
      </c>
      <c r="K3941" s="26">
        <f>IF($A3941="","",SUMPRODUCT(--ISNUMBER(SEARCH('Category Dictionary'!$D$5:$D$135&amp;"",$C3941)),--('Category Dictionary'!$D$5:$D$135&lt;&gt;"")))</f>
        <v/>
      </c>
      <c r="L3941" s="27">
        <f>IF($A3941="","",TRIM(IF(ISERROR(FIND(",",$C3941)),$C3941,LEFT($C3941,FIND(",",$C3941)-1))))</f>
        <v/>
      </c>
      <c r="M3941" s="28">
        <f>IF($H3941="","",DATE(YEAR($H3941),MONTH($H3941),1))</f>
        <v/>
      </c>
      <c r="N3941" s="26">
        <f>IF($H3941="","",TODAY()-$H3941)</f>
        <v/>
      </c>
      <c r="O3941" s="15" t="n"/>
      <c r="P3941" s="26">
        <f>IF($A3941="","",COUNTIFS('Audit Versions'!$A$6:$A$605,$A3941,'Audit Versions'!$L$6:$L$605,"Active"))</f>
        <v/>
      </c>
      <c r="Q3941" s="15" t="n"/>
      <c r="R3941" s="26">
        <f>IF(OR($A3941="",$P3941=0),"",MOD(N($Q3941),$P3941)+1)</f>
        <v/>
      </c>
      <c r="S3941" s="15" t="n"/>
      <c r="T3941" s="25" t="n"/>
      <c r="U3941" s="26">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Builder'!$B$12="",N($S3941)&lt;='Assignment Builder'!$B$12)))</f>
        <v/>
      </c>
      <c r="V3941" s="23" t="n"/>
    </row>
    <row r="3942">
      <c r="A3942" s="23" t="n"/>
      <c r="B3942" s="23" t="n"/>
      <c r="C3942" s="24" t="n"/>
      <c r="D3942" s="15" t="n"/>
      <c r="E3942" s="23" t="n"/>
      <c r="F3942" s="15" t="n"/>
      <c r="G3942" s="23" t="n"/>
      <c r="H3942" s="25" t="n"/>
      <c r="I3942" s="15" t="n"/>
      <c r="J3942" s="26">
        <f>IF($A3942="","",LEN($C3942)-LEN(SUBSTITUTE($C3942,",",""))+1)</f>
        <v/>
      </c>
      <c r="K3942" s="26">
        <f>IF($A3942="","",SUMPRODUCT(--ISNUMBER(SEARCH('Category Dictionary'!$D$5:$D$135&amp;"",$C3942)),--('Category Dictionary'!$D$5:$D$135&lt;&gt;"")))</f>
        <v/>
      </c>
      <c r="L3942" s="27">
        <f>IF($A3942="","",TRIM(IF(ISERROR(FIND(",",$C3942)),$C3942,LEFT($C3942,FIND(",",$C3942)-1))))</f>
        <v/>
      </c>
      <c r="M3942" s="28">
        <f>IF($H3942="","",DATE(YEAR($H3942),MONTH($H3942),1))</f>
        <v/>
      </c>
      <c r="N3942" s="26">
        <f>IF($H3942="","",TODAY()-$H3942)</f>
        <v/>
      </c>
      <c r="O3942" s="15" t="n"/>
      <c r="P3942" s="26">
        <f>IF($A3942="","",COUNTIFS('Audit Versions'!$A$6:$A$605,$A3942,'Audit Versions'!$L$6:$L$605,"Active"))</f>
        <v/>
      </c>
      <c r="Q3942" s="15" t="n"/>
      <c r="R3942" s="26">
        <f>IF(OR($A3942="",$P3942=0),"",MOD(N($Q3942),$P3942)+1)</f>
        <v/>
      </c>
      <c r="S3942" s="15" t="n"/>
      <c r="T3942" s="25" t="n"/>
      <c r="U3942" s="26">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Builder'!$B$12="",N($S3942)&lt;='Assignment Builder'!$B$12)))</f>
        <v/>
      </c>
      <c r="V3942" s="23" t="n"/>
    </row>
    <row r="3943">
      <c r="A3943" s="23" t="n"/>
      <c r="B3943" s="23" t="n"/>
      <c r="C3943" s="24" t="n"/>
      <c r="D3943" s="15" t="n"/>
      <c r="E3943" s="23" t="n"/>
      <c r="F3943" s="15" t="n"/>
      <c r="G3943" s="23" t="n"/>
      <c r="H3943" s="25" t="n"/>
      <c r="I3943" s="15" t="n"/>
      <c r="J3943" s="26">
        <f>IF($A3943="","",LEN($C3943)-LEN(SUBSTITUTE($C3943,",",""))+1)</f>
        <v/>
      </c>
      <c r="K3943" s="26">
        <f>IF($A3943="","",SUMPRODUCT(--ISNUMBER(SEARCH('Category Dictionary'!$D$5:$D$135&amp;"",$C3943)),--('Category Dictionary'!$D$5:$D$135&lt;&gt;"")))</f>
        <v/>
      </c>
      <c r="L3943" s="27">
        <f>IF($A3943="","",TRIM(IF(ISERROR(FIND(",",$C3943)),$C3943,LEFT($C3943,FIND(",",$C3943)-1))))</f>
        <v/>
      </c>
      <c r="M3943" s="28">
        <f>IF($H3943="","",DATE(YEAR($H3943),MONTH($H3943),1))</f>
        <v/>
      </c>
      <c r="N3943" s="26">
        <f>IF($H3943="","",TODAY()-$H3943)</f>
        <v/>
      </c>
      <c r="O3943" s="15" t="n"/>
      <c r="P3943" s="26">
        <f>IF($A3943="","",COUNTIFS('Audit Versions'!$A$6:$A$605,$A3943,'Audit Versions'!$L$6:$L$605,"Active"))</f>
        <v/>
      </c>
      <c r="Q3943" s="15" t="n"/>
      <c r="R3943" s="26">
        <f>IF(OR($A3943="",$P3943=0),"",MOD(N($Q3943),$P3943)+1)</f>
        <v/>
      </c>
      <c r="S3943" s="15" t="n"/>
      <c r="T3943" s="25" t="n"/>
      <c r="U3943" s="26">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Builder'!$B$12="",N($S3943)&lt;='Assignment Builder'!$B$12)))</f>
        <v/>
      </c>
      <c r="V3943" s="23" t="n"/>
    </row>
    <row r="3944">
      <c r="A3944" s="23" t="n"/>
      <c r="B3944" s="23" t="n"/>
      <c r="C3944" s="24" t="n"/>
      <c r="D3944" s="15" t="n"/>
      <c r="E3944" s="23" t="n"/>
      <c r="F3944" s="15" t="n"/>
      <c r="G3944" s="23" t="n"/>
      <c r="H3944" s="25" t="n"/>
      <c r="I3944" s="15" t="n"/>
      <c r="J3944" s="26">
        <f>IF($A3944="","",LEN($C3944)-LEN(SUBSTITUTE($C3944,",",""))+1)</f>
        <v/>
      </c>
      <c r="K3944" s="26">
        <f>IF($A3944="","",SUMPRODUCT(--ISNUMBER(SEARCH('Category Dictionary'!$D$5:$D$135&amp;"",$C3944)),--('Category Dictionary'!$D$5:$D$135&lt;&gt;"")))</f>
        <v/>
      </c>
      <c r="L3944" s="27">
        <f>IF($A3944="","",TRIM(IF(ISERROR(FIND(",",$C3944)),$C3944,LEFT($C3944,FIND(",",$C3944)-1))))</f>
        <v/>
      </c>
      <c r="M3944" s="28">
        <f>IF($H3944="","",DATE(YEAR($H3944),MONTH($H3944),1))</f>
        <v/>
      </c>
      <c r="N3944" s="26">
        <f>IF($H3944="","",TODAY()-$H3944)</f>
        <v/>
      </c>
      <c r="O3944" s="15" t="n"/>
      <c r="P3944" s="26">
        <f>IF($A3944="","",COUNTIFS('Audit Versions'!$A$6:$A$605,$A3944,'Audit Versions'!$L$6:$L$605,"Active"))</f>
        <v/>
      </c>
      <c r="Q3944" s="15" t="n"/>
      <c r="R3944" s="26">
        <f>IF(OR($A3944="",$P3944=0),"",MOD(N($Q3944),$P3944)+1)</f>
        <v/>
      </c>
      <c r="S3944" s="15" t="n"/>
      <c r="T3944" s="25" t="n"/>
      <c r="U3944" s="26">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Builder'!$B$12="",N($S3944)&lt;='Assignment Builder'!$B$12)))</f>
        <v/>
      </c>
      <c r="V3944" s="23" t="n"/>
    </row>
    <row r="3945">
      <c r="A3945" s="23" t="n"/>
      <c r="B3945" s="23" t="n"/>
      <c r="C3945" s="24" t="n"/>
      <c r="D3945" s="15" t="n"/>
      <c r="E3945" s="23" t="n"/>
      <c r="F3945" s="15" t="n"/>
      <c r="G3945" s="23" t="n"/>
      <c r="H3945" s="25" t="n"/>
      <c r="I3945" s="15" t="n"/>
      <c r="J3945" s="26">
        <f>IF($A3945="","",LEN($C3945)-LEN(SUBSTITUTE($C3945,",",""))+1)</f>
        <v/>
      </c>
      <c r="K3945" s="26">
        <f>IF($A3945="","",SUMPRODUCT(--ISNUMBER(SEARCH('Category Dictionary'!$D$5:$D$135&amp;"",$C3945)),--('Category Dictionary'!$D$5:$D$135&lt;&gt;"")))</f>
        <v/>
      </c>
      <c r="L3945" s="27">
        <f>IF($A3945="","",TRIM(IF(ISERROR(FIND(",",$C3945)),$C3945,LEFT($C3945,FIND(",",$C3945)-1))))</f>
        <v/>
      </c>
      <c r="M3945" s="28">
        <f>IF($H3945="","",DATE(YEAR($H3945),MONTH($H3945),1))</f>
        <v/>
      </c>
      <c r="N3945" s="26">
        <f>IF($H3945="","",TODAY()-$H3945)</f>
        <v/>
      </c>
      <c r="O3945" s="15" t="n"/>
      <c r="P3945" s="26">
        <f>IF($A3945="","",COUNTIFS('Audit Versions'!$A$6:$A$605,$A3945,'Audit Versions'!$L$6:$L$605,"Active"))</f>
        <v/>
      </c>
      <c r="Q3945" s="15" t="n"/>
      <c r="R3945" s="26">
        <f>IF(OR($A3945="",$P3945=0),"",MOD(N($Q3945),$P3945)+1)</f>
        <v/>
      </c>
      <c r="S3945" s="15" t="n"/>
      <c r="T3945" s="25" t="n"/>
      <c r="U3945" s="26">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Builder'!$B$12="",N($S3945)&lt;='Assignment Builder'!$B$12)))</f>
        <v/>
      </c>
      <c r="V3945" s="23" t="n"/>
    </row>
    <row r="3946">
      <c r="A3946" s="23" t="n"/>
      <c r="B3946" s="23" t="n"/>
      <c r="C3946" s="24" t="n"/>
      <c r="D3946" s="15" t="n"/>
      <c r="E3946" s="23" t="n"/>
      <c r="F3946" s="15" t="n"/>
      <c r="G3946" s="23" t="n"/>
      <c r="H3946" s="25" t="n"/>
      <c r="I3946" s="15" t="n"/>
      <c r="J3946" s="26">
        <f>IF($A3946="","",LEN($C3946)-LEN(SUBSTITUTE($C3946,",",""))+1)</f>
        <v/>
      </c>
      <c r="K3946" s="26">
        <f>IF($A3946="","",SUMPRODUCT(--ISNUMBER(SEARCH('Category Dictionary'!$D$5:$D$135&amp;"",$C3946)),--('Category Dictionary'!$D$5:$D$135&lt;&gt;"")))</f>
        <v/>
      </c>
      <c r="L3946" s="27">
        <f>IF($A3946="","",TRIM(IF(ISERROR(FIND(",",$C3946)),$C3946,LEFT($C3946,FIND(",",$C3946)-1))))</f>
        <v/>
      </c>
      <c r="M3946" s="28">
        <f>IF($H3946="","",DATE(YEAR($H3946),MONTH($H3946),1))</f>
        <v/>
      </c>
      <c r="N3946" s="26">
        <f>IF($H3946="","",TODAY()-$H3946)</f>
        <v/>
      </c>
      <c r="O3946" s="15" t="n"/>
      <c r="P3946" s="26">
        <f>IF($A3946="","",COUNTIFS('Audit Versions'!$A$6:$A$605,$A3946,'Audit Versions'!$L$6:$L$605,"Active"))</f>
        <v/>
      </c>
      <c r="Q3946" s="15" t="n"/>
      <c r="R3946" s="26">
        <f>IF(OR($A3946="",$P3946=0),"",MOD(N($Q3946),$P3946)+1)</f>
        <v/>
      </c>
      <c r="S3946" s="15" t="n"/>
      <c r="T3946" s="25" t="n"/>
      <c r="U3946" s="26">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Builder'!$B$12="",N($S3946)&lt;='Assignment Builder'!$B$12)))</f>
        <v/>
      </c>
      <c r="V3946" s="23" t="n"/>
    </row>
    <row r="3947">
      <c r="A3947" s="23" t="n"/>
      <c r="B3947" s="23" t="n"/>
      <c r="C3947" s="24" t="n"/>
      <c r="D3947" s="15" t="n"/>
      <c r="E3947" s="23" t="n"/>
      <c r="F3947" s="15" t="n"/>
      <c r="G3947" s="23" t="n"/>
      <c r="H3947" s="25" t="n"/>
      <c r="I3947" s="15" t="n"/>
      <c r="J3947" s="26">
        <f>IF($A3947="","",LEN($C3947)-LEN(SUBSTITUTE($C3947,",",""))+1)</f>
        <v/>
      </c>
      <c r="K3947" s="26">
        <f>IF($A3947="","",SUMPRODUCT(--ISNUMBER(SEARCH('Category Dictionary'!$D$5:$D$135&amp;"",$C3947)),--('Category Dictionary'!$D$5:$D$135&lt;&gt;"")))</f>
        <v/>
      </c>
      <c r="L3947" s="27">
        <f>IF($A3947="","",TRIM(IF(ISERROR(FIND(",",$C3947)),$C3947,LEFT($C3947,FIND(",",$C3947)-1))))</f>
        <v/>
      </c>
      <c r="M3947" s="28">
        <f>IF($H3947="","",DATE(YEAR($H3947),MONTH($H3947),1))</f>
        <v/>
      </c>
      <c r="N3947" s="26">
        <f>IF($H3947="","",TODAY()-$H3947)</f>
        <v/>
      </c>
      <c r="O3947" s="15" t="n"/>
      <c r="P3947" s="26">
        <f>IF($A3947="","",COUNTIFS('Audit Versions'!$A$6:$A$605,$A3947,'Audit Versions'!$L$6:$L$605,"Active"))</f>
        <v/>
      </c>
      <c r="Q3947" s="15" t="n"/>
      <c r="R3947" s="26">
        <f>IF(OR($A3947="",$P3947=0),"",MOD(N($Q3947),$P3947)+1)</f>
        <v/>
      </c>
      <c r="S3947" s="15" t="n"/>
      <c r="T3947" s="25" t="n"/>
      <c r="U3947" s="26">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Builder'!$B$12="",N($S3947)&lt;='Assignment Builder'!$B$12)))</f>
        <v/>
      </c>
      <c r="V3947" s="23" t="n"/>
    </row>
    <row r="3948">
      <c r="A3948" s="23" t="n"/>
      <c r="B3948" s="23" t="n"/>
      <c r="C3948" s="24" t="n"/>
      <c r="D3948" s="15" t="n"/>
      <c r="E3948" s="23" t="n"/>
      <c r="F3948" s="15" t="n"/>
      <c r="G3948" s="23" t="n"/>
      <c r="H3948" s="25" t="n"/>
      <c r="I3948" s="15" t="n"/>
      <c r="J3948" s="26">
        <f>IF($A3948="","",LEN($C3948)-LEN(SUBSTITUTE($C3948,",",""))+1)</f>
        <v/>
      </c>
      <c r="K3948" s="26">
        <f>IF($A3948="","",SUMPRODUCT(--ISNUMBER(SEARCH('Category Dictionary'!$D$5:$D$135&amp;"",$C3948)),--('Category Dictionary'!$D$5:$D$135&lt;&gt;"")))</f>
        <v/>
      </c>
      <c r="L3948" s="27">
        <f>IF($A3948="","",TRIM(IF(ISERROR(FIND(",",$C3948)),$C3948,LEFT($C3948,FIND(",",$C3948)-1))))</f>
        <v/>
      </c>
      <c r="M3948" s="28">
        <f>IF($H3948="","",DATE(YEAR($H3948),MONTH($H3948),1))</f>
        <v/>
      </c>
      <c r="N3948" s="26">
        <f>IF($H3948="","",TODAY()-$H3948)</f>
        <v/>
      </c>
      <c r="O3948" s="15" t="n"/>
      <c r="P3948" s="26">
        <f>IF($A3948="","",COUNTIFS('Audit Versions'!$A$6:$A$605,$A3948,'Audit Versions'!$L$6:$L$605,"Active"))</f>
        <v/>
      </c>
      <c r="Q3948" s="15" t="n"/>
      <c r="R3948" s="26">
        <f>IF(OR($A3948="",$P3948=0),"",MOD(N($Q3948),$P3948)+1)</f>
        <v/>
      </c>
      <c r="S3948" s="15" t="n"/>
      <c r="T3948" s="25" t="n"/>
      <c r="U3948" s="26">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Builder'!$B$12="",N($S3948)&lt;='Assignment Builder'!$B$12)))</f>
        <v/>
      </c>
      <c r="V3948" s="23" t="n"/>
    </row>
    <row r="3949">
      <c r="A3949" s="23" t="n"/>
      <c r="B3949" s="23" t="n"/>
      <c r="C3949" s="24" t="n"/>
      <c r="D3949" s="15" t="n"/>
      <c r="E3949" s="23" t="n"/>
      <c r="F3949" s="15" t="n"/>
      <c r="G3949" s="23" t="n"/>
      <c r="H3949" s="25" t="n"/>
      <c r="I3949" s="15" t="n"/>
      <c r="J3949" s="26">
        <f>IF($A3949="","",LEN($C3949)-LEN(SUBSTITUTE($C3949,",",""))+1)</f>
        <v/>
      </c>
      <c r="K3949" s="26">
        <f>IF($A3949="","",SUMPRODUCT(--ISNUMBER(SEARCH('Category Dictionary'!$D$5:$D$135&amp;"",$C3949)),--('Category Dictionary'!$D$5:$D$135&lt;&gt;"")))</f>
        <v/>
      </c>
      <c r="L3949" s="27">
        <f>IF($A3949="","",TRIM(IF(ISERROR(FIND(",",$C3949)),$C3949,LEFT($C3949,FIND(",",$C3949)-1))))</f>
        <v/>
      </c>
      <c r="M3949" s="28">
        <f>IF($H3949="","",DATE(YEAR($H3949),MONTH($H3949),1))</f>
        <v/>
      </c>
      <c r="N3949" s="26">
        <f>IF($H3949="","",TODAY()-$H3949)</f>
        <v/>
      </c>
      <c r="O3949" s="15" t="n"/>
      <c r="P3949" s="26">
        <f>IF($A3949="","",COUNTIFS('Audit Versions'!$A$6:$A$605,$A3949,'Audit Versions'!$L$6:$L$605,"Active"))</f>
        <v/>
      </c>
      <c r="Q3949" s="15" t="n"/>
      <c r="R3949" s="26">
        <f>IF(OR($A3949="",$P3949=0),"",MOD(N($Q3949),$P3949)+1)</f>
        <v/>
      </c>
      <c r="S3949" s="15" t="n"/>
      <c r="T3949" s="25" t="n"/>
      <c r="U3949" s="26">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Builder'!$B$12="",N($S3949)&lt;='Assignment Builder'!$B$12)))</f>
        <v/>
      </c>
      <c r="V3949" s="23" t="n"/>
    </row>
    <row r="3950">
      <c r="A3950" s="23" t="n"/>
      <c r="B3950" s="23" t="n"/>
      <c r="C3950" s="24" t="n"/>
      <c r="D3950" s="15" t="n"/>
      <c r="E3950" s="23" t="n"/>
      <c r="F3950" s="15" t="n"/>
      <c r="G3950" s="23" t="n"/>
      <c r="H3950" s="25" t="n"/>
      <c r="I3950" s="15" t="n"/>
      <c r="J3950" s="26">
        <f>IF($A3950="","",LEN($C3950)-LEN(SUBSTITUTE($C3950,",",""))+1)</f>
        <v/>
      </c>
      <c r="K3950" s="26">
        <f>IF($A3950="","",SUMPRODUCT(--ISNUMBER(SEARCH('Category Dictionary'!$D$5:$D$135&amp;"",$C3950)),--('Category Dictionary'!$D$5:$D$135&lt;&gt;"")))</f>
        <v/>
      </c>
      <c r="L3950" s="27">
        <f>IF($A3950="","",TRIM(IF(ISERROR(FIND(",",$C3950)),$C3950,LEFT($C3950,FIND(",",$C3950)-1))))</f>
        <v/>
      </c>
      <c r="M3950" s="28">
        <f>IF($H3950="","",DATE(YEAR($H3950),MONTH($H3950),1))</f>
        <v/>
      </c>
      <c r="N3950" s="26">
        <f>IF($H3950="","",TODAY()-$H3950)</f>
        <v/>
      </c>
      <c r="O3950" s="15" t="n"/>
      <c r="P3950" s="26">
        <f>IF($A3950="","",COUNTIFS('Audit Versions'!$A$6:$A$605,$A3950,'Audit Versions'!$L$6:$L$605,"Active"))</f>
        <v/>
      </c>
      <c r="Q3950" s="15" t="n"/>
      <c r="R3950" s="26">
        <f>IF(OR($A3950="",$P3950=0),"",MOD(N($Q3950),$P3950)+1)</f>
        <v/>
      </c>
      <c r="S3950" s="15" t="n"/>
      <c r="T3950" s="25" t="n"/>
      <c r="U3950" s="26">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Builder'!$B$12="",N($S3950)&lt;='Assignment Builder'!$B$12)))</f>
        <v/>
      </c>
      <c r="V3950" s="23" t="n"/>
    </row>
    <row r="3951">
      <c r="A3951" s="23" t="n"/>
      <c r="B3951" s="23" t="n"/>
      <c r="C3951" s="24" t="n"/>
      <c r="D3951" s="15" t="n"/>
      <c r="E3951" s="23" t="n"/>
      <c r="F3951" s="15" t="n"/>
      <c r="G3951" s="23" t="n"/>
      <c r="H3951" s="25" t="n"/>
      <c r="I3951" s="15" t="n"/>
      <c r="J3951" s="26">
        <f>IF($A3951="","",LEN($C3951)-LEN(SUBSTITUTE($C3951,",",""))+1)</f>
        <v/>
      </c>
      <c r="K3951" s="26">
        <f>IF($A3951="","",SUMPRODUCT(--ISNUMBER(SEARCH('Category Dictionary'!$D$5:$D$135&amp;"",$C3951)),--('Category Dictionary'!$D$5:$D$135&lt;&gt;"")))</f>
        <v/>
      </c>
      <c r="L3951" s="27">
        <f>IF($A3951="","",TRIM(IF(ISERROR(FIND(",",$C3951)),$C3951,LEFT($C3951,FIND(",",$C3951)-1))))</f>
        <v/>
      </c>
      <c r="M3951" s="28">
        <f>IF($H3951="","",DATE(YEAR($H3951),MONTH($H3951),1))</f>
        <v/>
      </c>
      <c r="N3951" s="26">
        <f>IF($H3951="","",TODAY()-$H3951)</f>
        <v/>
      </c>
      <c r="O3951" s="15" t="n"/>
      <c r="P3951" s="26">
        <f>IF($A3951="","",COUNTIFS('Audit Versions'!$A$6:$A$605,$A3951,'Audit Versions'!$L$6:$L$605,"Active"))</f>
        <v/>
      </c>
      <c r="Q3951" s="15" t="n"/>
      <c r="R3951" s="26">
        <f>IF(OR($A3951="",$P3951=0),"",MOD(N($Q3951),$P3951)+1)</f>
        <v/>
      </c>
      <c r="S3951" s="15" t="n"/>
      <c r="T3951" s="25" t="n"/>
      <c r="U3951" s="26">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Builder'!$B$12="",N($S3951)&lt;='Assignment Builder'!$B$12)))</f>
        <v/>
      </c>
      <c r="V3951" s="23" t="n"/>
    </row>
    <row r="3952">
      <c r="A3952" s="23" t="n"/>
      <c r="B3952" s="23" t="n"/>
      <c r="C3952" s="24" t="n"/>
      <c r="D3952" s="15" t="n"/>
      <c r="E3952" s="23" t="n"/>
      <c r="F3952" s="15" t="n"/>
      <c r="G3952" s="23" t="n"/>
      <c r="H3952" s="25" t="n"/>
      <c r="I3952" s="15" t="n"/>
      <c r="J3952" s="26">
        <f>IF($A3952="","",LEN($C3952)-LEN(SUBSTITUTE($C3952,",",""))+1)</f>
        <v/>
      </c>
      <c r="K3952" s="26">
        <f>IF($A3952="","",SUMPRODUCT(--ISNUMBER(SEARCH('Category Dictionary'!$D$5:$D$135&amp;"",$C3952)),--('Category Dictionary'!$D$5:$D$135&lt;&gt;"")))</f>
        <v/>
      </c>
      <c r="L3952" s="27">
        <f>IF($A3952="","",TRIM(IF(ISERROR(FIND(",",$C3952)),$C3952,LEFT($C3952,FIND(",",$C3952)-1))))</f>
        <v/>
      </c>
      <c r="M3952" s="28">
        <f>IF($H3952="","",DATE(YEAR($H3952),MONTH($H3952),1))</f>
        <v/>
      </c>
      <c r="N3952" s="26">
        <f>IF($H3952="","",TODAY()-$H3952)</f>
        <v/>
      </c>
      <c r="O3952" s="15" t="n"/>
      <c r="P3952" s="26">
        <f>IF($A3952="","",COUNTIFS('Audit Versions'!$A$6:$A$605,$A3952,'Audit Versions'!$L$6:$L$605,"Active"))</f>
        <v/>
      </c>
      <c r="Q3952" s="15" t="n"/>
      <c r="R3952" s="26">
        <f>IF(OR($A3952="",$P3952=0),"",MOD(N($Q3952),$P3952)+1)</f>
        <v/>
      </c>
      <c r="S3952" s="15" t="n"/>
      <c r="T3952" s="25" t="n"/>
      <c r="U3952" s="26">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Builder'!$B$12="",N($S3952)&lt;='Assignment Builder'!$B$12)))</f>
        <v/>
      </c>
      <c r="V3952" s="23" t="n"/>
    </row>
    <row r="3953">
      <c r="A3953" s="23" t="n"/>
      <c r="B3953" s="23" t="n"/>
      <c r="C3953" s="24" t="n"/>
      <c r="D3953" s="15" t="n"/>
      <c r="E3953" s="23" t="n"/>
      <c r="F3953" s="15" t="n"/>
      <c r="G3953" s="23" t="n"/>
      <c r="H3953" s="25" t="n"/>
      <c r="I3953" s="15" t="n"/>
      <c r="J3953" s="26">
        <f>IF($A3953="","",LEN($C3953)-LEN(SUBSTITUTE($C3953,",",""))+1)</f>
        <v/>
      </c>
      <c r="K3953" s="26">
        <f>IF($A3953="","",SUMPRODUCT(--ISNUMBER(SEARCH('Category Dictionary'!$D$5:$D$135&amp;"",$C3953)),--('Category Dictionary'!$D$5:$D$135&lt;&gt;"")))</f>
        <v/>
      </c>
      <c r="L3953" s="27">
        <f>IF($A3953="","",TRIM(IF(ISERROR(FIND(",",$C3953)),$C3953,LEFT($C3953,FIND(",",$C3953)-1))))</f>
        <v/>
      </c>
      <c r="M3953" s="28">
        <f>IF($H3953="","",DATE(YEAR($H3953),MONTH($H3953),1))</f>
        <v/>
      </c>
      <c r="N3953" s="26">
        <f>IF($H3953="","",TODAY()-$H3953)</f>
        <v/>
      </c>
      <c r="O3953" s="15" t="n"/>
      <c r="P3953" s="26">
        <f>IF($A3953="","",COUNTIFS('Audit Versions'!$A$6:$A$605,$A3953,'Audit Versions'!$L$6:$L$605,"Active"))</f>
        <v/>
      </c>
      <c r="Q3953" s="15" t="n"/>
      <c r="R3953" s="26">
        <f>IF(OR($A3953="",$P3953=0),"",MOD(N($Q3953),$P3953)+1)</f>
        <v/>
      </c>
      <c r="S3953" s="15" t="n"/>
      <c r="T3953" s="25" t="n"/>
      <c r="U3953" s="26">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Builder'!$B$12="",N($S3953)&lt;='Assignment Builder'!$B$12)))</f>
        <v/>
      </c>
      <c r="V3953" s="23" t="n"/>
    </row>
    <row r="3954">
      <c r="A3954" s="23" t="n"/>
      <c r="B3954" s="23" t="n"/>
      <c r="C3954" s="24" t="n"/>
      <c r="D3954" s="15" t="n"/>
      <c r="E3954" s="23" t="n"/>
      <c r="F3954" s="15" t="n"/>
      <c r="G3954" s="23" t="n"/>
      <c r="H3954" s="25" t="n"/>
      <c r="I3954" s="15" t="n"/>
      <c r="J3954" s="26">
        <f>IF($A3954="","",LEN($C3954)-LEN(SUBSTITUTE($C3954,",",""))+1)</f>
        <v/>
      </c>
      <c r="K3954" s="26">
        <f>IF($A3954="","",SUMPRODUCT(--ISNUMBER(SEARCH('Category Dictionary'!$D$5:$D$135&amp;"",$C3954)),--('Category Dictionary'!$D$5:$D$135&lt;&gt;"")))</f>
        <v/>
      </c>
      <c r="L3954" s="27">
        <f>IF($A3954="","",TRIM(IF(ISERROR(FIND(",",$C3954)),$C3954,LEFT($C3954,FIND(",",$C3954)-1))))</f>
        <v/>
      </c>
      <c r="M3954" s="28">
        <f>IF($H3954="","",DATE(YEAR($H3954),MONTH($H3954),1))</f>
        <v/>
      </c>
      <c r="N3954" s="26">
        <f>IF($H3954="","",TODAY()-$H3954)</f>
        <v/>
      </c>
      <c r="O3954" s="15" t="n"/>
      <c r="P3954" s="26">
        <f>IF($A3954="","",COUNTIFS('Audit Versions'!$A$6:$A$605,$A3954,'Audit Versions'!$L$6:$L$605,"Active"))</f>
        <v/>
      </c>
      <c r="Q3954" s="15" t="n"/>
      <c r="R3954" s="26">
        <f>IF(OR($A3954="",$P3954=0),"",MOD(N($Q3954),$P3954)+1)</f>
        <v/>
      </c>
      <c r="S3954" s="15" t="n"/>
      <c r="T3954" s="25" t="n"/>
      <c r="U3954" s="26">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Builder'!$B$12="",N($S3954)&lt;='Assignment Builder'!$B$12)))</f>
        <v/>
      </c>
      <c r="V3954" s="23" t="n"/>
    </row>
    <row r="3955">
      <c r="A3955" s="23" t="n"/>
      <c r="B3955" s="23" t="n"/>
      <c r="C3955" s="24" t="n"/>
      <c r="D3955" s="15" t="n"/>
      <c r="E3955" s="23" t="n"/>
      <c r="F3955" s="15" t="n"/>
      <c r="G3955" s="23" t="n"/>
      <c r="H3955" s="25" t="n"/>
      <c r="I3955" s="15" t="n"/>
      <c r="J3955" s="26">
        <f>IF($A3955="","",LEN($C3955)-LEN(SUBSTITUTE($C3955,",",""))+1)</f>
        <v/>
      </c>
      <c r="K3955" s="26">
        <f>IF($A3955="","",SUMPRODUCT(--ISNUMBER(SEARCH('Category Dictionary'!$D$5:$D$135&amp;"",$C3955)),--('Category Dictionary'!$D$5:$D$135&lt;&gt;"")))</f>
        <v/>
      </c>
      <c r="L3955" s="27">
        <f>IF($A3955="","",TRIM(IF(ISERROR(FIND(",",$C3955)),$C3955,LEFT($C3955,FIND(",",$C3955)-1))))</f>
        <v/>
      </c>
      <c r="M3955" s="28">
        <f>IF($H3955="","",DATE(YEAR($H3955),MONTH($H3955),1))</f>
        <v/>
      </c>
      <c r="N3955" s="26">
        <f>IF($H3955="","",TODAY()-$H3955)</f>
        <v/>
      </c>
      <c r="O3955" s="15" t="n"/>
      <c r="P3955" s="26">
        <f>IF($A3955="","",COUNTIFS('Audit Versions'!$A$6:$A$605,$A3955,'Audit Versions'!$L$6:$L$605,"Active"))</f>
        <v/>
      </c>
      <c r="Q3955" s="15" t="n"/>
      <c r="R3955" s="26">
        <f>IF(OR($A3955="",$P3955=0),"",MOD(N($Q3955),$P3955)+1)</f>
        <v/>
      </c>
      <c r="S3955" s="15" t="n"/>
      <c r="T3955" s="25" t="n"/>
      <c r="U3955" s="26">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Builder'!$B$12="",N($S3955)&lt;='Assignment Builder'!$B$12)))</f>
        <v/>
      </c>
      <c r="V3955" s="23" t="n"/>
    </row>
    <row r="3956">
      <c r="A3956" s="23" t="n"/>
      <c r="B3956" s="23" t="n"/>
      <c r="C3956" s="24" t="n"/>
      <c r="D3956" s="15" t="n"/>
      <c r="E3956" s="23" t="n"/>
      <c r="F3956" s="15" t="n"/>
      <c r="G3956" s="23" t="n"/>
      <c r="H3956" s="25" t="n"/>
      <c r="I3956" s="15" t="n"/>
      <c r="J3956" s="26">
        <f>IF($A3956="","",LEN($C3956)-LEN(SUBSTITUTE($C3956,",",""))+1)</f>
        <v/>
      </c>
      <c r="K3956" s="26">
        <f>IF($A3956="","",SUMPRODUCT(--ISNUMBER(SEARCH('Category Dictionary'!$D$5:$D$135&amp;"",$C3956)),--('Category Dictionary'!$D$5:$D$135&lt;&gt;"")))</f>
        <v/>
      </c>
      <c r="L3956" s="27">
        <f>IF($A3956="","",TRIM(IF(ISERROR(FIND(",",$C3956)),$C3956,LEFT($C3956,FIND(",",$C3956)-1))))</f>
        <v/>
      </c>
      <c r="M3956" s="28">
        <f>IF($H3956="","",DATE(YEAR($H3956),MONTH($H3956),1))</f>
        <v/>
      </c>
      <c r="N3956" s="26">
        <f>IF($H3956="","",TODAY()-$H3956)</f>
        <v/>
      </c>
      <c r="O3956" s="15" t="n"/>
      <c r="P3956" s="26">
        <f>IF($A3956="","",COUNTIFS('Audit Versions'!$A$6:$A$605,$A3956,'Audit Versions'!$L$6:$L$605,"Active"))</f>
        <v/>
      </c>
      <c r="Q3956" s="15" t="n"/>
      <c r="R3956" s="26">
        <f>IF(OR($A3956="",$P3956=0),"",MOD(N($Q3956),$P3956)+1)</f>
        <v/>
      </c>
      <c r="S3956" s="15" t="n"/>
      <c r="T3956" s="25" t="n"/>
      <c r="U3956" s="26">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Builder'!$B$12="",N($S3956)&lt;='Assignment Builder'!$B$12)))</f>
        <v/>
      </c>
      <c r="V3956" s="23" t="n"/>
    </row>
    <row r="3957">
      <c r="A3957" s="23" t="n"/>
      <c r="B3957" s="23" t="n"/>
      <c r="C3957" s="24" t="n"/>
      <c r="D3957" s="15" t="n"/>
      <c r="E3957" s="23" t="n"/>
      <c r="F3957" s="15" t="n"/>
      <c r="G3957" s="23" t="n"/>
      <c r="H3957" s="25" t="n"/>
      <c r="I3957" s="15" t="n"/>
      <c r="J3957" s="26">
        <f>IF($A3957="","",LEN($C3957)-LEN(SUBSTITUTE($C3957,",",""))+1)</f>
        <v/>
      </c>
      <c r="K3957" s="26">
        <f>IF($A3957="","",SUMPRODUCT(--ISNUMBER(SEARCH('Category Dictionary'!$D$5:$D$135&amp;"",$C3957)),--('Category Dictionary'!$D$5:$D$135&lt;&gt;"")))</f>
        <v/>
      </c>
      <c r="L3957" s="27">
        <f>IF($A3957="","",TRIM(IF(ISERROR(FIND(",",$C3957)),$C3957,LEFT($C3957,FIND(",",$C3957)-1))))</f>
        <v/>
      </c>
      <c r="M3957" s="28">
        <f>IF($H3957="","",DATE(YEAR($H3957),MONTH($H3957),1))</f>
        <v/>
      </c>
      <c r="N3957" s="26">
        <f>IF($H3957="","",TODAY()-$H3957)</f>
        <v/>
      </c>
      <c r="O3957" s="15" t="n"/>
      <c r="P3957" s="26">
        <f>IF($A3957="","",COUNTIFS('Audit Versions'!$A$6:$A$605,$A3957,'Audit Versions'!$L$6:$L$605,"Active"))</f>
        <v/>
      </c>
      <c r="Q3957" s="15" t="n"/>
      <c r="R3957" s="26">
        <f>IF(OR($A3957="",$P3957=0),"",MOD(N($Q3957),$P3957)+1)</f>
        <v/>
      </c>
      <c r="S3957" s="15" t="n"/>
      <c r="T3957" s="25" t="n"/>
      <c r="U3957" s="26">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Builder'!$B$12="",N($S3957)&lt;='Assignment Builder'!$B$12)))</f>
        <v/>
      </c>
      <c r="V3957" s="23" t="n"/>
    </row>
    <row r="3958">
      <c r="A3958" s="23" t="n"/>
      <c r="B3958" s="23" t="n"/>
      <c r="C3958" s="24" t="n"/>
      <c r="D3958" s="15" t="n"/>
      <c r="E3958" s="23" t="n"/>
      <c r="F3958" s="15" t="n"/>
      <c r="G3958" s="23" t="n"/>
      <c r="H3958" s="25" t="n"/>
      <c r="I3958" s="15" t="n"/>
      <c r="J3958" s="26">
        <f>IF($A3958="","",LEN($C3958)-LEN(SUBSTITUTE($C3958,",",""))+1)</f>
        <v/>
      </c>
      <c r="K3958" s="26">
        <f>IF($A3958="","",SUMPRODUCT(--ISNUMBER(SEARCH('Category Dictionary'!$D$5:$D$135&amp;"",$C3958)),--('Category Dictionary'!$D$5:$D$135&lt;&gt;"")))</f>
        <v/>
      </c>
      <c r="L3958" s="27">
        <f>IF($A3958="","",TRIM(IF(ISERROR(FIND(",",$C3958)),$C3958,LEFT($C3958,FIND(",",$C3958)-1))))</f>
        <v/>
      </c>
      <c r="M3958" s="28">
        <f>IF($H3958="","",DATE(YEAR($H3958),MONTH($H3958),1))</f>
        <v/>
      </c>
      <c r="N3958" s="26">
        <f>IF($H3958="","",TODAY()-$H3958)</f>
        <v/>
      </c>
      <c r="O3958" s="15" t="n"/>
      <c r="P3958" s="26">
        <f>IF($A3958="","",COUNTIFS('Audit Versions'!$A$6:$A$605,$A3958,'Audit Versions'!$L$6:$L$605,"Active"))</f>
        <v/>
      </c>
      <c r="Q3958" s="15" t="n"/>
      <c r="R3958" s="26">
        <f>IF(OR($A3958="",$P3958=0),"",MOD(N($Q3958),$P3958)+1)</f>
        <v/>
      </c>
      <c r="S3958" s="15" t="n"/>
      <c r="T3958" s="25" t="n"/>
      <c r="U3958" s="26">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Builder'!$B$12="",N($S3958)&lt;='Assignment Builder'!$B$12)))</f>
        <v/>
      </c>
      <c r="V3958" s="23" t="n"/>
    </row>
    <row r="3959">
      <c r="A3959" s="23" t="n"/>
      <c r="B3959" s="23" t="n"/>
      <c r="C3959" s="24" t="n"/>
      <c r="D3959" s="15" t="n"/>
      <c r="E3959" s="23" t="n"/>
      <c r="F3959" s="15" t="n"/>
      <c r="G3959" s="23" t="n"/>
      <c r="H3959" s="25" t="n"/>
      <c r="I3959" s="15" t="n"/>
      <c r="J3959" s="26">
        <f>IF($A3959="","",LEN($C3959)-LEN(SUBSTITUTE($C3959,",",""))+1)</f>
        <v/>
      </c>
      <c r="K3959" s="26">
        <f>IF($A3959="","",SUMPRODUCT(--ISNUMBER(SEARCH('Category Dictionary'!$D$5:$D$135&amp;"",$C3959)),--('Category Dictionary'!$D$5:$D$135&lt;&gt;"")))</f>
        <v/>
      </c>
      <c r="L3959" s="27">
        <f>IF($A3959="","",TRIM(IF(ISERROR(FIND(",",$C3959)),$C3959,LEFT($C3959,FIND(",",$C3959)-1))))</f>
        <v/>
      </c>
      <c r="M3959" s="28">
        <f>IF($H3959="","",DATE(YEAR($H3959),MONTH($H3959),1))</f>
        <v/>
      </c>
      <c r="N3959" s="26">
        <f>IF($H3959="","",TODAY()-$H3959)</f>
        <v/>
      </c>
      <c r="O3959" s="15" t="n"/>
      <c r="P3959" s="26">
        <f>IF($A3959="","",COUNTIFS('Audit Versions'!$A$6:$A$605,$A3959,'Audit Versions'!$L$6:$L$605,"Active"))</f>
        <v/>
      </c>
      <c r="Q3959" s="15" t="n"/>
      <c r="R3959" s="26">
        <f>IF(OR($A3959="",$P3959=0),"",MOD(N($Q3959),$P3959)+1)</f>
        <v/>
      </c>
      <c r="S3959" s="15" t="n"/>
      <c r="T3959" s="25" t="n"/>
      <c r="U3959" s="26">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Builder'!$B$12="",N($S3959)&lt;='Assignment Builder'!$B$12)))</f>
        <v/>
      </c>
      <c r="V3959" s="23" t="n"/>
    </row>
    <row r="3960">
      <c r="A3960" s="23" t="n"/>
      <c r="B3960" s="23" t="n"/>
      <c r="C3960" s="24" t="n"/>
      <c r="D3960" s="15" t="n"/>
      <c r="E3960" s="23" t="n"/>
      <c r="F3960" s="15" t="n"/>
      <c r="G3960" s="23" t="n"/>
      <c r="H3960" s="25" t="n"/>
      <c r="I3960" s="15" t="n"/>
      <c r="J3960" s="26">
        <f>IF($A3960="","",LEN($C3960)-LEN(SUBSTITUTE($C3960,",",""))+1)</f>
        <v/>
      </c>
      <c r="K3960" s="26">
        <f>IF($A3960="","",SUMPRODUCT(--ISNUMBER(SEARCH('Category Dictionary'!$D$5:$D$135&amp;"",$C3960)),--('Category Dictionary'!$D$5:$D$135&lt;&gt;"")))</f>
        <v/>
      </c>
      <c r="L3960" s="27">
        <f>IF($A3960="","",TRIM(IF(ISERROR(FIND(",",$C3960)),$C3960,LEFT($C3960,FIND(",",$C3960)-1))))</f>
        <v/>
      </c>
      <c r="M3960" s="28">
        <f>IF($H3960="","",DATE(YEAR($H3960),MONTH($H3960),1))</f>
        <v/>
      </c>
      <c r="N3960" s="26">
        <f>IF($H3960="","",TODAY()-$H3960)</f>
        <v/>
      </c>
      <c r="O3960" s="15" t="n"/>
      <c r="P3960" s="26">
        <f>IF($A3960="","",COUNTIFS('Audit Versions'!$A$6:$A$605,$A3960,'Audit Versions'!$L$6:$L$605,"Active"))</f>
        <v/>
      </c>
      <c r="Q3960" s="15" t="n"/>
      <c r="R3960" s="26">
        <f>IF(OR($A3960="",$P3960=0),"",MOD(N($Q3960),$P3960)+1)</f>
        <v/>
      </c>
      <c r="S3960" s="15" t="n"/>
      <c r="T3960" s="25" t="n"/>
      <c r="U3960" s="26">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Builder'!$B$12="",N($S3960)&lt;='Assignment Builder'!$B$12)))</f>
        <v/>
      </c>
      <c r="V3960" s="23" t="n"/>
    </row>
    <row r="3961">
      <c r="A3961" s="23" t="n"/>
      <c r="B3961" s="23" t="n"/>
      <c r="C3961" s="24" t="n"/>
      <c r="D3961" s="15" t="n"/>
      <c r="E3961" s="23" t="n"/>
      <c r="F3961" s="15" t="n"/>
      <c r="G3961" s="23" t="n"/>
      <c r="H3961" s="25" t="n"/>
      <c r="I3961" s="15" t="n"/>
      <c r="J3961" s="26">
        <f>IF($A3961="","",LEN($C3961)-LEN(SUBSTITUTE($C3961,",",""))+1)</f>
        <v/>
      </c>
      <c r="K3961" s="26">
        <f>IF($A3961="","",SUMPRODUCT(--ISNUMBER(SEARCH('Category Dictionary'!$D$5:$D$135&amp;"",$C3961)),--('Category Dictionary'!$D$5:$D$135&lt;&gt;"")))</f>
        <v/>
      </c>
      <c r="L3961" s="27">
        <f>IF($A3961="","",TRIM(IF(ISERROR(FIND(",",$C3961)),$C3961,LEFT($C3961,FIND(",",$C3961)-1))))</f>
        <v/>
      </c>
      <c r="M3961" s="28">
        <f>IF($H3961="","",DATE(YEAR($H3961),MONTH($H3961),1))</f>
        <v/>
      </c>
      <c r="N3961" s="26">
        <f>IF($H3961="","",TODAY()-$H3961)</f>
        <v/>
      </c>
      <c r="O3961" s="15" t="n"/>
      <c r="P3961" s="26">
        <f>IF($A3961="","",COUNTIFS('Audit Versions'!$A$6:$A$605,$A3961,'Audit Versions'!$L$6:$L$605,"Active"))</f>
        <v/>
      </c>
      <c r="Q3961" s="15" t="n"/>
      <c r="R3961" s="26">
        <f>IF(OR($A3961="",$P3961=0),"",MOD(N($Q3961),$P3961)+1)</f>
        <v/>
      </c>
      <c r="S3961" s="15" t="n"/>
      <c r="T3961" s="25" t="n"/>
      <c r="U3961" s="26">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Builder'!$B$12="",N($S3961)&lt;='Assignment Builder'!$B$12)))</f>
        <v/>
      </c>
      <c r="V3961" s="23" t="n"/>
    </row>
    <row r="3962">
      <c r="A3962" s="23" t="n"/>
      <c r="B3962" s="23" t="n"/>
      <c r="C3962" s="24" t="n"/>
      <c r="D3962" s="15" t="n"/>
      <c r="E3962" s="23" t="n"/>
      <c r="F3962" s="15" t="n"/>
      <c r="G3962" s="23" t="n"/>
      <c r="H3962" s="25" t="n"/>
      <c r="I3962" s="15" t="n"/>
      <c r="J3962" s="26">
        <f>IF($A3962="","",LEN($C3962)-LEN(SUBSTITUTE($C3962,",",""))+1)</f>
        <v/>
      </c>
      <c r="K3962" s="26">
        <f>IF($A3962="","",SUMPRODUCT(--ISNUMBER(SEARCH('Category Dictionary'!$D$5:$D$135&amp;"",$C3962)),--('Category Dictionary'!$D$5:$D$135&lt;&gt;"")))</f>
        <v/>
      </c>
      <c r="L3962" s="27">
        <f>IF($A3962="","",TRIM(IF(ISERROR(FIND(",",$C3962)),$C3962,LEFT($C3962,FIND(",",$C3962)-1))))</f>
        <v/>
      </c>
      <c r="M3962" s="28">
        <f>IF($H3962="","",DATE(YEAR($H3962),MONTH($H3962),1))</f>
        <v/>
      </c>
      <c r="N3962" s="26">
        <f>IF($H3962="","",TODAY()-$H3962)</f>
        <v/>
      </c>
      <c r="O3962" s="15" t="n"/>
      <c r="P3962" s="26">
        <f>IF($A3962="","",COUNTIFS('Audit Versions'!$A$6:$A$605,$A3962,'Audit Versions'!$L$6:$L$605,"Active"))</f>
        <v/>
      </c>
      <c r="Q3962" s="15" t="n"/>
      <c r="R3962" s="26">
        <f>IF(OR($A3962="",$P3962=0),"",MOD(N($Q3962),$P3962)+1)</f>
        <v/>
      </c>
      <c r="S3962" s="15" t="n"/>
      <c r="T3962" s="25" t="n"/>
      <c r="U3962" s="26">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Builder'!$B$12="",N($S3962)&lt;='Assignment Builder'!$B$12)))</f>
        <v/>
      </c>
      <c r="V3962" s="23" t="n"/>
    </row>
    <row r="3963">
      <c r="A3963" s="23" t="n"/>
      <c r="B3963" s="23" t="n"/>
      <c r="C3963" s="24" t="n"/>
      <c r="D3963" s="15" t="n"/>
      <c r="E3963" s="23" t="n"/>
      <c r="F3963" s="15" t="n"/>
      <c r="G3963" s="23" t="n"/>
      <c r="H3963" s="25" t="n"/>
      <c r="I3963" s="15" t="n"/>
      <c r="J3963" s="26">
        <f>IF($A3963="","",LEN($C3963)-LEN(SUBSTITUTE($C3963,",",""))+1)</f>
        <v/>
      </c>
      <c r="K3963" s="26">
        <f>IF($A3963="","",SUMPRODUCT(--ISNUMBER(SEARCH('Category Dictionary'!$D$5:$D$135&amp;"",$C3963)),--('Category Dictionary'!$D$5:$D$135&lt;&gt;"")))</f>
        <v/>
      </c>
      <c r="L3963" s="27">
        <f>IF($A3963="","",TRIM(IF(ISERROR(FIND(",",$C3963)),$C3963,LEFT($C3963,FIND(",",$C3963)-1))))</f>
        <v/>
      </c>
      <c r="M3963" s="28">
        <f>IF($H3963="","",DATE(YEAR($H3963),MONTH($H3963),1))</f>
        <v/>
      </c>
      <c r="N3963" s="26">
        <f>IF($H3963="","",TODAY()-$H3963)</f>
        <v/>
      </c>
      <c r="O3963" s="15" t="n"/>
      <c r="P3963" s="26">
        <f>IF($A3963="","",COUNTIFS('Audit Versions'!$A$6:$A$605,$A3963,'Audit Versions'!$L$6:$L$605,"Active"))</f>
        <v/>
      </c>
      <c r="Q3963" s="15" t="n"/>
      <c r="R3963" s="26">
        <f>IF(OR($A3963="",$P3963=0),"",MOD(N($Q3963),$P3963)+1)</f>
        <v/>
      </c>
      <c r="S3963" s="15" t="n"/>
      <c r="T3963" s="25" t="n"/>
      <c r="U3963" s="26">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Builder'!$B$12="",N($S3963)&lt;='Assignment Builder'!$B$12)))</f>
        <v/>
      </c>
      <c r="V3963" s="23" t="n"/>
    </row>
    <row r="3964">
      <c r="A3964" s="23" t="n"/>
      <c r="B3964" s="23" t="n"/>
      <c r="C3964" s="24" t="n"/>
      <c r="D3964" s="15" t="n"/>
      <c r="E3964" s="23" t="n"/>
      <c r="F3964" s="15" t="n"/>
      <c r="G3964" s="23" t="n"/>
      <c r="H3964" s="25" t="n"/>
      <c r="I3964" s="15" t="n"/>
      <c r="J3964" s="26">
        <f>IF($A3964="","",LEN($C3964)-LEN(SUBSTITUTE($C3964,",",""))+1)</f>
        <v/>
      </c>
      <c r="K3964" s="26">
        <f>IF($A3964="","",SUMPRODUCT(--ISNUMBER(SEARCH('Category Dictionary'!$D$5:$D$135&amp;"",$C3964)),--('Category Dictionary'!$D$5:$D$135&lt;&gt;"")))</f>
        <v/>
      </c>
      <c r="L3964" s="27">
        <f>IF($A3964="","",TRIM(IF(ISERROR(FIND(",",$C3964)),$C3964,LEFT($C3964,FIND(",",$C3964)-1))))</f>
        <v/>
      </c>
      <c r="M3964" s="28">
        <f>IF($H3964="","",DATE(YEAR($H3964),MONTH($H3964),1))</f>
        <v/>
      </c>
      <c r="N3964" s="26">
        <f>IF($H3964="","",TODAY()-$H3964)</f>
        <v/>
      </c>
      <c r="O3964" s="15" t="n"/>
      <c r="P3964" s="26">
        <f>IF($A3964="","",COUNTIFS('Audit Versions'!$A$6:$A$605,$A3964,'Audit Versions'!$L$6:$L$605,"Active"))</f>
        <v/>
      </c>
      <c r="Q3964" s="15" t="n"/>
      <c r="R3964" s="26">
        <f>IF(OR($A3964="",$P3964=0),"",MOD(N($Q3964),$P3964)+1)</f>
        <v/>
      </c>
      <c r="S3964" s="15" t="n"/>
      <c r="T3964" s="25" t="n"/>
      <c r="U3964" s="26">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Builder'!$B$12="",N($S3964)&lt;='Assignment Builder'!$B$12)))</f>
        <v/>
      </c>
      <c r="V3964" s="23" t="n"/>
    </row>
    <row r="3965">
      <c r="A3965" s="23" t="n"/>
      <c r="B3965" s="23" t="n"/>
      <c r="C3965" s="24" t="n"/>
      <c r="D3965" s="15" t="n"/>
      <c r="E3965" s="23" t="n"/>
      <c r="F3965" s="15" t="n"/>
      <c r="G3965" s="23" t="n"/>
      <c r="H3965" s="25" t="n"/>
      <c r="I3965" s="15" t="n"/>
      <c r="J3965" s="26">
        <f>IF($A3965="","",LEN($C3965)-LEN(SUBSTITUTE($C3965,",",""))+1)</f>
        <v/>
      </c>
      <c r="K3965" s="26">
        <f>IF($A3965="","",SUMPRODUCT(--ISNUMBER(SEARCH('Category Dictionary'!$D$5:$D$135&amp;"",$C3965)),--('Category Dictionary'!$D$5:$D$135&lt;&gt;"")))</f>
        <v/>
      </c>
      <c r="L3965" s="27">
        <f>IF($A3965="","",TRIM(IF(ISERROR(FIND(",",$C3965)),$C3965,LEFT($C3965,FIND(",",$C3965)-1))))</f>
        <v/>
      </c>
      <c r="M3965" s="28">
        <f>IF($H3965="","",DATE(YEAR($H3965),MONTH($H3965),1))</f>
        <v/>
      </c>
      <c r="N3965" s="26">
        <f>IF($H3965="","",TODAY()-$H3965)</f>
        <v/>
      </c>
      <c r="O3965" s="15" t="n"/>
      <c r="P3965" s="26">
        <f>IF($A3965="","",COUNTIFS('Audit Versions'!$A$6:$A$605,$A3965,'Audit Versions'!$L$6:$L$605,"Active"))</f>
        <v/>
      </c>
      <c r="Q3965" s="15" t="n"/>
      <c r="R3965" s="26">
        <f>IF(OR($A3965="",$P3965=0),"",MOD(N($Q3965),$P3965)+1)</f>
        <v/>
      </c>
      <c r="S3965" s="15" t="n"/>
      <c r="T3965" s="25" t="n"/>
      <c r="U3965" s="26">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Builder'!$B$12="",N($S3965)&lt;='Assignment Builder'!$B$12)))</f>
        <v/>
      </c>
      <c r="V3965" s="23" t="n"/>
    </row>
    <row r="3966">
      <c r="A3966" s="23" t="n"/>
      <c r="B3966" s="23" t="n"/>
      <c r="C3966" s="24" t="n"/>
      <c r="D3966" s="15" t="n"/>
      <c r="E3966" s="23" t="n"/>
      <c r="F3966" s="15" t="n"/>
      <c r="G3966" s="23" t="n"/>
      <c r="H3966" s="25" t="n"/>
      <c r="I3966" s="15" t="n"/>
      <c r="J3966" s="26">
        <f>IF($A3966="","",LEN($C3966)-LEN(SUBSTITUTE($C3966,",",""))+1)</f>
        <v/>
      </c>
      <c r="K3966" s="26">
        <f>IF($A3966="","",SUMPRODUCT(--ISNUMBER(SEARCH('Category Dictionary'!$D$5:$D$135&amp;"",$C3966)),--('Category Dictionary'!$D$5:$D$135&lt;&gt;"")))</f>
        <v/>
      </c>
      <c r="L3966" s="27">
        <f>IF($A3966="","",TRIM(IF(ISERROR(FIND(",",$C3966)),$C3966,LEFT($C3966,FIND(",",$C3966)-1))))</f>
        <v/>
      </c>
      <c r="M3966" s="28">
        <f>IF($H3966="","",DATE(YEAR($H3966),MONTH($H3966),1))</f>
        <v/>
      </c>
      <c r="N3966" s="26">
        <f>IF($H3966="","",TODAY()-$H3966)</f>
        <v/>
      </c>
      <c r="O3966" s="15" t="n"/>
      <c r="P3966" s="26">
        <f>IF($A3966="","",COUNTIFS('Audit Versions'!$A$6:$A$605,$A3966,'Audit Versions'!$L$6:$L$605,"Active"))</f>
        <v/>
      </c>
      <c r="Q3966" s="15" t="n"/>
      <c r="R3966" s="26">
        <f>IF(OR($A3966="",$P3966=0),"",MOD(N($Q3966),$P3966)+1)</f>
        <v/>
      </c>
      <c r="S3966" s="15" t="n"/>
      <c r="T3966" s="25" t="n"/>
      <c r="U3966" s="26">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Builder'!$B$12="",N($S3966)&lt;='Assignment Builder'!$B$12)))</f>
        <v/>
      </c>
      <c r="V3966" s="23" t="n"/>
    </row>
    <row r="3967">
      <c r="A3967" s="23" t="n"/>
      <c r="B3967" s="23" t="n"/>
      <c r="C3967" s="24" t="n"/>
      <c r="D3967" s="15" t="n"/>
      <c r="E3967" s="23" t="n"/>
      <c r="F3967" s="15" t="n"/>
      <c r="G3967" s="23" t="n"/>
      <c r="H3967" s="25" t="n"/>
      <c r="I3967" s="15" t="n"/>
      <c r="J3967" s="26">
        <f>IF($A3967="","",LEN($C3967)-LEN(SUBSTITUTE($C3967,",",""))+1)</f>
        <v/>
      </c>
      <c r="K3967" s="26">
        <f>IF($A3967="","",SUMPRODUCT(--ISNUMBER(SEARCH('Category Dictionary'!$D$5:$D$135&amp;"",$C3967)),--('Category Dictionary'!$D$5:$D$135&lt;&gt;"")))</f>
        <v/>
      </c>
      <c r="L3967" s="27">
        <f>IF($A3967="","",TRIM(IF(ISERROR(FIND(",",$C3967)),$C3967,LEFT($C3967,FIND(",",$C3967)-1))))</f>
        <v/>
      </c>
      <c r="M3967" s="28">
        <f>IF($H3967="","",DATE(YEAR($H3967),MONTH($H3967),1))</f>
        <v/>
      </c>
      <c r="N3967" s="26">
        <f>IF($H3967="","",TODAY()-$H3967)</f>
        <v/>
      </c>
      <c r="O3967" s="15" t="n"/>
      <c r="P3967" s="26">
        <f>IF($A3967="","",COUNTIFS('Audit Versions'!$A$6:$A$605,$A3967,'Audit Versions'!$L$6:$L$605,"Active"))</f>
        <v/>
      </c>
      <c r="Q3967" s="15" t="n"/>
      <c r="R3967" s="26">
        <f>IF(OR($A3967="",$P3967=0),"",MOD(N($Q3967),$P3967)+1)</f>
        <v/>
      </c>
      <c r="S3967" s="15" t="n"/>
      <c r="T3967" s="25" t="n"/>
      <c r="U3967" s="26">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Builder'!$B$12="",N($S3967)&lt;='Assignment Builder'!$B$12)))</f>
        <v/>
      </c>
      <c r="V3967" s="23" t="n"/>
    </row>
    <row r="3968">
      <c r="A3968" s="23" t="n"/>
      <c r="B3968" s="23" t="n"/>
      <c r="C3968" s="24" t="n"/>
      <c r="D3968" s="15" t="n"/>
      <c r="E3968" s="23" t="n"/>
      <c r="F3968" s="15" t="n"/>
      <c r="G3968" s="23" t="n"/>
      <c r="H3968" s="25" t="n"/>
      <c r="I3968" s="15" t="n"/>
      <c r="J3968" s="26">
        <f>IF($A3968="","",LEN($C3968)-LEN(SUBSTITUTE($C3968,",",""))+1)</f>
        <v/>
      </c>
      <c r="K3968" s="26">
        <f>IF($A3968="","",SUMPRODUCT(--ISNUMBER(SEARCH('Category Dictionary'!$D$5:$D$135&amp;"",$C3968)),--('Category Dictionary'!$D$5:$D$135&lt;&gt;"")))</f>
        <v/>
      </c>
      <c r="L3968" s="27">
        <f>IF($A3968="","",TRIM(IF(ISERROR(FIND(",",$C3968)),$C3968,LEFT($C3968,FIND(",",$C3968)-1))))</f>
        <v/>
      </c>
      <c r="M3968" s="28">
        <f>IF($H3968="","",DATE(YEAR($H3968),MONTH($H3968),1))</f>
        <v/>
      </c>
      <c r="N3968" s="26">
        <f>IF($H3968="","",TODAY()-$H3968)</f>
        <v/>
      </c>
      <c r="O3968" s="15" t="n"/>
      <c r="P3968" s="26">
        <f>IF($A3968="","",COUNTIFS('Audit Versions'!$A$6:$A$605,$A3968,'Audit Versions'!$L$6:$L$605,"Active"))</f>
        <v/>
      </c>
      <c r="Q3968" s="15" t="n"/>
      <c r="R3968" s="26">
        <f>IF(OR($A3968="",$P3968=0),"",MOD(N($Q3968),$P3968)+1)</f>
        <v/>
      </c>
      <c r="S3968" s="15" t="n"/>
      <c r="T3968" s="25" t="n"/>
      <c r="U3968" s="26">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Builder'!$B$12="",N($S3968)&lt;='Assignment Builder'!$B$12)))</f>
        <v/>
      </c>
      <c r="V3968" s="23" t="n"/>
    </row>
    <row r="3969">
      <c r="A3969" s="23" t="n"/>
      <c r="B3969" s="23" t="n"/>
      <c r="C3969" s="24" t="n"/>
      <c r="D3969" s="15" t="n"/>
      <c r="E3969" s="23" t="n"/>
      <c r="F3969" s="15" t="n"/>
      <c r="G3969" s="23" t="n"/>
      <c r="H3969" s="25" t="n"/>
      <c r="I3969" s="15" t="n"/>
      <c r="J3969" s="26">
        <f>IF($A3969="","",LEN($C3969)-LEN(SUBSTITUTE($C3969,",",""))+1)</f>
        <v/>
      </c>
      <c r="K3969" s="26">
        <f>IF($A3969="","",SUMPRODUCT(--ISNUMBER(SEARCH('Category Dictionary'!$D$5:$D$135&amp;"",$C3969)),--('Category Dictionary'!$D$5:$D$135&lt;&gt;"")))</f>
        <v/>
      </c>
      <c r="L3969" s="27">
        <f>IF($A3969="","",TRIM(IF(ISERROR(FIND(",",$C3969)),$C3969,LEFT($C3969,FIND(",",$C3969)-1))))</f>
        <v/>
      </c>
      <c r="M3969" s="28">
        <f>IF($H3969="","",DATE(YEAR($H3969),MONTH($H3969),1))</f>
        <v/>
      </c>
      <c r="N3969" s="26">
        <f>IF($H3969="","",TODAY()-$H3969)</f>
        <v/>
      </c>
      <c r="O3969" s="15" t="n"/>
      <c r="P3969" s="26">
        <f>IF($A3969="","",COUNTIFS('Audit Versions'!$A$6:$A$605,$A3969,'Audit Versions'!$L$6:$L$605,"Active"))</f>
        <v/>
      </c>
      <c r="Q3969" s="15" t="n"/>
      <c r="R3969" s="26">
        <f>IF(OR($A3969="",$P3969=0),"",MOD(N($Q3969),$P3969)+1)</f>
        <v/>
      </c>
      <c r="S3969" s="15" t="n"/>
      <c r="T3969" s="25" t="n"/>
      <c r="U3969" s="26">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Builder'!$B$12="",N($S3969)&lt;='Assignment Builder'!$B$12)))</f>
        <v/>
      </c>
      <c r="V3969" s="23" t="n"/>
    </row>
    <row r="3970">
      <c r="A3970" s="23" t="n"/>
      <c r="B3970" s="23" t="n"/>
      <c r="C3970" s="24" t="n"/>
      <c r="D3970" s="15" t="n"/>
      <c r="E3970" s="23" t="n"/>
      <c r="F3970" s="15" t="n"/>
      <c r="G3970" s="23" t="n"/>
      <c r="H3970" s="25" t="n"/>
      <c r="I3970" s="15" t="n"/>
      <c r="J3970" s="26">
        <f>IF($A3970="","",LEN($C3970)-LEN(SUBSTITUTE($C3970,",",""))+1)</f>
        <v/>
      </c>
      <c r="K3970" s="26">
        <f>IF($A3970="","",SUMPRODUCT(--ISNUMBER(SEARCH('Category Dictionary'!$D$5:$D$135&amp;"",$C3970)),--('Category Dictionary'!$D$5:$D$135&lt;&gt;"")))</f>
        <v/>
      </c>
      <c r="L3970" s="27">
        <f>IF($A3970="","",TRIM(IF(ISERROR(FIND(",",$C3970)),$C3970,LEFT($C3970,FIND(",",$C3970)-1))))</f>
        <v/>
      </c>
      <c r="M3970" s="28">
        <f>IF($H3970="","",DATE(YEAR($H3970),MONTH($H3970),1))</f>
        <v/>
      </c>
      <c r="N3970" s="26">
        <f>IF($H3970="","",TODAY()-$H3970)</f>
        <v/>
      </c>
      <c r="O3970" s="15" t="n"/>
      <c r="P3970" s="26">
        <f>IF($A3970="","",COUNTIFS('Audit Versions'!$A$6:$A$605,$A3970,'Audit Versions'!$L$6:$L$605,"Active"))</f>
        <v/>
      </c>
      <c r="Q3970" s="15" t="n"/>
      <c r="R3970" s="26">
        <f>IF(OR($A3970="",$P3970=0),"",MOD(N($Q3970),$P3970)+1)</f>
        <v/>
      </c>
      <c r="S3970" s="15" t="n"/>
      <c r="T3970" s="25" t="n"/>
      <c r="U3970" s="26">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Builder'!$B$12="",N($S3970)&lt;='Assignment Builder'!$B$12)))</f>
        <v/>
      </c>
      <c r="V3970" s="23" t="n"/>
    </row>
    <row r="3971">
      <c r="A3971" s="23" t="n"/>
      <c r="B3971" s="23" t="n"/>
      <c r="C3971" s="24" t="n"/>
      <c r="D3971" s="15" t="n"/>
      <c r="E3971" s="23" t="n"/>
      <c r="F3971" s="15" t="n"/>
      <c r="G3971" s="23" t="n"/>
      <c r="H3971" s="25" t="n"/>
      <c r="I3971" s="15" t="n"/>
      <c r="J3971" s="26">
        <f>IF($A3971="","",LEN($C3971)-LEN(SUBSTITUTE($C3971,",",""))+1)</f>
        <v/>
      </c>
      <c r="K3971" s="26">
        <f>IF($A3971="","",SUMPRODUCT(--ISNUMBER(SEARCH('Category Dictionary'!$D$5:$D$135&amp;"",$C3971)),--('Category Dictionary'!$D$5:$D$135&lt;&gt;"")))</f>
        <v/>
      </c>
      <c r="L3971" s="27">
        <f>IF($A3971="","",TRIM(IF(ISERROR(FIND(",",$C3971)),$C3971,LEFT($C3971,FIND(",",$C3971)-1))))</f>
        <v/>
      </c>
      <c r="M3971" s="28">
        <f>IF($H3971="","",DATE(YEAR($H3971),MONTH($H3971),1))</f>
        <v/>
      </c>
      <c r="N3971" s="26">
        <f>IF($H3971="","",TODAY()-$H3971)</f>
        <v/>
      </c>
      <c r="O3971" s="15" t="n"/>
      <c r="P3971" s="26">
        <f>IF($A3971="","",COUNTIFS('Audit Versions'!$A$6:$A$605,$A3971,'Audit Versions'!$L$6:$L$605,"Active"))</f>
        <v/>
      </c>
      <c r="Q3971" s="15" t="n"/>
      <c r="R3971" s="26">
        <f>IF(OR($A3971="",$P3971=0),"",MOD(N($Q3971),$P3971)+1)</f>
        <v/>
      </c>
      <c r="S3971" s="15" t="n"/>
      <c r="T3971" s="25" t="n"/>
      <c r="U3971" s="26">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Builder'!$B$12="",N($S3971)&lt;='Assignment Builder'!$B$12)))</f>
        <v/>
      </c>
      <c r="V3971" s="23" t="n"/>
    </row>
    <row r="3972">
      <c r="A3972" s="23" t="n"/>
      <c r="B3972" s="23" t="n"/>
      <c r="C3972" s="24" t="n"/>
      <c r="D3972" s="15" t="n"/>
      <c r="E3972" s="23" t="n"/>
      <c r="F3972" s="15" t="n"/>
      <c r="G3972" s="23" t="n"/>
      <c r="H3972" s="25" t="n"/>
      <c r="I3972" s="15" t="n"/>
      <c r="J3972" s="26">
        <f>IF($A3972="","",LEN($C3972)-LEN(SUBSTITUTE($C3972,",",""))+1)</f>
        <v/>
      </c>
      <c r="K3972" s="26">
        <f>IF($A3972="","",SUMPRODUCT(--ISNUMBER(SEARCH('Category Dictionary'!$D$5:$D$135&amp;"",$C3972)),--('Category Dictionary'!$D$5:$D$135&lt;&gt;"")))</f>
        <v/>
      </c>
      <c r="L3972" s="27">
        <f>IF($A3972="","",TRIM(IF(ISERROR(FIND(",",$C3972)),$C3972,LEFT($C3972,FIND(",",$C3972)-1))))</f>
        <v/>
      </c>
      <c r="M3972" s="28">
        <f>IF($H3972="","",DATE(YEAR($H3972),MONTH($H3972),1))</f>
        <v/>
      </c>
      <c r="N3972" s="26">
        <f>IF($H3972="","",TODAY()-$H3972)</f>
        <v/>
      </c>
      <c r="O3972" s="15" t="n"/>
      <c r="P3972" s="26">
        <f>IF($A3972="","",COUNTIFS('Audit Versions'!$A$6:$A$605,$A3972,'Audit Versions'!$L$6:$L$605,"Active"))</f>
        <v/>
      </c>
      <c r="Q3972" s="15" t="n"/>
      <c r="R3972" s="26">
        <f>IF(OR($A3972="",$P3972=0),"",MOD(N($Q3972),$P3972)+1)</f>
        <v/>
      </c>
      <c r="S3972" s="15" t="n"/>
      <c r="T3972" s="25" t="n"/>
      <c r="U3972" s="26">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Builder'!$B$12="",N($S3972)&lt;='Assignment Builder'!$B$12)))</f>
        <v/>
      </c>
      <c r="V3972" s="23" t="n"/>
    </row>
    <row r="3973">
      <c r="A3973" s="23" t="n"/>
      <c r="B3973" s="23" t="n"/>
      <c r="C3973" s="24" t="n"/>
      <c r="D3973" s="15" t="n"/>
      <c r="E3973" s="23" t="n"/>
      <c r="F3973" s="15" t="n"/>
      <c r="G3973" s="23" t="n"/>
      <c r="H3973" s="25" t="n"/>
      <c r="I3973" s="15" t="n"/>
      <c r="J3973" s="26">
        <f>IF($A3973="","",LEN($C3973)-LEN(SUBSTITUTE($C3973,",",""))+1)</f>
        <v/>
      </c>
      <c r="K3973" s="26">
        <f>IF($A3973="","",SUMPRODUCT(--ISNUMBER(SEARCH('Category Dictionary'!$D$5:$D$135&amp;"",$C3973)),--('Category Dictionary'!$D$5:$D$135&lt;&gt;"")))</f>
        <v/>
      </c>
      <c r="L3973" s="27">
        <f>IF($A3973="","",TRIM(IF(ISERROR(FIND(",",$C3973)),$C3973,LEFT($C3973,FIND(",",$C3973)-1))))</f>
        <v/>
      </c>
      <c r="M3973" s="28">
        <f>IF($H3973="","",DATE(YEAR($H3973),MONTH($H3973),1))</f>
        <v/>
      </c>
      <c r="N3973" s="26">
        <f>IF($H3973="","",TODAY()-$H3973)</f>
        <v/>
      </c>
      <c r="O3973" s="15" t="n"/>
      <c r="P3973" s="26">
        <f>IF($A3973="","",COUNTIFS('Audit Versions'!$A$6:$A$605,$A3973,'Audit Versions'!$L$6:$L$605,"Active"))</f>
        <v/>
      </c>
      <c r="Q3973" s="15" t="n"/>
      <c r="R3973" s="26">
        <f>IF(OR($A3973="",$P3973=0),"",MOD(N($Q3973),$P3973)+1)</f>
        <v/>
      </c>
      <c r="S3973" s="15" t="n"/>
      <c r="T3973" s="25" t="n"/>
      <c r="U3973" s="26">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Builder'!$B$12="",N($S3973)&lt;='Assignment Builder'!$B$12)))</f>
        <v/>
      </c>
      <c r="V3973" s="23" t="n"/>
    </row>
    <row r="3974">
      <c r="A3974" s="23" t="n"/>
      <c r="B3974" s="23" t="n"/>
      <c r="C3974" s="24" t="n"/>
      <c r="D3974" s="15" t="n"/>
      <c r="E3974" s="23" t="n"/>
      <c r="F3974" s="15" t="n"/>
      <c r="G3974" s="23" t="n"/>
      <c r="H3974" s="25" t="n"/>
      <c r="I3974" s="15" t="n"/>
      <c r="J3974" s="26">
        <f>IF($A3974="","",LEN($C3974)-LEN(SUBSTITUTE($C3974,",",""))+1)</f>
        <v/>
      </c>
      <c r="K3974" s="26">
        <f>IF($A3974="","",SUMPRODUCT(--ISNUMBER(SEARCH('Category Dictionary'!$D$5:$D$135&amp;"",$C3974)),--('Category Dictionary'!$D$5:$D$135&lt;&gt;"")))</f>
        <v/>
      </c>
      <c r="L3974" s="27">
        <f>IF($A3974="","",TRIM(IF(ISERROR(FIND(",",$C3974)),$C3974,LEFT($C3974,FIND(",",$C3974)-1))))</f>
        <v/>
      </c>
      <c r="M3974" s="28">
        <f>IF($H3974="","",DATE(YEAR($H3974),MONTH($H3974),1))</f>
        <v/>
      </c>
      <c r="N3974" s="26">
        <f>IF($H3974="","",TODAY()-$H3974)</f>
        <v/>
      </c>
      <c r="O3974" s="15" t="n"/>
      <c r="P3974" s="26">
        <f>IF($A3974="","",COUNTIFS('Audit Versions'!$A$6:$A$605,$A3974,'Audit Versions'!$L$6:$L$605,"Active"))</f>
        <v/>
      </c>
      <c r="Q3974" s="15" t="n"/>
      <c r="R3974" s="26">
        <f>IF(OR($A3974="",$P3974=0),"",MOD(N($Q3974),$P3974)+1)</f>
        <v/>
      </c>
      <c r="S3974" s="15" t="n"/>
      <c r="T3974" s="25" t="n"/>
      <c r="U3974" s="26">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Builder'!$B$12="",N($S3974)&lt;='Assignment Builder'!$B$12)))</f>
        <v/>
      </c>
      <c r="V3974" s="23" t="n"/>
    </row>
    <row r="3975">
      <c r="A3975" s="23" t="n"/>
      <c r="B3975" s="23" t="n"/>
      <c r="C3975" s="24" t="n"/>
      <c r="D3975" s="15" t="n"/>
      <c r="E3975" s="23" t="n"/>
      <c r="F3975" s="15" t="n"/>
      <c r="G3975" s="23" t="n"/>
      <c r="H3975" s="25" t="n"/>
      <c r="I3975" s="15" t="n"/>
      <c r="J3975" s="26">
        <f>IF($A3975="","",LEN($C3975)-LEN(SUBSTITUTE($C3975,",",""))+1)</f>
        <v/>
      </c>
      <c r="K3975" s="26">
        <f>IF($A3975="","",SUMPRODUCT(--ISNUMBER(SEARCH('Category Dictionary'!$D$5:$D$135&amp;"",$C3975)),--('Category Dictionary'!$D$5:$D$135&lt;&gt;"")))</f>
        <v/>
      </c>
      <c r="L3975" s="27">
        <f>IF($A3975="","",TRIM(IF(ISERROR(FIND(",",$C3975)),$C3975,LEFT($C3975,FIND(",",$C3975)-1))))</f>
        <v/>
      </c>
      <c r="M3975" s="28">
        <f>IF($H3975="","",DATE(YEAR($H3975),MONTH($H3975),1))</f>
        <v/>
      </c>
      <c r="N3975" s="26">
        <f>IF($H3975="","",TODAY()-$H3975)</f>
        <v/>
      </c>
      <c r="O3975" s="15" t="n"/>
      <c r="P3975" s="26">
        <f>IF($A3975="","",COUNTIFS('Audit Versions'!$A$6:$A$605,$A3975,'Audit Versions'!$L$6:$L$605,"Active"))</f>
        <v/>
      </c>
      <c r="Q3975" s="15" t="n"/>
      <c r="R3975" s="26">
        <f>IF(OR($A3975="",$P3975=0),"",MOD(N($Q3975),$P3975)+1)</f>
        <v/>
      </c>
      <c r="S3975" s="15" t="n"/>
      <c r="T3975" s="25" t="n"/>
      <c r="U3975" s="26">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Builder'!$B$12="",N($S3975)&lt;='Assignment Builder'!$B$12)))</f>
        <v/>
      </c>
      <c r="V3975" s="23" t="n"/>
    </row>
    <row r="3976">
      <c r="A3976" s="23" t="n"/>
      <c r="B3976" s="23" t="n"/>
      <c r="C3976" s="24" t="n"/>
      <c r="D3976" s="15" t="n"/>
      <c r="E3976" s="23" t="n"/>
      <c r="F3976" s="15" t="n"/>
      <c r="G3976" s="23" t="n"/>
      <c r="H3976" s="25" t="n"/>
      <c r="I3976" s="15" t="n"/>
      <c r="J3976" s="26">
        <f>IF($A3976="","",LEN($C3976)-LEN(SUBSTITUTE($C3976,",",""))+1)</f>
        <v/>
      </c>
      <c r="K3976" s="26">
        <f>IF($A3976="","",SUMPRODUCT(--ISNUMBER(SEARCH('Category Dictionary'!$D$5:$D$135&amp;"",$C3976)),--('Category Dictionary'!$D$5:$D$135&lt;&gt;"")))</f>
        <v/>
      </c>
      <c r="L3976" s="27">
        <f>IF($A3976="","",TRIM(IF(ISERROR(FIND(",",$C3976)),$C3976,LEFT($C3976,FIND(",",$C3976)-1))))</f>
        <v/>
      </c>
      <c r="M3976" s="28">
        <f>IF($H3976="","",DATE(YEAR($H3976),MONTH($H3976),1))</f>
        <v/>
      </c>
      <c r="N3976" s="26">
        <f>IF($H3976="","",TODAY()-$H3976)</f>
        <v/>
      </c>
      <c r="O3976" s="15" t="n"/>
      <c r="P3976" s="26">
        <f>IF($A3976="","",COUNTIFS('Audit Versions'!$A$6:$A$605,$A3976,'Audit Versions'!$L$6:$L$605,"Active"))</f>
        <v/>
      </c>
      <c r="Q3976" s="15" t="n"/>
      <c r="R3976" s="26">
        <f>IF(OR($A3976="",$P3976=0),"",MOD(N($Q3976),$P3976)+1)</f>
        <v/>
      </c>
      <c r="S3976" s="15" t="n"/>
      <c r="T3976" s="25" t="n"/>
      <c r="U3976" s="26">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Builder'!$B$12="",N($S3976)&lt;='Assignment Builder'!$B$12)))</f>
        <v/>
      </c>
      <c r="V3976" s="23" t="n"/>
    </row>
    <row r="3977">
      <c r="A3977" s="23" t="n"/>
      <c r="B3977" s="23" t="n"/>
      <c r="C3977" s="24" t="n"/>
      <c r="D3977" s="15" t="n"/>
      <c r="E3977" s="23" t="n"/>
      <c r="F3977" s="15" t="n"/>
      <c r="G3977" s="23" t="n"/>
      <c r="H3977" s="25" t="n"/>
      <c r="I3977" s="15" t="n"/>
      <c r="J3977" s="26">
        <f>IF($A3977="","",LEN($C3977)-LEN(SUBSTITUTE($C3977,",",""))+1)</f>
        <v/>
      </c>
      <c r="K3977" s="26">
        <f>IF($A3977="","",SUMPRODUCT(--ISNUMBER(SEARCH('Category Dictionary'!$D$5:$D$135&amp;"",$C3977)),--('Category Dictionary'!$D$5:$D$135&lt;&gt;"")))</f>
        <v/>
      </c>
      <c r="L3977" s="27">
        <f>IF($A3977="","",TRIM(IF(ISERROR(FIND(",",$C3977)),$C3977,LEFT($C3977,FIND(",",$C3977)-1))))</f>
        <v/>
      </c>
      <c r="M3977" s="28">
        <f>IF($H3977="","",DATE(YEAR($H3977),MONTH($H3977),1))</f>
        <v/>
      </c>
      <c r="N3977" s="26">
        <f>IF($H3977="","",TODAY()-$H3977)</f>
        <v/>
      </c>
      <c r="O3977" s="15" t="n"/>
      <c r="P3977" s="26">
        <f>IF($A3977="","",COUNTIFS('Audit Versions'!$A$6:$A$605,$A3977,'Audit Versions'!$L$6:$L$605,"Active"))</f>
        <v/>
      </c>
      <c r="Q3977" s="15" t="n"/>
      <c r="R3977" s="26">
        <f>IF(OR($A3977="",$P3977=0),"",MOD(N($Q3977),$P3977)+1)</f>
        <v/>
      </c>
      <c r="S3977" s="15" t="n"/>
      <c r="T3977" s="25" t="n"/>
      <c r="U3977" s="26">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Builder'!$B$12="",N($S3977)&lt;='Assignment Builder'!$B$12)))</f>
        <v/>
      </c>
      <c r="V3977" s="23" t="n"/>
    </row>
    <row r="3978">
      <c r="A3978" s="23" t="n"/>
      <c r="B3978" s="23" t="n"/>
      <c r="C3978" s="24" t="n"/>
      <c r="D3978" s="15" t="n"/>
      <c r="E3978" s="23" t="n"/>
      <c r="F3978" s="15" t="n"/>
      <c r="G3978" s="23" t="n"/>
      <c r="H3978" s="25" t="n"/>
      <c r="I3978" s="15" t="n"/>
      <c r="J3978" s="26">
        <f>IF($A3978="","",LEN($C3978)-LEN(SUBSTITUTE($C3978,",",""))+1)</f>
        <v/>
      </c>
      <c r="K3978" s="26">
        <f>IF($A3978="","",SUMPRODUCT(--ISNUMBER(SEARCH('Category Dictionary'!$D$5:$D$135&amp;"",$C3978)),--('Category Dictionary'!$D$5:$D$135&lt;&gt;"")))</f>
        <v/>
      </c>
      <c r="L3978" s="27">
        <f>IF($A3978="","",TRIM(IF(ISERROR(FIND(",",$C3978)),$C3978,LEFT($C3978,FIND(",",$C3978)-1))))</f>
        <v/>
      </c>
      <c r="M3978" s="28">
        <f>IF($H3978="","",DATE(YEAR($H3978),MONTH($H3978),1))</f>
        <v/>
      </c>
      <c r="N3978" s="26">
        <f>IF($H3978="","",TODAY()-$H3978)</f>
        <v/>
      </c>
      <c r="O3978" s="15" t="n"/>
      <c r="P3978" s="26">
        <f>IF($A3978="","",COUNTIFS('Audit Versions'!$A$6:$A$605,$A3978,'Audit Versions'!$L$6:$L$605,"Active"))</f>
        <v/>
      </c>
      <c r="Q3978" s="15" t="n"/>
      <c r="R3978" s="26">
        <f>IF(OR($A3978="",$P3978=0),"",MOD(N($Q3978),$P3978)+1)</f>
        <v/>
      </c>
      <c r="S3978" s="15" t="n"/>
      <c r="T3978" s="25" t="n"/>
      <c r="U3978" s="26">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Builder'!$B$12="",N($S3978)&lt;='Assignment Builder'!$B$12)))</f>
        <v/>
      </c>
      <c r="V3978" s="23" t="n"/>
    </row>
    <row r="3979">
      <c r="A3979" s="23" t="n"/>
      <c r="B3979" s="23" t="n"/>
      <c r="C3979" s="24" t="n"/>
      <c r="D3979" s="15" t="n"/>
      <c r="E3979" s="23" t="n"/>
      <c r="F3979" s="15" t="n"/>
      <c r="G3979" s="23" t="n"/>
      <c r="H3979" s="25" t="n"/>
      <c r="I3979" s="15" t="n"/>
      <c r="J3979" s="26">
        <f>IF($A3979="","",LEN($C3979)-LEN(SUBSTITUTE($C3979,",",""))+1)</f>
        <v/>
      </c>
      <c r="K3979" s="26">
        <f>IF($A3979="","",SUMPRODUCT(--ISNUMBER(SEARCH('Category Dictionary'!$D$5:$D$135&amp;"",$C3979)),--('Category Dictionary'!$D$5:$D$135&lt;&gt;"")))</f>
        <v/>
      </c>
      <c r="L3979" s="27">
        <f>IF($A3979="","",TRIM(IF(ISERROR(FIND(",",$C3979)),$C3979,LEFT($C3979,FIND(",",$C3979)-1))))</f>
        <v/>
      </c>
      <c r="M3979" s="28">
        <f>IF($H3979="","",DATE(YEAR($H3979),MONTH($H3979),1))</f>
        <v/>
      </c>
      <c r="N3979" s="26">
        <f>IF($H3979="","",TODAY()-$H3979)</f>
        <v/>
      </c>
      <c r="O3979" s="15" t="n"/>
      <c r="P3979" s="26">
        <f>IF($A3979="","",COUNTIFS('Audit Versions'!$A$6:$A$605,$A3979,'Audit Versions'!$L$6:$L$605,"Active"))</f>
        <v/>
      </c>
      <c r="Q3979" s="15" t="n"/>
      <c r="R3979" s="26">
        <f>IF(OR($A3979="",$P3979=0),"",MOD(N($Q3979),$P3979)+1)</f>
        <v/>
      </c>
      <c r="S3979" s="15" t="n"/>
      <c r="T3979" s="25" t="n"/>
      <c r="U3979" s="26">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Builder'!$B$12="",N($S3979)&lt;='Assignment Builder'!$B$12)))</f>
        <v/>
      </c>
      <c r="V3979" s="23" t="n"/>
    </row>
    <row r="3980">
      <c r="A3980" s="23" t="n"/>
      <c r="B3980" s="23" t="n"/>
      <c r="C3980" s="24" t="n"/>
      <c r="D3980" s="15" t="n"/>
      <c r="E3980" s="23" t="n"/>
      <c r="F3980" s="15" t="n"/>
      <c r="G3980" s="23" t="n"/>
      <c r="H3980" s="25" t="n"/>
      <c r="I3980" s="15" t="n"/>
      <c r="J3980" s="26">
        <f>IF($A3980="","",LEN($C3980)-LEN(SUBSTITUTE($C3980,",",""))+1)</f>
        <v/>
      </c>
      <c r="K3980" s="26">
        <f>IF($A3980="","",SUMPRODUCT(--ISNUMBER(SEARCH('Category Dictionary'!$D$5:$D$135&amp;"",$C3980)),--('Category Dictionary'!$D$5:$D$135&lt;&gt;"")))</f>
        <v/>
      </c>
      <c r="L3980" s="27">
        <f>IF($A3980="","",TRIM(IF(ISERROR(FIND(",",$C3980)),$C3980,LEFT($C3980,FIND(",",$C3980)-1))))</f>
        <v/>
      </c>
      <c r="M3980" s="28">
        <f>IF($H3980="","",DATE(YEAR($H3980),MONTH($H3980),1))</f>
        <v/>
      </c>
      <c r="N3980" s="26">
        <f>IF($H3980="","",TODAY()-$H3980)</f>
        <v/>
      </c>
      <c r="O3980" s="15" t="n"/>
      <c r="P3980" s="26">
        <f>IF($A3980="","",COUNTIFS('Audit Versions'!$A$6:$A$605,$A3980,'Audit Versions'!$L$6:$L$605,"Active"))</f>
        <v/>
      </c>
      <c r="Q3980" s="15" t="n"/>
      <c r="R3980" s="26">
        <f>IF(OR($A3980="",$P3980=0),"",MOD(N($Q3980),$P3980)+1)</f>
        <v/>
      </c>
      <c r="S3980" s="15" t="n"/>
      <c r="T3980" s="25" t="n"/>
      <c r="U3980" s="26">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Builder'!$B$12="",N($S3980)&lt;='Assignment Builder'!$B$12)))</f>
        <v/>
      </c>
      <c r="V3980" s="23" t="n"/>
    </row>
    <row r="3981">
      <c r="A3981" s="23" t="n"/>
      <c r="B3981" s="23" t="n"/>
      <c r="C3981" s="24" t="n"/>
      <c r="D3981" s="15" t="n"/>
      <c r="E3981" s="23" t="n"/>
      <c r="F3981" s="15" t="n"/>
      <c r="G3981" s="23" t="n"/>
      <c r="H3981" s="25" t="n"/>
      <c r="I3981" s="15" t="n"/>
      <c r="J3981" s="26">
        <f>IF($A3981="","",LEN($C3981)-LEN(SUBSTITUTE($C3981,",",""))+1)</f>
        <v/>
      </c>
      <c r="K3981" s="26">
        <f>IF($A3981="","",SUMPRODUCT(--ISNUMBER(SEARCH('Category Dictionary'!$D$5:$D$135&amp;"",$C3981)),--('Category Dictionary'!$D$5:$D$135&lt;&gt;"")))</f>
        <v/>
      </c>
      <c r="L3981" s="27">
        <f>IF($A3981="","",TRIM(IF(ISERROR(FIND(",",$C3981)),$C3981,LEFT($C3981,FIND(",",$C3981)-1))))</f>
        <v/>
      </c>
      <c r="M3981" s="28">
        <f>IF($H3981="","",DATE(YEAR($H3981),MONTH($H3981),1))</f>
        <v/>
      </c>
      <c r="N3981" s="26">
        <f>IF($H3981="","",TODAY()-$H3981)</f>
        <v/>
      </c>
      <c r="O3981" s="15" t="n"/>
      <c r="P3981" s="26">
        <f>IF($A3981="","",COUNTIFS('Audit Versions'!$A$6:$A$605,$A3981,'Audit Versions'!$L$6:$L$605,"Active"))</f>
        <v/>
      </c>
      <c r="Q3981" s="15" t="n"/>
      <c r="R3981" s="26">
        <f>IF(OR($A3981="",$P3981=0),"",MOD(N($Q3981),$P3981)+1)</f>
        <v/>
      </c>
      <c r="S3981" s="15" t="n"/>
      <c r="T3981" s="25" t="n"/>
      <c r="U3981" s="26">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Builder'!$B$12="",N($S3981)&lt;='Assignment Builder'!$B$12)))</f>
        <v/>
      </c>
      <c r="V3981" s="23" t="n"/>
    </row>
    <row r="3982">
      <c r="A3982" s="23" t="n"/>
      <c r="B3982" s="23" t="n"/>
      <c r="C3982" s="24" t="n"/>
      <c r="D3982" s="15" t="n"/>
      <c r="E3982" s="23" t="n"/>
      <c r="F3982" s="15" t="n"/>
      <c r="G3982" s="23" t="n"/>
      <c r="H3982" s="25" t="n"/>
      <c r="I3982" s="15" t="n"/>
      <c r="J3982" s="26">
        <f>IF($A3982="","",LEN($C3982)-LEN(SUBSTITUTE($C3982,",",""))+1)</f>
        <v/>
      </c>
      <c r="K3982" s="26">
        <f>IF($A3982="","",SUMPRODUCT(--ISNUMBER(SEARCH('Category Dictionary'!$D$5:$D$135&amp;"",$C3982)),--('Category Dictionary'!$D$5:$D$135&lt;&gt;"")))</f>
        <v/>
      </c>
      <c r="L3982" s="27">
        <f>IF($A3982="","",TRIM(IF(ISERROR(FIND(",",$C3982)),$C3982,LEFT($C3982,FIND(",",$C3982)-1))))</f>
        <v/>
      </c>
      <c r="M3982" s="28">
        <f>IF($H3982="","",DATE(YEAR($H3982),MONTH($H3982),1))</f>
        <v/>
      </c>
      <c r="N3982" s="26">
        <f>IF($H3982="","",TODAY()-$H3982)</f>
        <v/>
      </c>
      <c r="O3982" s="15" t="n"/>
      <c r="P3982" s="26">
        <f>IF($A3982="","",COUNTIFS('Audit Versions'!$A$6:$A$605,$A3982,'Audit Versions'!$L$6:$L$605,"Active"))</f>
        <v/>
      </c>
      <c r="Q3982" s="15" t="n"/>
      <c r="R3982" s="26">
        <f>IF(OR($A3982="",$P3982=0),"",MOD(N($Q3982),$P3982)+1)</f>
        <v/>
      </c>
      <c r="S3982" s="15" t="n"/>
      <c r="T3982" s="25" t="n"/>
      <c r="U3982" s="26">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Builder'!$B$12="",N($S3982)&lt;='Assignment Builder'!$B$12)))</f>
        <v/>
      </c>
      <c r="V3982" s="23" t="n"/>
    </row>
    <row r="3983">
      <c r="A3983" s="23" t="n"/>
      <c r="B3983" s="23" t="n"/>
      <c r="C3983" s="24" t="n"/>
      <c r="D3983" s="15" t="n"/>
      <c r="E3983" s="23" t="n"/>
      <c r="F3983" s="15" t="n"/>
      <c r="G3983" s="23" t="n"/>
      <c r="H3983" s="25" t="n"/>
      <c r="I3983" s="15" t="n"/>
      <c r="J3983" s="26">
        <f>IF($A3983="","",LEN($C3983)-LEN(SUBSTITUTE($C3983,",",""))+1)</f>
        <v/>
      </c>
      <c r="K3983" s="26">
        <f>IF($A3983="","",SUMPRODUCT(--ISNUMBER(SEARCH('Category Dictionary'!$D$5:$D$135&amp;"",$C3983)),--('Category Dictionary'!$D$5:$D$135&lt;&gt;"")))</f>
        <v/>
      </c>
      <c r="L3983" s="27">
        <f>IF($A3983="","",TRIM(IF(ISERROR(FIND(",",$C3983)),$C3983,LEFT($C3983,FIND(",",$C3983)-1))))</f>
        <v/>
      </c>
      <c r="M3983" s="28">
        <f>IF($H3983="","",DATE(YEAR($H3983),MONTH($H3983),1))</f>
        <v/>
      </c>
      <c r="N3983" s="26">
        <f>IF($H3983="","",TODAY()-$H3983)</f>
        <v/>
      </c>
      <c r="O3983" s="15" t="n"/>
      <c r="P3983" s="26">
        <f>IF($A3983="","",COUNTIFS('Audit Versions'!$A$6:$A$605,$A3983,'Audit Versions'!$L$6:$L$605,"Active"))</f>
        <v/>
      </c>
      <c r="Q3983" s="15" t="n"/>
      <c r="R3983" s="26">
        <f>IF(OR($A3983="",$P3983=0),"",MOD(N($Q3983),$P3983)+1)</f>
        <v/>
      </c>
      <c r="S3983" s="15" t="n"/>
      <c r="T3983" s="25" t="n"/>
      <c r="U3983" s="26">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Builder'!$B$12="",N($S3983)&lt;='Assignment Builder'!$B$12)))</f>
        <v/>
      </c>
      <c r="V3983" s="23" t="n"/>
    </row>
    <row r="3984">
      <c r="A3984" s="23" t="n"/>
      <c r="B3984" s="23" t="n"/>
      <c r="C3984" s="24" t="n"/>
      <c r="D3984" s="15" t="n"/>
      <c r="E3984" s="23" t="n"/>
      <c r="F3984" s="15" t="n"/>
      <c r="G3984" s="23" t="n"/>
      <c r="H3984" s="25" t="n"/>
      <c r="I3984" s="15" t="n"/>
      <c r="J3984" s="26">
        <f>IF($A3984="","",LEN($C3984)-LEN(SUBSTITUTE($C3984,",",""))+1)</f>
        <v/>
      </c>
      <c r="K3984" s="26">
        <f>IF($A3984="","",SUMPRODUCT(--ISNUMBER(SEARCH('Category Dictionary'!$D$5:$D$135&amp;"",$C3984)),--('Category Dictionary'!$D$5:$D$135&lt;&gt;"")))</f>
        <v/>
      </c>
      <c r="L3984" s="27">
        <f>IF($A3984="","",TRIM(IF(ISERROR(FIND(",",$C3984)),$C3984,LEFT($C3984,FIND(",",$C3984)-1))))</f>
        <v/>
      </c>
      <c r="M3984" s="28">
        <f>IF($H3984="","",DATE(YEAR($H3984),MONTH($H3984),1))</f>
        <v/>
      </c>
      <c r="N3984" s="26">
        <f>IF($H3984="","",TODAY()-$H3984)</f>
        <v/>
      </c>
      <c r="O3984" s="15" t="n"/>
      <c r="P3984" s="26">
        <f>IF($A3984="","",COUNTIFS('Audit Versions'!$A$6:$A$605,$A3984,'Audit Versions'!$L$6:$L$605,"Active"))</f>
        <v/>
      </c>
      <c r="Q3984" s="15" t="n"/>
      <c r="R3984" s="26">
        <f>IF(OR($A3984="",$P3984=0),"",MOD(N($Q3984),$P3984)+1)</f>
        <v/>
      </c>
      <c r="S3984" s="15" t="n"/>
      <c r="T3984" s="25" t="n"/>
      <c r="U3984" s="26">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Builder'!$B$12="",N($S3984)&lt;='Assignment Builder'!$B$12)))</f>
        <v/>
      </c>
      <c r="V3984" s="23" t="n"/>
    </row>
    <row r="3985">
      <c r="A3985" s="23" t="n"/>
      <c r="B3985" s="23" t="n"/>
      <c r="C3985" s="24" t="n"/>
      <c r="D3985" s="15" t="n"/>
      <c r="E3985" s="23" t="n"/>
      <c r="F3985" s="15" t="n"/>
      <c r="G3985" s="23" t="n"/>
      <c r="H3985" s="25" t="n"/>
      <c r="I3985" s="15" t="n"/>
      <c r="J3985" s="26">
        <f>IF($A3985="","",LEN($C3985)-LEN(SUBSTITUTE($C3985,",",""))+1)</f>
        <v/>
      </c>
      <c r="K3985" s="26">
        <f>IF($A3985="","",SUMPRODUCT(--ISNUMBER(SEARCH('Category Dictionary'!$D$5:$D$135&amp;"",$C3985)),--('Category Dictionary'!$D$5:$D$135&lt;&gt;"")))</f>
        <v/>
      </c>
      <c r="L3985" s="27">
        <f>IF($A3985="","",TRIM(IF(ISERROR(FIND(",",$C3985)),$C3985,LEFT($C3985,FIND(",",$C3985)-1))))</f>
        <v/>
      </c>
      <c r="M3985" s="28">
        <f>IF($H3985="","",DATE(YEAR($H3985),MONTH($H3985),1))</f>
        <v/>
      </c>
      <c r="N3985" s="26">
        <f>IF($H3985="","",TODAY()-$H3985)</f>
        <v/>
      </c>
      <c r="O3985" s="15" t="n"/>
      <c r="P3985" s="26">
        <f>IF($A3985="","",COUNTIFS('Audit Versions'!$A$6:$A$605,$A3985,'Audit Versions'!$L$6:$L$605,"Active"))</f>
        <v/>
      </c>
      <c r="Q3985" s="15" t="n"/>
      <c r="R3985" s="26">
        <f>IF(OR($A3985="",$P3985=0),"",MOD(N($Q3985),$P3985)+1)</f>
        <v/>
      </c>
      <c r="S3985" s="15" t="n"/>
      <c r="T3985" s="25" t="n"/>
      <c r="U3985" s="26">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Builder'!$B$12="",N($S3985)&lt;='Assignment Builder'!$B$12)))</f>
        <v/>
      </c>
      <c r="V3985" s="23" t="n"/>
    </row>
    <row r="3986">
      <c r="A3986" s="23" t="n"/>
      <c r="B3986" s="23" t="n"/>
      <c r="C3986" s="24" t="n"/>
      <c r="D3986" s="15" t="n"/>
      <c r="E3986" s="23" t="n"/>
      <c r="F3986" s="15" t="n"/>
      <c r="G3986" s="23" t="n"/>
      <c r="H3986" s="25" t="n"/>
      <c r="I3986" s="15" t="n"/>
      <c r="J3986" s="26">
        <f>IF($A3986="","",LEN($C3986)-LEN(SUBSTITUTE($C3986,",",""))+1)</f>
        <v/>
      </c>
      <c r="K3986" s="26">
        <f>IF($A3986="","",SUMPRODUCT(--ISNUMBER(SEARCH('Category Dictionary'!$D$5:$D$135&amp;"",$C3986)),--('Category Dictionary'!$D$5:$D$135&lt;&gt;"")))</f>
        <v/>
      </c>
      <c r="L3986" s="27">
        <f>IF($A3986="","",TRIM(IF(ISERROR(FIND(",",$C3986)),$C3986,LEFT($C3986,FIND(",",$C3986)-1))))</f>
        <v/>
      </c>
      <c r="M3986" s="28">
        <f>IF($H3986="","",DATE(YEAR($H3986),MONTH($H3986),1))</f>
        <v/>
      </c>
      <c r="N3986" s="26">
        <f>IF($H3986="","",TODAY()-$H3986)</f>
        <v/>
      </c>
      <c r="O3986" s="15" t="n"/>
      <c r="P3986" s="26">
        <f>IF($A3986="","",COUNTIFS('Audit Versions'!$A$6:$A$605,$A3986,'Audit Versions'!$L$6:$L$605,"Active"))</f>
        <v/>
      </c>
      <c r="Q3986" s="15" t="n"/>
      <c r="R3986" s="26">
        <f>IF(OR($A3986="",$P3986=0),"",MOD(N($Q3986),$P3986)+1)</f>
        <v/>
      </c>
      <c r="S3986" s="15" t="n"/>
      <c r="T3986" s="25" t="n"/>
      <c r="U3986" s="26">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Builder'!$B$12="",N($S3986)&lt;='Assignment Builder'!$B$12)))</f>
        <v/>
      </c>
      <c r="V3986" s="23" t="n"/>
    </row>
    <row r="3987">
      <c r="A3987" s="23" t="n"/>
      <c r="B3987" s="23" t="n"/>
      <c r="C3987" s="24" t="n"/>
      <c r="D3987" s="15" t="n"/>
      <c r="E3987" s="23" t="n"/>
      <c r="F3987" s="15" t="n"/>
      <c r="G3987" s="23" t="n"/>
      <c r="H3987" s="25" t="n"/>
      <c r="I3987" s="15" t="n"/>
      <c r="J3987" s="26">
        <f>IF($A3987="","",LEN($C3987)-LEN(SUBSTITUTE($C3987,",",""))+1)</f>
        <v/>
      </c>
      <c r="K3987" s="26">
        <f>IF($A3987="","",SUMPRODUCT(--ISNUMBER(SEARCH('Category Dictionary'!$D$5:$D$135&amp;"",$C3987)),--('Category Dictionary'!$D$5:$D$135&lt;&gt;"")))</f>
        <v/>
      </c>
      <c r="L3987" s="27">
        <f>IF($A3987="","",TRIM(IF(ISERROR(FIND(",",$C3987)),$C3987,LEFT($C3987,FIND(",",$C3987)-1))))</f>
        <v/>
      </c>
      <c r="M3987" s="28">
        <f>IF($H3987="","",DATE(YEAR($H3987),MONTH($H3987),1))</f>
        <v/>
      </c>
      <c r="N3987" s="26">
        <f>IF($H3987="","",TODAY()-$H3987)</f>
        <v/>
      </c>
      <c r="O3987" s="15" t="n"/>
      <c r="P3987" s="26">
        <f>IF($A3987="","",COUNTIFS('Audit Versions'!$A$6:$A$605,$A3987,'Audit Versions'!$L$6:$L$605,"Active"))</f>
        <v/>
      </c>
      <c r="Q3987" s="15" t="n"/>
      <c r="R3987" s="26">
        <f>IF(OR($A3987="",$P3987=0),"",MOD(N($Q3987),$P3987)+1)</f>
        <v/>
      </c>
      <c r="S3987" s="15" t="n"/>
      <c r="T3987" s="25" t="n"/>
      <c r="U3987" s="26">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Builder'!$B$12="",N($S3987)&lt;='Assignment Builder'!$B$12)))</f>
        <v/>
      </c>
      <c r="V3987" s="23" t="n"/>
    </row>
    <row r="3988">
      <c r="A3988" s="23" t="n"/>
      <c r="B3988" s="23" t="n"/>
      <c r="C3988" s="24" t="n"/>
      <c r="D3988" s="15" t="n"/>
      <c r="E3988" s="23" t="n"/>
      <c r="F3988" s="15" t="n"/>
      <c r="G3988" s="23" t="n"/>
      <c r="H3988" s="25" t="n"/>
      <c r="I3988" s="15" t="n"/>
      <c r="J3988" s="26">
        <f>IF($A3988="","",LEN($C3988)-LEN(SUBSTITUTE($C3988,",",""))+1)</f>
        <v/>
      </c>
      <c r="K3988" s="26">
        <f>IF($A3988="","",SUMPRODUCT(--ISNUMBER(SEARCH('Category Dictionary'!$D$5:$D$135&amp;"",$C3988)),--('Category Dictionary'!$D$5:$D$135&lt;&gt;"")))</f>
        <v/>
      </c>
      <c r="L3988" s="27">
        <f>IF($A3988="","",TRIM(IF(ISERROR(FIND(",",$C3988)),$C3988,LEFT($C3988,FIND(",",$C3988)-1))))</f>
        <v/>
      </c>
      <c r="M3988" s="28">
        <f>IF($H3988="","",DATE(YEAR($H3988),MONTH($H3988),1))</f>
        <v/>
      </c>
      <c r="N3988" s="26">
        <f>IF($H3988="","",TODAY()-$H3988)</f>
        <v/>
      </c>
      <c r="O3988" s="15" t="n"/>
      <c r="P3988" s="26">
        <f>IF($A3988="","",COUNTIFS('Audit Versions'!$A$6:$A$605,$A3988,'Audit Versions'!$L$6:$L$605,"Active"))</f>
        <v/>
      </c>
      <c r="Q3988" s="15" t="n"/>
      <c r="R3988" s="26">
        <f>IF(OR($A3988="",$P3988=0),"",MOD(N($Q3988),$P3988)+1)</f>
        <v/>
      </c>
      <c r="S3988" s="15" t="n"/>
      <c r="T3988" s="25" t="n"/>
      <c r="U3988" s="26">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Builder'!$B$12="",N($S3988)&lt;='Assignment Builder'!$B$12)))</f>
        <v/>
      </c>
      <c r="V3988" s="23" t="n"/>
    </row>
    <row r="3989">
      <c r="A3989" s="23" t="n"/>
      <c r="B3989" s="23" t="n"/>
      <c r="C3989" s="24" t="n"/>
      <c r="D3989" s="15" t="n"/>
      <c r="E3989" s="23" t="n"/>
      <c r="F3989" s="15" t="n"/>
      <c r="G3989" s="23" t="n"/>
      <c r="H3989" s="25" t="n"/>
      <c r="I3989" s="15" t="n"/>
      <c r="J3989" s="26">
        <f>IF($A3989="","",LEN($C3989)-LEN(SUBSTITUTE($C3989,",",""))+1)</f>
        <v/>
      </c>
      <c r="K3989" s="26">
        <f>IF($A3989="","",SUMPRODUCT(--ISNUMBER(SEARCH('Category Dictionary'!$D$5:$D$135&amp;"",$C3989)),--('Category Dictionary'!$D$5:$D$135&lt;&gt;"")))</f>
        <v/>
      </c>
      <c r="L3989" s="27">
        <f>IF($A3989="","",TRIM(IF(ISERROR(FIND(",",$C3989)),$C3989,LEFT($C3989,FIND(",",$C3989)-1))))</f>
        <v/>
      </c>
      <c r="M3989" s="28">
        <f>IF($H3989="","",DATE(YEAR($H3989),MONTH($H3989),1))</f>
        <v/>
      </c>
      <c r="N3989" s="26">
        <f>IF($H3989="","",TODAY()-$H3989)</f>
        <v/>
      </c>
      <c r="O3989" s="15" t="n"/>
      <c r="P3989" s="26">
        <f>IF($A3989="","",COUNTIFS('Audit Versions'!$A$6:$A$605,$A3989,'Audit Versions'!$L$6:$L$605,"Active"))</f>
        <v/>
      </c>
      <c r="Q3989" s="15" t="n"/>
      <c r="R3989" s="26">
        <f>IF(OR($A3989="",$P3989=0),"",MOD(N($Q3989),$P3989)+1)</f>
        <v/>
      </c>
      <c r="S3989" s="15" t="n"/>
      <c r="T3989" s="25" t="n"/>
      <c r="U3989" s="26">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Builder'!$B$12="",N($S3989)&lt;='Assignment Builder'!$B$12)))</f>
        <v/>
      </c>
      <c r="V3989" s="23" t="n"/>
    </row>
    <row r="3990">
      <c r="A3990" s="23" t="n"/>
      <c r="B3990" s="23" t="n"/>
      <c r="C3990" s="24" t="n"/>
      <c r="D3990" s="15" t="n"/>
      <c r="E3990" s="23" t="n"/>
      <c r="F3990" s="15" t="n"/>
      <c r="G3990" s="23" t="n"/>
      <c r="H3990" s="25" t="n"/>
      <c r="I3990" s="15" t="n"/>
      <c r="J3990" s="26">
        <f>IF($A3990="","",LEN($C3990)-LEN(SUBSTITUTE($C3990,",",""))+1)</f>
        <v/>
      </c>
      <c r="K3990" s="26">
        <f>IF($A3990="","",SUMPRODUCT(--ISNUMBER(SEARCH('Category Dictionary'!$D$5:$D$135&amp;"",$C3990)),--('Category Dictionary'!$D$5:$D$135&lt;&gt;"")))</f>
        <v/>
      </c>
      <c r="L3990" s="27">
        <f>IF($A3990="","",TRIM(IF(ISERROR(FIND(",",$C3990)),$C3990,LEFT($C3990,FIND(",",$C3990)-1))))</f>
        <v/>
      </c>
      <c r="M3990" s="28">
        <f>IF($H3990="","",DATE(YEAR($H3990),MONTH($H3990),1))</f>
        <v/>
      </c>
      <c r="N3990" s="26">
        <f>IF($H3990="","",TODAY()-$H3990)</f>
        <v/>
      </c>
      <c r="O3990" s="15" t="n"/>
      <c r="P3990" s="26">
        <f>IF($A3990="","",COUNTIFS('Audit Versions'!$A$6:$A$605,$A3990,'Audit Versions'!$L$6:$L$605,"Active"))</f>
        <v/>
      </c>
      <c r="Q3990" s="15" t="n"/>
      <c r="R3990" s="26">
        <f>IF(OR($A3990="",$P3990=0),"",MOD(N($Q3990),$P3990)+1)</f>
        <v/>
      </c>
      <c r="S3990" s="15" t="n"/>
      <c r="T3990" s="25" t="n"/>
      <c r="U3990" s="26">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Builder'!$B$12="",N($S3990)&lt;='Assignment Builder'!$B$12)))</f>
        <v/>
      </c>
      <c r="V3990" s="23" t="n"/>
    </row>
    <row r="3991">
      <c r="A3991" s="23" t="n"/>
      <c r="B3991" s="23" t="n"/>
      <c r="C3991" s="24" t="n"/>
      <c r="D3991" s="15" t="n"/>
      <c r="E3991" s="23" t="n"/>
      <c r="F3991" s="15" t="n"/>
      <c r="G3991" s="23" t="n"/>
      <c r="H3991" s="25" t="n"/>
      <c r="I3991" s="15" t="n"/>
      <c r="J3991" s="26">
        <f>IF($A3991="","",LEN($C3991)-LEN(SUBSTITUTE($C3991,",",""))+1)</f>
        <v/>
      </c>
      <c r="K3991" s="26">
        <f>IF($A3991="","",SUMPRODUCT(--ISNUMBER(SEARCH('Category Dictionary'!$D$5:$D$135&amp;"",$C3991)),--('Category Dictionary'!$D$5:$D$135&lt;&gt;"")))</f>
        <v/>
      </c>
      <c r="L3991" s="27">
        <f>IF($A3991="","",TRIM(IF(ISERROR(FIND(",",$C3991)),$C3991,LEFT($C3991,FIND(",",$C3991)-1))))</f>
        <v/>
      </c>
      <c r="M3991" s="28">
        <f>IF($H3991="","",DATE(YEAR($H3991),MONTH($H3991),1))</f>
        <v/>
      </c>
      <c r="N3991" s="26">
        <f>IF($H3991="","",TODAY()-$H3991)</f>
        <v/>
      </c>
      <c r="O3991" s="15" t="n"/>
      <c r="P3991" s="26">
        <f>IF($A3991="","",COUNTIFS('Audit Versions'!$A$6:$A$605,$A3991,'Audit Versions'!$L$6:$L$605,"Active"))</f>
        <v/>
      </c>
      <c r="Q3991" s="15" t="n"/>
      <c r="R3991" s="26">
        <f>IF(OR($A3991="",$P3991=0),"",MOD(N($Q3991),$P3991)+1)</f>
        <v/>
      </c>
      <c r="S3991" s="15" t="n"/>
      <c r="T3991" s="25" t="n"/>
      <c r="U3991" s="26">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Builder'!$B$12="",N($S3991)&lt;='Assignment Builder'!$B$12)))</f>
        <v/>
      </c>
      <c r="V3991" s="23" t="n"/>
    </row>
    <row r="3992">
      <c r="A3992" s="23" t="n"/>
      <c r="B3992" s="23" t="n"/>
      <c r="C3992" s="24" t="n"/>
      <c r="D3992" s="15" t="n"/>
      <c r="E3992" s="23" t="n"/>
      <c r="F3992" s="15" t="n"/>
      <c r="G3992" s="23" t="n"/>
      <c r="H3992" s="25" t="n"/>
      <c r="I3992" s="15" t="n"/>
      <c r="J3992" s="26">
        <f>IF($A3992="","",LEN($C3992)-LEN(SUBSTITUTE($C3992,",",""))+1)</f>
        <v/>
      </c>
      <c r="K3992" s="26">
        <f>IF($A3992="","",SUMPRODUCT(--ISNUMBER(SEARCH('Category Dictionary'!$D$5:$D$135&amp;"",$C3992)),--('Category Dictionary'!$D$5:$D$135&lt;&gt;"")))</f>
        <v/>
      </c>
      <c r="L3992" s="27">
        <f>IF($A3992="","",TRIM(IF(ISERROR(FIND(",",$C3992)),$C3992,LEFT($C3992,FIND(",",$C3992)-1))))</f>
        <v/>
      </c>
      <c r="M3992" s="28">
        <f>IF($H3992="","",DATE(YEAR($H3992),MONTH($H3992),1))</f>
        <v/>
      </c>
      <c r="N3992" s="26">
        <f>IF($H3992="","",TODAY()-$H3992)</f>
        <v/>
      </c>
      <c r="O3992" s="15" t="n"/>
      <c r="P3992" s="26">
        <f>IF($A3992="","",COUNTIFS('Audit Versions'!$A$6:$A$605,$A3992,'Audit Versions'!$L$6:$L$605,"Active"))</f>
        <v/>
      </c>
      <c r="Q3992" s="15" t="n"/>
      <c r="R3992" s="26">
        <f>IF(OR($A3992="",$P3992=0),"",MOD(N($Q3992),$P3992)+1)</f>
        <v/>
      </c>
      <c r="S3992" s="15" t="n"/>
      <c r="T3992" s="25" t="n"/>
      <c r="U3992" s="26">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Builder'!$B$12="",N($S3992)&lt;='Assignment Builder'!$B$12)))</f>
        <v/>
      </c>
      <c r="V3992" s="23" t="n"/>
    </row>
    <row r="3993">
      <c r="A3993" s="23" t="n"/>
      <c r="B3993" s="23" t="n"/>
      <c r="C3993" s="24" t="n"/>
      <c r="D3993" s="15" t="n"/>
      <c r="E3993" s="23" t="n"/>
      <c r="F3993" s="15" t="n"/>
      <c r="G3993" s="23" t="n"/>
      <c r="H3993" s="25" t="n"/>
      <c r="I3993" s="15" t="n"/>
      <c r="J3993" s="26">
        <f>IF($A3993="","",LEN($C3993)-LEN(SUBSTITUTE($C3993,",",""))+1)</f>
        <v/>
      </c>
      <c r="K3993" s="26">
        <f>IF($A3993="","",SUMPRODUCT(--ISNUMBER(SEARCH('Category Dictionary'!$D$5:$D$135&amp;"",$C3993)),--('Category Dictionary'!$D$5:$D$135&lt;&gt;"")))</f>
        <v/>
      </c>
      <c r="L3993" s="27">
        <f>IF($A3993="","",TRIM(IF(ISERROR(FIND(",",$C3993)),$C3993,LEFT($C3993,FIND(",",$C3993)-1))))</f>
        <v/>
      </c>
      <c r="M3993" s="28">
        <f>IF($H3993="","",DATE(YEAR($H3993),MONTH($H3993),1))</f>
        <v/>
      </c>
      <c r="N3993" s="26">
        <f>IF($H3993="","",TODAY()-$H3993)</f>
        <v/>
      </c>
      <c r="O3993" s="15" t="n"/>
      <c r="P3993" s="26">
        <f>IF($A3993="","",COUNTIFS('Audit Versions'!$A$6:$A$605,$A3993,'Audit Versions'!$L$6:$L$605,"Active"))</f>
        <v/>
      </c>
      <c r="Q3993" s="15" t="n"/>
      <c r="R3993" s="26">
        <f>IF(OR($A3993="",$P3993=0),"",MOD(N($Q3993),$P3993)+1)</f>
        <v/>
      </c>
      <c r="S3993" s="15" t="n"/>
      <c r="T3993" s="25" t="n"/>
      <c r="U3993" s="26">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Builder'!$B$12="",N($S3993)&lt;='Assignment Builder'!$B$12)))</f>
        <v/>
      </c>
      <c r="V3993" s="23" t="n"/>
    </row>
    <row r="3994">
      <c r="A3994" s="23" t="n"/>
      <c r="B3994" s="23" t="n"/>
      <c r="C3994" s="24" t="n"/>
      <c r="D3994" s="15" t="n"/>
      <c r="E3994" s="23" t="n"/>
      <c r="F3994" s="15" t="n"/>
      <c r="G3994" s="23" t="n"/>
      <c r="H3994" s="25" t="n"/>
      <c r="I3994" s="15" t="n"/>
      <c r="J3994" s="26">
        <f>IF($A3994="","",LEN($C3994)-LEN(SUBSTITUTE($C3994,",",""))+1)</f>
        <v/>
      </c>
      <c r="K3994" s="26">
        <f>IF($A3994="","",SUMPRODUCT(--ISNUMBER(SEARCH('Category Dictionary'!$D$5:$D$135&amp;"",$C3994)),--('Category Dictionary'!$D$5:$D$135&lt;&gt;"")))</f>
        <v/>
      </c>
      <c r="L3994" s="27">
        <f>IF($A3994="","",TRIM(IF(ISERROR(FIND(",",$C3994)),$C3994,LEFT($C3994,FIND(",",$C3994)-1))))</f>
        <v/>
      </c>
      <c r="M3994" s="28">
        <f>IF($H3994="","",DATE(YEAR($H3994),MONTH($H3994),1))</f>
        <v/>
      </c>
      <c r="N3994" s="26">
        <f>IF($H3994="","",TODAY()-$H3994)</f>
        <v/>
      </c>
      <c r="O3994" s="15" t="n"/>
      <c r="P3994" s="26">
        <f>IF($A3994="","",COUNTIFS('Audit Versions'!$A$6:$A$605,$A3994,'Audit Versions'!$L$6:$L$605,"Active"))</f>
        <v/>
      </c>
      <c r="Q3994" s="15" t="n"/>
      <c r="R3994" s="26">
        <f>IF(OR($A3994="",$P3994=0),"",MOD(N($Q3994),$P3994)+1)</f>
        <v/>
      </c>
      <c r="S3994" s="15" t="n"/>
      <c r="T3994" s="25" t="n"/>
      <c r="U3994" s="26">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Builder'!$B$12="",N($S3994)&lt;='Assignment Builder'!$B$12)))</f>
        <v/>
      </c>
      <c r="V3994" s="23" t="n"/>
    </row>
    <row r="3995">
      <c r="A3995" s="23" t="n"/>
      <c r="B3995" s="23" t="n"/>
      <c r="C3995" s="24" t="n"/>
      <c r="D3995" s="15" t="n"/>
      <c r="E3995" s="23" t="n"/>
      <c r="F3995" s="15" t="n"/>
      <c r="G3995" s="23" t="n"/>
      <c r="H3995" s="25" t="n"/>
      <c r="I3995" s="15" t="n"/>
      <c r="J3995" s="26">
        <f>IF($A3995="","",LEN($C3995)-LEN(SUBSTITUTE($C3995,",",""))+1)</f>
        <v/>
      </c>
      <c r="K3995" s="26">
        <f>IF($A3995="","",SUMPRODUCT(--ISNUMBER(SEARCH('Category Dictionary'!$D$5:$D$135&amp;"",$C3995)),--('Category Dictionary'!$D$5:$D$135&lt;&gt;"")))</f>
        <v/>
      </c>
      <c r="L3995" s="27">
        <f>IF($A3995="","",TRIM(IF(ISERROR(FIND(",",$C3995)),$C3995,LEFT($C3995,FIND(",",$C3995)-1))))</f>
        <v/>
      </c>
      <c r="M3995" s="28">
        <f>IF($H3995="","",DATE(YEAR($H3995),MONTH($H3995),1))</f>
        <v/>
      </c>
      <c r="N3995" s="26">
        <f>IF($H3995="","",TODAY()-$H3995)</f>
        <v/>
      </c>
      <c r="O3995" s="15" t="n"/>
      <c r="P3995" s="26">
        <f>IF($A3995="","",COUNTIFS('Audit Versions'!$A$6:$A$605,$A3995,'Audit Versions'!$L$6:$L$605,"Active"))</f>
        <v/>
      </c>
      <c r="Q3995" s="15" t="n"/>
      <c r="R3995" s="26">
        <f>IF(OR($A3995="",$P3995=0),"",MOD(N($Q3995),$P3995)+1)</f>
        <v/>
      </c>
      <c r="S3995" s="15" t="n"/>
      <c r="T3995" s="25" t="n"/>
      <c r="U3995" s="26">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Builder'!$B$12="",N($S3995)&lt;='Assignment Builder'!$B$12)))</f>
        <v/>
      </c>
      <c r="V3995" s="23" t="n"/>
    </row>
    <row r="3996">
      <c r="A3996" s="23" t="n"/>
      <c r="B3996" s="23" t="n"/>
      <c r="C3996" s="24" t="n"/>
      <c r="D3996" s="15" t="n"/>
      <c r="E3996" s="23" t="n"/>
      <c r="F3996" s="15" t="n"/>
      <c r="G3996" s="23" t="n"/>
      <c r="H3996" s="25" t="n"/>
      <c r="I3996" s="15" t="n"/>
      <c r="J3996" s="26">
        <f>IF($A3996="","",LEN($C3996)-LEN(SUBSTITUTE($C3996,",",""))+1)</f>
        <v/>
      </c>
      <c r="K3996" s="26">
        <f>IF($A3996="","",SUMPRODUCT(--ISNUMBER(SEARCH('Category Dictionary'!$D$5:$D$135&amp;"",$C3996)),--('Category Dictionary'!$D$5:$D$135&lt;&gt;"")))</f>
        <v/>
      </c>
      <c r="L3996" s="27">
        <f>IF($A3996="","",TRIM(IF(ISERROR(FIND(",",$C3996)),$C3996,LEFT($C3996,FIND(",",$C3996)-1))))</f>
        <v/>
      </c>
      <c r="M3996" s="28">
        <f>IF($H3996="","",DATE(YEAR($H3996),MONTH($H3996),1))</f>
        <v/>
      </c>
      <c r="N3996" s="26">
        <f>IF($H3996="","",TODAY()-$H3996)</f>
        <v/>
      </c>
      <c r="O3996" s="15" t="n"/>
      <c r="P3996" s="26">
        <f>IF($A3996="","",COUNTIFS('Audit Versions'!$A$6:$A$605,$A3996,'Audit Versions'!$L$6:$L$605,"Active"))</f>
        <v/>
      </c>
      <c r="Q3996" s="15" t="n"/>
      <c r="R3996" s="26">
        <f>IF(OR($A3996="",$P3996=0),"",MOD(N($Q3996),$P3996)+1)</f>
        <v/>
      </c>
      <c r="S3996" s="15" t="n"/>
      <c r="T3996" s="25" t="n"/>
      <c r="U3996" s="26">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Builder'!$B$12="",N($S3996)&lt;='Assignment Builder'!$B$12)))</f>
        <v/>
      </c>
      <c r="V3996" s="23" t="n"/>
    </row>
    <row r="3997">
      <c r="A3997" s="23" t="n"/>
      <c r="B3997" s="23" t="n"/>
      <c r="C3997" s="24" t="n"/>
      <c r="D3997" s="15" t="n"/>
      <c r="E3997" s="23" t="n"/>
      <c r="F3997" s="15" t="n"/>
      <c r="G3997" s="23" t="n"/>
      <c r="H3997" s="25" t="n"/>
      <c r="I3997" s="15" t="n"/>
      <c r="J3997" s="26">
        <f>IF($A3997="","",LEN($C3997)-LEN(SUBSTITUTE($C3997,",",""))+1)</f>
        <v/>
      </c>
      <c r="K3997" s="26">
        <f>IF($A3997="","",SUMPRODUCT(--ISNUMBER(SEARCH('Category Dictionary'!$D$5:$D$135&amp;"",$C3997)),--('Category Dictionary'!$D$5:$D$135&lt;&gt;"")))</f>
        <v/>
      </c>
      <c r="L3997" s="27">
        <f>IF($A3997="","",TRIM(IF(ISERROR(FIND(",",$C3997)),$C3997,LEFT($C3997,FIND(",",$C3997)-1))))</f>
        <v/>
      </c>
      <c r="M3997" s="28">
        <f>IF($H3997="","",DATE(YEAR($H3997),MONTH($H3997),1))</f>
        <v/>
      </c>
      <c r="N3997" s="26">
        <f>IF($H3997="","",TODAY()-$H3997)</f>
        <v/>
      </c>
      <c r="O3997" s="15" t="n"/>
      <c r="P3997" s="26">
        <f>IF($A3997="","",COUNTIFS('Audit Versions'!$A$6:$A$605,$A3997,'Audit Versions'!$L$6:$L$605,"Active"))</f>
        <v/>
      </c>
      <c r="Q3997" s="15" t="n"/>
      <c r="R3997" s="26">
        <f>IF(OR($A3997="",$P3997=0),"",MOD(N($Q3997),$P3997)+1)</f>
        <v/>
      </c>
      <c r="S3997" s="15" t="n"/>
      <c r="T3997" s="25" t="n"/>
      <c r="U3997" s="26">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Builder'!$B$12="",N($S3997)&lt;='Assignment Builder'!$B$12)))</f>
        <v/>
      </c>
      <c r="V3997" s="23" t="n"/>
    </row>
    <row r="3998">
      <c r="A3998" s="23" t="n"/>
      <c r="B3998" s="23" t="n"/>
      <c r="C3998" s="24" t="n"/>
      <c r="D3998" s="15" t="n"/>
      <c r="E3998" s="23" t="n"/>
      <c r="F3998" s="15" t="n"/>
      <c r="G3998" s="23" t="n"/>
      <c r="H3998" s="25" t="n"/>
      <c r="I3998" s="15" t="n"/>
      <c r="J3998" s="26">
        <f>IF($A3998="","",LEN($C3998)-LEN(SUBSTITUTE($C3998,",",""))+1)</f>
        <v/>
      </c>
      <c r="K3998" s="26">
        <f>IF($A3998="","",SUMPRODUCT(--ISNUMBER(SEARCH('Category Dictionary'!$D$5:$D$135&amp;"",$C3998)),--('Category Dictionary'!$D$5:$D$135&lt;&gt;"")))</f>
        <v/>
      </c>
      <c r="L3998" s="27">
        <f>IF($A3998="","",TRIM(IF(ISERROR(FIND(",",$C3998)),$C3998,LEFT($C3998,FIND(",",$C3998)-1))))</f>
        <v/>
      </c>
      <c r="M3998" s="28">
        <f>IF($H3998="","",DATE(YEAR($H3998),MONTH($H3998),1))</f>
        <v/>
      </c>
      <c r="N3998" s="26">
        <f>IF($H3998="","",TODAY()-$H3998)</f>
        <v/>
      </c>
      <c r="O3998" s="15" t="n"/>
      <c r="P3998" s="26">
        <f>IF($A3998="","",COUNTIFS('Audit Versions'!$A$6:$A$605,$A3998,'Audit Versions'!$L$6:$L$605,"Active"))</f>
        <v/>
      </c>
      <c r="Q3998" s="15" t="n"/>
      <c r="R3998" s="26">
        <f>IF(OR($A3998="",$P3998=0),"",MOD(N($Q3998),$P3998)+1)</f>
        <v/>
      </c>
      <c r="S3998" s="15" t="n"/>
      <c r="T3998" s="25" t="n"/>
      <c r="U3998" s="26">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Builder'!$B$12="",N($S3998)&lt;='Assignment Builder'!$B$12)))</f>
        <v/>
      </c>
      <c r="V3998" s="23" t="n"/>
    </row>
    <row r="3999">
      <c r="A3999" s="23" t="n"/>
      <c r="B3999" s="23" t="n"/>
      <c r="C3999" s="24" t="n"/>
      <c r="D3999" s="15" t="n"/>
      <c r="E3999" s="23" t="n"/>
      <c r="F3999" s="15" t="n"/>
      <c r="G3999" s="23" t="n"/>
      <c r="H3999" s="25" t="n"/>
      <c r="I3999" s="15" t="n"/>
      <c r="J3999" s="26">
        <f>IF($A3999="","",LEN($C3999)-LEN(SUBSTITUTE($C3999,",",""))+1)</f>
        <v/>
      </c>
      <c r="K3999" s="26">
        <f>IF($A3999="","",SUMPRODUCT(--ISNUMBER(SEARCH('Category Dictionary'!$D$5:$D$135&amp;"",$C3999)),--('Category Dictionary'!$D$5:$D$135&lt;&gt;"")))</f>
        <v/>
      </c>
      <c r="L3999" s="27">
        <f>IF($A3999="","",TRIM(IF(ISERROR(FIND(",",$C3999)),$C3999,LEFT($C3999,FIND(",",$C3999)-1))))</f>
        <v/>
      </c>
      <c r="M3999" s="28">
        <f>IF($H3999="","",DATE(YEAR($H3999),MONTH($H3999),1))</f>
        <v/>
      </c>
      <c r="N3999" s="26">
        <f>IF($H3999="","",TODAY()-$H3999)</f>
        <v/>
      </c>
      <c r="O3999" s="15" t="n"/>
      <c r="P3999" s="26">
        <f>IF($A3999="","",COUNTIFS('Audit Versions'!$A$6:$A$605,$A3999,'Audit Versions'!$L$6:$L$605,"Active"))</f>
        <v/>
      </c>
      <c r="Q3999" s="15" t="n"/>
      <c r="R3999" s="26">
        <f>IF(OR($A3999="",$P3999=0),"",MOD(N($Q3999),$P3999)+1)</f>
        <v/>
      </c>
      <c r="S3999" s="15" t="n"/>
      <c r="T3999" s="25" t="n"/>
      <c r="U3999" s="26">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Builder'!$B$12="",N($S3999)&lt;='Assignment Builder'!$B$12)))</f>
        <v/>
      </c>
      <c r="V3999" s="23" t="n"/>
    </row>
    <row r="4000">
      <c r="A4000" s="23" t="n"/>
      <c r="B4000" s="23" t="n"/>
      <c r="C4000" s="24" t="n"/>
      <c r="D4000" s="15" t="n"/>
      <c r="E4000" s="23" t="n"/>
      <c r="F4000" s="15" t="n"/>
      <c r="G4000" s="23" t="n"/>
      <c r="H4000" s="25" t="n"/>
      <c r="I4000" s="15" t="n"/>
      <c r="J4000" s="26">
        <f>IF($A4000="","",LEN($C4000)-LEN(SUBSTITUTE($C4000,",",""))+1)</f>
        <v/>
      </c>
      <c r="K4000" s="26">
        <f>IF($A4000="","",SUMPRODUCT(--ISNUMBER(SEARCH('Category Dictionary'!$D$5:$D$135&amp;"",$C4000)),--('Category Dictionary'!$D$5:$D$135&lt;&gt;"")))</f>
        <v/>
      </c>
      <c r="L4000" s="27">
        <f>IF($A4000="","",TRIM(IF(ISERROR(FIND(",",$C4000)),$C4000,LEFT($C4000,FIND(",",$C4000)-1))))</f>
        <v/>
      </c>
      <c r="M4000" s="28">
        <f>IF($H4000="","",DATE(YEAR($H4000),MONTH($H4000),1))</f>
        <v/>
      </c>
      <c r="N4000" s="26">
        <f>IF($H4000="","",TODAY()-$H4000)</f>
        <v/>
      </c>
      <c r="O4000" s="15" t="n"/>
      <c r="P4000" s="26">
        <f>IF($A4000="","",COUNTIFS('Audit Versions'!$A$6:$A$605,$A4000,'Audit Versions'!$L$6:$L$605,"Active"))</f>
        <v/>
      </c>
      <c r="Q4000" s="15" t="n"/>
      <c r="R4000" s="26">
        <f>IF(OR($A4000="",$P4000=0),"",MOD(N($Q4000),$P4000)+1)</f>
        <v/>
      </c>
      <c r="S4000" s="15" t="n"/>
      <c r="T4000" s="25" t="n"/>
      <c r="U4000" s="26">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Builder'!$B$12="",N($S4000)&lt;='Assignment Builder'!$B$12)))</f>
        <v/>
      </c>
      <c r="V4000" s="23" t="n"/>
    </row>
    <row r="4001">
      <c r="A4001" s="23" t="n"/>
      <c r="B4001" s="23" t="n"/>
      <c r="C4001" s="24" t="n"/>
      <c r="D4001" s="15" t="n"/>
      <c r="E4001" s="23" t="n"/>
      <c r="F4001" s="15" t="n"/>
      <c r="G4001" s="23" t="n"/>
      <c r="H4001" s="25" t="n"/>
      <c r="I4001" s="15" t="n"/>
      <c r="J4001" s="26">
        <f>IF($A4001="","",LEN($C4001)-LEN(SUBSTITUTE($C4001,",",""))+1)</f>
        <v/>
      </c>
      <c r="K4001" s="26">
        <f>IF($A4001="","",SUMPRODUCT(--ISNUMBER(SEARCH('Category Dictionary'!$D$5:$D$135&amp;"",$C4001)),--('Category Dictionary'!$D$5:$D$135&lt;&gt;"")))</f>
        <v/>
      </c>
      <c r="L4001" s="27">
        <f>IF($A4001="","",TRIM(IF(ISERROR(FIND(",",$C4001)),$C4001,LEFT($C4001,FIND(",",$C4001)-1))))</f>
        <v/>
      </c>
      <c r="M4001" s="28">
        <f>IF($H4001="","",DATE(YEAR($H4001),MONTH($H4001),1))</f>
        <v/>
      </c>
      <c r="N4001" s="26">
        <f>IF($H4001="","",TODAY()-$H4001)</f>
        <v/>
      </c>
      <c r="O4001" s="15" t="n"/>
      <c r="P4001" s="26">
        <f>IF($A4001="","",COUNTIFS('Audit Versions'!$A$6:$A$605,$A4001,'Audit Versions'!$L$6:$L$605,"Active"))</f>
        <v/>
      </c>
      <c r="Q4001" s="15" t="n"/>
      <c r="R4001" s="26">
        <f>IF(OR($A4001="",$P4001=0),"",MOD(N($Q4001),$P4001)+1)</f>
        <v/>
      </c>
      <c r="S4001" s="15" t="n"/>
      <c r="T4001" s="25" t="n"/>
      <c r="U4001" s="26">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Builder'!$B$12="",N($S4001)&lt;='Assignment Builder'!$B$12)))</f>
        <v/>
      </c>
      <c r="V4001" s="23" t="n"/>
    </row>
    <row r="4002">
      <c r="A4002" s="23" t="n"/>
      <c r="B4002" s="23" t="n"/>
      <c r="C4002" s="24" t="n"/>
      <c r="D4002" s="15" t="n"/>
      <c r="E4002" s="23" t="n"/>
      <c r="F4002" s="15" t="n"/>
      <c r="G4002" s="23" t="n"/>
      <c r="H4002" s="25" t="n"/>
      <c r="I4002" s="15" t="n"/>
      <c r="J4002" s="26">
        <f>IF($A4002="","",LEN($C4002)-LEN(SUBSTITUTE($C4002,",",""))+1)</f>
        <v/>
      </c>
      <c r="K4002" s="26">
        <f>IF($A4002="","",SUMPRODUCT(--ISNUMBER(SEARCH('Category Dictionary'!$D$5:$D$135&amp;"",$C4002)),--('Category Dictionary'!$D$5:$D$135&lt;&gt;"")))</f>
        <v/>
      </c>
      <c r="L4002" s="27">
        <f>IF($A4002="","",TRIM(IF(ISERROR(FIND(",",$C4002)),$C4002,LEFT($C4002,FIND(",",$C4002)-1))))</f>
        <v/>
      </c>
      <c r="M4002" s="28">
        <f>IF($H4002="","",DATE(YEAR($H4002),MONTH($H4002),1))</f>
        <v/>
      </c>
      <c r="N4002" s="26">
        <f>IF($H4002="","",TODAY()-$H4002)</f>
        <v/>
      </c>
      <c r="O4002" s="15" t="n"/>
      <c r="P4002" s="26">
        <f>IF($A4002="","",COUNTIFS('Audit Versions'!$A$6:$A$605,$A4002,'Audit Versions'!$L$6:$L$605,"Active"))</f>
        <v/>
      </c>
      <c r="Q4002" s="15" t="n"/>
      <c r="R4002" s="26">
        <f>IF(OR($A4002="",$P4002=0),"",MOD(N($Q4002),$P4002)+1)</f>
        <v/>
      </c>
      <c r="S4002" s="15" t="n"/>
      <c r="T4002" s="25" t="n"/>
      <c r="U4002" s="26">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Builder'!$B$12="",N($S4002)&lt;='Assignment Builder'!$B$12)))</f>
        <v/>
      </c>
      <c r="V4002" s="23" t="n"/>
    </row>
    <row r="4003">
      <c r="A4003" s="23" t="n"/>
      <c r="B4003" s="23" t="n"/>
      <c r="C4003" s="24" t="n"/>
      <c r="D4003" s="15" t="n"/>
      <c r="E4003" s="23" t="n"/>
      <c r="F4003" s="15" t="n"/>
      <c r="G4003" s="23" t="n"/>
      <c r="H4003" s="25" t="n"/>
      <c r="I4003" s="15" t="n"/>
      <c r="J4003" s="26">
        <f>IF($A4003="","",LEN($C4003)-LEN(SUBSTITUTE($C4003,",",""))+1)</f>
        <v/>
      </c>
      <c r="K4003" s="26">
        <f>IF($A4003="","",SUMPRODUCT(--ISNUMBER(SEARCH('Category Dictionary'!$D$5:$D$135&amp;"",$C4003)),--('Category Dictionary'!$D$5:$D$135&lt;&gt;"")))</f>
        <v/>
      </c>
      <c r="L4003" s="27">
        <f>IF($A4003="","",TRIM(IF(ISERROR(FIND(",",$C4003)),$C4003,LEFT($C4003,FIND(",",$C4003)-1))))</f>
        <v/>
      </c>
      <c r="M4003" s="28">
        <f>IF($H4003="","",DATE(YEAR($H4003),MONTH($H4003),1))</f>
        <v/>
      </c>
      <c r="N4003" s="26">
        <f>IF($H4003="","",TODAY()-$H4003)</f>
        <v/>
      </c>
      <c r="O4003" s="15" t="n"/>
      <c r="P4003" s="26">
        <f>IF($A4003="","",COUNTIFS('Audit Versions'!$A$6:$A$605,$A4003,'Audit Versions'!$L$6:$L$605,"Active"))</f>
        <v/>
      </c>
      <c r="Q4003" s="15" t="n"/>
      <c r="R4003" s="26">
        <f>IF(OR($A4003="",$P4003=0),"",MOD(N($Q4003),$P4003)+1)</f>
        <v/>
      </c>
      <c r="S4003" s="15" t="n"/>
      <c r="T4003" s="25" t="n"/>
      <c r="U4003" s="26">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Builder'!$B$12="",N($S4003)&lt;='Assignment Builder'!$B$12)))</f>
        <v/>
      </c>
      <c r="V4003" s="23" t="n"/>
    </row>
    <row r="4004">
      <c r="A4004" s="23" t="n"/>
      <c r="B4004" s="23" t="n"/>
      <c r="C4004" s="24" t="n"/>
      <c r="D4004" s="15" t="n"/>
      <c r="E4004" s="23" t="n"/>
      <c r="F4004" s="15" t="n"/>
      <c r="G4004" s="23" t="n"/>
      <c r="H4004" s="25" t="n"/>
      <c r="I4004" s="15" t="n"/>
      <c r="J4004" s="26">
        <f>IF($A4004="","",LEN($C4004)-LEN(SUBSTITUTE($C4004,",",""))+1)</f>
        <v/>
      </c>
      <c r="K4004" s="26">
        <f>IF($A4004="","",SUMPRODUCT(--ISNUMBER(SEARCH('Category Dictionary'!$D$5:$D$135&amp;"",$C4004)),--('Category Dictionary'!$D$5:$D$135&lt;&gt;"")))</f>
        <v/>
      </c>
      <c r="L4004" s="27">
        <f>IF($A4004="","",TRIM(IF(ISERROR(FIND(",",$C4004)),$C4004,LEFT($C4004,FIND(",",$C4004)-1))))</f>
        <v/>
      </c>
      <c r="M4004" s="28">
        <f>IF($H4004="","",DATE(YEAR($H4004),MONTH($H4004),1))</f>
        <v/>
      </c>
      <c r="N4004" s="26">
        <f>IF($H4004="","",TODAY()-$H4004)</f>
        <v/>
      </c>
      <c r="O4004" s="15" t="n"/>
      <c r="P4004" s="26">
        <f>IF($A4004="","",COUNTIFS('Audit Versions'!$A$6:$A$605,$A4004,'Audit Versions'!$L$6:$L$605,"Active"))</f>
        <v/>
      </c>
      <c r="Q4004" s="15" t="n"/>
      <c r="R4004" s="26">
        <f>IF(OR($A4004="",$P4004=0),"",MOD(N($Q4004),$P4004)+1)</f>
        <v/>
      </c>
      <c r="S4004" s="15" t="n"/>
      <c r="T4004" s="25" t="n"/>
      <c r="U4004" s="26">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Builder'!$B$12="",N($S4004)&lt;='Assignment Builder'!$B$12)))</f>
        <v/>
      </c>
      <c r="V4004" s="23" t="n"/>
    </row>
    <row r="4005">
      <c r="A4005" s="23" t="n"/>
      <c r="B4005" s="23" t="n"/>
      <c r="C4005" s="24" t="n"/>
      <c r="D4005" s="15" t="n"/>
      <c r="E4005" s="23" t="n"/>
      <c r="F4005" s="15" t="n"/>
      <c r="G4005" s="23" t="n"/>
      <c r="H4005" s="25" t="n"/>
      <c r="I4005" s="15" t="n"/>
      <c r="J4005" s="26">
        <f>IF($A4005="","",LEN($C4005)-LEN(SUBSTITUTE($C4005,",",""))+1)</f>
        <v/>
      </c>
      <c r="K4005" s="26">
        <f>IF($A4005="","",SUMPRODUCT(--ISNUMBER(SEARCH('Category Dictionary'!$D$5:$D$135&amp;"",$C4005)),--('Category Dictionary'!$D$5:$D$135&lt;&gt;"")))</f>
        <v/>
      </c>
      <c r="L4005" s="27">
        <f>IF($A4005="","",TRIM(IF(ISERROR(FIND(",",$C4005)),$C4005,LEFT($C4005,FIND(",",$C4005)-1))))</f>
        <v/>
      </c>
      <c r="M4005" s="28">
        <f>IF($H4005="","",DATE(YEAR($H4005),MONTH($H4005),1))</f>
        <v/>
      </c>
      <c r="N4005" s="26">
        <f>IF($H4005="","",TODAY()-$H4005)</f>
        <v/>
      </c>
      <c r="O4005" s="15" t="n"/>
      <c r="P4005" s="26">
        <f>IF($A4005="","",COUNTIFS('Audit Versions'!$A$6:$A$605,$A4005,'Audit Versions'!$L$6:$L$605,"Active"))</f>
        <v/>
      </c>
      <c r="Q4005" s="15" t="n"/>
      <c r="R4005" s="26">
        <f>IF(OR($A4005="",$P4005=0),"",MOD(N($Q4005),$P4005)+1)</f>
        <v/>
      </c>
      <c r="S4005" s="15" t="n"/>
      <c r="T4005" s="25" t="n"/>
      <c r="U4005" s="26">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Builder'!$B$12="",N($S4005)&lt;='Assignment Builder'!$B$12)))</f>
        <v/>
      </c>
      <c r="V4005" s="23" t="n"/>
    </row>
  </sheetData>
  <autoFilter ref="A5:V4005"/>
  <mergeCells count="2">
    <mergeCell ref="A2:V2"/>
    <mergeCell ref="A1:V1"/>
  </mergeCells>
  <conditionalFormatting sqref="A6:V4005">
    <cfRule type="expression" priority="1" dxfId="4">
      <formula>MOD(ROW(),2)=0</formula>
    </cfRule>
  </conditionalFormatting>
  <conditionalFormatting sqref="U6:U4005">
    <cfRule type="expression" priority="2" dxfId="5">
      <formula>$U6=TRUE</formula>
    </cfRule>
  </conditionalFormatting>
  <conditionalFormatting sqref="F6:F4005">
    <cfRule type="expression" priority="3" dxfId="6">
      <formula>$F6="Retired"</formula>
    </cfRule>
  </conditionalFormatting>
  <conditionalFormatting sqref="O6:O4005">
    <cfRule type="expression" priority="4" dxfId="3">
      <formula>$O6="No"</formula>
    </cfRule>
  </conditionalFormatting>
  <conditionalFormatting sqref="J6:J4005">
    <cfRule type="cellIs" priority="5" operator="greaterThanOrEqual" dxfId="7">
      <formula>2</formula>
    </cfRule>
  </conditionalFormatting>
  <conditionalFormatting sqref="P6:P4005">
    <cfRule type="expression" priority="6" dxfId="8">
      <formula>AND($P6=1,N($Q6)&gt;0)</formula>
    </cfRule>
  </conditionalFormatting>
  <conditionalFormatting sqref="K6:K4005">
    <cfRule type="expression" priority="7" dxfId="9">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3" t="inlineStr">
        <is>
          <t>Specialty</t>
        </is>
      </c>
      <c r="B4" s="13" t="inlineStr">
        <is>
          <t>Topic ID</t>
        </is>
      </c>
      <c r="C4" s="13" t="inlineStr">
        <is>
          <t>Build
priority</t>
        </is>
      </c>
      <c r="D4" s="13" t="inlineStr">
        <is>
          <t>SHORT NAME  —  type this</t>
        </is>
      </c>
      <c r="E4" s="13" t="inlineStr">
        <is>
          <t>Full topic (taxonomy)</t>
        </is>
      </c>
      <c r="F4" s="13" t="inlineStr">
        <is>
          <t>Coverage
category</t>
        </is>
      </c>
      <c r="G4" s="13" t="inlineStr">
        <is>
          <t>Target
charts</t>
        </is>
      </c>
      <c r="H4" s="13" t="inlineStr">
        <is>
          <t>In pool
now</t>
        </is>
      </c>
      <c r="I4" s="13" t="inlineStr">
        <is>
          <t>% of
target</t>
        </is>
      </c>
      <c r="J4" s="13" t="inlineStr">
        <is>
          <t>Gap</t>
        </is>
      </c>
      <c r="K4" s="13" t="inlineStr">
        <is>
          <t>Name check</t>
        </is>
      </c>
      <c r="L4" s="13" t="inlineStr">
        <is>
          <t>Notes</t>
        </is>
      </c>
    </row>
    <row r="5" ht="24" customHeight="1">
      <c r="A5" s="23" t="inlineStr">
        <is>
          <t>IP-DRG</t>
        </is>
      </c>
      <c r="B5" s="29" t="inlineStr">
        <is>
          <t>IPD-01</t>
        </is>
      </c>
      <c r="C5" s="30" t="inlineStr">
        <is>
          <t>P1</t>
        </is>
      </c>
      <c r="D5" s="31" t="inlineStr">
        <is>
          <t>Vaginal delivery</t>
        </is>
      </c>
      <c r="E5" s="17" t="inlineStr">
        <is>
          <t>Vaginal delivery and complications of labour</t>
        </is>
      </c>
      <c r="F5" s="17" t="inlineStr">
        <is>
          <t>Medical DRGs</t>
        </is>
      </c>
      <c r="G5" s="29" t="n">
        <v>35</v>
      </c>
      <c r="H5" s="15">
        <f>COUNTIFS('Chart Database'!$B$6:$B$4005,$A5,'Chart Database'!$C$6:$C$4005,"*"&amp;$D5&amp;"*",'Chart Database'!$F$6:$F$4005,"Active")</f>
        <v/>
      </c>
      <c r="I5" s="32">
        <f>IF($G5=0,"NA",H5/$G5)</f>
        <v/>
      </c>
      <c r="J5" s="15">
        <f>$G5-H5</f>
        <v/>
      </c>
      <c r="K5" s="33">
        <f>IF($D5="","",IF(SUMPRODUCT(--($A$5:$A$135=$A5),--($D$5:$D$135&lt;&gt;""),--(ROW($D$5:$D$135)&lt;&gt;ROW()),--(ISNUMBER(SEARCH($D5,$D$5:$D$135))+ISNUMBER(SEARCH($D$5:$D$135&amp;"",$D5))&gt;0))&gt;0,"CLASH — overlaps another name in this specialty","OK"))</f>
        <v/>
      </c>
      <c r="L5" s="23" t="inlineStr"/>
    </row>
    <row r="6" ht="24" customHeight="1">
      <c r="A6" s="23" t="inlineStr">
        <is>
          <t>IP-DRG</t>
        </is>
      </c>
      <c r="B6" s="29" t="inlineStr">
        <is>
          <t>IPD-02</t>
        </is>
      </c>
      <c r="C6" s="30" t="inlineStr">
        <is>
          <t>P1</t>
        </is>
      </c>
      <c r="D6" s="31" t="inlineStr">
        <is>
          <t>Newborn</t>
        </is>
      </c>
      <c r="E6" s="17" t="inlineStr">
        <is>
          <t>Normal newborn and newborn with condition</t>
        </is>
      </c>
      <c r="F6" s="17" t="inlineStr">
        <is>
          <t>Medical DRGs</t>
        </is>
      </c>
      <c r="G6" s="29" t="n">
        <v>28</v>
      </c>
      <c r="H6" s="15">
        <f>COUNTIFS('Chart Database'!$B$6:$B$4005,$A6,'Chart Database'!$C$6:$C$4005,"*"&amp;$D6&amp;"*",'Chart Database'!$F$6:$F$4005,"Active")</f>
        <v/>
      </c>
      <c r="I6" s="32">
        <f>IF($G6=0,"NA",H6/$G6)</f>
        <v/>
      </c>
      <c r="J6" s="15">
        <f>$G6-H6</f>
        <v/>
      </c>
      <c r="K6" s="33">
        <f>IF($D6="","",IF(SUMPRODUCT(--($A$5:$A$135=$A6),--($D$5:$D$135&lt;&gt;""),--(ROW($D$5:$D$135)&lt;&gt;ROW()),--(ISNUMBER(SEARCH($D6,$D$5:$D$135))+ISNUMBER(SEARCH($D$5:$D$135&amp;"",$D6))&gt;0))&gt;0,"CLASH — overlaps another name in this specialty","OK"))</f>
        <v/>
      </c>
      <c r="L6" s="23" t="inlineStr"/>
    </row>
    <row r="7" ht="24" customHeight="1">
      <c r="A7" s="23" t="inlineStr">
        <is>
          <t>IP-DRG</t>
        </is>
      </c>
      <c r="B7" s="29" t="inlineStr">
        <is>
          <t>IPD-03</t>
        </is>
      </c>
      <c r="C7" s="30" t="inlineStr">
        <is>
          <t>P1</t>
        </is>
      </c>
      <c r="D7" s="31" t="inlineStr">
        <is>
          <t>Neonatal ICU</t>
        </is>
      </c>
      <c r="E7" s="17" t="inlineStr">
        <is>
          <t>Neonatal and NICU admissions</t>
        </is>
      </c>
      <c r="F7" s="17" t="inlineStr">
        <is>
          <t>Medical DRGs</t>
        </is>
      </c>
      <c r="G7" s="29" t="n">
        <v>14</v>
      </c>
      <c r="H7" s="15">
        <f>COUNTIFS('Chart Database'!$B$6:$B$4005,$A7,'Chart Database'!$C$6:$C$4005,"*"&amp;$D7&amp;"*",'Chart Database'!$F$6:$F$4005,"Active")</f>
        <v/>
      </c>
      <c r="I7" s="32">
        <f>IF($G7=0,"NA",H7/$G7)</f>
        <v/>
      </c>
      <c r="J7" s="15">
        <f>$G7-H7</f>
        <v/>
      </c>
      <c r="K7" s="33">
        <f>IF($D7="","",IF(SUMPRODUCT(--($A$5:$A$135=$A7),--($D$5:$D$135&lt;&gt;""),--(ROW($D$5:$D$135)&lt;&gt;ROW()),--(ISNUMBER(SEARCH($D7,$D$5:$D$135))+ISNUMBER(SEARCH($D$5:$D$135&amp;"",$D7))&gt;0))&gt;0,"CLASH — overlaps another name in this specialty","OK"))</f>
        <v/>
      </c>
      <c r="L7" s="23" t="inlineStr"/>
    </row>
    <row r="8" ht="24" customHeight="1">
      <c r="A8" s="23" t="inlineStr">
        <is>
          <t>IP-DRG</t>
        </is>
      </c>
      <c r="B8" s="29" t="inlineStr">
        <is>
          <t>IPD-04</t>
        </is>
      </c>
      <c r="C8" s="30" t="inlineStr">
        <is>
          <t>P1</t>
        </is>
      </c>
      <c r="D8" s="31" t="inlineStr">
        <is>
          <t>Peripartum medical</t>
        </is>
      </c>
      <c r="E8" s="17" t="inlineStr">
        <is>
          <t>Antepartum and postpartum medical admissions</t>
        </is>
      </c>
      <c r="F8" s="17" t="inlineStr">
        <is>
          <t>Medical DRGs</t>
        </is>
      </c>
      <c r="G8" s="29" t="n">
        <v>14</v>
      </c>
      <c r="H8" s="15">
        <f>COUNTIFS('Chart Database'!$B$6:$B$4005,$A8,'Chart Database'!$C$6:$C$4005,"*"&amp;$D8&amp;"*",'Chart Database'!$F$6:$F$4005,"Active")</f>
        <v/>
      </c>
      <c r="I8" s="32">
        <f>IF($G8=0,"NA",H8/$G8)</f>
        <v/>
      </c>
      <c r="J8" s="15">
        <f>$G8-H8</f>
        <v/>
      </c>
      <c r="K8" s="33">
        <f>IF($D8="","",IF(SUMPRODUCT(--($A$5:$A$135=$A8),--($D$5:$D$135&lt;&gt;""),--(ROW($D$5:$D$135)&lt;&gt;ROW()),--(ISNUMBER(SEARCH($D8,$D$5:$D$135))+ISNUMBER(SEARCH($D$5:$D$135&amp;"",$D8))&gt;0))&gt;0,"CLASH — overlaps another name in this specialty","OK"))</f>
        <v/>
      </c>
      <c r="L8" s="23" t="inlineStr"/>
    </row>
    <row r="9" ht="24" customHeight="1">
      <c r="A9" s="23" t="inlineStr">
        <is>
          <t>IP-DRG</t>
        </is>
      </c>
      <c r="B9" s="29" t="inlineStr">
        <is>
          <t>IPD-05</t>
        </is>
      </c>
      <c r="C9" s="34" t="inlineStr">
        <is>
          <t>P2</t>
        </is>
      </c>
      <c r="D9" s="31" t="inlineStr">
        <is>
          <t>GI medical</t>
        </is>
      </c>
      <c r="E9" s="17" t="inlineStr">
        <is>
          <t>Digestive medical — GI bleed, pancreatitis, obstruction</t>
        </is>
      </c>
      <c r="F9" s="17" t="inlineStr">
        <is>
          <t>Medical DRGs</t>
        </is>
      </c>
      <c r="G9" s="29" t="n">
        <v>42</v>
      </c>
      <c r="H9" s="15">
        <f>COUNTIFS('Chart Database'!$B$6:$B$4005,$A9,'Chart Database'!$C$6:$C$4005,"*"&amp;$D9&amp;"*",'Chart Database'!$F$6:$F$4005,"Active")</f>
        <v/>
      </c>
      <c r="I9" s="32">
        <f>IF($G9=0,"NA",H9/$G9)</f>
        <v/>
      </c>
      <c r="J9" s="15">
        <f>$G9-H9</f>
        <v/>
      </c>
      <c r="K9" s="33">
        <f>IF($D9="","",IF(SUMPRODUCT(--($A$5:$A$135=$A9),--($D$5:$D$135&lt;&gt;""),--(ROW($D$5:$D$135)&lt;&gt;ROW()),--(ISNUMBER(SEARCH($D9,$D$5:$D$135))+ISNUMBER(SEARCH($D$5:$D$135&amp;"",$D9))&gt;0))&gt;0,"CLASH — overlaps another name in this specialty","OK"))</f>
        <v/>
      </c>
      <c r="L9" s="23" t="inlineStr"/>
    </row>
    <row r="10" ht="24" customHeight="1">
      <c r="A10" s="23" t="inlineStr">
        <is>
          <t>IP-DRG</t>
        </is>
      </c>
      <c r="B10" s="29" t="inlineStr">
        <is>
          <t>IPD-06</t>
        </is>
      </c>
      <c r="C10" s="34" t="inlineStr">
        <is>
          <t>P2</t>
        </is>
      </c>
      <c r="D10" s="31" t="inlineStr">
        <is>
          <t>Respiratory medical</t>
        </is>
      </c>
      <c r="E10" s="17" t="inlineStr">
        <is>
          <t>Respiratory — pneumonia, COPD exacerbation, respiratory failure</t>
        </is>
      </c>
      <c r="F10" s="17" t="inlineStr">
        <is>
          <t>Medical DRGs</t>
        </is>
      </c>
      <c r="G10" s="29" t="n">
        <v>49</v>
      </c>
      <c r="H10" s="15">
        <f>COUNTIFS('Chart Database'!$B$6:$B$4005,$A10,'Chart Database'!$C$6:$C$4005,"*"&amp;$D10&amp;"*",'Chart Database'!$F$6:$F$4005,"Active")</f>
        <v/>
      </c>
      <c r="I10" s="32">
        <f>IF($G10=0,"NA",H10/$G10)</f>
        <v/>
      </c>
      <c r="J10" s="15">
        <f>$G10-H10</f>
        <v/>
      </c>
      <c r="K10" s="33">
        <f>IF($D10="","",IF(SUMPRODUCT(--($A$5:$A$135=$A10),--($D$5:$D$135&lt;&gt;""),--(ROW($D$5:$D$135)&lt;&gt;ROW()),--(ISNUMBER(SEARCH($D10,$D$5:$D$135))+ISNUMBER(SEARCH($D$5:$D$135&amp;"",$D10))&gt;0))&gt;0,"CLASH — overlaps another name in this specialty","OK"))</f>
        <v/>
      </c>
      <c r="L10" s="23" t="inlineStr"/>
    </row>
    <row r="11" ht="24" customHeight="1">
      <c r="A11" s="23" t="inlineStr">
        <is>
          <t>IP-DRG</t>
        </is>
      </c>
      <c r="B11" s="29" t="inlineStr">
        <is>
          <t>IPD-07</t>
        </is>
      </c>
      <c r="C11" s="34" t="inlineStr">
        <is>
          <t>P2</t>
        </is>
      </c>
      <c r="D11" s="31" t="inlineStr">
        <is>
          <t>Cardiac medical</t>
        </is>
      </c>
      <c r="E11" s="17" t="inlineStr">
        <is>
          <t>Circulatory medical — heart failure, AMI, arrhythmia</t>
        </is>
      </c>
      <c r="F11" s="17" t="inlineStr">
        <is>
          <t>Medical DRGs</t>
        </is>
      </c>
      <c r="G11" s="29" t="n">
        <v>42</v>
      </c>
      <c r="H11" s="15">
        <f>COUNTIFS('Chart Database'!$B$6:$B$4005,$A11,'Chart Database'!$C$6:$C$4005,"*"&amp;$D11&amp;"*",'Chart Database'!$F$6:$F$4005,"Active")</f>
        <v/>
      </c>
      <c r="I11" s="32">
        <f>IF($G11=0,"NA",H11/$G11)</f>
        <v/>
      </c>
      <c r="J11" s="15">
        <f>$G11-H11</f>
        <v/>
      </c>
      <c r="K11" s="33">
        <f>IF($D11="","",IF(SUMPRODUCT(--($A$5:$A$135=$A11),--($D$5:$D$135&lt;&gt;""),--(ROW($D$5:$D$135)&lt;&gt;ROW()),--(ISNUMBER(SEARCH($D11,$D$5:$D$135))+ISNUMBER(SEARCH($D$5:$D$135&amp;"",$D11))&gt;0))&gt;0,"CLASH — overlaps another name in this specialty","OK"))</f>
        <v/>
      </c>
      <c r="L11" s="23" t="inlineStr"/>
    </row>
    <row r="12" ht="24" customHeight="1">
      <c r="A12" s="23" t="inlineStr">
        <is>
          <t>IP-DRG</t>
        </is>
      </c>
      <c r="B12" s="29" t="inlineStr">
        <is>
          <t>IPD-08</t>
        </is>
      </c>
      <c r="C12" s="34" t="inlineStr">
        <is>
          <t>P2</t>
        </is>
      </c>
      <c r="D12" s="31" t="inlineStr">
        <is>
          <t>Sepsis</t>
        </is>
      </c>
      <c r="E12" s="17" t="inlineStr">
        <is>
          <t>Sepsis, severe sepsis and septic shock</t>
        </is>
      </c>
      <c r="F12" s="17" t="inlineStr">
        <is>
          <t>Medical DRGs</t>
        </is>
      </c>
      <c r="G12" s="29" t="n">
        <v>49</v>
      </c>
      <c r="H12" s="15">
        <f>COUNTIFS('Chart Database'!$B$6:$B$4005,$A12,'Chart Database'!$C$6:$C$4005,"*"&amp;$D12&amp;"*",'Chart Database'!$F$6:$F$4005,"Active")</f>
        <v/>
      </c>
      <c r="I12" s="32">
        <f>IF($G12=0,"NA",H12/$G12)</f>
        <v/>
      </c>
      <c r="J12" s="15">
        <f>$G12-H12</f>
        <v/>
      </c>
      <c r="K12" s="33">
        <f>IF($D12="","",IF(SUMPRODUCT(--($A$5:$A$135=$A12),--($D$5:$D$135&lt;&gt;""),--(ROW($D$5:$D$135)&lt;&gt;ROW()),--(ISNUMBER(SEARCH($D12,$D$5:$D$135))+ISNUMBER(SEARCH($D$5:$D$135&amp;"",$D12))&gt;0))&gt;0,"CLASH — overlaps another name in this specialty","OK"))</f>
        <v/>
      </c>
      <c r="L12" s="23" t="inlineStr"/>
    </row>
    <row r="13" ht="24" customHeight="1">
      <c r="A13" s="23" t="inlineStr">
        <is>
          <t>IP-DRG</t>
        </is>
      </c>
      <c r="B13" s="29" t="inlineStr">
        <is>
          <t>IPD-09</t>
        </is>
      </c>
      <c r="C13" s="34" t="inlineStr">
        <is>
          <t>P2</t>
        </is>
      </c>
      <c r="D13" s="31" t="inlineStr">
        <is>
          <t>Neuro medical</t>
        </is>
      </c>
      <c r="E13" s="17" t="inlineStr">
        <is>
          <t>Nervous system medical — CVA, TIA, intracranial haemorrhage</t>
        </is>
      </c>
      <c r="F13" s="17" t="inlineStr">
        <is>
          <t>Medical DRGs</t>
        </is>
      </c>
      <c r="G13" s="29" t="n">
        <v>28</v>
      </c>
      <c r="H13" s="15">
        <f>COUNTIFS('Chart Database'!$B$6:$B$4005,$A13,'Chart Database'!$C$6:$C$4005,"*"&amp;$D13&amp;"*",'Chart Database'!$F$6:$F$4005,"Active")</f>
        <v/>
      </c>
      <c r="I13" s="32">
        <f>IF($G13=0,"NA",H13/$G13)</f>
        <v/>
      </c>
      <c r="J13" s="15">
        <f>$G13-H13</f>
        <v/>
      </c>
      <c r="K13" s="33">
        <f>IF($D13="","",IF(SUMPRODUCT(--($A$5:$A$135=$A13),--($D$5:$D$135&lt;&gt;""),--(ROW($D$5:$D$135)&lt;&gt;ROW()),--(ISNUMBER(SEARCH($D13,$D$5:$D$135))+ISNUMBER(SEARCH($D$5:$D$135&amp;"",$D13))&gt;0))&gt;0,"CLASH — overlaps another name in this specialty","OK"))</f>
        <v/>
      </c>
      <c r="L13" s="23" t="inlineStr"/>
    </row>
    <row r="14" ht="24" customHeight="1">
      <c r="A14" s="23" t="inlineStr">
        <is>
          <t>IP-DRG</t>
        </is>
      </c>
      <c r="B14" s="29" t="inlineStr">
        <is>
          <t>IPD-10</t>
        </is>
      </c>
      <c r="C14" s="34" t="inlineStr">
        <is>
          <t>P2</t>
        </is>
      </c>
      <c r="D14" s="31" t="inlineStr">
        <is>
          <t>Renal</t>
        </is>
      </c>
      <c r="E14" s="17" t="inlineStr">
        <is>
          <t>Kidney and urinary — AKI, CKD, UTI</t>
        </is>
      </c>
      <c r="F14" s="17" t="inlineStr">
        <is>
          <t>Medical DRGs</t>
        </is>
      </c>
      <c r="G14" s="29" t="n">
        <v>21</v>
      </c>
      <c r="H14" s="15">
        <f>COUNTIFS('Chart Database'!$B$6:$B$4005,$A14,'Chart Database'!$C$6:$C$4005,"*"&amp;$D14&amp;"*",'Chart Database'!$F$6:$F$4005,"Active")</f>
        <v/>
      </c>
      <c r="I14" s="32">
        <f>IF($G14=0,"NA",H14/$G14)</f>
        <v/>
      </c>
      <c r="J14" s="15">
        <f>$G14-H14</f>
        <v/>
      </c>
      <c r="K14" s="33">
        <f>IF($D14="","",IF(SUMPRODUCT(--($A$5:$A$135=$A14),--($D$5:$D$135&lt;&gt;""),--(ROW($D$5:$D$135)&lt;&gt;ROW()),--(ISNUMBER(SEARCH($D14,$D$5:$D$135))+ISNUMBER(SEARCH($D$5:$D$135&amp;"",$D14))&gt;0))&gt;0,"CLASH — overlaps another name in this specialty","OK"))</f>
        <v/>
      </c>
      <c r="L14" s="23" t="inlineStr"/>
    </row>
    <row r="15" ht="24" customHeight="1">
      <c r="A15" s="23" t="inlineStr">
        <is>
          <t>IP-DRG</t>
        </is>
      </c>
      <c r="B15" s="29" t="inlineStr">
        <is>
          <t>IPD-11</t>
        </is>
      </c>
      <c r="C15" s="34" t="inlineStr">
        <is>
          <t>P2</t>
        </is>
      </c>
      <c r="D15" s="31" t="inlineStr">
        <is>
          <t>Endocrine</t>
        </is>
      </c>
      <c r="E15" s="17" t="inlineStr">
        <is>
          <t>Endocrine and metabolic — DKA, malnutrition, electrolyte disorders</t>
        </is>
      </c>
      <c r="F15" s="17" t="inlineStr">
        <is>
          <t>Medical DRGs</t>
        </is>
      </c>
      <c r="G15" s="29" t="n">
        <v>21</v>
      </c>
      <c r="H15" s="15">
        <f>COUNTIFS('Chart Database'!$B$6:$B$4005,$A15,'Chart Database'!$C$6:$C$4005,"*"&amp;$D15&amp;"*",'Chart Database'!$F$6:$F$4005,"Active")</f>
        <v/>
      </c>
      <c r="I15" s="32">
        <f>IF($G15=0,"NA",H15/$G15)</f>
        <v/>
      </c>
      <c r="J15" s="15">
        <f>$G15-H15</f>
        <v/>
      </c>
      <c r="K15" s="33">
        <f>IF($D15="","",IF(SUMPRODUCT(--($A$5:$A$135=$A15),--($D$5:$D$135&lt;&gt;""),--(ROW($D$5:$D$135)&lt;&gt;ROW()),--(ISNUMBER(SEARCH($D15,$D$5:$D$135))+ISNUMBER(SEARCH($D$5:$D$135&amp;"",$D15))&gt;0))&gt;0,"CLASH — overlaps another name in this specialty","OK"))</f>
        <v/>
      </c>
      <c r="L15" s="23" t="inlineStr"/>
    </row>
    <row r="16" ht="24" customHeight="1">
      <c r="A16" s="23" t="inlineStr">
        <is>
          <t>IP-DRG</t>
        </is>
      </c>
      <c r="B16" s="29" t="inlineStr">
        <is>
          <t>IPD-12</t>
        </is>
      </c>
      <c r="C16" s="34" t="inlineStr">
        <is>
          <t>P2</t>
        </is>
      </c>
      <c r="D16" s="31" t="inlineStr">
        <is>
          <t>Heme onc</t>
        </is>
      </c>
      <c r="E16" s="17" t="inlineStr">
        <is>
          <t>Haematology and oncology — medical admissions</t>
        </is>
      </c>
      <c r="F16" s="17" t="inlineStr">
        <is>
          <t>Medical DRGs</t>
        </is>
      </c>
      <c r="G16" s="29" t="n">
        <v>21</v>
      </c>
      <c r="H16" s="15">
        <f>COUNTIFS('Chart Database'!$B$6:$B$4005,$A16,'Chart Database'!$C$6:$C$4005,"*"&amp;$D16&amp;"*",'Chart Database'!$F$6:$F$4005,"Active")</f>
        <v/>
      </c>
      <c r="I16" s="32">
        <f>IF($G16=0,"NA",H16/$G16)</f>
        <v/>
      </c>
      <c r="J16" s="15">
        <f>$G16-H16</f>
        <v/>
      </c>
      <c r="K16" s="33">
        <f>IF($D16="","",IF(SUMPRODUCT(--($A$5:$A$135=$A16),--($D$5:$D$135&lt;&gt;""),--(ROW($D$5:$D$135)&lt;&gt;ROW()),--(ISNUMBER(SEARCH($D16,$D$5:$D$135))+ISNUMBER(SEARCH($D$5:$D$135&amp;"",$D16))&gt;0))&gt;0,"CLASH — overlaps another name in this specialty","OK"))</f>
        <v/>
      </c>
      <c r="L16" s="23" t="inlineStr"/>
    </row>
    <row r="17" ht="24" customHeight="1">
      <c r="A17" s="23" t="inlineStr">
        <is>
          <t>IP-DRG</t>
        </is>
      </c>
      <c r="B17" s="29" t="inlineStr">
        <is>
          <t>IPD-13</t>
        </is>
      </c>
      <c r="C17" s="35" t="inlineStr">
        <is>
          <t>P3</t>
        </is>
      </c>
      <c r="D17" s="31" t="inlineStr">
        <is>
          <t>Behavioral health</t>
        </is>
      </c>
      <c r="E17" s="17" t="inlineStr">
        <is>
          <t>Mental health and substance use</t>
        </is>
      </c>
      <c r="F17" s="17" t="inlineStr">
        <is>
          <t>Medical DRGs</t>
        </is>
      </c>
      <c r="G17" s="29" t="n">
        <v>14</v>
      </c>
      <c r="H17" s="15">
        <f>COUNTIFS('Chart Database'!$B$6:$B$4005,$A17,'Chart Database'!$C$6:$C$4005,"*"&amp;$D17&amp;"*",'Chart Database'!$F$6:$F$4005,"Active")</f>
        <v/>
      </c>
      <c r="I17" s="32">
        <f>IF($G17=0,"NA",H17/$G17)</f>
        <v/>
      </c>
      <c r="J17" s="15">
        <f>$G17-H17</f>
        <v/>
      </c>
      <c r="K17" s="33">
        <f>IF($D17="","",IF(SUMPRODUCT(--($A$5:$A$135=$A17),--($D$5:$D$135&lt;&gt;""),--(ROW($D$5:$D$135)&lt;&gt;ROW()),--(ISNUMBER(SEARCH($D17,$D$5:$D$135))+ISNUMBER(SEARCH($D$5:$D$135&amp;"",$D17))&gt;0))&gt;0,"CLASH — overlaps another name in this specialty","OK"))</f>
        <v/>
      </c>
      <c r="L17" s="23" t="inlineStr"/>
    </row>
    <row r="18" ht="24" customHeight="1">
      <c r="A18" s="23" t="inlineStr">
        <is>
          <t>IP-DRG</t>
        </is>
      </c>
      <c r="B18" s="29" t="inlineStr">
        <is>
          <t>IPD-14</t>
        </is>
      </c>
      <c r="C18" s="35" t="inlineStr">
        <is>
          <t>P3</t>
        </is>
      </c>
      <c r="D18" s="31" t="inlineStr">
        <is>
          <t>Infection other</t>
        </is>
      </c>
      <c r="E18" s="17" t="inlineStr">
        <is>
          <t>Other infectious disease</t>
        </is>
      </c>
      <c r="F18" s="17" t="inlineStr">
        <is>
          <t>Medical DRGs</t>
        </is>
      </c>
      <c r="G18" s="29" t="n">
        <v>7</v>
      </c>
      <c r="H18" s="15">
        <f>COUNTIFS('Chart Database'!$B$6:$B$4005,$A18,'Chart Database'!$C$6:$C$4005,"*"&amp;$D18&amp;"*",'Chart Database'!$F$6:$F$4005,"Active")</f>
        <v/>
      </c>
      <c r="I18" s="32">
        <f>IF($G18=0,"NA",H18/$G18)</f>
        <v/>
      </c>
      <c r="J18" s="15">
        <f>$G18-H18</f>
        <v/>
      </c>
      <c r="K18" s="33">
        <f>IF($D18="","",IF(SUMPRODUCT(--($A$5:$A$135=$A18),--($D$5:$D$135&lt;&gt;""),--(ROW($D$5:$D$135)&lt;&gt;ROW()),--(ISNUMBER(SEARCH($D18,$D$5:$D$135))+ISNUMBER(SEARCH($D$5:$D$135&amp;"",$D18))&gt;0))&gt;0,"CLASH — overlaps another name in this specialty","OK"))</f>
        <v/>
      </c>
      <c r="L18" s="23" t="inlineStr"/>
    </row>
    <row r="19" ht="24" customHeight="1">
      <c r="A19" s="23" t="inlineStr">
        <is>
          <t>IP-DRG</t>
        </is>
      </c>
      <c r="B19" s="29" t="inlineStr">
        <is>
          <t>IPD-15</t>
        </is>
      </c>
      <c r="C19" s="30" t="inlineStr">
        <is>
          <t>P1</t>
        </is>
      </c>
      <c r="D19" s="31" t="inlineStr">
        <is>
          <t>Caesarean</t>
        </is>
      </c>
      <c r="E19" s="17" t="inlineStr">
        <is>
          <t>Caesarean delivery</t>
        </is>
      </c>
      <c r="F19" s="17" t="inlineStr">
        <is>
          <t>Surgical DRGs</t>
        </is>
      </c>
      <c r="G19" s="29" t="n">
        <v>28</v>
      </c>
      <c r="H19" s="15">
        <f>COUNTIFS('Chart Database'!$B$6:$B$4005,$A19,'Chart Database'!$C$6:$C$4005,"*"&amp;$D19&amp;"*",'Chart Database'!$F$6:$F$4005,"Active")</f>
        <v/>
      </c>
      <c r="I19" s="32">
        <f>IF($G19=0,"NA",H19/$G19)</f>
        <v/>
      </c>
      <c r="J19" s="15">
        <f>$G19-H19</f>
        <v/>
      </c>
      <c r="K19" s="33">
        <f>IF($D19="","",IF(SUMPRODUCT(--($A$5:$A$135=$A19),--($D$5:$D$135&lt;&gt;""),--(ROW($D$5:$D$135)&lt;&gt;ROW()),--(ISNUMBER(SEARCH($D19,$D$5:$D$135))+ISNUMBER(SEARCH($D$5:$D$135&amp;"",$D19))&gt;0))&gt;0,"CLASH — overlaps another name in this specialty","OK"))</f>
        <v/>
      </c>
      <c r="L19" s="23" t="inlineStr"/>
    </row>
    <row r="20" ht="24" customHeight="1">
      <c r="A20" s="23" t="inlineStr">
        <is>
          <t>IP-DRG</t>
        </is>
      </c>
      <c r="B20" s="29" t="inlineStr">
        <is>
          <t>IPD-16</t>
        </is>
      </c>
      <c r="C20" s="30" t="inlineStr">
        <is>
          <t>P1</t>
        </is>
      </c>
      <c r="D20" s="31" t="inlineStr">
        <is>
          <t>OB surgical</t>
        </is>
      </c>
      <c r="E20" s="17" t="inlineStr">
        <is>
          <t>Obstetric and postpartum surgical procedures</t>
        </is>
      </c>
      <c r="F20" s="17" t="inlineStr">
        <is>
          <t>Surgical DRGs</t>
        </is>
      </c>
      <c r="G20" s="29" t="n">
        <v>14</v>
      </c>
      <c r="H20" s="15">
        <f>COUNTIFS('Chart Database'!$B$6:$B$4005,$A20,'Chart Database'!$C$6:$C$4005,"*"&amp;$D20&amp;"*",'Chart Database'!$F$6:$F$4005,"Active")</f>
        <v/>
      </c>
      <c r="I20" s="32">
        <f>IF($G20=0,"NA",H20/$G20)</f>
        <v/>
      </c>
      <c r="J20" s="15">
        <f>$G20-H20</f>
        <v/>
      </c>
      <c r="K20" s="33">
        <f>IF($D20="","",IF(SUMPRODUCT(--($A$5:$A$135=$A20),--($D$5:$D$135&lt;&gt;""),--(ROW($D$5:$D$135)&lt;&gt;ROW()),--(ISNUMBER(SEARCH($D20,$D$5:$D$135))+ISNUMBER(SEARCH($D$5:$D$135&amp;"",$D20))&gt;0))&gt;0,"CLASH — overlaps another name in this specialty","OK"))</f>
        <v/>
      </c>
      <c r="L20" s="23" t="inlineStr"/>
    </row>
    <row r="21" ht="24" customHeight="1">
      <c r="A21" s="23" t="inlineStr">
        <is>
          <t>IP-DRG</t>
        </is>
      </c>
      <c r="B21" s="29" t="inlineStr">
        <is>
          <t>IPD-17</t>
        </is>
      </c>
      <c r="C21" s="34" t="inlineStr">
        <is>
          <t>P2</t>
        </is>
      </c>
      <c r="D21" s="31" t="inlineStr">
        <is>
          <t>GI surgical</t>
        </is>
      </c>
      <c r="E21" s="17" t="inlineStr">
        <is>
          <t>Digestive surgical — bowel resection, cholecystectomy, hernia repair</t>
        </is>
      </c>
      <c r="F21" s="17" t="inlineStr">
        <is>
          <t>Surgical DRGs</t>
        </is>
      </c>
      <c r="G21" s="29" t="n">
        <v>55</v>
      </c>
      <c r="H21" s="15">
        <f>COUNTIFS('Chart Database'!$B$6:$B$4005,$A21,'Chart Database'!$C$6:$C$4005,"*"&amp;$D21&amp;"*",'Chart Database'!$F$6:$F$4005,"Active")</f>
        <v/>
      </c>
      <c r="I21" s="32">
        <f>IF($G21=0,"NA",H21/$G21)</f>
        <v/>
      </c>
      <c r="J21" s="15">
        <f>$G21-H21</f>
        <v/>
      </c>
      <c r="K21" s="33">
        <f>IF($D21="","",IF(SUMPRODUCT(--($A$5:$A$135=$A21),--($D$5:$D$135&lt;&gt;""),--(ROW($D$5:$D$135)&lt;&gt;ROW()),--(ISNUMBER(SEARCH($D21,$D$5:$D$135))+ISNUMBER(SEARCH($D$5:$D$135&amp;"",$D21))&gt;0))&gt;0,"CLASH — overlaps another name in this specialty","OK"))</f>
        <v/>
      </c>
      <c r="L21" s="23" t="inlineStr"/>
    </row>
    <row r="22" ht="24" customHeight="1">
      <c r="A22" s="23" t="inlineStr">
        <is>
          <t>IP-DRG</t>
        </is>
      </c>
      <c r="B22" s="29" t="inlineStr">
        <is>
          <t>IPD-18</t>
        </is>
      </c>
      <c r="C22" s="34" t="inlineStr">
        <is>
          <t>P2</t>
        </is>
      </c>
      <c r="D22" s="31" t="inlineStr">
        <is>
          <t>Cardiac surgical</t>
        </is>
      </c>
      <c r="E22" s="17" t="inlineStr">
        <is>
          <t>Cardiovascular surgical — CABG, valve, PCI, EP procedures</t>
        </is>
      </c>
      <c r="F22" s="17" t="inlineStr">
        <is>
          <t>Surgical DRGs</t>
        </is>
      </c>
      <c r="G22" s="29" t="n">
        <v>55</v>
      </c>
      <c r="H22" s="15">
        <f>COUNTIFS('Chart Database'!$B$6:$B$4005,$A22,'Chart Database'!$C$6:$C$4005,"*"&amp;$D22&amp;"*",'Chart Database'!$F$6:$F$4005,"Active")</f>
        <v/>
      </c>
      <c r="I22" s="32">
        <f>IF($G22=0,"NA",H22/$G22)</f>
        <v/>
      </c>
      <c r="J22" s="15">
        <f>$G22-H22</f>
        <v/>
      </c>
      <c r="K22" s="33">
        <f>IF($D22="","",IF(SUMPRODUCT(--($A$5:$A$135=$A22),--($D$5:$D$135&lt;&gt;""),--(ROW($D$5:$D$135)&lt;&gt;ROW()),--(ISNUMBER(SEARCH($D22,$D$5:$D$135))+ISNUMBER(SEARCH($D$5:$D$135&amp;"",$D22))&gt;0))&gt;0,"CLASH — overlaps another name in this specialty","OK"))</f>
        <v/>
      </c>
      <c r="L22" s="23" t="inlineStr"/>
    </row>
    <row r="23" ht="24" customHeight="1">
      <c r="A23" s="23" t="inlineStr">
        <is>
          <t>IP-DRG</t>
        </is>
      </c>
      <c r="B23" s="29" t="inlineStr">
        <is>
          <t>IPD-19</t>
        </is>
      </c>
      <c r="C23" s="34" t="inlineStr">
        <is>
          <t>P2</t>
        </is>
      </c>
      <c r="D23" s="31" t="inlineStr">
        <is>
          <t>Thoracic surgical</t>
        </is>
      </c>
      <c r="E23" s="17" t="inlineStr">
        <is>
          <t>Respiratory surgical — thoracotomy, tracheostomy, lung resection</t>
        </is>
      </c>
      <c r="F23" s="17" t="inlineStr">
        <is>
          <t>Surgical DRGs</t>
        </is>
      </c>
      <c r="G23" s="29" t="n">
        <v>21</v>
      </c>
      <c r="H23" s="15">
        <f>COUNTIFS('Chart Database'!$B$6:$B$4005,$A23,'Chart Database'!$C$6:$C$4005,"*"&amp;$D23&amp;"*",'Chart Database'!$F$6:$F$4005,"Active")</f>
        <v/>
      </c>
      <c r="I23" s="32">
        <f>IF($G23=0,"NA",H23/$G23)</f>
        <v/>
      </c>
      <c r="J23" s="15">
        <f>$G23-H23</f>
        <v/>
      </c>
      <c r="K23" s="33">
        <f>IF($D23="","",IF(SUMPRODUCT(--($A$5:$A$135=$A23),--($D$5:$D$135&lt;&gt;""),--(ROW($D$5:$D$135)&lt;&gt;ROW()),--(ISNUMBER(SEARCH($D23,$D$5:$D$135))+ISNUMBER(SEARCH($D$5:$D$135&amp;"",$D23))&gt;0))&gt;0,"CLASH — overlaps another name in this specialty","OK"))</f>
        <v/>
      </c>
      <c r="L23" s="23" t="inlineStr"/>
    </row>
    <row r="24" ht="24" customHeight="1">
      <c r="A24" s="23" t="inlineStr">
        <is>
          <t>IP-DRG</t>
        </is>
      </c>
      <c r="B24" s="29" t="inlineStr">
        <is>
          <t>IPD-20</t>
        </is>
      </c>
      <c r="C24" s="34" t="inlineStr">
        <is>
          <t>P2</t>
        </is>
      </c>
      <c r="D24" s="31" t="inlineStr">
        <is>
          <t>Ortho surgical</t>
        </is>
      </c>
      <c r="E24" s="17" t="inlineStr">
        <is>
          <t>Musculoskeletal — joint replacement, spinal fusion, fracture fixation</t>
        </is>
      </c>
      <c r="F24" s="17" t="inlineStr">
        <is>
          <t>Surgical DRGs</t>
        </is>
      </c>
      <c r="G24" s="29" t="n">
        <v>62</v>
      </c>
      <c r="H24" s="15">
        <f>COUNTIFS('Chart Database'!$B$6:$B$4005,$A24,'Chart Database'!$C$6:$C$4005,"*"&amp;$D24&amp;"*",'Chart Database'!$F$6:$F$4005,"Active")</f>
        <v/>
      </c>
      <c r="I24" s="32">
        <f>IF($G24=0,"NA",H24/$G24)</f>
        <v/>
      </c>
      <c r="J24" s="15">
        <f>$G24-H24</f>
        <v/>
      </c>
      <c r="K24" s="33">
        <f>IF($D24="","",IF(SUMPRODUCT(--($A$5:$A$135=$A24),--($D$5:$D$135&lt;&gt;""),--(ROW($D$5:$D$135)&lt;&gt;ROW()),--(ISNUMBER(SEARCH($D24,$D$5:$D$135))+ISNUMBER(SEARCH($D$5:$D$135&amp;"",$D24))&gt;0))&gt;0,"CLASH — overlaps another name in this specialty","OK"))</f>
        <v/>
      </c>
      <c r="L24" s="23" t="inlineStr"/>
    </row>
    <row r="25" ht="24" customHeight="1">
      <c r="A25" s="23" t="inlineStr">
        <is>
          <t>IP-DRG</t>
        </is>
      </c>
      <c r="B25" s="29" t="inlineStr">
        <is>
          <t>IPD-21</t>
        </is>
      </c>
      <c r="C25" s="34" t="inlineStr">
        <is>
          <t>P2</t>
        </is>
      </c>
      <c r="D25" s="31" t="inlineStr">
        <is>
          <t>Neuro surgical</t>
        </is>
      </c>
      <c r="E25" s="17" t="inlineStr">
        <is>
          <t>Nervous system surgical — craniotomy, shunt, spine decompression</t>
        </is>
      </c>
      <c r="F25" s="17" t="inlineStr">
        <is>
          <t>Surgical DRGs</t>
        </is>
      </c>
      <c r="G25" s="29" t="n">
        <v>28</v>
      </c>
      <c r="H25" s="15">
        <f>COUNTIFS('Chart Database'!$B$6:$B$4005,$A25,'Chart Database'!$C$6:$C$4005,"*"&amp;$D25&amp;"*",'Chart Database'!$F$6:$F$4005,"Active")</f>
        <v/>
      </c>
      <c r="I25" s="32">
        <f>IF($G25=0,"NA",H25/$G25)</f>
        <v/>
      </c>
      <c r="J25" s="15">
        <f>$G25-H25</f>
        <v/>
      </c>
      <c r="K25" s="33">
        <f>IF($D25="","",IF(SUMPRODUCT(--($A$5:$A$135=$A25),--($D$5:$D$135&lt;&gt;""),--(ROW($D$5:$D$135)&lt;&gt;ROW()),--(ISNUMBER(SEARCH($D25,$D$5:$D$135))+ISNUMBER(SEARCH($D$5:$D$135&amp;"",$D25))&gt;0))&gt;0,"CLASH — overlaps another name in this specialty","OK"))</f>
        <v/>
      </c>
      <c r="L25" s="23" t="inlineStr"/>
    </row>
    <row r="26" ht="24" customHeight="1">
      <c r="A26" s="23" t="inlineStr">
        <is>
          <t>IP-DRG</t>
        </is>
      </c>
      <c r="B26" s="29" t="inlineStr">
        <is>
          <t>IPD-22</t>
        </is>
      </c>
      <c r="C26" s="34" t="inlineStr">
        <is>
          <t>P2</t>
        </is>
      </c>
      <c r="D26" s="31" t="inlineStr">
        <is>
          <t>GU surgical</t>
        </is>
      </c>
      <c r="E26" s="17" t="inlineStr">
        <is>
          <t>Genitourinary surgical</t>
        </is>
      </c>
      <c r="F26" s="17" t="inlineStr">
        <is>
          <t>Surgical DRGs</t>
        </is>
      </c>
      <c r="G26" s="29" t="n">
        <v>21</v>
      </c>
      <c r="H26" s="15">
        <f>COUNTIFS('Chart Database'!$B$6:$B$4005,$A26,'Chart Database'!$C$6:$C$4005,"*"&amp;$D26&amp;"*",'Chart Database'!$F$6:$F$4005,"Active")</f>
        <v/>
      </c>
      <c r="I26" s="32">
        <f>IF($G26=0,"NA",H26/$G26)</f>
        <v/>
      </c>
      <c r="J26" s="15">
        <f>$G26-H26</f>
        <v/>
      </c>
      <c r="K26" s="33">
        <f>IF($D26="","",IF(SUMPRODUCT(--($A$5:$A$135=$A26),--($D$5:$D$135&lt;&gt;""),--(ROW($D$5:$D$135)&lt;&gt;ROW()),--(ISNUMBER(SEARCH($D26,$D$5:$D$135))+ISNUMBER(SEARCH($D$5:$D$135&amp;"",$D26))&gt;0))&gt;0,"CLASH — overlaps another name in this specialty","OK"))</f>
        <v/>
      </c>
      <c r="L26" s="23" t="inlineStr"/>
    </row>
    <row r="27" ht="24" customHeight="1">
      <c r="A27" s="23" t="inlineStr">
        <is>
          <t>IP-DRG</t>
        </is>
      </c>
      <c r="B27" s="29" t="inlineStr">
        <is>
          <t>IPD-23</t>
        </is>
      </c>
      <c r="C27" s="35" t="inlineStr">
        <is>
          <t>P3</t>
        </is>
      </c>
      <c r="D27" s="31" t="inlineStr">
        <is>
          <t>Vascular access</t>
        </is>
      </c>
      <c r="E27" s="17" t="inlineStr">
        <is>
          <t>Vascular access and device procedures — PICC, pacemaker, dialysis catheter</t>
        </is>
      </c>
      <c r="F27" s="17" t="inlineStr">
        <is>
          <t>Surgical DRGs</t>
        </is>
      </c>
      <c r="G27" s="29" t="n">
        <v>14</v>
      </c>
      <c r="H27" s="15">
        <f>COUNTIFS('Chart Database'!$B$6:$B$4005,$A27,'Chart Database'!$C$6:$C$4005,"*"&amp;$D27&amp;"*",'Chart Database'!$F$6:$F$4005,"Active")</f>
        <v/>
      </c>
      <c r="I27" s="32">
        <f>IF($G27=0,"NA",H27/$G27)</f>
        <v/>
      </c>
      <c r="J27" s="15">
        <f>$G27-H27</f>
        <v/>
      </c>
      <c r="K27" s="33">
        <f>IF($D27="","",IF(SUMPRODUCT(--($A$5:$A$135=$A27),--($D$5:$D$135&lt;&gt;""),--(ROW($D$5:$D$135)&lt;&gt;ROW()),--(ISNUMBER(SEARCH($D27,$D$5:$D$135))+ISNUMBER(SEARCH($D$5:$D$135&amp;"",$D27))&gt;0))&gt;0,"CLASH — overlaps another name in this specialty","OK"))</f>
        <v/>
      </c>
      <c r="L27" s="23" t="inlineStr"/>
    </row>
    <row r="28" ht="24" customHeight="1">
      <c r="A28" s="23" t="inlineStr">
        <is>
          <t>IP-DRG</t>
        </is>
      </c>
      <c r="B28" s="29" t="inlineStr">
        <is>
          <t>IPD-24</t>
        </is>
      </c>
      <c r="C28" s="35" t="inlineStr">
        <is>
          <t>P3</t>
        </is>
      </c>
      <c r="D28" s="31" t="inlineStr">
        <is>
          <t>Transplant</t>
        </is>
      </c>
      <c r="E28" s="17" t="inlineStr">
        <is>
          <t>Transplant and other high-weight DRGs</t>
        </is>
      </c>
      <c r="F28" s="17" t="inlineStr">
        <is>
          <t>Surgical DRGs</t>
        </is>
      </c>
      <c r="G28" s="29" t="n">
        <v>7</v>
      </c>
      <c r="H28" s="15">
        <f>COUNTIFS('Chart Database'!$B$6:$B$4005,$A28,'Chart Database'!$C$6:$C$4005,"*"&amp;$D28&amp;"*",'Chart Database'!$F$6:$F$4005,"Active")</f>
        <v/>
      </c>
      <c r="I28" s="32">
        <f>IF($G28=0,"NA",H28/$G28)</f>
        <v/>
      </c>
      <c r="J28" s="15">
        <f>$G28-H28</f>
        <v/>
      </c>
      <c r="K28" s="33">
        <f>IF($D28="","",IF(SUMPRODUCT(--($A$5:$A$135=$A28),--($D$5:$D$135&lt;&gt;""),--(ROW($D$5:$D$135)&lt;&gt;ROW()),--(ISNUMBER(SEARCH($D28,$D$5:$D$135))+ISNUMBER(SEARCH($D$5:$D$135&amp;"",$D28))&gt;0))&gt;0,"CLASH — overlaps another name in this specialty","OK"))</f>
        <v/>
      </c>
      <c r="L28" s="23" t="inlineStr"/>
    </row>
    <row r="29" ht="24" customHeight="1">
      <c r="A29" s="23" t="inlineStr">
        <is>
          <t>IP-DRG</t>
        </is>
      </c>
      <c r="B29" s="29" t="inlineStr">
        <is>
          <t>IPD-25</t>
        </is>
      </c>
      <c r="C29" s="35" t="inlineStr">
        <is>
          <t>P3</t>
        </is>
      </c>
      <c r="D29" s="31" t="inlineStr">
        <is>
          <t>Polytrauma</t>
        </is>
      </c>
      <c r="E29" s="17" t="inlineStr">
        <is>
          <t>Multiple significant trauma and burns</t>
        </is>
      </c>
      <c r="F29" s="17" t="inlineStr">
        <is>
          <t>Surgical DRGs</t>
        </is>
      </c>
      <c r="G29" s="29" t="n">
        <v>7</v>
      </c>
      <c r="H29" s="15">
        <f>COUNTIFS('Chart Database'!$B$6:$B$4005,$A29,'Chart Database'!$C$6:$C$4005,"*"&amp;$D29&amp;"*",'Chart Database'!$F$6:$F$4005,"Active")</f>
        <v/>
      </c>
      <c r="I29" s="32">
        <f>IF($G29=0,"NA",H29/$G29)</f>
        <v/>
      </c>
      <c r="J29" s="15">
        <f>$G29-H29</f>
        <v/>
      </c>
      <c r="K29" s="33">
        <f>IF($D29="","",IF(SUMPRODUCT(--($A$5:$A$135=$A29),--($D$5:$D$135&lt;&gt;""),--(ROW($D$5:$D$135)&lt;&gt;ROW()),--(ISNUMBER(SEARCH($D29,$D$5:$D$135))+ISNUMBER(SEARCH($D$5:$D$135&amp;"",$D29))&gt;0))&gt;0,"CLASH — overlaps another name in this specialty","OK"))</f>
        <v/>
      </c>
      <c r="L29" s="23" t="inlineStr"/>
    </row>
    <row r="30" ht="24" customHeight="1">
      <c r="A30" s="23" t="inlineStr">
        <is>
          <t>ED Facility</t>
        </is>
      </c>
      <c r="B30" s="29" t="inlineStr">
        <is>
          <t>EDF-01</t>
        </is>
      </c>
      <c r="C30" s="34" t="inlineStr">
        <is>
          <t>P2</t>
        </is>
      </c>
      <c r="D30" s="31" t="inlineStr">
        <is>
          <t>Minor presentation</t>
        </is>
      </c>
      <c r="E30" s="17" t="inlineStr">
        <is>
          <t>Minor presentations and rechecks (99281 / 99282)</t>
        </is>
      </c>
      <c r="F30" s="17" t="inlineStr">
        <is>
          <t>Levels 1–2</t>
        </is>
      </c>
      <c r="G30" s="29" t="n">
        <v>70</v>
      </c>
      <c r="H30" s="15">
        <f>COUNTIFS('Chart Database'!$B$6:$B$4005,$A30,'Chart Database'!$C$6:$C$4005,"*"&amp;$D30&amp;"*",'Chart Database'!$F$6:$F$4005,"Active")</f>
        <v/>
      </c>
      <c r="I30" s="32">
        <f>IF($G30=0,"NA",H30/$G30)</f>
        <v/>
      </c>
      <c r="J30" s="15">
        <f>$G30-H30</f>
        <v/>
      </c>
      <c r="K30" s="33">
        <f>IF($D30="","",IF(SUMPRODUCT(--($A$5:$A$135=$A30),--($D$5:$D$135&lt;&gt;""),--(ROW($D$5:$D$135)&lt;&gt;ROW()),--(ISNUMBER(SEARCH($D30,$D$5:$D$135))+ISNUMBER(SEARCH($D$5:$D$135&amp;"",$D30))&gt;0))&gt;0,"CLASH — overlaps another name in this specialty","OK"))</f>
        <v/>
      </c>
      <c r="L30" s="23" t="inlineStr"/>
    </row>
    <row r="31" ht="24" customHeight="1">
      <c r="A31" s="23" t="inlineStr">
        <is>
          <t>ED Facility</t>
        </is>
      </c>
      <c r="B31" s="29" t="inlineStr">
        <is>
          <t>EDF-02</t>
        </is>
      </c>
      <c r="C31" s="35" t="inlineStr">
        <is>
          <t>P3</t>
        </is>
      </c>
      <c r="D31" s="31" t="inlineStr">
        <is>
          <t>Nurse only</t>
        </is>
      </c>
      <c r="E31" s="17" t="inlineStr">
        <is>
          <t>Nurse-only and ancillary-only ED encounters</t>
        </is>
      </c>
      <c r="F31" s="17" t="inlineStr">
        <is>
          <t>Levels 1–2</t>
        </is>
      </c>
      <c r="G31" s="29" t="n">
        <v>35</v>
      </c>
      <c r="H31" s="15">
        <f>COUNTIFS('Chart Database'!$B$6:$B$4005,$A31,'Chart Database'!$C$6:$C$4005,"*"&amp;$D31&amp;"*",'Chart Database'!$F$6:$F$4005,"Active")</f>
        <v/>
      </c>
      <c r="I31" s="32">
        <f>IF($G31=0,"NA",H31/$G31)</f>
        <v/>
      </c>
      <c r="J31" s="15">
        <f>$G31-H31</f>
        <v/>
      </c>
      <c r="K31" s="33">
        <f>IF($D31="","",IF(SUMPRODUCT(--($A$5:$A$135=$A31),--($D$5:$D$135&lt;&gt;""),--(ROW($D$5:$D$135)&lt;&gt;ROW()),--(ISNUMBER(SEARCH($D31,$D$5:$D$135))+ISNUMBER(SEARCH($D$5:$D$135&amp;"",$D31))&gt;0))&gt;0,"CLASH — overlaps another name in this specialty","OK"))</f>
        <v/>
      </c>
      <c r="L31" s="23" t="inlineStr"/>
    </row>
    <row r="32" ht="24" customHeight="1">
      <c r="A32" s="23" t="inlineStr">
        <is>
          <t>ED Facility</t>
        </is>
      </c>
      <c r="B32" s="29" t="inlineStr">
        <is>
          <t>EDF-03</t>
        </is>
      </c>
      <c r="C32" s="34" t="inlineStr">
        <is>
          <t>P2</t>
        </is>
      </c>
      <c r="D32" s="31" t="inlineStr">
        <is>
          <t>Low acuity procedure</t>
        </is>
      </c>
      <c r="E32" s="17" t="inlineStr">
        <is>
          <t>Low-acuity visits with an ED procedure</t>
        </is>
      </c>
      <c r="F32" s="17" t="inlineStr">
        <is>
          <t>Levels 1–2</t>
        </is>
      </c>
      <c r="G32" s="29" t="n">
        <v>35</v>
      </c>
      <c r="H32" s="15">
        <f>COUNTIFS('Chart Database'!$B$6:$B$4005,$A32,'Chart Database'!$C$6:$C$4005,"*"&amp;$D32&amp;"*",'Chart Database'!$F$6:$F$4005,"Active")</f>
        <v/>
      </c>
      <c r="I32" s="32">
        <f>IF($G32=0,"NA",H32/$G32)</f>
        <v/>
      </c>
      <c r="J32" s="15">
        <f>$G32-H32</f>
        <v/>
      </c>
      <c r="K32" s="33">
        <f>IF($D32="","",IF(SUMPRODUCT(--($A$5:$A$135=$A32),--($D$5:$D$135&lt;&gt;""),--(ROW($D$5:$D$135)&lt;&gt;ROW()),--(ISNUMBER(SEARCH($D32,$D$5:$D$135))+ISNUMBER(SEARCH($D$5:$D$135&amp;"",$D32))&gt;0))&gt;0,"CLASH — overlaps another name in this specialty","OK"))</f>
        <v/>
      </c>
      <c r="L32" s="23" t="inlineStr"/>
    </row>
    <row r="33" ht="24" customHeight="1">
      <c r="A33" s="23" t="inlineStr">
        <is>
          <t>ED Facility</t>
        </is>
      </c>
      <c r="B33" s="29" t="inlineStr">
        <is>
          <t>EDF-04</t>
        </is>
      </c>
      <c r="C33" s="34" t="inlineStr">
        <is>
          <t>P2</t>
        </is>
      </c>
      <c r="D33" s="31" t="inlineStr">
        <is>
          <t>Moderate medical</t>
        </is>
      </c>
      <c r="E33" s="17" t="inlineStr">
        <is>
          <t>Moderate medical presentations — URI, UTI, gastroenteritis</t>
        </is>
      </c>
      <c r="F33" s="17" t="inlineStr">
        <is>
          <t>Level 3</t>
        </is>
      </c>
      <c r="G33" s="29" t="n">
        <v>70</v>
      </c>
      <c r="H33" s="15">
        <f>COUNTIFS('Chart Database'!$B$6:$B$4005,$A33,'Chart Database'!$C$6:$C$4005,"*"&amp;$D33&amp;"*",'Chart Database'!$F$6:$F$4005,"Active")</f>
        <v/>
      </c>
      <c r="I33" s="32">
        <f>IF($G33=0,"NA",H33/$G33)</f>
        <v/>
      </c>
      <c r="J33" s="15">
        <f>$G33-H33</f>
        <v/>
      </c>
      <c r="K33" s="33">
        <f>IF($D33="","",IF(SUMPRODUCT(--($A$5:$A$135=$A33),--($D$5:$D$135&lt;&gt;""),--(ROW($D$5:$D$135)&lt;&gt;ROW()),--(ISNUMBER(SEARCH($D33,$D$5:$D$135))+ISNUMBER(SEARCH($D$5:$D$135&amp;"",$D33))&gt;0))&gt;0,"CLASH — overlaps another name in this specialty","OK"))</f>
        <v/>
      </c>
      <c r="L33" s="23" t="inlineStr"/>
    </row>
    <row r="34" ht="24" customHeight="1">
      <c r="A34" s="23" t="inlineStr">
        <is>
          <t>ED Facility</t>
        </is>
      </c>
      <c r="B34" s="29" t="inlineStr">
        <is>
          <t>EDF-05</t>
        </is>
      </c>
      <c r="C34" s="34" t="inlineStr">
        <is>
          <t>P2</t>
        </is>
      </c>
      <c r="D34" s="31" t="inlineStr">
        <is>
          <t>Wound repair</t>
        </is>
      </c>
      <c r="E34" s="17" t="inlineStr">
        <is>
          <t>Minor trauma and wound repair</t>
        </is>
      </c>
      <c r="F34" s="17" t="inlineStr">
        <is>
          <t>Level 3</t>
        </is>
      </c>
      <c r="G34" s="29" t="n">
        <v>56</v>
      </c>
      <c r="H34" s="15">
        <f>COUNTIFS('Chart Database'!$B$6:$B$4005,$A34,'Chart Database'!$C$6:$C$4005,"*"&amp;$D34&amp;"*",'Chart Database'!$F$6:$F$4005,"Active")</f>
        <v/>
      </c>
      <c r="I34" s="32">
        <f>IF($G34=0,"NA",H34/$G34)</f>
        <v/>
      </c>
      <c r="J34" s="15">
        <f>$G34-H34</f>
        <v/>
      </c>
      <c r="K34" s="33">
        <f>IF($D34="","",IF(SUMPRODUCT(--($A$5:$A$135=$A34),--($D$5:$D$135&lt;&gt;""),--(ROW($D$5:$D$135)&lt;&gt;ROW()),--(ISNUMBER(SEARCH($D34,$D$5:$D$135))+ISNUMBER(SEARCH($D$5:$D$135&amp;"",$D34))&gt;0))&gt;0,"CLASH — overlaps another name in this specialty","OK"))</f>
        <v/>
      </c>
      <c r="L34" s="23" t="inlineStr"/>
    </row>
    <row r="35" ht="24" customHeight="1">
      <c r="A35" s="23" t="inlineStr">
        <is>
          <t>ED Facility</t>
        </is>
      </c>
      <c r="B35" s="29" t="inlineStr">
        <is>
          <t>EDF-06</t>
        </is>
      </c>
      <c r="C35" s="34" t="inlineStr">
        <is>
          <t>P2</t>
        </is>
      </c>
      <c r="D35" s="31" t="inlineStr">
        <is>
          <t>Ortho injury</t>
        </is>
      </c>
      <c r="E35" s="17" t="inlineStr">
        <is>
          <t>Orthopaedic injury — sprain, simple fracture, splinting</t>
        </is>
      </c>
      <c r="F35" s="17" t="inlineStr">
        <is>
          <t>Level 3</t>
        </is>
      </c>
      <c r="G35" s="29" t="n">
        <v>49</v>
      </c>
      <c r="H35" s="15">
        <f>COUNTIFS('Chart Database'!$B$6:$B$4005,$A35,'Chart Database'!$C$6:$C$4005,"*"&amp;$D35&amp;"*",'Chart Database'!$F$6:$F$4005,"Active")</f>
        <v/>
      </c>
      <c r="I35" s="32">
        <f>IF($G35=0,"NA",H35/$G35)</f>
        <v/>
      </c>
      <c r="J35" s="15">
        <f>$G35-H35</f>
        <v/>
      </c>
      <c r="K35" s="33">
        <f>IF($D35="","",IF(SUMPRODUCT(--($A$5:$A$135=$A35),--($D$5:$D$135&lt;&gt;""),--(ROW($D$5:$D$135)&lt;&gt;ROW()),--(ISNUMBER(SEARCH($D35,$D$5:$D$135))+ISNUMBER(SEARCH($D$5:$D$135&amp;"",$D35))&gt;0))&gt;0,"CLASH — overlaps another name in this specialty","OK"))</f>
        <v/>
      </c>
      <c r="L35" s="23" t="inlineStr"/>
    </row>
    <row r="36" ht="24" customHeight="1">
      <c r="A36" s="23" t="inlineStr">
        <is>
          <t>ED Facility</t>
        </is>
      </c>
      <c r="B36" s="29" t="inlineStr">
        <is>
          <t>EDF-07</t>
        </is>
      </c>
      <c r="C36" s="34" t="inlineStr">
        <is>
          <t>P2</t>
        </is>
      </c>
      <c r="D36" s="31" t="inlineStr">
        <is>
          <t>Infusion</t>
        </is>
      </c>
      <c r="E36" s="17" t="inlineStr">
        <is>
          <t>Infusion and injection administration visits</t>
        </is>
      </c>
      <c r="F36" s="17" t="inlineStr">
        <is>
          <t>Level 3</t>
        </is>
      </c>
      <c r="G36" s="29" t="n">
        <v>35</v>
      </c>
      <c r="H36" s="15">
        <f>COUNTIFS('Chart Database'!$B$6:$B$4005,$A36,'Chart Database'!$C$6:$C$4005,"*"&amp;$D36&amp;"*",'Chart Database'!$F$6:$F$4005,"Active")</f>
        <v/>
      </c>
      <c r="I36" s="32">
        <f>IF($G36=0,"NA",H36/$G36)</f>
        <v/>
      </c>
      <c r="J36" s="15">
        <f>$G36-H36</f>
        <v/>
      </c>
      <c r="K36" s="33">
        <f>IF($D36="","",IF(SUMPRODUCT(--($A$5:$A$135=$A36),--($D$5:$D$135&lt;&gt;""),--(ROW($D$5:$D$135)&lt;&gt;ROW()),--(ISNUMBER(SEARCH($D36,$D$5:$D$135))+ISNUMBER(SEARCH($D$5:$D$135&amp;"",$D36))&gt;0))&gt;0,"CLASH — overlaps another name in this specialty","OK"))</f>
        <v/>
      </c>
      <c r="L36" s="23" t="inlineStr"/>
    </row>
    <row r="37" ht="24" customHeight="1">
      <c r="A37" s="23" t="inlineStr">
        <is>
          <t>ED Facility</t>
        </is>
      </c>
      <c r="B37" s="29" t="inlineStr">
        <is>
          <t>EDF-08</t>
        </is>
      </c>
      <c r="C37" s="34" t="inlineStr">
        <is>
          <t>P2</t>
        </is>
      </c>
      <c r="D37" s="31" t="inlineStr">
        <is>
          <t>Pain workup</t>
        </is>
      </c>
      <c r="E37" s="17" t="inlineStr">
        <is>
          <t>Abdominal and chest pain workups</t>
        </is>
      </c>
      <c r="F37" s="17" t="inlineStr">
        <is>
          <t>Level 4</t>
        </is>
      </c>
      <c r="G37" s="29" t="n">
        <v>63</v>
      </c>
      <c r="H37" s="15">
        <f>COUNTIFS('Chart Database'!$B$6:$B$4005,$A37,'Chart Database'!$C$6:$C$4005,"*"&amp;$D37&amp;"*",'Chart Database'!$F$6:$F$4005,"Active")</f>
        <v/>
      </c>
      <c r="I37" s="32">
        <f>IF($G37=0,"NA",H37/$G37)</f>
        <v/>
      </c>
      <c r="J37" s="15">
        <f>$G37-H37</f>
        <v/>
      </c>
      <c r="K37" s="33">
        <f>IF($D37="","",IF(SUMPRODUCT(--($A$5:$A$135=$A37),--($D$5:$D$135&lt;&gt;""),--(ROW($D$5:$D$135)&lt;&gt;ROW()),--(ISNUMBER(SEARCH($D37,$D$5:$D$135))+ISNUMBER(SEARCH($D$5:$D$135&amp;"",$D37))&gt;0))&gt;0,"CLASH — overlaps another name in this specialty","OK"))</f>
        <v/>
      </c>
      <c r="L37" s="23" t="inlineStr"/>
    </row>
    <row r="38" ht="24" customHeight="1">
      <c r="A38" s="23" t="inlineStr">
        <is>
          <t>ED Facility</t>
        </is>
      </c>
      <c r="B38" s="29" t="inlineStr">
        <is>
          <t>EDF-09</t>
        </is>
      </c>
      <c r="C38" s="34" t="inlineStr">
        <is>
          <t>P2</t>
        </is>
      </c>
      <c r="D38" s="31" t="inlineStr">
        <is>
          <t>Respiratory distress</t>
        </is>
      </c>
      <c r="E38" s="17" t="inlineStr">
        <is>
          <t>Respiratory distress — asthma, COPD, pneumonia</t>
        </is>
      </c>
      <c r="F38" s="17" t="inlineStr">
        <is>
          <t>Level 4</t>
        </is>
      </c>
      <c r="G38" s="29" t="n">
        <v>49</v>
      </c>
      <c r="H38" s="15">
        <f>COUNTIFS('Chart Database'!$B$6:$B$4005,$A38,'Chart Database'!$C$6:$C$4005,"*"&amp;$D38&amp;"*",'Chart Database'!$F$6:$F$4005,"Active")</f>
        <v/>
      </c>
      <c r="I38" s="32">
        <f>IF($G38=0,"NA",H38/$G38)</f>
        <v/>
      </c>
      <c r="J38" s="15">
        <f>$G38-H38</f>
        <v/>
      </c>
      <c r="K38" s="33">
        <f>IF($D38="","",IF(SUMPRODUCT(--($A$5:$A$135=$A38),--($D$5:$D$135&lt;&gt;""),--(ROW($D$5:$D$135)&lt;&gt;ROW()),--(ISNUMBER(SEARCH($D38,$D$5:$D$135))+ISNUMBER(SEARCH($D$5:$D$135&amp;"",$D38))&gt;0))&gt;0,"CLASH — overlaps another name in this specialty","OK"))</f>
        <v/>
      </c>
      <c r="L38" s="23" t="inlineStr"/>
    </row>
    <row r="39" ht="24" customHeight="1">
      <c r="A39" s="23" t="inlineStr">
        <is>
          <t>ED Facility</t>
        </is>
      </c>
      <c r="B39" s="29" t="inlineStr">
        <is>
          <t>EDF-10</t>
        </is>
      </c>
      <c r="C39" s="34" t="inlineStr">
        <is>
          <t>P2</t>
        </is>
      </c>
      <c r="D39" s="31" t="inlineStr">
        <is>
          <t>Complex medical</t>
        </is>
      </c>
      <c r="E39" s="17" t="inlineStr">
        <is>
          <t>Complex medical with multiple workups</t>
        </is>
      </c>
      <c r="F39" s="17" t="inlineStr">
        <is>
          <t>Level 4</t>
        </is>
      </c>
      <c r="G39" s="29" t="n">
        <v>49</v>
      </c>
      <c r="H39" s="15">
        <f>COUNTIFS('Chart Database'!$B$6:$B$4005,$A39,'Chart Database'!$C$6:$C$4005,"*"&amp;$D39&amp;"*",'Chart Database'!$F$6:$F$4005,"Active")</f>
        <v/>
      </c>
      <c r="I39" s="32">
        <f>IF($G39=0,"NA",H39/$G39)</f>
        <v/>
      </c>
      <c r="J39" s="15">
        <f>$G39-H39</f>
        <v/>
      </c>
      <c r="K39" s="33">
        <f>IF($D39="","",IF(SUMPRODUCT(--($A$5:$A$135=$A39),--($D$5:$D$135&lt;&gt;""),--(ROW($D$5:$D$135)&lt;&gt;ROW()),--(ISNUMBER(SEARCH($D39,$D$5:$D$135))+ISNUMBER(SEARCH($D$5:$D$135&amp;"",$D39))&gt;0))&gt;0,"CLASH — overlaps another name in this specialty","OK"))</f>
        <v/>
      </c>
      <c r="L39" s="23" t="inlineStr"/>
    </row>
    <row r="40" ht="24" customHeight="1">
      <c r="A40" s="23" t="inlineStr">
        <is>
          <t>ED Facility</t>
        </is>
      </c>
      <c r="B40" s="29" t="inlineStr">
        <is>
          <t>EDF-11</t>
        </is>
      </c>
      <c r="C40" s="35" t="inlineStr">
        <is>
          <t>P3</t>
        </is>
      </c>
      <c r="D40" s="31" t="inlineStr">
        <is>
          <t>Behavioral health</t>
        </is>
      </c>
      <c r="E40" s="17" t="inlineStr">
        <is>
          <t>Behavioural health presentations</t>
        </is>
      </c>
      <c r="F40" s="17" t="inlineStr">
        <is>
          <t>Level 4</t>
        </is>
      </c>
      <c r="G40" s="29" t="n">
        <v>28</v>
      </c>
      <c r="H40" s="15">
        <f>COUNTIFS('Chart Database'!$B$6:$B$4005,$A40,'Chart Database'!$C$6:$C$4005,"*"&amp;$D40&amp;"*",'Chart Database'!$F$6:$F$4005,"Active")</f>
        <v/>
      </c>
      <c r="I40" s="32">
        <f>IF($G40=0,"NA",H40/$G40)</f>
        <v/>
      </c>
      <c r="J40" s="15">
        <f>$G40-H40</f>
        <v/>
      </c>
      <c r="K40" s="33">
        <f>IF($D40="","",IF(SUMPRODUCT(--($A$5:$A$135=$A40),--($D$5:$D$135&lt;&gt;""),--(ROW($D$5:$D$135)&lt;&gt;ROW()),--(ISNUMBER(SEARCH($D40,$D$5:$D$135))+ISNUMBER(SEARCH($D$5:$D$135&amp;"",$D40))&gt;0))&gt;0,"CLASH — overlaps another name in this specialty","OK"))</f>
        <v/>
      </c>
      <c r="L40" s="23" t="inlineStr"/>
    </row>
    <row r="41" ht="24" customHeight="1">
      <c r="A41" s="23" t="inlineStr">
        <is>
          <t>ED Facility</t>
        </is>
      </c>
      <c r="B41" s="29" t="inlineStr">
        <is>
          <t>EDF-12</t>
        </is>
      </c>
      <c r="C41" s="34" t="inlineStr">
        <is>
          <t>P2</t>
        </is>
      </c>
      <c r="D41" s="31" t="inlineStr">
        <is>
          <t>Observation</t>
        </is>
      </c>
      <c r="E41" s="17" t="inlineStr">
        <is>
          <t>Observation services initiated from the ED</t>
        </is>
      </c>
      <c r="F41" s="17" t="inlineStr">
        <is>
          <t>Level 4</t>
        </is>
      </c>
      <c r="G41" s="29" t="n">
        <v>21</v>
      </c>
      <c r="H41" s="15">
        <f>COUNTIFS('Chart Database'!$B$6:$B$4005,$A41,'Chart Database'!$C$6:$C$4005,"*"&amp;$D41&amp;"*",'Chart Database'!$F$6:$F$4005,"Active")</f>
        <v/>
      </c>
      <c r="I41" s="32">
        <f>IF($G41=0,"NA",H41/$G41)</f>
        <v/>
      </c>
      <c r="J41" s="15">
        <f>$G41-H41</f>
        <v/>
      </c>
      <c r="K41" s="33">
        <f>IF($D41="","",IF(SUMPRODUCT(--($A$5:$A$135=$A41),--($D$5:$D$135&lt;&gt;""),--(ROW($D$5:$D$135)&lt;&gt;ROW()),--(ISNUMBER(SEARCH($D41,$D$5:$D$135))+ISNUMBER(SEARCH($D$5:$D$135&amp;"",$D41))&gt;0))&gt;0,"CLASH — overlaps another name in this specialty","OK"))</f>
        <v/>
      </c>
      <c r="L41" s="23" t="inlineStr"/>
    </row>
    <row r="42" ht="24" customHeight="1">
      <c r="A42" s="23" t="inlineStr">
        <is>
          <t>ED Facility</t>
        </is>
      </c>
      <c r="B42" s="29" t="inlineStr">
        <is>
          <t>EDF-13</t>
        </is>
      </c>
      <c r="C42" s="34" t="inlineStr">
        <is>
          <t>P2</t>
        </is>
      </c>
      <c r="D42" s="31" t="inlineStr">
        <is>
          <t>High acuity L5</t>
        </is>
      </c>
      <c r="E42" s="17" t="inlineStr">
        <is>
          <t>High-acuity medical (99285)</t>
        </is>
      </c>
      <c r="F42" s="17" t="inlineStr">
        <is>
          <t>Level 5 / critical care</t>
        </is>
      </c>
      <c r="G42" s="29" t="n">
        <v>42</v>
      </c>
      <c r="H42" s="15">
        <f>COUNTIFS('Chart Database'!$B$6:$B$4005,$A42,'Chart Database'!$C$6:$C$4005,"*"&amp;$D42&amp;"*",'Chart Database'!$F$6:$F$4005,"Active")</f>
        <v/>
      </c>
      <c r="I42" s="32">
        <f>IF($G42=0,"NA",H42/$G42)</f>
        <v/>
      </c>
      <c r="J42" s="15">
        <f>$G42-H42</f>
        <v/>
      </c>
      <c r="K42" s="33">
        <f>IF($D42="","",IF(SUMPRODUCT(--($A$5:$A$135=$A42),--($D$5:$D$135&lt;&gt;""),--(ROW($D$5:$D$135)&lt;&gt;ROW()),--(ISNUMBER(SEARCH($D42,$D$5:$D$135))+ISNUMBER(SEARCH($D$5:$D$135&amp;"",$D42))&gt;0))&gt;0,"CLASH — overlaps another name in this specialty","OK"))</f>
        <v/>
      </c>
      <c r="L42" s="23" t="inlineStr"/>
    </row>
    <row r="43" ht="24" customHeight="1">
      <c r="A43" s="23" t="inlineStr">
        <is>
          <t>ED Facility</t>
        </is>
      </c>
      <c r="B43" s="29" t="inlineStr">
        <is>
          <t>EDF-14</t>
        </is>
      </c>
      <c r="C43" s="34" t="inlineStr">
        <is>
          <t>P2</t>
        </is>
      </c>
      <c r="D43" s="31" t="inlineStr">
        <is>
          <t>Critical care</t>
        </is>
      </c>
      <c r="E43" s="17" t="inlineStr">
        <is>
          <t>Critical care (99291 / 99292)</t>
        </is>
      </c>
      <c r="F43" s="17" t="inlineStr">
        <is>
          <t>Level 5 / critical care</t>
        </is>
      </c>
      <c r="G43" s="29" t="n">
        <v>56</v>
      </c>
      <c r="H43" s="15">
        <f>COUNTIFS('Chart Database'!$B$6:$B$4005,$A43,'Chart Database'!$C$6:$C$4005,"*"&amp;$D43&amp;"*",'Chart Database'!$F$6:$F$4005,"Active")</f>
        <v/>
      </c>
      <c r="I43" s="32">
        <f>IF($G43=0,"NA",H43/$G43)</f>
        <v/>
      </c>
      <c r="J43" s="15">
        <f>$G43-H43</f>
        <v/>
      </c>
      <c r="K43" s="33">
        <f>IF($D43="","",IF(SUMPRODUCT(--($A$5:$A$135=$A43),--($D$5:$D$135&lt;&gt;""),--(ROW($D$5:$D$135)&lt;&gt;ROW()),--(ISNUMBER(SEARCH($D43,$D$5:$D$135))+ISNUMBER(SEARCH($D$5:$D$135&amp;"",$D43))&gt;0))&gt;0,"CLASH — overlaps another name in this specialty","OK"))</f>
        <v/>
      </c>
      <c r="L43" s="23" t="inlineStr"/>
    </row>
    <row r="44" ht="24" customHeight="1">
      <c r="A44" s="23" t="inlineStr">
        <is>
          <t>ED Facility</t>
        </is>
      </c>
      <c r="B44" s="29" t="inlineStr">
        <is>
          <t>EDF-15</t>
        </is>
      </c>
      <c r="C44" s="34" t="inlineStr">
        <is>
          <t>P2</t>
        </is>
      </c>
      <c r="D44" s="31" t="inlineStr">
        <is>
          <t>CC boundary</t>
        </is>
      </c>
      <c r="E44" s="17" t="inlineStr">
        <is>
          <t>The level 5 versus critical care boundary</t>
        </is>
      </c>
      <c r="F44" s="17" t="inlineStr">
        <is>
          <t>Level 5 / critical care</t>
        </is>
      </c>
      <c r="G44" s="29" t="n">
        <v>14</v>
      </c>
      <c r="H44" s="15">
        <f>COUNTIFS('Chart Database'!$B$6:$B$4005,$A44,'Chart Database'!$C$6:$C$4005,"*"&amp;$D44&amp;"*",'Chart Database'!$F$6:$F$4005,"Active")</f>
        <v/>
      </c>
      <c r="I44" s="32">
        <f>IF($G44=0,"NA",H44/$G44)</f>
        <v/>
      </c>
      <c r="J44" s="15">
        <f>$G44-H44</f>
        <v/>
      </c>
      <c r="K44" s="33">
        <f>IF($D44="","",IF(SUMPRODUCT(--($A$5:$A$135=$A44),--($D$5:$D$135&lt;&gt;""),--(ROW($D$5:$D$135)&lt;&gt;ROW()),--(ISNUMBER(SEARCH($D44,$D$5:$D$135))+ISNUMBER(SEARCH($D$5:$D$135&amp;"",$D44))&gt;0))&gt;0,"CLASH — overlaps another name in this specialty","OK"))</f>
        <v/>
      </c>
      <c r="L44" s="23" t="inlineStr"/>
    </row>
    <row r="45" ht="24" customHeight="1">
      <c r="A45" s="23" t="inlineStr">
        <is>
          <t>ED Facility</t>
        </is>
      </c>
      <c r="B45" s="29" t="inlineStr">
        <is>
          <t>EDF-16</t>
        </is>
      </c>
      <c r="C45" s="34" t="inlineStr">
        <is>
          <t>P2</t>
        </is>
      </c>
      <c r="D45" s="31" t="inlineStr">
        <is>
          <t>Trauma activation</t>
        </is>
      </c>
      <c r="E45" s="17" t="inlineStr">
        <is>
          <t>Trauma activation</t>
        </is>
      </c>
      <c r="F45" s="17" t="inlineStr">
        <is>
          <t>Level 5 / critical care</t>
        </is>
      </c>
      <c r="G45" s="29" t="n">
        <v>14</v>
      </c>
      <c r="H45" s="15">
        <f>COUNTIFS('Chart Database'!$B$6:$B$4005,$A45,'Chart Database'!$C$6:$C$4005,"*"&amp;$D45&amp;"*",'Chart Database'!$F$6:$F$4005,"Active")</f>
        <v/>
      </c>
      <c r="I45" s="32">
        <f>IF($G45=0,"NA",H45/$G45)</f>
        <v/>
      </c>
      <c r="J45" s="15">
        <f>$G45-H45</f>
        <v/>
      </c>
      <c r="K45" s="33">
        <f>IF($D45="","",IF(SUMPRODUCT(--($A$5:$A$135=$A45),--($D$5:$D$135&lt;&gt;""),--(ROW($D$5:$D$135)&lt;&gt;ROW()),--(ISNUMBER(SEARCH($D45,$D$5:$D$135))+ISNUMBER(SEARCH($D$5:$D$135&amp;"",$D45))&gt;0))&gt;0,"CLASH — overlaps another name in this specialty","OK"))</f>
        <v/>
      </c>
      <c r="L45" s="23" t="inlineStr"/>
    </row>
    <row r="46" ht="24" customHeight="1">
      <c r="A46" s="23" t="inlineStr">
        <is>
          <t>ED Facility</t>
        </is>
      </c>
      <c r="B46" s="29" t="inlineStr">
        <is>
          <t>EDF-17</t>
        </is>
      </c>
      <c r="C46" s="35" t="inlineStr">
        <is>
          <t>P3</t>
        </is>
      </c>
      <c r="D46" s="31" t="inlineStr">
        <is>
          <t>Resuscitation</t>
        </is>
      </c>
      <c r="E46" s="17" t="inlineStr">
        <is>
          <t>Cardiac arrest and resuscitation</t>
        </is>
      </c>
      <c r="F46" s="17" t="inlineStr">
        <is>
          <t>Level 5 / critical care</t>
        </is>
      </c>
      <c r="G46" s="29" t="n">
        <v>14</v>
      </c>
      <c r="H46" s="15">
        <f>COUNTIFS('Chart Database'!$B$6:$B$4005,$A46,'Chart Database'!$C$6:$C$4005,"*"&amp;$D46&amp;"*",'Chart Database'!$F$6:$F$4005,"Active")</f>
        <v/>
      </c>
      <c r="I46" s="32">
        <f>IF($G46=0,"NA",H46/$G46)</f>
        <v/>
      </c>
      <c r="J46" s="15">
        <f>$G46-H46</f>
        <v/>
      </c>
      <c r="K46" s="33">
        <f>IF($D46="","",IF(SUMPRODUCT(--($A$5:$A$135=$A46),--($D$5:$D$135&lt;&gt;""),--(ROW($D$5:$D$135)&lt;&gt;ROW()),--(ISNUMBER(SEARCH($D46,$D$5:$D$135))+ISNUMBER(SEARCH($D$5:$D$135&amp;"",$D46))&gt;0))&gt;0,"CLASH — overlaps another name in this specialty","OK"))</f>
        <v/>
      </c>
      <c r="L46" s="23" t="inlineStr"/>
    </row>
    <row r="47" ht="24" customHeight="1">
      <c r="A47" s="23" t="inlineStr">
        <is>
          <t>ED Profee</t>
        </is>
      </c>
      <c r="B47" s="29" t="inlineStr">
        <is>
          <t>EDP-01</t>
        </is>
      </c>
      <c r="C47" s="34" t="inlineStr">
        <is>
          <t>P2</t>
        </is>
      </c>
      <c r="D47" s="31" t="inlineStr">
        <is>
          <t>Profee L1-2</t>
        </is>
      </c>
      <c r="E47" s="17" t="inlineStr">
        <is>
          <t>99281 / 99282 — straightforward presentations</t>
        </is>
      </c>
      <c r="F47" s="17" t="inlineStr">
        <is>
          <t>Low acuity</t>
        </is>
      </c>
      <c r="G47" s="29" t="n">
        <v>28</v>
      </c>
      <c r="H47" s="15">
        <f>COUNTIFS('Chart Database'!$B$6:$B$4005,$A47,'Chart Database'!$C$6:$C$4005,"*"&amp;$D47&amp;"*",'Chart Database'!$F$6:$F$4005,"Active")</f>
        <v/>
      </c>
      <c r="I47" s="32">
        <f>IF($G47=0,"NA",H47/$G47)</f>
        <v/>
      </c>
      <c r="J47" s="15">
        <f>$G47-H47</f>
        <v/>
      </c>
      <c r="K47" s="33">
        <f>IF($D47="","",IF(SUMPRODUCT(--($A$5:$A$135=$A47),--($D$5:$D$135&lt;&gt;""),--(ROW($D$5:$D$135)&lt;&gt;ROW()),--(ISNUMBER(SEARCH($D47,$D$5:$D$135))+ISNUMBER(SEARCH($D$5:$D$135&amp;"",$D47))&gt;0))&gt;0,"CLASH — overlaps another name in this specialty","OK"))</f>
        <v/>
      </c>
      <c r="L47" s="23" t="inlineStr"/>
    </row>
    <row r="48" ht="24" customHeight="1">
      <c r="A48" s="23" t="inlineStr">
        <is>
          <t>ED Profee</t>
        </is>
      </c>
      <c r="B48" s="29" t="inlineStr">
        <is>
          <t>EDP-02</t>
        </is>
      </c>
      <c r="C48" s="34" t="inlineStr">
        <is>
          <t>P2</t>
        </is>
      </c>
      <c r="D48" s="31" t="inlineStr">
        <is>
          <t>Profee L3 MDM</t>
        </is>
      </c>
      <c r="E48" s="17" t="inlineStr">
        <is>
          <t>99283 — moderate MDM</t>
        </is>
      </c>
      <c r="F48" s="17" t="inlineStr">
        <is>
          <t>Moderate</t>
        </is>
      </c>
      <c r="G48" s="29" t="n">
        <v>40</v>
      </c>
      <c r="H48" s="15">
        <f>COUNTIFS('Chart Database'!$B$6:$B$4005,$A48,'Chart Database'!$C$6:$C$4005,"*"&amp;$D48&amp;"*",'Chart Database'!$F$6:$F$4005,"Active")</f>
        <v/>
      </c>
      <c r="I48" s="32">
        <f>IF($G48=0,"NA",H48/$G48)</f>
        <v/>
      </c>
      <c r="J48" s="15">
        <f>$G48-H48</f>
        <v/>
      </c>
      <c r="K48" s="33">
        <f>IF($D48="","",IF(SUMPRODUCT(--($A$5:$A$135=$A48),--($D$5:$D$135&lt;&gt;""),--(ROW($D$5:$D$135)&lt;&gt;ROW()),--(ISNUMBER(SEARCH($D48,$D$5:$D$135))+ISNUMBER(SEARCH($D$5:$D$135&amp;"",$D48))&gt;0))&gt;0,"CLASH — overlaps another name in this specialty","OK"))</f>
        <v/>
      </c>
      <c r="L48" s="23" t="inlineStr"/>
    </row>
    <row r="49" ht="24" customHeight="1">
      <c r="A49" s="23" t="inlineStr">
        <is>
          <t>ED Profee</t>
        </is>
      </c>
      <c r="B49" s="29" t="inlineStr">
        <is>
          <t>EDP-03</t>
        </is>
      </c>
      <c r="C49" s="34" t="inlineStr">
        <is>
          <t>P2</t>
        </is>
      </c>
      <c r="D49" s="31" t="inlineStr">
        <is>
          <t>Profee L3 proc</t>
        </is>
      </c>
      <c r="E49" s="17" t="inlineStr">
        <is>
          <t>99283 with a separately reportable procedure</t>
        </is>
      </c>
      <c r="F49" s="17" t="inlineStr">
        <is>
          <t>Moderate</t>
        </is>
      </c>
      <c r="G49" s="29" t="n">
        <v>24</v>
      </c>
      <c r="H49" s="15">
        <f>COUNTIFS('Chart Database'!$B$6:$B$4005,$A49,'Chart Database'!$C$6:$C$4005,"*"&amp;$D49&amp;"*",'Chart Database'!$F$6:$F$4005,"Active")</f>
        <v/>
      </c>
      <c r="I49" s="32">
        <f>IF($G49=0,"NA",H49/$G49)</f>
        <v/>
      </c>
      <c r="J49" s="15">
        <f>$G49-H49</f>
        <v/>
      </c>
      <c r="K49" s="33">
        <f>IF($D49="","",IF(SUMPRODUCT(--($A$5:$A$135=$A49),--($D$5:$D$135&lt;&gt;""),--(ROW($D$5:$D$135)&lt;&gt;ROW()),--(ISNUMBER(SEARCH($D49,$D$5:$D$135))+ISNUMBER(SEARCH($D$5:$D$135&amp;"",$D49))&gt;0))&gt;0,"CLASH — overlaps another name in this specialty","OK"))</f>
        <v/>
      </c>
      <c r="L49" s="23" t="inlineStr"/>
    </row>
    <row r="50" ht="24" customHeight="1">
      <c r="A50" s="23" t="inlineStr">
        <is>
          <t>ED Profee</t>
        </is>
      </c>
      <c r="B50" s="29" t="inlineStr">
        <is>
          <t>EDP-04</t>
        </is>
      </c>
      <c r="C50" s="34" t="inlineStr">
        <is>
          <t>P2</t>
        </is>
      </c>
      <c r="D50" s="31" t="inlineStr">
        <is>
          <t>Profee L4 MDM</t>
        </is>
      </c>
      <c r="E50" s="17" t="inlineStr">
        <is>
          <t>99284 — moderate-to-high MDM</t>
        </is>
      </c>
      <c r="F50" s="17" t="inlineStr">
        <is>
          <t>Level 4</t>
        </is>
      </c>
      <c r="G50" s="29" t="n">
        <v>48</v>
      </c>
      <c r="H50" s="15">
        <f>COUNTIFS('Chart Database'!$B$6:$B$4005,$A50,'Chart Database'!$C$6:$C$4005,"*"&amp;$D50&amp;"*",'Chart Database'!$F$6:$F$4005,"Active")</f>
        <v/>
      </c>
      <c r="I50" s="32">
        <f>IF($G50=0,"NA",H50/$G50)</f>
        <v/>
      </c>
      <c r="J50" s="15">
        <f>$G50-H50</f>
        <v/>
      </c>
      <c r="K50" s="33">
        <f>IF($D50="","",IF(SUMPRODUCT(--($A$5:$A$135=$A50),--($D$5:$D$135&lt;&gt;""),--(ROW($D$5:$D$135)&lt;&gt;ROW()),--(ISNUMBER(SEARCH($D50,$D$5:$D$135))+ISNUMBER(SEARCH($D$5:$D$135&amp;"",$D50))&gt;0))&gt;0,"CLASH — overlaps another name in this specialty","OK"))</f>
        <v/>
      </c>
      <c r="L50" s="23" t="inlineStr"/>
    </row>
    <row r="51" ht="24" customHeight="1">
      <c r="A51" s="23" t="inlineStr">
        <is>
          <t>ED Profee</t>
        </is>
      </c>
      <c r="B51" s="29" t="inlineStr">
        <is>
          <t>EDP-05</t>
        </is>
      </c>
      <c r="C51" s="34" t="inlineStr">
        <is>
          <t>P2</t>
        </is>
      </c>
      <c r="D51" s="31" t="inlineStr">
        <is>
          <t>Profee L4 proc</t>
        </is>
      </c>
      <c r="E51" s="17" t="inlineStr">
        <is>
          <t>99284 with fracture care or wound repair</t>
        </is>
      </c>
      <c r="F51" s="17" t="inlineStr">
        <is>
          <t>Level 4</t>
        </is>
      </c>
      <c r="G51" s="29" t="n">
        <v>24</v>
      </c>
      <c r="H51" s="15">
        <f>COUNTIFS('Chart Database'!$B$6:$B$4005,$A51,'Chart Database'!$C$6:$C$4005,"*"&amp;$D51&amp;"*",'Chart Database'!$F$6:$F$4005,"Active")</f>
        <v/>
      </c>
      <c r="I51" s="32">
        <f>IF($G51=0,"NA",H51/$G51)</f>
        <v/>
      </c>
      <c r="J51" s="15">
        <f>$G51-H51</f>
        <v/>
      </c>
      <c r="K51" s="33">
        <f>IF($D51="","",IF(SUMPRODUCT(--($A$5:$A$135=$A51),--($D$5:$D$135&lt;&gt;""),--(ROW($D$5:$D$135)&lt;&gt;ROW()),--(ISNUMBER(SEARCH($D51,$D$5:$D$135))+ISNUMBER(SEARCH($D$5:$D$135&amp;"",$D51))&gt;0))&gt;0,"CLASH — overlaps another name in this specialty","OK"))</f>
        <v/>
      </c>
      <c r="L51" s="23" t="inlineStr"/>
    </row>
    <row r="52" ht="24" customHeight="1">
      <c r="A52" s="23" t="inlineStr">
        <is>
          <t>ED Profee</t>
        </is>
      </c>
      <c r="B52" s="29" t="inlineStr">
        <is>
          <t>EDP-06</t>
        </is>
      </c>
      <c r="C52" s="34" t="inlineStr">
        <is>
          <t>P2</t>
        </is>
      </c>
      <c r="D52" s="31" t="inlineStr">
        <is>
          <t>Profee L5 MDM</t>
        </is>
      </c>
      <c r="E52" s="17" t="inlineStr">
        <is>
          <t>99285 — high MDM</t>
        </is>
      </c>
      <c r="F52" s="17" t="inlineStr">
        <is>
          <t>Level 5</t>
        </is>
      </c>
      <c r="G52" s="29" t="n">
        <v>52</v>
      </c>
      <c r="H52" s="15">
        <f>COUNTIFS('Chart Database'!$B$6:$B$4005,$A52,'Chart Database'!$C$6:$C$4005,"*"&amp;$D52&amp;"*",'Chart Database'!$F$6:$F$4005,"Active")</f>
        <v/>
      </c>
      <c r="I52" s="32">
        <f>IF($G52=0,"NA",H52/$G52)</f>
        <v/>
      </c>
      <c r="J52" s="15">
        <f>$G52-H52</f>
        <v/>
      </c>
      <c r="K52" s="33">
        <f>IF($D52="","",IF(SUMPRODUCT(--($A$5:$A$135=$A52),--($D$5:$D$135&lt;&gt;""),--(ROW($D$5:$D$135)&lt;&gt;ROW()),--(ISNUMBER(SEARCH($D52,$D$5:$D$135))+ISNUMBER(SEARCH($D$5:$D$135&amp;"",$D52))&gt;0))&gt;0,"CLASH — overlaps another name in this specialty","OK"))</f>
        <v/>
      </c>
      <c r="L52" s="23" t="inlineStr"/>
    </row>
    <row r="53" ht="24" customHeight="1">
      <c r="A53" s="23" t="inlineStr">
        <is>
          <t>ED Profee</t>
        </is>
      </c>
      <c r="B53" s="29" t="inlineStr">
        <is>
          <t>EDP-07</t>
        </is>
      </c>
      <c r="C53" s="34" t="inlineStr">
        <is>
          <t>P2</t>
        </is>
      </c>
      <c r="D53" s="31" t="inlineStr">
        <is>
          <t>Profee 99285v99291</t>
        </is>
      </c>
      <c r="E53" s="17" t="inlineStr">
        <is>
          <t>99285 versus 99291 — the critical care boundary</t>
        </is>
      </c>
      <c r="F53" s="17" t="inlineStr">
        <is>
          <t>Level 5</t>
        </is>
      </c>
      <c r="G53" s="29" t="n">
        <v>32</v>
      </c>
      <c r="H53" s="15">
        <f>COUNTIFS('Chart Database'!$B$6:$B$4005,$A53,'Chart Database'!$C$6:$C$4005,"*"&amp;$D53&amp;"*",'Chart Database'!$F$6:$F$4005,"Active")</f>
        <v/>
      </c>
      <c r="I53" s="32">
        <f>IF($G53=0,"NA",H53/$G53)</f>
        <v/>
      </c>
      <c r="J53" s="15">
        <f>$G53-H53</f>
        <v/>
      </c>
      <c r="K53" s="33">
        <f>IF($D53="","",IF(SUMPRODUCT(--($A$5:$A$135=$A53),--($D$5:$D$135&lt;&gt;""),--(ROW($D$5:$D$135)&lt;&gt;ROW()),--(ISNUMBER(SEARCH($D53,$D$5:$D$135))+ISNUMBER(SEARCH($D$5:$D$135&amp;"",$D53))&gt;0))&gt;0,"CLASH — overlaps another name in this specialty","OK"))</f>
        <v/>
      </c>
      <c r="L53" s="23" t="inlineStr"/>
    </row>
    <row r="54" ht="24" customHeight="1">
      <c r="A54" s="23" t="inlineStr">
        <is>
          <t>ED Profee</t>
        </is>
      </c>
      <c r="B54" s="29" t="inlineStr">
        <is>
          <t>EDP-08</t>
        </is>
      </c>
      <c r="C54" s="34" t="inlineStr">
        <is>
          <t>P2</t>
        </is>
      </c>
      <c r="D54" s="31" t="inlineStr">
        <is>
          <t>Profee critical care</t>
        </is>
      </c>
      <c r="E54" s="17" t="inlineStr">
        <is>
          <t>99291 / 99292 — critical care</t>
        </is>
      </c>
      <c r="F54" s="17" t="inlineStr">
        <is>
          <t>Critical care</t>
        </is>
      </c>
      <c r="G54" s="29" t="n">
        <v>56</v>
      </c>
      <c r="H54" s="15">
        <f>COUNTIFS('Chart Database'!$B$6:$B$4005,$A54,'Chart Database'!$C$6:$C$4005,"*"&amp;$D54&amp;"*",'Chart Database'!$F$6:$F$4005,"Active")</f>
        <v/>
      </c>
      <c r="I54" s="32">
        <f>IF($G54=0,"NA",H54/$G54)</f>
        <v/>
      </c>
      <c r="J54" s="15">
        <f>$G54-H54</f>
        <v/>
      </c>
      <c r="K54" s="33">
        <f>IF($D54="","",IF(SUMPRODUCT(--($A$5:$A$135=$A54),--($D$5:$D$135&lt;&gt;""),--(ROW($D$5:$D$135)&lt;&gt;ROW()),--(ISNUMBER(SEARCH($D54,$D$5:$D$135))+ISNUMBER(SEARCH($D$5:$D$135&amp;"",$D54))&gt;0))&gt;0,"CLASH — overlaps another name in this specialty","OK"))</f>
        <v/>
      </c>
      <c r="L54" s="23" t="inlineStr"/>
    </row>
    <row r="55" ht="24" customHeight="1">
      <c r="A55" s="23" t="inlineStr">
        <is>
          <t>ED Profee</t>
        </is>
      </c>
      <c r="B55" s="29" t="inlineStr">
        <is>
          <t>EDP-09</t>
        </is>
      </c>
      <c r="C55" s="34" t="inlineStr">
        <is>
          <t>P2</t>
        </is>
      </c>
      <c r="D55" s="31" t="inlineStr">
        <is>
          <t>Profee CC procedure</t>
        </is>
      </c>
      <c r="E55" s="17" t="inlineStr">
        <is>
          <t>Critical care with separately reportable procedures</t>
        </is>
      </c>
      <c r="F55" s="17" t="inlineStr">
        <is>
          <t>Critical care</t>
        </is>
      </c>
      <c r="G55" s="29" t="n">
        <v>24</v>
      </c>
      <c r="H55" s="15">
        <f>COUNTIFS('Chart Database'!$B$6:$B$4005,$A55,'Chart Database'!$C$6:$C$4005,"*"&amp;$D55&amp;"*",'Chart Database'!$F$6:$F$4005,"Active")</f>
        <v/>
      </c>
      <c r="I55" s="32">
        <f>IF($G55=0,"NA",H55/$G55)</f>
        <v/>
      </c>
      <c r="J55" s="15">
        <f>$G55-H55</f>
        <v/>
      </c>
      <c r="K55" s="33">
        <f>IF($D55="","",IF(SUMPRODUCT(--($A$5:$A$135=$A55),--($D$5:$D$135&lt;&gt;""),--(ROW($D$5:$D$135)&lt;&gt;ROW()),--(ISNUMBER(SEARCH($D55,$D$5:$D$135))+ISNUMBER(SEARCH($D$5:$D$135&amp;"",$D55))&gt;0))&gt;0,"CLASH — overlaps another name in this specialty","OK"))</f>
        <v/>
      </c>
      <c r="L55" s="23" t="inlineStr"/>
    </row>
    <row r="56" ht="24" customHeight="1">
      <c r="A56" s="23" t="inlineStr">
        <is>
          <t>ED Profee</t>
        </is>
      </c>
      <c r="B56" s="29" t="inlineStr">
        <is>
          <t>EDP-10</t>
        </is>
      </c>
      <c r="C56" s="34" t="inlineStr">
        <is>
          <t>P2</t>
        </is>
      </c>
      <c r="D56" s="31" t="inlineStr">
        <is>
          <t>Profee ED procedure</t>
        </is>
      </c>
      <c r="E56" s="17" t="inlineStr">
        <is>
          <t>ED procedures billed with an E/M</t>
        </is>
      </c>
      <c r="F56" s="17" t="inlineStr">
        <is>
          <t>Cross-cutting</t>
        </is>
      </c>
      <c r="G56" s="29" t="n">
        <v>40</v>
      </c>
      <c r="H56" s="15">
        <f>COUNTIFS('Chart Database'!$B$6:$B$4005,$A56,'Chart Database'!$C$6:$C$4005,"*"&amp;$D56&amp;"*",'Chart Database'!$F$6:$F$4005,"Active")</f>
        <v/>
      </c>
      <c r="I56" s="32">
        <f>IF($G56=0,"NA",H56/$G56)</f>
        <v/>
      </c>
      <c r="J56" s="15">
        <f>$G56-H56</f>
        <v/>
      </c>
      <c r="K56" s="33">
        <f>IF($D56="","",IF(SUMPRODUCT(--($A$5:$A$135=$A56),--($D$5:$D$135&lt;&gt;""),--(ROW($D$5:$D$135)&lt;&gt;ROW()),--(ISNUMBER(SEARCH($D56,$D$5:$D$135))+ISNUMBER(SEARCH($D$5:$D$135&amp;"",$D56))&gt;0))&gt;0,"CLASH — overlaps another name in this specialty","OK"))</f>
        <v/>
      </c>
      <c r="L56" s="23" t="inlineStr"/>
    </row>
    <row r="57" ht="24" customHeight="1">
      <c r="A57" s="23" t="inlineStr">
        <is>
          <t>ED Profee</t>
        </is>
      </c>
      <c r="B57" s="29" t="inlineStr">
        <is>
          <t>EDP-11</t>
        </is>
      </c>
      <c r="C57" s="34" t="inlineStr">
        <is>
          <t>P2</t>
        </is>
      </c>
      <c r="D57" s="31" t="inlineStr">
        <is>
          <t>Profee observation</t>
        </is>
      </c>
      <c r="E57" s="17" t="inlineStr">
        <is>
          <t>Observation and admission by the ED physician</t>
        </is>
      </c>
      <c r="F57" s="17" t="inlineStr">
        <is>
          <t>Cross-cutting</t>
        </is>
      </c>
      <c r="G57" s="29" t="n">
        <v>16</v>
      </c>
      <c r="H57" s="15">
        <f>COUNTIFS('Chart Database'!$B$6:$B$4005,$A57,'Chart Database'!$C$6:$C$4005,"*"&amp;$D57&amp;"*",'Chart Database'!$F$6:$F$4005,"Active")</f>
        <v/>
      </c>
      <c r="I57" s="32">
        <f>IF($G57=0,"NA",H57/$G57)</f>
        <v/>
      </c>
      <c r="J57" s="15">
        <f>$G57-H57</f>
        <v/>
      </c>
      <c r="K57" s="33">
        <f>IF($D57="","",IF(SUMPRODUCT(--($A$5:$A$135=$A57),--($D$5:$D$135&lt;&gt;""),--(ROW($D$5:$D$135)&lt;&gt;ROW()),--(ISNUMBER(SEARCH($D57,$D$5:$D$135))+ISNUMBER(SEARCH($D$5:$D$135&amp;"",$D57))&gt;0))&gt;0,"CLASH — overlaps another name in this specialty","OK"))</f>
        <v/>
      </c>
      <c r="L57" s="23" t="inlineStr"/>
    </row>
    <row r="58" ht="24" customHeight="1">
      <c r="A58" s="23" t="inlineStr">
        <is>
          <t>ED Profee</t>
        </is>
      </c>
      <c r="B58" s="29" t="inlineStr">
        <is>
          <t>EDP-12</t>
        </is>
      </c>
      <c r="C58" s="35" t="inlineStr">
        <is>
          <t>P3</t>
        </is>
      </c>
      <c r="D58" s="31" t="inlineStr">
        <is>
          <t>Profee split shared</t>
        </is>
      </c>
      <c r="E58" s="17" t="inlineStr">
        <is>
          <t>Split / shared and teaching-physician documentation</t>
        </is>
      </c>
      <c r="F58" s="17" t="inlineStr">
        <is>
          <t>Cross-cutting</t>
        </is>
      </c>
      <c r="G58" s="29" t="n">
        <v>16</v>
      </c>
      <c r="H58" s="15">
        <f>COUNTIFS('Chart Database'!$B$6:$B$4005,$A58,'Chart Database'!$C$6:$C$4005,"*"&amp;$D58&amp;"*",'Chart Database'!$F$6:$F$4005,"Active")</f>
        <v/>
      </c>
      <c r="I58" s="32">
        <f>IF($G58=0,"NA",H58/$G58)</f>
        <v/>
      </c>
      <c r="J58" s="15">
        <f>$G58-H58</f>
        <v/>
      </c>
      <c r="K58" s="33">
        <f>IF($D58="","",IF(SUMPRODUCT(--($A$5:$A$135=$A58),--($D$5:$D$135&lt;&gt;""),--(ROW($D$5:$D$135)&lt;&gt;ROW()),--(ISNUMBER(SEARCH($D58,$D$5:$D$135))+ISNUMBER(SEARCH($D$5:$D$135&amp;"",$D58))&gt;0))&gt;0,"CLASH — overlaps another name in this specialty","OK"))</f>
        <v/>
      </c>
      <c r="L58" s="23" t="inlineStr"/>
    </row>
    <row r="59" ht="24" customHeight="1">
      <c r="A59" s="23" t="inlineStr">
        <is>
          <t>E/M</t>
        </is>
      </c>
      <c r="B59" s="29" t="inlineStr">
        <is>
          <t>EM-01</t>
        </is>
      </c>
      <c r="C59" s="30" t="inlineStr">
        <is>
          <t>P1</t>
        </is>
      </c>
      <c r="D59" s="31" t="inlineStr">
        <is>
          <t>Est office L3</t>
        </is>
      </c>
      <c r="E59" s="17" t="inlineStr">
        <is>
          <t>Level 3 established patient office visit (99213)</t>
        </is>
      </c>
      <c r="F59" s="17" t="inlineStr">
        <is>
          <t>Office / outpatient visits</t>
        </is>
      </c>
      <c r="G59" s="29" t="n">
        <v>41</v>
      </c>
      <c r="H59" s="15">
        <f>COUNTIFS('Chart Database'!$B$6:$B$4005,$A59,'Chart Database'!$C$6:$C$4005,"*"&amp;$D59&amp;"*",'Chart Database'!$F$6:$F$4005,"Active")</f>
        <v/>
      </c>
      <c r="I59" s="32">
        <f>IF($G59=0,"NA",H59/$G59)</f>
        <v/>
      </c>
      <c r="J59" s="15">
        <f>$G59-H59</f>
        <v/>
      </c>
      <c r="K59" s="33">
        <f>IF($D59="","",IF(SUMPRODUCT(--($A$5:$A$135=$A59),--($D$5:$D$135&lt;&gt;""),--(ROW($D$5:$D$135)&lt;&gt;ROW()),--(ISNUMBER(SEARCH($D59,$D$5:$D$135))+ISNUMBER(SEARCH($D$5:$D$135&amp;"",$D59))&gt;0))&gt;0,"CLASH — overlaps another name in this specialty","OK"))</f>
        <v/>
      </c>
      <c r="L59" s="23" t="inlineStr"/>
    </row>
    <row r="60" ht="24" customHeight="1">
      <c r="A60" s="23" t="inlineStr">
        <is>
          <t>E/M</t>
        </is>
      </c>
      <c r="B60" s="29" t="inlineStr">
        <is>
          <t>EM-02</t>
        </is>
      </c>
      <c r="C60" s="30" t="inlineStr">
        <is>
          <t>P1</t>
        </is>
      </c>
      <c r="D60" s="31" t="inlineStr">
        <is>
          <t>Est office L4</t>
        </is>
      </c>
      <c r="E60" s="17" t="inlineStr">
        <is>
          <t>Level 4 established patient office visit (99214)</t>
        </is>
      </c>
      <c r="F60" s="17" t="inlineStr">
        <is>
          <t>Office / outpatient visits</t>
        </is>
      </c>
      <c r="G60" s="29" t="n">
        <v>45</v>
      </c>
      <c r="H60" s="15">
        <f>COUNTIFS('Chart Database'!$B$6:$B$4005,$A60,'Chart Database'!$C$6:$C$4005,"*"&amp;$D60&amp;"*",'Chart Database'!$F$6:$F$4005,"Active")</f>
        <v/>
      </c>
      <c r="I60" s="32">
        <f>IF($G60=0,"NA",H60/$G60)</f>
        <v/>
      </c>
      <c r="J60" s="15">
        <f>$G60-H60</f>
        <v/>
      </c>
      <c r="K60" s="33">
        <f>IF($D60="","",IF(SUMPRODUCT(--($A$5:$A$135=$A60),--($D$5:$D$135&lt;&gt;""),--(ROW($D$5:$D$135)&lt;&gt;ROW()),--(ISNUMBER(SEARCH($D60,$D$5:$D$135))+ISNUMBER(SEARCH($D$5:$D$135&amp;"",$D60))&gt;0))&gt;0,"CLASH — overlaps another name in this specialty","OK"))</f>
        <v/>
      </c>
      <c r="L60" s="23" t="inlineStr"/>
    </row>
    <row r="61" ht="24" customHeight="1">
      <c r="A61" s="23" t="inlineStr">
        <is>
          <t>E/M</t>
        </is>
      </c>
      <c r="B61" s="29" t="inlineStr">
        <is>
          <t>EM-03</t>
        </is>
      </c>
      <c r="C61" s="30" t="inlineStr">
        <is>
          <t>P1</t>
        </is>
      </c>
      <c r="D61" s="31" t="inlineStr">
        <is>
          <t>New office L3</t>
        </is>
      </c>
      <c r="E61" s="17" t="inlineStr">
        <is>
          <t>Level 3 new patient office visit (99203)</t>
        </is>
      </c>
      <c r="F61" s="17" t="inlineStr">
        <is>
          <t>Office / outpatient visits</t>
        </is>
      </c>
      <c r="G61" s="29" t="n">
        <v>21</v>
      </c>
      <c r="H61" s="15">
        <f>COUNTIFS('Chart Database'!$B$6:$B$4005,$A61,'Chart Database'!$C$6:$C$4005,"*"&amp;$D61&amp;"*",'Chart Database'!$F$6:$F$4005,"Active")</f>
        <v/>
      </c>
      <c r="I61" s="32">
        <f>IF($G61=0,"NA",H61/$G61)</f>
        <v/>
      </c>
      <c r="J61" s="15">
        <f>$G61-H61</f>
        <v/>
      </c>
      <c r="K61" s="33">
        <f>IF($D61="","",IF(SUMPRODUCT(--($A$5:$A$135=$A61),--($D$5:$D$135&lt;&gt;""),--(ROW($D$5:$D$135)&lt;&gt;ROW()),--(ISNUMBER(SEARCH($D61,$D$5:$D$135))+ISNUMBER(SEARCH($D$5:$D$135&amp;"",$D61))&gt;0))&gt;0,"CLASH — overlaps another name in this specialty","OK"))</f>
        <v/>
      </c>
      <c r="L61" s="23" t="inlineStr"/>
    </row>
    <row r="62" ht="24" customHeight="1">
      <c r="A62" s="23" t="inlineStr">
        <is>
          <t>E/M</t>
        </is>
      </c>
      <c r="B62" s="29" t="inlineStr">
        <is>
          <t>EM-04</t>
        </is>
      </c>
      <c r="C62" s="30" t="inlineStr">
        <is>
          <t>P1</t>
        </is>
      </c>
      <c r="D62" s="31" t="inlineStr">
        <is>
          <t>New office L4</t>
        </is>
      </c>
      <c r="E62" s="17" t="inlineStr">
        <is>
          <t>Level 4 new patient office visit (99204)</t>
        </is>
      </c>
      <c r="F62" s="17" t="inlineStr">
        <is>
          <t>Office / outpatient visits</t>
        </is>
      </c>
      <c r="G62" s="29" t="n">
        <v>25</v>
      </c>
      <c r="H62" s="15">
        <f>COUNTIFS('Chart Database'!$B$6:$B$4005,$A62,'Chart Database'!$C$6:$C$4005,"*"&amp;$D62&amp;"*",'Chart Database'!$F$6:$F$4005,"Active")</f>
        <v/>
      </c>
      <c r="I62" s="32">
        <f>IF($G62=0,"NA",H62/$G62)</f>
        <v/>
      </c>
      <c r="J62" s="15">
        <f>$G62-H62</f>
        <v/>
      </c>
      <c r="K62" s="33">
        <f>IF($D62="","",IF(SUMPRODUCT(--($A$5:$A$135=$A62),--($D$5:$D$135&lt;&gt;""),--(ROW($D$5:$D$135)&lt;&gt;ROW()),--(ISNUMBER(SEARCH($D62,$D$5:$D$135))+ISNUMBER(SEARCH($D$5:$D$135&amp;"",$D62))&gt;0))&gt;0,"CLASH — overlaps another name in this specialty","OK"))</f>
        <v/>
      </c>
      <c r="L62" s="23" t="inlineStr"/>
    </row>
    <row r="63" ht="24" customHeight="1">
      <c r="A63" s="23" t="inlineStr">
        <is>
          <t>E/M</t>
        </is>
      </c>
      <c r="B63" s="29" t="inlineStr">
        <is>
          <t>EM-05</t>
        </is>
      </c>
      <c r="C63" s="34" t="inlineStr">
        <is>
          <t>P2</t>
        </is>
      </c>
      <c r="D63" s="31" t="inlineStr">
        <is>
          <t>Office L5</t>
        </is>
      </c>
      <c r="E63" s="17" t="inlineStr">
        <is>
          <t>Level 5 office visit, new and established (99205 / 99215)</t>
        </is>
      </c>
      <c r="F63" s="17" t="inlineStr">
        <is>
          <t>Office / outpatient visits</t>
        </is>
      </c>
      <c r="G63" s="29" t="n">
        <v>29</v>
      </c>
      <c r="H63" s="15">
        <f>COUNTIFS('Chart Database'!$B$6:$B$4005,$A63,'Chart Database'!$C$6:$C$4005,"*"&amp;$D63&amp;"*",'Chart Database'!$F$6:$F$4005,"Active")</f>
        <v/>
      </c>
      <c r="I63" s="32">
        <f>IF($G63=0,"NA",H63/$G63)</f>
        <v/>
      </c>
      <c r="J63" s="15">
        <f>$G63-H63</f>
        <v/>
      </c>
      <c r="K63" s="33">
        <f>IF($D63="","",IF(SUMPRODUCT(--($A$5:$A$135=$A63),--($D$5:$D$135&lt;&gt;""),--(ROW($D$5:$D$135)&lt;&gt;ROW()),--(ISNUMBER(SEARCH($D63,$D$5:$D$135))+ISNUMBER(SEARCH($D$5:$D$135&amp;"",$D63))&gt;0))&gt;0,"CLASH — overlaps another name in this specialty","OK"))</f>
        <v/>
      </c>
      <c r="L63" s="23" t="inlineStr"/>
    </row>
    <row r="64" ht="24" customHeight="1">
      <c r="A64" s="23" t="inlineStr">
        <is>
          <t>E/M</t>
        </is>
      </c>
      <c r="B64" s="29" t="inlineStr">
        <is>
          <t>EM-06</t>
        </is>
      </c>
      <c r="C64" s="35" t="inlineStr">
        <is>
          <t>P3</t>
        </is>
      </c>
      <c r="D64" s="31" t="inlineStr">
        <is>
          <t>Office L1-2</t>
        </is>
      </c>
      <c r="E64" s="17" t="inlineStr">
        <is>
          <t>Level 1-2 office visits (99202 / 99211 / 99212)</t>
        </is>
      </c>
      <c r="F64" s="17" t="inlineStr">
        <is>
          <t>Office / outpatient visits</t>
        </is>
      </c>
      <c r="G64" s="29" t="n">
        <v>12</v>
      </c>
      <c r="H64" s="15">
        <f>COUNTIFS('Chart Database'!$B$6:$B$4005,$A64,'Chart Database'!$C$6:$C$4005,"*"&amp;$D64&amp;"*",'Chart Database'!$F$6:$F$4005,"Active")</f>
        <v/>
      </c>
      <c r="I64" s="32">
        <f>IF($G64=0,"NA",H64/$G64)</f>
        <v/>
      </c>
      <c r="J64" s="15">
        <f>$G64-H64</f>
        <v/>
      </c>
      <c r="K64" s="33">
        <f>IF($D64="","",IF(SUMPRODUCT(--($A$5:$A$135=$A64),--($D$5:$D$135&lt;&gt;""),--(ROW($D$5:$D$135)&lt;&gt;ROW()),--(ISNUMBER(SEARCH($D64,$D$5:$D$135))+ISNUMBER(SEARCH($D$5:$D$135&amp;"",$D64))&gt;0))&gt;0,"CLASH — overlaps another name in this specialty","OK"))</f>
        <v/>
      </c>
      <c r="L64" s="23" t="inlineStr"/>
    </row>
    <row r="65" ht="24" customHeight="1">
      <c r="A65" s="23" t="inlineStr">
        <is>
          <t>E/M</t>
        </is>
      </c>
      <c r="B65" s="29" t="inlineStr">
        <is>
          <t>EM-07</t>
        </is>
      </c>
      <c r="C65" s="34" t="inlineStr">
        <is>
          <t>P2</t>
        </is>
      </c>
      <c r="D65" s="31" t="inlineStr">
        <is>
          <t>Time based</t>
        </is>
      </c>
      <c r="E65" s="17" t="inlineStr">
        <is>
          <t>Visits levelled by time, and prolonged service add-ons (99417 / G2212)</t>
        </is>
      </c>
      <c r="F65" s="17" t="inlineStr">
        <is>
          <t>Time-based and prolonged services</t>
        </is>
      </c>
      <c r="G65" s="29" t="n">
        <v>17</v>
      </c>
      <c r="H65" s="15">
        <f>COUNTIFS('Chart Database'!$B$6:$B$4005,$A65,'Chart Database'!$C$6:$C$4005,"*"&amp;$D65&amp;"*",'Chart Database'!$F$6:$F$4005,"Active")</f>
        <v/>
      </c>
      <c r="I65" s="32">
        <f>IF($G65=0,"NA",H65/$G65)</f>
        <v/>
      </c>
      <c r="J65" s="15">
        <f>$G65-H65</f>
        <v/>
      </c>
      <c r="K65" s="33">
        <f>IF($D65="","",IF(SUMPRODUCT(--($A$5:$A$135=$A65),--($D$5:$D$135&lt;&gt;""),--(ROW($D$5:$D$135)&lt;&gt;ROW()),--(ISNUMBER(SEARCH($D65,$D$5:$D$135))+ISNUMBER(SEARCH($D$5:$D$135&amp;"",$D65))&gt;0))&gt;0,"CLASH — overlaps another name in this specialty","OK"))</f>
        <v/>
      </c>
      <c r="L65" s="23" t="inlineStr"/>
    </row>
    <row r="66" ht="24" customHeight="1">
      <c r="A66" s="23" t="inlineStr">
        <is>
          <t>E/M</t>
        </is>
      </c>
      <c r="B66" s="29" t="inlineStr">
        <is>
          <t>EM-08</t>
        </is>
      </c>
      <c r="C66" s="34" t="inlineStr">
        <is>
          <t>P2</t>
        </is>
      </c>
      <c r="D66" s="31" t="inlineStr">
        <is>
          <t>AWV</t>
        </is>
      </c>
      <c r="E66" s="17" t="inlineStr">
        <is>
          <t>Annual wellness visit — initial versus subsequent (G0438 / G0439)</t>
        </is>
      </c>
      <c r="F66" s="17" t="inlineStr">
        <is>
          <t>Preventive and wellness</t>
        </is>
      </c>
      <c r="G66" s="29" t="n">
        <v>21</v>
      </c>
      <c r="H66" s="15">
        <f>COUNTIFS('Chart Database'!$B$6:$B$4005,$A66,'Chart Database'!$C$6:$C$4005,"*"&amp;$D66&amp;"*",'Chart Database'!$F$6:$F$4005,"Active")</f>
        <v/>
      </c>
      <c r="I66" s="32">
        <f>IF($G66=0,"NA",H66/$G66)</f>
        <v/>
      </c>
      <c r="J66" s="15">
        <f>$G66-H66</f>
        <v/>
      </c>
      <c r="K66" s="33">
        <f>IF($D66="","",IF(SUMPRODUCT(--($A$5:$A$135=$A66),--($D$5:$D$135&lt;&gt;""),--(ROW($D$5:$D$135)&lt;&gt;ROW()),--(ISNUMBER(SEARCH($D66,$D$5:$D$135))+ISNUMBER(SEARCH($D$5:$D$135&amp;"",$D66))&gt;0))&gt;0,"CLASH — overlaps another name in this specialty","OK"))</f>
        <v/>
      </c>
      <c r="L66" s="23" t="inlineStr"/>
    </row>
    <row r="67" ht="24" customHeight="1">
      <c r="A67" s="23" t="inlineStr">
        <is>
          <t>E/M</t>
        </is>
      </c>
      <c r="B67" s="29" t="inlineStr">
        <is>
          <t>EM-09</t>
        </is>
      </c>
      <c r="C67" s="34" t="inlineStr">
        <is>
          <t>P2</t>
        </is>
      </c>
      <c r="D67" s="31" t="inlineStr">
        <is>
          <t>Preventive visit</t>
        </is>
      </c>
      <c r="E67" s="17" t="inlineStr">
        <is>
          <t>Preventive medicine visits, age-banded (99381-99397)</t>
        </is>
      </c>
      <c r="F67" s="17" t="inlineStr">
        <is>
          <t>Preventive and wellness</t>
        </is>
      </c>
      <c r="G67" s="29" t="n">
        <v>17</v>
      </c>
      <c r="H67" s="15">
        <f>COUNTIFS('Chart Database'!$B$6:$B$4005,$A67,'Chart Database'!$C$6:$C$4005,"*"&amp;$D67&amp;"*",'Chart Database'!$F$6:$F$4005,"Active")</f>
        <v/>
      </c>
      <c r="I67" s="32">
        <f>IF($G67=0,"NA",H67/$G67)</f>
        <v/>
      </c>
      <c r="J67" s="15">
        <f>$G67-H67</f>
        <v/>
      </c>
      <c r="K67" s="33">
        <f>IF($D67="","",IF(SUMPRODUCT(--($A$5:$A$135=$A67),--($D$5:$D$135&lt;&gt;""),--(ROW($D$5:$D$135)&lt;&gt;ROW()),--(ISNUMBER(SEARCH($D67,$D$5:$D$135))+ISNUMBER(SEARCH($D$5:$D$135&amp;"",$D67))&gt;0))&gt;0,"CLASH — overlaps another name in this specialty","OK"))</f>
        <v/>
      </c>
      <c r="L67" s="23" t="inlineStr"/>
    </row>
    <row r="68" ht="24" customHeight="1">
      <c r="A68" s="23" t="inlineStr">
        <is>
          <t>E/M</t>
        </is>
      </c>
      <c r="B68" s="29" t="inlineStr">
        <is>
          <t>EM-10</t>
        </is>
      </c>
      <c r="C68" s="34" t="inlineStr">
        <is>
          <t>P2</t>
        </is>
      </c>
      <c r="D68" s="31" t="inlineStr">
        <is>
          <t>Preventive plus problem</t>
        </is>
      </c>
      <c r="E68" s="17" t="inlineStr">
        <is>
          <t>Preventive or AWV with a same-day problem visit</t>
        </is>
      </c>
      <c r="F68" s="17" t="inlineStr">
        <is>
          <t>Preventive and wellness</t>
        </is>
      </c>
      <c r="G68" s="29" t="n">
        <v>12</v>
      </c>
      <c r="H68" s="15">
        <f>COUNTIFS('Chart Database'!$B$6:$B$4005,$A68,'Chart Database'!$C$6:$C$4005,"*"&amp;$D68&amp;"*",'Chart Database'!$F$6:$F$4005,"Active")</f>
        <v/>
      </c>
      <c r="I68" s="32">
        <f>IF($G68=0,"NA",H68/$G68)</f>
        <v/>
      </c>
      <c r="J68" s="15">
        <f>$G68-H68</f>
        <v/>
      </c>
      <c r="K68" s="33">
        <f>IF($D68="","",IF(SUMPRODUCT(--($A$5:$A$135=$A68),--($D$5:$D$135&lt;&gt;""),--(ROW($D$5:$D$135)&lt;&gt;ROW()),--(ISNUMBER(SEARCH($D68,$D$5:$D$135))+ISNUMBER(SEARCH($D$5:$D$135&amp;"",$D68))&gt;0))&gt;0,"CLASH — overlaps another name in this specialty","OK"))</f>
        <v/>
      </c>
      <c r="L68" s="23" t="inlineStr"/>
    </row>
    <row r="69" ht="24" customHeight="1">
      <c r="A69" s="23" t="inlineStr">
        <is>
          <t>E/M</t>
        </is>
      </c>
      <c r="B69" s="29" t="inlineStr">
        <is>
          <t>EM-11</t>
        </is>
      </c>
      <c r="C69" s="34" t="inlineStr">
        <is>
          <t>P2</t>
        </is>
      </c>
      <c r="D69" s="31" t="inlineStr">
        <is>
          <t>Screening counselling</t>
        </is>
      </c>
      <c r="E69" s="17" t="inlineStr">
        <is>
          <t>Screening and counselling services</t>
        </is>
      </c>
      <c r="F69" s="17" t="inlineStr">
        <is>
          <t>Preventive and wellness</t>
        </is>
      </c>
      <c r="G69" s="29" t="n">
        <v>8</v>
      </c>
      <c r="H69" s="15">
        <f>COUNTIFS('Chart Database'!$B$6:$B$4005,$A69,'Chart Database'!$C$6:$C$4005,"*"&amp;$D69&amp;"*",'Chart Database'!$F$6:$F$4005,"Active")</f>
        <v/>
      </c>
      <c r="I69" s="32">
        <f>IF($G69=0,"NA",H69/$G69)</f>
        <v/>
      </c>
      <c r="J69" s="15">
        <f>$G69-H69</f>
        <v/>
      </c>
      <c r="K69" s="33">
        <f>IF($D69="","",IF(SUMPRODUCT(--($A$5:$A$135=$A69),--($D$5:$D$135&lt;&gt;""),--(ROW($D$5:$D$135)&lt;&gt;ROW()),--(ISNUMBER(SEARCH($D69,$D$5:$D$135))+ISNUMBER(SEARCH($D$5:$D$135&amp;"",$D69))&gt;0))&gt;0,"CLASH — overlaps another name in this specialty","OK"))</f>
        <v/>
      </c>
      <c r="L69" s="23" t="inlineStr"/>
    </row>
    <row r="70" ht="24" customHeight="1">
      <c r="A70" s="23" t="inlineStr">
        <is>
          <t>E/M</t>
        </is>
      </c>
      <c r="B70" s="29" t="inlineStr">
        <is>
          <t>EM-12</t>
        </is>
      </c>
      <c r="C70" s="35" t="inlineStr">
        <is>
          <t>P3</t>
        </is>
      </c>
      <c r="D70" s="31" t="inlineStr">
        <is>
          <t>Office procedure</t>
        </is>
      </c>
      <c r="E70" s="17" t="inlineStr">
        <is>
          <t>Minor office procedures billed with an E/M</t>
        </is>
      </c>
      <c r="F70" s="17" t="inlineStr">
        <is>
          <t>Office procedures with an E/M</t>
        </is>
      </c>
      <c r="G70" s="29" t="n">
        <v>21</v>
      </c>
      <c r="H70" s="15">
        <f>COUNTIFS('Chart Database'!$B$6:$B$4005,$A70,'Chart Database'!$C$6:$C$4005,"*"&amp;$D70&amp;"*",'Chart Database'!$F$6:$F$4005,"Active")</f>
        <v/>
      </c>
      <c r="I70" s="32">
        <f>IF($G70=0,"NA",H70/$G70)</f>
        <v/>
      </c>
      <c r="J70" s="15">
        <f>$G70-H70</f>
        <v/>
      </c>
      <c r="K70" s="33">
        <f>IF($D70="","",IF(SUMPRODUCT(--($A$5:$A$135=$A70),--($D$5:$D$135&lt;&gt;""),--(ROW($D$5:$D$135)&lt;&gt;ROW()),--(ISNUMBER(SEARCH($D70,$D$5:$D$135))+ISNUMBER(SEARCH($D$5:$D$135&amp;"",$D70))&gt;0))&gt;0,"CLASH — overlaps another name in this specialty","OK"))</f>
        <v/>
      </c>
      <c r="L70" s="23" t="inlineStr"/>
    </row>
    <row r="71" ht="24" customHeight="1">
      <c r="A71" s="23" t="inlineStr">
        <is>
          <t>E/M</t>
        </is>
      </c>
      <c r="B71" s="29" t="inlineStr">
        <is>
          <t>EM-13</t>
        </is>
      </c>
      <c r="C71" s="35" t="inlineStr">
        <is>
          <t>P3</t>
        </is>
      </c>
      <c r="D71" s="31" t="inlineStr">
        <is>
          <t>TCM</t>
        </is>
      </c>
      <c r="E71" s="17" t="inlineStr">
        <is>
          <t>Transitional care management (99495 / 99496)</t>
        </is>
      </c>
      <c r="F71" s="17" t="inlineStr">
        <is>
          <t>Care management and transitional care</t>
        </is>
      </c>
      <c r="G71" s="29" t="n">
        <v>12</v>
      </c>
      <c r="H71" s="15">
        <f>COUNTIFS('Chart Database'!$B$6:$B$4005,$A71,'Chart Database'!$C$6:$C$4005,"*"&amp;$D71&amp;"*",'Chart Database'!$F$6:$F$4005,"Active")</f>
        <v/>
      </c>
      <c r="I71" s="32">
        <f>IF($G71=0,"NA",H71/$G71)</f>
        <v/>
      </c>
      <c r="J71" s="15">
        <f>$G71-H71</f>
        <v/>
      </c>
      <c r="K71" s="33">
        <f>IF($D71="","",IF(SUMPRODUCT(--($A$5:$A$135=$A71),--($D$5:$D$135&lt;&gt;""),--(ROW($D$5:$D$135)&lt;&gt;ROW()),--(ISNUMBER(SEARCH($D71,$D$5:$D$135))+ISNUMBER(SEARCH($D$5:$D$135&amp;"",$D71))&gt;0))&gt;0,"CLASH — overlaps another name in this specialty","OK"))</f>
        <v/>
      </c>
      <c r="L71" s="23" t="inlineStr"/>
    </row>
    <row r="72" ht="24" customHeight="1">
      <c r="A72" s="23" t="inlineStr">
        <is>
          <t>E/M</t>
        </is>
      </c>
      <c r="B72" s="29" t="inlineStr">
        <is>
          <t>EM-14</t>
        </is>
      </c>
      <c r="C72" s="35" t="inlineStr">
        <is>
          <t>P4</t>
        </is>
      </c>
      <c r="D72" s="31" t="inlineStr">
        <is>
          <t>CCM</t>
        </is>
      </c>
      <c r="E72" s="17" t="inlineStr">
        <is>
          <t>Chronic care management (99490 / 99439 / 99487)</t>
        </is>
      </c>
      <c r="F72" s="17" t="inlineStr">
        <is>
          <t>Care management and transitional care</t>
        </is>
      </c>
      <c r="G72" s="29" t="n">
        <v>8</v>
      </c>
      <c r="H72" s="15">
        <f>COUNTIFS('Chart Database'!$B$6:$B$4005,$A72,'Chart Database'!$C$6:$C$4005,"*"&amp;$D72&amp;"*",'Chart Database'!$F$6:$F$4005,"Active")</f>
        <v/>
      </c>
      <c r="I72" s="32">
        <f>IF($G72=0,"NA",H72/$G72)</f>
        <v/>
      </c>
      <c r="J72" s="15">
        <f>$G72-H72</f>
        <v/>
      </c>
      <c r="K72" s="33">
        <f>IF($D72="","",IF(SUMPRODUCT(--($A$5:$A$135=$A72),--($D$5:$D$135&lt;&gt;""),--(ROW($D$5:$D$135)&lt;&gt;ROW()),--(ISNUMBER(SEARCH($D72,$D$5:$D$135))+ISNUMBER(SEARCH($D$5:$D$135&amp;"",$D72))&gt;0))&gt;0,"CLASH — overlaps another name in this specialty","OK"))</f>
        <v/>
      </c>
      <c r="L72" s="23" t="inlineStr"/>
    </row>
    <row r="73" ht="24" customHeight="1">
      <c r="A73" s="23" t="inlineStr">
        <is>
          <t>E/M</t>
        </is>
      </c>
      <c r="B73" s="29" t="inlineStr">
        <is>
          <t>EM-15</t>
        </is>
      </c>
      <c r="C73" s="35" t="inlineStr">
        <is>
          <t>P3</t>
        </is>
      </c>
      <c r="D73" s="31" t="inlineStr">
        <is>
          <t>Telehealth</t>
        </is>
      </c>
      <c r="E73" s="17" t="inlineStr">
        <is>
          <t>Telehealth and virtual services</t>
        </is>
      </c>
      <c r="F73" s="17" t="inlineStr">
        <is>
          <t>Telehealth</t>
        </is>
      </c>
      <c r="G73" s="29" t="n">
        <v>12</v>
      </c>
      <c r="H73" s="15">
        <f>COUNTIFS('Chart Database'!$B$6:$B$4005,$A73,'Chart Database'!$C$6:$C$4005,"*"&amp;$D73&amp;"*",'Chart Database'!$F$6:$F$4005,"Active")</f>
        <v/>
      </c>
      <c r="I73" s="32">
        <f>IF($G73=0,"NA",H73/$G73)</f>
        <v/>
      </c>
      <c r="J73" s="15">
        <f>$G73-H73</f>
        <v/>
      </c>
      <c r="K73" s="33">
        <f>IF($D73="","",IF(SUMPRODUCT(--($A$5:$A$135=$A73),--($D$5:$D$135&lt;&gt;""),--(ROW($D$5:$D$135)&lt;&gt;ROW()),--(ISNUMBER(SEARCH($D73,$D$5:$D$135))+ISNUMBER(SEARCH($D$5:$D$135&amp;"",$D73))&gt;0))&gt;0,"CLASH — overlaps another name in this specialty","OK"))</f>
        <v/>
      </c>
      <c r="L73" s="23" t="inlineStr"/>
    </row>
    <row r="74" ht="24" customHeight="1">
      <c r="A74" s="23" t="inlineStr">
        <is>
          <t>E/M</t>
        </is>
      </c>
      <c r="B74" s="29" t="inlineStr">
        <is>
          <t>EM-16</t>
        </is>
      </c>
      <c r="C74" s="30" t="inlineStr">
        <is>
          <t>P1</t>
        </is>
      </c>
      <c r="D74" s="31" t="inlineStr">
        <is>
          <t>Hospital initial</t>
        </is>
      </c>
      <c r="E74" s="17" t="inlineStr">
        <is>
          <t>Initial hospital inpatient or observation care (99221-99223)</t>
        </is>
      </c>
      <c r="F74" s="17" t="inlineStr">
        <is>
          <t>Inpatient and observation</t>
        </is>
      </c>
      <c r="G74" s="29" t="n">
        <v>25</v>
      </c>
      <c r="H74" s="15">
        <f>COUNTIFS('Chart Database'!$B$6:$B$4005,$A74,'Chart Database'!$C$6:$C$4005,"*"&amp;$D74&amp;"*",'Chart Database'!$F$6:$F$4005,"Active")</f>
        <v/>
      </c>
      <c r="I74" s="32">
        <f>IF($G74=0,"NA",H74/$G74)</f>
        <v/>
      </c>
      <c r="J74" s="15">
        <f>$G74-H74</f>
        <v/>
      </c>
      <c r="K74" s="33">
        <f>IF($D74="","",IF(SUMPRODUCT(--($A$5:$A$135=$A74),--($D$5:$D$135&lt;&gt;""),--(ROW($D$5:$D$135)&lt;&gt;ROW()),--(ISNUMBER(SEARCH($D74,$D$5:$D$135))+ISNUMBER(SEARCH($D$5:$D$135&amp;"",$D74))&gt;0))&gt;0,"CLASH — overlaps another name in this specialty","OK"))</f>
        <v/>
      </c>
      <c r="L74" s="23" t="inlineStr"/>
    </row>
    <row r="75" ht="24" customHeight="1">
      <c r="A75" s="23" t="inlineStr">
        <is>
          <t>E/M</t>
        </is>
      </c>
      <c r="B75" s="29" t="inlineStr">
        <is>
          <t>EM-17</t>
        </is>
      </c>
      <c r="C75" s="30" t="inlineStr">
        <is>
          <t>P1</t>
        </is>
      </c>
      <c r="D75" s="31" t="inlineStr">
        <is>
          <t>Hospital subsequent</t>
        </is>
      </c>
      <c r="E75" s="17" t="inlineStr">
        <is>
          <t>Subsequent hospital inpatient or observation care (99231-99233)</t>
        </is>
      </c>
      <c r="F75" s="17" t="inlineStr">
        <is>
          <t>Inpatient and observation</t>
        </is>
      </c>
      <c r="G75" s="29" t="n">
        <v>25</v>
      </c>
      <c r="H75" s="15">
        <f>COUNTIFS('Chart Database'!$B$6:$B$4005,$A75,'Chart Database'!$C$6:$C$4005,"*"&amp;$D75&amp;"*",'Chart Database'!$F$6:$F$4005,"Active")</f>
        <v/>
      </c>
      <c r="I75" s="32">
        <f>IF($G75=0,"NA",H75/$G75)</f>
        <v/>
      </c>
      <c r="J75" s="15">
        <f>$G75-H75</f>
        <v/>
      </c>
      <c r="K75" s="33">
        <f>IF($D75="","",IF(SUMPRODUCT(--($A$5:$A$135=$A75),--($D$5:$D$135&lt;&gt;""),--(ROW($D$5:$D$135)&lt;&gt;ROW()),--(ISNUMBER(SEARCH($D75,$D$5:$D$135))+ISNUMBER(SEARCH($D$5:$D$135&amp;"",$D75))&gt;0))&gt;0,"CLASH — overlaps another name in this specialty","OK"))</f>
        <v/>
      </c>
      <c r="L75" s="23" t="inlineStr"/>
    </row>
    <row r="76" ht="24" customHeight="1">
      <c r="A76" s="23" t="inlineStr">
        <is>
          <t>E/M</t>
        </is>
      </c>
      <c r="B76" s="29" t="inlineStr">
        <is>
          <t>EM-18</t>
        </is>
      </c>
      <c r="C76" s="30" t="inlineStr">
        <is>
          <t>P1</t>
        </is>
      </c>
      <c r="D76" s="31" t="inlineStr">
        <is>
          <t>Discharge day</t>
        </is>
      </c>
      <c r="E76" s="17" t="inlineStr">
        <is>
          <t>Discharge day management (99238 / 99239)</t>
        </is>
      </c>
      <c r="F76" s="17" t="inlineStr">
        <is>
          <t>Inpatient and observation</t>
        </is>
      </c>
      <c r="G76" s="29" t="n">
        <v>17</v>
      </c>
      <c r="H76" s="15">
        <f>COUNTIFS('Chart Database'!$B$6:$B$4005,$A76,'Chart Database'!$C$6:$C$4005,"*"&amp;$D76&amp;"*",'Chart Database'!$F$6:$F$4005,"Active")</f>
        <v/>
      </c>
      <c r="I76" s="32">
        <f>IF($G76=0,"NA",H76/$G76)</f>
        <v/>
      </c>
      <c r="J76" s="15">
        <f>$G76-H76</f>
        <v/>
      </c>
      <c r="K76" s="33">
        <f>IF($D76="","",IF(SUMPRODUCT(--($A$5:$A$135=$A76),--($D$5:$D$135&lt;&gt;""),--(ROW($D$5:$D$135)&lt;&gt;ROW()),--(ISNUMBER(SEARCH($D76,$D$5:$D$135))+ISNUMBER(SEARCH($D$5:$D$135&amp;"",$D76))&gt;0))&gt;0,"CLASH — overlaps another name in this specialty","OK"))</f>
        <v/>
      </c>
      <c r="L76" s="23" t="inlineStr"/>
    </row>
    <row r="77" ht="24" customHeight="1">
      <c r="A77" s="23" t="inlineStr">
        <is>
          <t>E/M</t>
        </is>
      </c>
      <c r="B77" s="29" t="inlineStr">
        <is>
          <t>EM-19</t>
        </is>
      </c>
      <c r="C77" s="34" t="inlineStr">
        <is>
          <t>P2</t>
        </is>
      </c>
      <c r="D77" s="31" t="inlineStr">
        <is>
          <t>Admit discharge same day</t>
        </is>
      </c>
      <c r="E77" s="17" t="inlineStr">
        <is>
          <t>Same-day admission and discharge (99234-99236)</t>
        </is>
      </c>
      <c r="F77" s="17" t="inlineStr">
        <is>
          <t>Inpatient and observation</t>
        </is>
      </c>
      <c r="G77" s="29" t="n">
        <v>8</v>
      </c>
      <c r="H77" s="15">
        <f>COUNTIFS('Chart Database'!$B$6:$B$4005,$A77,'Chart Database'!$C$6:$C$4005,"*"&amp;$D77&amp;"*",'Chart Database'!$F$6:$F$4005,"Active")</f>
        <v/>
      </c>
      <c r="I77" s="32">
        <f>IF($G77=0,"NA",H77/$G77)</f>
        <v/>
      </c>
      <c r="J77" s="15">
        <f>$G77-H77</f>
        <v/>
      </c>
      <c r="K77" s="33">
        <f>IF($D77="","",IF(SUMPRODUCT(--($A$5:$A$135=$A77),--($D$5:$D$135&lt;&gt;""),--(ROW($D$5:$D$135)&lt;&gt;ROW()),--(ISNUMBER(SEARCH($D77,$D$5:$D$135))+ISNUMBER(SEARCH($D$5:$D$135&amp;"",$D77))&gt;0))&gt;0,"CLASH — overlaps another name in this specialty","OK"))</f>
        <v/>
      </c>
      <c r="L77" s="23" t="inlineStr"/>
    </row>
    <row r="78" ht="24" customHeight="1">
      <c r="A78" s="23" t="inlineStr">
        <is>
          <t>E/M</t>
        </is>
      </c>
      <c r="B78" s="29" t="inlineStr">
        <is>
          <t>EM-20</t>
        </is>
      </c>
      <c r="C78" s="34" t="inlineStr">
        <is>
          <t>P2</t>
        </is>
      </c>
      <c r="D78" s="31" t="inlineStr">
        <is>
          <t>Inpatient critical care</t>
        </is>
      </c>
      <c r="E78" s="17" t="inlineStr">
        <is>
          <t>Inpatient critical care (99291 / 99292)</t>
        </is>
      </c>
      <c r="F78" s="17" t="inlineStr">
        <is>
          <t>Critical care and neonatal intensive care</t>
        </is>
      </c>
      <c r="G78" s="29" t="n">
        <v>12</v>
      </c>
      <c r="H78" s="15">
        <f>COUNTIFS('Chart Database'!$B$6:$B$4005,$A78,'Chart Database'!$C$6:$C$4005,"*"&amp;$D78&amp;"*",'Chart Database'!$F$6:$F$4005,"Active")</f>
        <v/>
      </c>
      <c r="I78" s="32">
        <f>IF($G78=0,"NA",H78/$G78)</f>
        <v/>
      </c>
      <c r="J78" s="15">
        <f>$G78-H78</f>
        <v/>
      </c>
      <c r="K78" s="33">
        <f>IF($D78="","",IF(SUMPRODUCT(--($A$5:$A$135=$A78),--($D$5:$D$135&lt;&gt;""),--(ROW($D$5:$D$135)&lt;&gt;ROW()),--(ISNUMBER(SEARCH($D78,$D$5:$D$135))+ISNUMBER(SEARCH($D$5:$D$135&amp;"",$D78))&gt;0))&gt;0,"CLASH — overlaps another name in this specialty","OK"))</f>
        <v/>
      </c>
      <c r="L78" s="23" t="inlineStr"/>
    </row>
    <row r="79" ht="24" customHeight="1">
      <c r="A79" s="23" t="inlineStr">
        <is>
          <t>E/M</t>
        </is>
      </c>
      <c r="B79" s="29" t="inlineStr">
        <is>
          <t>EM-21</t>
        </is>
      </c>
      <c r="C79" s="35" t="inlineStr">
        <is>
          <t>P3</t>
        </is>
      </c>
      <c r="D79" s="31" t="inlineStr">
        <is>
          <t>NICU PICU</t>
        </is>
      </c>
      <c r="E79" s="17" t="inlineStr">
        <is>
          <t>Neonatal and paediatric critical care (99468-99476)</t>
        </is>
      </c>
      <c r="F79" s="17" t="inlineStr">
        <is>
          <t>Critical care and neonatal intensive care</t>
        </is>
      </c>
      <c r="G79" s="29" t="n">
        <v>8</v>
      </c>
      <c r="H79" s="15">
        <f>COUNTIFS('Chart Database'!$B$6:$B$4005,$A79,'Chart Database'!$C$6:$C$4005,"*"&amp;$D79&amp;"*",'Chart Database'!$F$6:$F$4005,"Active")</f>
        <v/>
      </c>
      <c r="I79" s="32">
        <f>IF($G79=0,"NA",H79/$G79)</f>
        <v/>
      </c>
      <c r="J79" s="15">
        <f>$G79-H79</f>
        <v/>
      </c>
      <c r="K79" s="33">
        <f>IF($D79="","",IF(SUMPRODUCT(--($A$5:$A$135=$A79),--($D$5:$D$135&lt;&gt;""),--(ROW($D$5:$D$135)&lt;&gt;ROW()),--(ISNUMBER(SEARCH($D79,$D$5:$D$135))+ISNUMBER(SEARCH($D$5:$D$135&amp;"",$D79))&gt;0))&gt;0,"CLASH — overlaps another name in this specialty","OK"))</f>
        <v/>
      </c>
      <c r="L79" s="23" t="inlineStr"/>
    </row>
    <row r="80" ht="24" customHeight="1">
      <c r="A80" s="23" t="inlineStr">
        <is>
          <t>E/M</t>
        </is>
      </c>
      <c r="B80" s="29" t="inlineStr">
        <is>
          <t>EM-22</t>
        </is>
      </c>
      <c r="C80" s="34" t="inlineStr">
        <is>
          <t>P2</t>
        </is>
      </c>
      <c r="D80" s="31" t="inlineStr">
        <is>
          <t>Consult outpatient</t>
        </is>
      </c>
      <c r="E80" s="17" t="inlineStr">
        <is>
          <t>Office and outpatient consultations (99242-99245)</t>
        </is>
      </c>
      <c r="F80" s="17" t="inlineStr">
        <is>
          <t>Consultations</t>
        </is>
      </c>
      <c r="G80" s="29" t="n">
        <v>8</v>
      </c>
      <c r="H80" s="15">
        <f>COUNTIFS('Chart Database'!$B$6:$B$4005,$A80,'Chart Database'!$C$6:$C$4005,"*"&amp;$D80&amp;"*",'Chart Database'!$F$6:$F$4005,"Active")</f>
        <v/>
      </c>
      <c r="I80" s="32">
        <f>IF($G80=0,"NA",H80/$G80)</f>
        <v/>
      </c>
      <c r="J80" s="15">
        <f>$G80-H80</f>
        <v/>
      </c>
      <c r="K80" s="33">
        <f>IF($D80="","",IF(SUMPRODUCT(--($A$5:$A$135=$A80),--($D$5:$D$135&lt;&gt;""),--(ROW($D$5:$D$135)&lt;&gt;ROW()),--(ISNUMBER(SEARCH($D80,$D$5:$D$135))+ISNUMBER(SEARCH($D$5:$D$135&amp;"",$D80))&gt;0))&gt;0,"CLASH — overlaps another name in this specialty","OK"))</f>
        <v/>
      </c>
      <c r="L80" s="23" t="inlineStr"/>
    </row>
    <row r="81" ht="24" customHeight="1">
      <c r="A81" s="23" t="inlineStr">
        <is>
          <t>E/M</t>
        </is>
      </c>
      <c r="B81" s="29" t="inlineStr">
        <is>
          <t>EM-23</t>
        </is>
      </c>
      <c r="C81" s="34" t="inlineStr">
        <is>
          <t>P2</t>
        </is>
      </c>
      <c r="D81" s="31" t="inlineStr">
        <is>
          <t>Consult inpatient</t>
        </is>
      </c>
      <c r="E81" s="17" t="inlineStr">
        <is>
          <t>Inpatient consultations (99252-99255)</t>
        </is>
      </c>
      <c r="F81" s="17" t="inlineStr">
        <is>
          <t>Consultations</t>
        </is>
      </c>
      <c r="G81" s="29" t="n">
        <v>8</v>
      </c>
      <c r="H81" s="15">
        <f>COUNTIFS('Chart Database'!$B$6:$B$4005,$A81,'Chart Database'!$C$6:$C$4005,"*"&amp;$D81&amp;"*",'Chart Database'!$F$6:$F$4005,"Active")</f>
        <v/>
      </c>
      <c r="I81" s="32">
        <f>IF($G81=0,"NA",H81/$G81)</f>
        <v/>
      </c>
      <c r="J81" s="15">
        <f>$G81-H81</f>
        <v/>
      </c>
      <c r="K81" s="33">
        <f>IF($D81="","",IF(SUMPRODUCT(--($A$5:$A$135=$A81),--($D$5:$D$135&lt;&gt;""),--(ROW($D$5:$D$135)&lt;&gt;ROW()),--(ISNUMBER(SEARCH($D81,$D$5:$D$135))+ISNUMBER(SEARCH($D$5:$D$135&amp;"",$D81))&gt;0))&gt;0,"CLASH — overlaps another name in this specialty","OK"))</f>
        <v/>
      </c>
      <c r="L81" s="23" t="inlineStr"/>
    </row>
    <row r="82" ht="24" customHeight="1">
      <c r="A82" s="23" t="inlineStr">
        <is>
          <t>SDS</t>
        </is>
      </c>
      <c r="B82" s="29" t="inlineStr">
        <is>
          <t>SDS-01</t>
        </is>
      </c>
      <c r="C82" s="34" t="inlineStr">
        <is>
          <t>P2</t>
        </is>
      </c>
      <c r="D82" s="31" t="inlineStr">
        <is>
          <t>Arthroscopy</t>
        </is>
      </c>
      <c r="E82" s="17" t="inlineStr">
        <is>
          <t>Knee and shoulder arthroscopy</t>
        </is>
      </c>
      <c r="F82" s="17" t="inlineStr">
        <is>
          <t>Orthopaedics</t>
        </is>
      </c>
      <c r="G82" s="29" t="n">
        <v>13</v>
      </c>
      <c r="H82" s="15">
        <f>COUNTIFS('Chart Database'!$B$6:$B$4005,$A82,'Chart Database'!$C$6:$C$4005,"*"&amp;$D82&amp;"*",'Chart Database'!$F$6:$F$4005,"Active")</f>
        <v/>
      </c>
      <c r="I82" s="32">
        <f>IF($G82=0,"NA",H82/$G82)</f>
        <v/>
      </c>
      <c r="J82" s="15">
        <f>$G82-H82</f>
        <v/>
      </c>
      <c r="K82" s="33">
        <f>IF($D82="","",IF(SUMPRODUCT(--($A$5:$A$135=$A82),--($D$5:$D$135&lt;&gt;""),--(ROW($D$5:$D$135)&lt;&gt;ROW()),--(ISNUMBER(SEARCH($D82,$D$5:$D$135))+ISNUMBER(SEARCH($D$5:$D$135&amp;"",$D82))&gt;0))&gt;0,"CLASH — overlaps another name in this specialty","OK"))</f>
        <v/>
      </c>
      <c r="L82" s="23" t="inlineStr"/>
    </row>
    <row r="83" ht="24" customHeight="1">
      <c r="A83" s="23" t="inlineStr">
        <is>
          <t>SDS</t>
        </is>
      </c>
      <c r="B83" s="29" t="inlineStr">
        <is>
          <t>SDS-02</t>
        </is>
      </c>
      <c r="C83" s="34" t="inlineStr">
        <is>
          <t>P2</t>
        </is>
      </c>
      <c r="D83" s="31" t="inlineStr">
        <is>
          <t>Hand foot</t>
        </is>
      </c>
      <c r="E83" s="17" t="inlineStr">
        <is>
          <t>Hand and foot procedures</t>
        </is>
      </c>
      <c r="F83" s="17" t="inlineStr">
        <is>
          <t>Orthopaedics</t>
        </is>
      </c>
      <c r="G83" s="29" t="n">
        <v>11</v>
      </c>
      <c r="H83" s="15">
        <f>COUNTIFS('Chart Database'!$B$6:$B$4005,$A83,'Chart Database'!$C$6:$C$4005,"*"&amp;$D83&amp;"*",'Chart Database'!$F$6:$F$4005,"Active")</f>
        <v/>
      </c>
      <c r="I83" s="32">
        <f>IF($G83=0,"NA",H83/$G83)</f>
        <v/>
      </c>
      <c r="J83" s="15">
        <f>$G83-H83</f>
        <v/>
      </c>
      <c r="K83" s="33">
        <f>IF($D83="","",IF(SUMPRODUCT(--($A$5:$A$135=$A83),--($D$5:$D$135&lt;&gt;""),--(ROW($D$5:$D$135)&lt;&gt;ROW()),--(ISNUMBER(SEARCH($D83,$D$5:$D$135))+ISNUMBER(SEARCH($D$5:$D$135&amp;"",$D83))&gt;0))&gt;0,"CLASH — overlaps another name in this specialty","OK"))</f>
        <v/>
      </c>
      <c r="L83" s="23" t="inlineStr"/>
    </row>
    <row r="84" ht="24" customHeight="1">
      <c r="A84" s="23" t="inlineStr">
        <is>
          <t>SDS</t>
        </is>
      </c>
      <c r="B84" s="29" t="inlineStr">
        <is>
          <t>SDS-03</t>
        </is>
      </c>
      <c r="C84" s="34" t="inlineStr">
        <is>
          <t>P2</t>
        </is>
      </c>
      <c r="D84" s="31" t="inlineStr">
        <is>
          <t>Fracture care</t>
        </is>
      </c>
      <c r="E84" s="17" t="inlineStr">
        <is>
          <t>Fracture care and hardware removal</t>
        </is>
      </c>
      <c r="F84" s="17" t="inlineStr">
        <is>
          <t>Orthopaedics</t>
        </is>
      </c>
      <c r="G84" s="29" t="n">
        <v>9</v>
      </c>
      <c r="H84" s="15">
        <f>COUNTIFS('Chart Database'!$B$6:$B$4005,$A84,'Chart Database'!$C$6:$C$4005,"*"&amp;$D84&amp;"*",'Chart Database'!$F$6:$F$4005,"Active")</f>
        <v/>
      </c>
      <c r="I84" s="32">
        <f>IF($G84=0,"NA",H84/$G84)</f>
        <v/>
      </c>
      <c r="J84" s="15">
        <f>$G84-H84</f>
        <v/>
      </c>
      <c r="K84" s="33">
        <f>IF($D84="","",IF(SUMPRODUCT(--($A$5:$A$135=$A84),--($D$5:$D$135&lt;&gt;""),--(ROW($D$5:$D$135)&lt;&gt;ROW()),--(ISNUMBER(SEARCH($D84,$D$5:$D$135))+ISNUMBER(SEARCH($D$5:$D$135&amp;"",$D84))&gt;0))&gt;0,"CLASH — overlaps another name in this specialty","OK"))</f>
        <v/>
      </c>
      <c r="L84" s="23" t="inlineStr"/>
    </row>
    <row r="85" ht="24" customHeight="1">
      <c r="A85" s="23" t="inlineStr">
        <is>
          <t>SDS</t>
        </is>
      </c>
      <c r="B85" s="29" t="inlineStr">
        <is>
          <t>SDS-04</t>
        </is>
      </c>
      <c r="C85" s="34" t="inlineStr">
        <is>
          <t>P2</t>
        </is>
      </c>
      <c r="D85" s="31" t="inlineStr">
        <is>
          <t>Colonoscopy screening</t>
        </is>
      </c>
      <c r="E85" s="17" t="inlineStr">
        <is>
          <t>Screening versus diagnostic colonoscopy</t>
        </is>
      </c>
      <c r="F85" s="17" t="inlineStr">
        <is>
          <t>GI / endoscopy</t>
        </is>
      </c>
      <c r="G85" s="29" t="n">
        <v>13</v>
      </c>
      <c r="H85" s="15">
        <f>COUNTIFS('Chart Database'!$B$6:$B$4005,$A85,'Chart Database'!$C$6:$C$4005,"*"&amp;$D85&amp;"*",'Chart Database'!$F$6:$F$4005,"Active")</f>
        <v/>
      </c>
      <c r="I85" s="32">
        <f>IF($G85=0,"NA",H85/$G85)</f>
        <v/>
      </c>
      <c r="J85" s="15">
        <f>$G85-H85</f>
        <v/>
      </c>
      <c r="K85" s="33">
        <f>IF($D85="","",IF(SUMPRODUCT(--($A$5:$A$135=$A85),--($D$5:$D$135&lt;&gt;""),--(ROW($D$5:$D$135)&lt;&gt;ROW()),--(ISNUMBER(SEARCH($D85,$D$5:$D$135))+ISNUMBER(SEARCH($D$5:$D$135&amp;"",$D85))&gt;0))&gt;0,"CLASH — overlaps another name in this specialty","OK"))</f>
        <v/>
      </c>
      <c r="L85" s="23" t="inlineStr"/>
    </row>
    <row r="86" ht="24" customHeight="1">
      <c r="A86" s="23" t="inlineStr">
        <is>
          <t>SDS</t>
        </is>
      </c>
      <c r="B86" s="29" t="inlineStr">
        <is>
          <t>SDS-05</t>
        </is>
      </c>
      <c r="C86" s="34" t="inlineStr">
        <is>
          <t>P2</t>
        </is>
      </c>
      <c r="D86" s="31" t="inlineStr">
        <is>
          <t>Polypectomy</t>
        </is>
      </c>
      <c r="E86" s="17" t="inlineStr">
        <is>
          <t>Colonoscopy with polypectomy — technique-driven coding</t>
        </is>
      </c>
      <c r="F86" s="17" t="inlineStr">
        <is>
          <t>GI / endoscopy</t>
        </is>
      </c>
      <c r="G86" s="29" t="n">
        <v>11</v>
      </c>
      <c r="H86" s="15">
        <f>COUNTIFS('Chart Database'!$B$6:$B$4005,$A86,'Chart Database'!$C$6:$C$4005,"*"&amp;$D86&amp;"*",'Chart Database'!$F$6:$F$4005,"Active")</f>
        <v/>
      </c>
      <c r="I86" s="32">
        <f>IF($G86=0,"NA",H86/$G86)</f>
        <v/>
      </c>
      <c r="J86" s="15">
        <f>$G86-H86</f>
        <v/>
      </c>
      <c r="K86" s="33">
        <f>IF($D86="","",IF(SUMPRODUCT(--($A$5:$A$135=$A86),--($D$5:$D$135&lt;&gt;""),--(ROW($D$5:$D$135)&lt;&gt;ROW()),--(ISNUMBER(SEARCH($D86,$D$5:$D$135))+ISNUMBER(SEARCH($D$5:$D$135&amp;"",$D86))&gt;0))&gt;0,"CLASH — overlaps another name in this specialty","OK"))</f>
        <v/>
      </c>
      <c r="L86" s="23" t="inlineStr"/>
    </row>
    <row r="87" ht="24" customHeight="1">
      <c r="A87" s="23" t="inlineStr">
        <is>
          <t>SDS</t>
        </is>
      </c>
      <c r="B87" s="29" t="inlineStr">
        <is>
          <t>SDS-06</t>
        </is>
      </c>
      <c r="C87" s="34" t="inlineStr">
        <is>
          <t>P2</t>
        </is>
      </c>
      <c r="D87" s="31" t="inlineStr">
        <is>
          <t>EGD</t>
        </is>
      </c>
      <c r="E87" s="17" t="inlineStr">
        <is>
          <t>EGD and combined upper and lower endoscopy</t>
        </is>
      </c>
      <c r="F87" s="17" t="inlineStr">
        <is>
          <t>GI / endoscopy</t>
        </is>
      </c>
      <c r="G87" s="29" t="n">
        <v>9</v>
      </c>
      <c r="H87" s="15">
        <f>COUNTIFS('Chart Database'!$B$6:$B$4005,$A87,'Chart Database'!$C$6:$C$4005,"*"&amp;$D87&amp;"*",'Chart Database'!$F$6:$F$4005,"Active")</f>
        <v/>
      </c>
      <c r="I87" s="32">
        <f>IF($G87=0,"NA",H87/$G87)</f>
        <v/>
      </c>
      <c r="J87" s="15">
        <f>$G87-H87</f>
        <v/>
      </c>
      <c r="K87" s="33">
        <f>IF($D87="","",IF(SUMPRODUCT(--($A$5:$A$135=$A87),--($D$5:$D$135&lt;&gt;""),--(ROW($D$5:$D$135)&lt;&gt;ROW()),--(ISNUMBER(SEARCH($D87,$D$5:$D$135))+ISNUMBER(SEARCH($D$5:$D$135&amp;"",$D87))&gt;0))&gt;0,"CLASH — overlaps another name in this specialty","OK"))</f>
        <v/>
      </c>
      <c r="L87" s="23" t="inlineStr"/>
    </row>
    <row r="88" ht="24" customHeight="1">
      <c r="A88" s="23" t="inlineStr">
        <is>
          <t>SDS</t>
        </is>
      </c>
      <c r="B88" s="29" t="inlineStr">
        <is>
          <t>SDS-07</t>
        </is>
      </c>
      <c r="C88" s="34" t="inlineStr">
        <is>
          <t>P2</t>
        </is>
      </c>
      <c r="D88" s="31" t="inlineStr">
        <is>
          <t>Cataract</t>
        </is>
      </c>
      <c r="E88" s="17" t="inlineStr">
        <is>
          <t>Cataract extraction with IOL</t>
        </is>
      </c>
      <c r="F88" s="17" t="inlineStr">
        <is>
          <t>Ophthalmology</t>
        </is>
      </c>
      <c r="G88" s="29" t="n">
        <v>11</v>
      </c>
      <c r="H88" s="15">
        <f>COUNTIFS('Chart Database'!$B$6:$B$4005,$A88,'Chart Database'!$C$6:$C$4005,"*"&amp;$D88&amp;"*",'Chart Database'!$F$6:$F$4005,"Active")</f>
        <v/>
      </c>
      <c r="I88" s="32">
        <f>IF($G88=0,"NA",H88/$G88)</f>
        <v/>
      </c>
      <c r="J88" s="15">
        <f>$G88-H88</f>
        <v/>
      </c>
      <c r="K88" s="33">
        <f>IF($D88="","",IF(SUMPRODUCT(--($A$5:$A$135=$A88),--($D$5:$D$135&lt;&gt;""),--(ROW($D$5:$D$135)&lt;&gt;ROW()),--(ISNUMBER(SEARCH($D88,$D$5:$D$135))+ISNUMBER(SEARCH($D$5:$D$135&amp;"",$D88))&gt;0))&gt;0,"CLASH — overlaps another name in this specialty","OK"))</f>
        <v/>
      </c>
      <c r="L88" s="23" t="inlineStr"/>
    </row>
    <row r="89" ht="24" customHeight="1">
      <c r="A89" s="23" t="inlineStr">
        <is>
          <t>SDS</t>
        </is>
      </c>
      <c r="B89" s="29" t="inlineStr">
        <is>
          <t>SDS-08</t>
        </is>
      </c>
      <c r="C89" s="34" t="inlineStr">
        <is>
          <t>P2</t>
        </is>
      </c>
      <c r="D89" s="31" t="inlineStr">
        <is>
          <t>Intravitreal</t>
        </is>
      </c>
      <c r="E89" s="17" t="inlineStr">
        <is>
          <t>Intravitreal injections and retinal laser</t>
        </is>
      </c>
      <c r="F89" s="17" t="inlineStr">
        <is>
          <t>Ophthalmology</t>
        </is>
      </c>
      <c r="G89" s="29" t="n">
        <v>5</v>
      </c>
      <c r="H89" s="15">
        <f>COUNTIFS('Chart Database'!$B$6:$B$4005,$A89,'Chart Database'!$C$6:$C$4005,"*"&amp;$D89&amp;"*",'Chart Database'!$F$6:$F$4005,"Active")</f>
        <v/>
      </c>
      <c r="I89" s="32">
        <f>IF($G89=0,"NA",H89/$G89)</f>
        <v/>
      </c>
      <c r="J89" s="15">
        <f>$G89-H89</f>
        <v/>
      </c>
      <c r="K89" s="33">
        <f>IF($D89="","",IF(SUMPRODUCT(--($A$5:$A$135=$A89),--($D$5:$D$135&lt;&gt;""),--(ROW($D$5:$D$135)&lt;&gt;ROW()),--(ISNUMBER(SEARCH($D89,$D$5:$D$135))+ISNUMBER(SEARCH($D$5:$D$135&amp;"",$D89))&gt;0))&gt;0,"CLASH — overlaps another name in this specialty","OK"))</f>
        <v/>
      </c>
      <c r="L89" s="23" t="inlineStr"/>
    </row>
    <row r="90" ht="24" customHeight="1">
      <c r="A90" s="23" t="inlineStr">
        <is>
          <t>SDS</t>
        </is>
      </c>
      <c r="B90" s="29" t="inlineStr">
        <is>
          <t>SDS-09</t>
        </is>
      </c>
      <c r="C90" s="35" t="inlineStr">
        <is>
          <t>P3</t>
        </is>
      </c>
      <c r="D90" s="31" t="inlineStr">
        <is>
          <t>Oculoplastic</t>
        </is>
      </c>
      <c r="E90" s="17" t="inlineStr">
        <is>
          <t>Oculoplastic and other eye procedures</t>
        </is>
      </c>
      <c r="F90" s="17" t="inlineStr">
        <is>
          <t>Ophthalmology</t>
        </is>
      </c>
      <c r="G90" s="29" t="n">
        <v>4</v>
      </c>
      <c r="H90" s="15">
        <f>COUNTIFS('Chart Database'!$B$6:$B$4005,$A90,'Chart Database'!$C$6:$C$4005,"*"&amp;$D90&amp;"*",'Chart Database'!$F$6:$F$4005,"Active")</f>
        <v/>
      </c>
      <c r="I90" s="32">
        <f>IF($G90=0,"NA",H90/$G90)</f>
        <v/>
      </c>
      <c r="J90" s="15">
        <f>$G90-H90</f>
        <v/>
      </c>
      <c r="K90" s="33">
        <f>IF($D90="","",IF(SUMPRODUCT(--($A$5:$A$135=$A90),--($D$5:$D$135&lt;&gt;""),--(ROW($D$5:$D$135)&lt;&gt;ROW()),--(ISNUMBER(SEARCH($D90,$D$5:$D$135))+ISNUMBER(SEARCH($D$5:$D$135&amp;"",$D90))&gt;0))&gt;0,"CLASH — overlaps another name in this specialty","OK"))</f>
        <v/>
      </c>
      <c r="L90" s="23" t="inlineStr"/>
    </row>
    <row r="91" ht="24" customHeight="1">
      <c r="A91" s="23" t="inlineStr">
        <is>
          <t>SDS</t>
        </is>
      </c>
      <c r="B91" s="29" t="inlineStr">
        <is>
          <t>SDS-10</t>
        </is>
      </c>
      <c r="C91" s="34" t="inlineStr">
        <is>
          <t>P2</t>
        </is>
      </c>
      <c r="D91" s="31" t="inlineStr">
        <is>
          <t>Epidural facet</t>
        </is>
      </c>
      <c r="E91" s="17" t="inlineStr">
        <is>
          <t>Epidural and facet joint injections</t>
        </is>
      </c>
      <c r="F91" s="17" t="inlineStr">
        <is>
          <t>Pain management</t>
        </is>
      </c>
      <c r="G91" s="29" t="n">
        <v>11</v>
      </c>
      <c r="H91" s="15">
        <f>COUNTIFS('Chart Database'!$B$6:$B$4005,$A91,'Chart Database'!$C$6:$C$4005,"*"&amp;$D91&amp;"*",'Chart Database'!$F$6:$F$4005,"Active")</f>
        <v/>
      </c>
      <c r="I91" s="32">
        <f>IF($G91=0,"NA",H91/$G91)</f>
        <v/>
      </c>
      <c r="J91" s="15">
        <f>$G91-H91</f>
        <v/>
      </c>
      <c r="K91" s="33">
        <f>IF($D91="","",IF(SUMPRODUCT(--($A$5:$A$135=$A91),--($D$5:$D$135&lt;&gt;""),--(ROW($D$5:$D$135)&lt;&gt;ROW()),--(ISNUMBER(SEARCH($D91,$D$5:$D$135))+ISNUMBER(SEARCH($D$5:$D$135&amp;"",$D91))&gt;0))&gt;0,"CLASH — overlaps another name in this specialty","OK"))</f>
        <v/>
      </c>
      <c r="L91" s="23" t="inlineStr"/>
    </row>
    <row r="92" ht="24" customHeight="1">
      <c r="A92" s="23" t="inlineStr">
        <is>
          <t>SDS</t>
        </is>
      </c>
      <c r="B92" s="29" t="inlineStr">
        <is>
          <t>SDS-11</t>
        </is>
      </c>
      <c r="C92" s="34" t="inlineStr">
        <is>
          <t>P2</t>
        </is>
      </c>
      <c r="D92" s="31" t="inlineStr">
        <is>
          <t>Nerve block RFA</t>
        </is>
      </c>
      <c r="E92" s="17" t="inlineStr">
        <is>
          <t>Radiofrequency ablation and nerve blocks</t>
        </is>
      </c>
      <c r="F92" s="17" t="inlineStr">
        <is>
          <t>Pain management</t>
        </is>
      </c>
      <c r="G92" s="29" t="n">
        <v>9</v>
      </c>
      <c r="H92" s="15">
        <f>COUNTIFS('Chart Database'!$B$6:$B$4005,$A92,'Chart Database'!$C$6:$C$4005,"*"&amp;$D92&amp;"*",'Chart Database'!$F$6:$F$4005,"Active")</f>
        <v/>
      </c>
      <c r="I92" s="32">
        <f>IF($G92=0,"NA",H92/$G92)</f>
        <v/>
      </c>
      <c r="J92" s="15">
        <f>$G92-H92</f>
        <v/>
      </c>
      <c r="K92" s="33">
        <f>IF($D92="","",IF(SUMPRODUCT(--($A$5:$A$135=$A92),--($D$5:$D$135&lt;&gt;""),--(ROW($D$5:$D$135)&lt;&gt;ROW()),--(ISNUMBER(SEARCH($D92,$D$5:$D$135))+ISNUMBER(SEARCH($D$5:$D$135&amp;"",$D92))&gt;0))&gt;0,"CLASH — overlaps another name in this specialty","OK"))</f>
        <v/>
      </c>
      <c r="L92" s="23" t="inlineStr"/>
    </row>
    <row r="93" ht="24" customHeight="1">
      <c r="A93" s="23" t="inlineStr">
        <is>
          <t>SDS</t>
        </is>
      </c>
      <c r="B93" s="29" t="inlineStr">
        <is>
          <t>SDS-12</t>
        </is>
      </c>
      <c r="C93" s="34" t="inlineStr">
        <is>
          <t>P2</t>
        </is>
      </c>
      <c r="D93" s="31" t="inlineStr">
        <is>
          <t>General surgery</t>
        </is>
      </c>
      <c r="E93" s="17" t="inlineStr">
        <is>
          <t>General surgery — hernia repair, cholecystectomy, excisions</t>
        </is>
      </c>
      <c r="F93" s="17" t="inlineStr">
        <is>
          <t>Other surgical</t>
        </is>
      </c>
      <c r="G93" s="29" t="n">
        <v>9</v>
      </c>
      <c r="H93" s="15">
        <f>COUNTIFS('Chart Database'!$B$6:$B$4005,$A93,'Chart Database'!$C$6:$C$4005,"*"&amp;$D93&amp;"*",'Chart Database'!$F$6:$F$4005,"Active")</f>
        <v/>
      </c>
      <c r="I93" s="32">
        <f>IF($G93=0,"NA",H93/$G93)</f>
        <v/>
      </c>
      <c r="J93" s="15">
        <f>$G93-H93</f>
        <v/>
      </c>
      <c r="K93" s="33">
        <f>IF($D93="","",IF(SUMPRODUCT(--($A$5:$A$135=$A93),--($D$5:$D$135&lt;&gt;""),--(ROW($D$5:$D$135)&lt;&gt;ROW()),--(ISNUMBER(SEARCH($D93,$D$5:$D$135))+ISNUMBER(SEARCH($D$5:$D$135&amp;"",$D93))&gt;0))&gt;0,"CLASH — overlaps another name in this specialty","OK"))</f>
        <v/>
      </c>
      <c r="L93" s="23" t="inlineStr"/>
    </row>
    <row r="94" ht="24" customHeight="1">
      <c r="A94" s="23" t="inlineStr">
        <is>
          <t>SDS</t>
        </is>
      </c>
      <c r="B94" s="29" t="inlineStr">
        <is>
          <t>SDS-13</t>
        </is>
      </c>
      <c r="C94" s="34" t="inlineStr">
        <is>
          <t>P2</t>
        </is>
      </c>
      <c r="D94" s="31" t="inlineStr">
        <is>
          <t>Gynaecology</t>
        </is>
      </c>
      <c r="E94" s="17" t="inlineStr">
        <is>
          <t>Gynaecology — hysteroscopy, D&amp;C, laparoscopy</t>
        </is>
      </c>
      <c r="F94" s="17" t="inlineStr">
        <is>
          <t>Other surgical</t>
        </is>
      </c>
      <c r="G94" s="29" t="n">
        <v>7</v>
      </c>
      <c r="H94" s="15">
        <f>COUNTIFS('Chart Database'!$B$6:$B$4005,$A94,'Chart Database'!$C$6:$C$4005,"*"&amp;$D94&amp;"*",'Chart Database'!$F$6:$F$4005,"Active")</f>
        <v/>
      </c>
      <c r="I94" s="32">
        <f>IF($G94=0,"NA",H94/$G94)</f>
        <v/>
      </c>
      <c r="J94" s="15">
        <f>$G94-H94</f>
        <v/>
      </c>
      <c r="K94" s="33">
        <f>IF($D94="","",IF(SUMPRODUCT(--($A$5:$A$135=$A94),--($D$5:$D$135&lt;&gt;""),--(ROW($D$5:$D$135)&lt;&gt;ROW()),--(ISNUMBER(SEARCH($D94,$D$5:$D$135))+ISNUMBER(SEARCH($D$5:$D$135&amp;"",$D94))&gt;0))&gt;0,"CLASH — overlaps another name in this specialty","OK"))</f>
        <v/>
      </c>
      <c r="L94" s="23" t="inlineStr"/>
    </row>
    <row r="95" ht="24" customHeight="1">
      <c r="A95" s="23" t="inlineStr">
        <is>
          <t>SDS</t>
        </is>
      </c>
      <c r="B95" s="29" t="inlineStr">
        <is>
          <t>SDS-14</t>
        </is>
      </c>
      <c r="C95" s="35" t="inlineStr">
        <is>
          <t>P3</t>
        </is>
      </c>
      <c r="D95" s="31" t="inlineStr">
        <is>
          <t>ENT</t>
        </is>
      </c>
      <c r="E95" s="17" t="inlineStr">
        <is>
          <t>ENT — tonsillectomy, sinus surgery, myringotomy</t>
        </is>
      </c>
      <c r="F95" s="17" t="inlineStr">
        <is>
          <t>Other surgical</t>
        </is>
      </c>
      <c r="G95" s="29" t="n">
        <v>5</v>
      </c>
      <c r="H95" s="15">
        <f>COUNTIFS('Chart Database'!$B$6:$B$4005,$A95,'Chart Database'!$C$6:$C$4005,"*"&amp;$D95&amp;"*",'Chart Database'!$F$6:$F$4005,"Active")</f>
        <v/>
      </c>
      <c r="I95" s="32">
        <f>IF($G95=0,"NA",H95/$G95)</f>
        <v/>
      </c>
      <c r="J95" s="15">
        <f>$G95-H95</f>
        <v/>
      </c>
      <c r="K95" s="33">
        <f>IF($D95="","",IF(SUMPRODUCT(--($A$5:$A$135=$A95),--($D$5:$D$135&lt;&gt;""),--(ROW($D$5:$D$135)&lt;&gt;ROW()),--(ISNUMBER(SEARCH($D95,$D$5:$D$135))+ISNUMBER(SEARCH($D$5:$D$135&amp;"",$D95))&gt;0))&gt;0,"CLASH — overlaps another name in this specialty","OK"))</f>
        <v/>
      </c>
      <c r="L95" s="23" t="inlineStr"/>
    </row>
    <row r="96" ht="24" customHeight="1">
      <c r="A96" s="23" t="inlineStr">
        <is>
          <t>SDS</t>
        </is>
      </c>
      <c r="B96" s="29" t="inlineStr">
        <is>
          <t>SDS-15</t>
        </is>
      </c>
      <c r="C96" s="34" t="inlineStr">
        <is>
          <t>P2</t>
        </is>
      </c>
      <c r="D96" s="31" t="inlineStr">
        <is>
          <t>Urology</t>
        </is>
      </c>
      <c r="E96" s="17" t="inlineStr">
        <is>
          <t>Urology — cystoscopy, TURP, stone procedures</t>
        </is>
      </c>
      <c r="F96" s="17" t="inlineStr">
        <is>
          <t>Other surgical</t>
        </is>
      </c>
      <c r="G96" s="29" t="n">
        <v>5</v>
      </c>
      <c r="H96" s="15">
        <f>COUNTIFS('Chart Database'!$B$6:$B$4005,$A96,'Chart Database'!$C$6:$C$4005,"*"&amp;$D96&amp;"*",'Chart Database'!$F$6:$F$4005,"Active")</f>
        <v/>
      </c>
      <c r="I96" s="32">
        <f>IF($G96=0,"NA",H96/$G96)</f>
        <v/>
      </c>
      <c r="J96" s="15">
        <f>$G96-H96</f>
        <v/>
      </c>
      <c r="K96" s="33">
        <f>IF($D96="","",IF(SUMPRODUCT(--($A$5:$A$135=$A96),--($D$5:$D$135&lt;&gt;""),--(ROW($D$5:$D$135)&lt;&gt;ROW()),--(ISNUMBER(SEARCH($D96,$D$5:$D$135))+ISNUMBER(SEARCH($D$5:$D$135&amp;"",$D96))&gt;0))&gt;0,"CLASH — overlaps another name in this specialty","OK"))</f>
        <v/>
      </c>
      <c r="L96" s="23" t="inlineStr"/>
    </row>
    <row r="97" ht="24" customHeight="1">
      <c r="A97" s="23" t="inlineStr">
        <is>
          <t>Surgery</t>
        </is>
      </c>
      <c r="B97" s="29" t="inlineStr">
        <is>
          <t>SUR-01</t>
        </is>
      </c>
      <c r="C97" s="34" t="inlineStr">
        <is>
          <t>P2</t>
        </is>
      </c>
      <c r="D97" s="31" t="inlineStr">
        <is>
          <t>Gen surgery</t>
        </is>
      </c>
      <c r="E97" s="17" t="inlineStr">
        <is>
          <t>General surgery — hernia, cholecystectomy, appendectomy, bowel</t>
        </is>
      </c>
      <c r="F97" s="17" t="inlineStr">
        <is>
          <t>High-volume service lines</t>
        </is>
      </c>
      <c r="G97" s="29" t="n">
        <v>54</v>
      </c>
      <c r="H97" s="15">
        <f>COUNTIFS('Chart Database'!$B$6:$B$4005,$A97,'Chart Database'!$C$6:$C$4005,"*"&amp;$D97&amp;"*",'Chart Database'!$F$6:$F$4005,"Active")</f>
        <v/>
      </c>
      <c r="I97" s="32">
        <f>IF($G97=0,"NA",H97/$G97)</f>
        <v/>
      </c>
      <c r="J97" s="15">
        <f>$G97-H97</f>
        <v/>
      </c>
      <c r="K97" s="33">
        <f>IF($D97="","",IF(SUMPRODUCT(--($A$5:$A$135=$A97),--($D$5:$D$135&lt;&gt;""),--(ROW($D$5:$D$135)&lt;&gt;ROW()),--(ISNUMBER(SEARCH($D97,$D$5:$D$135))+ISNUMBER(SEARCH($D$5:$D$135&amp;"",$D97))&gt;0))&gt;0,"CLASH — overlaps another name in this specialty","OK"))</f>
        <v/>
      </c>
      <c r="L97" s="23" t="inlineStr"/>
    </row>
    <row r="98" ht="24" customHeight="1">
      <c r="A98" s="23" t="inlineStr">
        <is>
          <t>Surgery</t>
        </is>
      </c>
      <c r="B98" s="29" t="inlineStr">
        <is>
          <t>SUR-02</t>
        </is>
      </c>
      <c r="C98" s="34" t="inlineStr">
        <is>
          <t>P2</t>
        </is>
      </c>
      <c r="D98" s="31" t="inlineStr">
        <is>
          <t>Orthopaedics</t>
        </is>
      </c>
      <c r="E98" s="17" t="inlineStr">
        <is>
          <t>Orthopaedics — arthroplasty, arthroscopy, fracture fixation</t>
        </is>
      </c>
      <c r="F98" s="17" t="inlineStr">
        <is>
          <t>High-volume service lines</t>
        </is>
      </c>
      <c r="G98" s="29" t="n">
        <v>54</v>
      </c>
      <c r="H98" s="15">
        <f>COUNTIFS('Chart Database'!$B$6:$B$4005,$A98,'Chart Database'!$C$6:$C$4005,"*"&amp;$D98&amp;"*",'Chart Database'!$F$6:$F$4005,"Active")</f>
        <v/>
      </c>
      <c r="I98" s="32">
        <f>IF($G98=0,"NA",H98/$G98)</f>
        <v/>
      </c>
      <c r="J98" s="15">
        <f>$G98-H98</f>
        <v/>
      </c>
      <c r="K98" s="33">
        <f>IF($D98="","",IF(SUMPRODUCT(--($A$5:$A$135=$A98),--($D$5:$D$135&lt;&gt;""),--(ROW($D$5:$D$135)&lt;&gt;ROW()),--(ISNUMBER(SEARCH($D98,$D$5:$D$135))+ISNUMBER(SEARCH($D$5:$D$135&amp;"",$D98))&gt;0))&gt;0,"CLASH — overlaps another name in this specialty","OK"))</f>
        <v/>
      </c>
      <c r="L98" s="23" t="inlineStr"/>
    </row>
    <row r="99" ht="24" customHeight="1">
      <c r="A99" s="23" t="inlineStr">
        <is>
          <t>Surgery</t>
        </is>
      </c>
      <c r="B99" s="29" t="inlineStr">
        <is>
          <t>SUR-03</t>
        </is>
      </c>
      <c r="C99" s="34" t="inlineStr">
        <is>
          <t>P2</t>
        </is>
      </c>
      <c r="D99" s="31" t="inlineStr">
        <is>
          <t>Cardiothoracic</t>
        </is>
      </c>
      <c r="E99" s="17" t="inlineStr">
        <is>
          <t>Cardiothoracic and vascular</t>
        </is>
      </c>
      <c r="F99" s="17" t="inlineStr">
        <is>
          <t>High-volume service lines</t>
        </is>
      </c>
      <c r="G99" s="29" t="n">
        <v>30</v>
      </c>
      <c r="H99" s="15">
        <f>COUNTIFS('Chart Database'!$B$6:$B$4005,$A99,'Chart Database'!$C$6:$C$4005,"*"&amp;$D99&amp;"*",'Chart Database'!$F$6:$F$4005,"Active")</f>
        <v/>
      </c>
      <c r="I99" s="32">
        <f>IF($G99=0,"NA",H99/$G99)</f>
        <v/>
      </c>
      <c r="J99" s="15">
        <f>$G99-H99</f>
        <v/>
      </c>
      <c r="K99" s="33">
        <f>IF($D99="","",IF(SUMPRODUCT(--($A$5:$A$135=$A99),--($D$5:$D$135&lt;&gt;""),--(ROW($D$5:$D$135)&lt;&gt;ROW()),--(ISNUMBER(SEARCH($D99,$D$5:$D$135))+ISNUMBER(SEARCH($D$5:$D$135&amp;"",$D99))&gt;0))&gt;0,"CLASH — overlaps another name in this specialty","OK"))</f>
        <v/>
      </c>
      <c r="L99" s="23" t="inlineStr"/>
    </row>
    <row r="100" ht="24" customHeight="1">
      <c r="A100" s="23" t="inlineStr">
        <is>
          <t>Surgery</t>
        </is>
      </c>
      <c r="B100" s="29" t="inlineStr">
        <is>
          <t>SUR-04</t>
        </is>
      </c>
      <c r="C100" s="34" t="inlineStr">
        <is>
          <t>P2</t>
        </is>
      </c>
      <c r="D100" s="31" t="inlineStr">
        <is>
          <t>Neurosurgery</t>
        </is>
      </c>
      <c r="E100" s="17" t="inlineStr">
        <is>
          <t>Neurosurgery — cranial and spine</t>
        </is>
      </c>
      <c r="F100" s="17" t="inlineStr">
        <is>
          <t>High-volume service lines</t>
        </is>
      </c>
      <c r="G100" s="29" t="n">
        <v>30</v>
      </c>
      <c r="H100" s="15">
        <f>COUNTIFS('Chart Database'!$B$6:$B$4005,$A100,'Chart Database'!$C$6:$C$4005,"*"&amp;$D100&amp;"*",'Chart Database'!$F$6:$F$4005,"Active")</f>
        <v/>
      </c>
      <c r="I100" s="32">
        <f>IF($G100=0,"NA",H100/$G100)</f>
        <v/>
      </c>
      <c r="J100" s="15">
        <f>$G100-H100</f>
        <v/>
      </c>
      <c r="K100" s="33">
        <f>IF($D100="","",IF(SUMPRODUCT(--($A$5:$A$135=$A100),--($D$5:$D$135&lt;&gt;""),--(ROW($D$5:$D$135)&lt;&gt;ROW()),--(ISNUMBER(SEARCH($D100,$D$5:$D$135))+ISNUMBER(SEARCH($D$5:$D$135&amp;"",$D100))&gt;0))&gt;0,"CLASH — overlaps another name in this specialty","OK"))</f>
        <v/>
      </c>
      <c r="L100" s="23" t="inlineStr"/>
    </row>
    <row r="101" ht="24" customHeight="1">
      <c r="A101" s="23" t="inlineStr">
        <is>
          <t>Surgery</t>
        </is>
      </c>
      <c r="B101" s="29" t="inlineStr">
        <is>
          <t>SUR-05</t>
        </is>
      </c>
      <c r="C101" s="34" t="inlineStr">
        <is>
          <t>P2</t>
        </is>
      </c>
      <c r="D101" s="31" t="inlineStr">
        <is>
          <t>Gynae surgery</t>
        </is>
      </c>
      <c r="E101" s="17" t="inlineStr">
        <is>
          <t>Gynaecology and obstetric surgery</t>
        </is>
      </c>
      <c r="F101" s="17" t="inlineStr">
        <is>
          <t>High-volume service lines</t>
        </is>
      </c>
      <c r="G101" s="29" t="n">
        <v>24</v>
      </c>
      <c r="H101" s="15">
        <f>COUNTIFS('Chart Database'!$B$6:$B$4005,$A101,'Chart Database'!$C$6:$C$4005,"*"&amp;$D101&amp;"*",'Chart Database'!$F$6:$F$4005,"Active")</f>
        <v/>
      </c>
      <c r="I101" s="32">
        <f>IF($G101=0,"NA",H101/$G101)</f>
        <v/>
      </c>
      <c r="J101" s="15">
        <f>$G101-H101</f>
        <v/>
      </c>
      <c r="K101" s="33">
        <f>IF($D101="","",IF(SUMPRODUCT(--($A$5:$A$135=$A101),--($D$5:$D$135&lt;&gt;""),--(ROW($D$5:$D$135)&lt;&gt;ROW()),--(ISNUMBER(SEARCH($D101,$D$5:$D$135))+ISNUMBER(SEARCH($D$5:$D$135&amp;"",$D101))&gt;0))&gt;0,"CLASH — overlaps another name in this specialty","OK"))</f>
        <v/>
      </c>
      <c r="L101" s="23" t="inlineStr"/>
    </row>
    <row r="102" ht="24" customHeight="1">
      <c r="A102" s="23" t="inlineStr">
        <is>
          <t>Surgery</t>
        </is>
      </c>
      <c r="B102" s="29" t="inlineStr">
        <is>
          <t>SUR-06</t>
        </is>
      </c>
      <c r="C102" s="34" t="inlineStr">
        <is>
          <t>P2</t>
        </is>
      </c>
      <c r="D102" s="31" t="inlineStr">
        <is>
          <t>Urology surgical</t>
        </is>
      </c>
      <c r="E102" s="17" t="inlineStr">
        <is>
          <t>Urology</t>
        </is>
      </c>
      <c r="F102" s="17" t="inlineStr">
        <is>
          <t>Specialty and cross-cutting</t>
        </is>
      </c>
      <c r="G102" s="29" t="n">
        <v>24</v>
      </c>
      <c r="H102" s="15">
        <f>COUNTIFS('Chart Database'!$B$6:$B$4005,$A102,'Chart Database'!$C$6:$C$4005,"*"&amp;$D102&amp;"*",'Chart Database'!$F$6:$F$4005,"Active")</f>
        <v/>
      </c>
      <c r="I102" s="32">
        <f>IF($G102=0,"NA",H102/$G102)</f>
        <v/>
      </c>
      <c r="J102" s="15">
        <f>$G102-H102</f>
        <v/>
      </c>
      <c r="K102" s="33">
        <f>IF($D102="","",IF(SUMPRODUCT(--($A$5:$A$135=$A102),--($D$5:$D$135&lt;&gt;""),--(ROW($D$5:$D$135)&lt;&gt;ROW()),--(ISNUMBER(SEARCH($D102,$D$5:$D$135))+ISNUMBER(SEARCH($D$5:$D$135&amp;"",$D102))&gt;0))&gt;0,"CLASH — overlaps another name in this specialty","OK"))</f>
        <v/>
      </c>
      <c r="L102" s="23" t="inlineStr"/>
    </row>
    <row r="103" ht="24" customHeight="1">
      <c r="A103" s="23" t="inlineStr">
        <is>
          <t>Surgery</t>
        </is>
      </c>
      <c r="B103" s="29" t="inlineStr">
        <is>
          <t>SUR-07</t>
        </is>
      </c>
      <c r="C103" s="34" t="inlineStr">
        <is>
          <t>P2</t>
        </is>
      </c>
      <c r="D103" s="31" t="inlineStr">
        <is>
          <t>ENT head neck</t>
        </is>
      </c>
      <c r="E103" s="17" t="inlineStr">
        <is>
          <t>ENT and head and neck</t>
        </is>
      </c>
      <c r="F103" s="17" t="inlineStr">
        <is>
          <t>Specialty and cross-cutting</t>
        </is>
      </c>
      <c r="G103" s="29" t="n">
        <v>21</v>
      </c>
      <c r="H103" s="15">
        <f>COUNTIFS('Chart Database'!$B$6:$B$4005,$A103,'Chart Database'!$C$6:$C$4005,"*"&amp;$D103&amp;"*",'Chart Database'!$F$6:$F$4005,"Active")</f>
        <v/>
      </c>
      <c r="I103" s="32">
        <f>IF($G103=0,"NA",H103/$G103)</f>
        <v/>
      </c>
      <c r="J103" s="15">
        <f>$G103-H103</f>
        <v/>
      </c>
      <c r="K103" s="33">
        <f>IF($D103="","",IF(SUMPRODUCT(--($A$5:$A$135=$A103),--($D$5:$D$135&lt;&gt;""),--(ROW($D$5:$D$135)&lt;&gt;ROW()),--(ISNUMBER(SEARCH($D103,$D$5:$D$135))+ISNUMBER(SEARCH($D$5:$D$135&amp;"",$D103))&gt;0))&gt;0,"CLASH — overlaps another name in this specialty","OK"))</f>
        <v/>
      </c>
      <c r="L103" s="23" t="inlineStr"/>
    </row>
    <row r="104" ht="24" customHeight="1">
      <c r="A104" s="23" t="inlineStr">
        <is>
          <t>Surgery</t>
        </is>
      </c>
      <c r="B104" s="29" t="inlineStr">
        <is>
          <t>SUR-08</t>
        </is>
      </c>
      <c r="C104" s="34" t="inlineStr">
        <is>
          <t>P2</t>
        </is>
      </c>
      <c r="D104" s="31" t="inlineStr">
        <is>
          <t>Plastics</t>
        </is>
      </c>
      <c r="E104" s="17" t="inlineStr">
        <is>
          <t>Plastics and reconstructive</t>
        </is>
      </c>
      <c r="F104" s="17" t="inlineStr">
        <is>
          <t>Specialty and cross-cutting</t>
        </is>
      </c>
      <c r="G104" s="29" t="n">
        <v>18</v>
      </c>
      <c r="H104" s="15">
        <f>COUNTIFS('Chart Database'!$B$6:$B$4005,$A104,'Chart Database'!$C$6:$C$4005,"*"&amp;$D104&amp;"*",'Chart Database'!$F$6:$F$4005,"Active")</f>
        <v/>
      </c>
      <c r="I104" s="32">
        <f>IF($G104=0,"NA",H104/$G104)</f>
        <v/>
      </c>
      <c r="J104" s="15">
        <f>$G104-H104</f>
        <v/>
      </c>
      <c r="K104" s="33">
        <f>IF($D104="","",IF(SUMPRODUCT(--($A$5:$A$135=$A104),--($D$5:$D$135&lt;&gt;""),--(ROW($D$5:$D$135)&lt;&gt;ROW()),--(ISNUMBER(SEARCH($D104,$D$5:$D$135))+ISNUMBER(SEARCH($D$5:$D$135&amp;"",$D104))&gt;0))&gt;0,"CLASH — overlaps another name in this specialty","OK"))</f>
        <v/>
      </c>
      <c r="L104" s="23" t="inlineStr"/>
    </row>
    <row r="105" ht="24" customHeight="1">
      <c r="A105" s="23" t="inlineStr">
        <is>
          <t>Surgery</t>
        </is>
      </c>
      <c r="B105" s="29" t="inlineStr">
        <is>
          <t>SUR-09</t>
        </is>
      </c>
      <c r="C105" s="35" t="inlineStr">
        <is>
          <t>P3</t>
        </is>
      </c>
      <c r="D105" s="31" t="inlineStr">
        <is>
          <t>Ophthalmic</t>
        </is>
      </c>
      <c r="E105" s="17" t="inlineStr">
        <is>
          <t>Ophthalmic surgery</t>
        </is>
      </c>
      <c r="F105" s="17" t="inlineStr">
        <is>
          <t>Specialty and cross-cutting</t>
        </is>
      </c>
      <c r="G105" s="29" t="n">
        <v>15</v>
      </c>
      <c r="H105" s="15">
        <f>COUNTIFS('Chart Database'!$B$6:$B$4005,$A105,'Chart Database'!$C$6:$C$4005,"*"&amp;$D105&amp;"*",'Chart Database'!$F$6:$F$4005,"Active")</f>
        <v/>
      </c>
      <c r="I105" s="32">
        <f>IF($G105=0,"NA",H105/$G105)</f>
        <v/>
      </c>
      <c r="J105" s="15">
        <f>$G105-H105</f>
        <v/>
      </c>
      <c r="K105" s="33">
        <f>IF($D105="","",IF(SUMPRODUCT(--($A$5:$A$135=$A105),--($D$5:$D$135&lt;&gt;""),--(ROW($D$5:$D$135)&lt;&gt;ROW()),--(ISNUMBER(SEARCH($D105,$D$5:$D$135))+ISNUMBER(SEARCH($D$5:$D$135&amp;"",$D105))&gt;0))&gt;0,"CLASH — overlaps another name in this specialty","OK"))</f>
        <v/>
      </c>
      <c r="L105" s="23" t="inlineStr"/>
    </row>
    <row r="106" ht="24" customHeight="1">
      <c r="A106" s="23" t="inlineStr">
        <is>
          <t>Surgery</t>
        </is>
      </c>
      <c r="B106" s="29" t="inlineStr">
        <is>
          <t>SUR-10</t>
        </is>
      </c>
      <c r="C106" s="35" t="inlineStr">
        <is>
          <t>P3</t>
        </is>
      </c>
      <c r="D106" s="31" t="inlineStr">
        <is>
          <t>Transplant multi</t>
        </is>
      </c>
      <c r="E106" s="17" t="inlineStr">
        <is>
          <t>Transplant and complex multi-specialty cases</t>
        </is>
      </c>
      <c r="F106" s="17" t="inlineStr">
        <is>
          <t>Specialty and cross-cutting</t>
        </is>
      </c>
      <c r="G106" s="29" t="n">
        <v>12</v>
      </c>
      <c r="H106" s="15">
        <f>COUNTIFS('Chart Database'!$B$6:$B$4005,$A106,'Chart Database'!$C$6:$C$4005,"*"&amp;$D106&amp;"*",'Chart Database'!$F$6:$F$4005,"Active")</f>
        <v/>
      </c>
      <c r="I106" s="32">
        <f>IF($G106=0,"NA",H106/$G106)</f>
        <v/>
      </c>
      <c r="J106" s="15">
        <f>$G106-H106</f>
        <v/>
      </c>
      <c r="K106" s="33">
        <f>IF($D106="","",IF(SUMPRODUCT(--($A$5:$A$135=$A106),--($D$5:$D$135&lt;&gt;""),--(ROW($D$5:$D$135)&lt;&gt;ROW()),--(ISNUMBER(SEARCH($D106,$D$5:$D$135))+ISNUMBER(SEARCH($D$5:$D$135&amp;"",$D106))&gt;0))&gt;0,"CLASH — overlaps another name in this specialty","OK"))</f>
        <v/>
      </c>
      <c r="L106" s="23" t="inlineStr"/>
    </row>
    <row r="107" ht="24" customHeight="1">
      <c r="A107" s="23" t="inlineStr">
        <is>
          <t>Surgery</t>
        </is>
      </c>
      <c r="B107" s="29" t="inlineStr">
        <is>
          <t>SUR-11</t>
        </is>
      </c>
      <c r="C107" s="34" t="inlineStr">
        <is>
          <t>P2</t>
        </is>
      </c>
      <c r="D107" s="31" t="inlineStr">
        <is>
          <t>Global period</t>
        </is>
      </c>
      <c r="E107" s="17" t="inlineStr">
        <is>
          <t>Global period and staged procedure scenarios</t>
        </is>
      </c>
      <c r="F107" s="17" t="inlineStr">
        <is>
          <t>Specialty and cross-cutting</t>
        </is>
      </c>
      <c r="G107" s="29" t="n">
        <v>18</v>
      </c>
      <c r="H107" s="15">
        <f>COUNTIFS('Chart Database'!$B$6:$B$4005,$A107,'Chart Database'!$C$6:$C$4005,"*"&amp;$D107&amp;"*",'Chart Database'!$F$6:$F$4005,"Active")</f>
        <v/>
      </c>
      <c r="I107" s="32">
        <f>IF($G107=0,"NA",H107/$G107)</f>
        <v/>
      </c>
      <c r="J107" s="15">
        <f>$G107-H107</f>
        <v/>
      </c>
      <c r="K107" s="33">
        <f>IF($D107="","",IF(SUMPRODUCT(--($A$5:$A$135=$A107),--($D$5:$D$135&lt;&gt;""),--(ROW($D$5:$D$135)&lt;&gt;ROW()),--(ISNUMBER(SEARCH($D107,$D$5:$D$135))+ISNUMBER(SEARCH($D$5:$D$135&amp;"",$D107))&gt;0))&gt;0,"CLASH — overlaps another name in this specialty","OK"))</f>
        <v/>
      </c>
      <c r="L107" s="23" t="inlineStr"/>
    </row>
    <row r="108" ht="24" customHeight="1">
      <c r="A108" s="23" t="inlineStr">
        <is>
          <t>ED Single Path</t>
        </is>
      </c>
      <c r="B108" s="29" t="inlineStr">
        <is>
          <t>ESP-01</t>
        </is>
      </c>
      <c r="C108" s="34" t="inlineStr">
        <is>
          <t>P2</t>
        </is>
      </c>
      <c r="D108" s="31" t="inlineStr">
        <is>
          <t>SP low acuity</t>
        </is>
      </c>
      <c r="E108" s="17" t="inlineStr">
        <is>
          <t>Low acuity — levels 1–2 both components</t>
        </is>
      </c>
      <c r="F108" s="17" t="inlineStr">
        <is>
          <t>Low acuity</t>
        </is>
      </c>
      <c r="G108" s="29" t="n">
        <v>21</v>
      </c>
      <c r="H108" s="15">
        <f>COUNTIFS('Chart Database'!$B$6:$B$4005,$A108,'Chart Database'!$C$6:$C$4005,"*"&amp;$D108&amp;"*",'Chart Database'!$F$6:$F$4005,"Active")</f>
        <v/>
      </c>
      <c r="I108" s="32">
        <f>IF($G108=0,"NA",H108/$G108)</f>
        <v/>
      </c>
      <c r="J108" s="15">
        <f>$G108-H108</f>
        <v/>
      </c>
      <c r="K108" s="33">
        <f>IF($D108="","",IF(SUMPRODUCT(--($A$5:$A$135=$A108),--($D$5:$D$135&lt;&gt;""),--(ROW($D$5:$D$135)&lt;&gt;ROW()),--(ISNUMBER(SEARCH($D108,$D$5:$D$135))+ISNUMBER(SEARCH($D$5:$D$135&amp;"",$D108))&gt;0))&gt;0,"CLASH — overlaps another name in this specialty","OK"))</f>
        <v/>
      </c>
      <c r="L108" s="23" t="inlineStr"/>
    </row>
    <row r="109" ht="24" customHeight="1">
      <c r="A109" s="23" t="inlineStr">
        <is>
          <t>ED Single Path</t>
        </is>
      </c>
      <c r="B109" s="29" t="inlineStr">
        <is>
          <t>ESP-02</t>
        </is>
      </c>
      <c r="C109" s="34" t="inlineStr">
        <is>
          <t>P2</t>
        </is>
      </c>
      <c r="D109" s="31" t="inlineStr">
        <is>
          <t>SP L3</t>
        </is>
      </c>
      <c r="E109" s="17" t="inlineStr">
        <is>
          <t>Moderate — level 3 both components</t>
        </is>
      </c>
      <c r="F109" s="17" t="inlineStr">
        <is>
          <t>Moderate</t>
        </is>
      </c>
      <c r="G109" s="29" t="n">
        <v>48</v>
      </c>
      <c r="H109" s="15">
        <f>COUNTIFS('Chart Database'!$B$6:$B$4005,$A109,'Chart Database'!$C$6:$C$4005,"*"&amp;$D109&amp;"*",'Chart Database'!$F$6:$F$4005,"Active")</f>
        <v/>
      </c>
      <c r="I109" s="32">
        <f>IF($G109=0,"NA",H109/$G109)</f>
        <v/>
      </c>
      <c r="J109" s="15">
        <f>$G109-H109</f>
        <v/>
      </c>
      <c r="K109" s="33">
        <f>IF($D109="","",IF(SUMPRODUCT(--($A$5:$A$135=$A109),--($D$5:$D$135&lt;&gt;""),--(ROW($D$5:$D$135)&lt;&gt;ROW()),--(ISNUMBER(SEARCH($D109,$D$5:$D$135))+ISNUMBER(SEARCH($D$5:$D$135&amp;"",$D109))&gt;0))&gt;0,"CLASH — overlaps another name in this specialty","OK"))</f>
        <v/>
      </c>
      <c r="L109" s="23" t="inlineStr"/>
    </row>
    <row r="110" ht="24" customHeight="1">
      <c r="A110" s="23" t="inlineStr">
        <is>
          <t>ED Single Path</t>
        </is>
      </c>
      <c r="B110" s="29" t="inlineStr">
        <is>
          <t>ESP-03</t>
        </is>
      </c>
      <c r="C110" s="34" t="inlineStr">
        <is>
          <t>P2</t>
        </is>
      </c>
      <c r="D110" s="31" t="inlineStr">
        <is>
          <t>SP L4</t>
        </is>
      </c>
      <c r="E110" s="17" t="inlineStr">
        <is>
          <t>Level 4 both components</t>
        </is>
      </c>
      <c r="F110" s="17" t="inlineStr">
        <is>
          <t>Level 4</t>
        </is>
      </c>
      <c r="G110" s="29" t="n">
        <v>54</v>
      </c>
      <c r="H110" s="15">
        <f>COUNTIFS('Chart Database'!$B$6:$B$4005,$A110,'Chart Database'!$C$6:$C$4005,"*"&amp;$D110&amp;"*",'Chart Database'!$F$6:$F$4005,"Active")</f>
        <v/>
      </c>
      <c r="I110" s="32">
        <f>IF($G110=0,"NA",H110/$G110)</f>
        <v/>
      </c>
      <c r="J110" s="15">
        <f>$G110-H110</f>
        <v/>
      </c>
      <c r="K110" s="33">
        <f>IF($D110="","",IF(SUMPRODUCT(--($A$5:$A$135=$A110),--($D$5:$D$135&lt;&gt;""),--(ROW($D$5:$D$135)&lt;&gt;ROW()),--(ISNUMBER(SEARCH($D110,$D$5:$D$135))+ISNUMBER(SEARCH($D$5:$D$135&amp;"",$D110))&gt;0))&gt;0,"CLASH — overlaps another name in this specialty","OK"))</f>
        <v/>
      </c>
      <c r="L110" s="23" t="inlineStr"/>
    </row>
    <row r="111" ht="24" customHeight="1">
      <c r="A111" s="23" t="inlineStr">
        <is>
          <t>ED Single Path</t>
        </is>
      </c>
      <c r="B111" s="29" t="inlineStr">
        <is>
          <t>ESP-04</t>
        </is>
      </c>
      <c r="C111" s="34" t="inlineStr">
        <is>
          <t>P2</t>
        </is>
      </c>
      <c r="D111" s="31" t="inlineStr">
        <is>
          <t>SP L5</t>
        </is>
      </c>
      <c r="E111" s="17" t="inlineStr">
        <is>
          <t>Level 5 both components</t>
        </is>
      </c>
      <c r="F111" s="17" t="inlineStr">
        <is>
          <t>Level 5</t>
        </is>
      </c>
      <c r="G111" s="29" t="n">
        <v>63</v>
      </c>
      <c r="H111" s="15">
        <f>COUNTIFS('Chart Database'!$B$6:$B$4005,$A111,'Chart Database'!$C$6:$C$4005,"*"&amp;$D111&amp;"*",'Chart Database'!$F$6:$F$4005,"Active")</f>
        <v/>
      </c>
      <c r="I111" s="32">
        <f>IF($G111=0,"NA",H111/$G111)</f>
        <v/>
      </c>
      <c r="J111" s="15">
        <f>$G111-H111</f>
        <v/>
      </c>
      <c r="K111" s="33">
        <f>IF($D111="","",IF(SUMPRODUCT(--($A$5:$A$135=$A111),--($D$5:$D$135&lt;&gt;""),--(ROW($D$5:$D$135)&lt;&gt;ROW()),--(ISNUMBER(SEARCH($D111,$D$5:$D$135))+ISNUMBER(SEARCH($D$5:$D$135&amp;"",$D111))&gt;0))&gt;0,"CLASH — overlaps another name in this specialty","OK"))</f>
        <v/>
      </c>
      <c r="L111" s="23" t="inlineStr"/>
    </row>
    <row r="112" ht="24" customHeight="1">
      <c r="A112" s="23" t="inlineStr">
        <is>
          <t>ED Single Path</t>
        </is>
      </c>
      <c r="B112" s="29" t="inlineStr">
        <is>
          <t>ESP-05</t>
        </is>
      </c>
      <c r="C112" s="34" t="inlineStr">
        <is>
          <t>P2</t>
        </is>
      </c>
      <c r="D112" s="31" t="inlineStr">
        <is>
          <t>SP critical care</t>
        </is>
      </c>
      <c r="E112" s="17" t="inlineStr">
        <is>
          <t>Critical care — both components</t>
        </is>
      </c>
      <c r="F112" s="17" t="inlineStr">
        <is>
          <t>Critical care</t>
        </is>
      </c>
      <c r="G112" s="29" t="n">
        <v>54</v>
      </c>
      <c r="H112" s="15">
        <f>COUNTIFS('Chart Database'!$B$6:$B$4005,$A112,'Chart Database'!$C$6:$C$4005,"*"&amp;$D112&amp;"*",'Chart Database'!$F$6:$F$4005,"Active")</f>
        <v/>
      </c>
      <c r="I112" s="32">
        <f>IF($G112=0,"NA",H112/$G112)</f>
        <v/>
      </c>
      <c r="J112" s="15">
        <f>$G112-H112</f>
        <v/>
      </c>
      <c r="K112" s="33">
        <f>IF($D112="","",IF(SUMPRODUCT(--($A$5:$A$135=$A112),--($D$5:$D$135&lt;&gt;""),--(ROW($D$5:$D$135)&lt;&gt;ROW()),--(ISNUMBER(SEARCH($D112,$D$5:$D$135))+ISNUMBER(SEARCH($D$5:$D$135&amp;"",$D112))&gt;0))&gt;0,"CLASH — overlaps another name in this specialty","OK"))</f>
        <v/>
      </c>
      <c r="L112" s="23" t="inlineStr"/>
    </row>
    <row r="113" ht="24" customHeight="1">
      <c r="A113" s="23" t="inlineStr">
        <is>
          <t>ED Single Path</t>
        </is>
      </c>
      <c r="B113" s="29" t="inlineStr">
        <is>
          <t>ESP-06</t>
        </is>
      </c>
      <c r="C113" s="34" t="inlineStr">
        <is>
          <t>P2</t>
        </is>
      </c>
      <c r="D113" s="31" t="inlineStr">
        <is>
          <t>SP procedure</t>
        </is>
      </c>
      <c r="E113" s="17" t="inlineStr">
        <is>
          <t>ED procedures across both components</t>
        </is>
      </c>
      <c r="F113" s="17" t="inlineStr">
        <is>
          <t>Cross-cutting</t>
        </is>
      </c>
      <c r="G113" s="29" t="n">
        <v>30</v>
      </c>
      <c r="H113" s="15">
        <f>COUNTIFS('Chart Database'!$B$6:$B$4005,$A113,'Chart Database'!$C$6:$C$4005,"*"&amp;$D113&amp;"*",'Chart Database'!$F$6:$F$4005,"Active")</f>
        <v/>
      </c>
      <c r="I113" s="32">
        <f>IF($G113=0,"NA",H113/$G113)</f>
        <v/>
      </c>
      <c r="J113" s="15">
        <f>$G113-H113</f>
        <v/>
      </c>
      <c r="K113" s="33">
        <f>IF($D113="","",IF(SUMPRODUCT(--($A$5:$A$135=$A113),--($D$5:$D$135&lt;&gt;""),--(ROW($D$5:$D$135)&lt;&gt;ROW()),--(ISNUMBER(SEARCH($D113,$D$5:$D$135))+ISNUMBER(SEARCH($D$5:$D$135&amp;"",$D113))&gt;0))&gt;0,"CLASH — overlaps another name in this specialty","OK"))</f>
        <v/>
      </c>
      <c r="L113" s="23" t="inlineStr"/>
    </row>
    <row r="114" ht="24" customHeight="1">
      <c r="A114" s="23" t="inlineStr">
        <is>
          <t>ED Single Path</t>
        </is>
      </c>
      <c r="B114" s="29" t="inlineStr">
        <is>
          <t>ESP-07</t>
        </is>
      </c>
      <c r="C114" s="34" t="inlineStr">
        <is>
          <t>P2</t>
        </is>
      </c>
      <c r="D114" s="31" t="inlineStr">
        <is>
          <t>SP observation</t>
        </is>
      </c>
      <c r="E114" s="17" t="inlineStr">
        <is>
          <t>Observation and admission decisions</t>
        </is>
      </c>
      <c r="F114" s="17" t="inlineStr">
        <is>
          <t>Cross-cutting</t>
        </is>
      </c>
      <c r="G114" s="29" t="n">
        <v>18</v>
      </c>
      <c r="H114" s="15">
        <f>COUNTIFS('Chart Database'!$B$6:$B$4005,$A114,'Chart Database'!$C$6:$C$4005,"*"&amp;$D114&amp;"*",'Chart Database'!$F$6:$F$4005,"Active")</f>
        <v/>
      </c>
      <c r="I114" s="32">
        <f>IF($G114=0,"NA",H114/$G114)</f>
        <v/>
      </c>
      <c r="J114" s="15">
        <f>$G114-H114</f>
        <v/>
      </c>
      <c r="K114" s="33">
        <f>IF($D114="","",IF(SUMPRODUCT(--($A$5:$A$135=$A114),--($D$5:$D$135&lt;&gt;""),--(ROW($D$5:$D$135)&lt;&gt;ROW()),--(ISNUMBER(SEARCH($D114,$D$5:$D$135))+ISNUMBER(SEARCH($D$5:$D$135&amp;"",$D114))&gt;0))&gt;0,"CLASH — overlaps another name in this specialty","OK"))</f>
        <v/>
      </c>
      <c r="L114" s="23" t="inlineStr"/>
    </row>
    <row r="115" ht="24" customHeight="1">
      <c r="A115" s="23" t="inlineStr">
        <is>
          <t>ED Single Path</t>
        </is>
      </c>
      <c r="B115" s="29" t="inlineStr">
        <is>
          <t>ESP-08</t>
        </is>
      </c>
      <c r="C115" s="35" t="inlineStr">
        <is>
          <t>P3</t>
        </is>
      </c>
      <c r="D115" s="31" t="inlineStr">
        <is>
          <t>SP divergence</t>
        </is>
      </c>
      <c r="E115" s="17" t="inlineStr">
        <is>
          <t>Facility and professional level divergence</t>
        </is>
      </c>
      <c r="F115" s="17" t="inlineStr">
        <is>
          <t>Cross-cutting</t>
        </is>
      </c>
      <c r="G115" s="29" t="n">
        <v>12</v>
      </c>
      <c r="H115" s="15">
        <f>COUNTIFS('Chart Database'!$B$6:$B$4005,$A115,'Chart Database'!$C$6:$C$4005,"*"&amp;$D115&amp;"*",'Chart Database'!$F$6:$F$4005,"Active")</f>
        <v/>
      </c>
      <c r="I115" s="32">
        <f>IF($G115=0,"NA",H115/$G115)</f>
        <v/>
      </c>
      <c r="J115" s="15">
        <f>$G115-H115</f>
        <v/>
      </c>
      <c r="K115" s="33">
        <f>IF($D115="","",IF(SUMPRODUCT(--($A$5:$A$135=$A115),--($D$5:$D$135&lt;&gt;""),--(ROW($D$5:$D$135)&lt;&gt;ROW()),--(ISNUMBER(SEARCH($D115,$D$5:$D$135))+ISNUMBER(SEARCH($D$5:$D$135&amp;"",$D115))&gt;0))&gt;0,"CLASH — overlaps another name in this specialty","OK"))</f>
        <v/>
      </c>
      <c r="L115" s="23" t="inlineStr"/>
    </row>
    <row r="116" ht="22" customHeight="1">
      <c r="A116" s="36" t="n"/>
      <c r="B116" s="33" t="inlineStr">
        <is>
          <t>—</t>
        </is>
      </c>
      <c r="C116" s="37" t="inlineStr">
        <is>
          <t>P2</t>
        </is>
      </c>
      <c r="D116" s="38" t="n"/>
      <c r="E116" s="17" t="inlineStr">
        <is>
          <t>Added by the team — not in the composition taxonomy</t>
        </is>
      </c>
      <c r="F116" s="23" t="n"/>
      <c r="G116" s="39" t="n"/>
      <c r="H116" s="15">
        <f>IF($D116="","",COUNTIFS('Chart Database'!$B$6:$B$4005,$A116,'Chart Database'!$C$6:$C$4005,"*"&amp;$D116&amp;"*",'Chart Database'!$F$6:$F$4005,"Active"))</f>
        <v/>
      </c>
      <c r="I116" s="32">
        <f>IF(OR($D116="",$G116=""),"NA",IF($G116=0,"NA",H116/$G116))</f>
        <v/>
      </c>
      <c r="J116" s="15">
        <f>IF(OR($D116="",$G116=""),"",$G116-H116)</f>
        <v/>
      </c>
      <c r="K116" s="15">
        <f>IF($D116="","",IF(SUMPRODUCT(--($A$5:$A$135=$A116),--($D$5:$D$135&lt;&gt;""),--(ROW($D$5:$D$135)&lt;&gt;ROW()),--(ISNUMBER(SEARCH($D116,$D$5:$D$135))+ISNUMBER(SEARCH($D$5:$D$135&amp;"",$D116))&gt;0))&gt;0,"CLASH — overlaps another name in this specialty","OK"))</f>
        <v/>
      </c>
      <c r="L116" s="23" t="n"/>
    </row>
    <row r="117" ht="22" customHeight="1">
      <c r="A117" s="36" t="n"/>
      <c r="B117" s="33" t="inlineStr">
        <is>
          <t>—</t>
        </is>
      </c>
      <c r="C117" s="37" t="inlineStr">
        <is>
          <t>P2</t>
        </is>
      </c>
      <c r="D117" s="38" t="n"/>
      <c r="E117" s="17" t="inlineStr">
        <is>
          <t>Added by the team — not in the composition taxonomy</t>
        </is>
      </c>
      <c r="F117" s="23" t="n"/>
      <c r="G117" s="39" t="n"/>
      <c r="H117" s="15">
        <f>IF($D117="","",COUNTIFS('Chart Database'!$B$6:$B$4005,$A117,'Chart Database'!$C$6:$C$4005,"*"&amp;$D117&amp;"*",'Chart Database'!$F$6:$F$4005,"Active"))</f>
        <v/>
      </c>
      <c r="I117" s="32">
        <f>IF(OR($D117="",$G117=""),"NA",IF($G117=0,"NA",H117/$G117))</f>
        <v/>
      </c>
      <c r="J117" s="15">
        <f>IF(OR($D117="",$G117=""),"",$G117-H117)</f>
        <v/>
      </c>
      <c r="K117" s="15">
        <f>IF($D117="","",IF(SUMPRODUCT(--($A$5:$A$135=$A117),--($D$5:$D$135&lt;&gt;""),--(ROW($D$5:$D$135)&lt;&gt;ROW()),--(ISNUMBER(SEARCH($D117,$D$5:$D$135))+ISNUMBER(SEARCH($D$5:$D$135&amp;"",$D117))&gt;0))&gt;0,"CLASH — overlaps another name in this specialty","OK"))</f>
        <v/>
      </c>
      <c r="L117" s="23" t="n"/>
    </row>
    <row r="118" ht="22" customHeight="1">
      <c r="A118" s="36" t="n"/>
      <c r="B118" s="33" t="inlineStr">
        <is>
          <t>—</t>
        </is>
      </c>
      <c r="C118" s="37" t="inlineStr">
        <is>
          <t>P2</t>
        </is>
      </c>
      <c r="D118" s="38" t="n"/>
      <c r="E118" s="17" t="inlineStr">
        <is>
          <t>Added by the team — not in the composition taxonomy</t>
        </is>
      </c>
      <c r="F118" s="23" t="n"/>
      <c r="G118" s="39" t="n"/>
      <c r="H118" s="15">
        <f>IF($D118="","",COUNTIFS('Chart Database'!$B$6:$B$4005,$A118,'Chart Database'!$C$6:$C$4005,"*"&amp;$D118&amp;"*",'Chart Database'!$F$6:$F$4005,"Active"))</f>
        <v/>
      </c>
      <c r="I118" s="32">
        <f>IF(OR($D118="",$G118=""),"NA",IF($G118=0,"NA",H118/$G118))</f>
        <v/>
      </c>
      <c r="J118" s="15">
        <f>IF(OR($D118="",$G118=""),"",$G118-H118)</f>
        <v/>
      </c>
      <c r="K118" s="15">
        <f>IF($D118="","",IF(SUMPRODUCT(--($A$5:$A$135=$A118),--($D$5:$D$135&lt;&gt;""),--(ROW($D$5:$D$135)&lt;&gt;ROW()),--(ISNUMBER(SEARCH($D118,$D$5:$D$135))+ISNUMBER(SEARCH($D$5:$D$135&amp;"",$D118))&gt;0))&gt;0,"CLASH — overlaps another name in this specialty","OK"))</f>
        <v/>
      </c>
      <c r="L118" s="23" t="n"/>
    </row>
    <row r="119" ht="22" customHeight="1">
      <c r="A119" s="36" t="n"/>
      <c r="B119" s="33" t="inlineStr">
        <is>
          <t>—</t>
        </is>
      </c>
      <c r="C119" s="37" t="inlineStr">
        <is>
          <t>P2</t>
        </is>
      </c>
      <c r="D119" s="38" t="n"/>
      <c r="E119" s="17" t="inlineStr">
        <is>
          <t>Added by the team — not in the composition taxonomy</t>
        </is>
      </c>
      <c r="F119" s="23" t="n"/>
      <c r="G119" s="39" t="n"/>
      <c r="H119" s="15">
        <f>IF($D119="","",COUNTIFS('Chart Database'!$B$6:$B$4005,$A119,'Chart Database'!$C$6:$C$4005,"*"&amp;$D119&amp;"*",'Chart Database'!$F$6:$F$4005,"Active"))</f>
        <v/>
      </c>
      <c r="I119" s="32">
        <f>IF(OR($D119="",$G119=""),"NA",IF($G119=0,"NA",H119/$G119))</f>
        <v/>
      </c>
      <c r="J119" s="15">
        <f>IF(OR($D119="",$G119=""),"",$G119-H119)</f>
        <v/>
      </c>
      <c r="K119" s="15">
        <f>IF($D119="","",IF(SUMPRODUCT(--($A$5:$A$135=$A119),--($D$5:$D$135&lt;&gt;""),--(ROW($D$5:$D$135)&lt;&gt;ROW()),--(ISNUMBER(SEARCH($D119,$D$5:$D$135))+ISNUMBER(SEARCH($D$5:$D$135&amp;"",$D119))&gt;0))&gt;0,"CLASH — overlaps another name in this specialty","OK"))</f>
        <v/>
      </c>
      <c r="L119" s="23" t="n"/>
    </row>
    <row r="120" ht="22" customHeight="1">
      <c r="A120" s="36" t="n"/>
      <c r="B120" s="33" t="inlineStr">
        <is>
          <t>—</t>
        </is>
      </c>
      <c r="C120" s="37" t="inlineStr">
        <is>
          <t>P2</t>
        </is>
      </c>
      <c r="D120" s="38" t="n"/>
      <c r="E120" s="17" t="inlineStr">
        <is>
          <t>Added by the team — not in the composition taxonomy</t>
        </is>
      </c>
      <c r="F120" s="23" t="n"/>
      <c r="G120" s="39" t="n"/>
      <c r="H120" s="15">
        <f>IF($D120="","",COUNTIFS('Chart Database'!$B$6:$B$4005,$A120,'Chart Database'!$C$6:$C$4005,"*"&amp;$D120&amp;"*",'Chart Database'!$F$6:$F$4005,"Active"))</f>
        <v/>
      </c>
      <c r="I120" s="32">
        <f>IF(OR($D120="",$G120=""),"NA",IF($G120=0,"NA",H120/$G120))</f>
        <v/>
      </c>
      <c r="J120" s="15">
        <f>IF(OR($D120="",$G120=""),"",$G120-H120)</f>
        <v/>
      </c>
      <c r="K120" s="15">
        <f>IF($D120="","",IF(SUMPRODUCT(--($A$5:$A$135=$A120),--($D$5:$D$135&lt;&gt;""),--(ROW($D$5:$D$135)&lt;&gt;ROW()),--(ISNUMBER(SEARCH($D120,$D$5:$D$135))+ISNUMBER(SEARCH($D$5:$D$135&amp;"",$D120))&gt;0))&gt;0,"CLASH — overlaps another name in this specialty","OK"))</f>
        <v/>
      </c>
      <c r="L120" s="23" t="n"/>
    </row>
    <row r="121" ht="22" customHeight="1">
      <c r="A121" s="36" t="n"/>
      <c r="B121" s="33" t="inlineStr">
        <is>
          <t>—</t>
        </is>
      </c>
      <c r="C121" s="37" t="inlineStr">
        <is>
          <t>P2</t>
        </is>
      </c>
      <c r="D121" s="38" t="n"/>
      <c r="E121" s="17" t="inlineStr">
        <is>
          <t>Added by the team — not in the composition taxonomy</t>
        </is>
      </c>
      <c r="F121" s="23" t="n"/>
      <c r="G121" s="39" t="n"/>
      <c r="H121" s="15">
        <f>IF($D121="","",COUNTIFS('Chart Database'!$B$6:$B$4005,$A121,'Chart Database'!$C$6:$C$4005,"*"&amp;$D121&amp;"*",'Chart Database'!$F$6:$F$4005,"Active"))</f>
        <v/>
      </c>
      <c r="I121" s="32">
        <f>IF(OR($D121="",$G121=""),"NA",IF($G121=0,"NA",H121/$G121))</f>
        <v/>
      </c>
      <c r="J121" s="15">
        <f>IF(OR($D121="",$G121=""),"",$G121-H121)</f>
        <v/>
      </c>
      <c r="K121" s="15">
        <f>IF($D121="","",IF(SUMPRODUCT(--($A$5:$A$135=$A121),--($D$5:$D$135&lt;&gt;""),--(ROW($D$5:$D$135)&lt;&gt;ROW()),--(ISNUMBER(SEARCH($D121,$D$5:$D$135))+ISNUMBER(SEARCH($D$5:$D$135&amp;"",$D121))&gt;0))&gt;0,"CLASH — overlaps another name in this specialty","OK"))</f>
        <v/>
      </c>
      <c r="L121" s="23" t="n"/>
    </row>
    <row r="122" ht="22" customHeight="1">
      <c r="A122" s="36" t="n"/>
      <c r="B122" s="33" t="inlineStr">
        <is>
          <t>—</t>
        </is>
      </c>
      <c r="C122" s="37" t="inlineStr">
        <is>
          <t>P2</t>
        </is>
      </c>
      <c r="D122" s="38" t="n"/>
      <c r="E122" s="17" t="inlineStr">
        <is>
          <t>Added by the team — not in the composition taxonomy</t>
        </is>
      </c>
      <c r="F122" s="23" t="n"/>
      <c r="G122" s="39" t="n"/>
      <c r="H122" s="15">
        <f>IF($D122="","",COUNTIFS('Chart Database'!$B$6:$B$4005,$A122,'Chart Database'!$C$6:$C$4005,"*"&amp;$D122&amp;"*",'Chart Database'!$F$6:$F$4005,"Active"))</f>
        <v/>
      </c>
      <c r="I122" s="32">
        <f>IF(OR($D122="",$G122=""),"NA",IF($G122=0,"NA",H122/$G122))</f>
        <v/>
      </c>
      <c r="J122" s="15">
        <f>IF(OR($D122="",$G122=""),"",$G122-H122)</f>
        <v/>
      </c>
      <c r="K122" s="15">
        <f>IF($D122="","",IF(SUMPRODUCT(--($A$5:$A$135=$A122),--($D$5:$D$135&lt;&gt;""),--(ROW($D$5:$D$135)&lt;&gt;ROW()),--(ISNUMBER(SEARCH($D122,$D$5:$D$135))+ISNUMBER(SEARCH($D$5:$D$135&amp;"",$D122))&gt;0))&gt;0,"CLASH — overlaps another name in this specialty","OK"))</f>
        <v/>
      </c>
      <c r="L122" s="23" t="n"/>
    </row>
    <row r="123" ht="22" customHeight="1">
      <c r="A123" s="36" t="n"/>
      <c r="B123" s="33" t="inlineStr">
        <is>
          <t>—</t>
        </is>
      </c>
      <c r="C123" s="37" t="inlineStr">
        <is>
          <t>P2</t>
        </is>
      </c>
      <c r="D123" s="38" t="n"/>
      <c r="E123" s="17" t="inlineStr">
        <is>
          <t>Added by the team — not in the composition taxonomy</t>
        </is>
      </c>
      <c r="F123" s="23" t="n"/>
      <c r="G123" s="39" t="n"/>
      <c r="H123" s="15">
        <f>IF($D123="","",COUNTIFS('Chart Database'!$B$6:$B$4005,$A123,'Chart Database'!$C$6:$C$4005,"*"&amp;$D123&amp;"*",'Chart Database'!$F$6:$F$4005,"Active"))</f>
        <v/>
      </c>
      <c r="I123" s="32">
        <f>IF(OR($D123="",$G123=""),"NA",IF($G123=0,"NA",H123/$G123))</f>
        <v/>
      </c>
      <c r="J123" s="15">
        <f>IF(OR($D123="",$G123=""),"",$G123-H123)</f>
        <v/>
      </c>
      <c r="K123" s="15">
        <f>IF($D123="","",IF(SUMPRODUCT(--($A$5:$A$135=$A123),--($D$5:$D$135&lt;&gt;""),--(ROW($D$5:$D$135)&lt;&gt;ROW()),--(ISNUMBER(SEARCH($D123,$D$5:$D$135))+ISNUMBER(SEARCH($D$5:$D$135&amp;"",$D123))&gt;0))&gt;0,"CLASH — overlaps another name in this specialty","OK"))</f>
        <v/>
      </c>
      <c r="L123" s="23" t="n"/>
    </row>
    <row r="124" ht="22" customHeight="1">
      <c r="A124" s="36" t="n"/>
      <c r="B124" s="33" t="inlineStr">
        <is>
          <t>—</t>
        </is>
      </c>
      <c r="C124" s="37" t="inlineStr">
        <is>
          <t>P2</t>
        </is>
      </c>
      <c r="D124" s="38" t="n"/>
      <c r="E124" s="17" t="inlineStr">
        <is>
          <t>Added by the team — not in the composition taxonomy</t>
        </is>
      </c>
      <c r="F124" s="23" t="n"/>
      <c r="G124" s="39" t="n"/>
      <c r="H124" s="15">
        <f>IF($D124="","",COUNTIFS('Chart Database'!$B$6:$B$4005,$A124,'Chart Database'!$C$6:$C$4005,"*"&amp;$D124&amp;"*",'Chart Database'!$F$6:$F$4005,"Active"))</f>
        <v/>
      </c>
      <c r="I124" s="32">
        <f>IF(OR($D124="",$G124=""),"NA",IF($G124=0,"NA",H124/$G124))</f>
        <v/>
      </c>
      <c r="J124" s="15">
        <f>IF(OR($D124="",$G124=""),"",$G124-H124)</f>
        <v/>
      </c>
      <c r="K124" s="15">
        <f>IF($D124="","",IF(SUMPRODUCT(--($A$5:$A$135=$A124),--($D$5:$D$135&lt;&gt;""),--(ROW($D$5:$D$135)&lt;&gt;ROW()),--(ISNUMBER(SEARCH($D124,$D$5:$D$135))+ISNUMBER(SEARCH($D$5:$D$135&amp;"",$D124))&gt;0))&gt;0,"CLASH — overlaps another name in this specialty","OK"))</f>
        <v/>
      </c>
      <c r="L124" s="23" t="n"/>
    </row>
    <row r="125" ht="22" customHeight="1">
      <c r="A125" s="36" t="n"/>
      <c r="B125" s="33" t="inlineStr">
        <is>
          <t>—</t>
        </is>
      </c>
      <c r="C125" s="37" t="inlineStr">
        <is>
          <t>P2</t>
        </is>
      </c>
      <c r="D125" s="38" t="n"/>
      <c r="E125" s="17" t="inlineStr">
        <is>
          <t>Added by the team — not in the composition taxonomy</t>
        </is>
      </c>
      <c r="F125" s="23" t="n"/>
      <c r="G125" s="39" t="n"/>
      <c r="H125" s="15">
        <f>IF($D125="","",COUNTIFS('Chart Database'!$B$6:$B$4005,$A125,'Chart Database'!$C$6:$C$4005,"*"&amp;$D125&amp;"*",'Chart Database'!$F$6:$F$4005,"Active"))</f>
        <v/>
      </c>
      <c r="I125" s="32">
        <f>IF(OR($D125="",$G125=""),"NA",IF($G125=0,"NA",H125/$G125))</f>
        <v/>
      </c>
      <c r="J125" s="15">
        <f>IF(OR($D125="",$G125=""),"",$G125-H125)</f>
        <v/>
      </c>
      <c r="K125" s="15">
        <f>IF($D125="","",IF(SUMPRODUCT(--($A$5:$A$135=$A125),--($D$5:$D$135&lt;&gt;""),--(ROW($D$5:$D$135)&lt;&gt;ROW()),--(ISNUMBER(SEARCH($D125,$D$5:$D$135))+ISNUMBER(SEARCH($D$5:$D$135&amp;"",$D125))&gt;0))&gt;0,"CLASH — overlaps another name in this specialty","OK"))</f>
        <v/>
      </c>
      <c r="L125" s="23" t="n"/>
    </row>
    <row r="126" ht="22" customHeight="1">
      <c r="A126" s="36" t="n"/>
      <c r="B126" s="33" t="inlineStr">
        <is>
          <t>—</t>
        </is>
      </c>
      <c r="C126" s="37" t="inlineStr">
        <is>
          <t>P2</t>
        </is>
      </c>
      <c r="D126" s="38" t="n"/>
      <c r="E126" s="17" t="inlineStr">
        <is>
          <t>Added by the team — not in the composition taxonomy</t>
        </is>
      </c>
      <c r="F126" s="23" t="n"/>
      <c r="G126" s="39" t="n"/>
      <c r="H126" s="15">
        <f>IF($D126="","",COUNTIFS('Chart Database'!$B$6:$B$4005,$A126,'Chart Database'!$C$6:$C$4005,"*"&amp;$D126&amp;"*",'Chart Database'!$F$6:$F$4005,"Active"))</f>
        <v/>
      </c>
      <c r="I126" s="32">
        <f>IF(OR($D126="",$G126=""),"NA",IF($G126=0,"NA",H126/$G126))</f>
        <v/>
      </c>
      <c r="J126" s="15">
        <f>IF(OR($D126="",$G126=""),"",$G126-H126)</f>
        <v/>
      </c>
      <c r="K126" s="15">
        <f>IF($D126="","",IF(SUMPRODUCT(--($A$5:$A$135=$A126),--($D$5:$D$135&lt;&gt;""),--(ROW($D$5:$D$135)&lt;&gt;ROW()),--(ISNUMBER(SEARCH($D126,$D$5:$D$135))+ISNUMBER(SEARCH($D$5:$D$135&amp;"",$D126))&gt;0))&gt;0,"CLASH — overlaps another name in this specialty","OK"))</f>
        <v/>
      </c>
      <c r="L126" s="23" t="n"/>
    </row>
    <row r="127" ht="22" customHeight="1">
      <c r="A127" s="36" t="n"/>
      <c r="B127" s="33" t="inlineStr">
        <is>
          <t>—</t>
        </is>
      </c>
      <c r="C127" s="37" t="inlineStr">
        <is>
          <t>P2</t>
        </is>
      </c>
      <c r="D127" s="38" t="n"/>
      <c r="E127" s="17" t="inlineStr">
        <is>
          <t>Added by the team — not in the composition taxonomy</t>
        </is>
      </c>
      <c r="F127" s="23" t="n"/>
      <c r="G127" s="39" t="n"/>
      <c r="H127" s="15">
        <f>IF($D127="","",COUNTIFS('Chart Database'!$B$6:$B$4005,$A127,'Chart Database'!$C$6:$C$4005,"*"&amp;$D127&amp;"*",'Chart Database'!$F$6:$F$4005,"Active"))</f>
        <v/>
      </c>
      <c r="I127" s="32">
        <f>IF(OR($D127="",$G127=""),"NA",IF($G127=0,"NA",H127/$G127))</f>
        <v/>
      </c>
      <c r="J127" s="15">
        <f>IF(OR($D127="",$G127=""),"",$G127-H127)</f>
        <v/>
      </c>
      <c r="K127" s="15">
        <f>IF($D127="","",IF(SUMPRODUCT(--($A$5:$A$135=$A127),--($D$5:$D$135&lt;&gt;""),--(ROW($D$5:$D$135)&lt;&gt;ROW()),--(ISNUMBER(SEARCH($D127,$D$5:$D$135))+ISNUMBER(SEARCH($D$5:$D$135&amp;"",$D127))&gt;0))&gt;0,"CLASH — overlaps another name in this specialty","OK"))</f>
        <v/>
      </c>
      <c r="L127" s="23" t="n"/>
    </row>
    <row r="128" ht="22" customHeight="1">
      <c r="A128" s="36" t="n"/>
      <c r="B128" s="33" t="inlineStr">
        <is>
          <t>—</t>
        </is>
      </c>
      <c r="C128" s="37" t="inlineStr">
        <is>
          <t>P2</t>
        </is>
      </c>
      <c r="D128" s="38" t="n"/>
      <c r="E128" s="17" t="inlineStr">
        <is>
          <t>Added by the team — not in the composition taxonomy</t>
        </is>
      </c>
      <c r="F128" s="23" t="n"/>
      <c r="G128" s="39" t="n"/>
      <c r="H128" s="15">
        <f>IF($D128="","",COUNTIFS('Chart Database'!$B$6:$B$4005,$A128,'Chart Database'!$C$6:$C$4005,"*"&amp;$D128&amp;"*",'Chart Database'!$F$6:$F$4005,"Active"))</f>
        <v/>
      </c>
      <c r="I128" s="32">
        <f>IF(OR($D128="",$G128=""),"NA",IF($G128=0,"NA",H128/$G128))</f>
        <v/>
      </c>
      <c r="J128" s="15">
        <f>IF(OR($D128="",$G128=""),"",$G128-H128)</f>
        <v/>
      </c>
      <c r="K128" s="15">
        <f>IF($D128="","",IF(SUMPRODUCT(--($A$5:$A$135=$A128),--($D$5:$D$135&lt;&gt;""),--(ROW($D$5:$D$135)&lt;&gt;ROW()),--(ISNUMBER(SEARCH($D128,$D$5:$D$135))+ISNUMBER(SEARCH($D$5:$D$135&amp;"",$D128))&gt;0))&gt;0,"CLASH — overlaps another name in this specialty","OK"))</f>
        <v/>
      </c>
      <c r="L128" s="23" t="n"/>
    </row>
    <row r="129" ht="22" customHeight="1">
      <c r="A129" s="36" t="n"/>
      <c r="B129" s="33" t="inlineStr">
        <is>
          <t>—</t>
        </is>
      </c>
      <c r="C129" s="37" t="inlineStr">
        <is>
          <t>P2</t>
        </is>
      </c>
      <c r="D129" s="38" t="n"/>
      <c r="E129" s="17" t="inlineStr">
        <is>
          <t>Added by the team — not in the composition taxonomy</t>
        </is>
      </c>
      <c r="F129" s="23" t="n"/>
      <c r="G129" s="39" t="n"/>
      <c r="H129" s="15">
        <f>IF($D129="","",COUNTIFS('Chart Database'!$B$6:$B$4005,$A129,'Chart Database'!$C$6:$C$4005,"*"&amp;$D129&amp;"*",'Chart Database'!$F$6:$F$4005,"Active"))</f>
        <v/>
      </c>
      <c r="I129" s="32">
        <f>IF(OR($D129="",$G129=""),"NA",IF($G129=0,"NA",H129/$G129))</f>
        <v/>
      </c>
      <c r="J129" s="15">
        <f>IF(OR($D129="",$G129=""),"",$G129-H129)</f>
        <v/>
      </c>
      <c r="K129" s="15">
        <f>IF($D129="","",IF(SUMPRODUCT(--($A$5:$A$135=$A129),--($D$5:$D$135&lt;&gt;""),--(ROW($D$5:$D$135)&lt;&gt;ROW()),--(ISNUMBER(SEARCH($D129,$D$5:$D$135))+ISNUMBER(SEARCH($D$5:$D$135&amp;"",$D129))&gt;0))&gt;0,"CLASH — overlaps another name in this specialty","OK"))</f>
        <v/>
      </c>
      <c r="L129" s="23" t="n"/>
    </row>
    <row r="130" ht="22" customHeight="1">
      <c r="A130" s="36" t="n"/>
      <c r="B130" s="33" t="inlineStr">
        <is>
          <t>—</t>
        </is>
      </c>
      <c r="C130" s="37" t="inlineStr">
        <is>
          <t>P2</t>
        </is>
      </c>
      <c r="D130" s="38" t="n"/>
      <c r="E130" s="17" t="inlineStr">
        <is>
          <t>Added by the team — not in the composition taxonomy</t>
        </is>
      </c>
      <c r="F130" s="23" t="n"/>
      <c r="G130" s="39" t="n"/>
      <c r="H130" s="15">
        <f>IF($D130="","",COUNTIFS('Chart Database'!$B$6:$B$4005,$A130,'Chart Database'!$C$6:$C$4005,"*"&amp;$D130&amp;"*",'Chart Database'!$F$6:$F$4005,"Active"))</f>
        <v/>
      </c>
      <c r="I130" s="32">
        <f>IF(OR($D130="",$G130=""),"NA",IF($G130=0,"NA",H130/$G130))</f>
        <v/>
      </c>
      <c r="J130" s="15">
        <f>IF(OR($D130="",$G130=""),"",$G130-H130)</f>
        <v/>
      </c>
      <c r="K130" s="15">
        <f>IF($D130="","",IF(SUMPRODUCT(--($A$5:$A$135=$A130),--($D$5:$D$135&lt;&gt;""),--(ROW($D$5:$D$135)&lt;&gt;ROW()),--(ISNUMBER(SEARCH($D130,$D$5:$D$135))+ISNUMBER(SEARCH($D$5:$D$135&amp;"",$D130))&gt;0))&gt;0,"CLASH — overlaps another name in this specialty","OK"))</f>
        <v/>
      </c>
      <c r="L130" s="23" t="n"/>
    </row>
    <row r="131" ht="22" customHeight="1">
      <c r="A131" s="36" t="n"/>
      <c r="B131" s="33" t="inlineStr">
        <is>
          <t>—</t>
        </is>
      </c>
      <c r="C131" s="37" t="inlineStr">
        <is>
          <t>P2</t>
        </is>
      </c>
      <c r="D131" s="38" t="n"/>
      <c r="E131" s="17" t="inlineStr">
        <is>
          <t>Added by the team — not in the composition taxonomy</t>
        </is>
      </c>
      <c r="F131" s="23" t="n"/>
      <c r="G131" s="39" t="n"/>
      <c r="H131" s="15">
        <f>IF($D131="","",COUNTIFS('Chart Database'!$B$6:$B$4005,$A131,'Chart Database'!$C$6:$C$4005,"*"&amp;$D131&amp;"*",'Chart Database'!$F$6:$F$4005,"Active"))</f>
        <v/>
      </c>
      <c r="I131" s="32">
        <f>IF(OR($D131="",$G131=""),"NA",IF($G131=0,"NA",H131/$G131))</f>
        <v/>
      </c>
      <c r="J131" s="15">
        <f>IF(OR($D131="",$G131=""),"",$G131-H131)</f>
        <v/>
      </c>
      <c r="K131" s="15">
        <f>IF($D131="","",IF(SUMPRODUCT(--($A$5:$A$135=$A131),--($D$5:$D$135&lt;&gt;""),--(ROW($D$5:$D$135)&lt;&gt;ROW()),--(ISNUMBER(SEARCH($D131,$D$5:$D$135))+ISNUMBER(SEARCH($D$5:$D$135&amp;"",$D131))&gt;0))&gt;0,"CLASH — overlaps another name in this specialty","OK"))</f>
        <v/>
      </c>
      <c r="L131" s="23" t="n"/>
    </row>
    <row r="132" ht="22" customHeight="1">
      <c r="A132" s="36" t="n"/>
      <c r="B132" s="33" t="inlineStr">
        <is>
          <t>—</t>
        </is>
      </c>
      <c r="C132" s="37" t="inlineStr">
        <is>
          <t>P2</t>
        </is>
      </c>
      <c r="D132" s="38" t="n"/>
      <c r="E132" s="17" t="inlineStr">
        <is>
          <t>Added by the team — not in the composition taxonomy</t>
        </is>
      </c>
      <c r="F132" s="23" t="n"/>
      <c r="G132" s="39" t="n"/>
      <c r="H132" s="15">
        <f>IF($D132="","",COUNTIFS('Chart Database'!$B$6:$B$4005,$A132,'Chart Database'!$C$6:$C$4005,"*"&amp;$D132&amp;"*",'Chart Database'!$F$6:$F$4005,"Active"))</f>
        <v/>
      </c>
      <c r="I132" s="32">
        <f>IF(OR($D132="",$G132=""),"NA",IF($G132=0,"NA",H132/$G132))</f>
        <v/>
      </c>
      <c r="J132" s="15">
        <f>IF(OR($D132="",$G132=""),"",$G132-H132)</f>
        <v/>
      </c>
      <c r="K132" s="15">
        <f>IF($D132="","",IF(SUMPRODUCT(--($A$5:$A$135=$A132),--($D$5:$D$135&lt;&gt;""),--(ROW($D$5:$D$135)&lt;&gt;ROW()),--(ISNUMBER(SEARCH($D132,$D$5:$D$135))+ISNUMBER(SEARCH($D$5:$D$135&amp;"",$D132))&gt;0))&gt;0,"CLASH — overlaps another name in this specialty","OK"))</f>
        <v/>
      </c>
      <c r="L132" s="23" t="n"/>
    </row>
    <row r="133" ht="22" customHeight="1">
      <c r="A133" s="36" t="n"/>
      <c r="B133" s="33" t="inlineStr">
        <is>
          <t>—</t>
        </is>
      </c>
      <c r="C133" s="37" t="inlineStr">
        <is>
          <t>P2</t>
        </is>
      </c>
      <c r="D133" s="38" t="n"/>
      <c r="E133" s="17" t="inlineStr">
        <is>
          <t>Added by the team — not in the composition taxonomy</t>
        </is>
      </c>
      <c r="F133" s="23" t="n"/>
      <c r="G133" s="39" t="n"/>
      <c r="H133" s="15">
        <f>IF($D133="","",COUNTIFS('Chart Database'!$B$6:$B$4005,$A133,'Chart Database'!$C$6:$C$4005,"*"&amp;$D133&amp;"*",'Chart Database'!$F$6:$F$4005,"Active"))</f>
        <v/>
      </c>
      <c r="I133" s="32">
        <f>IF(OR($D133="",$G133=""),"NA",IF($G133=0,"NA",H133/$G133))</f>
        <v/>
      </c>
      <c r="J133" s="15">
        <f>IF(OR($D133="",$G133=""),"",$G133-H133)</f>
        <v/>
      </c>
      <c r="K133" s="15">
        <f>IF($D133="","",IF(SUMPRODUCT(--($A$5:$A$135=$A133),--($D$5:$D$135&lt;&gt;""),--(ROW($D$5:$D$135)&lt;&gt;ROW()),--(ISNUMBER(SEARCH($D133,$D$5:$D$135))+ISNUMBER(SEARCH($D$5:$D$135&amp;"",$D133))&gt;0))&gt;0,"CLASH — overlaps another name in this specialty","OK"))</f>
        <v/>
      </c>
      <c r="L133" s="23" t="n"/>
    </row>
    <row r="134" ht="22" customHeight="1">
      <c r="A134" s="36" t="n"/>
      <c r="B134" s="33" t="inlineStr">
        <is>
          <t>—</t>
        </is>
      </c>
      <c r="C134" s="37" t="inlineStr">
        <is>
          <t>P2</t>
        </is>
      </c>
      <c r="D134" s="38" t="n"/>
      <c r="E134" s="17" t="inlineStr">
        <is>
          <t>Added by the team — not in the composition taxonomy</t>
        </is>
      </c>
      <c r="F134" s="23" t="n"/>
      <c r="G134" s="39" t="n"/>
      <c r="H134" s="15">
        <f>IF($D134="","",COUNTIFS('Chart Database'!$B$6:$B$4005,$A134,'Chart Database'!$C$6:$C$4005,"*"&amp;$D134&amp;"*",'Chart Database'!$F$6:$F$4005,"Active"))</f>
        <v/>
      </c>
      <c r="I134" s="32">
        <f>IF(OR($D134="",$G134=""),"NA",IF($G134=0,"NA",H134/$G134))</f>
        <v/>
      </c>
      <c r="J134" s="15">
        <f>IF(OR($D134="",$G134=""),"",$G134-H134)</f>
        <v/>
      </c>
      <c r="K134" s="15">
        <f>IF($D134="","",IF(SUMPRODUCT(--($A$5:$A$135=$A134),--($D$5:$D$135&lt;&gt;""),--(ROW($D$5:$D$135)&lt;&gt;ROW()),--(ISNUMBER(SEARCH($D134,$D$5:$D$135))+ISNUMBER(SEARCH($D$5:$D$135&amp;"",$D134))&gt;0))&gt;0,"CLASH — overlaps another name in this specialty","OK"))</f>
        <v/>
      </c>
      <c r="L134" s="23" t="n"/>
    </row>
    <row r="135" ht="22" customHeight="1">
      <c r="A135" s="36" t="n"/>
      <c r="B135" s="33" t="inlineStr">
        <is>
          <t>—</t>
        </is>
      </c>
      <c r="C135" s="37" t="inlineStr">
        <is>
          <t>P2</t>
        </is>
      </c>
      <c r="D135" s="38" t="n"/>
      <c r="E135" s="17" t="inlineStr">
        <is>
          <t>Added by the team — not in the composition taxonomy</t>
        </is>
      </c>
      <c r="F135" s="23" t="n"/>
      <c r="G135" s="39" t="n"/>
      <c r="H135" s="15">
        <f>IF($D135="","",COUNTIFS('Chart Database'!$B$6:$B$4005,$A135,'Chart Database'!$C$6:$C$4005,"*"&amp;$D135&amp;"*",'Chart Database'!$F$6:$F$4005,"Active"))</f>
        <v/>
      </c>
      <c r="I135" s="32">
        <f>IF(OR($D135="",$G135=""),"NA",IF($G135=0,"NA",H135/$G135))</f>
        <v/>
      </c>
      <c r="J135" s="15">
        <f>IF(OR($D135="",$G135=""),"",$G135-H135)</f>
        <v/>
      </c>
      <c r="K135" s="15">
        <f>IF($D135="","",IF(SUMPRODUCT(--($A$5:$A$135=$A135),--($D$5:$D$135&lt;&gt;""),--(ROW($D$5:$D$135)&lt;&gt;ROW()),--(ISNUMBER(SEARCH($D135,$D$5:$D$135))+ISNUMBER(SEARCH($D$5:$D$135&amp;"",$D135))&gt;0))&gt;0,"CLASH — overlaps another name in this specialty","OK"))</f>
        <v/>
      </c>
      <c r="L135" s="23" t="n"/>
    </row>
    <row r="136">
      <c r="A136" s="40" t="inlineStr">
        <is>
          <t>TOTAL</t>
        </is>
      </c>
      <c r="B136" s="41" t="n"/>
      <c r="C136" s="41" t="n"/>
      <c r="D136" s="41" t="n"/>
      <c r="E136" s="41" t="n"/>
      <c r="F136" s="41" t="n"/>
      <c r="G136" s="42">
        <f>SUM(G5:G135)</f>
        <v/>
      </c>
      <c r="H136" s="42">
        <f>SUM(H5:H135)</f>
        <v/>
      </c>
      <c r="I136" s="43">
        <f>IF(G136=0,"NA",H136/G136)</f>
        <v/>
      </c>
      <c r="J136" s="42">
        <f>G136-H136</f>
        <v/>
      </c>
      <c r="K136" s="42">
        <f>COUNTIF(K5:K135,"CLASH*")&amp;" name clash(es)"</f>
        <v/>
      </c>
      <c r="L136" s="41" t="n"/>
    </row>
    <row r="138" ht="26" customHeight="1">
      <c r="A138" s="18" t="inlineStr">
        <is>
          <t>In pool now counts ACTIVE charts whose category contains this short name, which is how the application matches. A chart filed as "Sepsis, Renal" counts under both Sepsis and Renal — correctly, because it teaches both.</t>
        </is>
      </c>
    </row>
    <row r="139" ht="26" customHeight="1">
      <c r="A139" s="44"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45"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19"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18"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4">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9">
      <formula>LEFT($K5,5)="CLASH"</formula>
    </cfRule>
  </conditionalFormatting>
  <conditionalFormatting sqref="A116:A135">
    <cfRule type="expression" priority="5" dxfId="10">
      <formula>$D116&lt;&gt;""</formula>
    </cfRule>
  </conditionalFormatting>
  <pageMargins left="0.75" right="0.75" top="1" bottom="1" header="0.5" footer="0.5"/>
</worksheet>
</file>

<file path=xl/worksheets/sheet5.xml><?xml version="1.0" encoding="utf-8"?>
<worksheet xmlns="http://schemas.openxmlformats.org/spreadsheetml/2006/main">
  <sheetPr>
    <tabColor rgb="009C6500"/>
    <outlinePr summaryBelow="1" summaryRight="1"/>
    <pageSetUpPr/>
  </sheetPr>
  <dimension ref="A1:O612"/>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4" customWidth="1" min="2" max="2"/>
    <col width="26" customWidth="1" min="3" max="3"/>
    <col width="14" customWidth="1" min="4" max="4"/>
    <col width="11" customWidth="1" min="5" max="5"/>
    <col width="9" customWidth="1" min="6" max="6"/>
    <col width="26" customWidth="1" min="7" max="7"/>
    <col width="12" customWidth="1" min="8" max="8"/>
    <col width="9" customWidth="1" min="9" max="9"/>
    <col width="8" customWidth="1" min="10" max="10"/>
    <col width="11" customWidth="1" min="11" max="11"/>
    <col width="10" customWidth="1" min="12" max="12"/>
    <col width="10" customWidth="1" min="13" max="13"/>
    <col width="13" customWidth="1" min="14" max="14"/>
    <col width="30" customWidth="1" min="15" max="15"/>
  </cols>
  <sheetData>
    <row r="1" ht="26" customHeight="1">
      <c r="A1" s="1" t="inlineStr">
        <is>
          <t>Audit Versions</t>
        </is>
      </c>
    </row>
    <row r="2">
      <c r="A2" s="2" t="inlineStr">
        <is>
          <t>One row per trainer-authored audit key set. A chart may hold several, which is why these cannot live on the chart row.</t>
        </is>
      </c>
    </row>
    <row r="3" ht="3" customHeight="1">
      <c r="A3" s="3" t="n"/>
      <c r="B3" s="3" t="n"/>
      <c r="C3" s="3" t="n"/>
      <c r="D3" s="3" t="n"/>
      <c r="E3" s="3" t="n"/>
      <c r="F3" s="3" t="n"/>
      <c r="G3" s="3" t="n"/>
      <c r="H3" s="3" t="n"/>
      <c r="I3" s="3" t="n"/>
      <c r="J3" s="3" t="n"/>
      <c r="K3" s="3" t="n"/>
      <c r="L3" s="3" t="n"/>
      <c r="M3" s="3" t="n"/>
      <c r="N3" s="3" t="n"/>
      <c r="O3" s="3" t="n"/>
    </row>
    <row r="4" ht="13" customHeight="1">
      <c r="A4" s="22" t="inlineStr">
        <is>
          <t>WE MAINTAIN</t>
        </is>
      </c>
      <c r="B4" s="21" t="inlineStr">
        <is>
          <t>AUTO</t>
        </is>
      </c>
      <c r="C4" s="22" t="inlineStr">
        <is>
          <t>WE MAINTAIN</t>
        </is>
      </c>
      <c r="D4" s="22" t="inlineStr">
        <is>
          <t>WE MAINTAIN</t>
        </is>
      </c>
      <c r="E4" s="22" t="inlineStr">
        <is>
          <t>WE MAINTAIN</t>
        </is>
      </c>
      <c r="F4" s="22" t="inlineStr">
        <is>
          <t>WE MAINTAIN</t>
        </is>
      </c>
      <c r="G4" s="22" t="inlineStr">
        <is>
          <t>WE MAINTAIN</t>
        </is>
      </c>
      <c r="H4" s="22" t="inlineStr">
        <is>
          <t>WE MAINTAIN</t>
        </is>
      </c>
      <c r="I4" s="22" t="inlineStr">
        <is>
          <t>WE MAINTAIN</t>
        </is>
      </c>
      <c r="J4" s="22" t="inlineStr">
        <is>
          <t>WE MAINTAIN</t>
        </is>
      </c>
      <c r="K4" s="22" t="inlineStr">
        <is>
          <t>WE MAINTAIN</t>
        </is>
      </c>
      <c r="L4" s="22" t="inlineStr">
        <is>
          <t>WE MAINTAIN</t>
        </is>
      </c>
      <c r="M4" s="21" t="inlineStr">
        <is>
          <t>AUTO</t>
        </is>
      </c>
      <c r="N4" s="21" t="inlineStr">
        <is>
          <t>AUTO</t>
        </is>
      </c>
      <c r="O4" s="22" t="inlineStr">
        <is>
          <t>WE MAINTAIN</t>
        </is>
      </c>
    </row>
    <row r="5" ht="40" customHeight="1">
      <c r="A5" s="13" t="inlineStr">
        <is>
          <t>chart_number</t>
        </is>
      </c>
      <c r="B5" s="13" t="inlineStr">
        <is>
          <t>Specialty
(auto)</t>
        </is>
      </c>
      <c r="C5" s="13" t="inlineStr">
        <is>
          <t>Version name</t>
        </is>
      </c>
      <c r="D5" s="13" t="inlineStr">
        <is>
          <t>Authored by</t>
        </is>
      </c>
      <c r="E5" s="13" t="inlineStr">
        <is>
          <t>Created</t>
        </is>
      </c>
      <c r="F5" s="13" t="inlineStr">
        <is>
          <t>Planted
findings</t>
        </is>
      </c>
      <c r="G5" s="13" t="inlineStr">
        <is>
          <t>Sections touched</t>
        </is>
      </c>
      <c r="H5" s="13" t="inlineStr">
        <is>
          <t>Query expected
(IP-DRG only)</t>
        </is>
      </c>
      <c r="I5" s="13" t="inlineStr">
        <is>
          <t>Always
plant</t>
        </is>
      </c>
      <c r="J5" s="13" t="inlineStr">
        <is>
          <t>Times
drawn</t>
        </is>
      </c>
      <c r="K5" s="13" t="inlineStr">
        <is>
          <t>Last drawn</t>
        </is>
      </c>
      <c r="L5" s="13" t="inlineStr">
        <is>
          <t>Status</t>
        </is>
      </c>
      <c r="M5" s="13" t="inlineStr">
        <is>
          <t>Version #
(auto)</t>
        </is>
      </c>
      <c r="N5" s="13" t="inlineStr">
        <is>
          <t>Next in
rotation (auto)</t>
        </is>
      </c>
      <c r="O5" s="13" t="inlineStr">
        <is>
          <t>Notes</t>
        </is>
      </c>
    </row>
    <row r="6">
      <c r="A6" s="23" t="n"/>
      <c r="B6" s="26">
        <f>IF($A6="","",IFERROR(INDEX('Chart Database'!$B$6:$B$4005,MATCH($A6,'Chart Database'!$A$6:$A$4005,0)),"UNKNOWN CHART"))</f>
        <v/>
      </c>
      <c r="C6" s="23" t="n"/>
      <c r="D6" s="23" t="n"/>
      <c r="E6" s="25" t="n"/>
      <c r="F6" s="15" t="n"/>
      <c r="G6" s="23" t="n"/>
      <c r="H6" s="15" t="n"/>
      <c r="I6" s="15" t="n"/>
      <c r="J6" s="15" t="n"/>
      <c r="K6" s="25" t="n"/>
      <c r="L6" s="15" t="n"/>
      <c r="M6" s="26">
        <f>IF(OR($A6="",$L6&lt;&gt;"Active"),"",COUNTIFS($A$5:$A6,$A6,$L$5:$L6,"Active"))</f>
        <v/>
      </c>
      <c r="N6" s="26">
        <f>IF(OR($A6="",$M6=""),"",IF($M6=IFERROR(INDEX('Chart Database'!$R$6:$R$4005,MATCH($A6,'Chart Database'!$A$6:$A$4005,0)),0),"NEXT",""))</f>
        <v/>
      </c>
      <c r="O6" s="23" t="n"/>
    </row>
    <row r="7">
      <c r="A7" s="23" t="n"/>
      <c r="B7" s="26">
        <f>IF($A7="","",IFERROR(INDEX('Chart Database'!$B$6:$B$4005,MATCH($A7,'Chart Database'!$A$6:$A$4005,0)),"UNKNOWN CHART"))</f>
        <v/>
      </c>
      <c r="C7" s="23" t="n"/>
      <c r="D7" s="23" t="n"/>
      <c r="E7" s="25" t="n"/>
      <c r="F7" s="15" t="n"/>
      <c r="G7" s="23" t="n"/>
      <c r="H7" s="15" t="n"/>
      <c r="I7" s="15" t="n"/>
      <c r="J7" s="15" t="n"/>
      <c r="K7" s="25" t="n"/>
      <c r="L7" s="15" t="n"/>
      <c r="M7" s="26">
        <f>IF(OR($A7="",$L7&lt;&gt;"Active"),"",COUNTIFS($A$5:$A7,$A7,$L$5:$L7,"Active"))</f>
        <v/>
      </c>
      <c r="N7" s="26">
        <f>IF(OR($A7="",$M7=""),"",IF($M7=IFERROR(INDEX('Chart Database'!$R$6:$R$4005,MATCH($A7,'Chart Database'!$A$6:$A$4005,0)),0),"NEXT",""))</f>
        <v/>
      </c>
      <c r="O7" s="23" t="n"/>
    </row>
    <row r="8">
      <c r="A8" s="23" t="n"/>
      <c r="B8" s="26">
        <f>IF($A8="","",IFERROR(INDEX('Chart Database'!$B$6:$B$4005,MATCH($A8,'Chart Database'!$A$6:$A$4005,0)),"UNKNOWN CHART"))</f>
        <v/>
      </c>
      <c r="C8" s="23" t="n"/>
      <c r="D8" s="23" t="n"/>
      <c r="E8" s="25" t="n"/>
      <c r="F8" s="15" t="n"/>
      <c r="G8" s="23" t="n"/>
      <c r="H8" s="15" t="n"/>
      <c r="I8" s="15" t="n"/>
      <c r="J8" s="15" t="n"/>
      <c r="K8" s="25" t="n"/>
      <c r="L8" s="15" t="n"/>
      <c r="M8" s="26">
        <f>IF(OR($A8="",$L8&lt;&gt;"Active"),"",COUNTIFS($A$5:$A8,$A8,$L$5:$L8,"Active"))</f>
        <v/>
      </c>
      <c r="N8" s="26">
        <f>IF(OR($A8="",$M8=""),"",IF($M8=IFERROR(INDEX('Chart Database'!$R$6:$R$4005,MATCH($A8,'Chart Database'!$A$6:$A$4005,0)),0),"NEXT",""))</f>
        <v/>
      </c>
      <c r="O8" s="23" t="n"/>
    </row>
    <row r="9">
      <c r="A9" s="23" t="n"/>
      <c r="B9" s="26">
        <f>IF($A9="","",IFERROR(INDEX('Chart Database'!$B$6:$B$4005,MATCH($A9,'Chart Database'!$A$6:$A$4005,0)),"UNKNOWN CHART"))</f>
        <v/>
      </c>
      <c r="C9" s="23" t="n"/>
      <c r="D9" s="23" t="n"/>
      <c r="E9" s="25" t="n"/>
      <c r="F9" s="15" t="n"/>
      <c r="G9" s="23" t="n"/>
      <c r="H9" s="15" t="n"/>
      <c r="I9" s="15" t="n"/>
      <c r="J9" s="15" t="n"/>
      <c r="K9" s="25" t="n"/>
      <c r="L9" s="15" t="n"/>
      <c r="M9" s="26">
        <f>IF(OR($A9="",$L9&lt;&gt;"Active"),"",COUNTIFS($A$5:$A9,$A9,$L$5:$L9,"Active"))</f>
        <v/>
      </c>
      <c r="N9" s="26">
        <f>IF(OR($A9="",$M9=""),"",IF($M9=IFERROR(INDEX('Chart Database'!$R$6:$R$4005,MATCH($A9,'Chart Database'!$A$6:$A$4005,0)),0),"NEXT",""))</f>
        <v/>
      </c>
      <c r="O9" s="23" t="n"/>
    </row>
    <row r="10">
      <c r="A10" s="23" t="n"/>
      <c r="B10" s="26">
        <f>IF($A10="","",IFERROR(INDEX('Chart Database'!$B$6:$B$4005,MATCH($A10,'Chart Database'!$A$6:$A$4005,0)),"UNKNOWN CHART"))</f>
        <v/>
      </c>
      <c r="C10" s="23" t="n"/>
      <c r="D10" s="23" t="n"/>
      <c r="E10" s="25" t="n"/>
      <c r="F10" s="15" t="n"/>
      <c r="G10" s="23" t="n"/>
      <c r="H10" s="15" t="n"/>
      <c r="I10" s="15" t="n"/>
      <c r="J10" s="15" t="n"/>
      <c r="K10" s="25" t="n"/>
      <c r="L10" s="15" t="n"/>
      <c r="M10" s="26">
        <f>IF(OR($A10="",$L10&lt;&gt;"Active"),"",COUNTIFS($A$5:$A10,$A10,$L$5:$L10,"Active"))</f>
        <v/>
      </c>
      <c r="N10" s="26">
        <f>IF(OR($A10="",$M10=""),"",IF($M10=IFERROR(INDEX('Chart Database'!$R$6:$R$4005,MATCH($A10,'Chart Database'!$A$6:$A$4005,0)),0),"NEXT",""))</f>
        <v/>
      </c>
      <c r="O10" s="23" t="n"/>
    </row>
    <row r="11">
      <c r="A11" s="23" t="n"/>
      <c r="B11" s="26">
        <f>IF($A11="","",IFERROR(INDEX('Chart Database'!$B$6:$B$4005,MATCH($A11,'Chart Database'!$A$6:$A$4005,0)),"UNKNOWN CHART"))</f>
        <v/>
      </c>
      <c r="C11" s="23" t="n"/>
      <c r="D11" s="23" t="n"/>
      <c r="E11" s="25" t="n"/>
      <c r="F11" s="15" t="n"/>
      <c r="G11" s="23" t="n"/>
      <c r="H11" s="15" t="n"/>
      <c r="I11" s="15" t="n"/>
      <c r="J11" s="15" t="n"/>
      <c r="K11" s="25" t="n"/>
      <c r="L11" s="15" t="n"/>
      <c r="M11" s="26">
        <f>IF(OR($A11="",$L11&lt;&gt;"Active"),"",COUNTIFS($A$5:$A11,$A11,$L$5:$L11,"Active"))</f>
        <v/>
      </c>
      <c r="N11" s="26">
        <f>IF(OR($A11="",$M11=""),"",IF($M11=IFERROR(INDEX('Chart Database'!$R$6:$R$4005,MATCH($A11,'Chart Database'!$A$6:$A$4005,0)),0),"NEXT",""))</f>
        <v/>
      </c>
      <c r="O11" s="23" t="n"/>
    </row>
    <row r="12">
      <c r="A12" s="23" t="n"/>
      <c r="B12" s="26">
        <f>IF($A12="","",IFERROR(INDEX('Chart Database'!$B$6:$B$4005,MATCH($A12,'Chart Database'!$A$6:$A$4005,0)),"UNKNOWN CHART"))</f>
        <v/>
      </c>
      <c r="C12" s="23" t="n"/>
      <c r="D12" s="23" t="n"/>
      <c r="E12" s="25" t="n"/>
      <c r="F12" s="15" t="n"/>
      <c r="G12" s="23" t="n"/>
      <c r="H12" s="15" t="n"/>
      <c r="I12" s="15" t="n"/>
      <c r="J12" s="15" t="n"/>
      <c r="K12" s="25" t="n"/>
      <c r="L12" s="15" t="n"/>
      <c r="M12" s="26">
        <f>IF(OR($A12="",$L12&lt;&gt;"Active"),"",COUNTIFS($A$5:$A12,$A12,$L$5:$L12,"Active"))</f>
        <v/>
      </c>
      <c r="N12" s="26">
        <f>IF(OR($A12="",$M12=""),"",IF($M12=IFERROR(INDEX('Chart Database'!$R$6:$R$4005,MATCH($A12,'Chart Database'!$A$6:$A$4005,0)),0),"NEXT",""))</f>
        <v/>
      </c>
      <c r="O12" s="23" t="n"/>
    </row>
    <row r="13">
      <c r="A13" s="23" t="n"/>
      <c r="B13" s="26">
        <f>IF($A13="","",IFERROR(INDEX('Chart Database'!$B$6:$B$4005,MATCH($A13,'Chart Database'!$A$6:$A$4005,0)),"UNKNOWN CHART"))</f>
        <v/>
      </c>
      <c r="C13" s="23" t="n"/>
      <c r="D13" s="23" t="n"/>
      <c r="E13" s="25" t="n"/>
      <c r="F13" s="15" t="n"/>
      <c r="G13" s="23" t="n"/>
      <c r="H13" s="15" t="n"/>
      <c r="I13" s="15" t="n"/>
      <c r="J13" s="15" t="n"/>
      <c r="K13" s="25" t="n"/>
      <c r="L13" s="15" t="n"/>
      <c r="M13" s="26">
        <f>IF(OR($A13="",$L13&lt;&gt;"Active"),"",COUNTIFS($A$5:$A13,$A13,$L$5:$L13,"Active"))</f>
        <v/>
      </c>
      <c r="N13" s="26">
        <f>IF(OR($A13="",$M13=""),"",IF($M13=IFERROR(INDEX('Chart Database'!$R$6:$R$4005,MATCH($A13,'Chart Database'!$A$6:$A$4005,0)),0),"NEXT",""))</f>
        <v/>
      </c>
      <c r="O13" s="23" t="n"/>
    </row>
    <row r="14">
      <c r="A14" s="23" t="n"/>
      <c r="B14" s="26">
        <f>IF($A14="","",IFERROR(INDEX('Chart Database'!$B$6:$B$4005,MATCH($A14,'Chart Database'!$A$6:$A$4005,0)),"UNKNOWN CHART"))</f>
        <v/>
      </c>
      <c r="C14" s="23" t="n"/>
      <c r="D14" s="23" t="n"/>
      <c r="E14" s="25" t="n"/>
      <c r="F14" s="15" t="n"/>
      <c r="G14" s="23" t="n"/>
      <c r="H14" s="15" t="n"/>
      <c r="I14" s="15" t="n"/>
      <c r="J14" s="15" t="n"/>
      <c r="K14" s="25" t="n"/>
      <c r="L14" s="15" t="n"/>
      <c r="M14" s="26">
        <f>IF(OR($A14="",$L14&lt;&gt;"Active"),"",COUNTIFS($A$5:$A14,$A14,$L$5:$L14,"Active"))</f>
        <v/>
      </c>
      <c r="N14" s="26">
        <f>IF(OR($A14="",$M14=""),"",IF($M14=IFERROR(INDEX('Chart Database'!$R$6:$R$4005,MATCH($A14,'Chart Database'!$A$6:$A$4005,0)),0),"NEXT",""))</f>
        <v/>
      </c>
      <c r="O14" s="23" t="n"/>
    </row>
    <row r="15">
      <c r="A15" s="23" t="n"/>
      <c r="B15" s="26">
        <f>IF($A15="","",IFERROR(INDEX('Chart Database'!$B$6:$B$4005,MATCH($A15,'Chart Database'!$A$6:$A$4005,0)),"UNKNOWN CHART"))</f>
        <v/>
      </c>
      <c r="C15" s="23" t="n"/>
      <c r="D15" s="23" t="n"/>
      <c r="E15" s="25" t="n"/>
      <c r="F15" s="15" t="n"/>
      <c r="G15" s="23" t="n"/>
      <c r="H15" s="15" t="n"/>
      <c r="I15" s="15" t="n"/>
      <c r="J15" s="15" t="n"/>
      <c r="K15" s="25" t="n"/>
      <c r="L15" s="15" t="n"/>
      <c r="M15" s="26">
        <f>IF(OR($A15="",$L15&lt;&gt;"Active"),"",COUNTIFS($A$5:$A15,$A15,$L$5:$L15,"Active"))</f>
        <v/>
      </c>
      <c r="N15" s="26">
        <f>IF(OR($A15="",$M15=""),"",IF($M15=IFERROR(INDEX('Chart Database'!$R$6:$R$4005,MATCH($A15,'Chart Database'!$A$6:$A$4005,0)),0),"NEXT",""))</f>
        <v/>
      </c>
      <c r="O15" s="23" t="n"/>
    </row>
    <row r="16">
      <c r="A16" s="23" t="n"/>
      <c r="B16" s="26">
        <f>IF($A16="","",IFERROR(INDEX('Chart Database'!$B$6:$B$4005,MATCH($A16,'Chart Database'!$A$6:$A$4005,0)),"UNKNOWN CHART"))</f>
        <v/>
      </c>
      <c r="C16" s="23" t="n"/>
      <c r="D16" s="23" t="n"/>
      <c r="E16" s="25" t="n"/>
      <c r="F16" s="15" t="n"/>
      <c r="G16" s="23" t="n"/>
      <c r="H16" s="15" t="n"/>
      <c r="I16" s="15" t="n"/>
      <c r="J16" s="15" t="n"/>
      <c r="K16" s="25" t="n"/>
      <c r="L16" s="15" t="n"/>
      <c r="M16" s="26">
        <f>IF(OR($A16="",$L16&lt;&gt;"Active"),"",COUNTIFS($A$5:$A16,$A16,$L$5:$L16,"Active"))</f>
        <v/>
      </c>
      <c r="N16" s="26">
        <f>IF(OR($A16="",$M16=""),"",IF($M16=IFERROR(INDEX('Chart Database'!$R$6:$R$4005,MATCH($A16,'Chart Database'!$A$6:$A$4005,0)),0),"NEXT",""))</f>
        <v/>
      </c>
      <c r="O16" s="23" t="n"/>
    </row>
    <row r="17">
      <c r="A17" s="23" t="n"/>
      <c r="B17" s="26">
        <f>IF($A17="","",IFERROR(INDEX('Chart Database'!$B$6:$B$4005,MATCH($A17,'Chart Database'!$A$6:$A$4005,0)),"UNKNOWN CHART"))</f>
        <v/>
      </c>
      <c r="C17" s="23" t="n"/>
      <c r="D17" s="23" t="n"/>
      <c r="E17" s="25" t="n"/>
      <c r="F17" s="15" t="n"/>
      <c r="G17" s="23" t="n"/>
      <c r="H17" s="15" t="n"/>
      <c r="I17" s="15" t="n"/>
      <c r="J17" s="15" t="n"/>
      <c r="K17" s="25" t="n"/>
      <c r="L17" s="15" t="n"/>
      <c r="M17" s="26">
        <f>IF(OR($A17="",$L17&lt;&gt;"Active"),"",COUNTIFS($A$5:$A17,$A17,$L$5:$L17,"Active"))</f>
        <v/>
      </c>
      <c r="N17" s="26">
        <f>IF(OR($A17="",$M17=""),"",IF($M17=IFERROR(INDEX('Chart Database'!$R$6:$R$4005,MATCH($A17,'Chart Database'!$A$6:$A$4005,0)),0),"NEXT",""))</f>
        <v/>
      </c>
      <c r="O17" s="23" t="n"/>
    </row>
    <row r="18">
      <c r="A18" s="23" t="n"/>
      <c r="B18" s="26">
        <f>IF($A18="","",IFERROR(INDEX('Chart Database'!$B$6:$B$4005,MATCH($A18,'Chart Database'!$A$6:$A$4005,0)),"UNKNOWN CHART"))</f>
        <v/>
      </c>
      <c r="C18" s="23" t="n"/>
      <c r="D18" s="23" t="n"/>
      <c r="E18" s="25" t="n"/>
      <c r="F18" s="15" t="n"/>
      <c r="G18" s="23" t="n"/>
      <c r="H18" s="15" t="n"/>
      <c r="I18" s="15" t="n"/>
      <c r="J18" s="15" t="n"/>
      <c r="K18" s="25" t="n"/>
      <c r="L18" s="15" t="n"/>
      <c r="M18" s="26">
        <f>IF(OR($A18="",$L18&lt;&gt;"Active"),"",COUNTIFS($A$5:$A18,$A18,$L$5:$L18,"Active"))</f>
        <v/>
      </c>
      <c r="N18" s="26">
        <f>IF(OR($A18="",$M18=""),"",IF($M18=IFERROR(INDEX('Chart Database'!$R$6:$R$4005,MATCH($A18,'Chart Database'!$A$6:$A$4005,0)),0),"NEXT",""))</f>
        <v/>
      </c>
      <c r="O18" s="23" t="n"/>
    </row>
    <row r="19">
      <c r="A19" s="23" t="n"/>
      <c r="B19" s="26">
        <f>IF($A19="","",IFERROR(INDEX('Chart Database'!$B$6:$B$4005,MATCH($A19,'Chart Database'!$A$6:$A$4005,0)),"UNKNOWN CHART"))</f>
        <v/>
      </c>
      <c r="C19" s="23" t="n"/>
      <c r="D19" s="23" t="n"/>
      <c r="E19" s="25" t="n"/>
      <c r="F19" s="15" t="n"/>
      <c r="G19" s="23" t="n"/>
      <c r="H19" s="15" t="n"/>
      <c r="I19" s="15" t="n"/>
      <c r="J19" s="15" t="n"/>
      <c r="K19" s="25" t="n"/>
      <c r="L19" s="15" t="n"/>
      <c r="M19" s="26">
        <f>IF(OR($A19="",$L19&lt;&gt;"Active"),"",COUNTIFS($A$5:$A19,$A19,$L$5:$L19,"Active"))</f>
        <v/>
      </c>
      <c r="N19" s="26">
        <f>IF(OR($A19="",$M19=""),"",IF($M19=IFERROR(INDEX('Chart Database'!$R$6:$R$4005,MATCH($A19,'Chart Database'!$A$6:$A$4005,0)),0),"NEXT",""))</f>
        <v/>
      </c>
      <c r="O19" s="23" t="n"/>
    </row>
    <row r="20">
      <c r="A20" s="23" t="n"/>
      <c r="B20" s="26">
        <f>IF($A20="","",IFERROR(INDEX('Chart Database'!$B$6:$B$4005,MATCH($A20,'Chart Database'!$A$6:$A$4005,0)),"UNKNOWN CHART"))</f>
        <v/>
      </c>
      <c r="C20" s="23" t="n"/>
      <c r="D20" s="23" t="n"/>
      <c r="E20" s="25" t="n"/>
      <c r="F20" s="15" t="n"/>
      <c r="G20" s="23" t="n"/>
      <c r="H20" s="15" t="n"/>
      <c r="I20" s="15" t="n"/>
      <c r="J20" s="15" t="n"/>
      <c r="K20" s="25" t="n"/>
      <c r="L20" s="15" t="n"/>
      <c r="M20" s="26">
        <f>IF(OR($A20="",$L20&lt;&gt;"Active"),"",COUNTIFS($A$5:$A20,$A20,$L$5:$L20,"Active"))</f>
        <v/>
      </c>
      <c r="N20" s="26">
        <f>IF(OR($A20="",$M20=""),"",IF($M20=IFERROR(INDEX('Chart Database'!$R$6:$R$4005,MATCH($A20,'Chart Database'!$A$6:$A$4005,0)),0),"NEXT",""))</f>
        <v/>
      </c>
      <c r="O20" s="23" t="n"/>
    </row>
    <row r="21">
      <c r="A21" s="23" t="n"/>
      <c r="B21" s="26">
        <f>IF($A21="","",IFERROR(INDEX('Chart Database'!$B$6:$B$4005,MATCH($A21,'Chart Database'!$A$6:$A$4005,0)),"UNKNOWN CHART"))</f>
        <v/>
      </c>
      <c r="C21" s="23" t="n"/>
      <c r="D21" s="23" t="n"/>
      <c r="E21" s="25" t="n"/>
      <c r="F21" s="15" t="n"/>
      <c r="G21" s="23" t="n"/>
      <c r="H21" s="15" t="n"/>
      <c r="I21" s="15" t="n"/>
      <c r="J21" s="15" t="n"/>
      <c r="K21" s="25" t="n"/>
      <c r="L21" s="15" t="n"/>
      <c r="M21" s="26">
        <f>IF(OR($A21="",$L21&lt;&gt;"Active"),"",COUNTIFS($A$5:$A21,$A21,$L$5:$L21,"Active"))</f>
        <v/>
      </c>
      <c r="N21" s="26">
        <f>IF(OR($A21="",$M21=""),"",IF($M21=IFERROR(INDEX('Chart Database'!$R$6:$R$4005,MATCH($A21,'Chart Database'!$A$6:$A$4005,0)),0),"NEXT",""))</f>
        <v/>
      </c>
      <c r="O21" s="23" t="n"/>
    </row>
    <row r="22">
      <c r="A22" s="23" t="n"/>
      <c r="B22" s="26">
        <f>IF($A22="","",IFERROR(INDEX('Chart Database'!$B$6:$B$4005,MATCH($A22,'Chart Database'!$A$6:$A$4005,0)),"UNKNOWN CHART"))</f>
        <v/>
      </c>
      <c r="C22" s="23" t="n"/>
      <c r="D22" s="23" t="n"/>
      <c r="E22" s="25" t="n"/>
      <c r="F22" s="15" t="n"/>
      <c r="G22" s="23" t="n"/>
      <c r="H22" s="15" t="n"/>
      <c r="I22" s="15" t="n"/>
      <c r="J22" s="15" t="n"/>
      <c r="K22" s="25" t="n"/>
      <c r="L22" s="15" t="n"/>
      <c r="M22" s="26">
        <f>IF(OR($A22="",$L22&lt;&gt;"Active"),"",COUNTIFS($A$5:$A22,$A22,$L$5:$L22,"Active"))</f>
        <v/>
      </c>
      <c r="N22" s="26">
        <f>IF(OR($A22="",$M22=""),"",IF($M22=IFERROR(INDEX('Chart Database'!$R$6:$R$4005,MATCH($A22,'Chart Database'!$A$6:$A$4005,0)),0),"NEXT",""))</f>
        <v/>
      </c>
      <c r="O22" s="23" t="n"/>
    </row>
    <row r="23">
      <c r="A23" s="23" t="n"/>
      <c r="B23" s="26">
        <f>IF($A23="","",IFERROR(INDEX('Chart Database'!$B$6:$B$4005,MATCH($A23,'Chart Database'!$A$6:$A$4005,0)),"UNKNOWN CHART"))</f>
        <v/>
      </c>
      <c r="C23" s="23" t="n"/>
      <c r="D23" s="23" t="n"/>
      <c r="E23" s="25" t="n"/>
      <c r="F23" s="15" t="n"/>
      <c r="G23" s="23" t="n"/>
      <c r="H23" s="15" t="n"/>
      <c r="I23" s="15" t="n"/>
      <c r="J23" s="15" t="n"/>
      <c r="K23" s="25" t="n"/>
      <c r="L23" s="15" t="n"/>
      <c r="M23" s="26">
        <f>IF(OR($A23="",$L23&lt;&gt;"Active"),"",COUNTIFS($A$5:$A23,$A23,$L$5:$L23,"Active"))</f>
        <v/>
      </c>
      <c r="N23" s="26">
        <f>IF(OR($A23="",$M23=""),"",IF($M23=IFERROR(INDEX('Chart Database'!$R$6:$R$4005,MATCH($A23,'Chart Database'!$A$6:$A$4005,0)),0),"NEXT",""))</f>
        <v/>
      </c>
      <c r="O23" s="23" t="n"/>
    </row>
    <row r="24">
      <c r="A24" s="23" t="n"/>
      <c r="B24" s="26">
        <f>IF($A24="","",IFERROR(INDEX('Chart Database'!$B$6:$B$4005,MATCH($A24,'Chart Database'!$A$6:$A$4005,0)),"UNKNOWN CHART"))</f>
        <v/>
      </c>
      <c r="C24" s="23" t="n"/>
      <c r="D24" s="23" t="n"/>
      <c r="E24" s="25" t="n"/>
      <c r="F24" s="15" t="n"/>
      <c r="G24" s="23" t="n"/>
      <c r="H24" s="15" t="n"/>
      <c r="I24" s="15" t="n"/>
      <c r="J24" s="15" t="n"/>
      <c r="K24" s="25" t="n"/>
      <c r="L24" s="15" t="n"/>
      <c r="M24" s="26">
        <f>IF(OR($A24="",$L24&lt;&gt;"Active"),"",COUNTIFS($A$5:$A24,$A24,$L$5:$L24,"Active"))</f>
        <v/>
      </c>
      <c r="N24" s="26">
        <f>IF(OR($A24="",$M24=""),"",IF($M24=IFERROR(INDEX('Chart Database'!$R$6:$R$4005,MATCH($A24,'Chart Database'!$A$6:$A$4005,0)),0),"NEXT",""))</f>
        <v/>
      </c>
      <c r="O24" s="23" t="n"/>
    </row>
    <row r="25">
      <c r="A25" s="23" t="n"/>
      <c r="B25" s="26">
        <f>IF($A25="","",IFERROR(INDEX('Chart Database'!$B$6:$B$4005,MATCH($A25,'Chart Database'!$A$6:$A$4005,0)),"UNKNOWN CHART"))</f>
        <v/>
      </c>
      <c r="C25" s="23" t="n"/>
      <c r="D25" s="23" t="n"/>
      <c r="E25" s="25" t="n"/>
      <c r="F25" s="15" t="n"/>
      <c r="G25" s="23" t="n"/>
      <c r="H25" s="15" t="n"/>
      <c r="I25" s="15" t="n"/>
      <c r="J25" s="15" t="n"/>
      <c r="K25" s="25" t="n"/>
      <c r="L25" s="15" t="n"/>
      <c r="M25" s="26">
        <f>IF(OR($A25="",$L25&lt;&gt;"Active"),"",COUNTIFS($A$5:$A25,$A25,$L$5:$L25,"Active"))</f>
        <v/>
      </c>
      <c r="N25" s="26">
        <f>IF(OR($A25="",$M25=""),"",IF($M25=IFERROR(INDEX('Chart Database'!$R$6:$R$4005,MATCH($A25,'Chart Database'!$A$6:$A$4005,0)),0),"NEXT",""))</f>
        <v/>
      </c>
      <c r="O25" s="23" t="n"/>
    </row>
    <row r="26">
      <c r="A26" s="23" t="n"/>
      <c r="B26" s="26">
        <f>IF($A26="","",IFERROR(INDEX('Chart Database'!$B$6:$B$4005,MATCH($A26,'Chart Database'!$A$6:$A$4005,0)),"UNKNOWN CHART"))</f>
        <v/>
      </c>
      <c r="C26" s="23" t="n"/>
      <c r="D26" s="23" t="n"/>
      <c r="E26" s="25" t="n"/>
      <c r="F26" s="15" t="n"/>
      <c r="G26" s="23" t="n"/>
      <c r="H26" s="15" t="n"/>
      <c r="I26" s="15" t="n"/>
      <c r="J26" s="15" t="n"/>
      <c r="K26" s="25" t="n"/>
      <c r="L26" s="15" t="n"/>
      <c r="M26" s="26">
        <f>IF(OR($A26="",$L26&lt;&gt;"Active"),"",COUNTIFS($A$5:$A26,$A26,$L$5:$L26,"Active"))</f>
        <v/>
      </c>
      <c r="N26" s="26">
        <f>IF(OR($A26="",$M26=""),"",IF($M26=IFERROR(INDEX('Chart Database'!$R$6:$R$4005,MATCH($A26,'Chart Database'!$A$6:$A$4005,0)),0),"NEXT",""))</f>
        <v/>
      </c>
      <c r="O26" s="23" t="n"/>
    </row>
    <row r="27">
      <c r="A27" s="23" t="n"/>
      <c r="B27" s="26">
        <f>IF($A27="","",IFERROR(INDEX('Chart Database'!$B$6:$B$4005,MATCH($A27,'Chart Database'!$A$6:$A$4005,0)),"UNKNOWN CHART"))</f>
        <v/>
      </c>
      <c r="C27" s="23" t="n"/>
      <c r="D27" s="23" t="n"/>
      <c r="E27" s="25" t="n"/>
      <c r="F27" s="15" t="n"/>
      <c r="G27" s="23" t="n"/>
      <c r="H27" s="15" t="n"/>
      <c r="I27" s="15" t="n"/>
      <c r="J27" s="15" t="n"/>
      <c r="K27" s="25" t="n"/>
      <c r="L27" s="15" t="n"/>
      <c r="M27" s="26">
        <f>IF(OR($A27="",$L27&lt;&gt;"Active"),"",COUNTIFS($A$5:$A27,$A27,$L$5:$L27,"Active"))</f>
        <v/>
      </c>
      <c r="N27" s="26">
        <f>IF(OR($A27="",$M27=""),"",IF($M27=IFERROR(INDEX('Chart Database'!$R$6:$R$4005,MATCH($A27,'Chart Database'!$A$6:$A$4005,0)),0),"NEXT",""))</f>
        <v/>
      </c>
      <c r="O27" s="23" t="n"/>
    </row>
    <row r="28">
      <c r="A28" s="23" t="n"/>
      <c r="B28" s="26">
        <f>IF($A28="","",IFERROR(INDEX('Chart Database'!$B$6:$B$4005,MATCH($A28,'Chart Database'!$A$6:$A$4005,0)),"UNKNOWN CHART"))</f>
        <v/>
      </c>
      <c r="C28" s="23" t="n"/>
      <c r="D28" s="23" t="n"/>
      <c r="E28" s="25" t="n"/>
      <c r="F28" s="15" t="n"/>
      <c r="G28" s="23" t="n"/>
      <c r="H28" s="15" t="n"/>
      <c r="I28" s="15" t="n"/>
      <c r="J28" s="15" t="n"/>
      <c r="K28" s="25" t="n"/>
      <c r="L28" s="15" t="n"/>
      <c r="M28" s="26">
        <f>IF(OR($A28="",$L28&lt;&gt;"Active"),"",COUNTIFS($A$5:$A28,$A28,$L$5:$L28,"Active"))</f>
        <v/>
      </c>
      <c r="N28" s="26">
        <f>IF(OR($A28="",$M28=""),"",IF($M28=IFERROR(INDEX('Chart Database'!$R$6:$R$4005,MATCH($A28,'Chart Database'!$A$6:$A$4005,0)),0),"NEXT",""))</f>
        <v/>
      </c>
      <c r="O28" s="23" t="n"/>
    </row>
    <row r="29">
      <c r="A29" s="23" t="n"/>
      <c r="B29" s="26">
        <f>IF($A29="","",IFERROR(INDEX('Chart Database'!$B$6:$B$4005,MATCH($A29,'Chart Database'!$A$6:$A$4005,0)),"UNKNOWN CHART"))</f>
        <v/>
      </c>
      <c r="C29" s="23" t="n"/>
      <c r="D29" s="23" t="n"/>
      <c r="E29" s="25" t="n"/>
      <c r="F29" s="15" t="n"/>
      <c r="G29" s="23" t="n"/>
      <c r="H29" s="15" t="n"/>
      <c r="I29" s="15" t="n"/>
      <c r="J29" s="15" t="n"/>
      <c r="K29" s="25" t="n"/>
      <c r="L29" s="15" t="n"/>
      <c r="M29" s="26">
        <f>IF(OR($A29="",$L29&lt;&gt;"Active"),"",COUNTIFS($A$5:$A29,$A29,$L$5:$L29,"Active"))</f>
        <v/>
      </c>
      <c r="N29" s="26">
        <f>IF(OR($A29="",$M29=""),"",IF($M29=IFERROR(INDEX('Chart Database'!$R$6:$R$4005,MATCH($A29,'Chart Database'!$A$6:$A$4005,0)),0),"NEXT",""))</f>
        <v/>
      </c>
      <c r="O29" s="23" t="n"/>
    </row>
    <row r="30">
      <c r="A30" s="23" t="n"/>
      <c r="B30" s="26">
        <f>IF($A30="","",IFERROR(INDEX('Chart Database'!$B$6:$B$4005,MATCH($A30,'Chart Database'!$A$6:$A$4005,0)),"UNKNOWN CHART"))</f>
        <v/>
      </c>
      <c r="C30" s="23" t="n"/>
      <c r="D30" s="23" t="n"/>
      <c r="E30" s="25" t="n"/>
      <c r="F30" s="15" t="n"/>
      <c r="G30" s="23" t="n"/>
      <c r="H30" s="15" t="n"/>
      <c r="I30" s="15" t="n"/>
      <c r="J30" s="15" t="n"/>
      <c r="K30" s="25" t="n"/>
      <c r="L30" s="15" t="n"/>
      <c r="M30" s="26">
        <f>IF(OR($A30="",$L30&lt;&gt;"Active"),"",COUNTIFS($A$5:$A30,$A30,$L$5:$L30,"Active"))</f>
        <v/>
      </c>
      <c r="N30" s="26">
        <f>IF(OR($A30="",$M30=""),"",IF($M30=IFERROR(INDEX('Chart Database'!$R$6:$R$4005,MATCH($A30,'Chart Database'!$A$6:$A$4005,0)),0),"NEXT",""))</f>
        <v/>
      </c>
      <c r="O30" s="23" t="n"/>
    </row>
    <row r="31">
      <c r="A31" s="23" t="n"/>
      <c r="B31" s="26">
        <f>IF($A31="","",IFERROR(INDEX('Chart Database'!$B$6:$B$4005,MATCH($A31,'Chart Database'!$A$6:$A$4005,0)),"UNKNOWN CHART"))</f>
        <v/>
      </c>
      <c r="C31" s="23" t="n"/>
      <c r="D31" s="23" t="n"/>
      <c r="E31" s="25" t="n"/>
      <c r="F31" s="15" t="n"/>
      <c r="G31" s="23" t="n"/>
      <c r="H31" s="15" t="n"/>
      <c r="I31" s="15" t="n"/>
      <c r="J31" s="15" t="n"/>
      <c r="K31" s="25" t="n"/>
      <c r="L31" s="15" t="n"/>
      <c r="M31" s="26">
        <f>IF(OR($A31="",$L31&lt;&gt;"Active"),"",COUNTIFS($A$5:$A31,$A31,$L$5:$L31,"Active"))</f>
        <v/>
      </c>
      <c r="N31" s="26">
        <f>IF(OR($A31="",$M31=""),"",IF($M31=IFERROR(INDEX('Chart Database'!$R$6:$R$4005,MATCH($A31,'Chart Database'!$A$6:$A$4005,0)),0),"NEXT",""))</f>
        <v/>
      </c>
      <c r="O31" s="23" t="n"/>
    </row>
    <row r="32">
      <c r="A32" s="23" t="n"/>
      <c r="B32" s="26">
        <f>IF($A32="","",IFERROR(INDEX('Chart Database'!$B$6:$B$4005,MATCH($A32,'Chart Database'!$A$6:$A$4005,0)),"UNKNOWN CHART"))</f>
        <v/>
      </c>
      <c r="C32" s="23" t="n"/>
      <c r="D32" s="23" t="n"/>
      <c r="E32" s="25" t="n"/>
      <c r="F32" s="15" t="n"/>
      <c r="G32" s="23" t="n"/>
      <c r="H32" s="15" t="n"/>
      <c r="I32" s="15" t="n"/>
      <c r="J32" s="15" t="n"/>
      <c r="K32" s="25" t="n"/>
      <c r="L32" s="15" t="n"/>
      <c r="M32" s="26">
        <f>IF(OR($A32="",$L32&lt;&gt;"Active"),"",COUNTIFS($A$5:$A32,$A32,$L$5:$L32,"Active"))</f>
        <v/>
      </c>
      <c r="N32" s="26">
        <f>IF(OR($A32="",$M32=""),"",IF($M32=IFERROR(INDEX('Chart Database'!$R$6:$R$4005,MATCH($A32,'Chart Database'!$A$6:$A$4005,0)),0),"NEXT",""))</f>
        <v/>
      </c>
      <c r="O32" s="23" t="n"/>
    </row>
    <row r="33">
      <c r="A33" s="23" t="n"/>
      <c r="B33" s="26">
        <f>IF($A33="","",IFERROR(INDEX('Chart Database'!$B$6:$B$4005,MATCH($A33,'Chart Database'!$A$6:$A$4005,0)),"UNKNOWN CHART"))</f>
        <v/>
      </c>
      <c r="C33" s="23" t="n"/>
      <c r="D33" s="23" t="n"/>
      <c r="E33" s="25" t="n"/>
      <c r="F33" s="15" t="n"/>
      <c r="G33" s="23" t="n"/>
      <c r="H33" s="15" t="n"/>
      <c r="I33" s="15" t="n"/>
      <c r="J33" s="15" t="n"/>
      <c r="K33" s="25" t="n"/>
      <c r="L33" s="15" t="n"/>
      <c r="M33" s="26">
        <f>IF(OR($A33="",$L33&lt;&gt;"Active"),"",COUNTIFS($A$5:$A33,$A33,$L$5:$L33,"Active"))</f>
        <v/>
      </c>
      <c r="N33" s="26">
        <f>IF(OR($A33="",$M33=""),"",IF($M33=IFERROR(INDEX('Chart Database'!$R$6:$R$4005,MATCH($A33,'Chart Database'!$A$6:$A$4005,0)),0),"NEXT",""))</f>
        <v/>
      </c>
      <c r="O33" s="23" t="n"/>
    </row>
    <row r="34">
      <c r="A34" s="23" t="n"/>
      <c r="B34" s="26">
        <f>IF($A34="","",IFERROR(INDEX('Chart Database'!$B$6:$B$4005,MATCH($A34,'Chart Database'!$A$6:$A$4005,0)),"UNKNOWN CHART"))</f>
        <v/>
      </c>
      <c r="C34" s="23" t="n"/>
      <c r="D34" s="23" t="n"/>
      <c r="E34" s="25" t="n"/>
      <c r="F34" s="15" t="n"/>
      <c r="G34" s="23" t="n"/>
      <c r="H34" s="15" t="n"/>
      <c r="I34" s="15" t="n"/>
      <c r="J34" s="15" t="n"/>
      <c r="K34" s="25" t="n"/>
      <c r="L34" s="15" t="n"/>
      <c r="M34" s="26">
        <f>IF(OR($A34="",$L34&lt;&gt;"Active"),"",COUNTIFS($A$5:$A34,$A34,$L$5:$L34,"Active"))</f>
        <v/>
      </c>
      <c r="N34" s="26">
        <f>IF(OR($A34="",$M34=""),"",IF($M34=IFERROR(INDEX('Chart Database'!$R$6:$R$4005,MATCH($A34,'Chart Database'!$A$6:$A$4005,0)),0),"NEXT",""))</f>
        <v/>
      </c>
      <c r="O34" s="23" t="n"/>
    </row>
    <row r="35">
      <c r="A35" s="23" t="n"/>
      <c r="B35" s="26">
        <f>IF($A35="","",IFERROR(INDEX('Chart Database'!$B$6:$B$4005,MATCH($A35,'Chart Database'!$A$6:$A$4005,0)),"UNKNOWN CHART"))</f>
        <v/>
      </c>
      <c r="C35" s="23" t="n"/>
      <c r="D35" s="23" t="n"/>
      <c r="E35" s="25" t="n"/>
      <c r="F35" s="15" t="n"/>
      <c r="G35" s="23" t="n"/>
      <c r="H35" s="15" t="n"/>
      <c r="I35" s="15" t="n"/>
      <c r="J35" s="15" t="n"/>
      <c r="K35" s="25" t="n"/>
      <c r="L35" s="15" t="n"/>
      <c r="M35" s="26">
        <f>IF(OR($A35="",$L35&lt;&gt;"Active"),"",COUNTIFS($A$5:$A35,$A35,$L$5:$L35,"Active"))</f>
        <v/>
      </c>
      <c r="N35" s="26">
        <f>IF(OR($A35="",$M35=""),"",IF($M35=IFERROR(INDEX('Chart Database'!$R$6:$R$4005,MATCH($A35,'Chart Database'!$A$6:$A$4005,0)),0),"NEXT",""))</f>
        <v/>
      </c>
      <c r="O35" s="23" t="n"/>
    </row>
    <row r="36">
      <c r="A36" s="23" t="n"/>
      <c r="B36" s="26">
        <f>IF($A36="","",IFERROR(INDEX('Chart Database'!$B$6:$B$4005,MATCH($A36,'Chart Database'!$A$6:$A$4005,0)),"UNKNOWN CHART"))</f>
        <v/>
      </c>
      <c r="C36" s="23" t="n"/>
      <c r="D36" s="23" t="n"/>
      <c r="E36" s="25" t="n"/>
      <c r="F36" s="15" t="n"/>
      <c r="G36" s="23" t="n"/>
      <c r="H36" s="15" t="n"/>
      <c r="I36" s="15" t="n"/>
      <c r="J36" s="15" t="n"/>
      <c r="K36" s="25" t="n"/>
      <c r="L36" s="15" t="n"/>
      <c r="M36" s="26">
        <f>IF(OR($A36="",$L36&lt;&gt;"Active"),"",COUNTIFS($A$5:$A36,$A36,$L$5:$L36,"Active"))</f>
        <v/>
      </c>
      <c r="N36" s="26">
        <f>IF(OR($A36="",$M36=""),"",IF($M36=IFERROR(INDEX('Chart Database'!$R$6:$R$4005,MATCH($A36,'Chart Database'!$A$6:$A$4005,0)),0),"NEXT",""))</f>
        <v/>
      </c>
      <c r="O36" s="23" t="n"/>
    </row>
    <row r="37">
      <c r="A37" s="23" t="n"/>
      <c r="B37" s="26">
        <f>IF($A37="","",IFERROR(INDEX('Chart Database'!$B$6:$B$4005,MATCH($A37,'Chart Database'!$A$6:$A$4005,0)),"UNKNOWN CHART"))</f>
        <v/>
      </c>
      <c r="C37" s="23" t="n"/>
      <c r="D37" s="23" t="n"/>
      <c r="E37" s="25" t="n"/>
      <c r="F37" s="15" t="n"/>
      <c r="G37" s="23" t="n"/>
      <c r="H37" s="15" t="n"/>
      <c r="I37" s="15" t="n"/>
      <c r="J37" s="15" t="n"/>
      <c r="K37" s="25" t="n"/>
      <c r="L37" s="15" t="n"/>
      <c r="M37" s="26">
        <f>IF(OR($A37="",$L37&lt;&gt;"Active"),"",COUNTIFS($A$5:$A37,$A37,$L$5:$L37,"Active"))</f>
        <v/>
      </c>
      <c r="N37" s="26">
        <f>IF(OR($A37="",$M37=""),"",IF($M37=IFERROR(INDEX('Chart Database'!$R$6:$R$4005,MATCH($A37,'Chart Database'!$A$6:$A$4005,0)),0),"NEXT",""))</f>
        <v/>
      </c>
      <c r="O37" s="23" t="n"/>
    </row>
    <row r="38">
      <c r="A38" s="23" t="n"/>
      <c r="B38" s="26">
        <f>IF($A38="","",IFERROR(INDEX('Chart Database'!$B$6:$B$4005,MATCH($A38,'Chart Database'!$A$6:$A$4005,0)),"UNKNOWN CHART"))</f>
        <v/>
      </c>
      <c r="C38" s="23" t="n"/>
      <c r="D38" s="23" t="n"/>
      <c r="E38" s="25" t="n"/>
      <c r="F38" s="15" t="n"/>
      <c r="G38" s="23" t="n"/>
      <c r="H38" s="15" t="n"/>
      <c r="I38" s="15" t="n"/>
      <c r="J38" s="15" t="n"/>
      <c r="K38" s="25" t="n"/>
      <c r="L38" s="15" t="n"/>
      <c r="M38" s="26">
        <f>IF(OR($A38="",$L38&lt;&gt;"Active"),"",COUNTIFS($A$5:$A38,$A38,$L$5:$L38,"Active"))</f>
        <v/>
      </c>
      <c r="N38" s="26">
        <f>IF(OR($A38="",$M38=""),"",IF($M38=IFERROR(INDEX('Chart Database'!$R$6:$R$4005,MATCH($A38,'Chart Database'!$A$6:$A$4005,0)),0),"NEXT",""))</f>
        <v/>
      </c>
      <c r="O38" s="23" t="n"/>
    </row>
    <row r="39">
      <c r="A39" s="23" t="n"/>
      <c r="B39" s="26">
        <f>IF($A39="","",IFERROR(INDEX('Chart Database'!$B$6:$B$4005,MATCH($A39,'Chart Database'!$A$6:$A$4005,0)),"UNKNOWN CHART"))</f>
        <v/>
      </c>
      <c r="C39" s="23" t="n"/>
      <c r="D39" s="23" t="n"/>
      <c r="E39" s="25" t="n"/>
      <c r="F39" s="15" t="n"/>
      <c r="G39" s="23" t="n"/>
      <c r="H39" s="15" t="n"/>
      <c r="I39" s="15" t="n"/>
      <c r="J39" s="15" t="n"/>
      <c r="K39" s="25" t="n"/>
      <c r="L39" s="15" t="n"/>
      <c r="M39" s="26">
        <f>IF(OR($A39="",$L39&lt;&gt;"Active"),"",COUNTIFS($A$5:$A39,$A39,$L$5:$L39,"Active"))</f>
        <v/>
      </c>
      <c r="N39" s="26">
        <f>IF(OR($A39="",$M39=""),"",IF($M39=IFERROR(INDEX('Chart Database'!$R$6:$R$4005,MATCH($A39,'Chart Database'!$A$6:$A$4005,0)),0),"NEXT",""))</f>
        <v/>
      </c>
      <c r="O39" s="23" t="n"/>
    </row>
    <row r="40">
      <c r="A40" s="23" t="n"/>
      <c r="B40" s="26">
        <f>IF($A40="","",IFERROR(INDEX('Chart Database'!$B$6:$B$4005,MATCH($A40,'Chart Database'!$A$6:$A$4005,0)),"UNKNOWN CHART"))</f>
        <v/>
      </c>
      <c r="C40" s="23" t="n"/>
      <c r="D40" s="23" t="n"/>
      <c r="E40" s="25" t="n"/>
      <c r="F40" s="15" t="n"/>
      <c r="G40" s="23" t="n"/>
      <c r="H40" s="15" t="n"/>
      <c r="I40" s="15" t="n"/>
      <c r="J40" s="15" t="n"/>
      <c r="K40" s="25" t="n"/>
      <c r="L40" s="15" t="n"/>
      <c r="M40" s="26">
        <f>IF(OR($A40="",$L40&lt;&gt;"Active"),"",COUNTIFS($A$5:$A40,$A40,$L$5:$L40,"Active"))</f>
        <v/>
      </c>
      <c r="N40" s="26">
        <f>IF(OR($A40="",$M40=""),"",IF($M40=IFERROR(INDEX('Chart Database'!$R$6:$R$4005,MATCH($A40,'Chart Database'!$A$6:$A$4005,0)),0),"NEXT",""))</f>
        <v/>
      </c>
      <c r="O40" s="23" t="n"/>
    </row>
    <row r="41">
      <c r="A41" s="23" t="n"/>
      <c r="B41" s="26">
        <f>IF($A41="","",IFERROR(INDEX('Chart Database'!$B$6:$B$4005,MATCH($A41,'Chart Database'!$A$6:$A$4005,0)),"UNKNOWN CHART"))</f>
        <v/>
      </c>
      <c r="C41" s="23" t="n"/>
      <c r="D41" s="23" t="n"/>
      <c r="E41" s="25" t="n"/>
      <c r="F41" s="15" t="n"/>
      <c r="G41" s="23" t="n"/>
      <c r="H41" s="15" t="n"/>
      <c r="I41" s="15" t="n"/>
      <c r="J41" s="15" t="n"/>
      <c r="K41" s="25" t="n"/>
      <c r="L41" s="15" t="n"/>
      <c r="M41" s="26">
        <f>IF(OR($A41="",$L41&lt;&gt;"Active"),"",COUNTIFS($A$5:$A41,$A41,$L$5:$L41,"Active"))</f>
        <v/>
      </c>
      <c r="N41" s="26">
        <f>IF(OR($A41="",$M41=""),"",IF($M41=IFERROR(INDEX('Chart Database'!$R$6:$R$4005,MATCH($A41,'Chart Database'!$A$6:$A$4005,0)),0),"NEXT",""))</f>
        <v/>
      </c>
      <c r="O41" s="23" t="n"/>
    </row>
    <row r="42">
      <c r="A42" s="23" t="n"/>
      <c r="B42" s="26">
        <f>IF($A42="","",IFERROR(INDEX('Chart Database'!$B$6:$B$4005,MATCH($A42,'Chart Database'!$A$6:$A$4005,0)),"UNKNOWN CHART"))</f>
        <v/>
      </c>
      <c r="C42" s="23" t="n"/>
      <c r="D42" s="23" t="n"/>
      <c r="E42" s="25" t="n"/>
      <c r="F42" s="15" t="n"/>
      <c r="G42" s="23" t="n"/>
      <c r="H42" s="15" t="n"/>
      <c r="I42" s="15" t="n"/>
      <c r="J42" s="15" t="n"/>
      <c r="K42" s="25" t="n"/>
      <c r="L42" s="15" t="n"/>
      <c r="M42" s="26">
        <f>IF(OR($A42="",$L42&lt;&gt;"Active"),"",COUNTIFS($A$5:$A42,$A42,$L$5:$L42,"Active"))</f>
        <v/>
      </c>
      <c r="N42" s="26">
        <f>IF(OR($A42="",$M42=""),"",IF($M42=IFERROR(INDEX('Chart Database'!$R$6:$R$4005,MATCH($A42,'Chart Database'!$A$6:$A$4005,0)),0),"NEXT",""))</f>
        <v/>
      </c>
      <c r="O42" s="23" t="n"/>
    </row>
    <row r="43">
      <c r="A43" s="23" t="n"/>
      <c r="B43" s="26">
        <f>IF($A43="","",IFERROR(INDEX('Chart Database'!$B$6:$B$4005,MATCH($A43,'Chart Database'!$A$6:$A$4005,0)),"UNKNOWN CHART"))</f>
        <v/>
      </c>
      <c r="C43" s="23" t="n"/>
      <c r="D43" s="23" t="n"/>
      <c r="E43" s="25" t="n"/>
      <c r="F43" s="15" t="n"/>
      <c r="G43" s="23" t="n"/>
      <c r="H43" s="15" t="n"/>
      <c r="I43" s="15" t="n"/>
      <c r="J43" s="15" t="n"/>
      <c r="K43" s="25" t="n"/>
      <c r="L43" s="15" t="n"/>
      <c r="M43" s="26">
        <f>IF(OR($A43="",$L43&lt;&gt;"Active"),"",COUNTIFS($A$5:$A43,$A43,$L$5:$L43,"Active"))</f>
        <v/>
      </c>
      <c r="N43" s="26">
        <f>IF(OR($A43="",$M43=""),"",IF($M43=IFERROR(INDEX('Chart Database'!$R$6:$R$4005,MATCH($A43,'Chart Database'!$A$6:$A$4005,0)),0),"NEXT",""))</f>
        <v/>
      </c>
      <c r="O43" s="23" t="n"/>
    </row>
    <row r="44">
      <c r="A44" s="23" t="n"/>
      <c r="B44" s="26">
        <f>IF($A44="","",IFERROR(INDEX('Chart Database'!$B$6:$B$4005,MATCH($A44,'Chart Database'!$A$6:$A$4005,0)),"UNKNOWN CHART"))</f>
        <v/>
      </c>
      <c r="C44" s="23" t="n"/>
      <c r="D44" s="23" t="n"/>
      <c r="E44" s="25" t="n"/>
      <c r="F44" s="15" t="n"/>
      <c r="G44" s="23" t="n"/>
      <c r="H44" s="15" t="n"/>
      <c r="I44" s="15" t="n"/>
      <c r="J44" s="15" t="n"/>
      <c r="K44" s="25" t="n"/>
      <c r="L44" s="15" t="n"/>
      <c r="M44" s="26">
        <f>IF(OR($A44="",$L44&lt;&gt;"Active"),"",COUNTIFS($A$5:$A44,$A44,$L$5:$L44,"Active"))</f>
        <v/>
      </c>
      <c r="N44" s="26">
        <f>IF(OR($A44="",$M44=""),"",IF($M44=IFERROR(INDEX('Chart Database'!$R$6:$R$4005,MATCH($A44,'Chart Database'!$A$6:$A$4005,0)),0),"NEXT",""))</f>
        <v/>
      </c>
      <c r="O44" s="23" t="n"/>
    </row>
    <row r="45">
      <c r="A45" s="23" t="n"/>
      <c r="B45" s="26">
        <f>IF($A45="","",IFERROR(INDEX('Chart Database'!$B$6:$B$4005,MATCH($A45,'Chart Database'!$A$6:$A$4005,0)),"UNKNOWN CHART"))</f>
        <v/>
      </c>
      <c r="C45" s="23" t="n"/>
      <c r="D45" s="23" t="n"/>
      <c r="E45" s="25" t="n"/>
      <c r="F45" s="15" t="n"/>
      <c r="G45" s="23" t="n"/>
      <c r="H45" s="15" t="n"/>
      <c r="I45" s="15" t="n"/>
      <c r="J45" s="15" t="n"/>
      <c r="K45" s="25" t="n"/>
      <c r="L45" s="15" t="n"/>
      <c r="M45" s="26">
        <f>IF(OR($A45="",$L45&lt;&gt;"Active"),"",COUNTIFS($A$5:$A45,$A45,$L$5:$L45,"Active"))</f>
        <v/>
      </c>
      <c r="N45" s="26">
        <f>IF(OR($A45="",$M45=""),"",IF($M45=IFERROR(INDEX('Chart Database'!$R$6:$R$4005,MATCH($A45,'Chart Database'!$A$6:$A$4005,0)),0),"NEXT",""))</f>
        <v/>
      </c>
      <c r="O45" s="23" t="n"/>
    </row>
    <row r="46">
      <c r="A46" s="23" t="n"/>
      <c r="B46" s="26">
        <f>IF($A46="","",IFERROR(INDEX('Chart Database'!$B$6:$B$4005,MATCH($A46,'Chart Database'!$A$6:$A$4005,0)),"UNKNOWN CHART"))</f>
        <v/>
      </c>
      <c r="C46" s="23" t="n"/>
      <c r="D46" s="23" t="n"/>
      <c r="E46" s="25" t="n"/>
      <c r="F46" s="15" t="n"/>
      <c r="G46" s="23" t="n"/>
      <c r="H46" s="15" t="n"/>
      <c r="I46" s="15" t="n"/>
      <c r="J46" s="15" t="n"/>
      <c r="K46" s="25" t="n"/>
      <c r="L46" s="15" t="n"/>
      <c r="M46" s="26">
        <f>IF(OR($A46="",$L46&lt;&gt;"Active"),"",COUNTIFS($A$5:$A46,$A46,$L$5:$L46,"Active"))</f>
        <v/>
      </c>
      <c r="N46" s="26">
        <f>IF(OR($A46="",$M46=""),"",IF($M46=IFERROR(INDEX('Chart Database'!$R$6:$R$4005,MATCH($A46,'Chart Database'!$A$6:$A$4005,0)),0),"NEXT",""))</f>
        <v/>
      </c>
      <c r="O46" s="23" t="n"/>
    </row>
    <row r="47">
      <c r="A47" s="23" t="n"/>
      <c r="B47" s="26">
        <f>IF($A47="","",IFERROR(INDEX('Chart Database'!$B$6:$B$4005,MATCH($A47,'Chart Database'!$A$6:$A$4005,0)),"UNKNOWN CHART"))</f>
        <v/>
      </c>
      <c r="C47" s="23" t="n"/>
      <c r="D47" s="23" t="n"/>
      <c r="E47" s="25" t="n"/>
      <c r="F47" s="15" t="n"/>
      <c r="G47" s="23" t="n"/>
      <c r="H47" s="15" t="n"/>
      <c r="I47" s="15" t="n"/>
      <c r="J47" s="15" t="n"/>
      <c r="K47" s="25" t="n"/>
      <c r="L47" s="15" t="n"/>
      <c r="M47" s="26">
        <f>IF(OR($A47="",$L47&lt;&gt;"Active"),"",COUNTIFS($A$5:$A47,$A47,$L$5:$L47,"Active"))</f>
        <v/>
      </c>
      <c r="N47" s="26">
        <f>IF(OR($A47="",$M47=""),"",IF($M47=IFERROR(INDEX('Chart Database'!$R$6:$R$4005,MATCH($A47,'Chart Database'!$A$6:$A$4005,0)),0),"NEXT",""))</f>
        <v/>
      </c>
      <c r="O47" s="23" t="n"/>
    </row>
    <row r="48">
      <c r="A48" s="23" t="n"/>
      <c r="B48" s="26">
        <f>IF($A48="","",IFERROR(INDEX('Chart Database'!$B$6:$B$4005,MATCH($A48,'Chart Database'!$A$6:$A$4005,0)),"UNKNOWN CHART"))</f>
        <v/>
      </c>
      <c r="C48" s="23" t="n"/>
      <c r="D48" s="23" t="n"/>
      <c r="E48" s="25" t="n"/>
      <c r="F48" s="15" t="n"/>
      <c r="G48" s="23" t="n"/>
      <c r="H48" s="15" t="n"/>
      <c r="I48" s="15" t="n"/>
      <c r="J48" s="15" t="n"/>
      <c r="K48" s="25" t="n"/>
      <c r="L48" s="15" t="n"/>
      <c r="M48" s="26">
        <f>IF(OR($A48="",$L48&lt;&gt;"Active"),"",COUNTIFS($A$5:$A48,$A48,$L$5:$L48,"Active"))</f>
        <v/>
      </c>
      <c r="N48" s="26">
        <f>IF(OR($A48="",$M48=""),"",IF($M48=IFERROR(INDEX('Chart Database'!$R$6:$R$4005,MATCH($A48,'Chart Database'!$A$6:$A$4005,0)),0),"NEXT",""))</f>
        <v/>
      </c>
      <c r="O48" s="23" t="n"/>
    </row>
    <row r="49">
      <c r="A49" s="23" t="n"/>
      <c r="B49" s="26">
        <f>IF($A49="","",IFERROR(INDEX('Chart Database'!$B$6:$B$4005,MATCH($A49,'Chart Database'!$A$6:$A$4005,0)),"UNKNOWN CHART"))</f>
        <v/>
      </c>
      <c r="C49" s="23" t="n"/>
      <c r="D49" s="23" t="n"/>
      <c r="E49" s="25" t="n"/>
      <c r="F49" s="15" t="n"/>
      <c r="G49" s="23" t="n"/>
      <c r="H49" s="15" t="n"/>
      <c r="I49" s="15" t="n"/>
      <c r="J49" s="15" t="n"/>
      <c r="K49" s="25" t="n"/>
      <c r="L49" s="15" t="n"/>
      <c r="M49" s="26">
        <f>IF(OR($A49="",$L49&lt;&gt;"Active"),"",COUNTIFS($A$5:$A49,$A49,$L$5:$L49,"Active"))</f>
        <v/>
      </c>
      <c r="N49" s="26">
        <f>IF(OR($A49="",$M49=""),"",IF($M49=IFERROR(INDEX('Chart Database'!$R$6:$R$4005,MATCH($A49,'Chart Database'!$A$6:$A$4005,0)),0),"NEXT",""))</f>
        <v/>
      </c>
      <c r="O49" s="23" t="n"/>
    </row>
    <row r="50">
      <c r="A50" s="23" t="n"/>
      <c r="B50" s="26">
        <f>IF($A50="","",IFERROR(INDEX('Chart Database'!$B$6:$B$4005,MATCH($A50,'Chart Database'!$A$6:$A$4005,0)),"UNKNOWN CHART"))</f>
        <v/>
      </c>
      <c r="C50" s="23" t="n"/>
      <c r="D50" s="23" t="n"/>
      <c r="E50" s="25" t="n"/>
      <c r="F50" s="15" t="n"/>
      <c r="G50" s="23" t="n"/>
      <c r="H50" s="15" t="n"/>
      <c r="I50" s="15" t="n"/>
      <c r="J50" s="15" t="n"/>
      <c r="K50" s="25" t="n"/>
      <c r="L50" s="15" t="n"/>
      <c r="M50" s="26">
        <f>IF(OR($A50="",$L50&lt;&gt;"Active"),"",COUNTIFS($A$5:$A50,$A50,$L$5:$L50,"Active"))</f>
        <v/>
      </c>
      <c r="N50" s="26">
        <f>IF(OR($A50="",$M50=""),"",IF($M50=IFERROR(INDEX('Chart Database'!$R$6:$R$4005,MATCH($A50,'Chart Database'!$A$6:$A$4005,0)),0),"NEXT",""))</f>
        <v/>
      </c>
      <c r="O50" s="23" t="n"/>
    </row>
    <row r="51">
      <c r="A51" s="23" t="n"/>
      <c r="B51" s="26">
        <f>IF($A51="","",IFERROR(INDEX('Chart Database'!$B$6:$B$4005,MATCH($A51,'Chart Database'!$A$6:$A$4005,0)),"UNKNOWN CHART"))</f>
        <v/>
      </c>
      <c r="C51" s="23" t="n"/>
      <c r="D51" s="23" t="n"/>
      <c r="E51" s="25" t="n"/>
      <c r="F51" s="15" t="n"/>
      <c r="G51" s="23" t="n"/>
      <c r="H51" s="15" t="n"/>
      <c r="I51" s="15" t="n"/>
      <c r="J51" s="15" t="n"/>
      <c r="K51" s="25" t="n"/>
      <c r="L51" s="15" t="n"/>
      <c r="M51" s="26">
        <f>IF(OR($A51="",$L51&lt;&gt;"Active"),"",COUNTIFS($A$5:$A51,$A51,$L$5:$L51,"Active"))</f>
        <v/>
      </c>
      <c r="N51" s="26">
        <f>IF(OR($A51="",$M51=""),"",IF($M51=IFERROR(INDEX('Chart Database'!$R$6:$R$4005,MATCH($A51,'Chart Database'!$A$6:$A$4005,0)),0),"NEXT",""))</f>
        <v/>
      </c>
      <c r="O51" s="23" t="n"/>
    </row>
    <row r="52">
      <c r="A52" s="23" t="n"/>
      <c r="B52" s="26">
        <f>IF($A52="","",IFERROR(INDEX('Chart Database'!$B$6:$B$4005,MATCH($A52,'Chart Database'!$A$6:$A$4005,0)),"UNKNOWN CHART"))</f>
        <v/>
      </c>
      <c r="C52" s="23" t="n"/>
      <c r="D52" s="23" t="n"/>
      <c r="E52" s="25" t="n"/>
      <c r="F52" s="15" t="n"/>
      <c r="G52" s="23" t="n"/>
      <c r="H52" s="15" t="n"/>
      <c r="I52" s="15" t="n"/>
      <c r="J52" s="15" t="n"/>
      <c r="K52" s="25" t="n"/>
      <c r="L52" s="15" t="n"/>
      <c r="M52" s="26">
        <f>IF(OR($A52="",$L52&lt;&gt;"Active"),"",COUNTIFS($A$5:$A52,$A52,$L$5:$L52,"Active"))</f>
        <v/>
      </c>
      <c r="N52" s="26">
        <f>IF(OR($A52="",$M52=""),"",IF($M52=IFERROR(INDEX('Chart Database'!$R$6:$R$4005,MATCH($A52,'Chart Database'!$A$6:$A$4005,0)),0),"NEXT",""))</f>
        <v/>
      </c>
      <c r="O52" s="23" t="n"/>
    </row>
    <row r="53">
      <c r="A53" s="23" t="n"/>
      <c r="B53" s="26">
        <f>IF($A53="","",IFERROR(INDEX('Chart Database'!$B$6:$B$4005,MATCH($A53,'Chart Database'!$A$6:$A$4005,0)),"UNKNOWN CHART"))</f>
        <v/>
      </c>
      <c r="C53" s="23" t="n"/>
      <c r="D53" s="23" t="n"/>
      <c r="E53" s="25" t="n"/>
      <c r="F53" s="15" t="n"/>
      <c r="G53" s="23" t="n"/>
      <c r="H53" s="15" t="n"/>
      <c r="I53" s="15" t="n"/>
      <c r="J53" s="15" t="n"/>
      <c r="K53" s="25" t="n"/>
      <c r="L53" s="15" t="n"/>
      <c r="M53" s="26">
        <f>IF(OR($A53="",$L53&lt;&gt;"Active"),"",COUNTIFS($A$5:$A53,$A53,$L$5:$L53,"Active"))</f>
        <v/>
      </c>
      <c r="N53" s="26">
        <f>IF(OR($A53="",$M53=""),"",IF($M53=IFERROR(INDEX('Chart Database'!$R$6:$R$4005,MATCH($A53,'Chart Database'!$A$6:$A$4005,0)),0),"NEXT",""))</f>
        <v/>
      </c>
      <c r="O53" s="23" t="n"/>
    </row>
    <row r="54">
      <c r="A54" s="23" t="n"/>
      <c r="B54" s="26">
        <f>IF($A54="","",IFERROR(INDEX('Chart Database'!$B$6:$B$4005,MATCH($A54,'Chart Database'!$A$6:$A$4005,0)),"UNKNOWN CHART"))</f>
        <v/>
      </c>
      <c r="C54" s="23" t="n"/>
      <c r="D54" s="23" t="n"/>
      <c r="E54" s="25" t="n"/>
      <c r="F54" s="15" t="n"/>
      <c r="G54" s="23" t="n"/>
      <c r="H54" s="15" t="n"/>
      <c r="I54" s="15" t="n"/>
      <c r="J54" s="15" t="n"/>
      <c r="K54" s="25" t="n"/>
      <c r="L54" s="15" t="n"/>
      <c r="M54" s="26">
        <f>IF(OR($A54="",$L54&lt;&gt;"Active"),"",COUNTIFS($A$5:$A54,$A54,$L$5:$L54,"Active"))</f>
        <v/>
      </c>
      <c r="N54" s="26">
        <f>IF(OR($A54="",$M54=""),"",IF($M54=IFERROR(INDEX('Chart Database'!$R$6:$R$4005,MATCH($A54,'Chart Database'!$A$6:$A$4005,0)),0),"NEXT",""))</f>
        <v/>
      </c>
      <c r="O54" s="23" t="n"/>
    </row>
    <row r="55">
      <c r="A55" s="23" t="n"/>
      <c r="B55" s="26">
        <f>IF($A55="","",IFERROR(INDEX('Chart Database'!$B$6:$B$4005,MATCH($A55,'Chart Database'!$A$6:$A$4005,0)),"UNKNOWN CHART"))</f>
        <v/>
      </c>
      <c r="C55" s="23" t="n"/>
      <c r="D55" s="23" t="n"/>
      <c r="E55" s="25" t="n"/>
      <c r="F55" s="15" t="n"/>
      <c r="G55" s="23" t="n"/>
      <c r="H55" s="15" t="n"/>
      <c r="I55" s="15" t="n"/>
      <c r="J55" s="15" t="n"/>
      <c r="K55" s="25" t="n"/>
      <c r="L55" s="15" t="n"/>
      <c r="M55" s="26">
        <f>IF(OR($A55="",$L55&lt;&gt;"Active"),"",COUNTIFS($A$5:$A55,$A55,$L$5:$L55,"Active"))</f>
        <v/>
      </c>
      <c r="N55" s="26">
        <f>IF(OR($A55="",$M55=""),"",IF($M55=IFERROR(INDEX('Chart Database'!$R$6:$R$4005,MATCH($A55,'Chart Database'!$A$6:$A$4005,0)),0),"NEXT",""))</f>
        <v/>
      </c>
      <c r="O55" s="23" t="n"/>
    </row>
    <row r="56">
      <c r="A56" s="23" t="n"/>
      <c r="B56" s="26">
        <f>IF($A56="","",IFERROR(INDEX('Chart Database'!$B$6:$B$4005,MATCH($A56,'Chart Database'!$A$6:$A$4005,0)),"UNKNOWN CHART"))</f>
        <v/>
      </c>
      <c r="C56" s="23" t="n"/>
      <c r="D56" s="23" t="n"/>
      <c r="E56" s="25" t="n"/>
      <c r="F56" s="15" t="n"/>
      <c r="G56" s="23" t="n"/>
      <c r="H56" s="15" t="n"/>
      <c r="I56" s="15" t="n"/>
      <c r="J56" s="15" t="n"/>
      <c r="K56" s="25" t="n"/>
      <c r="L56" s="15" t="n"/>
      <c r="M56" s="26">
        <f>IF(OR($A56="",$L56&lt;&gt;"Active"),"",COUNTIFS($A$5:$A56,$A56,$L$5:$L56,"Active"))</f>
        <v/>
      </c>
      <c r="N56" s="26">
        <f>IF(OR($A56="",$M56=""),"",IF($M56=IFERROR(INDEX('Chart Database'!$R$6:$R$4005,MATCH($A56,'Chart Database'!$A$6:$A$4005,0)),0),"NEXT",""))</f>
        <v/>
      </c>
      <c r="O56" s="23" t="n"/>
    </row>
    <row r="57">
      <c r="A57" s="23" t="n"/>
      <c r="B57" s="26">
        <f>IF($A57="","",IFERROR(INDEX('Chart Database'!$B$6:$B$4005,MATCH($A57,'Chart Database'!$A$6:$A$4005,0)),"UNKNOWN CHART"))</f>
        <v/>
      </c>
      <c r="C57" s="23" t="n"/>
      <c r="D57" s="23" t="n"/>
      <c r="E57" s="25" t="n"/>
      <c r="F57" s="15" t="n"/>
      <c r="G57" s="23" t="n"/>
      <c r="H57" s="15" t="n"/>
      <c r="I57" s="15" t="n"/>
      <c r="J57" s="15" t="n"/>
      <c r="K57" s="25" t="n"/>
      <c r="L57" s="15" t="n"/>
      <c r="M57" s="26">
        <f>IF(OR($A57="",$L57&lt;&gt;"Active"),"",COUNTIFS($A$5:$A57,$A57,$L$5:$L57,"Active"))</f>
        <v/>
      </c>
      <c r="N57" s="26">
        <f>IF(OR($A57="",$M57=""),"",IF($M57=IFERROR(INDEX('Chart Database'!$R$6:$R$4005,MATCH($A57,'Chart Database'!$A$6:$A$4005,0)),0),"NEXT",""))</f>
        <v/>
      </c>
      <c r="O57" s="23" t="n"/>
    </row>
    <row r="58">
      <c r="A58" s="23" t="n"/>
      <c r="B58" s="26">
        <f>IF($A58="","",IFERROR(INDEX('Chart Database'!$B$6:$B$4005,MATCH($A58,'Chart Database'!$A$6:$A$4005,0)),"UNKNOWN CHART"))</f>
        <v/>
      </c>
      <c r="C58" s="23" t="n"/>
      <c r="D58" s="23" t="n"/>
      <c r="E58" s="25" t="n"/>
      <c r="F58" s="15" t="n"/>
      <c r="G58" s="23" t="n"/>
      <c r="H58" s="15" t="n"/>
      <c r="I58" s="15" t="n"/>
      <c r="J58" s="15" t="n"/>
      <c r="K58" s="25" t="n"/>
      <c r="L58" s="15" t="n"/>
      <c r="M58" s="26">
        <f>IF(OR($A58="",$L58&lt;&gt;"Active"),"",COUNTIFS($A$5:$A58,$A58,$L$5:$L58,"Active"))</f>
        <v/>
      </c>
      <c r="N58" s="26">
        <f>IF(OR($A58="",$M58=""),"",IF($M58=IFERROR(INDEX('Chart Database'!$R$6:$R$4005,MATCH($A58,'Chart Database'!$A$6:$A$4005,0)),0),"NEXT",""))</f>
        <v/>
      </c>
      <c r="O58" s="23" t="n"/>
    </row>
    <row r="59">
      <c r="A59" s="23" t="n"/>
      <c r="B59" s="26">
        <f>IF($A59="","",IFERROR(INDEX('Chart Database'!$B$6:$B$4005,MATCH($A59,'Chart Database'!$A$6:$A$4005,0)),"UNKNOWN CHART"))</f>
        <v/>
      </c>
      <c r="C59" s="23" t="n"/>
      <c r="D59" s="23" t="n"/>
      <c r="E59" s="25" t="n"/>
      <c r="F59" s="15" t="n"/>
      <c r="G59" s="23" t="n"/>
      <c r="H59" s="15" t="n"/>
      <c r="I59" s="15" t="n"/>
      <c r="J59" s="15" t="n"/>
      <c r="K59" s="25" t="n"/>
      <c r="L59" s="15" t="n"/>
      <c r="M59" s="26">
        <f>IF(OR($A59="",$L59&lt;&gt;"Active"),"",COUNTIFS($A$5:$A59,$A59,$L$5:$L59,"Active"))</f>
        <v/>
      </c>
      <c r="N59" s="26">
        <f>IF(OR($A59="",$M59=""),"",IF($M59=IFERROR(INDEX('Chart Database'!$R$6:$R$4005,MATCH($A59,'Chart Database'!$A$6:$A$4005,0)),0),"NEXT",""))</f>
        <v/>
      </c>
      <c r="O59" s="23" t="n"/>
    </row>
    <row r="60">
      <c r="A60" s="23" t="n"/>
      <c r="B60" s="26">
        <f>IF($A60="","",IFERROR(INDEX('Chart Database'!$B$6:$B$4005,MATCH($A60,'Chart Database'!$A$6:$A$4005,0)),"UNKNOWN CHART"))</f>
        <v/>
      </c>
      <c r="C60" s="23" t="n"/>
      <c r="D60" s="23" t="n"/>
      <c r="E60" s="25" t="n"/>
      <c r="F60" s="15" t="n"/>
      <c r="G60" s="23" t="n"/>
      <c r="H60" s="15" t="n"/>
      <c r="I60" s="15" t="n"/>
      <c r="J60" s="15" t="n"/>
      <c r="K60" s="25" t="n"/>
      <c r="L60" s="15" t="n"/>
      <c r="M60" s="26">
        <f>IF(OR($A60="",$L60&lt;&gt;"Active"),"",COUNTIFS($A$5:$A60,$A60,$L$5:$L60,"Active"))</f>
        <v/>
      </c>
      <c r="N60" s="26">
        <f>IF(OR($A60="",$M60=""),"",IF($M60=IFERROR(INDEX('Chart Database'!$R$6:$R$4005,MATCH($A60,'Chart Database'!$A$6:$A$4005,0)),0),"NEXT",""))</f>
        <v/>
      </c>
      <c r="O60" s="23" t="n"/>
    </row>
    <row r="61">
      <c r="A61" s="23" t="n"/>
      <c r="B61" s="26">
        <f>IF($A61="","",IFERROR(INDEX('Chart Database'!$B$6:$B$4005,MATCH($A61,'Chart Database'!$A$6:$A$4005,0)),"UNKNOWN CHART"))</f>
        <v/>
      </c>
      <c r="C61" s="23" t="n"/>
      <c r="D61" s="23" t="n"/>
      <c r="E61" s="25" t="n"/>
      <c r="F61" s="15" t="n"/>
      <c r="G61" s="23" t="n"/>
      <c r="H61" s="15" t="n"/>
      <c r="I61" s="15" t="n"/>
      <c r="J61" s="15" t="n"/>
      <c r="K61" s="25" t="n"/>
      <c r="L61" s="15" t="n"/>
      <c r="M61" s="26">
        <f>IF(OR($A61="",$L61&lt;&gt;"Active"),"",COUNTIFS($A$5:$A61,$A61,$L$5:$L61,"Active"))</f>
        <v/>
      </c>
      <c r="N61" s="26">
        <f>IF(OR($A61="",$M61=""),"",IF($M61=IFERROR(INDEX('Chart Database'!$R$6:$R$4005,MATCH($A61,'Chart Database'!$A$6:$A$4005,0)),0),"NEXT",""))</f>
        <v/>
      </c>
      <c r="O61" s="23" t="n"/>
    </row>
    <row r="62">
      <c r="A62" s="23" t="n"/>
      <c r="B62" s="26">
        <f>IF($A62="","",IFERROR(INDEX('Chart Database'!$B$6:$B$4005,MATCH($A62,'Chart Database'!$A$6:$A$4005,0)),"UNKNOWN CHART"))</f>
        <v/>
      </c>
      <c r="C62" s="23" t="n"/>
      <c r="D62" s="23" t="n"/>
      <c r="E62" s="25" t="n"/>
      <c r="F62" s="15" t="n"/>
      <c r="G62" s="23" t="n"/>
      <c r="H62" s="15" t="n"/>
      <c r="I62" s="15" t="n"/>
      <c r="J62" s="15" t="n"/>
      <c r="K62" s="25" t="n"/>
      <c r="L62" s="15" t="n"/>
      <c r="M62" s="26">
        <f>IF(OR($A62="",$L62&lt;&gt;"Active"),"",COUNTIFS($A$5:$A62,$A62,$L$5:$L62,"Active"))</f>
        <v/>
      </c>
      <c r="N62" s="26">
        <f>IF(OR($A62="",$M62=""),"",IF($M62=IFERROR(INDEX('Chart Database'!$R$6:$R$4005,MATCH($A62,'Chart Database'!$A$6:$A$4005,0)),0),"NEXT",""))</f>
        <v/>
      </c>
      <c r="O62" s="23" t="n"/>
    </row>
    <row r="63">
      <c r="A63" s="23" t="n"/>
      <c r="B63" s="26">
        <f>IF($A63="","",IFERROR(INDEX('Chart Database'!$B$6:$B$4005,MATCH($A63,'Chart Database'!$A$6:$A$4005,0)),"UNKNOWN CHART"))</f>
        <v/>
      </c>
      <c r="C63" s="23" t="n"/>
      <c r="D63" s="23" t="n"/>
      <c r="E63" s="25" t="n"/>
      <c r="F63" s="15" t="n"/>
      <c r="G63" s="23" t="n"/>
      <c r="H63" s="15" t="n"/>
      <c r="I63" s="15" t="n"/>
      <c r="J63" s="15" t="n"/>
      <c r="K63" s="25" t="n"/>
      <c r="L63" s="15" t="n"/>
      <c r="M63" s="26">
        <f>IF(OR($A63="",$L63&lt;&gt;"Active"),"",COUNTIFS($A$5:$A63,$A63,$L$5:$L63,"Active"))</f>
        <v/>
      </c>
      <c r="N63" s="26">
        <f>IF(OR($A63="",$M63=""),"",IF($M63=IFERROR(INDEX('Chart Database'!$R$6:$R$4005,MATCH($A63,'Chart Database'!$A$6:$A$4005,0)),0),"NEXT",""))</f>
        <v/>
      </c>
      <c r="O63" s="23" t="n"/>
    </row>
    <row r="64">
      <c r="A64" s="23" t="n"/>
      <c r="B64" s="26">
        <f>IF($A64="","",IFERROR(INDEX('Chart Database'!$B$6:$B$4005,MATCH($A64,'Chart Database'!$A$6:$A$4005,0)),"UNKNOWN CHART"))</f>
        <v/>
      </c>
      <c r="C64" s="23" t="n"/>
      <c r="D64" s="23" t="n"/>
      <c r="E64" s="25" t="n"/>
      <c r="F64" s="15" t="n"/>
      <c r="G64" s="23" t="n"/>
      <c r="H64" s="15" t="n"/>
      <c r="I64" s="15" t="n"/>
      <c r="J64" s="15" t="n"/>
      <c r="K64" s="25" t="n"/>
      <c r="L64" s="15" t="n"/>
      <c r="M64" s="26">
        <f>IF(OR($A64="",$L64&lt;&gt;"Active"),"",COUNTIFS($A$5:$A64,$A64,$L$5:$L64,"Active"))</f>
        <v/>
      </c>
      <c r="N64" s="26">
        <f>IF(OR($A64="",$M64=""),"",IF($M64=IFERROR(INDEX('Chart Database'!$R$6:$R$4005,MATCH($A64,'Chart Database'!$A$6:$A$4005,0)),0),"NEXT",""))</f>
        <v/>
      </c>
      <c r="O64" s="23" t="n"/>
    </row>
    <row r="65">
      <c r="A65" s="23" t="n"/>
      <c r="B65" s="26">
        <f>IF($A65="","",IFERROR(INDEX('Chart Database'!$B$6:$B$4005,MATCH($A65,'Chart Database'!$A$6:$A$4005,0)),"UNKNOWN CHART"))</f>
        <v/>
      </c>
      <c r="C65" s="23" t="n"/>
      <c r="D65" s="23" t="n"/>
      <c r="E65" s="25" t="n"/>
      <c r="F65" s="15" t="n"/>
      <c r="G65" s="23" t="n"/>
      <c r="H65" s="15" t="n"/>
      <c r="I65" s="15" t="n"/>
      <c r="J65" s="15" t="n"/>
      <c r="K65" s="25" t="n"/>
      <c r="L65" s="15" t="n"/>
      <c r="M65" s="26">
        <f>IF(OR($A65="",$L65&lt;&gt;"Active"),"",COUNTIFS($A$5:$A65,$A65,$L$5:$L65,"Active"))</f>
        <v/>
      </c>
      <c r="N65" s="26">
        <f>IF(OR($A65="",$M65=""),"",IF($M65=IFERROR(INDEX('Chart Database'!$R$6:$R$4005,MATCH($A65,'Chart Database'!$A$6:$A$4005,0)),0),"NEXT",""))</f>
        <v/>
      </c>
      <c r="O65" s="23" t="n"/>
    </row>
    <row r="66">
      <c r="A66" s="23" t="n"/>
      <c r="B66" s="26">
        <f>IF($A66="","",IFERROR(INDEX('Chart Database'!$B$6:$B$4005,MATCH($A66,'Chart Database'!$A$6:$A$4005,0)),"UNKNOWN CHART"))</f>
        <v/>
      </c>
      <c r="C66" s="23" t="n"/>
      <c r="D66" s="23" t="n"/>
      <c r="E66" s="25" t="n"/>
      <c r="F66" s="15" t="n"/>
      <c r="G66" s="23" t="n"/>
      <c r="H66" s="15" t="n"/>
      <c r="I66" s="15" t="n"/>
      <c r="J66" s="15" t="n"/>
      <c r="K66" s="25" t="n"/>
      <c r="L66" s="15" t="n"/>
      <c r="M66" s="26">
        <f>IF(OR($A66="",$L66&lt;&gt;"Active"),"",COUNTIFS($A$5:$A66,$A66,$L$5:$L66,"Active"))</f>
        <v/>
      </c>
      <c r="N66" s="26">
        <f>IF(OR($A66="",$M66=""),"",IF($M66=IFERROR(INDEX('Chart Database'!$R$6:$R$4005,MATCH($A66,'Chart Database'!$A$6:$A$4005,0)),0),"NEXT",""))</f>
        <v/>
      </c>
      <c r="O66" s="23" t="n"/>
    </row>
    <row r="67">
      <c r="A67" s="23" t="n"/>
      <c r="B67" s="26">
        <f>IF($A67="","",IFERROR(INDEX('Chart Database'!$B$6:$B$4005,MATCH($A67,'Chart Database'!$A$6:$A$4005,0)),"UNKNOWN CHART"))</f>
        <v/>
      </c>
      <c r="C67" s="23" t="n"/>
      <c r="D67" s="23" t="n"/>
      <c r="E67" s="25" t="n"/>
      <c r="F67" s="15" t="n"/>
      <c r="G67" s="23" t="n"/>
      <c r="H67" s="15" t="n"/>
      <c r="I67" s="15" t="n"/>
      <c r="J67" s="15" t="n"/>
      <c r="K67" s="25" t="n"/>
      <c r="L67" s="15" t="n"/>
      <c r="M67" s="26">
        <f>IF(OR($A67="",$L67&lt;&gt;"Active"),"",COUNTIFS($A$5:$A67,$A67,$L$5:$L67,"Active"))</f>
        <v/>
      </c>
      <c r="N67" s="26">
        <f>IF(OR($A67="",$M67=""),"",IF($M67=IFERROR(INDEX('Chart Database'!$R$6:$R$4005,MATCH($A67,'Chart Database'!$A$6:$A$4005,0)),0),"NEXT",""))</f>
        <v/>
      </c>
      <c r="O67" s="23" t="n"/>
    </row>
    <row r="68">
      <c r="A68" s="23" t="n"/>
      <c r="B68" s="26">
        <f>IF($A68="","",IFERROR(INDEX('Chart Database'!$B$6:$B$4005,MATCH($A68,'Chart Database'!$A$6:$A$4005,0)),"UNKNOWN CHART"))</f>
        <v/>
      </c>
      <c r="C68" s="23" t="n"/>
      <c r="D68" s="23" t="n"/>
      <c r="E68" s="25" t="n"/>
      <c r="F68" s="15" t="n"/>
      <c r="G68" s="23" t="n"/>
      <c r="H68" s="15" t="n"/>
      <c r="I68" s="15" t="n"/>
      <c r="J68" s="15" t="n"/>
      <c r="K68" s="25" t="n"/>
      <c r="L68" s="15" t="n"/>
      <c r="M68" s="26">
        <f>IF(OR($A68="",$L68&lt;&gt;"Active"),"",COUNTIFS($A$5:$A68,$A68,$L$5:$L68,"Active"))</f>
        <v/>
      </c>
      <c r="N68" s="26">
        <f>IF(OR($A68="",$M68=""),"",IF($M68=IFERROR(INDEX('Chart Database'!$R$6:$R$4005,MATCH($A68,'Chart Database'!$A$6:$A$4005,0)),0),"NEXT",""))</f>
        <v/>
      </c>
      <c r="O68" s="23" t="n"/>
    </row>
    <row r="69">
      <c r="A69" s="23" t="n"/>
      <c r="B69" s="26">
        <f>IF($A69="","",IFERROR(INDEX('Chart Database'!$B$6:$B$4005,MATCH($A69,'Chart Database'!$A$6:$A$4005,0)),"UNKNOWN CHART"))</f>
        <v/>
      </c>
      <c r="C69" s="23" t="n"/>
      <c r="D69" s="23" t="n"/>
      <c r="E69" s="25" t="n"/>
      <c r="F69" s="15" t="n"/>
      <c r="G69" s="23" t="n"/>
      <c r="H69" s="15" t="n"/>
      <c r="I69" s="15" t="n"/>
      <c r="J69" s="15" t="n"/>
      <c r="K69" s="25" t="n"/>
      <c r="L69" s="15" t="n"/>
      <c r="M69" s="26">
        <f>IF(OR($A69="",$L69&lt;&gt;"Active"),"",COUNTIFS($A$5:$A69,$A69,$L$5:$L69,"Active"))</f>
        <v/>
      </c>
      <c r="N69" s="26">
        <f>IF(OR($A69="",$M69=""),"",IF($M69=IFERROR(INDEX('Chart Database'!$R$6:$R$4005,MATCH($A69,'Chart Database'!$A$6:$A$4005,0)),0),"NEXT",""))</f>
        <v/>
      </c>
      <c r="O69" s="23" t="n"/>
    </row>
    <row r="70">
      <c r="A70" s="23" t="n"/>
      <c r="B70" s="26">
        <f>IF($A70="","",IFERROR(INDEX('Chart Database'!$B$6:$B$4005,MATCH($A70,'Chart Database'!$A$6:$A$4005,0)),"UNKNOWN CHART"))</f>
        <v/>
      </c>
      <c r="C70" s="23" t="n"/>
      <c r="D70" s="23" t="n"/>
      <c r="E70" s="25" t="n"/>
      <c r="F70" s="15" t="n"/>
      <c r="G70" s="23" t="n"/>
      <c r="H70" s="15" t="n"/>
      <c r="I70" s="15" t="n"/>
      <c r="J70" s="15" t="n"/>
      <c r="K70" s="25" t="n"/>
      <c r="L70" s="15" t="n"/>
      <c r="M70" s="26">
        <f>IF(OR($A70="",$L70&lt;&gt;"Active"),"",COUNTIFS($A$5:$A70,$A70,$L$5:$L70,"Active"))</f>
        <v/>
      </c>
      <c r="N70" s="26">
        <f>IF(OR($A70="",$M70=""),"",IF($M70=IFERROR(INDEX('Chart Database'!$R$6:$R$4005,MATCH($A70,'Chart Database'!$A$6:$A$4005,0)),0),"NEXT",""))</f>
        <v/>
      </c>
      <c r="O70" s="23" t="n"/>
    </row>
    <row r="71">
      <c r="A71" s="23" t="n"/>
      <c r="B71" s="26">
        <f>IF($A71="","",IFERROR(INDEX('Chart Database'!$B$6:$B$4005,MATCH($A71,'Chart Database'!$A$6:$A$4005,0)),"UNKNOWN CHART"))</f>
        <v/>
      </c>
      <c r="C71" s="23" t="n"/>
      <c r="D71" s="23" t="n"/>
      <c r="E71" s="25" t="n"/>
      <c r="F71" s="15" t="n"/>
      <c r="G71" s="23" t="n"/>
      <c r="H71" s="15" t="n"/>
      <c r="I71" s="15" t="n"/>
      <c r="J71" s="15" t="n"/>
      <c r="K71" s="25" t="n"/>
      <c r="L71" s="15" t="n"/>
      <c r="M71" s="26">
        <f>IF(OR($A71="",$L71&lt;&gt;"Active"),"",COUNTIFS($A$5:$A71,$A71,$L$5:$L71,"Active"))</f>
        <v/>
      </c>
      <c r="N71" s="26">
        <f>IF(OR($A71="",$M71=""),"",IF($M71=IFERROR(INDEX('Chart Database'!$R$6:$R$4005,MATCH($A71,'Chart Database'!$A$6:$A$4005,0)),0),"NEXT",""))</f>
        <v/>
      </c>
      <c r="O71" s="23" t="n"/>
    </row>
    <row r="72">
      <c r="A72" s="23" t="n"/>
      <c r="B72" s="26">
        <f>IF($A72="","",IFERROR(INDEX('Chart Database'!$B$6:$B$4005,MATCH($A72,'Chart Database'!$A$6:$A$4005,0)),"UNKNOWN CHART"))</f>
        <v/>
      </c>
      <c r="C72" s="23" t="n"/>
      <c r="D72" s="23" t="n"/>
      <c r="E72" s="25" t="n"/>
      <c r="F72" s="15" t="n"/>
      <c r="G72" s="23" t="n"/>
      <c r="H72" s="15" t="n"/>
      <c r="I72" s="15" t="n"/>
      <c r="J72" s="15" t="n"/>
      <c r="K72" s="25" t="n"/>
      <c r="L72" s="15" t="n"/>
      <c r="M72" s="26">
        <f>IF(OR($A72="",$L72&lt;&gt;"Active"),"",COUNTIFS($A$5:$A72,$A72,$L$5:$L72,"Active"))</f>
        <v/>
      </c>
      <c r="N72" s="26">
        <f>IF(OR($A72="",$M72=""),"",IF($M72=IFERROR(INDEX('Chart Database'!$R$6:$R$4005,MATCH($A72,'Chart Database'!$A$6:$A$4005,0)),0),"NEXT",""))</f>
        <v/>
      </c>
      <c r="O72" s="23" t="n"/>
    </row>
    <row r="73">
      <c r="A73" s="23" t="n"/>
      <c r="B73" s="26">
        <f>IF($A73="","",IFERROR(INDEX('Chart Database'!$B$6:$B$4005,MATCH($A73,'Chart Database'!$A$6:$A$4005,0)),"UNKNOWN CHART"))</f>
        <v/>
      </c>
      <c r="C73" s="23" t="n"/>
      <c r="D73" s="23" t="n"/>
      <c r="E73" s="25" t="n"/>
      <c r="F73" s="15" t="n"/>
      <c r="G73" s="23" t="n"/>
      <c r="H73" s="15" t="n"/>
      <c r="I73" s="15" t="n"/>
      <c r="J73" s="15" t="n"/>
      <c r="K73" s="25" t="n"/>
      <c r="L73" s="15" t="n"/>
      <c r="M73" s="26">
        <f>IF(OR($A73="",$L73&lt;&gt;"Active"),"",COUNTIFS($A$5:$A73,$A73,$L$5:$L73,"Active"))</f>
        <v/>
      </c>
      <c r="N73" s="26">
        <f>IF(OR($A73="",$M73=""),"",IF($M73=IFERROR(INDEX('Chart Database'!$R$6:$R$4005,MATCH($A73,'Chart Database'!$A$6:$A$4005,0)),0),"NEXT",""))</f>
        <v/>
      </c>
      <c r="O73" s="23" t="n"/>
    </row>
    <row r="74">
      <c r="A74" s="23" t="n"/>
      <c r="B74" s="26">
        <f>IF($A74="","",IFERROR(INDEX('Chart Database'!$B$6:$B$4005,MATCH($A74,'Chart Database'!$A$6:$A$4005,0)),"UNKNOWN CHART"))</f>
        <v/>
      </c>
      <c r="C74" s="23" t="n"/>
      <c r="D74" s="23" t="n"/>
      <c r="E74" s="25" t="n"/>
      <c r="F74" s="15" t="n"/>
      <c r="G74" s="23" t="n"/>
      <c r="H74" s="15" t="n"/>
      <c r="I74" s="15" t="n"/>
      <c r="J74" s="15" t="n"/>
      <c r="K74" s="25" t="n"/>
      <c r="L74" s="15" t="n"/>
      <c r="M74" s="26">
        <f>IF(OR($A74="",$L74&lt;&gt;"Active"),"",COUNTIFS($A$5:$A74,$A74,$L$5:$L74,"Active"))</f>
        <v/>
      </c>
      <c r="N74" s="26">
        <f>IF(OR($A74="",$M74=""),"",IF($M74=IFERROR(INDEX('Chart Database'!$R$6:$R$4005,MATCH($A74,'Chart Database'!$A$6:$A$4005,0)),0),"NEXT",""))</f>
        <v/>
      </c>
      <c r="O74" s="23" t="n"/>
    </row>
    <row r="75">
      <c r="A75" s="23" t="n"/>
      <c r="B75" s="26">
        <f>IF($A75="","",IFERROR(INDEX('Chart Database'!$B$6:$B$4005,MATCH($A75,'Chart Database'!$A$6:$A$4005,0)),"UNKNOWN CHART"))</f>
        <v/>
      </c>
      <c r="C75" s="23" t="n"/>
      <c r="D75" s="23" t="n"/>
      <c r="E75" s="25" t="n"/>
      <c r="F75" s="15" t="n"/>
      <c r="G75" s="23" t="n"/>
      <c r="H75" s="15" t="n"/>
      <c r="I75" s="15" t="n"/>
      <c r="J75" s="15" t="n"/>
      <c r="K75" s="25" t="n"/>
      <c r="L75" s="15" t="n"/>
      <c r="M75" s="26">
        <f>IF(OR($A75="",$L75&lt;&gt;"Active"),"",COUNTIFS($A$5:$A75,$A75,$L$5:$L75,"Active"))</f>
        <v/>
      </c>
      <c r="N75" s="26">
        <f>IF(OR($A75="",$M75=""),"",IF($M75=IFERROR(INDEX('Chart Database'!$R$6:$R$4005,MATCH($A75,'Chart Database'!$A$6:$A$4005,0)),0),"NEXT",""))</f>
        <v/>
      </c>
      <c r="O75" s="23" t="n"/>
    </row>
    <row r="76">
      <c r="A76" s="23" t="n"/>
      <c r="B76" s="26">
        <f>IF($A76="","",IFERROR(INDEX('Chart Database'!$B$6:$B$4005,MATCH($A76,'Chart Database'!$A$6:$A$4005,0)),"UNKNOWN CHART"))</f>
        <v/>
      </c>
      <c r="C76" s="23" t="n"/>
      <c r="D76" s="23" t="n"/>
      <c r="E76" s="25" t="n"/>
      <c r="F76" s="15" t="n"/>
      <c r="G76" s="23" t="n"/>
      <c r="H76" s="15" t="n"/>
      <c r="I76" s="15" t="n"/>
      <c r="J76" s="15" t="n"/>
      <c r="K76" s="25" t="n"/>
      <c r="L76" s="15" t="n"/>
      <c r="M76" s="26">
        <f>IF(OR($A76="",$L76&lt;&gt;"Active"),"",COUNTIFS($A$5:$A76,$A76,$L$5:$L76,"Active"))</f>
        <v/>
      </c>
      <c r="N76" s="26">
        <f>IF(OR($A76="",$M76=""),"",IF($M76=IFERROR(INDEX('Chart Database'!$R$6:$R$4005,MATCH($A76,'Chart Database'!$A$6:$A$4005,0)),0),"NEXT",""))</f>
        <v/>
      </c>
      <c r="O76" s="23" t="n"/>
    </row>
    <row r="77">
      <c r="A77" s="23" t="n"/>
      <c r="B77" s="26">
        <f>IF($A77="","",IFERROR(INDEX('Chart Database'!$B$6:$B$4005,MATCH($A77,'Chart Database'!$A$6:$A$4005,0)),"UNKNOWN CHART"))</f>
        <v/>
      </c>
      <c r="C77" s="23" t="n"/>
      <c r="D77" s="23" t="n"/>
      <c r="E77" s="25" t="n"/>
      <c r="F77" s="15" t="n"/>
      <c r="G77" s="23" t="n"/>
      <c r="H77" s="15" t="n"/>
      <c r="I77" s="15" t="n"/>
      <c r="J77" s="15" t="n"/>
      <c r="K77" s="25" t="n"/>
      <c r="L77" s="15" t="n"/>
      <c r="M77" s="26">
        <f>IF(OR($A77="",$L77&lt;&gt;"Active"),"",COUNTIFS($A$5:$A77,$A77,$L$5:$L77,"Active"))</f>
        <v/>
      </c>
      <c r="N77" s="26">
        <f>IF(OR($A77="",$M77=""),"",IF($M77=IFERROR(INDEX('Chart Database'!$R$6:$R$4005,MATCH($A77,'Chart Database'!$A$6:$A$4005,0)),0),"NEXT",""))</f>
        <v/>
      </c>
      <c r="O77" s="23" t="n"/>
    </row>
    <row r="78">
      <c r="A78" s="23" t="n"/>
      <c r="B78" s="26">
        <f>IF($A78="","",IFERROR(INDEX('Chart Database'!$B$6:$B$4005,MATCH($A78,'Chart Database'!$A$6:$A$4005,0)),"UNKNOWN CHART"))</f>
        <v/>
      </c>
      <c r="C78" s="23" t="n"/>
      <c r="D78" s="23" t="n"/>
      <c r="E78" s="25" t="n"/>
      <c r="F78" s="15" t="n"/>
      <c r="G78" s="23" t="n"/>
      <c r="H78" s="15" t="n"/>
      <c r="I78" s="15" t="n"/>
      <c r="J78" s="15" t="n"/>
      <c r="K78" s="25" t="n"/>
      <c r="L78" s="15" t="n"/>
      <c r="M78" s="26">
        <f>IF(OR($A78="",$L78&lt;&gt;"Active"),"",COUNTIFS($A$5:$A78,$A78,$L$5:$L78,"Active"))</f>
        <v/>
      </c>
      <c r="N78" s="26">
        <f>IF(OR($A78="",$M78=""),"",IF($M78=IFERROR(INDEX('Chart Database'!$R$6:$R$4005,MATCH($A78,'Chart Database'!$A$6:$A$4005,0)),0),"NEXT",""))</f>
        <v/>
      </c>
      <c r="O78" s="23" t="n"/>
    </row>
    <row r="79">
      <c r="A79" s="23" t="n"/>
      <c r="B79" s="26">
        <f>IF($A79="","",IFERROR(INDEX('Chart Database'!$B$6:$B$4005,MATCH($A79,'Chart Database'!$A$6:$A$4005,0)),"UNKNOWN CHART"))</f>
        <v/>
      </c>
      <c r="C79" s="23" t="n"/>
      <c r="D79" s="23" t="n"/>
      <c r="E79" s="25" t="n"/>
      <c r="F79" s="15" t="n"/>
      <c r="G79" s="23" t="n"/>
      <c r="H79" s="15" t="n"/>
      <c r="I79" s="15" t="n"/>
      <c r="J79" s="15" t="n"/>
      <c r="K79" s="25" t="n"/>
      <c r="L79" s="15" t="n"/>
      <c r="M79" s="26">
        <f>IF(OR($A79="",$L79&lt;&gt;"Active"),"",COUNTIFS($A$5:$A79,$A79,$L$5:$L79,"Active"))</f>
        <v/>
      </c>
      <c r="N79" s="26">
        <f>IF(OR($A79="",$M79=""),"",IF($M79=IFERROR(INDEX('Chart Database'!$R$6:$R$4005,MATCH($A79,'Chart Database'!$A$6:$A$4005,0)),0),"NEXT",""))</f>
        <v/>
      </c>
      <c r="O79" s="23" t="n"/>
    </row>
    <row r="80">
      <c r="A80" s="23" t="n"/>
      <c r="B80" s="26">
        <f>IF($A80="","",IFERROR(INDEX('Chart Database'!$B$6:$B$4005,MATCH($A80,'Chart Database'!$A$6:$A$4005,0)),"UNKNOWN CHART"))</f>
        <v/>
      </c>
      <c r="C80" s="23" t="n"/>
      <c r="D80" s="23" t="n"/>
      <c r="E80" s="25" t="n"/>
      <c r="F80" s="15" t="n"/>
      <c r="G80" s="23" t="n"/>
      <c r="H80" s="15" t="n"/>
      <c r="I80" s="15" t="n"/>
      <c r="J80" s="15" t="n"/>
      <c r="K80" s="25" t="n"/>
      <c r="L80" s="15" t="n"/>
      <c r="M80" s="26">
        <f>IF(OR($A80="",$L80&lt;&gt;"Active"),"",COUNTIFS($A$5:$A80,$A80,$L$5:$L80,"Active"))</f>
        <v/>
      </c>
      <c r="N80" s="26">
        <f>IF(OR($A80="",$M80=""),"",IF($M80=IFERROR(INDEX('Chart Database'!$R$6:$R$4005,MATCH($A80,'Chart Database'!$A$6:$A$4005,0)),0),"NEXT",""))</f>
        <v/>
      </c>
      <c r="O80" s="23" t="n"/>
    </row>
    <row r="81">
      <c r="A81" s="23" t="n"/>
      <c r="B81" s="26">
        <f>IF($A81="","",IFERROR(INDEX('Chart Database'!$B$6:$B$4005,MATCH($A81,'Chart Database'!$A$6:$A$4005,0)),"UNKNOWN CHART"))</f>
        <v/>
      </c>
      <c r="C81" s="23" t="n"/>
      <c r="D81" s="23" t="n"/>
      <c r="E81" s="25" t="n"/>
      <c r="F81" s="15" t="n"/>
      <c r="G81" s="23" t="n"/>
      <c r="H81" s="15" t="n"/>
      <c r="I81" s="15" t="n"/>
      <c r="J81" s="15" t="n"/>
      <c r="K81" s="25" t="n"/>
      <c r="L81" s="15" t="n"/>
      <c r="M81" s="26">
        <f>IF(OR($A81="",$L81&lt;&gt;"Active"),"",COUNTIFS($A$5:$A81,$A81,$L$5:$L81,"Active"))</f>
        <v/>
      </c>
      <c r="N81" s="26">
        <f>IF(OR($A81="",$M81=""),"",IF($M81=IFERROR(INDEX('Chart Database'!$R$6:$R$4005,MATCH($A81,'Chart Database'!$A$6:$A$4005,0)),0),"NEXT",""))</f>
        <v/>
      </c>
      <c r="O81" s="23" t="n"/>
    </row>
    <row r="82">
      <c r="A82" s="23" t="n"/>
      <c r="B82" s="26">
        <f>IF($A82="","",IFERROR(INDEX('Chart Database'!$B$6:$B$4005,MATCH($A82,'Chart Database'!$A$6:$A$4005,0)),"UNKNOWN CHART"))</f>
        <v/>
      </c>
      <c r="C82" s="23" t="n"/>
      <c r="D82" s="23" t="n"/>
      <c r="E82" s="25" t="n"/>
      <c r="F82" s="15" t="n"/>
      <c r="G82" s="23" t="n"/>
      <c r="H82" s="15" t="n"/>
      <c r="I82" s="15" t="n"/>
      <c r="J82" s="15" t="n"/>
      <c r="K82" s="25" t="n"/>
      <c r="L82" s="15" t="n"/>
      <c r="M82" s="26">
        <f>IF(OR($A82="",$L82&lt;&gt;"Active"),"",COUNTIFS($A$5:$A82,$A82,$L$5:$L82,"Active"))</f>
        <v/>
      </c>
      <c r="N82" s="26">
        <f>IF(OR($A82="",$M82=""),"",IF($M82=IFERROR(INDEX('Chart Database'!$R$6:$R$4005,MATCH($A82,'Chart Database'!$A$6:$A$4005,0)),0),"NEXT",""))</f>
        <v/>
      </c>
      <c r="O82" s="23" t="n"/>
    </row>
    <row r="83">
      <c r="A83" s="23" t="n"/>
      <c r="B83" s="26">
        <f>IF($A83="","",IFERROR(INDEX('Chart Database'!$B$6:$B$4005,MATCH($A83,'Chart Database'!$A$6:$A$4005,0)),"UNKNOWN CHART"))</f>
        <v/>
      </c>
      <c r="C83" s="23" t="n"/>
      <c r="D83" s="23" t="n"/>
      <c r="E83" s="25" t="n"/>
      <c r="F83" s="15" t="n"/>
      <c r="G83" s="23" t="n"/>
      <c r="H83" s="15" t="n"/>
      <c r="I83" s="15" t="n"/>
      <c r="J83" s="15" t="n"/>
      <c r="K83" s="25" t="n"/>
      <c r="L83" s="15" t="n"/>
      <c r="M83" s="26">
        <f>IF(OR($A83="",$L83&lt;&gt;"Active"),"",COUNTIFS($A$5:$A83,$A83,$L$5:$L83,"Active"))</f>
        <v/>
      </c>
      <c r="N83" s="26">
        <f>IF(OR($A83="",$M83=""),"",IF($M83=IFERROR(INDEX('Chart Database'!$R$6:$R$4005,MATCH($A83,'Chart Database'!$A$6:$A$4005,0)),0),"NEXT",""))</f>
        <v/>
      </c>
      <c r="O83" s="23" t="n"/>
    </row>
    <row r="84">
      <c r="A84" s="23" t="n"/>
      <c r="B84" s="26">
        <f>IF($A84="","",IFERROR(INDEX('Chart Database'!$B$6:$B$4005,MATCH($A84,'Chart Database'!$A$6:$A$4005,0)),"UNKNOWN CHART"))</f>
        <v/>
      </c>
      <c r="C84" s="23" t="n"/>
      <c r="D84" s="23" t="n"/>
      <c r="E84" s="25" t="n"/>
      <c r="F84" s="15" t="n"/>
      <c r="G84" s="23" t="n"/>
      <c r="H84" s="15" t="n"/>
      <c r="I84" s="15" t="n"/>
      <c r="J84" s="15" t="n"/>
      <c r="K84" s="25" t="n"/>
      <c r="L84" s="15" t="n"/>
      <c r="M84" s="26">
        <f>IF(OR($A84="",$L84&lt;&gt;"Active"),"",COUNTIFS($A$5:$A84,$A84,$L$5:$L84,"Active"))</f>
        <v/>
      </c>
      <c r="N84" s="26">
        <f>IF(OR($A84="",$M84=""),"",IF($M84=IFERROR(INDEX('Chart Database'!$R$6:$R$4005,MATCH($A84,'Chart Database'!$A$6:$A$4005,0)),0),"NEXT",""))</f>
        <v/>
      </c>
      <c r="O84" s="23" t="n"/>
    </row>
    <row r="85">
      <c r="A85" s="23" t="n"/>
      <c r="B85" s="26">
        <f>IF($A85="","",IFERROR(INDEX('Chart Database'!$B$6:$B$4005,MATCH($A85,'Chart Database'!$A$6:$A$4005,0)),"UNKNOWN CHART"))</f>
        <v/>
      </c>
      <c r="C85" s="23" t="n"/>
      <c r="D85" s="23" t="n"/>
      <c r="E85" s="25" t="n"/>
      <c r="F85" s="15" t="n"/>
      <c r="G85" s="23" t="n"/>
      <c r="H85" s="15" t="n"/>
      <c r="I85" s="15" t="n"/>
      <c r="J85" s="15" t="n"/>
      <c r="K85" s="25" t="n"/>
      <c r="L85" s="15" t="n"/>
      <c r="M85" s="26">
        <f>IF(OR($A85="",$L85&lt;&gt;"Active"),"",COUNTIFS($A$5:$A85,$A85,$L$5:$L85,"Active"))</f>
        <v/>
      </c>
      <c r="N85" s="26">
        <f>IF(OR($A85="",$M85=""),"",IF($M85=IFERROR(INDEX('Chart Database'!$R$6:$R$4005,MATCH($A85,'Chart Database'!$A$6:$A$4005,0)),0),"NEXT",""))</f>
        <v/>
      </c>
      <c r="O85" s="23" t="n"/>
    </row>
    <row r="86">
      <c r="A86" s="23" t="n"/>
      <c r="B86" s="26">
        <f>IF($A86="","",IFERROR(INDEX('Chart Database'!$B$6:$B$4005,MATCH($A86,'Chart Database'!$A$6:$A$4005,0)),"UNKNOWN CHART"))</f>
        <v/>
      </c>
      <c r="C86" s="23" t="n"/>
      <c r="D86" s="23" t="n"/>
      <c r="E86" s="25" t="n"/>
      <c r="F86" s="15" t="n"/>
      <c r="G86" s="23" t="n"/>
      <c r="H86" s="15" t="n"/>
      <c r="I86" s="15" t="n"/>
      <c r="J86" s="15" t="n"/>
      <c r="K86" s="25" t="n"/>
      <c r="L86" s="15" t="n"/>
      <c r="M86" s="26">
        <f>IF(OR($A86="",$L86&lt;&gt;"Active"),"",COUNTIFS($A$5:$A86,$A86,$L$5:$L86,"Active"))</f>
        <v/>
      </c>
      <c r="N86" s="26">
        <f>IF(OR($A86="",$M86=""),"",IF($M86=IFERROR(INDEX('Chart Database'!$R$6:$R$4005,MATCH($A86,'Chart Database'!$A$6:$A$4005,0)),0),"NEXT",""))</f>
        <v/>
      </c>
      <c r="O86" s="23" t="n"/>
    </row>
    <row r="87">
      <c r="A87" s="23" t="n"/>
      <c r="B87" s="26">
        <f>IF($A87="","",IFERROR(INDEX('Chart Database'!$B$6:$B$4005,MATCH($A87,'Chart Database'!$A$6:$A$4005,0)),"UNKNOWN CHART"))</f>
        <v/>
      </c>
      <c r="C87" s="23" t="n"/>
      <c r="D87" s="23" t="n"/>
      <c r="E87" s="25" t="n"/>
      <c r="F87" s="15" t="n"/>
      <c r="G87" s="23" t="n"/>
      <c r="H87" s="15" t="n"/>
      <c r="I87" s="15" t="n"/>
      <c r="J87" s="15" t="n"/>
      <c r="K87" s="25" t="n"/>
      <c r="L87" s="15" t="n"/>
      <c r="M87" s="26">
        <f>IF(OR($A87="",$L87&lt;&gt;"Active"),"",COUNTIFS($A$5:$A87,$A87,$L$5:$L87,"Active"))</f>
        <v/>
      </c>
      <c r="N87" s="26">
        <f>IF(OR($A87="",$M87=""),"",IF($M87=IFERROR(INDEX('Chart Database'!$R$6:$R$4005,MATCH($A87,'Chart Database'!$A$6:$A$4005,0)),0),"NEXT",""))</f>
        <v/>
      </c>
      <c r="O87" s="23" t="n"/>
    </row>
    <row r="88">
      <c r="A88" s="23" t="n"/>
      <c r="B88" s="26">
        <f>IF($A88="","",IFERROR(INDEX('Chart Database'!$B$6:$B$4005,MATCH($A88,'Chart Database'!$A$6:$A$4005,0)),"UNKNOWN CHART"))</f>
        <v/>
      </c>
      <c r="C88" s="23" t="n"/>
      <c r="D88" s="23" t="n"/>
      <c r="E88" s="25" t="n"/>
      <c r="F88" s="15" t="n"/>
      <c r="G88" s="23" t="n"/>
      <c r="H88" s="15" t="n"/>
      <c r="I88" s="15" t="n"/>
      <c r="J88" s="15" t="n"/>
      <c r="K88" s="25" t="n"/>
      <c r="L88" s="15" t="n"/>
      <c r="M88" s="26">
        <f>IF(OR($A88="",$L88&lt;&gt;"Active"),"",COUNTIFS($A$5:$A88,$A88,$L$5:$L88,"Active"))</f>
        <v/>
      </c>
      <c r="N88" s="26">
        <f>IF(OR($A88="",$M88=""),"",IF($M88=IFERROR(INDEX('Chart Database'!$R$6:$R$4005,MATCH($A88,'Chart Database'!$A$6:$A$4005,0)),0),"NEXT",""))</f>
        <v/>
      </c>
      <c r="O88" s="23" t="n"/>
    </row>
    <row r="89">
      <c r="A89" s="23" t="n"/>
      <c r="B89" s="26">
        <f>IF($A89="","",IFERROR(INDEX('Chart Database'!$B$6:$B$4005,MATCH($A89,'Chart Database'!$A$6:$A$4005,0)),"UNKNOWN CHART"))</f>
        <v/>
      </c>
      <c r="C89" s="23" t="n"/>
      <c r="D89" s="23" t="n"/>
      <c r="E89" s="25" t="n"/>
      <c r="F89" s="15" t="n"/>
      <c r="G89" s="23" t="n"/>
      <c r="H89" s="15" t="n"/>
      <c r="I89" s="15" t="n"/>
      <c r="J89" s="15" t="n"/>
      <c r="K89" s="25" t="n"/>
      <c r="L89" s="15" t="n"/>
      <c r="M89" s="26">
        <f>IF(OR($A89="",$L89&lt;&gt;"Active"),"",COUNTIFS($A$5:$A89,$A89,$L$5:$L89,"Active"))</f>
        <v/>
      </c>
      <c r="N89" s="26">
        <f>IF(OR($A89="",$M89=""),"",IF($M89=IFERROR(INDEX('Chart Database'!$R$6:$R$4005,MATCH($A89,'Chart Database'!$A$6:$A$4005,0)),0),"NEXT",""))</f>
        <v/>
      </c>
      <c r="O89" s="23" t="n"/>
    </row>
    <row r="90">
      <c r="A90" s="23" t="n"/>
      <c r="B90" s="26">
        <f>IF($A90="","",IFERROR(INDEX('Chart Database'!$B$6:$B$4005,MATCH($A90,'Chart Database'!$A$6:$A$4005,0)),"UNKNOWN CHART"))</f>
        <v/>
      </c>
      <c r="C90" s="23" t="n"/>
      <c r="D90" s="23" t="n"/>
      <c r="E90" s="25" t="n"/>
      <c r="F90" s="15" t="n"/>
      <c r="G90" s="23" t="n"/>
      <c r="H90" s="15" t="n"/>
      <c r="I90" s="15" t="n"/>
      <c r="J90" s="15" t="n"/>
      <c r="K90" s="25" t="n"/>
      <c r="L90" s="15" t="n"/>
      <c r="M90" s="26">
        <f>IF(OR($A90="",$L90&lt;&gt;"Active"),"",COUNTIFS($A$5:$A90,$A90,$L$5:$L90,"Active"))</f>
        <v/>
      </c>
      <c r="N90" s="26">
        <f>IF(OR($A90="",$M90=""),"",IF($M90=IFERROR(INDEX('Chart Database'!$R$6:$R$4005,MATCH($A90,'Chart Database'!$A$6:$A$4005,0)),0),"NEXT",""))</f>
        <v/>
      </c>
      <c r="O90" s="23" t="n"/>
    </row>
    <row r="91">
      <c r="A91" s="23" t="n"/>
      <c r="B91" s="26">
        <f>IF($A91="","",IFERROR(INDEX('Chart Database'!$B$6:$B$4005,MATCH($A91,'Chart Database'!$A$6:$A$4005,0)),"UNKNOWN CHART"))</f>
        <v/>
      </c>
      <c r="C91" s="23" t="n"/>
      <c r="D91" s="23" t="n"/>
      <c r="E91" s="25" t="n"/>
      <c r="F91" s="15" t="n"/>
      <c r="G91" s="23" t="n"/>
      <c r="H91" s="15" t="n"/>
      <c r="I91" s="15" t="n"/>
      <c r="J91" s="15" t="n"/>
      <c r="K91" s="25" t="n"/>
      <c r="L91" s="15" t="n"/>
      <c r="M91" s="26">
        <f>IF(OR($A91="",$L91&lt;&gt;"Active"),"",COUNTIFS($A$5:$A91,$A91,$L$5:$L91,"Active"))</f>
        <v/>
      </c>
      <c r="N91" s="26">
        <f>IF(OR($A91="",$M91=""),"",IF($M91=IFERROR(INDEX('Chart Database'!$R$6:$R$4005,MATCH($A91,'Chart Database'!$A$6:$A$4005,0)),0),"NEXT",""))</f>
        <v/>
      </c>
      <c r="O91" s="23" t="n"/>
    </row>
    <row r="92">
      <c r="A92" s="23" t="n"/>
      <c r="B92" s="26">
        <f>IF($A92="","",IFERROR(INDEX('Chart Database'!$B$6:$B$4005,MATCH($A92,'Chart Database'!$A$6:$A$4005,0)),"UNKNOWN CHART"))</f>
        <v/>
      </c>
      <c r="C92" s="23" t="n"/>
      <c r="D92" s="23" t="n"/>
      <c r="E92" s="25" t="n"/>
      <c r="F92" s="15" t="n"/>
      <c r="G92" s="23" t="n"/>
      <c r="H92" s="15" t="n"/>
      <c r="I92" s="15" t="n"/>
      <c r="J92" s="15" t="n"/>
      <c r="K92" s="25" t="n"/>
      <c r="L92" s="15" t="n"/>
      <c r="M92" s="26">
        <f>IF(OR($A92="",$L92&lt;&gt;"Active"),"",COUNTIFS($A$5:$A92,$A92,$L$5:$L92,"Active"))</f>
        <v/>
      </c>
      <c r="N92" s="26">
        <f>IF(OR($A92="",$M92=""),"",IF($M92=IFERROR(INDEX('Chart Database'!$R$6:$R$4005,MATCH($A92,'Chart Database'!$A$6:$A$4005,0)),0),"NEXT",""))</f>
        <v/>
      </c>
      <c r="O92" s="23" t="n"/>
    </row>
    <row r="93">
      <c r="A93" s="23" t="n"/>
      <c r="B93" s="26">
        <f>IF($A93="","",IFERROR(INDEX('Chart Database'!$B$6:$B$4005,MATCH($A93,'Chart Database'!$A$6:$A$4005,0)),"UNKNOWN CHART"))</f>
        <v/>
      </c>
      <c r="C93" s="23" t="n"/>
      <c r="D93" s="23" t="n"/>
      <c r="E93" s="25" t="n"/>
      <c r="F93" s="15" t="n"/>
      <c r="G93" s="23" t="n"/>
      <c r="H93" s="15" t="n"/>
      <c r="I93" s="15" t="n"/>
      <c r="J93" s="15" t="n"/>
      <c r="K93" s="25" t="n"/>
      <c r="L93" s="15" t="n"/>
      <c r="M93" s="26">
        <f>IF(OR($A93="",$L93&lt;&gt;"Active"),"",COUNTIFS($A$5:$A93,$A93,$L$5:$L93,"Active"))</f>
        <v/>
      </c>
      <c r="N93" s="26">
        <f>IF(OR($A93="",$M93=""),"",IF($M93=IFERROR(INDEX('Chart Database'!$R$6:$R$4005,MATCH($A93,'Chart Database'!$A$6:$A$4005,0)),0),"NEXT",""))</f>
        <v/>
      </c>
      <c r="O93" s="23" t="n"/>
    </row>
    <row r="94">
      <c r="A94" s="23" t="n"/>
      <c r="B94" s="26">
        <f>IF($A94="","",IFERROR(INDEX('Chart Database'!$B$6:$B$4005,MATCH($A94,'Chart Database'!$A$6:$A$4005,0)),"UNKNOWN CHART"))</f>
        <v/>
      </c>
      <c r="C94" s="23" t="n"/>
      <c r="D94" s="23" t="n"/>
      <c r="E94" s="25" t="n"/>
      <c r="F94" s="15" t="n"/>
      <c r="G94" s="23" t="n"/>
      <c r="H94" s="15" t="n"/>
      <c r="I94" s="15" t="n"/>
      <c r="J94" s="15" t="n"/>
      <c r="K94" s="25" t="n"/>
      <c r="L94" s="15" t="n"/>
      <c r="M94" s="26">
        <f>IF(OR($A94="",$L94&lt;&gt;"Active"),"",COUNTIFS($A$5:$A94,$A94,$L$5:$L94,"Active"))</f>
        <v/>
      </c>
      <c r="N94" s="26">
        <f>IF(OR($A94="",$M94=""),"",IF($M94=IFERROR(INDEX('Chart Database'!$R$6:$R$4005,MATCH($A94,'Chart Database'!$A$6:$A$4005,0)),0),"NEXT",""))</f>
        <v/>
      </c>
      <c r="O94" s="23" t="n"/>
    </row>
    <row r="95">
      <c r="A95" s="23" t="n"/>
      <c r="B95" s="26">
        <f>IF($A95="","",IFERROR(INDEX('Chart Database'!$B$6:$B$4005,MATCH($A95,'Chart Database'!$A$6:$A$4005,0)),"UNKNOWN CHART"))</f>
        <v/>
      </c>
      <c r="C95" s="23" t="n"/>
      <c r="D95" s="23" t="n"/>
      <c r="E95" s="25" t="n"/>
      <c r="F95" s="15" t="n"/>
      <c r="G95" s="23" t="n"/>
      <c r="H95" s="15" t="n"/>
      <c r="I95" s="15" t="n"/>
      <c r="J95" s="15" t="n"/>
      <c r="K95" s="25" t="n"/>
      <c r="L95" s="15" t="n"/>
      <c r="M95" s="26">
        <f>IF(OR($A95="",$L95&lt;&gt;"Active"),"",COUNTIFS($A$5:$A95,$A95,$L$5:$L95,"Active"))</f>
        <v/>
      </c>
      <c r="N95" s="26">
        <f>IF(OR($A95="",$M95=""),"",IF($M95=IFERROR(INDEX('Chart Database'!$R$6:$R$4005,MATCH($A95,'Chart Database'!$A$6:$A$4005,0)),0),"NEXT",""))</f>
        <v/>
      </c>
      <c r="O95" s="23" t="n"/>
    </row>
    <row r="96">
      <c r="A96" s="23" t="n"/>
      <c r="B96" s="26">
        <f>IF($A96="","",IFERROR(INDEX('Chart Database'!$B$6:$B$4005,MATCH($A96,'Chart Database'!$A$6:$A$4005,0)),"UNKNOWN CHART"))</f>
        <v/>
      </c>
      <c r="C96" s="23" t="n"/>
      <c r="D96" s="23" t="n"/>
      <c r="E96" s="25" t="n"/>
      <c r="F96" s="15" t="n"/>
      <c r="G96" s="23" t="n"/>
      <c r="H96" s="15" t="n"/>
      <c r="I96" s="15" t="n"/>
      <c r="J96" s="15" t="n"/>
      <c r="K96" s="25" t="n"/>
      <c r="L96" s="15" t="n"/>
      <c r="M96" s="26">
        <f>IF(OR($A96="",$L96&lt;&gt;"Active"),"",COUNTIFS($A$5:$A96,$A96,$L$5:$L96,"Active"))</f>
        <v/>
      </c>
      <c r="N96" s="26">
        <f>IF(OR($A96="",$M96=""),"",IF($M96=IFERROR(INDEX('Chart Database'!$R$6:$R$4005,MATCH($A96,'Chart Database'!$A$6:$A$4005,0)),0),"NEXT",""))</f>
        <v/>
      </c>
      <c r="O96" s="23" t="n"/>
    </row>
    <row r="97">
      <c r="A97" s="23" t="n"/>
      <c r="B97" s="26">
        <f>IF($A97="","",IFERROR(INDEX('Chart Database'!$B$6:$B$4005,MATCH($A97,'Chart Database'!$A$6:$A$4005,0)),"UNKNOWN CHART"))</f>
        <v/>
      </c>
      <c r="C97" s="23" t="n"/>
      <c r="D97" s="23" t="n"/>
      <c r="E97" s="25" t="n"/>
      <c r="F97" s="15" t="n"/>
      <c r="G97" s="23" t="n"/>
      <c r="H97" s="15" t="n"/>
      <c r="I97" s="15" t="n"/>
      <c r="J97" s="15" t="n"/>
      <c r="K97" s="25" t="n"/>
      <c r="L97" s="15" t="n"/>
      <c r="M97" s="26">
        <f>IF(OR($A97="",$L97&lt;&gt;"Active"),"",COUNTIFS($A$5:$A97,$A97,$L$5:$L97,"Active"))</f>
        <v/>
      </c>
      <c r="N97" s="26">
        <f>IF(OR($A97="",$M97=""),"",IF($M97=IFERROR(INDEX('Chart Database'!$R$6:$R$4005,MATCH($A97,'Chart Database'!$A$6:$A$4005,0)),0),"NEXT",""))</f>
        <v/>
      </c>
      <c r="O97" s="23" t="n"/>
    </row>
    <row r="98">
      <c r="A98" s="23" t="n"/>
      <c r="B98" s="26">
        <f>IF($A98="","",IFERROR(INDEX('Chart Database'!$B$6:$B$4005,MATCH($A98,'Chart Database'!$A$6:$A$4005,0)),"UNKNOWN CHART"))</f>
        <v/>
      </c>
      <c r="C98" s="23" t="n"/>
      <c r="D98" s="23" t="n"/>
      <c r="E98" s="25" t="n"/>
      <c r="F98" s="15" t="n"/>
      <c r="G98" s="23" t="n"/>
      <c r="H98" s="15" t="n"/>
      <c r="I98" s="15" t="n"/>
      <c r="J98" s="15" t="n"/>
      <c r="K98" s="25" t="n"/>
      <c r="L98" s="15" t="n"/>
      <c r="M98" s="26">
        <f>IF(OR($A98="",$L98&lt;&gt;"Active"),"",COUNTIFS($A$5:$A98,$A98,$L$5:$L98,"Active"))</f>
        <v/>
      </c>
      <c r="N98" s="26">
        <f>IF(OR($A98="",$M98=""),"",IF($M98=IFERROR(INDEX('Chart Database'!$R$6:$R$4005,MATCH($A98,'Chart Database'!$A$6:$A$4005,0)),0),"NEXT",""))</f>
        <v/>
      </c>
      <c r="O98" s="23" t="n"/>
    </row>
    <row r="99">
      <c r="A99" s="23" t="n"/>
      <c r="B99" s="26">
        <f>IF($A99="","",IFERROR(INDEX('Chart Database'!$B$6:$B$4005,MATCH($A99,'Chart Database'!$A$6:$A$4005,0)),"UNKNOWN CHART"))</f>
        <v/>
      </c>
      <c r="C99" s="23" t="n"/>
      <c r="D99" s="23" t="n"/>
      <c r="E99" s="25" t="n"/>
      <c r="F99" s="15" t="n"/>
      <c r="G99" s="23" t="n"/>
      <c r="H99" s="15" t="n"/>
      <c r="I99" s="15" t="n"/>
      <c r="J99" s="15" t="n"/>
      <c r="K99" s="25" t="n"/>
      <c r="L99" s="15" t="n"/>
      <c r="M99" s="26">
        <f>IF(OR($A99="",$L99&lt;&gt;"Active"),"",COUNTIFS($A$5:$A99,$A99,$L$5:$L99,"Active"))</f>
        <v/>
      </c>
      <c r="N99" s="26">
        <f>IF(OR($A99="",$M99=""),"",IF($M99=IFERROR(INDEX('Chart Database'!$R$6:$R$4005,MATCH($A99,'Chart Database'!$A$6:$A$4005,0)),0),"NEXT",""))</f>
        <v/>
      </c>
      <c r="O99" s="23" t="n"/>
    </row>
    <row r="100">
      <c r="A100" s="23" t="n"/>
      <c r="B100" s="26">
        <f>IF($A100="","",IFERROR(INDEX('Chart Database'!$B$6:$B$4005,MATCH($A100,'Chart Database'!$A$6:$A$4005,0)),"UNKNOWN CHART"))</f>
        <v/>
      </c>
      <c r="C100" s="23" t="n"/>
      <c r="D100" s="23" t="n"/>
      <c r="E100" s="25" t="n"/>
      <c r="F100" s="15" t="n"/>
      <c r="G100" s="23" t="n"/>
      <c r="H100" s="15" t="n"/>
      <c r="I100" s="15" t="n"/>
      <c r="J100" s="15" t="n"/>
      <c r="K100" s="25" t="n"/>
      <c r="L100" s="15" t="n"/>
      <c r="M100" s="26">
        <f>IF(OR($A100="",$L100&lt;&gt;"Active"),"",COUNTIFS($A$5:$A100,$A100,$L$5:$L100,"Active"))</f>
        <v/>
      </c>
      <c r="N100" s="26">
        <f>IF(OR($A100="",$M100=""),"",IF($M100=IFERROR(INDEX('Chart Database'!$R$6:$R$4005,MATCH($A100,'Chart Database'!$A$6:$A$4005,0)),0),"NEXT",""))</f>
        <v/>
      </c>
      <c r="O100" s="23" t="n"/>
    </row>
    <row r="101">
      <c r="A101" s="23" t="n"/>
      <c r="B101" s="26">
        <f>IF($A101="","",IFERROR(INDEX('Chart Database'!$B$6:$B$4005,MATCH($A101,'Chart Database'!$A$6:$A$4005,0)),"UNKNOWN CHART"))</f>
        <v/>
      </c>
      <c r="C101" s="23" t="n"/>
      <c r="D101" s="23" t="n"/>
      <c r="E101" s="25" t="n"/>
      <c r="F101" s="15" t="n"/>
      <c r="G101" s="23" t="n"/>
      <c r="H101" s="15" t="n"/>
      <c r="I101" s="15" t="n"/>
      <c r="J101" s="15" t="n"/>
      <c r="K101" s="25" t="n"/>
      <c r="L101" s="15" t="n"/>
      <c r="M101" s="26">
        <f>IF(OR($A101="",$L101&lt;&gt;"Active"),"",COUNTIFS($A$5:$A101,$A101,$L$5:$L101,"Active"))</f>
        <v/>
      </c>
      <c r="N101" s="26">
        <f>IF(OR($A101="",$M101=""),"",IF($M101=IFERROR(INDEX('Chart Database'!$R$6:$R$4005,MATCH($A101,'Chart Database'!$A$6:$A$4005,0)),0),"NEXT",""))</f>
        <v/>
      </c>
      <c r="O101" s="23" t="n"/>
    </row>
    <row r="102">
      <c r="A102" s="23" t="n"/>
      <c r="B102" s="26">
        <f>IF($A102="","",IFERROR(INDEX('Chart Database'!$B$6:$B$4005,MATCH($A102,'Chart Database'!$A$6:$A$4005,0)),"UNKNOWN CHART"))</f>
        <v/>
      </c>
      <c r="C102" s="23" t="n"/>
      <c r="D102" s="23" t="n"/>
      <c r="E102" s="25" t="n"/>
      <c r="F102" s="15" t="n"/>
      <c r="G102" s="23" t="n"/>
      <c r="H102" s="15" t="n"/>
      <c r="I102" s="15" t="n"/>
      <c r="J102" s="15" t="n"/>
      <c r="K102" s="25" t="n"/>
      <c r="L102" s="15" t="n"/>
      <c r="M102" s="26">
        <f>IF(OR($A102="",$L102&lt;&gt;"Active"),"",COUNTIFS($A$5:$A102,$A102,$L$5:$L102,"Active"))</f>
        <v/>
      </c>
      <c r="N102" s="26">
        <f>IF(OR($A102="",$M102=""),"",IF($M102=IFERROR(INDEX('Chart Database'!$R$6:$R$4005,MATCH($A102,'Chart Database'!$A$6:$A$4005,0)),0),"NEXT",""))</f>
        <v/>
      </c>
      <c r="O102" s="23" t="n"/>
    </row>
    <row r="103">
      <c r="A103" s="23" t="n"/>
      <c r="B103" s="26">
        <f>IF($A103="","",IFERROR(INDEX('Chart Database'!$B$6:$B$4005,MATCH($A103,'Chart Database'!$A$6:$A$4005,0)),"UNKNOWN CHART"))</f>
        <v/>
      </c>
      <c r="C103" s="23" t="n"/>
      <c r="D103" s="23" t="n"/>
      <c r="E103" s="25" t="n"/>
      <c r="F103" s="15" t="n"/>
      <c r="G103" s="23" t="n"/>
      <c r="H103" s="15" t="n"/>
      <c r="I103" s="15" t="n"/>
      <c r="J103" s="15" t="n"/>
      <c r="K103" s="25" t="n"/>
      <c r="L103" s="15" t="n"/>
      <c r="M103" s="26">
        <f>IF(OR($A103="",$L103&lt;&gt;"Active"),"",COUNTIFS($A$5:$A103,$A103,$L$5:$L103,"Active"))</f>
        <v/>
      </c>
      <c r="N103" s="26">
        <f>IF(OR($A103="",$M103=""),"",IF($M103=IFERROR(INDEX('Chart Database'!$R$6:$R$4005,MATCH($A103,'Chart Database'!$A$6:$A$4005,0)),0),"NEXT",""))</f>
        <v/>
      </c>
      <c r="O103" s="23" t="n"/>
    </row>
    <row r="104">
      <c r="A104" s="23" t="n"/>
      <c r="B104" s="26">
        <f>IF($A104="","",IFERROR(INDEX('Chart Database'!$B$6:$B$4005,MATCH($A104,'Chart Database'!$A$6:$A$4005,0)),"UNKNOWN CHART"))</f>
        <v/>
      </c>
      <c r="C104" s="23" t="n"/>
      <c r="D104" s="23" t="n"/>
      <c r="E104" s="25" t="n"/>
      <c r="F104" s="15" t="n"/>
      <c r="G104" s="23" t="n"/>
      <c r="H104" s="15" t="n"/>
      <c r="I104" s="15" t="n"/>
      <c r="J104" s="15" t="n"/>
      <c r="K104" s="25" t="n"/>
      <c r="L104" s="15" t="n"/>
      <c r="M104" s="26">
        <f>IF(OR($A104="",$L104&lt;&gt;"Active"),"",COUNTIFS($A$5:$A104,$A104,$L$5:$L104,"Active"))</f>
        <v/>
      </c>
      <c r="N104" s="26">
        <f>IF(OR($A104="",$M104=""),"",IF($M104=IFERROR(INDEX('Chart Database'!$R$6:$R$4005,MATCH($A104,'Chart Database'!$A$6:$A$4005,0)),0),"NEXT",""))</f>
        <v/>
      </c>
      <c r="O104" s="23" t="n"/>
    </row>
    <row r="105">
      <c r="A105" s="23" t="n"/>
      <c r="B105" s="26">
        <f>IF($A105="","",IFERROR(INDEX('Chart Database'!$B$6:$B$4005,MATCH($A105,'Chart Database'!$A$6:$A$4005,0)),"UNKNOWN CHART"))</f>
        <v/>
      </c>
      <c r="C105" s="23" t="n"/>
      <c r="D105" s="23" t="n"/>
      <c r="E105" s="25" t="n"/>
      <c r="F105" s="15" t="n"/>
      <c r="G105" s="23" t="n"/>
      <c r="H105" s="15" t="n"/>
      <c r="I105" s="15" t="n"/>
      <c r="J105" s="15" t="n"/>
      <c r="K105" s="25" t="n"/>
      <c r="L105" s="15" t="n"/>
      <c r="M105" s="26">
        <f>IF(OR($A105="",$L105&lt;&gt;"Active"),"",COUNTIFS($A$5:$A105,$A105,$L$5:$L105,"Active"))</f>
        <v/>
      </c>
      <c r="N105" s="26">
        <f>IF(OR($A105="",$M105=""),"",IF($M105=IFERROR(INDEX('Chart Database'!$R$6:$R$4005,MATCH($A105,'Chart Database'!$A$6:$A$4005,0)),0),"NEXT",""))</f>
        <v/>
      </c>
      <c r="O105" s="23" t="n"/>
    </row>
    <row r="106">
      <c r="A106" s="23" t="n"/>
      <c r="B106" s="26">
        <f>IF($A106="","",IFERROR(INDEX('Chart Database'!$B$6:$B$4005,MATCH($A106,'Chart Database'!$A$6:$A$4005,0)),"UNKNOWN CHART"))</f>
        <v/>
      </c>
      <c r="C106" s="23" t="n"/>
      <c r="D106" s="23" t="n"/>
      <c r="E106" s="25" t="n"/>
      <c r="F106" s="15" t="n"/>
      <c r="G106" s="23" t="n"/>
      <c r="H106" s="15" t="n"/>
      <c r="I106" s="15" t="n"/>
      <c r="J106" s="15" t="n"/>
      <c r="K106" s="25" t="n"/>
      <c r="L106" s="15" t="n"/>
      <c r="M106" s="26">
        <f>IF(OR($A106="",$L106&lt;&gt;"Active"),"",COUNTIFS($A$5:$A106,$A106,$L$5:$L106,"Active"))</f>
        <v/>
      </c>
      <c r="N106" s="26">
        <f>IF(OR($A106="",$M106=""),"",IF($M106=IFERROR(INDEX('Chart Database'!$R$6:$R$4005,MATCH($A106,'Chart Database'!$A$6:$A$4005,0)),0),"NEXT",""))</f>
        <v/>
      </c>
      <c r="O106" s="23" t="n"/>
    </row>
    <row r="107">
      <c r="A107" s="23" t="n"/>
      <c r="B107" s="26">
        <f>IF($A107="","",IFERROR(INDEX('Chart Database'!$B$6:$B$4005,MATCH($A107,'Chart Database'!$A$6:$A$4005,0)),"UNKNOWN CHART"))</f>
        <v/>
      </c>
      <c r="C107" s="23" t="n"/>
      <c r="D107" s="23" t="n"/>
      <c r="E107" s="25" t="n"/>
      <c r="F107" s="15" t="n"/>
      <c r="G107" s="23" t="n"/>
      <c r="H107" s="15" t="n"/>
      <c r="I107" s="15" t="n"/>
      <c r="J107" s="15" t="n"/>
      <c r="K107" s="25" t="n"/>
      <c r="L107" s="15" t="n"/>
      <c r="M107" s="26">
        <f>IF(OR($A107="",$L107&lt;&gt;"Active"),"",COUNTIFS($A$5:$A107,$A107,$L$5:$L107,"Active"))</f>
        <v/>
      </c>
      <c r="N107" s="26">
        <f>IF(OR($A107="",$M107=""),"",IF($M107=IFERROR(INDEX('Chart Database'!$R$6:$R$4005,MATCH($A107,'Chart Database'!$A$6:$A$4005,0)),0),"NEXT",""))</f>
        <v/>
      </c>
      <c r="O107" s="23" t="n"/>
    </row>
    <row r="108">
      <c r="A108" s="23" t="n"/>
      <c r="B108" s="26">
        <f>IF($A108="","",IFERROR(INDEX('Chart Database'!$B$6:$B$4005,MATCH($A108,'Chart Database'!$A$6:$A$4005,0)),"UNKNOWN CHART"))</f>
        <v/>
      </c>
      <c r="C108" s="23" t="n"/>
      <c r="D108" s="23" t="n"/>
      <c r="E108" s="25" t="n"/>
      <c r="F108" s="15" t="n"/>
      <c r="G108" s="23" t="n"/>
      <c r="H108" s="15" t="n"/>
      <c r="I108" s="15" t="n"/>
      <c r="J108" s="15" t="n"/>
      <c r="K108" s="25" t="n"/>
      <c r="L108" s="15" t="n"/>
      <c r="M108" s="26">
        <f>IF(OR($A108="",$L108&lt;&gt;"Active"),"",COUNTIFS($A$5:$A108,$A108,$L$5:$L108,"Active"))</f>
        <v/>
      </c>
      <c r="N108" s="26">
        <f>IF(OR($A108="",$M108=""),"",IF($M108=IFERROR(INDEX('Chart Database'!$R$6:$R$4005,MATCH($A108,'Chart Database'!$A$6:$A$4005,0)),0),"NEXT",""))</f>
        <v/>
      </c>
      <c r="O108" s="23" t="n"/>
    </row>
    <row r="109">
      <c r="A109" s="23" t="n"/>
      <c r="B109" s="26">
        <f>IF($A109="","",IFERROR(INDEX('Chart Database'!$B$6:$B$4005,MATCH($A109,'Chart Database'!$A$6:$A$4005,0)),"UNKNOWN CHART"))</f>
        <v/>
      </c>
      <c r="C109" s="23" t="n"/>
      <c r="D109" s="23" t="n"/>
      <c r="E109" s="25" t="n"/>
      <c r="F109" s="15" t="n"/>
      <c r="G109" s="23" t="n"/>
      <c r="H109" s="15" t="n"/>
      <c r="I109" s="15" t="n"/>
      <c r="J109" s="15" t="n"/>
      <c r="K109" s="25" t="n"/>
      <c r="L109" s="15" t="n"/>
      <c r="M109" s="26">
        <f>IF(OR($A109="",$L109&lt;&gt;"Active"),"",COUNTIFS($A$5:$A109,$A109,$L$5:$L109,"Active"))</f>
        <v/>
      </c>
      <c r="N109" s="26">
        <f>IF(OR($A109="",$M109=""),"",IF($M109=IFERROR(INDEX('Chart Database'!$R$6:$R$4005,MATCH($A109,'Chart Database'!$A$6:$A$4005,0)),0),"NEXT",""))</f>
        <v/>
      </c>
      <c r="O109" s="23" t="n"/>
    </row>
    <row r="110">
      <c r="A110" s="23" t="n"/>
      <c r="B110" s="26">
        <f>IF($A110="","",IFERROR(INDEX('Chart Database'!$B$6:$B$4005,MATCH($A110,'Chart Database'!$A$6:$A$4005,0)),"UNKNOWN CHART"))</f>
        <v/>
      </c>
      <c r="C110" s="23" t="n"/>
      <c r="D110" s="23" t="n"/>
      <c r="E110" s="25" t="n"/>
      <c r="F110" s="15" t="n"/>
      <c r="G110" s="23" t="n"/>
      <c r="H110" s="15" t="n"/>
      <c r="I110" s="15" t="n"/>
      <c r="J110" s="15" t="n"/>
      <c r="K110" s="25" t="n"/>
      <c r="L110" s="15" t="n"/>
      <c r="M110" s="26">
        <f>IF(OR($A110="",$L110&lt;&gt;"Active"),"",COUNTIFS($A$5:$A110,$A110,$L$5:$L110,"Active"))</f>
        <v/>
      </c>
      <c r="N110" s="26">
        <f>IF(OR($A110="",$M110=""),"",IF($M110=IFERROR(INDEX('Chart Database'!$R$6:$R$4005,MATCH($A110,'Chart Database'!$A$6:$A$4005,0)),0),"NEXT",""))</f>
        <v/>
      </c>
      <c r="O110" s="23" t="n"/>
    </row>
    <row r="111">
      <c r="A111" s="23" t="n"/>
      <c r="B111" s="26">
        <f>IF($A111="","",IFERROR(INDEX('Chart Database'!$B$6:$B$4005,MATCH($A111,'Chart Database'!$A$6:$A$4005,0)),"UNKNOWN CHART"))</f>
        <v/>
      </c>
      <c r="C111" s="23" t="n"/>
      <c r="D111" s="23" t="n"/>
      <c r="E111" s="25" t="n"/>
      <c r="F111" s="15" t="n"/>
      <c r="G111" s="23" t="n"/>
      <c r="H111" s="15" t="n"/>
      <c r="I111" s="15" t="n"/>
      <c r="J111" s="15" t="n"/>
      <c r="K111" s="25" t="n"/>
      <c r="L111" s="15" t="n"/>
      <c r="M111" s="26">
        <f>IF(OR($A111="",$L111&lt;&gt;"Active"),"",COUNTIFS($A$5:$A111,$A111,$L$5:$L111,"Active"))</f>
        <v/>
      </c>
      <c r="N111" s="26">
        <f>IF(OR($A111="",$M111=""),"",IF($M111=IFERROR(INDEX('Chart Database'!$R$6:$R$4005,MATCH($A111,'Chart Database'!$A$6:$A$4005,0)),0),"NEXT",""))</f>
        <v/>
      </c>
      <c r="O111" s="23" t="n"/>
    </row>
    <row r="112">
      <c r="A112" s="23" t="n"/>
      <c r="B112" s="26">
        <f>IF($A112="","",IFERROR(INDEX('Chart Database'!$B$6:$B$4005,MATCH($A112,'Chart Database'!$A$6:$A$4005,0)),"UNKNOWN CHART"))</f>
        <v/>
      </c>
      <c r="C112" s="23" t="n"/>
      <c r="D112" s="23" t="n"/>
      <c r="E112" s="25" t="n"/>
      <c r="F112" s="15" t="n"/>
      <c r="G112" s="23" t="n"/>
      <c r="H112" s="15" t="n"/>
      <c r="I112" s="15" t="n"/>
      <c r="J112" s="15" t="n"/>
      <c r="K112" s="25" t="n"/>
      <c r="L112" s="15" t="n"/>
      <c r="M112" s="26">
        <f>IF(OR($A112="",$L112&lt;&gt;"Active"),"",COUNTIFS($A$5:$A112,$A112,$L$5:$L112,"Active"))</f>
        <v/>
      </c>
      <c r="N112" s="26">
        <f>IF(OR($A112="",$M112=""),"",IF($M112=IFERROR(INDEX('Chart Database'!$R$6:$R$4005,MATCH($A112,'Chart Database'!$A$6:$A$4005,0)),0),"NEXT",""))</f>
        <v/>
      </c>
      <c r="O112" s="23" t="n"/>
    </row>
    <row r="113">
      <c r="A113" s="23" t="n"/>
      <c r="B113" s="26">
        <f>IF($A113="","",IFERROR(INDEX('Chart Database'!$B$6:$B$4005,MATCH($A113,'Chart Database'!$A$6:$A$4005,0)),"UNKNOWN CHART"))</f>
        <v/>
      </c>
      <c r="C113" s="23" t="n"/>
      <c r="D113" s="23" t="n"/>
      <c r="E113" s="25" t="n"/>
      <c r="F113" s="15" t="n"/>
      <c r="G113" s="23" t="n"/>
      <c r="H113" s="15" t="n"/>
      <c r="I113" s="15" t="n"/>
      <c r="J113" s="15" t="n"/>
      <c r="K113" s="25" t="n"/>
      <c r="L113" s="15" t="n"/>
      <c r="M113" s="26">
        <f>IF(OR($A113="",$L113&lt;&gt;"Active"),"",COUNTIFS($A$5:$A113,$A113,$L$5:$L113,"Active"))</f>
        <v/>
      </c>
      <c r="N113" s="26">
        <f>IF(OR($A113="",$M113=""),"",IF($M113=IFERROR(INDEX('Chart Database'!$R$6:$R$4005,MATCH($A113,'Chart Database'!$A$6:$A$4005,0)),0),"NEXT",""))</f>
        <v/>
      </c>
      <c r="O113" s="23" t="n"/>
    </row>
    <row r="114">
      <c r="A114" s="23" t="n"/>
      <c r="B114" s="26">
        <f>IF($A114="","",IFERROR(INDEX('Chart Database'!$B$6:$B$4005,MATCH($A114,'Chart Database'!$A$6:$A$4005,0)),"UNKNOWN CHART"))</f>
        <v/>
      </c>
      <c r="C114" s="23" t="n"/>
      <c r="D114" s="23" t="n"/>
      <c r="E114" s="25" t="n"/>
      <c r="F114" s="15" t="n"/>
      <c r="G114" s="23" t="n"/>
      <c r="H114" s="15" t="n"/>
      <c r="I114" s="15" t="n"/>
      <c r="J114" s="15" t="n"/>
      <c r="K114" s="25" t="n"/>
      <c r="L114" s="15" t="n"/>
      <c r="M114" s="26">
        <f>IF(OR($A114="",$L114&lt;&gt;"Active"),"",COUNTIFS($A$5:$A114,$A114,$L$5:$L114,"Active"))</f>
        <v/>
      </c>
      <c r="N114" s="26">
        <f>IF(OR($A114="",$M114=""),"",IF($M114=IFERROR(INDEX('Chart Database'!$R$6:$R$4005,MATCH($A114,'Chart Database'!$A$6:$A$4005,0)),0),"NEXT",""))</f>
        <v/>
      </c>
      <c r="O114" s="23" t="n"/>
    </row>
    <row r="115">
      <c r="A115" s="23" t="n"/>
      <c r="B115" s="26">
        <f>IF($A115="","",IFERROR(INDEX('Chart Database'!$B$6:$B$4005,MATCH($A115,'Chart Database'!$A$6:$A$4005,0)),"UNKNOWN CHART"))</f>
        <v/>
      </c>
      <c r="C115" s="23" t="n"/>
      <c r="D115" s="23" t="n"/>
      <c r="E115" s="25" t="n"/>
      <c r="F115" s="15" t="n"/>
      <c r="G115" s="23" t="n"/>
      <c r="H115" s="15" t="n"/>
      <c r="I115" s="15" t="n"/>
      <c r="J115" s="15" t="n"/>
      <c r="K115" s="25" t="n"/>
      <c r="L115" s="15" t="n"/>
      <c r="M115" s="26">
        <f>IF(OR($A115="",$L115&lt;&gt;"Active"),"",COUNTIFS($A$5:$A115,$A115,$L$5:$L115,"Active"))</f>
        <v/>
      </c>
      <c r="N115" s="26">
        <f>IF(OR($A115="",$M115=""),"",IF($M115=IFERROR(INDEX('Chart Database'!$R$6:$R$4005,MATCH($A115,'Chart Database'!$A$6:$A$4005,0)),0),"NEXT",""))</f>
        <v/>
      </c>
      <c r="O115" s="23" t="n"/>
    </row>
    <row r="116">
      <c r="A116" s="23" t="n"/>
      <c r="B116" s="26">
        <f>IF($A116="","",IFERROR(INDEX('Chart Database'!$B$6:$B$4005,MATCH($A116,'Chart Database'!$A$6:$A$4005,0)),"UNKNOWN CHART"))</f>
        <v/>
      </c>
      <c r="C116" s="23" t="n"/>
      <c r="D116" s="23" t="n"/>
      <c r="E116" s="25" t="n"/>
      <c r="F116" s="15" t="n"/>
      <c r="G116" s="23" t="n"/>
      <c r="H116" s="15" t="n"/>
      <c r="I116" s="15" t="n"/>
      <c r="J116" s="15" t="n"/>
      <c r="K116" s="25" t="n"/>
      <c r="L116" s="15" t="n"/>
      <c r="M116" s="26">
        <f>IF(OR($A116="",$L116&lt;&gt;"Active"),"",COUNTIFS($A$5:$A116,$A116,$L$5:$L116,"Active"))</f>
        <v/>
      </c>
      <c r="N116" s="26">
        <f>IF(OR($A116="",$M116=""),"",IF($M116=IFERROR(INDEX('Chart Database'!$R$6:$R$4005,MATCH($A116,'Chart Database'!$A$6:$A$4005,0)),0),"NEXT",""))</f>
        <v/>
      </c>
      <c r="O116" s="23" t="n"/>
    </row>
    <row r="117">
      <c r="A117" s="23" t="n"/>
      <c r="B117" s="26">
        <f>IF($A117="","",IFERROR(INDEX('Chart Database'!$B$6:$B$4005,MATCH($A117,'Chart Database'!$A$6:$A$4005,0)),"UNKNOWN CHART"))</f>
        <v/>
      </c>
      <c r="C117" s="23" t="n"/>
      <c r="D117" s="23" t="n"/>
      <c r="E117" s="25" t="n"/>
      <c r="F117" s="15" t="n"/>
      <c r="G117" s="23" t="n"/>
      <c r="H117" s="15" t="n"/>
      <c r="I117" s="15" t="n"/>
      <c r="J117" s="15" t="n"/>
      <c r="K117" s="25" t="n"/>
      <c r="L117" s="15" t="n"/>
      <c r="M117" s="26">
        <f>IF(OR($A117="",$L117&lt;&gt;"Active"),"",COUNTIFS($A$5:$A117,$A117,$L$5:$L117,"Active"))</f>
        <v/>
      </c>
      <c r="N117" s="26">
        <f>IF(OR($A117="",$M117=""),"",IF($M117=IFERROR(INDEX('Chart Database'!$R$6:$R$4005,MATCH($A117,'Chart Database'!$A$6:$A$4005,0)),0),"NEXT",""))</f>
        <v/>
      </c>
      <c r="O117" s="23" t="n"/>
    </row>
    <row r="118">
      <c r="A118" s="23" t="n"/>
      <c r="B118" s="26">
        <f>IF($A118="","",IFERROR(INDEX('Chart Database'!$B$6:$B$4005,MATCH($A118,'Chart Database'!$A$6:$A$4005,0)),"UNKNOWN CHART"))</f>
        <v/>
      </c>
      <c r="C118" s="23" t="n"/>
      <c r="D118" s="23" t="n"/>
      <c r="E118" s="25" t="n"/>
      <c r="F118" s="15" t="n"/>
      <c r="G118" s="23" t="n"/>
      <c r="H118" s="15" t="n"/>
      <c r="I118" s="15" t="n"/>
      <c r="J118" s="15" t="n"/>
      <c r="K118" s="25" t="n"/>
      <c r="L118" s="15" t="n"/>
      <c r="M118" s="26">
        <f>IF(OR($A118="",$L118&lt;&gt;"Active"),"",COUNTIFS($A$5:$A118,$A118,$L$5:$L118,"Active"))</f>
        <v/>
      </c>
      <c r="N118" s="26">
        <f>IF(OR($A118="",$M118=""),"",IF($M118=IFERROR(INDEX('Chart Database'!$R$6:$R$4005,MATCH($A118,'Chart Database'!$A$6:$A$4005,0)),0),"NEXT",""))</f>
        <v/>
      </c>
      <c r="O118" s="23" t="n"/>
    </row>
    <row r="119">
      <c r="A119" s="23" t="n"/>
      <c r="B119" s="26">
        <f>IF($A119="","",IFERROR(INDEX('Chart Database'!$B$6:$B$4005,MATCH($A119,'Chart Database'!$A$6:$A$4005,0)),"UNKNOWN CHART"))</f>
        <v/>
      </c>
      <c r="C119" s="23" t="n"/>
      <c r="D119" s="23" t="n"/>
      <c r="E119" s="25" t="n"/>
      <c r="F119" s="15" t="n"/>
      <c r="G119" s="23" t="n"/>
      <c r="H119" s="15" t="n"/>
      <c r="I119" s="15" t="n"/>
      <c r="J119" s="15" t="n"/>
      <c r="K119" s="25" t="n"/>
      <c r="L119" s="15" t="n"/>
      <c r="M119" s="26">
        <f>IF(OR($A119="",$L119&lt;&gt;"Active"),"",COUNTIFS($A$5:$A119,$A119,$L$5:$L119,"Active"))</f>
        <v/>
      </c>
      <c r="N119" s="26">
        <f>IF(OR($A119="",$M119=""),"",IF($M119=IFERROR(INDEX('Chart Database'!$R$6:$R$4005,MATCH($A119,'Chart Database'!$A$6:$A$4005,0)),0),"NEXT",""))</f>
        <v/>
      </c>
      <c r="O119" s="23" t="n"/>
    </row>
    <row r="120">
      <c r="A120" s="23" t="n"/>
      <c r="B120" s="26">
        <f>IF($A120="","",IFERROR(INDEX('Chart Database'!$B$6:$B$4005,MATCH($A120,'Chart Database'!$A$6:$A$4005,0)),"UNKNOWN CHART"))</f>
        <v/>
      </c>
      <c r="C120" s="23" t="n"/>
      <c r="D120" s="23" t="n"/>
      <c r="E120" s="25" t="n"/>
      <c r="F120" s="15" t="n"/>
      <c r="G120" s="23" t="n"/>
      <c r="H120" s="15" t="n"/>
      <c r="I120" s="15" t="n"/>
      <c r="J120" s="15" t="n"/>
      <c r="K120" s="25" t="n"/>
      <c r="L120" s="15" t="n"/>
      <c r="M120" s="26">
        <f>IF(OR($A120="",$L120&lt;&gt;"Active"),"",COUNTIFS($A$5:$A120,$A120,$L$5:$L120,"Active"))</f>
        <v/>
      </c>
      <c r="N120" s="26">
        <f>IF(OR($A120="",$M120=""),"",IF($M120=IFERROR(INDEX('Chart Database'!$R$6:$R$4005,MATCH($A120,'Chart Database'!$A$6:$A$4005,0)),0),"NEXT",""))</f>
        <v/>
      </c>
      <c r="O120" s="23" t="n"/>
    </row>
    <row r="121">
      <c r="A121" s="23" t="n"/>
      <c r="B121" s="26">
        <f>IF($A121="","",IFERROR(INDEX('Chart Database'!$B$6:$B$4005,MATCH($A121,'Chart Database'!$A$6:$A$4005,0)),"UNKNOWN CHART"))</f>
        <v/>
      </c>
      <c r="C121" s="23" t="n"/>
      <c r="D121" s="23" t="n"/>
      <c r="E121" s="25" t="n"/>
      <c r="F121" s="15" t="n"/>
      <c r="G121" s="23" t="n"/>
      <c r="H121" s="15" t="n"/>
      <c r="I121" s="15" t="n"/>
      <c r="J121" s="15" t="n"/>
      <c r="K121" s="25" t="n"/>
      <c r="L121" s="15" t="n"/>
      <c r="M121" s="26">
        <f>IF(OR($A121="",$L121&lt;&gt;"Active"),"",COUNTIFS($A$5:$A121,$A121,$L$5:$L121,"Active"))</f>
        <v/>
      </c>
      <c r="N121" s="26">
        <f>IF(OR($A121="",$M121=""),"",IF($M121=IFERROR(INDEX('Chart Database'!$R$6:$R$4005,MATCH($A121,'Chart Database'!$A$6:$A$4005,0)),0),"NEXT",""))</f>
        <v/>
      </c>
      <c r="O121" s="23" t="n"/>
    </row>
    <row r="122">
      <c r="A122" s="23" t="n"/>
      <c r="B122" s="26">
        <f>IF($A122="","",IFERROR(INDEX('Chart Database'!$B$6:$B$4005,MATCH($A122,'Chart Database'!$A$6:$A$4005,0)),"UNKNOWN CHART"))</f>
        <v/>
      </c>
      <c r="C122" s="23" t="n"/>
      <c r="D122" s="23" t="n"/>
      <c r="E122" s="25" t="n"/>
      <c r="F122" s="15" t="n"/>
      <c r="G122" s="23" t="n"/>
      <c r="H122" s="15" t="n"/>
      <c r="I122" s="15" t="n"/>
      <c r="J122" s="15" t="n"/>
      <c r="K122" s="25" t="n"/>
      <c r="L122" s="15" t="n"/>
      <c r="M122" s="26">
        <f>IF(OR($A122="",$L122&lt;&gt;"Active"),"",COUNTIFS($A$5:$A122,$A122,$L$5:$L122,"Active"))</f>
        <v/>
      </c>
      <c r="N122" s="26">
        <f>IF(OR($A122="",$M122=""),"",IF($M122=IFERROR(INDEX('Chart Database'!$R$6:$R$4005,MATCH($A122,'Chart Database'!$A$6:$A$4005,0)),0),"NEXT",""))</f>
        <v/>
      </c>
      <c r="O122" s="23" t="n"/>
    </row>
    <row r="123">
      <c r="A123" s="23" t="n"/>
      <c r="B123" s="26">
        <f>IF($A123="","",IFERROR(INDEX('Chart Database'!$B$6:$B$4005,MATCH($A123,'Chart Database'!$A$6:$A$4005,0)),"UNKNOWN CHART"))</f>
        <v/>
      </c>
      <c r="C123" s="23" t="n"/>
      <c r="D123" s="23" t="n"/>
      <c r="E123" s="25" t="n"/>
      <c r="F123" s="15" t="n"/>
      <c r="G123" s="23" t="n"/>
      <c r="H123" s="15" t="n"/>
      <c r="I123" s="15" t="n"/>
      <c r="J123" s="15" t="n"/>
      <c r="K123" s="25" t="n"/>
      <c r="L123" s="15" t="n"/>
      <c r="M123" s="26">
        <f>IF(OR($A123="",$L123&lt;&gt;"Active"),"",COUNTIFS($A$5:$A123,$A123,$L$5:$L123,"Active"))</f>
        <v/>
      </c>
      <c r="N123" s="26">
        <f>IF(OR($A123="",$M123=""),"",IF($M123=IFERROR(INDEX('Chart Database'!$R$6:$R$4005,MATCH($A123,'Chart Database'!$A$6:$A$4005,0)),0),"NEXT",""))</f>
        <v/>
      </c>
      <c r="O123" s="23" t="n"/>
    </row>
    <row r="124">
      <c r="A124" s="23" t="n"/>
      <c r="B124" s="26">
        <f>IF($A124="","",IFERROR(INDEX('Chart Database'!$B$6:$B$4005,MATCH($A124,'Chart Database'!$A$6:$A$4005,0)),"UNKNOWN CHART"))</f>
        <v/>
      </c>
      <c r="C124" s="23" t="n"/>
      <c r="D124" s="23" t="n"/>
      <c r="E124" s="25" t="n"/>
      <c r="F124" s="15" t="n"/>
      <c r="G124" s="23" t="n"/>
      <c r="H124" s="15" t="n"/>
      <c r="I124" s="15" t="n"/>
      <c r="J124" s="15" t="n"/>
      <c r="K124" s="25" t="n"/>
      <c r="L124" s="15" t="n"/>
      <c r="M124" s="26">
        <f>IF(OR($A124="",$L124&lt;&gt;"Active"),"",COUNTIFS($A$5:$A124,$A124,$L$5:$L124,"Active"))</f>
        <v/>
      </c>
      <c r="N124" s="26">
        <f>IF(OR($A124="",$M124=""),"",IF($M124=IFERROR(INDEX('Chart Database'!$R$6:$R$4005,MATCH($A124,'Chart Database'!$A$6:$A$4005,0)),0),"NEXT",""))</f>
        <v/>
      </c>
      <c r="O124" s="23" t="n"/>
    </row>
    <row r="125">
      <c r="A125" s="23" t="n"/>
      <c r="B125" s="26">
        <f>IF($A125="","",IFERROR(INDEX('Chart Database'!$B$6:$B$4005,MATCH($A125,'Chart Database'!$A$6:$A$4005,0)),"UNKNOWN CHART"))</f>
        <v/>
      </c>
      <c r="C125" s="23" t="n"/>
      <c r="D125" s="23" t="n"/>
      <c r="E125" s="25" t="n"/>
      <c r="F125" s="15" t="n"/>
      <c r="G125" s="23" t="n"/>
      <c r="H125" s="15" t="n"/>
      <c r="I125" s="15" t="n"/>
      <c r="J125" s="15" t="n"/>
      <c r="K125" s="25" t="n"/>
      <c r="L125" s="15" t="n"/>
      <c r="M125" s="26">
        <f>IF(OR($A125="",$L125&lt;&gt;"Active"),"",COUNTIFS($A$5:$A125,$A125,$L$5:$L125,"Active"))</f>
        <v/>
      </c>
      <c r="N125" s="26">
        <f>IF(OR($A125="",$M125=""),"",IF($M125=IFERROR(INDEX('Chart Database'!$R$6:$R$4005,MATCH($A125,'Chart Database'!$A$6:$A$4005,0)),0),"NEXT",""))</f>
        <v/>
      </c>
      <c r="O125" s="23" t="n"/>
    </row>
    <row r="126">
      <c r="A126" s="23" t="n"/>
      <c r="B126" s="26">
        <f>IF($A126="","",IFERROR(INDEX('Chart Database'!$B$6:$B$4005,MATCH($A126,'Chart Database'!$A$6:$A$4005,0)),"UNKNOWN CHART"))</f>
        <v/>
      </c>
      <c r="C126" s="23" t="n"/>
      <c r="D126" s="23" t="n"/>
      <c r="E126" s="25" t="n"/>
      <c r="F126" s="15" t="n"/>
      <c r="G126" s="23" t="n"/>
      <c r="H126" s="15" t="n"/>
      <c r="I126" s="15" t="n"/>
      <c r="J126" s="15" t="n"/>
      <c r="K126" s="25" t="n"/>
      <c r="L126" s="15" t="n"/>
      <c r="M126" s="26">
        <f>IF(OR($A126="",$L126&lt;&gt;"Active"),"",COUNTIFS($A$5:$A126,$A126,$L$5:$L126,"Active"))</f>
        <v/>
      </c>
      <c r="N126" s="26">
        <f>IF(OR($A126="",$M126=""),"",IF($M126=IFERROR(INDEX('Chart Database'!$R$6:$R$4005,MATCH($A126,'Chart Database'!$A$6:$A$4005,0)),0),"NEXT",""))</f>
        <v/>
      </c>
      <c r="O126" s="23" t="n"/>
    </row>
    <row r="127">
      <c r="A127" s="23" t="n"/>
      <c r="B127" s="26">
        <f>IF($A127="","",IFERROR(INDEX('Chart Database'!$B$6:$B$4005,MATCH($A127,'Chart Database'!$A$6:$A$4005,0)),"UNKNOWN CHART"))</f>
        <v/>
      </c>
      <c r="C127" s="23" t="n"/>
      <c r="D127" s="23" t="n"/>
      <c r="E127" s="25" t="n"/>
      <c r="F127" s="15" t="n"/>
      <c r="G127" s="23" t="n"/>
      <c r="H127" s="15" t="n"/>
      <c r="I127" s="15" t="n"/>
      <c r="J127" s="15" t="n"/>
      <c r="K127" s="25" t="n"/>
      <c r="L127" s="15" t="n"/>
      <c r="M127" s="26">
        <f>IF(OR($A127="",$L127&lt;&gt;"Active"),"",COUNTIFS($A$5:$A127,$A127,$L$5:$L127,"Active"))</f>
        <v/>
      </c>
      <c r="N127" s="26">
        <f>IF(OR($A127="",$M127=""),"",IF($M127=IFERROR(INDEX('Chart Database'!$R$6:$R$4005,MATCH($A127,'Chart Database'!$A$6:$A$4005,0)),0),"NEXT",""))</f>
        <v/>
      </c>
      <c r="O127" s="23" t="n"/>
    </row>
    <row r="128">
      <c r="A128" s="23" t="n"/>
      <c r="B128" s="26">
        <f>IF($A128="","",IFERROR(INDEX('Chart Database'!$B$6:$B$4005,MATCH($A128,'Chart Database'!$A$6:$A$4005,0)),"UNKNOWN CHART"))</f>
        <v/>
      </c>
      <c r="C128" s="23" t="n"/>
      <c r="D128" s="23" t="n"/>
      <c r="E128" s="25" t="n"/>
      <c r="F128" s="15" t="n"/>
      <c r="G128" s="23" t="n"/>
      <c r="H128" s="15" t="n"/>
      <c r="I128" s="15" t="n"/>
      <c r="J128" s="15" t="n"/>
      <c r="K128" s="25" t="n"/>
      <c r="L128" s="15" t="n"/>
      <c r="M128" s="26">
        <f>IF(OR($A128="",$L128&lt;&gt;"Active"),"",COUNTIFS($A$5:$A128,$A128,$L$5:$L128,"Active"))</f>
        <v/>
      </c>
      <c r="N128" s="26">
        <f>IF(OR($A128="",$M128=""),"",IF($M128=IFERROR(INDEX('Chart Database'!$R$6:$R$4005,MATCH($A128,'Chart Database'!$A$6:$A$4005,0)),0),"NEXT",""))</f>
        <v/>
      </c>
      <c r="O128" s="23" t="n"/>
    </row>
    <row r="129">
      <c r="A129" s="23" t="n"/>
      <c r="B129" s="26">
        <f>IF($A129="","",IFERROR(INDEX('Chart Database'!$B$6:$B$4005,MATCH($A129,'Chart Database'!$A$6:$A$4005,0)),"UNKNOWN CHART"))</f>
        <v/>
      </c>
      <c r="C129" s="23" t="n"/>
      <c r="D129" s="23" t="n"/>
      <c r="E129" s="25" t="n"/>
      <c r="F129" s="15" t="n"/>
      <c r="G129" s="23" t="n"/>
      <c r="H129" s="15" t="n"/>
      <c r="I129" s="15" t="n"/>
      <c r="J129" s="15" t="n"/>
      <c r="K129" s="25" t="n"/>
      <c r="L129" s="15" t="n"/>
      <c r="M129" s="26">
        <f>IF(OR($A129="",$L129&lt;&gt;"Active"),"",COUNTIFS($A$5:$A129,$A129,$L$5:$L129,"Active"))</f>
        <v/>
      </c>
      <c r="N129" s="26">
        <f>IF(OR($A129="",$M129=""),"",IF($M129=IFERROR(INDEX('Chart Database'!$R$6:$R$4005,MATCH($A129,'Chart Database'!$A$6:$A$4005,0)),0),"NEXT",""))</f>
        <v/>
      </c>
      <c r="O129" s="23" t="n"/>
    </row>
    <row r="130">
      <c r="A130" s="23" t="n"/>
      <c r="B130" s="26">
        <f>IF($A130="","",IFERROR(INDEX('Chart Database'!$B$6:$B$4005,MATCH($A130,'Chart Database'!$A$6:$A$4005,0)),"UNKNOWN CHART"))</f>
        <v/>
      </c>
      <c r="C130" s="23" t="n"/>
      <c r="D130" s="23" t="n"/>
      <c r="E130" s="25" t="n"/>
      <c r="F130" s="15" t="n"/>
      <c r="G130" s="23" t="n"/>
      <c r="H130" s="15" t="n"/>
      <c r="I130" s="15" t="n"/>
      <c r="J130" s="15" t="n"/>
      <c r="K130" s="25" t="n"/>
      <c r="L130" s="15" t="n"/>
      <c r="M130" s="26">
        <f>IF(OR($A130="",$L130&lt;&gt;"Active"),"",COUNTIFS($A$5:$A130,$A130,$L$5:$L130,"Active"))</f>
        <v/>
      </c>
      <c r="N130" s="26">
        <f>IF(OR($A130="",$M130=""),"",IF($M130=IFERROR(INDEX('Chart Database'!$R$6:$R$4005,MATCH($A130,'Chart Database'!$A$6:$A$4005,0)),0),"NEXT",""))</f>
        <v/>
      </c>
      <c r="O130" s="23" t="n"/>
    </row>
    <row r="131">
      <c r="A131" s="23" t="n"/>
      <c r="B131" s="26">
        <f>IF($A131="","",IFERROR(INDEX('Chart Database'!$B$6:$B$4005,MATCH($A131,'Chart Database'!$A$6:$A$4005,0)),"UNKNOWN CHART"))</f>
        <v/>
      </c>
      <c r="C131" s="23" t="n"/>
      <c r="D131" s="23" t="n"/>
      <c r="E131" s="25" t="n"/>
      <c r="F131" s="15" t="n"/>
      <c r="G131" s="23" t="n"/>
      <c r="H131" s="15" t="n"/>
      <c r="I131" s="15" t="n"/>
      <c r="J131" s="15" t="n"/>
      <c r="K131" s="25" t="n"/>
      <c r="L131" s="15" t="n"/>
      <c r="M131" s="26">
        <f>IF(OR($A131="",$L131&lt;&gt;"Active"),"",COUNTIFS($A$5:$A131,$A131,$L$5:$L131,"Active"))</f>
        <v/>
      </c>
      <c r="N131" s="26">
        <f>IF(OR($A131="",$M131=""),"",IF($M131=IFERROR(INDEX('Chart Database'!$R$6:$R$4005,MATCH($A131,'Chart Database'!$A$6:$A$4005,0)),0),"NEXT",""))</f>
        <v/>
      </c>
      <c r="O131" s="23" t="n"/>
    </row>
    <row r="132">
      <c r="A132" s="23" t="n"/>
      <c r="B132" s="26">
        <f>IF($A132="","",IFERROR(INDEX('Chart Database'!$B$6:$B$4005,MATCH($A132,'Chart Database'!$A$6:$A$4005,0)),"UNKNOWN CHART"))</f>
        <v/>
      </c>
      <c r="C132" s="23" t="n"/>
      <c r="D132" s="23" t="n"/>
      <c r="E132" s="25" t="n"/>
      <c r="F132" s="15" t="n"/>
      <c r="G132" s="23" t="n"/>
      <c r="H132" s="15" t="n"/>
      <c r="I132" s="15" t="n"/>
      <c r="J132" s="15" t="n"/>
      <c r="K132" s="25" t="n"/>
      <c r="L132" s="15" t="n"/>
      <c r="M132" s="26">
        <f>IF(OR($A132="",$L132&lt;&gt;"Active"),"",COUNTIFS($A$5:$A132,$A132,$L$5:$L132,"Active"))</f>
        <v/>
      </c>
      <c r="N132" s="26">
        <f>IF(OR($A132="",$M132=""),"",IF($M132=IFERROR(INDEX('Chart Database'!$R$6:$R$4005,MATCH($A132,'Chart Database'!$A$6:$A$4005,0)),0),"NEXT",""))</f>
        <v/>
      </c>
      <c r="O132" s="23" t="n"/>
    </row>
    <row r="133">
      <c r="A133" s="23" t="n"/>
      <c r="B133" s="26">
        <f>IF($A133="","",IFERROR(INDEX('Chart Database'!$B$6:$B$4005,MATCH($A133,'Chart Database'!$A$6:$A$4005,0)),"UNKNOWN CHART"))</f>
        <v/>
      </c>
      <c r="C133" s="23" t="n"/>
      <c r="D133" s="23" t="n"/>
      <c r="E133" s="25" t="n"/>
      <c r="F133" s="15" t="n"/>
      <c r="G133" s="23" t="n"/>
      <c r="H133" s="15" t="n"/>
      <c r="I133" s="15" t="n"/>
      <c r="J133" s="15" t="n"/>
      <c r="K133" s="25" t="n"/>
      <c r="L133" s="15" t="n"/>
      <c r="M133" s="26">
        <f>IF(OR($A133="",$L133&lt;&gt;"Active"),"",COUNTIFS($A$5:$A133,$A133,$L$5:$L133,"Active"))</f>
        <v/>
      </c>
      <c r="N133" s="26">
        <f>IF(OR($A133="",$M133=""),"",IF($M133=IFERROR(INDEX('Chart Database'!$R$6:$R$4005,MATCH($A133,'Chart Database'!$A$6:$A$4005,0)),0),"NEXT",""))</f>
        <v/>
      </c>
      <c r="O133" s="23" t="n"/>
    </row>
    <row r="134">
      <c r="A134" s="23" t="n"/>
      <c r="B134" s="26">
        <f>IF($A134="","",IFERROR(INDEX('Chart Database'!$B$6:$B$4005,MATCH($A134,'Chart Database'!$A$6:$A$4005,0)),"UNKNOWN CHART"))</f>
        <v/>
      </c>
      <c r="C134" s="23" t="n"/>
      <c r="D134" s="23" t="n"/>
      <c r="E134" s="25" t="n"/>
      <c r="F134" s="15" t="n"/>
      <c r="G134" s="23" t="n"/>
      <c r="H134" s="15" t="n"/>
      <c r="I134" s="15" t="n"/>
      <c r="J134" s="15" t="n"/>
      <c r="K134" s="25" t="n"/>
      <c r="L134" s="15" t="n"/>
      <c r="M134" s="26">
        <f>IF(OR($A134="",$L134&lt;&gt;"Active"),"",COUNTIFS($A$5:$A134,$A134,$L$5:$L134,"Active"))</f>
        <v/>
      </c>
      <c r="N134" s="26">
        <f>IF(OR($A134="",$M134=""),"",IF($M134=IFERROR(INDEX('Chart Database'!$R$6:$R$4005,MATCH($A134,'Chart Database'!$A$6:$A$4005,0)),0),"NEXT",""))</f>
        <v/>
      </c>
      <c r="O134" s="23" t="n"/>
    </row>
    <row r="135">
      <c r="A135" s="23" t="n"/>
      <c r="B135" s="26">
        <f>IF($A135="","",IFERROR(INDEX('Chart Database'!$B$6:$B$4005,MATCH($A135,'Chart Database'!$A$6:$A$4005,0)),"UNKNOWN CHART"))</f>
        <v/>
      </c>
      <c r="C135" s="23" t="n"/>
      <c r="D135" s="23" t="n"/>
      <c r="E135" s="25" t="n"/>
      <c r="F135" s="15" t="n"/>
      <c r="G135" s="23" t="n"/>
      <c r="H135" s="15" t="n"/>
      <c r="I135" s="15" t="n"/>
      <c r="J135" s="15" t="n"/>
      <c r="K135" s="25" t="n"/>
      <c r="L135" s="15" t="n"/>
      <c r="M135" s="26">
        <f>IF(OR($A135="",$L135&lt;&gt;"Active"),"",COUNTIFS($A$5:$A135,$A135,$L$5:$L135,"Active"))</f>
        <v/>
      </c>
      <c r="N135" s="26">
        <f>IF(OR($A135="",$M135=""),"",IF($M135=IFERROR(INDEX('Chart Database'!$R$6:$R$4005,MATCH($A135,'Chart Database'!$A$6:$A$4005,0)),0),"NEXT",""))</f>
        <v/>
      </c>
      <c r="O135" s="23" t="n"/>
    </row>
    <row r="136">
      <c r="A136" s="23" t="n"/>
      <c r="B136" s="26">
        <f>IF($A136="","",IFERROR(INDEX('Chart Database'!$B$6:$B$4005,MATCH($A136,'Chart Database'!$A$6:$A$4005,0)),"UNKNOWN CHART"))</f>
        <v/>
      </c>
      <c r="C136" s="23" t="n"/>
      <c r="D136" s="23" t="n"/>
      <c r="E136" s="25" t="n"/>
      <c r="F136" s="15" t="n"/>
      <c r="G136" s="23" t="n"/>
      <c r="H136" s="15" t="n"/>
      <c r="I136" s="15" t="n"/>
      <c r="J136" s="15" t="n"/>
      <c r="K136" s="25" t="n"/>
      <c r="L136" s="15" t="n"/>
      <c r="M136" s="26">
        <f>IF(OR($A136="",$L136&lt;&gt;"Active"),"",COUNTIFS($A$5:$A136,$A136,$L$5:$L136,"Active"))</f>
        <v/>
      </c>
      <c r="N136" s="26">
        <f>IF(OR($A136="",$M136=""),"",IF($M136=IFERROR(INDEX('Chart Database'!$R$6:$R$4005,MATCH($A136,'Chart Database'!$A$6:$A$4005,0)),0),"NEXT",""))</f>
        <v/>
      </c>
      <c r="O136" s="23" t="n"/>
    </row>
    <row r="137">
      <c r="A137" s="23" t="n"/>
      <c r="B137" s="26">
        <f>IF($A137="","",IFERROR(INDEX('Chart Database'!$B$6:$B$4005,MATCH($A137,'Chart Database'!$A$6:$A$4005,0)),"UNKNOWN CHART"))</f>
        <v/>
      </c>
      <c r="C137" s="23" t="n"/>
      <c r="D137" s="23" t="n"/>
      <c r="E137" s="25" t="n"/>
      <c r="F137" s="15" t="n"/>
      <c r="G137" s="23" t="n"/>
      <c r="H137" s="15" t="n"/>
      <c r="I137" s="15" t="n"/>
      <c r="J137" s="15" t="n"/>
      <c r="K137" s="25" t="n"/>
      <c r="L137" s="15" t="n"/>
      <c r="M137" s="26">
        <f>IF(OR($A137="",$L137&lt;&gt;"Active"),"",COUNTIFS($A$5:$A137,$A137,$L$5:$L137,"Active"))</f>
        <v/>
      </c>
      <c r="N137" s="26">
        <f>IF(OR($A137="",$M137=""),"",IF($M137=IFERROR(INDEX('Chart Database'!$R$6:$R$4005,MATCH($A137,'Chart Database'!$A$6:$A$4005,0)),0),"NEXT",""))</f>
        <v/>
      </c>
      <c r="O137" s="23" t="n"/>
    </row>
    <row r="138">
      <c r="A138" s="23" t="n"/>
      <c r="B138" s="26">
        <f>IF($A138="","",IFERROR(INDEX('Chart Database'!$B$6:$B$4005,MATCH($A138,'Chart Database'!$A$6:$A$4005,0)),"UNKNOWN CHART"))</f>
        <v/>
      </c>
      <c r="C138" s="23" t="n"/>
      <c r="D138" s="23" t="n"/>
      <c r="E138" s="25" t="n"/>
      <c r="F138" s="15" t="n"/>
      <c r="G138" s="23" t="n"/>
      <c r="H138" s="15" t="n"/>
      <c r="I138" s="15" t="n"/>
      <c r="J138" s="15" t="n"/>
      <c r="K138" s="25" t="n"/>
      <c r="L138" s="15" t="n"/>
      <c r="M138" s="26">
        <f>IF(OR($A138="",$L138&lt;&gt;"Active"),"",COUNTIFS($A$5:$A138,$A138,$L$5:$L138,"Active"))</f>
        <v/>
      </c>
      <c r="N138" s="26">
        <f>IF(OR($A138="",$M138=""),"",IF($M138=IFERROR(INDEX('Chart Database'!$R$6:$R$4005,MATCH($A138,'Chart Database'!$A$6:$A$4005,0)),0),"NEXT",""))</f>
        <v/>
      </c>
      <c r="O138" s="23" t="n"/>
    </row>
    <row r="139">
      <c r="A139" s="23" t="n"/>
      <c r="B139" s="26">
        <f>IF($A139="","",IFERROR(INDEX('Chart Database'!$B$6:$B$4005,MATCH($A139,'Chart Database'!$A$6:$A$4005,0)),"UNKNOWN CHART"))</f>
        <v/>
      </c>
      <c r="C139" s="23" t="n"/>
      <c r="D139" s="23" t="n"/>
      <c r="E139" s="25" t="n"/>
      <c r="F139" s="15" t="n"/>
      <c r="G139" s="23" t="n"/>
      <c r="H139" s="15" t="n"/>
      <c r="I139" s="15" t="n"/>
      <c r="J139" s="15" t="n"/>
      <c r="K139" s="25" t="n"/>
      <c r="L139" s="15" t="n"/>
      <c r="M139" s="26">
        <f>IF(OR($A139="",$L139&lt;&gt;"Active"),"",COUNTIFS($A$5:$A139,$A139,$L$5:$L139,"Active"))</f>
        <v/>
      </c>
      <c r="N139" s="26">
        <f>IF(OR($A139="",$M139=""),"",IF($M139=IFERROR(INDEX('Chart Database'!$R$6:$R$4005,MATCH($A139,'Chart Database'!$A$6:$A$4005,0)),0),"NEXT",""))</f>
        <v/>
      </c>
      <c r="O139" s="23" t="n"/>
    </row>
    <row r="140">
      <c r="A140" s="23" t="n"/>
      <c r="B140" s="26">
        <f>IF($A140="","",IFERROR(INDEX('Chart Database'!$B$6:$B$4005,MATCH($A140,'Chart Database'!$A$6:$A$4005,0)),"UNKNOWN CHART"))</f>
        <v/>
      </c>
      <c r="C140" s="23" t="n"/>
      <c r="D140" s="23" t="n"/>
      <c r="E140" s="25" t="n"/>
      <c r="F140" s="15" t="n"/>
      <c r="G140" s="23" t="n"/>
      <c r="H140" s="15" t="n"/>
      <c r="I140" s="15" t="n"/>
      <c r="J140" s="15" t="n"/>
      <c r="K140" s="25" t="n"/>
      <c r="L140" s="15" t="n"/>
      <c r="M140" s="26">
        <f>IF(OR($A140="",$L140&lt;&gt;"Active"),"",COUNTIFS($A$5:$A140,$A140,$L$5:$L140,"Active"))</f>
        <v/>
      </c>
      <c r="N140" s="26">
        <f>IF(OR($A140="",$M140=""),"",IF($M140=IFERROR(INDEX('Chart Database'!$R$6:$R$4005,MATCH($A140,'Chart Database'!$A$6:$A$4005,0)),0),"NEXT",""))</f>
        <v/>
      </c>
      <c r="O140" s="23" t="n"/>
    </row>
    <row r="141">
      <c r="A141" s="23" t="n"/>
      <c r="B141" s="26">
        <f>IF($A141="","",IFERROR(INDEX('Chart Database'!$B$6:$B$4005,MATCH($A141,'Chart Database'!$A$6:$A$4005,0)),"UNKNOWN CHART"))</f>
        <v/>
      </c>
      <c r="C141" s="23" t="n"/>
      <c r="D141" s="23" t="n"/>
      <c r="E141" s="25" t="n"/>
      <c r="F141" s="15" t="n"/>
      <c r="G141" s="23" t="n"/>
      <c r="H141" s="15" t="n"/>
      <c r="I141" s="15" t="n"/>
      <c r="J141" s="15" t="n"/>
      <c r="K141" s="25" t="n"/>
      <c r="L141" s="15" t="n"/>
      <c r="M141" s="26">
        <f>IF(OR($A141="",$L141&lt;&gt;"Active"),"",COUNTIFS($A$5:$A141,$A141,$L$5:$L141,"Active"))</f>
        <v/>
      </c>
      <c r="N141" s="26">
        <f>IF(OR($A141="",$M141=""),"",IF($M141=IFERROR(INDEX('Chart Database'!$R$6:$R$4005,MATCH($A141,'Chart Database'!$A$6:$A$4005,0)),0),"NEXT",""))</f>
        <v/>
      </c>
      <c r="O141" s="23" t="n"/>
    </row>
    <row r="142">
      <c r="A142" s="23" t="n"/>
      <c r="B142" s="26">
        <f>IF($A142="","",IFERROR(INDEX('Chart Database'!$B$6:$B$4005,MATCH($A142,'Chart Database'!$A$6:$A$4005,0)),"UNKNOWN CHART"))</f>
        <v/>
      </c>
      <c r="C142" s="23" t="n"/>
      <c r="D142" s="23" t="n"/>
      <c r="E142" s="25" t="n"/>
      <c r="F142" s="15" t="n"/>
      <c r="G142" s="23" t="n"/>
      <c r="H142" s="15" t="n"/>
      <c r="I142" s="15" t="n"/>
      <c r="J142" s="15" t="n"/>
      <c r="K142" s="25" t="n"/>
      <c r="L142" s="15" t="n"/>
      <c r="M142" s="26">
        <f>IF(OR($A142="",$L142&lt;&gt;"Active"),"",COUNTIFS($A$5:$A142,$A142,$L$5:$L142,"Active"))</f>
        <v/>
      </c>
      <c r="N142" s="26">
        <f>IF(OR($A142="",$M142=""),"",IF($M142=IFERROR(INDEX('Chart Database'!$R$6:$R$4005,MATCH($A142,'Chart Database'!$A$6:$A$4005,0)),0),"NEXT",""))</f>
        <v/>
      </c>
      <c r="O142" s="23" t="n"/>
    </row>
    <row r="143">
      <c r="A143" s="23" t="n"/>
      <c r="B143" s="26">
        <f>IF($A143="","",IFERROR(INDEX('Chart Database'!$B$6:$B$4005,MATCH($A143,'Chart Database'!$A$6:$A$4005,0)),"UNKNOWN CHART"))</f>
        <v/>
      </c>
      <c r="C143" s="23" t="n"/>
      <c r="D143" s="23" t="n"/>
      <c r="E143" s="25" t="n"/>
      <c r="F143" s="15" t="n"/>
      <c r="G143" s="23" t="n"/>
      <c r="H143" s="15" t="n"/>
      <c r="I143" s="15" t="n"/>
      <c r="J143" s="15" t="n"/>
      <c r="K143" s="25" t="n"/>
      <c r="L143" s="15" t="n"/>
      <c r="M143" s="26">
        <f>IF(OR($A143="",$L143&lt;&gt;"Active"),"",COUNTIFS($A$5:$A143,$A143,$L$5:$L143,"Active"))</f>
        <v/>
      </c>
      <c r="N143" s="26">
        <f>IF(OR($A143="",$M143=""),"",IF($M143=IFERROR(INDEX('Chart Database'!$R$6:$R$4005,MATCH($A143,'Chart Database'!$A$6:$A$4005,0)),0),"NEXT",""))</f>
        <v/>
      </c>
      <c r="O143" s="23" t="n"/>
    </row>
    <row r="144">
      <c r="A144" s="23" t="n"/>
      <c r="B144" s="26">
        <f>IF($A144="","",IFERROR(INDEX('Chart Database'!$B$6:$B$4005,MATCH($A144,'Chart Database'!$A$6:$A$4005,0)),"UNKNOWN CHART"))</f>
        <v/>
      </c>
      <c r="C144" s="23" t="n"/>
      <c r="D144" s="23" t="n"/>
      <c r="E144" s="25" t="n"/>
      <c r="F144" s="15" t="n"/>
      <c r="G144" s="23" t="n"/>
      <c r="H144" s="15" t="n"/>
      <c r="I144" s="15" t="n"/>
      <c r="J144" s="15" t="n"/>
      <c r="K144" s="25" t="n"/>
      <c r="L144" s="15" t="n"/>
      <c r="M144" s="26">
        <f>IF(OR($A144="",$L144&lt;&gt;"Active"),"",COUNTIFS($A$5:$A144,$A144,$L$5:$L144,"Active"))</f>
        <v/>
      </c>
      <c r="N144" s="26">
        <f>IF(OR($A144="",$M144=""),"",IF($M144=IFERROR(INDEX('Chart Database'!$R$6:$R$4005,MATCH($A144,'Chart Database'!$A$6:$A$4005,0)),0),"NEXT",""))</f>
        <v/>
      </c>
      <c r="O144" s="23" t="n"/>
    </row>
    <row r="145">
      <c r="A145" s="23" t="n"/>
      <c r="B145" s="26">
        <f>IF($A145="","",IFERROR(INDEX('Chart Database'!$B$6:$B$4005,MATCH($A145,'Chart Database'!$A$6:$A$4005,0)),"UNKNOWN CHART"))</f>
        <v/>
      </c>
      <c r="C145" s="23" t="n"/>
      <c r="D145" s="23" t="n"/>
      <c r="E145" s="25" t="n"/>
      <c r="F145" s="15" t="n"/>
      <c r="G145" s="23" t="n"/>
      <c r="H145" s="15" t="n"/>
      <c r="I145" s="15" t="n"/>
      <c r="J145" s="15" t="n"/>
      <c r="K145" s="25" t="n"/>
      <c r="L145" s="15" t="n"/>
      <c r="M145" s="26">
        <f>IF(OR($A145="",$L145&lt;&gt;"Active"),"",COUNTIFS($A$5:$A145,$A145,$L$5:$L145,"Active"))</f>
        <v/>
      </c>
      <c r="N145" s="26">
        <f>IF(OR($A145="",$M145=""),"",IF($M145=IFERROR(INDEX('Chart Database'!$R$6:$R$4005,MATCH($A145,'Chart Database'!$A$6:$A$4005,0)),0),"NEXT",""))</f>
        <v/>
      </c>
      <c r="O145" s="23" t="n"/>
    </row>
    <row r="146">
      <c r="A146" s="23" t="n"/>
      <c r="B146" s="26">
        <f>IF($A146="","",IFERROR(INDEX('Chart Database'!$B$6:$B$4005,MATCH($A146,'Chart Database'!$A$6:$A$4005,0)),"UNKNOWN CHART"))</f>
        <v/>
      </c>
      <c r="C146" s="23" t="n"/>
      <c r="D146" s="23" t="n"/>
      <c r="E146" s="25" t="n"/>
      <c r="F146" s="15" t="n"/>
      <c r="G146" s="23" t="n"/>
      <c r="H146" s="15" t="n"/>
      <c r="I146" s="15" t="n"/>
      <c r="J146" s="15" t="n"/>
      <c r="K146" s="25" t="n"/>
      <c r="L146" s="15" t="n"/>
      <c r="M146" s="26">
        <f>IF(OR($A146="",$L146&lt;&gt;"Active"),"",COUNTIFS($A$5:$A146,$A146,$L$5:$L146,"Active"))</f>
        <v/>
      </c>
      <c r="N146" s="26">
        <f>IF(OR($A146="",$M146=""),"",IF($M146=IFERROR(INDEX('Chart Database'!$R$6:$R$4005,MATCH($A146,'Chart Database'!$A$6:$A$4005,0)),0),"NEXT",""))</f>
        <v/>
      </c>
      <c r="O146" s="23" t="n"/>
    </row>
    <row r="147">
      <c r="A147" s="23" t="n"/>
      <c r="B147" s="26">
        <f>IF($A147="","",IFERROR(INDEX('Chart Database'!$B$6:$B$4005,MATCH($A147,'Chart Database'!$A$6:$A$4005,0)),"UNKNOWN CHART"))</f>
        <v/>
      </c>
      <c r="C147" s="23" t="n"/>
      <c r="D147" s="23" t="n"/>
      <c r="E147" s="25" t="n"/>
      <c r="F147" s="15" t="n"/>
      <c r="G147" s="23" t="n"/>
      <c r="H147" s="15" t="n"/>
      <c r="I147" s="15" t="n"/>
      <c r="J147" s="15" t="n"/>
      <c r="K147" s="25" t="n"/>
      <c r="L147" s="15" t="n"/>
      <c r="M147" s="26">
        <f>IF(OR($A147="",$L147&lt;&gt;"Active"),"",COUNTIFS($A$5:$A147,$A147,$L$5:$L147,"Active"))</f>
        <v/>
      </c>
      <c r="N147" s="26">
        <f>IF(OR($A147="",$M147=""),"",IF($M147=IFERROR(INDEX('Chart Database'!$R$6:$R$4005,MATCH($A147,'Chart Database'!$A$6:$A$4005,0)),0),"NEXT",""))</f>
        <v/>
      </c>
      <c r="O147" s="23" t="n"/>
    </row>
    <row r="148">
      <c r="A148" s="23" t="n"/>
      <c r="B148" s="26">
        <f>IF($A148="","",IFERROR(INDEX('Chart Database'!$B$6:$B$4005,MATCH($A148,'Chart Database'!$A$6:$A$4005,0)),"UNKNOWN CHART"))</f>
        <v/>
      </c>
      <c r="C148" s="23" t="n"/>
      <c r="D148" s="23" t="n"/>
      <c r="E148" s="25" t="n"/>
      <c r="F148" s="15" t="n"/>
      <c r="G148" s="23" t="n"/>
      <c r="H148" s="15" t="n"/>
      <c r="I148" s="15" t="n"/>
      <c r="J148" s="15" t="n"/>
      <c r="K148" s="25" t="n"/>
      <c r="L148" s="15" t="n"/>
      <c r="M148" s="26">
        <f>IF(OR($A148="",$L148&lt;&gt;"Active"),"",COUNTIFS($A$5:$A148,$A148,$L$5:$L148,"Active"))</f>
        <v/>
      </c>
      <c r="N148" s="26">
        <f>IF(OR($A148="",$M148=""),"",IF($M148=IFERROR(INDEX('Chart Database'!$R$6:$R$4005,MATCH($A148,'Chart Database'!$A$6:$A$4005,0)),0),"NEXT",""))</f>
        <v/>
      </c>
      <c r="O148" s="23" t="n"/>
    </row>
    <row r="149">
      <c r="A149" s="23" t="n"/>
      <c r="B149" s="26">
        <f>IF($A149="","",IFERROR(INDEX('Chart Database'!$B$6:$B$4005,MATCH($A149,'Chart Database'!$A$6:$A$4005,0)),"UNKNOWN CHART"))</f>
        <v/>
      </c>
      <c r="C149" s="23" t="n"/>
      <c r="D149" s="23" t="n"/>
      <c r="E149" s="25" t="n"/>
      <c r="F149" s="15" t="n"/>
      <c r="G149" s="23" t="n"/>
      <c r="H149" s="15" t="n"/>
      <c r="I149" s="15" t="n"/>
      <c r="J149" s="15" t="n"/>
      <c r="K149" s="25" t="n"/>
      <c r="L149" s="15" t="n"/>
      <c r="M149" s="26">
        <f>IF(OR($A149="",$L149&lt;&gt;"Active"),"",COUNTIFS($A$5:$A149,$A149,$L$5:$L149,"Active"))</f>
        <v/>
      </c>
      <c r="N149" s="26">
        <f>IF(OR($A149="",$M149=""),"",IF($M149=IFERROR(INDEX('Chart Database'!$R$6:$R$4005,MATCH($A149,'Chart Database'!$A$6:$A$4005,0)),0),"NEXT",""))</f>
        <v/>
      </c>
      <c r="O149" s="23" t="n"/>
    </row>
    <row r="150">
      <c r="A150" s="23" t="n"/>
      <c r="B150" s="26">
        <f>IF($A150="","",IFERROR(INDEX('Chart Database'!$B$6:$B$4005,MATCH($A150,'Chart Database'!$A$6:$A$4005,0)),"UNKNOWN CHART"))</f>
        <v/>
      </c>
      <c r="C150" s="23" t="n"/>
      <c r="D150" s="23" t="n"/>
      <c r="E150" s="25" t="n"/>
      <c r="F150" s="15" t="n"/>
      <c r="G150" s="23" t="n"/>
      <c r="H150" s="15" t="n"/>
      <c r="I150" s="15" t="n"/>
      <c r="J150" s="15" t="n"/>
      <c r="K150" s="25" t="n"/>
      <c r="L150" s="15" t="n"/>
      <c r="M150" s="26">
        <f>IF(OR($A150="",$L150&lt;&gt;"Active"),"",COUNTIFS($A$5:$A150,$A150,$L$5:$L150,"Active"))</f>
        <v/>
      </c>
      <c r="N150" s="26">
        <f>IF(OR($A150="",$M150=""),"",IF($M150=IFERROR(INDEX('Chart Database'!$R$6:$R$4005,MATCH($A150,'Chart Database'!$A$6:$A$4005,0)),0),"NEXT",""))</f>
        <v/>
      </c>
      <c r="O150" s="23" t="n"/>
    </row>
    <row r="151">
      <c r="A151" s="23" t="n"/>
      <c r="B151" s="26">
        <f>IF($A151="","",IFERROR(INDEX('Chart Database'!$B$6:$B$4005,MATCH($A151,'Chart Database'!$A$6:$A$4005,0)),"UNKNOWN CHART"))</f>
        <v/>
      </c>
      <c r="C151" s="23" t="n"/>
      <c r="D151" s="23" t="n"/>
      <c r="E151" s="25" t="n"/>
      <c r="F151" s="15" t="n"/>
      <c r="G151" s="23" t="n"/>
      <c r="H151" s="15" t="n"/>
      <c r="I151" s="15" t="n"/>
      <c r="J151" s="15" t="n"/>
      <c r="K151" s="25" t="n"/>
      <c r="L151" s="15" t="n"/>
      <c r="M151" s="26">
        <f>IF(OR($A151="",$L151&lt;&gt;"Active"),"",COUNTIFS($A$5:$A151,$A151,$L$5:$L151,"Active"))</f>
        <v/>
      </c>
      <c r="N151" s="26">
        <f>IF(OR($A151="",$M151=""),"",IF($M151=IFERROR(INDEX('Chart Database'!$R$6:$R$4005,MATCH($A151,'Chart Database'!$A$6:$A$4005,0)),0),"NEXT",""))</f>
        <v/>
      </c>
      <c r="O151" s="23" t="n"/>
    </row>
    <row r="152">
      <c r="A152" s="23" t="n"/>
      <c r="B152" s="26">
        <f>IF($A152="","",IFERROR(INDEX('Chart Database'!$B$6:$B$4005,MATCH($A152,'Chart Database'!$A$6:$A$4005,0)),"UNKNOWN CHART"))</f>
        <v/>
      </c>
      <c r="C152" s="23" t="n"/>
      <c r="D152" s="23" t="n"/>
      <c r="E152" s="25" t="n"/>
      <c r="F152" s="15" t="n"/>
      <c r="G152" s="23" t="n"/>
      <c r="H152" s="15" t="n"/>
      <c r="I152" s="15" t="n"/>
      <c r="J152" s="15" t="n"/>
      <c r="K152" s="25" t="n"/>
      <c r="L152" s="15" t="n"/>
      <c r="M152" s="26">
        <f>IF(OR($A152="",$L152&lt;&gt;"Active"),"",COUNTIFS($A$5:$A152,$A152,$L$5:$L152,"Active"))</f>
        <v/>
      </c>
      <c r="N152" s="26">
        <f>IF(OR($A152="",$M152=""),"",IF($M152=IFERROR(INDEX('Chart Database'!$R$6:$R$4005,MATCH($A152,'Chart Database'!$A$6:$A$4005,0)),0),"NEXT",""))</f>
        <v/>
      </c>
      <c r="O152" s="23" t="n"/>
    </row>
    <row r="153">
      <c r="A153" s="23" t="n"/>
      <c r="B153" s="26">
        <f>IF($A153="","",IFERROR(INDEX('Chart Database'!$B$6:$B$4005,MATCH($A153,'Chart Database'!$A$6:$A$4005,0)),"UNKNOWN CHART"))</f>
        <v/>
      </c>
      <c r="C153" s="23" t="n"/>
      <c r="D153" s="23" t="n"/>
      <c r="E153" s="25" t="n"/>
      <c r="F153" s="15" t="n"/>
      <c r="G153" s="23" t="n"/>
      <c r="H153" s="15" t="n"/>
      <c r="I153" s="15" t="n"/>
      <c r="J153" s="15" t="n"/>
      <c r="K153" s="25" t="n"/>
      <c r="L153" s="15" t="n"/>
      <c r="M153" s="26">
        <f>IF(OR($A153="",$L153&lt;&gt;"Active"),"",COUNTIFS($A$5:$A153,$A153,$L$5:$L153,"Active"))</f>
        <v/>
      </c>
      <c r="N153" s="26">
        <f>IF(OR($A153="",$M153=""),"",IF($M153=IFERROR(INDEX('Chart Database'!$R$6:$R$4005,MATCH($A153,'Chart Database'!$A$6:$A$4005,0)),0),"NEXT",""))</f>
        <v/>
      </c>
      <c r="O153" s="23" t="n"/>
    </row>
    <row r="154">
      <c r="A154" s="23" t="n"/>
      <c r="B154" s="26">
        <f>IF($A154="","",IFERROR(INDEX('Chart Database'!$B$6:$B$4005,MATCH($A154,'Chart Database'!$A$6:$A$4005,0)),"UNKNOWN CHART"))</f>
        <v/>
      </c>
      <c r="C154" s="23" t="n"/>
      <c r="D154" s="23" t="n"/>
      <c r="E154" s="25" t="n"/>
      <c r="F154" s="15" t="n"/>
      <c r="G154" s="23" t="n"/>
      <c r="H154" s="15" t="n"/>
      <c r="I154" s="15" t="n"/>
      <c r="J154" s="15" t="n"/>
      <c r="K154" s="25" t="n"/>
      <c r="L154" s="15" t="n"/>
      <c r="M154" s="26">
        <f>IF(OR($A154="",$L154&lt;&gt;"Active"),"",COUNTIFS($A$5:$A154,$A154,$L$5:$L154,"Active"))</f>
        <v/>
      </c>
      <c r="N154" s="26">
        <f>IF(OR($A154="",$M154=""),"",IF($M154=IFERROR(INDEX('Chart Database'!$R$6:$R$4005,MATCH($A154,'Chart Database'!$A$6:$A$4005,0)),0),"NEXT",""))</f>
        <v/>
      </c>
      <c r="O154" s="23" t="n"/>
    </row>
    <row r="155">
      <c r="A155" s="23" t="n"/>
      <c r="B155" s="26">
        <f>IF($A155="","",IFERROR(INDEX('Chart Database'!$B$6:$B$4005,MATCH($A155,'Chart Database'!$A$6:$A$4005,0)),"UNKNOWN CHART"))</f>
        <v/>
      </c>
      <c r="C155" s="23" t="n"/>
      <c r="D155" s="23" t="n"/>
      <c r="E155" s="25" t="n"/>
      <c r="F155" s="15" t="n"/>
      <c r="G155" s="23" t="n"/>
      <c r="H155" s="15" t="n"/>
      <c r="I155" s="15" t="n"/>
      <c r="J155" s="15" t="n"/>
      <c r="K155" s="25" t="n"/>
      <c r="L155" s="15" t="n"/>
      <c r="M155" s="26">
        <f>IF(OR($A155="",$L155&lt;&gt;"Active"),"",COUNTIFS($A$5:$A155,$A155,$L$5:$L155,"Active"))</f>
        <v/>
      </c>
      <c r="N155" s="26">
        <f>IF(OR($A155="",$M155=""),"",IF($M155=IFERROR(INDEX('Chart Database'!$R$6:$R$4005,MATCH($A155,'Chart Database'!$A$6:$A$4005,0)),0),"NEXT",""))</f>
        <v/>
      </c>
      <c r="O155" s="23" t="n"/>
    </row>
    <row r="156">
      <c r="A156" s="23" t="n"/>
      <c r="B156" s="26">
        <f>IF($A156="","",IFERROR(INDEX('Chart Database'!$B$6:$B$4005,MATCH($A156,'Chart Database'!$A$6:$A$4005,0)),"UNKNOWN CHART"))</f>
        <v/>
      </c>
      <c r="C156" s="23" t="n"/>
      <c r="D156" s="23" t="n"/>
      <c r="E156" s="25" t="n"/>
      <c r="F156" s="15" t="n"/>
      <c r="G156" s="23" t="n"/>
      <c r="H156" s="15" t="n"/>
      <c r="I156" s="15" t="n"/>
      <c r="J156" s="15" t="n"/>
      <c r="K156" s="25" t="n"/>
      <c r="L156" s="15" t="n"/>
      <c r="M156" s="26">
        <f>IF(OR($A156="",$L156&lt;&gt;"Active"),"",COUNTIFS($A$5:$A156,$A156,$L$5:$L156,"Active"))</f>
        <v/>
      </c>
      <c r="N156" s="26">
        <f>IF(OR($A156="",$M156=""),"",IF($M156=IFERROR(INDEX('Chart Database'!$R$6:$R$4005,MATCH($A156,'Chart Database'!$A$6:$A$4005,0)),0),"NEXT",""))</f>
        <v/>
      </c>
      <c r="O156" s="23" t="n"/>
    </row>
    <row r="157">
      <c r="A157" s="23" t="n"/>
      <c r="B157" s="26">
        <f>IF($A157="","",IFERROR(INDEX('Chart Database'!$B$6:$B$4005,MATCH($A157,'Chart Database'!$A$6:$A$4005,0)),"UNKNOWN CHART"))</f>
        <v/>
      </c>
      <c r="C157" s="23" t="n"/>
      <c r="D157" s="23" t="n"/>
      <c r="E157" s="25" t="n"/>
      <c r="F157" s="15" t="n"/>
      <c r="G157" s="23" t="n"/>
      <c r="H157" s="15" t="n"/>
      <c r="I157" s="15" t="n"/>
      <c r="J157" s="15" t="n"/>
      <c r="K157" s="25" t="n"/>
      <c r="L157" s="15" t="n"/>
      <c r="M157" s="26">
        <f>IF(OR($A157="",$L157&lt;&gt;"Active"),"",COUNTIFS($A$5:$A157,$A157,$L$5:$L157,"Active"))</f>
        <v/>
      </c>
      <c r="N157" s="26">
        <f>IF(OR($A157="",$M157=""),"",IF($M157=IFERROR(INDEX('Chart Database'!$R$6:$R$4005,MATCH($A157,'Chart Database'!$A$6:$A$4005,0)),0),"NEXT",""))</f>
        <v/>
      </c>
      <c r="O157" s="23" t="n"/>
    </row>
    <row r="158">
      <c r="A158" s="23" t="n"/>
      <c r="B158" s="26">
        <f>IF($A158="","",IFERROR(INDEX('Chart Database'!$B$6:$B$4005,MATCH($A158,'Chart Database'!$A$6:$A$4005,0)),"UNKNOWN CHART"))</f>
        <v/>
      </c>
      <c r="C158" s="23" t="n"/>
      <c r="D158" s="23" t="n"/>
      <c r="E158" s="25" t="n"/>
      <c r="F158" s="15" t="n"/>
      <c r="G158" s="23" t="n"/>
      <c r="H158" s="15" t="n"/>
      <c r="I158" s="15" t="n"/>
      <c r="J158" s="15" t="n"/>
      <c r="K158" s="25" t="n"/>
      <c r="L158" s="15" t="n"/>
      <c r="M158" s="26">
        <f>IF(OR($A158="",$L158&lt;&gt;"Active"),"",COUNTIFS($A$5:$A158,$A158,$L$5:$L158,"Active"))</f>
        <v/>
      </c>
      <c r="N158" s="26">
        <f>IF(OR($A158="",$M158=""),"",IF($M158=IFERROR(INDEX('Chart Database'!$R$6:$R$4005,MATCH($A158,'Chart Database'!$A$6:$A$4005,0)),0),"NEXT",""))</f>
        <v/>
      </c>
      <c r="O158" s="23" t="n"/>
    </row>
    <row r="159">
      <c r="A159" s="23" t="n"/>
      <c r="B159" s="26">
        <f>IF($A159="","",IFERROR(INDEX('Chart Database'!$B$6:$B$4005,MATCH($A159,'Chart Database'!$A$6:$A$4005,0)),"UNKNOWN CHART"))</f>
        <v/>
      </c>
      <c r="C159" s="23" t="n"/>
      <c r="D159" s="23" t="n"/>
      <c r="E159" s="25" t="n"/>
      <c r="F159" s="15" t="n"/>
      <c r="G159" s="23" t="n"/>
      <c r="H159" s="15" t="n"/>
      <c r="I159" s="15" t="n"/>
      <c r="J159" s="15" t="n"/>
      <c r="K159" s="25" t="n"/>
      <c r="L159" s="15" t="n"/>
      <c r="M159" s="26">
        <f>IF(OR($A159="",$L159&lt;&gt;"Active"),"",COUNTIFS($A$5:$A159,$A159,$L$5:$L159,"Active"))</f>
        <v/>
      </c>
      <c r="N159" s="26">
        <f>IF(OR($A159="",$M159=""),"",IF($M159=IFERROR(INDEX('Chart Database'!$R$6:$R$4005,MATCH($A159,'Chart Database'!$A$6:$A$4005,0)),0),"NEXT",""))</f>
        <v/>
      </c>
      <c r="O159" s="23" t="n"/>
    </row>
    <row r="160">
      <c r="A160" s="23" t="n"/>
      <c r="B160" s="26">
        <f>IF($A160="","",IFERROR(INDEX('Chart Database'!$B$6:$B$4005,MATCH($A160,'Chart Database'!$A$6:$A$4005,0)),"UNKNOWN CHART"))</f>
        <v/>
      </c>
      <c r="C160" s="23" t="n"/>
      <c r="D160" s="23" t="n"/>
      <c r="E160" s="25" t="n"/>
      <c r="F160" s="15" t="n"/>
      <c r="G160" s="23" t="n"/>
      <c r="H160" s="15" t="n"/>
      <c r="I160" s="15" t="n"/>
      <c r="J160" s="15" t="n"/>
      <c r="K160" s="25" t="n"/>
      <c r="L160" s="15" t="n"/>
      <c r="M160" s="26">
        <f>IF(OR($A160="",$L160&lt;&gt;"Active"),"",COUNTIFS($A$5:$A160,$A160,$L$5:$L160,"Active"))</f>
        <v/>
      </c>
      <c r="N160" s="26">
        <f>IF(OR($A160="",$M160=""),"",IF($M160=IFERROR(INDEX('Chart Database'!$R$6:$R$4005,MATCH($A160,'Chart Database'!$A$6:$A$4005,0)),0),"NEXT",""))</f>
        <v/>
      </c>
      <c r="O160" s="23" t="n"/>
    </row>
    <row r="161">
      <c r="A161" s="23" t="n"/>
      <c r="B161" s="26">
        <f>IF($A161="","",IFERROR(INDEX('Chart Database'!$B$6:$B$4005,MATCH($A161,'Chart Database'!$A$6:$A$4005,0)),"UNKNOWN CHART"))</f>
        <v/>
      </c>
      <c r="C161" s="23" t="n"/>
      <c r="D161" s="23" t="n"/>
      <c r="E161" s="25" t="n"/>
      <c r="F161" s="15" t="n"/>
      <c r="G161" s="23" t="n"/>
      <c r="H161" s="15" t="n"/>
      <c r="I161" s="15" t="n"/>
      <c r="J161" s="15" t="n"/>
      <c r="K161" s="25" t="n"/>
      <c r="L161" s="15" t="n"/>
      <c r="M161" s="26">
        <f>IF(OR($A161="",$L161&lt;&gt;"Active"),"",COUNTIFS($A$5:$A161,$A161,$L$5:$L161,"Active"))</f>
        <v/>
      </c>
      <c r="N161" s="26">
        <f>IF(OR($A161="",$M161=""),"",IF($M161=IFERROR(INDEX('Chart Database'!$R$6:$R$4005,MATCH($A161,'Chart Database'!$A$6:$A$4005,0)),0),"NEXT",""))</f>
        <v/>
      </c>
      <c r="O161" s="23" t="n"/>
    </row>
    <row r="162">
      <c r="A162" s="23" t="n"/>
      <c r="B162" s="26">
        <f>IF($A162="","",IFERROR(INDEX('Chart Database'!$B$6:$B$4005,MATCH($A162,'Chart Database'!$A$6:$A$4005,0)),"UNKNOWN CHART"))</f>
        <v/>
      </c>
      <c r="C162" s="23" t="n"/>
      <c r="D162" s="23" t="n"/>
      <c r="E162" s="25" t="n"/>
      <c r="F162" s="15" t="n"/>
      <c r="G162" s="23" t="n"/>
      <c r="H162" s="15" t="n"/>
      <c r="I162" s="15" t="n"/>
      <c r="J162" s="15" t="n"/>
      <c r="K162" s="25" t="n"/>
      <c r="L162" s="15" t="n"/>
      <c r="M162" s="26">
        <f>IF(OR($A162="",$L162&lt;&gt;"Active"),"",COUNTIFS($A$5:$A162,$A162,$L$5:$L162,"Active"))</f>
        <v/>
      </c>
      <c r="N162" s="26">
        <f>IF(OR($A162="",$M162=""),"",IF($M162=IFERROR(INDEX('Chart Database'!$R$6:$R$4005,MATCH($A162,'Chart Database'!$A$6:$A$4005,0)),0),"NEXT",""))</f>
        <v/>
      </c>
      <c r="O162" s="23" t="n"/>
    </row>
    <row r="163">
      <c r="A163" s="23" t="n"/>
      <c r="B163" s="26">
        <f>IF($A163="","",IFERROR(INDEX('Chart Database'!$B$6:$B$4005,MATCH($A163,'Chart Database'!$A$6:$A$4005,0)),"UNKNOWN CHART"))</f>
        <v/>
      </c>
      <c r="C163" s="23" t="n"/>
      <c r="D163" s="23" t="n"/>
      <c r="E163" s="25" t="n"/>
      <c r="F163" s="15" t="n"/>
      <c r="G163" s="23" t="n"/>
      <c r="H163" s="15" t="n"/>
      <c r="I163" s="15" t="n"/>
      <c r="J163" s="15" t="n"/>
      <c r="K163" s="25" t="n"/>
      <c r="L163" s="15" t="n"/>
      <c r="M163" s="26">
        <f>IF(OR($A163="",$L163&lt;&gt;"Active"),"",COUNTIFS($A$5:$A163,$A163,$L$5:$L163,"Active"))</f>
        <v/>
      </c>
      <c r="N163" s="26">
        <f>IF(OR($A163="",$M163=""),"",IF($M163=IFERROR(INDEX('Chart Database'!$R$6:$R$4005,MATCH($A163,'Chart Database'!$A$6:$A$4005,0)),0),"NEXT",""))</f>
        <v/>
      </c>
      <c r="O163" s="23" t="n"/>
    </row>
    <row r="164">
      <c r="A164" s="23" t="n"/>
      <c r="B164" s="26">
        <f>IF($A164="","",IFERROR(INDEX('Chart Database'!$B$6:$B$4005,MATCH($A164,'Chart Database'!$A$6:$A$4005,0)),"UNKNOWN CHART"))</f>
        <v/>
      </c>
      <c r="C164" s="23" t="n"/>
      <c r="D164" s="23" t="n"/>
      <c r="E164" s="25" t="n"/>
      <c r="F164" s="15" t="n"/>
      <c r="G164" s="23" t="n"/>
      <c r="H164" s="15" t="n"/>
      <c r="I164" s="15" t="n"/>
      <c r="J164" s="15" t="n"/>
      <c r="K164" s="25" t="n"/>
      <c r="L164" s="15" t="n"/>
      <c r="M164" s="26">
        <f>IF(OR($A164="",$L164&lt;&gt;"Active"),"",COUNTIFS($A$5:$A164,$A164,$L$5:$L164,"Active"))</f>
        <v/>
      </c>
      <c r="N164" s="26">
        <f>IF(OR($A164="",$M164=""),"",IF($M164=IFERROR(INDEX('Chart Database'!$R$6:$R$4005,MATCH($A164,'Chart Database'!$A$6:$A$4005,0)),0),"NEXT",""))</f>
        <v/>
      </c>
      <c r="O164" s="23" t="n"/>
    </row>
    <row r="165">
      <c r="A165" s="23" t="n"/>
      <c r="B165" s="26">
        <f>IF($A165="","",IFERROR(INDEX('Chart Database'!$B$6:$B$4005,MATCH($A165,'Chart Database'!$A$6:$A$4005,0)),"UNKNOWN CHART"))</f>
        <v/>
      </c>
      <c r="C165" s="23" t="n"/>
      <c r="D165" s="23" t="n"/>
      <c r="E165" s="25" t="n"/>
      <c r="F165" s="15" t="n"/>
      <c r="G165" s="23" t="n"/>
      <c r="H165" s="15" t="n"/>
      <c r="I165" s="15" t="n"/>
      <c r="J165" s="15" t="n"/>
      <c r="K165" s="25" t="n"/>
      <c r="L165" s="15" t="n"/>
      <c r="M165" s="26">
        <f>IF(OR($A165="",$L165&lt;&gt;"Active"),"",COUNTIFS($A$5:$A165,$A165,$L$5:$L165,"Active"))</f>
        <v/>
      </c>
      <c r="N165" s="26">
        <f>IF(OR($A165="",$M165=""),"",IF($M165=IFERROR(INDEX('Chart Database'!$R$6:$R$4005,MATCH($A165,'Chart Database'!$A$6:$A$4005,0)),0),"NEXT",""))</f>
        <v/>
      </c>
      <c r="O165" s="23" t="n"/>
    </row>
    <row r="166">
      <c r="A166" s="23" t="n"/>
      <c r="B166" s="26">
        <f>IF($A166="","",IFERROR(INDEX('Chart Database'!$B$6:$B$4005,MATCH($A166,'Chart Database'!$A$6:$A$4005,0)),"UNKNOWN CHART"))</f>
        <v/>
      </c>
      <c r="C166" s="23" t="n"/>
      <c r="D166" s="23" t="n"/>
      <c r="E166" s="25" t="n"/>
      <c r="F166" s="15" t="n"/>
      <c r="G166" s="23" t="n"/>
      <c r="H166" s="15" t="n"/>
      <c r="I166" s="15" t="n"/>
      <c r="J166" s="15" t="n"/>
      <c r="K166" s="25" t="n"/>
      <c r="L166" s="15" t="n"/>
      <c r="M166" s="26">
        <f>IF(OR($A166="",$L166&lt;&gt;"Active"),"",COUNTIFS($A$5:$A166,$A166,$L$5:$L166,"Active"))</f>
        <v/>
      </c>
      <c r="N166" s="26">
        <f>IF(OR($A166="",$M166=""),"",IF($M166=IFERROR(INDEX('Chart Database'!$R$6:$R$4005,MATCH($A166,'Chart Database'!$A$6:$A$4005,0)),0),"NEXT",""))</f>
        <v/>
      </c>
      <c r="O166" s="23" t="n"/>
    </row>
    <row r="167">
      <c r="A167" s="23" t="n"/>
      <c r="B167" s="26">
        <f>IF($A167="","",IFERROR(INDEX('Chart Database'!$B$6:$B$4005,MATCH($A167,'Chart Database'!$A$6:$A$4005,0)),"UNKNOWN CHART"))</f>
        <v/>
      </c>
      <c r="C167" s="23" t="n"/>
      <c r="D167" s="23" t="n"/>
      <c r="E167" s="25" t="n"/>
      <c r="F167" s="15" t="n"/>
      <c r="G167" s="23" t="n"/>
      <c r="H167" s="15" t="n"/>
      <c r="I167" s="15" t="n"/>
      <c r="J167" s="15" t="n"/>
      <c r="K167" s="25" t="n"/>
      <c r="L167" s="15" t="n"/>
      <c r="M167" s="26">
        <f>IF(OR($A167="",$L167&lt;&gt;"Active"),"",COUNTIFS($A$5:$A167,$A167,$L$5:$L167,"Active"))</f>
        <v/>
      </c>
      <c r="N167" s="26">
        <f>IF(OR($A167="",$M167=""),"",IF($M167=IFERROR(INDEX('Chart Database'!$R$6:$R$4005,MATCH($A167,'Chart Database'!$A$6:$A$4005,0)),0),"NEXT",""))</f>
        <v/>
      </c>
      <c r="O167" s="23" t="n"/>
    </row>
    <row r="168">
      <c r="A168" s="23" t="n"/>
      <c r="B168" s="26">
        <f>IF($A168="","",IFERROR(INDEX('Chart Database'!$B$6:$B$4005,MATCH($A168,'Chart Database'!$A$6:$A$4005,0)),"UNKNOWN CHART"))</f>
        <v/>
      </c>
      <c r="C168" s="23" t="n"/>
      <c r="D168" s="23" t="n"/>
      <c r="E168" s="25" t="n"/>
      <c r="F168" s="15" t="n"/>
      <c r="G168" s="23" t="n"/>
      <c r="H168" s="15" t="n"/>
      <c r="I168" s="15" t="n"/>
      <c r="J168" s="15" t="n"/>
      <c r="K168" s="25" t="n"/>
      <c r="L168" s="15" t="n"/>
      <c r="M168" s="26">
        <f>IF(OR($A168="",$L168&lt;&gt;"Active"),"",COUNTIFS($A$5:$A168,$A168,$L$5:$L168,"Active"))</f>
        <v/>
      </c>
      <c r="N168" s="26">
        <f>IF(OR($A168="",$M168=""),"",IF($M168=IFERROR(INDEX('Chart Database'!$R$6:$R$4005,MATCH($A168,'Chart Database'!$A$6:$A$4005,0)),0),"NEXT",""))</f>
        <v/>
      </c>
      <c r="O168" s="23" t="n"/>
    </row>
    <row r="169">
      <c r="A169" s="23" t="n"/>
      <c r="B169" s="26">
        <f>IF($A169="","",IFERROR(INDEX('Chart Database'!$B$6:$B$4005,MATCH($A169,'Chart Database'!$A$6:$A$4005,0)),"UNKNOWN CHART"))</f>
        <v/>
      </c>
      <c r="C169" s="23" t="n"/>
      <c r="D169" s="23" t="n"/>
      <c r="E169" s="25" t="n"/>
      <c r="F169" s="15" t="n"/>
      <c r="G169" s="23" t="n"/>
      <c r="H169" s="15" t="n"/>
      <c r="I169" s="15" t="n"/>
      <c r="J169" s="15" t="n"/>
      <c r="K169" s="25" t="n"/>
      <c r="L169" s="15" t="n"/>
      <c r="M169" s="26">
        <f>IF(OR($A169="",$L169&lt;&gt;"Active"),"",COUNTIFS($A$5:$A169,$A169,$L$5:$L169,"Active"))</f>
        <v/>
      </c>
      <c r="N169" s="26">
        <f>IF(OR($A169="",$M169=""),"",IF($M169=IFERROR(INDEX('Chart Database'!$R$6:$R$4005,MATCH($A169,'Chart Database'!$A$6:$A$4005,0)),0),"NEXT",""))</f>
        <v/>
      </c>
      <c r="O169" s="23" t="n"/>
    </row>
    <row r="170">
      <c r="A170" s="23" t="n"/>
      <c r="B170" s="26">
        <f>IF($A170="","",IFERROR(INDEX('Chart Database'!$B$6:$B$4005,MATCH($A170,'Chart Database'!$A$6:$A$4005,0)),"UNKNOWN CHART"))</f>
        <v/>
      </c>
      <c r="C170" s="23" t="n"/>
      <c r="D170" s="23" t="n"/>
      <c r="E170" s="25" t="n"/>
      <c r="F170" s="15" t="n"/>
      <c r="G170" s="23" t="n"/>
      <c r="H170" s="15" t="n"/>
      <c r="I170" s="15" t="n"/>
      <c r="J170" s="15" t="n"/>
      <c r="K170" s="25" t="n"/>
      <c r="L170" s="15" t="n"/>
      <c r="M170" s="26">
        <f>IF(OR($A170="",$L170&lt;&gt;"Active"),"",COUNTIFS($A$5:$A170,$A170,$L$5:$L170,"Active"))</f>
        <v/>
      </c>
      <c r="N170" s="26">
        <f>IF(OR($A170="",$M170=""),"",IF($M170=IFERROR(INDEX('Chart Database'!$R$6:$R$4005,MATCH($A170,'Chart Database'!$A$6:$A$4005,0)),0),"NEXT",""))</f>
        <v/>
      </c>
      <c r="O170" s="23" t="n"/>
    </row>
    <row r="171">
      <c r="A171" s="23" t="n"/>
      <c r="B171" s="26">
        <f>IF($A171="","",IFERROR(INDEX('Chart Database'!$B$6:$B$4005,MATCH($A171,'Chart Database'!$A$6:$A$4005,0)),"UNKNOWN CHART"))</f>
        <v/>
      </c>
      <c r="C171" s="23" t="n"/>
      <c r="D171" s="23" t="n"/>
      <c r="E171" s="25" t="n"/>
      <c r="F171" s="15" t="n"/>
      <c r="G171" s="23" t="n"/>
      <c r="H171" s="15" t="n"/>
      <c r="I171" s="15" t="n"/>
      <c r="J171" s="15" t="n"/>
      <c r="K171" s="25" t="n"/>
      <c r="L171" s="15" t="n"/>
      <c r="M171" s="26">
        <f>IF(OR($A171="",$L171&lt;&gt;"Active"),"",COUNTIFS($A$5:$A171,$A171,$L$5:$L171,"Active"))</f>
        <v/>
      </c>
      <c r="N171" s="26">
        <f>IF(OR($A171="",$M171=""),"",IF($M171=IFERROR(INDEX('Chart Database'!$R$6:$R$4005,MATCH($A171,'Chart Database'!$A$6:$A$4005,0)),0),"NEXT",""))</f>
        <v/>
      </c>
      <c r="O171" s="23" t="n"/>
    </row>
    <row r="172">
      <c r="A172" s="23" t="n"/>
      <c r="B172" s="26">
        <f>IF($A172="","",IFERROR(INDEX('Chart Database'!$B$6:$B$4005,MATCH($A172,'Chart Database'!$A$6:$A$4005,0)),"UNKNOWN CHART"))</f>
        <v/>
      </c>
      <c r="C172" s="23" t="n"/>
      <c r="D172" s="23" t="n"/>
      <c r="E172" s="25" t="n"/>
      <c r="F172" s="15" t="n"/>
      <c r="G172" s="23" t="n"/>
      <c r="H172" s="15" t="n"/>
      <c r="I172" s="15" t="n"/>
      <c r="J172" s="15" t="n"/>
      <c r="K172" s="25" t="n"/>
      <c r="L172" s="15" t="n"/>
      <c r="M172" s="26">
        <f>IF(OR($A172="",$L172&lt;&gt;"Active"),"",COUNTIFS($A$5:$A172,$A172,$L$5:$L172,"Active"))</f>
        <v/>
      </c>
      <c r="N172" s="26">
        <f>IF(OR($A172="",$M172=""),"",IF($M172=IFERROR(INDEX('Chart Database'!$R$6:$R$4005,MATCH($A172,'Chart Database'!$A$6:$A$4005,0)),0),"NEXT",""))</f>
        <v/>
      </c>
      <c r="O172" s="23" t="n"/>
    </row>
    <row r="173">
      <c r="A173" s="23" t="n"/>
      <c r="B173" s="26">
        <f>IF($A173="","",IFERROR(INDEX('Chart Database'!$B$6:$B$4005,MATCH($A173,'Chart Database'!$A$6:$A$4005,0)),"UNKNOWN CHART"))</f>
        <v/>
      </c>
      <c r="C173" s="23" t="n"/>
      <c r="D173" s="23" t="n"/>
      <c r="E173" s="25" t="n"/>
      <c r="F173" s="15" t="n"/>
      <c r="G173" s="23" t="n"/>
      <c r="H173" s="15" t="n"/>
      <c r="I173" s="15" t="n"/>
      <c r="J173" s="15" t="n"/>
      <c r="K173" s="25" t="n"/>
      <c r="L173" s="15" t="n"/>
      <c r="M173" s="26">
        <f>IF(OR($A173="",$L173&lt;&gt;"Active"),"",COUNTIFS($A$5:$A173,$A173,$L$5:$L173,"Active"))</f>
        <v/>
      </c>
      <c r="N173" s="26">
        <f>IF(OR($A173="",$M173=""),"",IF($M173=IFERROR(INDEX('Chart Database'!$R$6:$R$4005,MATCH($A173,'Chart Database'!$A$6:$A$4005,0)),0),"NEXT",""))</f>
        <v/>
      </c>
      <c r="O173" s="23" t="n"/>
    </row>
    <row r="174">
      <c r="A174" s="23" t="n"/>
      <c r="B174" s="26">
        <f>IF($A174="","",IFERROR(INDEX('Chart Database'!$B$6:$B$4005,MATCH($A174,'Chart Database'!$A$6:$A$4005,0)),"UNKNOWN CHART"))</f>
        <v/>
      </c>
      <c r="C174" s="23" t="n"/>
      <c r="D174" s="23" t="n"/>
      <c r="E174" s="25" t="n"/>
      <c r="F174" s="15" t="n"/>
      <c r="G174" s="23" t="n"/>
      <c r="H174" s="15" t="n"/>
      <c r="I174" s="15" t="n"/>
      <c r="J174" s="15" t="n"/>
      <c r="K174" s="25" t="n"/>
      <c r="L174" s="15" t="n"/>
      <c r="M174" s="26">
        <f>IF(OR($A174="",$L174&lt;&gt;"Active"),"",COUNTIFS($A$5:$A174,$A174,$L$5:$L174,"Active"))</f>
        <v/>
      </c>
      <c r="N174" s="26">
        <f>IF(OR($A174="",$M174=""),"",IF($M174=IFERROR(INDEX('Chart Database'!$R$6:$R$4005,MATCH($A174,'Chart Database'!$A$6:$A$4005,0)),0),"NEXT",""))</f>
        <v/>
      </c>
      <c r="O174" s="23" t="n"/>
    </row>
    <row r="175">
      <c r="A175" s="23" t="n"/>
      <c r="B175" s="26">
        <f>IF($A175="","",IFERROR(INDEX('Chart Database'!$B$6:$B$4005,MATCH($A175,'Chart Database'!$A$6:$A$4005,0)),"UNKNOWN CHART"))</f>
        <v/>
      </c>
      <c r="C175" s="23" t="n"/>
      <c r="D175" s="23" t="n"/>
      <c r="E175" s="25" t="n"/>
      <c r="F175" s="15" t="n"/>
      <c r="G175" s="23" t="n"/>
      <c r="H175" s="15" t="n"/>
      <c r="I175" s="15" t="n"/>
      <c r="J175" s="15" t="n"/>
      <c r="K175" s="25" t="n"/>
      <c r="L175" s="15" t="n"/>
      <c r="M175" s="26">
        <f>IF(OR($A175="",$L175&lt;&gt;"Active"),"",COUNTIFS($A$5:$A175,$A175,$L$5:$L175,"Active"))</f>
        <v/>
      </c>
      <c r="N175" s="26">
        <f>IF(OR($A175="",$M175=""),"",IF($M175=IFERROR(INDEX('Chart Database'!$R$6:$R$4005,MATCH($A175,'Chart Database'!$A$6:$A$4005,0)),0),"NEXT",""))</f>
        <v/>
      </c>
      <c r="O175" s="23" t="n"/>
    </row>
    <row r="176">
      <c r="A176" s="23" t="n"/>
      <c r="B176" s="26">
        <f>IF($A176="","",IFERROR(INDEX('Chart Database'!$B$6:$B$4005,MATCH($A176,'Chart Database'!$A$6:$A$4005,0)),"UNKNOWN CHART"))</f>
        <v/>
      </c>
      <c r="C176" s="23" t="n"/>
      <c r="D176" s="23" t="n"/>
      <c r="E176" s="25" t="n"/>
      <c r="F176" s="15" t="n"/>
      <c r="G176" s="23" t="n"/>
      <c r="H176" s="15" t="n"/>
      <c r="I176" s="15" t="n"/>
      <c r="J176" s="15" t="n"/>
      <c r="K176" s="25" t="n"/>
      <c r="L176" s="15" t="n"/>
      <c r="M176" s="26">
        <f>IF(OR($A176="",$L176&lt;&gt;"Active"),"",COUNTIFS($A$5:$A176,$A176,$L$5:$L176,"Active"))</f>
        <v/>
      </c>
      <c r="N176" s="26">
        <f>IF(OR($A176="",$M176=""),"",IF($M176=IFERROR(INDEX('Chart Database'!$R$6:$R$4005,MATCH($A176,'Chart Database'!$A$6:$A$4005,0)),0),"NEXT",""))</f>
        <v/>
      </c>
      <c r="O176" s="23" t="n"/>
    </row>
    <row r="177">
      <c r="A177" s="23" t="n"/>
      <c r="B177" s="26">
        <f>IF($A177="","",IFERROR(INDEX('Chart Database'!$B$6:$B$4005,MATCH($A177,'Chart Database'!$A$6:$A$4005,0)),"UNKNOWN CHART"))</f>
        <v/>
      </c>
      <c r="C177" s="23" t="n"/>
      <c r="D177" s="23" t="n"/>
      <c r="E177" s="25" t="n"/>
      <c r="F177" s="15" t="n"/>
      <c r="G177" s="23" t="n"/>
      <c r="H177" s="15" t="n"/>
      <c r="I177" s="15" t="n"/>
      <c r="J177" s="15" t="n"/>
      <c r="K177" s="25" t="n"/>
      <c r="L177" s="15" t="n"/>
      <c r="M177" s="26">
        <f>IF(OR($A177="",$L177&lt;&gt;"Active"),"",COUNTIFS($A$5:$A177,$A177,$L$5:$L177,"Active"))</f>
        <v/>
      </c>
      <c r="N177" s="26">
        <f>IF(OR($A177="",$M177=""),"",IF($M177=IFERROR(INDEX('Chart Database'!$R$6:$R$4005,MATCH($A177,'Chart Database'!$A$6:$A$4005,0)),0),"NEXT",""))</f>
        <v/>
      </c>
      <c r="O177" s="23" t="n"/>
    </row>
    <row r="178">
      <c r="A178" s="23" t="n"/>
      <c r="B178" s="26">
        <f>IF($A178="","",IFERROR(INDEX('Chart Database'!$B$6:$B$4005,MATCH($A178,'Chart Database'!$A$6:$A$4005,0)),"UNKNOWN CHART"))</f>
        <v/>
      </c>
      <c r="C178" s="23" t="n"/>
      <c r="D178" s="23" t="n"/>
      <c r="E178" s="25" t="n"/>
      <c r="F178" s="15" t="n"/>
      <c r="G178" s="23" t="n"/>
      <c r="H178" s="15" t="n"/>
      <c r="I178" s="15" t="n"/>
      <c r="J178" s="15" t="n"/>
      <c r="K178" s="25" t="n"/>
      <c r="L178" s="15" t="n"/>
      <c r="M178" s="26">
        <f>IF(OR($A178="",$L178&lt;&gt;"Active"),"",COUNTIFS($A$5:$A178,$A178,$L$5:$L178,"Active"))</f>
        <v/>
      </c>
      <c r="N178" s="26">
        <f>IF(OR($A178="",$M178=""),"",IF($M178=IFERROR(INDEX('Chart Database'!$R$6:$R$4005,MATCH($A178,'Chart Database'!$A$6:$A$4005,0)),0),"NEXT",""))</f>
        <v/>
      </c>
      <c r="O178" s="23" t="n"/>
    </row>
    <row r="179">
      <c r="A179" s="23" t="n"/>
      <c r="B179" s="26">
        <f>IF($A179="","",IFERROR(INDEX('Chart Database'!$B$6:$B$4005,MATCH($A179,'Chart Database'!$A$6:$A$4005,0)),"UNKNOWN CHART"))</f>
        <v/>
      </c>
      <c r="C179" s="23" t="n"/>
      <c r="D179" s="23" t="n"/>
      <c r="E179" s="25" t="n"/>
      <c r="F179" s="15" t="n"/>
      <c r="G179" s="23" t="n"/>
      <c r="H179" s="15" t="n"/>
      <c r="I179" s="15" t="n"/>
      <c r="J179" s="15" t="n"/>
      <c r="K179" s="25" t="n"/>
      <c r="L179" s="15" t="n"/>
      <c r="M179" s="26">
        <f>IF(OR($A179="",$L179&lt;&gt;"Active"),"",COUNTIFS($A$5:$A179,$A179,$L$5:$L179,"Active"))</f>
        <v/>
      </c>
      <c r="N179" s="26">
        <f>IF(OR($A179="",$M179=""),"",IF($M179=IFERROR(INDEX('Chart Database'!$R$6:$R$4005,MATCH($A179,'Chart Database'!$A$6:$A$4005,0)),0),"NEXT",""))</f>
        <v/>
      </c>
      <c r="O179" s="23" t="n"/>
    </row>
    <row r="180">
      <c r="A180" s="23" t="n"/>
      <c r="B180" s="26">
        <f>IF($A180="","",IFERROR(INDEX('Chart Database'!$B$6:$B$4005,MATCH($A180,'Chart Database'!$A$6:$A$4005,0)),"UNKNOWN CHART"))</f>
        <v/>
      </c>
      <c r="C180" s="23" t="n"/>
      <c r="D180" s="23" t="n"/>
      <c r="E180" s="25" t="n"/>
      <c r="F180" s="15" t="n"/>
      <c r="G180" s="23" t="n"/>
      <c r="H180" s="15" t="n"/>
      <c r="I180" s="15" t="n"/>
      <c r="J180" s="15" t="n"/>
      <c r="K180" s="25" t="n"/>
      <c r="L180" s="15" t="n"/>
      <c r="M180" s="26">
        <f>IF(OR($A180="",$L180&lt;&gt;"Active"),"",COUNTIFS($A$5:$A180,$A180,$L$5:$L180,"Active"))</f>
        <v/>
      </c>
      <c r="N180" s="26">
        <f>IF(OR($A180="",$M180=""),"",IF($M180=IFERROR(INDEX('Chart Database'!$R$6:$R$4005,MATCH($A180,'Chart Database'!$A$6:$A$4005,0)),0),"NEXT",""))</f>
        <v/>
      </c>
      <c r="O180" s="23" t="n"/>
    </row>
    <row r="181">
      <c r="A181" s="23" t="n"/>
      <c r="B181" s="26">
        <f>IF($A181="","",IFERROR(INDEX('Chart Database'!$B$6:$B$4005,MATCH($A181,'Chart Database'!$A$6:$A$4005,0)),"UNKNOWN CHART"))</f>
        <v/>
      </c>
      <c r="C181" s="23" t="n"/>
      <c r="D181" s="23" t="n"/>
      <c r="E181" s="25" t="n"/>
      <c r="F181" s="15" t="n"/>
      <c r="G181" s="23" t="n"/>
      <c r="H181" s="15" t="n"/>
      <c r="I181" s="15" t="n"/>
      <c r="J181" s="15" t="n"/>
      <c r="K181" s="25" t="n"/>
      <c r="L181" s="15" t="n"/>
      <c r="M181" s="26">
        <f>IF(OR($A181="",$L181&lt;&gt;"Active"),"",COUNTIFS($A$5:$A181,$A181,$L$5:$L181,"Active"))</f>
        <v/>
      </c>
      <c r="N181" s="26">
        <f>IF(OR($A181="",$M181=""),"",IF($M181=IFERROR(INDEX('Chart Database'!$R$6:$R$4005,MATCH($A181,'Chart Database'!$A$6:$A$4005,0)),0),"NEXT",""))</f>
        <v/>
      </c>
      <c r="O181" s="23" t="n"/>
    </row>
    <row r="182">
      <c r="A182" s="23" t="n"/>
      <c r="B182" s="26">
        <f>IF($A182="","",IFERROR(INDEX('Chart Database'!$B$6:$B$4005,MATCH($A182,'Chart Database'!$A$6:$A$4005,0)),"UNKNOWN CHART"))</f>
        <v/>
      </c>
      <c r="C182" s="23" t="n"/>
      <c r="D182" s="23" t="n"/>
      <c r="E182" s="25" t="n"/>
      <c r="F182" s="15" t="n"/>
      <c r="G182" s="23" t="n"/>
      <c r="H182" s="15" t="n"/>
      <c r="I182" s="15" t="n"/>
      <c r="J182" s="15" t="n"/>
      <c r="K182" s="25" t="n"/>
      <c r="L182" s="15" t="n"/>
      <c r="M182" s="26">
        <f>IF(OR($A182="",$L182&lt;&gt;"Active"),"",COUNTIFS($A$5:$A182,$A182,$L$5:$L182,"Active"))</f>
        <v/>
      </c>
      <c r="N182" s="26">
        <f>IF(OR($A182="",$M182=""),"",IF($M182=IFERROR(INDEX('Chart Database'!$R$6:$R$4005,MATCH($A182,'Chart Database'!$A$6:$A$4005,0)),0),"NEXT",""))</f>
        <v/>
      </c>
      <c r="O182" s="23" t="n"/>
    </row>
    <row r="183">
      <c r="A183" s="23" t="n"/>
      <c r="B183" s="26">
        <f>IF($A183="","",IFERROR(INDEX('Chart Database'!$B$6:$B$4005,MATCH($A183,'Chart Database'!$A$6:$A$4005,0)),"UNKNOWN CHART"))</f>
        <v/>
      </c>
      <c r="C183" s="23" t="n"/>
      <c r="D183" s="23" t="n"/>
      <c r="E183" s="25" t="n"/>
      <c r="F183" s="15" t="n"/>
      <c r="G183" s="23" t="n"/>
      <c r="H183" s="15" t="n"/>
      <c r="I183" s="15" t="n"/>
      <c r="J183" s="15" t="n"/>
      <c r="K183" s="25" t="n"/>
      <c r="L183" s="15" t="n"/>
      <c r="M183" s="26">
        <f>IF(OR($A183="",$L183&lt;&gt;"Active"),"",COUNTIFS($A$5:$A183,$A183,$L$5:$L183,"Active"))</f>
        <v/>
      </c>
      <c r="N183" s="26">
        <f>IF(OR($A183="",$M183=""),"",IF($M183=IFERROR(INDEX('Chart Database'!$R$6:$R$4005,MATCH($A183,'Chart Database'!$A$6:$A$4005,0)),0),"NEXT",""))</f>
        <v/>
      </c>
      <c r="O183" s="23" t="n"/>
    </row>
    <row r="184">
      <c r="A184" s="23" t="n"/>
      <c r="B184" s="26">
        <f>IF($A184="","",IFERROR(INDEX('Chart Database'!$B$6:$B$4005,MATCH($A184,'Chart Database'!$A$6:$A$4005,0)),"UNKNOWN CHART"))</f>
        <v/>
      </c>
      <c r="C184" s="23" t="n"/>
      <c r="D184" s="23" t="n"/>
      <c r="E184" s="25" t="n"/>
      <c r="F184" s="15" t="n"/>
      <c r="G184" s="23" t="n"/>
      <c r="H184" s="15" t="n"/>
      <c r="I184" s="15" t="n"/>
      <c r="J184" s="15" t="n"/>
      <c r="K184" s="25" t="n"/>
      <c r="L184" s="15" t="n"/>
      <c r="M184" s="26">
        <f>IF(OR($A184="",$L184&lt;&gt;"Active"),"",COUNTIFS($A$5:$A184,$A184,$L$5:$L184,"Active"))</f>
        <v/>
      </c>
      <c r="N184" s="26">
        <f>IF(OR($A184="",$M184=""),"",IF($M184=IFERROR(INDEX('Chart Database'!$R$6:$R$4005,MATCH($A184,'Chart Database'!$A$6:$A$4005,0)),0),"NEXT",""))</f>
        <v/>
      </c>
      <c r="O184" s="23" t="n"/>
    </row>
    <row r="185">
      <c r="A185" s="23" t="n"/>
      <c r="B185" s="26">
        <f>IF($A185="","",IFERROR(INDEX('Chart Database'!$B$6:$B$4005,MATCH($A185,'Chart Database'!$A$6:$A$4005,0)),"UNKNOWN CHART"))</f>
        <v/>
      </c>
      <c r="C185" s="23" t="n"/>
      <c r="D185" s="23" t="n"/>
      <c r="E185" s="25" t="n"/>
      <c r="F185" s="15" t="n"/>
      <c r="G185" s="23" t="n"/>
      <c r="H185" s="15" t="n"/>
      <c r="I185" s="15" t="n"/>
      <c r="J185" s="15" t="n"/>
      <c r="K185" s="25" t="n"/>
      <c r="L185" s="15" t="n"/>
      <c r="M185" s="26">
        <f>IF(OR($A185="",$L185&lt;&gt;"Active"),"",COUNTIFS($A$5:$A185,$A185,$L$5:$L185,"Active"))</f>
        <v/>
      </c>
      <c r="N185" s="26">
        <f>IF(OR($A185="",$M185=""),"",IF($M185=IFERROR(INDEX('Chart Database'!$R$6:$R$4005,MATCH($A185,'Chart Database'!$A$6:$A$4005,0)),0),"NEXT",""))</f>
        <v/>
      </c>
      <c r="O185" s="23" t="n"/>
    </row>
    <row r="186">
      <c r="A186" s="23" t="n"/>
      <c r="B186" s="26">
        <f>IF($A186="","",IFERROR(INDEX('Chart Database'!$B$6:$B$4005,MATCH($A186,'Chart Database'!$A$6:$A$4005,0)),"UNKNOWN CHART"))</f>
        <v/>
      </c>
      <c r="C186" s="23" t="n"/>
      <c r="D186" s="23" t="n"/>
      <c r="E186" s="25" t="n"/>
      <c r="F186" s="15" t="n"/>
      <c r="G186" s="23" t="n"/>
      <c r="H186" s="15" t="n"/>
      <c r="I186" s="15" t="n"/>
      <c r="J186" s="15" t="n"/>
      <c r="K186" s="25" t="n"/>
      <c r="L186" s="15" t="n"/>
      <c r="M186" s="26">
        <f>IF(OR($A186="",$L186&lt;&gt;"Active"),"",COUNTIFS($A$5:$A186,$A186,$L$5:$L186,"Active"))</f>
        <v/>
      </c>
      <c r="N186" s="26">
        <f>IF(OR($A186="",$M186=""),"",IF($M186=IFERROR(INDEX('Chart Database'!$R$6:$R$4005,MATCH($A186,'Chart Database'!$A$6:$A$4005,0)),0),"NEXT",""))</f>
        <v/>
      </c>
      <c r="O186" s="23" t="n"/>
    </row>
    <row r="187">
      <c r="A187" s="23" t="n"/>
      <c r="B187" s="26">
        <f>IF($A187="","",IFERROR(INDEX('Chart Database'!$B$6:$B$4005,MATCH($A187,'Chart Database'!$A$6:$A$4005,0)),"UNKNOWN CHART"))</f>
        <v/>
      </c>
      <c r="C187" s="23" t="n"/>
      <c r="D187" s="23" t="n"/>
      <c r="E187" s="25" t="n"/>
      <c r="F187" s="15" t="n"/>
      <c r="G187" s="23" t="n"/>
      <c r="H187" s="15" t="n"/>
      <c r="I187" s="15" t="n"/>
      <c r="J187" s="15" t="n"/>
      <c r="K187" s="25" t="n"/>
      <c r="L187" s="15" t="n"/>
      <c r="M187" s="26">
        <f>IF(OR($A187="",$L187&lt;&gt;"Active"),"",COUNTIFS($A$5:$A187,$A187,$L$5:$L187,"Active"))</f>
        <v/>
      </c>
      <c r="N187" s="26">
        <f>IF(OR($A187="",$M187=""),"",IF($M187=IFERROR(INDEX('Chart Database'!$R$6:$R$4005,MATCH($A187,'Chart Database'!$A$6:$A$4005,0)),0),"NEXT",""))</f>
        <v/>
      </c>
      <c r="O187" s="23" t="n"/>
    </row>
    <row r="188">
      <c r="A188" s="23" t="n"/>
      <c r="B188" s="26">
        <f>IF($A188="","",IFERROR(INDEX('Chart Database'!$B$6:$B$4005,MATCH($A188,'Chart Database'!$A$6:$A$4005,0)),"UNKNOWN CHART"))</f>
        <v/>
      </c>
      <c r="C188" s="23" t="n"/>
      <c r="D188" s="23" t="n"/>
      <c r="E188" s="25" t="n"/>
      <c r="F188" s="15" t="n"/>
      <c r="G188" s="23" t="n"/>
      <c r="H188" s="15" t="n"/>
      <c r="I188" s="15" t="n"/>
      <c r="J188" s="15" t="n"/>
      <c r="K188" s="25" t="n"/>
      <c r="L188" s="15" t="n"/>
      <c r="M188" s="26">
        <f>IF(OR($A188="",$L188&lt;&gt;"Active"),"",COUNTIFS($A$5:$A188,$A188,$L$5:$L188,"Active"))</f>
        <v/>
      </c>
      <c r="N188" s="26">
        <f>IF(OR($A188="",$M188=""),"",IF($M188=IFERROR(INDEX('Chart Database'!$R$6:$R$4005,MATCH($A188,'Chart Database'!$A$6:$A$4005,0)),0),"NEXT",""))</f>
        <v/>
      </c>
      <c r="O188" s="23" t="n"/>
    </row>
    <row r="189">
      <c r="A189" s="23" t="n"/>
      <c r="B189" s="26">
        <f>IF($A189="","",IFERROR(INDEX('Chart Database'!$B$6:$B$4005,MATCH($A189,'Chart Database'!$A$6:$A$4005,0)),"UNKNOWN CHART"))</f>
        <v/>
      </c>
      <c r="C189" s="23" t="n"/>
      <c r="D189" s="23" t="n"/>
      <c r="E189" s="25" t="n"/>
      <c r="F189" s="15" t="n"/>
      <c r="G189" s="23" t="n"/>
      <c r="H189" s="15" t="n"/>
      <c r="I189" s="15" t="n"/>
      <c r="J189" s="15" t="n"/>
      <c r="K189" s="25" t="n"/>
      <c r="L189" s="15" t="n"/>
      <c r="M189" s="26">
        <f>IF(OR($A189="",$L189&lt;&gt;"Active"),"",COUNTIFS($A$5:$A189,$A189,$L$5:$L189,"Active"))</f>
        <v/>
      </c>
      <c r="N189" s="26">
        <f>IF(OR($A189="",$M189=""),"",IF($M189=IFERROR(INDEX('Chart Database'!$R$6:$R$4005,MATCH($A189,'Chart Database'!$A$6:$A$4005,0)),0),"NEXT",""))</f>
        <v/>
      </c>
      <c r="O189" s="23" t="n"/>
    </row>
    <row r="190">
      <c r="A190" s="23" t="n"/>
      <c r="B190" s="26">
        <f>IF($A190="","",IFERROR(INDEX('Chart Database'!$B$6:$B$4005,MATCH($A190,'Chart Database'!$A$6:$A$4005,0)),"UNKNOWN CHART"))</f>
        <v/>
      </c>
      <c r="C190" s="23" t="n"/>
      <c r="D190" s="23" t="n"/>
      <c r="E190" s="25" t="n"/>
      <c r="F190" s="15" t="n"/>
      <c r="G190" s="23" t="n"/>
      <c r="H190" s="15" t="n"/>
      <c r="I190" s="15" t="n"/>
      <c r="J190" s="15" t="n"/>
      <c r="K190" s="25" t="n"/>
      <c r="L190" s="15" t="n"/>
      <c r="M190" s="26">
        <f>IF(OR($A190="",$L190&lt;&gt;"Active"),"",COUNTIFS($A$5:$A190,$A190,$L$5:$L190,"Active"))</f>
        <v/>
      </c>
      <c r="N190" s="26">
        <f>IF(OR($A190="",$M190=""),"",IF($M190=IFERROR(INDEX('Chart Database'!$R$6:$R$4005,MATCH($A190,'Chart Database'!$A$6:$A$4005,0)),0),"NEXT",""))</f>
        <v/>
      </c>
      <c r="O190" s="23" t="n"/>
    </row>
    <row r="191">
      <c r="A191" s="23" t="n"/>
      <c r="B191" s="26">
        <f>IF($A191="","",IFERROR(INDEX('Chart Database'!$B$6:$B$4005,MATCH($A191,'Chart Database'!$A$6:$A$4005,0)),"UNKNOWN CHART"))</f>
        <v/>
      </c>
      <c r="C191" s="23" t="n"/>
      <c r="D191" s="23" t="n"/>
      <c r="E191" s="25" t="n"/>
      <c r="F191" s="15" t="n"/>
      <c r="G191" s="23" t="n"/>
      <c r="H191" s="15" t="n"/>
      <c r="I191" s="15" t="n"/>
      <c r="J191" s="15" t="n"/>
      <c r="K191" s="25" t="n"/>
      <c r="L191" s="15" t="n"/>
      <c r="M191" s="26">
        <f>IF(OR($A191="",$L191&lt;&gt;"Active"),"",COUNTIFS($A$5:$A191,$A191,$L$5:$L191,"Active"))</f>
        <v/>
      </c>
      <c r="N191" s="26">
        <f>IF(OR($A191="",$M191=""),"",IF($M191=IFERROR(INDEX('Chart Database'!$R$6:$R$4005,MATCH($A191,'Chart Database'!$A$6:$A$4005,0)),0),"NEXT",""))</f>
        <v/>
      </c>
      <c r="O191" s="23" t="n"/>
    </row>
    <row r="192">
      <c r="A192" s="23" t="n"/>
      <c r="B192" s="26">
        <f>IF($A192="","",IFERROR(INDEX('Chart Database'!$B$6:$B$4005,MATCH($A192,'Chart Database'!$A$6:$A$4005,0)),"UNKNOWN CHART"))</f>
        <v/>
      </c>
      <c r="C192" s="23" t="n"/>
      <c r="D192" s="23" t="n"/>
      <c r="E192" s="25" t="n"/>
      <c r="F192" s="15" t="n"/>
      <c r="G192" s="23" t="n"/>
      <c r="H192" s="15" t="n"/>
      <c r="I192" s="15" t="n"/>
      <c r="J192" s="15" t="n"/>
      <c r="K192" s="25" t="n"/>
      <c r="L192" s="15" t="n"/>
      <c r="M192" s="26">
        <f>IF(OR($A192="",$L192&lt;&gt;"Active"),"",COUNTIFS($A$5:$A192,$A192,$L$5:$L192,"Active"))</f>
        <v/>
      </c>
      <c r="N192" s="26">
        <f>IF(OR($A192="",$M192=""),"",IF($M192=IFERROR(INDEX('Chart Database'!$R$6:$R$4005,MATCH($A192,'Chart Database'!$A$6:$A$4005,0)),0),"NEXT",""))</f>
        <v/>
      </c>
      <c r="O192" s="23" t="n"/>
    </row>
    <row r="193">
      <c r="A193" s="23" t="n"/>
      <c r="B193" s="26">
        <f>IF($A193="","",IFERROR(INDEX('Chart Database'!$B$6:$B$4005,MATCH($A193,'Chart Database'!$A$6:$A$4005,0)),"UNKNOWN CHART"))</f>
        <v/>
      </c>
      <c r="C193" s="23" t="n"/>
      <c r="D193" s="23" t="n"/>
      <c r="E193" s="25" t="n"/>
      <c r="F193" s="15" t="n"/>
      <c r="G193" s="23" t="n"/>
      <c r="H193" s="15" t="n"/>
      <c r="I193" s="15" t="n"/>
      <c r="J193" s="15" t="n"/>
      <c r="K193" s="25" t="n"/>
      <c r="L193" s="15" t="n"/>
      <c r="M193" s="26">
        <f>IF(OR($A193="",$L193&lt;&gt;"Active"),"",COUNTIFS($A$5:$A193,$A193,$L$5:$L193,"Active"))</f>
        <v/>
      </c>
      <c r="N193" s="26">
        <f>IF(OR($A193="",$M193=""),"",IF($M193=IFERROR(INDEX('Chart Database'!$R$6:$R$4005,MATCH($A193,'Chart Database'!$A$6:$A$4005,0)),0),"NEXT",""))</f>
        <v/>
      </c>
      <c r="O193" s="23" t="n"/>
    </row>
    <row r="194">
      <c r="A194" s="23" t="n"/>
      <c r="B194" s="26">
        <f>IF($A194="","",IFERROR(INDEX('Chart Database'!$B$6:$B$4005,MATCH($A194,'Chart Database'!$A$6:$A$4005,0)),"UNKNOWN CHART"))</f>
        <v/>
      </c>
      <c r="C194" s="23" t="n"/>
      <c r="D194" s="23" t="n"/>
      <c r="E194" s="25" t="n"/>
      <c r="F194" s="15" t="n"/>
      <c r="G194" s="23" t="n"/>
      <c r="H194" s="15" t="n"/>
      <c r="I194" s="15" t="n"/>
      <c r="J194" s="15" t="n"/>
      <c r="K194" s="25" t="n"/>
      <c r="L194" s="15" t="n"/>
      <c r="M194" s="26">
        <f>IF(OR($A194="",$L194&lt;&gt;"Active"),"",COUNTIFS($A$5:$A194,$A194,$L$5:$L194,"Active"))</f>
        <v/>
      </c>
      <c r="N194" s="26">
        <f>IF(OR($A194="",$M194=""),"",IF($M194=IFERROR(INDEX('Chart Database'!$R$6:$R$4005,MATCH($A194,'Chart Database'!$A$6:$A$4005,0)),0),"NEXT",""))</f>
        <v/>
      </c>
      <c r="O194" s="23" t="n"/>
    </row>
    <row r="195">
      <c r="A195" s="23" t="n"/>
      <c r="B195" s="26">
        <f>IF($A195="","",IFERROR(INDEX('Chart Database'!$B$6:$B$4005,MATCH($A195,'Chart Database'!$A$6:$A$4005,0)),"UNKNOWN CHART"))</f>
        <v/>
      </c>
      <c r="C195" s="23" t="n"/>
      <c r="D195" s="23" t="n"/>
      <c r="E195" s="25" t="n"/>
      <c r="F195" s="15" t="n"/>
      <c r="G195" s="23" t="n"/>
      <c r="H195" s="15" t="n"/>
      <c r="I195" s="15" t="n"/>
      <c r="J195" s="15" t="n"/>
      <c r="K195" s="25" t="n"/>
      <c r="L195" s="15" t="n"/>
      <c r="M195" s="26">
        <f>IF(OR($A195="",$L195&lt;&gt;"Active"),"",COUNTIFS($A$5:$A195,$A195,$L$5:$L195,"Active"))</f>
        <v/>
      </c>
      <c r="N195" s="26">
        <f>IF(OR($A195="",$M195=""),"",IF($M195=IFERROR(INDEX('Chart Database'!$R$6:$R$4005,MATCH($A195,'Chart Database'!$A$6:$A$4005,0)),0),"NEXT",""))</f>
        <v/>
      </c>
      <c r="O195" s="23" t="n"/>
    </row>
    <row r="196">
      <c r="A196" s="23" t="n"/>
      <c r="B196" s="26">
        <f>IF($A196="","",IFERROR(INDEX('Chart Database'!$B$6:$B$4005,MATCH($A196,'Chart Database'!$A$6:$A$4005,0)),"UNKNOWN CHART"))</f>
        <v/>
      </c>
      <c r="C196" s="23" t="n"/>
      <c r="D196" s="23" t="n"/>
      <c r="E196" s="25" t="n"/>
      <c r="F196" s="15" t="n"/>
      <c r="G196" s="23" t="n"/>
      <c r="H196" s="15" t="n"/>
      <c r="I196" s="15" t="n"/>
      <c r="J196" s="15" t="n"/>
      <c r="K196" s="25" t="n"/>
      <c r="L196" s="15" t="n"/>
      <c r="M196" s="26">
        <f>IF(OR($A196="",$L196&lt;&gt;"Active"),"",COUNTIFS($A$5:$A196,$A196,$L$5:$L196,"Active"))</f>
        <v/>
      </c>
      <c r="N196" s="26">
        <f>IF(OR($A196="",$M196=""),"",IF($M196=IFERROR(INDEX('Chart Database'!$R$6:$R$4005,MATCH($A196,'Chart Database'!$A$6:$A$4005,0)),0),"NEXT",""))</f>
        <v/>
      </c>
      <c r="O196" s="23" t="n"/>
    </row>
    <row r="197">
      <c r="A197" s="23" t="n"/>
      <c r="B197" s="26">
        <f>IF($A197="","",IFERROR(INDEX('Chart Database'!$B$6:$B$4005,MATCH($A197,'Chart Database'!$A$6:$A$4005,0)),"UNKNOWN CHART"))</f>
        <v/>
      </c>
      <c r="C197" s="23" t="n"/>
      <c r="D197" s="23" t="n"/>
      <c r="E197" s="25" t="n"/>
      <c r="F197" s="15" t="n"/>
      <c r="G197" s="23" t="n"/>
      <c r="H197" s="15" t="n"/>
      <c r="I197" s="15" t="n"/>
      <c r="J197" s="15" t="n"/>
      <c r="K197" s="25" t="n"/>
      <c r="L197" s="15" t="n"/>
      <c r="M197" s="26">
        <f>IF(OR($A197="",$L197&lt;&gt;"Active"),"",COUNTIFS($A$5:$A197,$A197,$L$5:$L197,"Active"))</f>
        <v/>
      </c>
      <c r="N197" s="26">
        <f>IF(OR($A197="",$M197=""),"",IF($M197=IFERROR(INDEX('Chart Database'!$R$6:$R$4005,MATCH($A197,'Chart Database'!$A$6:$A$4005,0)),0),"NEXT",""))</f>
        <v/>
      </c>
      <c r="O197" s="23" t="n"/>
    </row>
    <row r="198">
      <c r="A198" s="23" t="n"/>
      <c r="B198" s="26">
        <f>IF($A198="","",IFERROR(INDEX('Chart Database'!$B$6:$B$4005,MATCH($A198,'Chart Database'!$A$6:$A$4005,0)),"UNKNOWN CHART"))</f>
        <v/>
      </c>
      <c r="C198" s="23" t="n"/>
      <c r="D198" s="23" t="n"/>
      <c r="E198" s="25" t="n"/>
      <c r="F198" s="15" t="n"/>
      <c r="G198" s="23" t="n"/>
      <c r="H198" s="15" t="n"/>
      <c r="I198" s="15" t="n"/>
      <c r="J198" s="15" t="n"/>
      <c r="K198" s="25" t="n"/>
      <c r="L198" s="15" t="n"/>
      <c r="M198" s="26">
        <f>IF(OR($A198="",$L198&lt;&gt;"Active"),"",COUNTIFS($A$5:$A198,$A198,$L$5:$L198,"Active"))</f>
        <v/>
      </c>
      <c r="N198" s="26">
        <f>IF(OR($A198="",$M198=""),"",IF($M198=IFERROR(INDEX('Chart Database'!$R$6:$R$4005,MATCH($A198,'Chart Database'!$A$6:$A$4005,0)),0),"NEXT",""))</f>
        <v/>
      </c>
      <c r="O198" s="23" t="n"/>
    </row>
    <row r="199">
      <c r="A199" s="23" t="n"/>
      <c r="B199" s="26">
        <f>IF($A199="","",IFERROR(INDEX('Chart Database'!$B$6:$B$4005,MATCH($A199,'Chart Database'!$A$6:$A$4005,0)),"UNKNOWN CHART"))</f>
        <v/>
      </c>
      <c r="C199" s="23" t="n"/>
      <c r="D199" s="23" t="n"/>
      <c r="E199" s="25" t="n"/>
      <c r="F199" s="15" t="n"/>
      <c r="G199" s="23" t="n"/>
      <c r="H199" s="15" t="n"/>
      <c r="I199" s="15" t="n"/>
      <c r="J199" s="15" t="n"/>
      <c r="K199" s="25" t="n"/>
      <c r="L199" s="15" t="n"/>
      <c r="M199" s="26">
        <f>IF(OR($A199="",$L199&lt;&gt;"Active"),"",COUNTIFS($A$5:$A199,$A199,$L$5:$L199,"Active"))</f>
        <v/>
      </c>
      <c r="N199" s="26">
        <f>IF(OR($A199="",$M199=""),"",IF($M199=IFERROR(INDEX('Chart Database'!$R$6:$R$4005,MATCH($A199,'Chart Database'!$A$6:$A$4005,0)),0),"NEXT",""))</f>
        <v/>
      </c>
      <c r="O199" s="23" t="n"/>
    </row>
    <row r="200">
      <c r="A200" s="23" t="n"/>
      <c r="B200" s="26">
        <f>IF($A200="","",IFERROR(INDEX('Chart Database'!$B$6:$B$4005,MATCH($A200,'Chart Database'!$A$6:$A$4005,0)),"UNKNOWN CHART"))</f>
        <v/>
      </c>
      <c r="C200" s="23" t="n"/>
      <c r="D200" s="23" t="n"/>
      <c r="E200" s="25" t="n"/>
      <c r="F200" s="15" t="n"/>
      <c r="G200" s="23" t="n"/>
      <c r="H200" s="15" t="n"/>
      <c r="I200" s="15" t="n"/>
      <c r="J200" s="15" t="n"/>
      <c r="K200" s="25" t="n"/>
      <c r="L200" s="15" t="n"/>
      <c r="M200" s="26">
        <f>IF(OR($A200="",$L200&lt;&gt;"Active"),"",COUNTIFS($A$5:$A200,$A200,$L$5:$L200,"Active"))</f>
        <v/>
      </c>
      <c r="N200" s="26">
        <f>IF(OR($A200="",$M200=""),"",IF($M200=IFERROR(INDEX('Chart Database'!$R$6:$R$4005,MATCH($A200,'Chart Database'!$A$6:$A$4005,0)),0),"NEXT",""))</f>
        <v/>
      </c>
      <c r="O200" s="23" t="n"/>
    </row>
    <row r="201">
      <c r="A201" s="23" t="n"/>
      <c r="B201" s="26">
        <f>IF($A201="","",IFERROR(INDEX('Chart Database'!$B$6:$B$4005,MATCH($A201,'Chart Database'!$A$6:$A$4005,0)),"UNKNOWN CHART"))</f>
        <v/>
      </c>
      <c r="C201" s="23" t="n"/>
      <c r="D201" s="23" t="n"/>
      <c r="E201" s="25" t="n"/>
      <c r="F201" s="15" t="n"/>
      <c r="G201" s="23" t="n"/>
      <c r="H201" s="15" t="n"/>
      <c r="I201" s="15" t="n"/>
      <c r="J201" s="15" t="n"/>
      <c r="K201" s="25" t="n"/>
      <c r="L201" s="15" t="n"/>
      <c r="M201" s="26">
        <f>IF(OR($A201="",$L201&lt;&gt;"Active"),"",COUNTIFS($A$5:$A201,$A201,$L$5:$L201,"Active"))</f>
        <v/>
      </c>
      <c r="N201" s="26">
        <f>IF(OR($A201="",$M201=""),"",IF($M201=IFERROR(INDEX('Chart Database'!$R$6:$R$4005,MATCH($A201,'Chart Database'!$A$6:$A$4005,0)),0),"NEXT",""))</f>
        <v/>
      </c>
      <c r="O201" s="23" t="n"/>
    </row>
    <row r="202">
      <c r="A202" s="23" t="n"/>
      <c r="B202" s="26">
        <f>IF($A202="","",IFERROR(INDEX('Chart Database'!$B$6:$B$4005,MATCH($A202,'Chart Database'!$A$6:$A$4005,0)),"UNKNOWN CHART"))</f>
        <v/>
      </c>
      <c r="C202" s="23" t="n"/>
      <c r="D202" s="23" t="n"/>
      <c r="E202" s="25" t="n"/>
      <c r="F202" s="15" t="n"/>
      <c r="G202" s="23" t="n"/>
      <c r="H202" s="15" t="n"/>
      <c r="I202" s="15" t="n"/>
      <c r="J202" s="15" t="n"/>
      <c r="K202" s="25" t="n"/>
      <c r="L202" s="15" t="n"/>
      <c r="M202" s="26">
        <f>IF(OR($A202="",$L202&lt;&gt;"Active"),"",COUNTIFS($A$5:$A202,$A202,$L$5:$L202,"Active"))</f>
        <v/>
      </c>
      <c r="N202" s="26">
        <f>IF(OR($A202="",$M202=""),"",IF($M202=IFERROR(INDEX('Chart Database'!$R$6:$R$4005,MATCH($A202,'Chart Database'!$A$6:$A$4005,0)),0),"NEXT",""))</f>
        <v/>
      </c>
      <c r="O202" s="23" t="n"/>
    </row>
    <row r="203">
      <c r="A203" s="23" t="n"/>
      <c r="B203" s="26">
        <f>IF($A203="","",IFERROR(INDEX('Chart Database'!$B$6:$B$4005,MATCH($A203,'Chart Database'!$A$6:$A$4005,0)),"UNKNOWN CHART"))</f>
        <v/>
      </c>
      <c r="C203" s="23" t="n"/>
      <c r="D203" s="23" t="n"/>
      <c r="E203" s="25" t="n"/>
      <c r="F203" s="15" t="n"/>
      <c r="G203" s="23" t="n"/>
      <c r="H203" s="15" t="n"/>
      <c r="I203" s="15" t="n"/>
      <c r="J203" s="15" t="n"/>
      <c r="K203" s="25" t="n"/>
      <c r="L203" s="15" t="n"/>
      <c r="M203" s="26">
        <f>IF(OR($A203="",$L203&lt;&gt;"Active"),"",COUNTIFS($A$5:$A203,$A203,$L$5:$L203,"Active"))</f>
        <v/>
      </c>
      <c r="N203" s="26">
        <f>IF(OR($A203="",$M203=""),"",IF($M203=IFERROR(INDEX('Chart Database'!$R$6:$R$4005,MATCH($A203,'Chart Database'!$A$6:$A$4005,0)),0),"NEXT",""))</f>
        <v/>
      </c>
      <c r="O203" s="23" t="n"/>
    </row>
    <row r="204">
      <c r="A204" s="23" t="n"/>
      <c r="B204" s="26">
        <f>IF($A204="","",IFERROR(INDEX('Chart Database'!$B$6:$B$4005,MATCH($A204,'Chart Database'!$A$6:$A$4005,0)),"UNKNOWN CHART"))</f>
        <v/>
      </c>
      <c r="C204" s="23" t="n"/>
      <c r="D204" s="23" t="n"/>
      <c r="E204" s="25" t="n"/>
      <c r="F204" s="15" t="n"/>
      <c r="G204" s="23" t="n"/>
      <c r="H204" s="15" t="n"/>
      <c r="I204" s="15" t="n"/>
      <c r="J204" s="15" t="n"/>
      <c r="K204" s="25" t="n"/>
      <c r="L204" s="15" t="n"/>
      <c r="M204" s="26">
        <f>IF(OR($A204="",$L204&lt;&gt;"Active"),"",COUNTIFS($A$5:$A204,$A204,$L$5:$L204,"Active"))</f>
        <v/>
      </c>
      <c r="N204" s="26">
        <f>IF(OR($A204="",$M204=""),"",IF($M204=IFERROR(INDEX('Chart Database'!$R$6:$R$4005,MATCH($A204,'Chart Database'!$A$6:$A$4005,0)),0),"NEXT",""))</f>
        <v/>
      </c>
      <c r="O204" s="23" t="n"/>
    </row>
    <row r="205">
      <c r="A205" s="23" t="n"/>
      <c r="B205" s="26">
        <f>IF($A205="","",IFERROR(INDEX('Chart Database'!$B$6:$B$4005,MATCH($A205,'Chart Database'!$A$6:$A$4005,0)),"UNKNOWN CHART"))</f>
        <v/>
      </c>
      <c r="C205" s="23" t="n"/>
      <c r="D205" s="23" t="n"/>
      <c r="E205" s="25" t="n"/>
      <c r="F205" s="15" t="n"/>
      <c r="G205" s="23" t="n"/>
      <c r="H205" s="15" t="n"/>
      <c r="I205" s="15" t="n"/>
      <c r="J205" s="15" t="n"/>
      <c r="K205" s="25" t="n"/>
      <c r="L205" s="15" t="n"/>
      <c r="M205" s="26">
        <f>IF(OR($A205="",$L205&lt;&gt;"Active"),"",COUNTIFS($A$5:$A205,$A205,$L$5:$L205,"Active"))</f>
        <v/>
      </c>
      <c r="N205" s="26">
        <f>IF(OR($A205="",$M205=""),"",IF($M205=IFERROR(INDEX('Chart Database'!$R$6:$R$4005,MATCH($A205,'Chart Database'!$A$6:$A$4005,0)),0),"NEXT",""))</f>
        <v/>
      </c>
      <c r="O205" s="23" t="n"/>
    </row>
    <row r="206">
      <c r="A206" s="23" t="n"/>
      <c r="B206" s="26">
        <f>IF($A206="","",IFERROR(INDEX('Chart Database'!$B$6:$B$4005,MATCH($A206,'Chart Database'!$A$6:$A$4005,0)),"UNKNOWN CHART"))</f>
        <v/>
      </c>
      <c r="C206" s="23" t="n"/>
      <c r="D206" s="23" t="n"/>
      <c r="E206" s="25" t="n"/>
      <c r="F206" s="15" t="n"/>
      <c r="G206" s="23" t="n"/>
      <c r="H206" s="15" t="n"/>
      <c r="I206" s="15" t="n"/>
      <c r="J206" s="15" t="n"/>
      <c r="K206" s="25" t="n"/>
      <c r="L206" s="15" t="n"/>
      <c r="M206" s="26">
        <f>IF(OR($A206="",$L206&lt;&gt;"Active"),"",COUNTIFS($A$5:$A206,$A206,$L$5:$L206,"Active"))</f>
        <v/>
      </c>
      <c r="N206" s="26">
        <f>IF(OR($A206="",$M206=""),"",IF($M206=IFERROR(INDEX('Chart Database'!$R$6:$R$4005,MATCH($A206,'Chart Database'!$A$6:$A$4005,0)),0),"NEXT",""))</f>
        <v/>
      </c>
      <c r="O206" s="23" t="n"/>
    </row>
    <row r="207">
      <c r="A207" s="23" t="n"/>
      <c r="B207" s="26">
        <f>IF($A207="","",IFERROR(INDEX('Chart Database'!$B$6:$B$4005,MATCH($A207,'Chart Database'!$A$6:$A$4005,0)),"UNKNOWN CHART"))</f>
        <v/>
      </c>
      <c r="C207" s="23" t="n"/>
      <c r="D207" s="23" t="n"/>
      <c r="E207" s="25" t="n"/>
      <c r="F207" s="15" t="n"/>
      <c r="G207" s="23" t="n"/>
      <c r="H207" s="15" t="n"/>
      <c r="I207" s="15" t="n"/>
      <c r="J207" s="15" t="n"/>
      <c r="K207" s="25" t="n"/>
      <c r="L207" s="15" t="n"/>
      <c r="M207" s="26">
        <f>IF(OR($A207="",$L207&lt;&gt;"Active"),"",COUNTIFS($A$5:$A207,$A207,$L$5:$L207,"Active"))</f>
        <v/>
      </c>
      <c r="N207" s="26">
        <f>IF(OR($A207="",$M207=""),"",IF($M207=IFERROR(INDEX('Chart Database'!$R$6:$R$4005,MATCH($A207,'Chart Database'!$A$6:$A$4005,0)),0),"NEXT",""))</f>
        <v/>
      </c>
      <c r="O207" s="23" t="n"/>
    </row>
    <row r="208">
      <c r="A208" s="23" t="n"/>
      <c r="B208" s="26">
        <f>IF($A208="","",IFERROR(INDEX('Chart Database'!$B$6:$B$4005,MATCH($A208,'Chart Database'!$A$6:$A$4005,0)),"UNKNOWN CHART"))</f>
        <v/>
      </c>
      <c r="C208" s="23" t="n"/>
      <c r="D208" s="23" t="n"/>
      <c r="E208" s="25" t="n"/>
      <c r="F208" s="15" t="n"/>
      <c r="G208" s="23" t="n"/>
      <c r="H208" s="15" t="n"/>
      <c r="I208" s="15" t="n"/>
      <c r="J208" s="15" t="n"/>
      <c r="K208" s="25" t="n"/>
      <c r="L208" s="15" t="n"/>
      <c r="M208" s="26">
        <f>IF(OR($A208="",$L208&lt;&gt;"Active"),"",COUNTIFS($A$5:$A208,$A208,$L$5:$L208,"Active"))</f>
        <v/>
      </c>
      <c r="N208" s="26">
        <f>IF(OR($A208="",$M208=""),"",IF($M208=IFERROR(INDEX('Chart Database'!$R$6:$R$4005,MATCH($A208,'Chart Database'!$A$6:$A$4005,0)),0),"NEXT",""))</f>
        <v/>
      </c>
      <c r="O208" s="23" t="n"/>
    </row>
    <row r="209">
      <c r="A209" s="23" t="n"/>
      <c r="B209" s="26">
        <f>IF($A209="","",IFERROR(INDEX('Chart Database'!$B$6:$B$4005,MATCH($A209,'Chart Database'!$A$6:$A$4005,0)),"UNKNOWN CHART"))</f>
        <v/>
      </c>
      <c r="C209" s="23" t="n"/>
      <c r="D209" s="23" t="n"/>
      <c r="E209" s="25" t="n"/>
      <c r="F209" s="15" t="n"/>
      <c r="G209" s="23" t="n"/>
      <c r="H209" s="15" t="n"/>
      <c r="I209" s="15" t="n"/>
      <c r="J209" s="15" t="n"/>
      <c r="K209" s="25" t="n"/>
      <c r="L209" s="15" t="n"/>
      <c r="M209" s="26">
        <f>IF(OR($A209="",$L209&lt;&gt;"Active"),"",COUNTIFS($A$5:$A209,$A209,$L$5:$L209,"Active"))</f>
        <v/>
      </c>
      <c r="N209" s="26">
        <f>IF(OR($A209="",$M209=""),"",IF($M209=IFERROR(INDEX('Chart Database'!$R$6:$R$4005,MATCH($A209,'Chart Database'!$A$6:$A$4005,0)),0),"NEXT",""))</f>
        <v/>
      </c>
      <c r="O209" s="23" t="n"/>
    </row>
    <row r="210">
      <c r="A210" s="23" t="n"/>
      <c r="B210" s="26">
        <f>IF($A210="","",IFERROR(INDEX('Chart Database'!$B$6:$B$4005,MATCH($A210,'Chart Database'!$A$6:$A$4005,0)),"UNKNOWN CHART"))</f>
        <v/>
      </c>
      <c r="C210" s="23" t="n"/>
      <c r="D210" s="23" t="n"/>
      <c r="E210" s="25" t="n"/>
      <c r="F210" s="15" t="n"/>
      <c r="G210" s="23" t="n"/>
      <c r="H210" s="15" t="n"/>
      <c r="I210" s="15" t="n"/>
      <c r="J210" s="15" t="n"/>
      <c r="K210" s="25" t="n"/>
      <c r="L210" s="15" t="n"/>
      <c r="M210" s="26">
        <f>IF(OR($A210="",$L210&lt;&gt;"Active"),"",COUNTIFS($A$5:$A210,$A210,$L$5:$L210,"Active"))</f>
        <v/>
      </c>
      <c r="N210" s="26">
        <f>IF(OR($A210="",$M210=""),"",IF($M210=IFERROR(INDEX('Chart Database'!$R$6:$R$4005,MATCH($A210,'Chart Database'!$A$6:$A$4005,0)),0),"NEXT",""))</f>
        <v/>
      </c>
      <c r="O210" s="23" t="n"/>
    </row>
    <row r="211">
      <c r="A211" s="23" t="n"/>
      <c r="B211" s="26">
        <f>IF($A211="","",IFERROR(INDEX('Chart Database'!$B$6:$B$4005,MATCH($A211,'Chart Database'!$A$6:$A$4005,0)),"UNKNOWN CHART"))</f>
        <v/>
      </c>
      <c r="C211" s="23" t="n"/>
      <c r="D211" s="23" t="n"/>
      <c r="E211" s="25" t="n"/>
      <c r="F211" s="15" t="n"/>
      <c r="G211" s="23" t="n"/>
      <c r="H211" s="15" t="n"/>
      <c r="I211" s="15" t="n"/>
      <c r="J211" s="15" t="n"/>
      <c r="K211" s="25" t="n"/>
      <c r="L211" s="15" t="n"/>
      <c r="M211" s="26">
        <f>IF(OR($A211="",$L211&lt;&gt;"Active"),"",COUNTIFS($A$5:$A211,$A211,$L$5:$L211,"Active"))</f>
        <v/>
      </c>
      <c r="N211" s="26">
        <f>IF(OR($A211="",$M211=""),"",IF($M211=IFERROR(INDEX('Chart Database'!$R$6:$R$4005,MATCH($A211,'Chart Database'!$A$6:$A$4005,0)),0),"NEXT",""))</f>
        <v/>
      </c>
      <c r="O211" s="23" t="n"/>
    </row>
    <row r="212">
      <c r="A212" s="23" t="n"/>
      <c r="B212" s="26">
        <f>IF($A212="","",IFERROR(INDEX('Chart Database'!$B$6:$B$4005,MATCH($A212,'Chart Database'!$A$6:$A$4005,0)),"UNKNOWN CHART"))</f>
        <v/>
      </c>
      <c r="C212" s="23" t="n"/>
      <c r="D212" s="23" t="n"/>
      <c r="E212" s="25" t="n"/>
      <c r="F212" s="15" t="n"/>
      <c r="G212" s="23" t="n"/>
      <c r="H212" s="15" t="n"/>
      <c r="I212" s="15" t="n"/>
      <c r="J212" s="15" t="n"/>
      <c r="K212" s="25" t="n"/>
      <c r="L212" s="15" t="n"/>
      <c r="M212" s="26">
        <f>IF(OR($A212="",$L212&lt;&gt;"Active"),"",COUNTIFS($A$5:$A212,$A212,$L$5:$L212,"Active"))</f>
        <v/>
      </c>
      <c r="N212" s="26">
        <f>IF(OR($A212="",$M212=""),"",IF($M212=IFERROR(INDEX('Chart Database'!$R$6:$R$4005,MATCH($A212,'Chart Database'!$A$6:$A$4005,0)),0),"NEXT",""))</f>
        <v/>
      </c>
      <c r="O212" s="23" t="n"/>
    </row>
    <row r="213">
      <c r="A213" s="23" t="n"/>
      <c r="B213" s="26">
        <f>IF($A213="","",IFERROR(INDEX('Chart Database'!$B$6:$B$4005,MATCH($A213,'Chart Database'!$A$6:$A$4005,0)),"UNKNOWN CHART"))</f>
        <v/>
      </c>
      <c r="C213" s="23" t="n"/>
      <c r="D213" s="23" t="n"/>
      <c r="E213" s="25" t="n"/>
      <c r="F213" s="15" t="n"/>
      <c r="G213" s="23" t="n"/>
      <c r="H213" s="15" t="n"/>
      <c r="I213" s="15" t="n"/>
      <c r="J213" s="15" t="n"/>
      <c r="K213" s="25" t="n"/>
      <c r="L213" s="15" t="n"/>
      <c r="M213" s="26">
        <f>IF(OR($A213="",$L213&lt;&gt;"Active"),"",COUNTIFS($A$5:$A213,$A213,$L$5:$L213,"Active"))</f>
        <v/>
      </c>
      <c r="N213" s="26">
        <f>IF(OR($A213="",$M213=""),"",IF($M213=IFERROR(INDEX('Chart Database'!$R$6:$R$4005,MATCH($A213,'Chart Database'!$A$6:$A$4005,0)),0),"NEXT",""))</f>
        <v/>
      </c>
      <c r="O213" s="23" t="n"/>
    </row>
    <row r="214">
      <c r="A214" s="23" t="n"/>
      <c r="B214" s="26">
        <f>IF($A214="","",IFERROR(INDEX('Chart Database'!$B$6:$B$4005,MATCH($A214,'Chart Database'!$A$6:$A$4005,0)),"UNKNOWN CHART"))</f>
        <v/>
      </c>
      <c r="C214" s="23" t="n"/>
      <c r="D214" s="23" t="n"/>
      <c r="E214" s="25" t="n"/>
      <c r="F214" s="15" t="n"/>
      <c r="G214" s="23" t="n"/>
      <c r="H214" s="15" t="n"/>
      <c r="I214" s="15" t="n"/>
      <c r="J214" s="15" t="n"/>
      <c r="K214" s="25" t="n"/>
      <c r="L214" s="15" t="n"/>
      <c r="M214" s="26">
        <f>IF(OR($A214="",$L214&lt;&gt;"Active"),"",COUNTIFS($A$5:$A214,$A214,$L$5:$L214,"Active"))</f>
        <v/>
      </c>
      <c r="N214" s="26">
        <f>IF(OR($A214="",$M214=""),"",IF($M214=IFERROR(INDEX('Chart Database'!$R$6:$R$4005,MATCH($A214,'Chart Database'!$A$6:$A$4005,0)),0),"NEXT",""))</f>
        <v/>
      </c>
      <c r="O214" s="23" t="n"/>
    </row>
    <row r="215">
      <c r="A215" s="23" t="n"/>
      <c r="B215" s="26">
        <f>IF($A215="","",IFERROR(INDEX('Chart Database'!$B$6:$B$4005,MATCH($A215,'Chart Database'!$A$6:$A$4005,0)),"UNKNOWN CHART"))</f>
        <v/>
      </c>
      <c r="C215" s="23" t="n"/>
      <c r="D215" s="23" t="n"/>
      <c r="E215" s="25" t="n"/>
      <c r="F215" s="15" t="n"/>
      <c r="G215" s="23" t="n"/>
      <c r="H215" s="15" t="n"/>
      <c r="I215" s="15" t="n"/>
      <c r="J215" s="15" t="n"/>
      <c r="K215" s="25" t="n"/>
      <c r="L215" s="15" t="n"/>
      <c r="M215" s="26">
        <f>IF(OR($A215="",$L215&lt;&gt;"Active"),"",COUNTIFS($A$5:$A215,$A215,$L$5:$L215,"Active"))</f>
        <v/>
      </c>
      <c r="N215" s="26">
        <f>IF(OR($A215="",$M215=""),"",IF($M215=IFERROR(INDEX('Chart Database'!$R$6:$R$4005,MATCH($A215,'Chart Database'!$A$6:$A$4005,0)),0),"NEXT",""))</f>
        <v/>
      </c>
      <c r="O215" s="23" t="n"/>
    </row>
    <row r="216">
      <c r="A216" s="23" t="n"/>
      <c r="B216" s="26">
        <f>IF($A216="","",IFERROR(INDEX('Chart Database'!$B$6:$B$4005,MATCH($A216,'Chart Database'!$A$6:$A$4005,0)),"UNKNOWN CHART"))</f>
        <v/>
      </c>
      <c r="C216" s="23" t="n"/>
      <c r="D216" s="23" t="n"/>
      <c r="E216" s="25" t="n"/>
      <c r="F216" s="15" t="n"/>
      <c r="G216" s="23" t="n"/>
      <c r="H216" s="15" t="n"/>
      <c r="I216" s="15" t="n"/>
      <c r="J216" s="15" t="n"/>
      <c r="K216" s="25" t="n"/>
      <c r="L216" s="15" t="n"/>
      <c r="M216" s="26">
        <f>IF(OR($A216="",$L216&lt;&gt;"Active"),"",COUNTIFS($A$5:$A216,$A216,$L$5:$L216,"Active"))</f>
        <v/>
      </c>
      <c r="N216" s="26">
        <f>IF(OR($A216="",$M216=""),"",IF($M216=IFERROR(INDEX('Chart Database'!$R$6:$R$4005,MATCH($A216,'Chart Database'!$A$6:$A$4005,0)),0),"NEXT",""))</f>
        <v/>
      </c>
      <c r="O216" s="23" t="n"/>
    </row>
    <row r="217">
      <c r="A217" s="23" t="n"/>
      <c r="B217" s="26">
        <f>IF($A217="","",IFERROR(INDEX('Chart Database'!$B$6:$B$4005,MATCH($A217,'Chart Database'!$A$6:$A$4005,0)),"UNKNOWN CHART"))</f>
        <v/>
      </c>
      <c r="C217" s="23" t="n"/>
      <c r="D217" s="23" t="n"/>
      <c r="E217" s="25" t="n"/>
      <c r="F217" s="15" t="n"/>
      <c r="G217" s="23" t="n"/>
      <c r="H217" s="15" t="n"/>
      <c r="I217" s="15" t="n"/>
      <c r="J217" s="15" t="n"/>
      <c r="K217" s="25" t="n"/>
      <c r="L217" s="15" t="n"/>
      <c r="M217" s="26">
        <f>IF(OR($A217="",$L217&lt;&gt;"Active"),"",COUNTIFS($A$5:$A217,$A217,$L$5:$L217,"Active"))</f>
        <v/>
      </c>
      <c r="N217" s="26">
        <f>IF(OR($A217="",$M217=""),"",IF($M217=IFERROR(INDEX('Chart Database'!$R$6:$R$4005,MATCH($A217,'Chart Database'!$A$6:$A$4005,0)),0),"NEXT",""))</f>
        <v/>
      </c>
      <c r="O217" s="23" t="n"/>
    </row>
    <row r="218">
      <c r="A218" s="23" t="n"/>
      <c r="B218" s="26">
        <f>IF($A218="","",IFERROR(INDEX('Chart Database'!$B$6:$B$4005,MATCH($A218,'Chart Database'!$A$6:$A$4005,0)),"UNKNOWN CHART"))</f>
        <v/>
      </c>
      <c r="C218" s="23" t="n"/>
      <c r="D218" s="23" t="n"/>
      <c r="E218" s="25" t="n"/>
      <c r="F218" s="15" t="n"/>
      <c r="G218" s="23" t="n"/>
      <c r="H218" s="15" t="n"/>
      <c r="I218" s="15" t="n"/>
      <c r="J218" s="15" t="n"/>
      <c r="K218" s="25" t="n"/>
      <c r="L218" s="15" t="n"/>
      <c r="M218" s="26">
        <f>IF(OR($A218="",$L218&lt;&gt;"Active"),"",COUNTIFS($A$5:$A218,$A218,$L$5:$L218,"Active"))</f>
        <v/>
      </c>
      <c r="N218" s="26">
        <f>IF(OR($A218="",$M218=""),"",IF($M218=IFERROR(INDEX('Chart Database'!$R$6:$R$4005,MATCH($A218,'Chart Database'!$A$6:$A$4005,0)),0),"NEXT",""))</f>
        <v/>
      </c>
      <c r="O218" s="23" t="n"/>
    </row>
    <row r="219">
      <c r="A219" s="23" t="n"/>
      <c r="B219" s="26">
        <f>IF($A219="","",IFERROR(INDEX('Chart Database'!$B$6:$B$4005,MATCH($A219,'Chart Database'!$A$6:$A$4005,0)),"UNKNOWN CHART"))</f>
        <v/>
      </c>
      <c r="C219" s="23" t="n"/>
      <c r="D219" s="23" t="n"/>
      <c r="E219" s="25" t="n"/>
      <c r="F219" s="15" t="n"/>
      <c r="G219" s="23" t="n"/>
      <c r="H219" s="15" t="n"/>
      <c r="I219" s="15" t="n"/>
      <c r="J219" s="15" t="n"/>
      <c r="K219" s="25" t="n"/>
      <c r="L219" s="15" t="n"/>
      <c r="M219" s="26">
        <f>IF(OR($A219="",$L219&lt;&gt;"Active"),"",COUNTIFS($A$5:$A219,$A219,$L$5:$L219,"Active"))</f>
        <v/>
      </c>
      <c r="N219" s="26">
        <f>IF(OR($A219="",$M219=""),"",IF($M219=IFERROR(INDEX('Chart Database'!$R$6:$R$4005,MATCH($A219,'Chart Database'!$A$6:$A$4005,0)),0),"NEXT",""))</f>
        <v/>
      </c>
      <c r="O219" s="23" t="n"/>
    </row>
    <row r="220">
      <c r="A220" s="23" t="n"/>
      <c r="B220" s="26">
        <f>IF($A220="","",IFERROR(INDEX('Chart Database'!$B$6:$B$4005,MATCH($A220,'Chart Database'!$A$6:$A$4005,0)),"UNKNOWN CHART"))</f>
        <v/>
      </c>
      <c r="C220" s="23" t="n"/>
      <c r="D220" s="23" t="n"/>
      <c r="E220" s="25" t="n"/>
      <c r="F220" s="15" t="n"/>
      <c r="G220" s="23" t="n"/>
      <c r="H220" s="15" t="n"/>
      <c r="I220" s="15" t="n"/>
      <c r="J220" s="15" t="n"/>
      <c r="K220" s="25" t="n"/>
      <c r="L220" s="15" t="n"/>
      <c r="M220" s="26">
        <f>IF(OR($A220="",$L220&lt;&gt;"Active"),"",COUNTIFS($A$5:$A220,$A220,$L$5:$L220,"Active"))</f>
        <v/>
      </c>
      <c r="N220" s="26">
        <f>IF(OR($A220="",$M220=""),"",IF($M220=IFERROR(INDEX('Chart Database'!$R$6:$R$4005,MATCH($A220,'Chart Database'!$A$6:$A$4005,0)),0),"NEXT",""))</f>
        <v/>
      </c>
      <c r="O220" s="23" t="n"/>
    </row>
    <row r="221">
      <c r="A221" s="23" t="n"/>
      <c r="B221" s="26">
        <f>IF($A221="","",IFERROR(INDEX('Chart Database'!$B$6:$B$4005,MATCH($A221,'Chart Database'!$A$6:$A$4005,0)),"UNKNOWN CHART"))</f>
        <v/>
      </c>
      <c r="C221" s="23" t="n"/>
      <c r="D221" s="23" t="n"/>
      <c r="E221" s="25" t="n"/>
      <c r="F221" s="15" t="n"/>
      <c r="G221" s="23" t="n"/>
      <c r="H221" s="15" t="n"/>
      <c r="I221" s="15" t="n"/>
      <c r="J221" s="15" t="n"/>
      <c r="K221" s="25" t="n"/>
      <c r="L221" s="15" t="n"/>
      <c r="M221" s="26">
        <f>IF(OR($A221="",$L221&lt;&gt;"Active"),"",COUNTIFS($A$5:$A221,$A221,$L$5:$L221,"Active"))</f>
        <v/>
      </c>
      <c r="N221" s="26">
        <f>IF(OR($A221="",$M221=""),"",IF($M221=IFERROR(INDEX('Chart Database'!$R$6:$R$4005,MATCH($A221,'Chart Database'!$A$6:$A$4005,0)),0),"NEXT",""))</f>
        <v/>
      </c>
      <c r="O221" s="23" t="n"/>
    </row>
    <row r="222">
      <c r="A222" s="23" t="n"/>
      <c r="B222" s="26">
        <f>IF($A222="","",IFERROR(INDEX('Chart Database'!$B$6:$B$4005,MATCH($A222,'Chart Database'!$A$6:$A$4005,0)),"UNKNOWN CHART"))</f>
        <v/>
      </c>
      <c r="C222" s="23" t="n"/>
      <c r="D222" s="23" t="n"/>
      <c r="E222" s="25" t="n"/>
      <c r="F222" s="15" t="n"/>
      <c r="G222" s="23" t="n"/>
      <c r="H222" s="15" t="n"/>
      <c r="I222" s="15" t="n"/>
      <c r="J222" s="15" t="n"/>
      <c r="K222" s="25" t="n"/>
      <c r="L222" s="15" t="n"/>
      <c r="M222" s="26">
        <f>IF(OR($A222="",$L222&lt;&gt;"Active"),"",COUNTIFS($A$5:$A222,$A222,$L$5:$L222,"Active"))</f>
        <v/>
      </c>
      <c r="N222" s="26">
        <f>IF(OR($A222="",$M222=""),"",IF($M222=IFERROR(INDEX('Chart Database'!$R$6:$R$4005,MATCH($A222,'Chart Database'!$A$6:$A$4005,0)),0),"NEXT",""))</f>
        <v/>
      </c>
      <c r="O222" s="23" t="n"/>
    </row>
    <row r="223">
      <c r="A223" s="23" t="n"/>
      <c r="B223" s="26">
        <f>IF($A223="","",IFERROR(INDEX('Chart Database'!$B$6:$B$4005,MATCH($A223,'Chart Database'!$A$6:$A$4005,0)),"UNKNOWN CHART"))</f>
        <v/>
      </c>
      <c r="C223" s="23" t="n"/>
      <c r="D223" s="23" t="n"/>
      <c r="E223" s="25" t="n"/>
      <c r="F223" s="15" t="n"/>
      <c r="G223" s="23" t="n"/>
      <c r="H223" s="15" t="n"/>
      <c r="I223" s="15" t="n"/>
      <c r="J223" s="15" t="n"/>
      <c r="K223" s="25" t="n"/>
      <c r="L223" s="15" t="n"/>
      <c r="M223" s="26">
        <f>IF(OR($A223="",$L223&lt;&gt;"Active"),"",COUNTIFS($A$5:$A223,$A223,$L$5:$L223,"Active"))</f>
        <v/>
      </c>
      <c r="N223" s="26">
        <f>IF(OR($A223="",$M223=""),"",IF($M223=IFERROR(INDEX('Chart Database'!$R$6:$R$4005,MATCH($A223,'Chart Database'!$A$6:$A$4005,0)),0),"NEXT",""))</f>
        <v/>
      </c>
      <c r="O223" s="23" t="n"/>
    </row>
    <row r="224">
      <c r="A224" s="23" t="n"/>
      <c r="B224" s="26">
        <f>IF($A224="","",IFERROR(INDEX('Chart Database'!$B$6:$B$4005,MATCH($A224,'Chart Database'!$A$6:$A$4005,0)),"UNKNOWN CHART"))</f>
        <v/>
      </c>
      <c r="C224" s="23" t="n"/>
      <c r="D224" s="23" t="n"/>
      <c r="E224" s="25" t="n"/>
      <c r="F224" s="15" t="n"/>
      <c r="G224" s="23" t="n"/>
      <c r="H224" s="15" t="n"/>
      <c r="I224" s="15" t="n"/>
      <c r="J224" s="15" t="n"/>
      <c r="K224" s="25" t="n"/>
      <c r="L224" s="15" t="n"/>
      <c r="M224" s="26">
        <f>IF(OR($A224="",$L224&lt;&gt;"Active"),"",COUNTIFS($A$5:$A224,$A224,$L$5:$L224,"Active"))</f>
        <v/>
      </c>
      <c r="N224" s="26">
        <f>IF(OR($A224="",$M224=""),"",IF($M224=IFERROR(INDEX('Chart Database'!$R$6:$R$4005,MATCH($A224,'Chart Database'!$A$6:$A$4005,0)),0),"NEXT",""))</f>
        <v/>
      </c>
      <c r="O224" s="23" t="n"/>
    </row>
    <row r="225">
      <c r="A225" s="23" t="n"/>
      <c r="B225" s="26">
        <f>IF($A225="","",IFERROR(INDEX('Chart Database'!$B$6:$B$4005,MATCH($A225,'Chart Database'!$A$6:$A$4005,0)),"UNKNOWN CHART"))</f>
        <v/>
      </c>
      <c r="C225" s="23" t="n"/>
      <c r="D225" s="23" t="n"/>
      <c r="E225" s="25" t="n"/>
      <c r="F225" s="15" t="n"/>
      <c r="G225" s="23" t="n"/>
      <c r="H225" s="15" t="n"/>
      <c r="I225" s="15" t="n"/>
      <c r="J225" s="15" t="n"/>
      <c r="K225" s="25" t="n"/>
      <c r="L225" s="15" t="n"/>
      <c r="M225" s="26">
        <f>IF(OR($A225="",$L225&lt;&gt;"Active"),"",COUNTIFS($A$5:$A225,$A225,$L$5:$L225,"Active"))</f>
        <v/>
      </c>
      <c r="N225" s="26">
        <f>IF(OR($A225="",$M225=""),"",IF($M225=IFERROR(INDEX('Chart Database'!$R$6:$R$4005,MATCH($A225,'Chart Database'!$A$6:$A$4005,0)),0),"NEXT",""))</f>
        <v/>
      </c>
      <c r="O225" s="23" t="n"/>
    </row>
    <row r="226">
      <c r="A226" s="23" t="n"/>
      <c r="B226" s="26">
        <f>IF($A226="","",IFERROR(INDEX('Chart Database'!$B$6:$B$4005,MATCH($A226,'Chart Database'!$A$6:$A$4005,0)),"UNKNOWN CHART"))</f>
        <v/>
      </c>
      <c r="C226" s="23" t="n"/>
      <c r="D226" s="23" t="n"/>
      <c r="E226" s="25" t="n"/>
      <c r="F226" s="15" t="n"/>
      <c r="G226" s="23" t="n"/>
      <c r="H226" s="15" t="n"/>
      <c r="I226" s="15" t="n"/>
      <c r="J226" s="15" t="n"/>
      <c r="K226" s="25" t="n"/>
      <c r="L226" s="15" t="n"/>
      <c r="M226" s="26">
        <f>IF(OR($A226="",$L226&lt;&gt;"Active"),"",COUNTIFS($A$5:$A226,$A226,$L$5:$L226,"Active"))</f>
        <v/>
      </c>
      <c r="N226" s="26">
        <f>IF(OR($A226="",$M226=""),"",IF($M226=IFERROR(INDEX('Chart Database'!$R$6:$R$4005,MATCH($A226,'Chart Database'!$A$6:$A$4005,0)),0),"NEXT",""))</f>
        <v/>
      </c>
      <c r="O226" s="23" t="n"/>
    </row>
    <row r="227">
      <c r="A227" s="23" t="n"/>
      <c r="B227" s="26">
        <f>IF($A227="","",IFERROR(INDEX('Chart Database'!$B$6:$B$4005,MATCH($A227,'Chart Database'!$A$6:$A$4005,0)),"UNKNOWN CHART"))</f>
        <v/>
      </c>
      <c r="C227" s="23" t="n"/>
      <c r="D227" s="23" t="n"/>
      <c r="E227" s="25" t="n"/>
      <c r="F227" s="15" t="n"/>
      <c r="G227" s="23" t="n"/>
      <c r="H227" s="15" t="n"/>
      <c r="I227" s="15" t="n"/>
      <c r="J227" s="15" t="n"/>
      <c r="K227" s="25" t="n"/>
      <c r="L227" s="15" t="n"/>
      <c r="M227" s="26">
        <f>IF(OR($A227="",$L227&lt;&gt;"Active"),"",COUNTIFS($A$5:$A227,$A227,$L$5:$L227,"Active"))</f>
        <v/>
      </c>
      <c r="N227" s="26">
        <f>IF(OR($A227="",$M227=""),"",IF($M227=IFERROR(INDEX('Chart Database'!$R$6:$R$4005,MATCH($A227,'Chart Database'!$A$6:$A$4005,0)),0),"NEXT",""))</f>
        <v/>
      </c>
      <c r="O227" s="23" t="n"/>
    </row>
    <row r="228">
      <c r="A228" s="23" t="n"/>
      <c r="B228" s="26">
        <f>IF($A228="","",IFERROR(INDEX('Chart Database'!$B$6:$B$4005,MATCH($A228,'Chart Database'!$A$6:$A$4005,0)),"UNKNOWN CHART"))</f>
        <v/>
      </c>
      <c r="C228" s="23" t="n"/>
      <c r="D228" s="23" t="n"/>
      <c r="E228" s="25" t="n"/>
      <c r="F228" s="15" t="n"/>
      <c r="G228" s="23" t="n"/>
      <c r="H228" s="15" t="n"/>
      <c r="I228" s="15" t="n"/>
      <c r="J228" s="15" t="n"/>
      <c r="K228" s="25" t="n"/>
      <c r="L228" s="15" t="n"/>
      <c r="M228" s="26">
        <f>IF(OR($A228="",$L228&lt;&gt;"Active"),"",COUNTIFS($A$5:$A228,$A228,$L$5:$L228,"Active"))</f>
        <v/>
      </c>
      <c r="N228" s="26">
        <f>IF(OR($A228="",$M228=""),"",IF($M228=IFERROR(INDEX('Chart Database'!$R$6:$R$4005,MATCH($A228,'Chart Database'!$A$6:$A$4005,0)),0),"NEXT",""))</f>
        <v/>
      </c>
      <c r="O228" s="23" t="n"/>
    </row>
    <row r="229">
      <c r="A229" s="23" t="n"/>
      <c r="B229" s="26">
        <f>IF($A229="","",IFERROR(INDEX('Chart Database'!$B$6:$B$4005,MATCH($A229,'Chart Database'!$A$6:$A$4005,0)),"UNKNOWN CHART"))</f>
        <v/>
      </c>
      <c r="C229" s="23" t="n"/>
      <c r="D229" s="23" t="n"/>
      <c r="E229" s="25" t="n"/>
      <c r="F229" s="15" t="n"/>
      <c r="G229" s="23" t="n"/>
      <c r="H229" s="15" t="n"/>
      <c r="I229" s="15" t="n"/>
      <c r="J229" s="15" t="n"/>
      <c r="K229" s="25" t="n"/>
      <c r="L229" s="15" t="n"/>
      <c r="M229" s="26">
        <f>IF(OR($A229="",$L229&lt;&gt;"Active"),"",COUNTIFS($A$5:$A229,$A229,$L$5:$L229,"Active"))</f>
        <v/>
      </c>
      <c r="N229" s="26">
        <f>IF(OR($A229="",$M229=""),"",IF($M229=IFERROR(INDEX('Chart Database'!$R$6:$R$4005,MATCH($A229,'Chart Database'!$A$6:$A$4005,0)),0),"NEXT",""))</f>
        <v/>
      </c>
      <c r="O229" s="23" t="n"/>
    </row>
    <row r="230">
      <c r="A230" s="23" t="n"/>
      <c r="B230" s="26">
        <f>IF($A230="","",IFERROR(INDEX('Chart Database'!$B$6:$B$4005,MATCH($A230,'Chart Database'!$A$6:$A$4005,0)),"UNKNOWN CHART"))</f>
        <v/>
      </c>
      <c r="C230" s="23" t="n"/>
      <c r="D230" s="23" t="n"/>
      <c r="E230" s="25" t="n"/>
      <c r="F230" s="15" t="n"/>
      <c r="G230" s="23" t="n"/>
      <c r="H230" s="15" t="n"/>
      <c r="I230" s="15" t="n"/>
      <c r="J230" s="15" t="n"/>
      <c r="K230" s="25" t="n"/>
      <c r="L230" s="15" t="n"/>
      <c r="M230" s="26">
        <f>IF(OR($A230="",$L230&lt;&gt;"Active"),"",COUNTIFS($A$5:$A230,$A230,$L$5:$L230,"Active"))</f>
        <v/>
      </c>
      <c r="N230" s="26">
        <f>IF(OR($A230="",$M230=""),"",IF($M230=IFERROR(INDEX('Chart Database'!$R$6:$R$4005,MATCH($A230,'Chart Database'!$A$6:$A$4005,0)),0),"NEXT",""))</f>
        <v/>
      </c>
      <c r="O230" s="23" t="n"/>
    </row>
    <row r="231">
      <c r="A231" s="23" t="n"/>
      <c r="B231" s="26">
        <f>IF($A231="","",IFERROR(INDEX('Chart Database'!$B$6:$B$4005,MATCH($A231,'Chart Database'!$A$6:$A$4005,0)),"UNKNOWN CHART"))</f>
        <v/>
      </c>
      <c r="C231" s="23" t="n"/>
      <c r="D231" s="23" t="n"/>
      <c r="E231" s="25" t="n"/>
      <c r="F231" s="15" t="n"/>
      <c r="G231" s="23" t="n"/>
      <c r="H231" s="15" t="n"/>
      <c r="I231" s="15" t="n"/>
      <c r="J231" s="15" t="n"/>
      <c r="K231" s="25" t="n"/>
      <c r="L231" s="15" t="n"/>
      <c r="M231" s="26">
        <f>IF(OR($A231="",$L231&lt;&gt;"Active"),"",COUNTIFS($A$5:$A231,$A231,$L$5:$L231,"Active"))</f>
        <v/>
      </c>
      <c r="N231" s="26">
        <f>IF(OR($A231="",$M231=""),"",IF($M231=IFERROR(INDEX('Chart Database'!$R$6:$R$4005,MATCH($A231,'Chart Database'!$A$6:$A$4005,0)),0),"NEXT",""))</f>
        <v/>
      </c>
      <c r="O231" s="23" t="n"/>
    </row>
    <row r="232">
      <c r="A232" s="23" t="n"/>
      <c r="B232" s="26">
        <f>IF($A232="","",IFERROR(INDEX('Chart Database'!$B$6:$B$4005,MATCH($A232,'Chart Database'!$A$6:$A$4005,0)),"UNKNOWN CHART"))</f>
        <v/>
      </c>
      <c r="C232" s="23" t="n"/>
      <c r="D232" s="23" t="n"/>
      <c r="E232" s="25" t="n"/>
      <c r="F232" s="15" t="n"/>
      <c r="G232" s="23" t="n"/>
      <c r="H232" s="15" t="n"/>
      <c r="I232" s="15" t="n"/>
      <c r="J232" s="15" t="n"/>
      <c r="K232" s="25" t="n"/>
      <c r="L232" s="15" t="n"/>
      <c r="M232" s="26">
        <f>IF(OR($A232="",$L232&lt;&gt;"Active"),"",COUNTIFS($A$5:$A232,$A232,$L$5:$L232,"Active"))</f>
        <v/>
      </c>
      <c r="N232" s="26">
        <f>IF(OR($A232="",$M232=""),"",IF($M232=IFERROR(INDEX('Chart Database'!$R$6:$R$4005,MATCH($A232,'Chart Database'!$A$6:$A$4005,0)),0),"NEXT",""))</f>
        <v/>
      </c>
      <c r="O232" s="23" t="n"/>
    </row>
    <row r="233">
      <c r="A233" s="23" t="n"/>
      <c r="B233" s="26">
        <f>IF($A233="","",IFERROR(INDEX('Chart Database'!$B$6:$B$4005,MATCH($A233,'Chart Database'!$A$6:$A$4005,0)),"UNKNOWN CHART"))</f>
        <v/>
      </c>
      <c r="C233" s="23" t="n"/>
      <c r="D233" s="23" t="n"/>
      <c r="E233" s="25" t="n"/>
      <c r="F233" s="15" t="n"/>
      <c r="G233" s="23" t="n"/>
      <c r="H233" s="15" t="n"/>
      <c r="I233" s="15" t="n"/>
      <c r="J233" s="15" t="n"/>
      <c r="K233" s="25" t="n"/>
      <c r="L233" s="15" t="n"/>
      <c r="M233" s="26">
        <f>IF(OR($A233="",$L233&lt;&gt;"Active"),"",COUNTIFS($A$5:$A233,$A233,$L$5:$L233,"Active"))</f>
        <v/>
      </c>
      <c r="N233" s="26">
        <f>IF(OR($A233="",$M233=""),"",IF($M233=IFERROR(INDEX('Chart Database'!$R$6:$R$4005,MATCH($A233,'Chart Database'!$A$6:$A$4005,0)),0),"NEXT",""))</f>
        <v/>
      </c>
      <c r="O233" s="23" t="n"/>
    </row>
    <row r="234">
      <c r="A234" s="23" t="n"/>
      <c r="B234" s="26">
        <f>IF($A234="","",IFERROR(INDEX('Chart Database'!$B$6:$B$4005,MATCH($A234,'Chart Database'!$A$6:$A$4005,0)),"UNKNOWN CHART"))</f>
        <v/>
      </c>
      <c r="C234" s="23" t="n"/>
      <c r="D234" s="23" t="n"/>
      <c r="E234" s="25" t="n"/>
      <c r="F234" s="15" t="n"/>
      <c r="G234" s="23" t="n"/>
      <c r="H234" s="15" t="n"/>
      <c r="I234" s="15" t="n"/>
      <c r="J234" s="15" t="n"/>
      <c r="K234" s="25" t="n"/>
      <c r="L234" s="15" t="n"/>
      <c r="M234" s="26">
        <f>IF(OR($A234="",$L234&lt;&gt;"Active"),"",COUNTIFS($A$5:$A234,$A234,$L$5:$L234,"Active"))</f>
        <v/>
      </c>
      <c r="N234" s="26">
        <f>IF(OR($A234="",$M234=""),"",IF($M234=IFERROR(INDEX('Chart Database'!$R$6:$R$4005,MATCH($A234,'Chart Database'!$A$6:$A$4005,0)),0),"NEXT",""))</f>
        <v/>
      </c>
      <c r="O234" s="23" t="n"/>
    </row>
    <row r="235">
      <c r="A235" s="23" t="n"/>
      <c r="B235" s="26">
        <f>IF($A235="","",IFERROR(INDEX('Chart Database'!$B$6:$B$4005,MATCH($A235,'Chart Database'!$A$6:$A$4005,0)),"UNKNOWN CHART"))</f>
        <v/>
      </c>
      <c r="C235" s="23" t="n"/>
      <c r="D235" s="23" t="n"/>
      <c r="E235" s="25" t="n"/>
      <c r="F235" s="15" t="n"/>
      <c r="G235" s="23" t="n"/>
      <c r="H235" s="15" t="n"/>
      <c r="I235" s="15" t="n"/>
      <c r="J235" s="15" t="n"/>
      <c r="K235" s="25" t="n"/>
      <c r="L235" s="15" t="n"/>
      <c r="M235" s="26">
        <f>IF(OR($A235="",$L235&lt;&gt;"Active"),"",COUNTIFS($A$5:$A235,$A235,$L$5:$L235,"Active"))</f>
        <v/>
      </c>
      <c r="N235" s="26">
        <f>IF(OR($A235="",$M235=""),"",IF($M235=IFERROR(INDEX('Chart Database'!$R$6:$R$4005,MATCH($A235,'Chart Database'!$A$6:$A$4005,0)),0),"NEXT",""))</f>
        <v/>
      </c>
      <c r="O235" s="23" t="n"/>
    </row>
    <row r="236">
      <c r="A236" s="23" t="n"/>
      <c r="B236" s="26">
        <f>IF($A236="","",IFERROR(INDEX('Chart Database'!$B$6:$B$4005,MATCH($A236,'Chart Database'!$A$6:$A$4005,0)),"UNKNOWN CHART"))</f>
        <v/>
      </c>
      <c r="C236" s="23" t="n"/>
      <c r="D236" s="23" t="n"/>
      <c r="E236" s="25" t="n"/>
      <c r="F236" s="15" t="n"/>
      <c r="G236" s="23" t="n"/>
      <c r="H236" s="15" t="n"/>
      <c r="I236" s="15" t="n"/>
      <c r="J236" s="15" t="n"/>
      <c r="K236" s="25" t="n"/>
      <c r="L236" s="15" t="n"/>
      <c r="M236" s="26">
        <f>IF(OR($A236="",$L236&lt;&gt;"Active"),"",COUNTIFS($A$5:$A236,$A236,$L$5:$L236,"Active"))</f>
        <v/>
      </c>
      <c r="N236" s="26">
        <f>IF(OR($A236="",$M236=""),"",IF($M236=IFERROR(INDEX('Chart Database'!$R$6:$R$4005,MATCH($A236,'Chart Database'!$A$6:$A$4005,0)),0),"NEXT",""))</f>
        <v/>
      </c>
      <c r="O236" s="23" t="n"/>
    </row>
    <row r="237">
      <c r="A237" s="23" t="n"/>
      <c r="B237" s="26">
        <f>IF($A237="","",IFERROR(INDEX('Chart Database'!$B$6:$B$4005,MATCH($A237,'Chart Database'!$A$6:$A$4005,0)),"UNKNOWN CHART"))</f>
        <v/>
      </c>
      <c r="C237" s="23" t="n"/>
      <c r="D237" s="23" t="n"/>
      <c r="E237" s="25" t="n"/>
      <c r="F237" s="15" t="n"/>
      <c r="G237" s="23" t="n"/>
      <c r="H237" s="15" t="n"/>
      <c r="I237" s="15" t="n"/>
      <c r="J237" s="15" t="n"/>
      <c r="K237" s="25" t="n"/>
      <c r="L237" s="15" t="n"/>
      <c r="M237" s="26">
        <f>IF(OR($A237="",$L237&lt;&gt;"Active"),"",COUNTIFS($A$5:$A237,$A237,$L$5:$L237,"Active"))</f>
        <v/>
      </c>
      <c r="N237" s="26">
        <f>IF(OR($A237="",$M237=""),"",IF($M237=IFERROR(INDEX('Chart Database'!$R$6:$R$4005,MATCH($A237,'Chart Database'!$A$6:$A$4005,0)),0),"NEXT",""))</f>
        <v/>
      </c>
      <c r="O237" s="23" t="n"/>
    </row>
    <row r="238">
      <c r="A238" s="23" t="n"/>
      <c r="B238" s="26">
        <f>IF($A238="","",IFERROR(INDEX('Chart Database'!$B$6:$B$4005,MATCH($A238,'Chart Database'!$A$6:$A$4005,0)),"UNKNOWN CHART"))</f>
        <v/>
      </c>
      <c r="C238" s="23" t="n"/>
      <c r="D238" s="23" t="n"/>
      <c r="E238" s="25" t="n"/>
      <c r="F238" s="15" t="n"/>
      <c r="G238" s="23" t="n"/>
      <c r="H238" s="15" t="n"/>
      <c r="I238" s="15" t="n"/>
      <c r="J238" s="15" t="n"/>
      <c r="K238" s="25" t="n"/>
      <c r="L238" s="15" t="n"/>
      <c r="M238" s="26">
        <f>IF(OR($A238="",$L238&lt;&gt;"Active"),"",COUNTIFS($A$5:$A238,$A238,$L$5:$L238,"Active"))</f>
        <v/>
      </c>
      <c r="N238" s="26">
        <f>IF(OR($A238="",$M238=""),"",IF($M238=IFERROR(INDEX('Chart Database'!$R$6:$R$4005,MATCH($A238,'Chart Database'!$A$6:$A$4005,0)),0),"NEXT",""))</f>
        <v/>
      </c>
      <c r="O238" s="23" t="n"/>
    </row>
    <row r="239">
      <c r="A239" s="23" t="n"/>
      <c r="B239" s="26">
        <f>IF($A239="","",IFERROR(INDEX('Chart Database'!$B$6:$B$4005,MATCH($A239,'Chart Database'!$A$6:$A$4005,0)),"UNKNOWN CHART"))</f>
        <v/>
      </c>
      <c r="C239" s="23" t="n"/>
      <c r="D239" s="23" t="n"/>
      <c r="E239" s="25" t="n"/>
      <c r="F239" s="15" t="n"/>
      <c r="G239" s="23" t="n"/>
      <c r="H239" s="15" t="n"/>
      <c r="I239" s="15" t="n"/>
      <c r="J239" s="15" t="n"/>
      <c r="K239" s="25" t="n"/>
      <c r="L239" s="15" t="n"/>
      <c r="M239" s="26">
        <f>IF(OR($A239="",$L239&lt;&gt;"Active"),"",COUNTIFS($A$5:$A239,$A239,$L$5:$L239,"Active"))</f>
        <v/>
      </c>
      <c r="N239" s="26">
        <f>IF(OR($A239="",$M239=""),"",IF($M239=IFERROR(INDEX('Chart Database'!$R$6:$R$4005,MATCH($A239,'Chart Database'!$A$6:$A$4005,0)),0),"NEXT",""))</f>
        <v/>
      </c>
      <c r="O239" s="23" t="n"/>
    </row>
    <row r="240">
      <c r="A240" s="23" t="n"/>
      <c r="B240" s="26">
        <f>IF($A240="","",IFERROR(INDEX('Chart Database'!$B$6:$B$4005,MATCH($A240,'Chart Database'!$A$6:$A$4005,0)),"UNKNOWN CHART"))</f>
        <v/>
      </c>
      <c r="C240" s="23" t="n"/>
      <c r="D240" s="23" t="n"/>
      <c r="E240" s="25" t="n"/>
      <c r="F240" s="15" t="n"/>
      <c r="G240" s="23" t="n"/>
      <c r="H240" s="15" t="n"/>
      <c r="I240" s="15" t="n"/>
      <c r="J240" s="15" t="n"/>
      <c r="K240" s="25" t="n"/>
      <c r="L240" s="15" t="n"/>
      <c r="M240" s="26">
        <f>IF(OR($A240="",$L240&lt;&gt;"Active"),"",COUNTIFS($A$5:$A240,$A240,$L$5:$L240,"Active"))</f>
        <v/>
      </c>
      <c r="N240" s="26">
        <f>IF(OR($A240="",$M240=""),"",IF($M240=IFERROR(INDEX('Chart Database'!$R$6:$R$4005,MATCH($A240,'Chart Database'!$A$6:$A$4005,0)),0),"NEXT",""))</f>
        <v/>
      </c>
      <c r="O240" s="23" t="n"/>
    </row>
    <row r="241">
      <c r="A241" s="23" t="n"/>
      <c r="B241" s="26">
        <f>IF($A241="","",IFERROR(INDEX('Chart Database'!$B$6:$B$4005,MATCH($A241,'Chart Database'!$A$6:$A$4005,0)),"UNKNOWN CHART"))</f>
        <v/>
      </c>
      <c r="C241" s="23" t="n"/>
      <c r="D241" s="23" t="n"/>
      <c r="E241" s="25" t="n"/>
      <c r="F241" s="15" t="n"/>
      <c r="G241" s="23" t="n"/>
      <c r="H241" s="15" t="n"/>
      <c r="I241" s="15" t="n"/>
      <c r="J241" s="15" t="n"/>
      <c r="K241" s="25" t="n"/>
      <c r="L241" s="15" t="n"/>
      <c r="M241" s="26">
        <f>IF(OR($A241="",$L241&lt;&gt;"Active"),"",COUNTIFS($A$5:$A241,$A241,$L$5:$L241,"Active"))</f>
        <v/>
      </c>
      <c r="N241" s="26">
        <f>IF(OR($A241="",$M241=""),"",IF($M241=IFERROR(INDEX('Chart Database'!$R$6:$R$4005,MATCH($A241,'Chart Database'!$A$6:$A$4005,0)),0),"NEXT",""))</f>
        <v/>
      </c>
      <c r="O241" s="23" t="n"/>
    </row>
    <row r="242">
      <c r="A242" s="23" t="n"/>
      <c r="B242" s="26">
        <f>IF($A242="","",IFERROR(INDEX('Chart Database'!$B$6:$B$4005,MATCH($A242,'Chart Database'!$A$6:$A$4005,0)),"UNKNOWN CHART"))</f>
        <v/>
      </c>
      <c r="C242" s="23" t="n"/>
      <c r="D242" s="23" t="n"/>
      <c r="E242" s="25" t="n"/>
      <c r="F242" s="15" t="n"/>
      <c r="G242" s="23" t="n"/>
      <c r="H242" s="15" t="n"/>
      <c r="I242" s="15" t="n"/>
      <c r="J242" s="15" t="n"/>
      <c r="K242" s="25" t="n"/>
      <c r="L242" s="15" t="n"/>
      <c r="M242" s="26">
        <f>IF(OR($A242="",$L242&lt;&gt;"Active"),"",COUNTIFS($A$5:$A242,$A242,$L$5:$L242,"Active"))</f>
        <v/>
      </c>
      <c r="N242" s="26">
        <f>IF(OR($A242="",$M242=""),"",IF($M242=IFERROR(INDEX('Chart Database'!$R$6:$R$4005,MATCH($A242,'Chart Database'!$A$6:$A$4005,0)),0),"NEXT",""))</f>
        <v/>
      </c>
      <c r="O242" s="23" t="n"/>
    </row>
    <row r="243">
      <c r="A243" s="23" t="n"/>
      <c r="B243" s="26">
        <f>IF($A243="","",IFERROR(INDEX('Chart Database'!$B$6:$B$4005,MATCH($A243,'Chart Database'!$A$6:$A$4005,0)),"UNKNOWN CHART"))</f>
        <v/>
      </c>
      <c r="C243" s="23" t="n"/>
      <c r="D243" s="23" t="n"/>
      <c r="E243" s="25" t="n"/>
      <c r="F243" s="15" t="n"/>
      <c r="G243" s="23" t="n"/>
      <c r="H243" s="15" t="n"/>
      <c r="I243" s="15" t="n"/>
      <c r="J243" s="15" t="n"/>
      <c r="K243" s="25" t="n"/>
      <c r="L243" s="15" t="n"/>
      <c r="M243" s="26">
        <f>IF(OR($A243="",$L243&lt;&gt;"Active"),"",COUNTIFS($A$5:$A243,$A243,$L$5:$L243,"Active"))</f>
        <v/>
      </c>
      <c r="N243" s="26">
        <f>IF(OR($A243="",$M243=""),"",IF($M243=IFERROR(INDEX('Chart Database'!$R$6:$R$4005,MATCH($A243,'Chart Database'!$A$6:$A$4005,0)),0),"NEXT",""))</f>
        <v/>
      </c>
      <c r="O243" s="23" t="n"/>
    </row>
    <row r="244">
      <c r="A244" s="23" t="n"/>
      <c r="B244" s="26">
        <f>IF($A244="","",IFERROR(INDEX('Chart Database'!$B$6:$B$4005,MATCH($A244,'Chart Database'!$A$6:$A$4005,0)),"UNKNOWN CHART"))</f>
        <v/>
      </c>
      <c r="C244" s="23" t="n"/>
      <c r="D244" s="23" t="n"/>
      <c r="E244" s="25" t="n"/>
      <c r="F244" s="15" t="n"/>
      <c r="G244" s="23" t="n"/>
      <c r="H244" s="15" t="n"/>
      <c r="I244" s="15" t="n"/>
      <c r="J244" s="15" t="n"/>
      <c r="K244" s="25" t="n"/>
      <c r="L244" s="15" t="n"/>
      <c r="M244" s="26">
        <f>IF(OR($A244="",$L244&lt;&gt;"Active"),"",COUNTIFS($A$5:$A244,$A244,$L$5:$L244,"Active"))</f>
        <v/>
      </c>
      <c r="N244" s="26">
        <f>IF(OR($A244="",$M244=""),"",IF($M244=IFERROR(INDEX('Chart Database'!$R$6:$R$4005,MATCH($A244,'Chart Database'!$A$6:$A$4005,0)),0),"NEXT",""))</f>
        <v/>
      </c>
      <c r="O244" s="23" t="n"/>
    </row>
    <row r="245">
      <c r="A245" s="23" t="n"/>
      <c r="B245" s="26">
        <f>IF($A245="","",IFERROR(INDEX('Chart Database'!$B$6:$B$4005,MATCH($A245,'Chart Database'!$A$6:$A$4005,0)),"UNKNOWN CHART"))</f>
        <v/>
      </c>
      <c r="C245" s="23" t="n"/>
      <c r="D245" s="23" t="n"/>
      <c r="E245" s="25" t="n"/>
      <c r="F245" s="15" t="n"/>
      <c r="G245" s="23" t="n"/>
      <c r="H245" s="15" t="n"/>
      <c r="I245" s="15" t="n"/>
      <c r="J245" s="15" t="n"/>
      <c r="K245" s="25" t="n"/>
      <c r="L245" s="15" t="n"/>
      <c r="M245" s="26">
        <f>IF(OR($A245="",$L245&lt;&gt;"Active"),"",COUNTIFS($A$5:$A245,$A245,$L$5:$L245,"Active"))</f>
        <v/>
      </c>
      <c r="N245" s="26">
        <f>IF(OR($A245="",$M245=""),"",IF($M245=IFERROR(INDEX('Chart Database'!$R$6:$R$4005,MATCH($A245,'Chart Database'!$A$6:$A$4005,0)),0),"NEXT",""))</f>
        <v/>
      </c>
      <c r="O245" s="23" t="n"/>
    </row>
    <row r="246">
      <c r="A246" s="23" t="n"/>
      <c r="B246" s="26">
        <f>IF($A246="","",IFERROR(INDEX('Chart Database'!$B$6:$B$4005,MATCH($A246,'Chart Database'!$A$6:$A$4005,0)),"UNKNOWN CHART"))</f>
        <v/>
      </c>
      <c r="C246" s="23" t="n"/>
      <c r="D246" s="23" t="n"/>
      <c r="E246" s="25" t="n"/>
      <c r="F246" s="15" t="n"/>
      <c r="G246" s="23" t="n"/>
      <c r="H246" s="15" t="n"/>
      <c r="I246" s="15" t="n"/>
      <c r="J246" s="15" t="n"/>
      <c r="K246" s="25" t="n"/>
      <c r="L246" s="15" t="n"/>
      <c r="M246" s="26">
        <f>IF(OR($A246="",$L246&lt;&gt;"Active"),"",COUNTIFS($A$5:$A246,$A246,$L$5:$L246,"Active"))</f>
        <v/>
      </c>
      <c r="N246" s="26">
        <f>IF(OR($A246="",$M246=""),"",IF($M246=IFERROR(INDEX('Chart Database'!$R$6:$R$4005,MATCH($A246,'Chart Database'!$A$6:$A$4005,0)),0),"NEXT",""))</f>
        <v/>
      </c>
      <c r="O246" s="23" t="n"/>
    </row>
    <row r="247">
      <c r="A247" s="23" t="n"/>
      <c r="B247" s="26">
        <f>IF($A247="","",IFERROR(INDEX('Chart Database'!$B$6:$B$4005,MATCH($A247,'Chart Database'!$A$6:$A$4005,0)),"UNKNOWN CHART"))</f>
        <v/>
      </c>
      <c r="C247" s="23" t="n"/>
      <c r="D247" s="23" t="n"/>
      <c r="E247" s="25" t="n"/>
      <c r="F247" s="15" t="n"/>
      <c r="G247" s="23" t="n"/>
      <c r="H247" s="15" t="n"/>
      <c r="I247" s="15" t="n"/>
      <c r="J247" s="15" t="n"/>
      <c r="K247" s="25" t="n"/>
      <c r="L247" s="15" t="n"/>
      <c r="M247" s="26">
        <f>IF(OR($A247="",$L247&lt;&gt;"Active"),"",COUNTIFS($A$5:$A247,$A247,$L$5:$L247,"Active"))</f>
        <v/>
      </c>
      <c r="N247" s="26">
        <f>IF(OR($A247="",$M247=""),"",IF($M247=IFERROR(INDEX('Chart Database'!$R$6:$R$4005,MATCH($A247,'Chart Database'!$A$6:$A$4005,0)),0),"NEXT",""))</f>
        <v/>
      </c>
      <c r="O247" s="23" t="n"/>
    </row>
    <row r="248">
      <c r="A248" s="23" t="n"/>
      <c r="B248" s="26">
        <f>IF($A248="","",IFERROR(INDEX('Chart Database'!$B$6:$B$4005,MATCH($A248,'Chart Database'!$A$6:$A$4005,0)),"UNKNOWN CHART"))</f>
        <v/>
      </c>
      <c r="C248" s="23" t="n"/>
      <c r="D248" s="23" t="n"/>
      <c r="E248" s="25" t="n"/>
      <c r="F248" s="15" t="n"/>
      <c r="G248" s="23" t="n"/>
      <c r="H248" s="15" t="n"/>
      <c r="I248" s="15" t="n"/>
      <c r="J248" s="15" t="n"/>
      <c r="K248" s="25" t="n"/>
      <c r="L248" s="15" t="n"/>
      <c r="M248" s="26">
        <f>IF(OR($A248="",$L248&lt;&gt;"Active"),"",COUNTIFS($A$5:$A248,$A248,$L$5:$L248,"Active"))</f>
        <v/>
      </c>
      <c r="N248" s="26">
        <f>IF(OR($A248="",$M248=""),"",IF($M248=IFERROR(INDEX('Chart Database'!$R$6:$R$4005,MATCH($A248,'Chart Database'!$A$6:$A$4005,0)),0),"NEXT",""))</f>
        <v/>
      </c>
      <c r="O248" s="23" t="n"/>
    </row>
    <row r="249">
      <c r="A249" s="23" t="n"/>
      <c r="B249" s="26">
        <f>IF($A249="","",IFERROR(INDEX('Chart Database'!$B$6:$B$4005,MATCH($A249,'Chart Database'!$A$6:$A$4005,0)),"UNKNOWN CHART"))</f>
        <v/>
      </c>
      <c r="C249" s="23" t="n"/>
      <c r="D249" s="23" t="n"/>
      <c r="E249" s="25" t="n"/>
      <c r="F249" s="15" t="n"/>
      <c r="G249" s="23" t="n"/>
      <c r="H249" s="15" t="n"/>
      <c r="I249" s="15" t="n"/>
      <c r="J249" s="15" t="n"/>
      <c r="K249" s="25" t="n"/>
      <c r="L249" s="15" t="n"/>
      <c r="M249" s="26">
        <f>IF(OR($A249="",$L249&lt;&gt;"Active"),"",COUNTIFS($A$5:$A249,$A249,$L$5:$L249,"Active"))</f>
        <v/>
      </c>
      <c r="N249" s="26">
        <f>IF(OR($A249="",$M249=""),"",IF($M249=IFERROR(INDEX('Chart Database'!$R$6:$R$4005,MATCH($A249,'Chart Database'!$A$6:$A$4005,0)),0),"NEXT",""))</f>
        <v/>
      </c>
      <c r="O249" s="23" t="n"/>
    </row>
    <row r="250">
      <c r="A250" s="23" t="n"/>
      <c r="B250" s="26">
        <f>IF($A250="","",IFERROR(INDEX('Chart Database'!$B$6:$B$4005,MATCH($A250,'Chart Database'!$A$6:$A$4005,0)),"UNKNOWN CHART"))</f>
        <v/>
      </c>
      <c r="C250" s="23" t="n"/>
      <c r="D250" s="23" t="n"/>
      <c r="E250" s="25" t="n"/>
      <c r="F250" s="15" t="n"/>
      <c r="G250" s="23" t="n"/>
      <c r="H250" s="15" t="n"/>
      <c r="I250" s="15" t="n"/>
      <c r="J250" s="15" t="n"/>
      <c r="K250" s="25" t="n"/>
      <c r="L250" s="15" t="n"/>
      <c r="M250" s="26">
        <f>IF(OR($A250="",$L250&lt;&gt;"Active"),"",COUNTIFS($A$5:$A250,$A250,$L$5:$L250,"Active"))</f>
        <v/>
      </c>
      <c r="N250" s="26">
        <f>IF(OR($A250="",$M250=""),"",IF($M250=IFERROR(INDEX('Chart Database'!$R$6:$R$4005,MATCH($A250,'Chart Database'!$A$6:$A$4005,0)),0),"NEXT",""))</f>
        <v/>
      </c>
      <c r="O250" s="23" t="n"/>
    </row>
    <row r="251">
      <c r="A251" s="23" t="n"/>
      <c r="B251" s="26">
        <f>IF($A251="","",IFERROR(INDEX('Chart Database'!$B$6:$B$4005,MATCH($A251,'Chart Database'!$A$6:$A$4005,0)),"UNKNOWN CHART"))</f>
        <v/>
      </c>
      <c r="C251" s="23" t="n"/>
      <c r="D251" s="23" t="n"/>
      <c r="E251" s="25" t="n"/>
      <c r="F251" s="15" t="n"/>
      <c r="G251" s="23" t="n"/>
      <c r="H251" s="15" t="n"/>
      <c r="I251" s="15" t="n"/>
      <c r="J251" s="15" t="n"/>
      <c r="K251" s="25" t="n"/>
      <c r="L251" s="15" t="n"/>
      <c r="M251" s="26">
        <f>IF(OR($A251="",$L251&lt;&gt;"Active"),"",COUNTIFS($A$5:$A251,$A251,$L$5:$L251,"Active"))</f>
        <v/>
      </c>
      <c r="N251" s="26">
        <f>IF(OR($A251="",$M251=""),"",IF($M251=IFERROR(INDEX('Chart Database'!$R$6:$R$4005,MATCH($A251,'Chart Database'!$A$6:$A$4005,0)),0),"NEXT",""))</f>
        <v/>
      </c>
      <c r="O251" s="23" t="n"/>
    </row>
    <row r="252">
      <c r="A252" s="23" t="n"/>
      <c r="B252" s="26">
        <f>IF($A252="","",IFERROR(INDEX('Chart Database'!$B$6:$B$4005,MATCH($A252,'Chart Database'!$A$6:$A$4005,0)),"UNKNOWN CHART"))</f>
        <v/>
      </c>
      <c r="C252" s="23" t="n"/>
      <c r="D252" s="23" t="n"/>
      <c r="E252" s="25" t="n"/>
      <c r="F252" s="15" t="n"/>
      <c r="G252" s="23" t="n"/>
      <c r="H252" s="15" t="n"/>
      <c r="I252" s="15" t="n"/>
      <c r="J252" s="15" t="n"/>
      <c r="K252" s="25" t="n"/>
      <c r="L252" s="15" t="n"/>
      <c r="M252" s="26">
        <f>IF(OR($A252="",$L252&lt;&gt;"Active"),"",COUNTIFS($A$5:$A252,$A252,$L$5:$L252,"Active"))</f>
        <v/>
      </c>
      <c r="N252" s="26">
        <f>IF(OR($A252="",$M252=""),"",IF($M252=IFERROR(INDEX('Chart Database'!$R$6:$R$4005,MATCH($A252,'Chart Database'!$A$6:$A$4005,0)),0),"NEXT",""))</f>
        <v/>
      </c>
      <c r="O252" s="23" t="n"/>
    </row>
    <row r="253">
      <c r="A253" s="23" t="n"/>
      <c r="B253" s="26">
        <f>IF($A253="","",IFERROR(INDEX('Chart Database'!$B$6:$B$4005,MATCH($A253,'Chart Database'!$A$6:$A$4005,0)),"UNKNOWN CHART"))</f>
        <v/>
      </c>
      <c r="C253" s="23" t="n"/>
      <c r="D253" s="23" t="n"/>
      <c r="E253" s="25" t="n"/>
      <c r="F253" s="15" t="n"/>
      <c r="G253" s="23" t="n"/>
      <c r="H253" s="15" t="n"/>
      <c r="I253" s="15" t="n"/>
      <c r="J253" s="15" t="n"/>
      <c r="K253" s="25" t="n"/>
      <c r="L253" s="15" t="n"/>
      <c r="M253" s="26">
        <f>IF(OR($A253="",$L253&lt;&gt;"Active"),"",COUNTIFS($A$5:$A253,$A253,$L$5:$L253,"Active"))</f>
        <v/>
      </c>
      <c r="N253" s="26">
        <f>IF(OR($A253="",$M253=""),"",IF($M253=IFERROR(INDEX('Chart Database'!$R$6:$R$4005,MATCH($A253,'Chart Database'!$A$6:$A$4005,0)),0),"NEXT",""))</f>
        <v/>
      </c>
      <c r="O253" s="23" t="n"/>
    </row>
    <row r="254">
      <c r="A254" s="23" t="n"/>
      <c r="B254" s="26">
        <f>IF($A254="","",IFERROR(INDEX('Chart Database'!$B$6:$B$4005,MATCH($A254,'Chart Database'!$A$6:$A$4005,0)),"UNKNOWN CHART"))</f>
        <v/>
      </c>
      <c r="C254" s="23" t="n"/>
      <c r="D254" s="23" t="n"/>
      <c r="E254" s="25" t="n"/>
      <c r="F254" s="15" t="n"/>
      <c r="G254" s="23" t="n"/>
      <c r="H254" s="15" t="n"/>
      <c r="I254" s="15" t="n"/>
      <c r="J254" s="15" t="n"/>
      <c r="K254" s="25" t="n"/>
      <c r="L254" s="15" t="n"/>
      <c r="M254" s="26">
        <f>IF(OR($A254="",$L254&lt;&gt;"Active"),"",COUNTIFS($A$5:$A254,$A254,$L$5:$L254,"Active"))</f>
        <v/>
      </c>
      <c r="N254" s="26">
        <f>IF(OR($A254="",$M254=""),"",IF($M254=IFERROR(INDEX('Chart Database'!$R$6:$R$4005,MATCH($A254,'Chart Database'!$A$6:$A$4005,0)),0),"NEXT",""))</f>
        <v/>
      </c>
      <c r="O254" s="23" t="n"/>
    </row>
    <row r="255">
      <c r="A255" s="23" t="n"/>
      <c r="B255" s="26">
        <f>IF($A255="","",IFERROR(INDEX('Chart Database'!$B$6:$B$4005,MATCH($A255,'Chart Database'!$A$6:$A$4005,0)),"UNKNOWN CHART"))</f>
        <v/>
      </c>
      <c r="C255" s="23" t="n"/>
      <c r="D255" s="23" t="n"/>
      <c r="E255" s="25" t="n"/>
      <c r="F255" s="15" t="n"/>
      <c r="G255" s="23" t="n"/>
      <c r="H255" s="15" t="n"/>
      <c r="I255" s="15" t="n"/>
      <c r="J255" s="15" t="n"/>
      <c r="K255" s="25" t="n"/>
      <c r="L255" s="15" t="n"/>
      <c r="M255" s="26">
        <f>IF(OR($A255="",$L255&lt;&gt;"Active"),"",COUNTIFS($A$5:$A255,$A255,$L$5:$L255,"Active"))</f>
        <v/>
      </c>
      <c r="N255" s="26">
        <f>IF(OR($A255="",$M255=""),"",IF($M255=IFERROR(INDEX('Chart Database'!$R$6:$R$4005,MATCH($A255,'Chart Database'!$A$6:$A$4005,0)),0),"NEXT",""))</f>
        <v/>
      </c>
      <c r="O255" s="23" t="n"/>
    </row>
    <row r="256">
      <c r="A256" s="23" t="n"/>
      <c r="B256" s="26">
        <f>IF($A256="","",IFERROR(INDEX('Chart Database'!$B$6:$B$4005,MATCH($A256,'Chart Database'!$A$6:$A$4005,0)),"UNKNOWN CHART"))</f>
        <v/>
      </c>
      <c r="C256" s="23" t="n"/>
      <c r="D256" s="23" t="n"/>
      <c r="E256" s="25" t="n"/>
      <c r="F256" s="15" t="n"/>
      <c r="G256" s="23" t="n"/>
      <c r="H256" s="15" t="n"/>
      <c r="I256" s="15" t="n"/>
      <c r="J256" s="15" t="n"/>
      <c r="K256" s="25" t="n"/>
      <c r="L256" s="15" t="n"/>
      <c r="M256" s="26">
        <f>IF(OR($A256="",$L256&lt;&gt;"Active"),"",COUNTIFS($A$5:$A256,$A256,$L$5:$L256,"Active"))</f>
        <v/>
      </c>
      <c r="N256" s="26">
        <f>IF(OR($A256="",$M256=""),"",IF($M256=IFERROR(INDEX('Chart Database'!$R$6:$R$4005,MATCH($A256,'Chart Database'!$A$6:$A$4005,0)),0),"NEXT",""))</f>
        <v/>
      </c>
      <c r="O256" s="23" t="n"/>
    </row>
    <row r="257">
      <c r="A257" s="23" t="n"/>
      <c r="B257" s="26">
        <f>IF($A257="","",IFERROR(INDEX('Chart Database'!$B$6:$B$4005,MATCH($A257,'Chart Database'!$A$6:$A$4005,0)),"UNKNOWN CHART"))</f>
        <v/>
      </c>
      <c r="C257" s="23" t="n"/>
      <c r="D257" s="23" t="n"/>
      <c r="E257" s="25" t="n"/>
      <c r="F257" s="15" t="n"/>
      <c r="G257" s="23" t="n"/>
      <c r="H257" s="15" t="n"/>
      <c r="I257" s="15" t="n"/>
      <c r="J257" s="15" t="n"/>
      <c r="K257" s="25" t="n"/>
      <c r="L257" s="15" t="n"/>
      <c r="M257" s="26">
        <f>IF(OR($A257="",$L257&lt;&gt;"Active"),"",COUNTIFS($A$5:$A257,$A257,$L$5:$L257,"Active"))</f>
        <v/>
      </c>
      <c r="N257" s="26">
        <f>IF(OR($A257="",$M257=""),"",IF($M257=IFERROR(INDEX('Chart Database'!$R$6:$R$4005,MATCH($A257,'Chart Database'!$A$6:$A$4005,0)),0),"NEXT",""))</f>
        <v/>
      </c>
      <c r="O257" s="23" t="n"/>
    </row>
    <row r="258">
      <c r="A258" s="23" t="n"/>
      <c r="B258" s="26">
        <f>IF($A258="","",IFERROR(INDEX('Chart Database'!$B$6:$B$4005,MATCH($A258,'Chart Database'!$A$6:$A$4005,0)),"UNKNOWN CHART"))</f>
        <v/>
      </c>
      <c r="C258" s="23" t="n"/>
      <c r="D258" s="23" t="n"/>
      <c r="E258" s="25" t="n"/>
      <c r="F258" s="15" t="n"/>
      <c r="G258" s="23" t="n"/>
      <c r="H258" s="15" t="n"/>
      <c r="I258" s="15" t="n"/>
      <c r="J258" s="15" t="n"/>
      <c r="K258" s="25" t="n"/>
      <c r="L258" s="15" t="n"/>
      <c r="M258" s="26">
        <f>IF(OR($A258="",$L258&lt;&gt;"Active"),"",COUNTIFS($A$5:$A258,$A258,$L$5:$L258,"Active"))</f>
        <v/>
      </c>
      <c r="N258" s="26">
        <f>IF(OR($A258="",$M258=""),"",IF($M258=IFERROR(INDEX('Chart Database'!$R$6:$R$4005,MATCH($A258,'Chart Database'!$A$6:$A$4005,0)),0),"NEXT",""))</f>
        <v/>
      </c>
      <c r="O258" s="23" t="n"/>
    </row>
    <row r="259">
      <c r="A259" s="23" t="n"/>
      <c r="B259" s="26">
        <f>IF($A259="","",IFERROR(INDEX('Chart Database'!$B$6:$B$4005,MATCH($A259,'Chart Database'!$A$6:$A$4005,0)),"UNKNOWN CHART"))</f>
        <v/>
      </c>
      <c r="C259" s="23" t="n"/>
      <c r="D259" s="23" t="n"/>
      <c r="E259" s="25" t="n"/>
      <c r="F259" s="15" t="n"/>
      <c r="G259" s="23" t="n"/>
      <c r="H259" s="15" t="n"/>
      <c r="I259" s="15" t="n"/>
      <c r="J259" s="15" t="n"/>
      <c r="K259" s="25" t="n"/>
      <c r="L259" s="15" t="n"/>
      <c r="M259" s="26">
        <f>IF(OR($A259="",$L259&lt;&gt;"Active"),"",COUNTIFS($A$5:$A259,$A259,$L$5:$L259,"Active"))</f>
        <v/>
      </c>
      <c r="N259" s="26">
        <f>IF(OR($A259="",$M259=""),"",IF($M259=IFERROR(INDEX('Chart Database'!$R$6:$R$4005,MATCH($A259,'Chart Database'!$A$6:$A$4005,0)),0),"NEXT",""))</f>
        <v/>
      </c>
      <c r="O259" s="23" t="n"/>
    </row>
    <row r="260">
      <c r="A260" s="23" t="n"/>
      <c r="B260" s="26">
        <f>IF($A260="","",IFERROR(INDEX('Chart Database'!$B$6:$B$4005,MATCH($A260,'Chart Database'!$A$6:$A$4005,0)),"UNKNOWN CHART"))</f>
        <v/>
      </c>
      <c r="C260" s="23" t="n"/>
      <c r="D260" s="23" t="n"/>
      <c r="E260" s="25" t="n"/>
      <c r="F260" s="15" t="n"/>
      <c r="G260" s="23" t="n"/>
      <c r="H260" s="15" t="n"/>
      <c r="I260" s="15" t="n"/>
      <c r="J260" s="15" t="n"/>
      <c r="K260" s="25" t="n"/>
      <c r="L260" s="15" t="n"/>
      <c r="M260" s="26">
        <f>IF(OR($A260="",$L260&lt;&gt;"Active"),"",COUNTIFS($A$5:$A260,$A260,$L$5:$L260,"Active"))</f>
        <v/>
      </c>
      <c r="N260" s="26">
        <f>IF(OR($A260="",$M260=""),"",IF($M260=IFERROR(INDEX('Chart Database'!$R$6:$R$4005,MATCH($A260,'Chart Database'!$A$6:$A$4005,0)),0),"NEXT",""))</f>
        <v/>
      </c>
      <c r="O260" s="23" t="n"/>
    </row>
    <row r="261">
      <c r="A261" s="23" t="n"/>
      <c r="B261" s="26">
        <f>IF($A261="","",IFERROR(INDEX('Chart Database'!$B$6:$B$4005,MATCH($A261,'Chart Database'!$A$6:$A$4005,0)),"UNKNOWN CHART"))</f>
        <v/>
      </c>
      <c r="C261" s="23" t="n"/>
      <c r="D261" s="23" t="n"/>
      <c r="E261" s="25" t="n"/>
      <c r="F261" s="15" t="n"/>
      <c r="G261" s="23" t="n"/>
      <c r="H261" s="15" t="n"/>
      <c r="I261" s="15" t="n"/>
      <c r="J261" s="15" t="n"/>
      <c r="K261" s="25" t="n"/>
      <c r="L261" s="15" t="n"/>
      <c r="M261" s="26">
        <f>IF(OR($A261="",$L261&lt;&gt;"Active"),"",COUNTIFS($A$5:$A261,$A261,$L$5:$L261,"Active"))</f>
        <v/>
      </c>
      <c r="N261" s="26">
        <f>IF(OR($A261="",$M261=""),"",IF($M261=IFERROR(INDEX('Chart Database'!$R$6:$R$4005,MATCH($A261,'Chart Database'!$A$6:$A$4005,0)),0),"NEXT",""))</f>
        <v/>
      </c>
      <c r="O261" s="23" t="n"/>
    </row>
    <row r="262">
      <c r="A262" s="23" t="n"/>
      <c r="B262" s="26">
        <f>IF($A262="","",IFERROR(INDEX('Chart Database'!$B$6:$B$4005,MATCH($A262,'Chart Database'!$A$6:$A$4005,0)),"UNKNOWN CHART"))</f>
        <v/>
      </c>
      <c r="C262" s="23" t="n"/>
      <c r="D262" s="23" t="n"/>
      <c r="E262" s="25" t="n"/>
      <c r="F262" s="15" t="n"/>
      <c r="G262" s="23" t="n"/>
      <c r="H262" s="15" t="n"/>
      <c r="I262" s="15" t="n"/>
      <c r="J262" s="15" t="n"/>
      <c r="K262" s="25" t="n"/>
      <c r="L262" s="15" t="n"/>
      <c r="M262" s="26">
        <f>IF(OR($A262="",$L262&lt;&gt;"Active"),"",COUNTIFS($A$5:$A262,$A262,$L$5:$L262,"Active"))</f>
        <v/>
      </c>
      <c r="N262" s="26">
        <f>IF(OR($A262="",$M262=""),"",IF($M262=IFERROR(INDEX('Chart Database'!$R$6:$R$4005,MATCH($A262,'Chart Database'!$A$6:$A$4005,0)),0),"NEXT",""))</f>
        <v/>
      </c>
      <c r="O262" s="23" t="n"/>
    </row>
    <row r="263">
      <c r="A263" s="23" t="n"/>
      <c r="B263" s="26">
        <f>IF($A263="","",IFERROR(INDEX('Chart Database'!$B$6:$B$4005,MATCH($A263,'Chart Database'!$A$6:$A$4005,0)),"UNKNOWN CHART"))</f>
        <v/>
      </c>
      <c r="C263" s="23" t="n"/>
      <c r="D263" s="23" t="n"/>
      <c r="E263" s="25" t="n"/>
      <c r="F263" s="15" t="n"/>
      <c r="G263" s="23" t="n"/>
      <c r="H263" s="15" t="n"/>
      <c r="I263" s="15" t="n"/>
      <c r="J263" s="15" t="n"/>
      <c r="K263" s="25" t="n"/>
      <c r="L263" s="15" t="n"/>
      <c r="M263" s="26">
        <f>IF(OR($A263="",$L263&lt;&gt;"Active"),"",COUNTIFS($A$5:$A263,$A263,$L$5:$L263,"Active"))</f>
        <v/>
      </c>
      <c r="N263" s="26">
        <f>IF(OR($A263="",$M263=""),"",IF($M263=IFERROR(INDEX('Chart Database'!$R$6:$R$4005,MATCH($A263,'Chart Database'!$A$6:$A$4005,0)),0),"NEXT",""))</f>
        <v/>
      </c>
      <c r="O263" s="23" t="n"/>
    </row>
    <row r="264">
      <c r="A264" s="23" t="n"/>
      <c r="B264" s="26">
        <f>IF($A264="","",IFERROR(INDEX('Chart Database'!$B$6:$B$4005,MATCH($A264,'Chart Database'!$A$6:$A$4005,0)),"UNKNOWN CHART"))</f>
        <v/>
      </c>
      <c r="C264" s="23" t="n"/>
      <c r="D264" s="23" t="n"/>
      <c r="E264" s="25" t="n"/>
      <c r="F264" s="15" t="n"/>
      <c r="G264" s="23" t="n"/>
      <c r="H264" s="15" t="n"/>
      <c r="I264" s="15" t="n"/>
      <c r="J264" s="15" t="n"/>
      <c r="K264" s="25" t="n"/>
      <c r="L264" s="15" t="n"/>
      <c r="M264" s="26">
        <f>IF(OR($A264="",$L264&lt;&gt;"Active"),"",COUNTIFS($A$5:$A264,$A264,$L$5:$L264,"Active"))</f>
        <v/>
      </c>
      <c r="N264" s="26">
        <f>IF(OR($A264="",$M264=""),"",IF($M264=IFERROR(INDEX('Chart Database'!$R$6:$R$4005,MATCH($A264,'Chart Database'!$A$6:$A$4005,0)),0),"NEXT",""))</f>
        <v/>
      </c>
      <c r="O264" s="23" t="n"/>
    </row>
    <row r="265">
      <c r="A265" s="23" t="n"/>
      <c r="B265" s="26">
        <f>IF($A265="","",IFERROR(INDEX('Chart Database'!$B$6:$B$4005,MATCH($A265,'Chart Database'!$A$6:$A$4005,0)),"UNKNOWN CHART"))</f>
        <v/>
      </c>
      <c r="C265" s="23" t="n"/>
      <c r="D265" s="23" t="n"/>
      <c r="E265" s="25" t="n"/>
      <c r="F265" s="15" t="n"/>
      <c r="G265" s="23" t="n"/>
      <c r="H265" s="15" t="n"/>
      <c r="I265" s="15" t="n"/>
      <c r="J265" s="15" t="n"/>
      <c r="K265" s="25" t="n"/>
      <c r="L265" s="15" t="n"/>
      <c r="M265" s="26">
        <f>IF(OR($A265="",$L265&lt;&gt;"Active"),"",COUNTIFS($A$5:$A265,$A265,$L$5:$L265,"Active"))</f>
        <v/>
      </c>
      <c r="N265" s="26">
        <f>IF(OR($A265="",$M265=""),"",IF($M265=IFERROR(INDEX('Chart Database'!$R$6:$R$4005,MATCH($A265,'Chart Database'!$A$6:$A$4005,0)),0),"NEXT",""))</f>
        <v/>
      </c>
      <c r="O265" s="23" t="n"/>
    </row>
    <row r="266">
      <c r="A266" s="23" t="n"/>
      <c r="B266" s="26">
        <f>IF($A266="","",IFERROR(INDEX('Chart Database'!$B$6:$B$4005,MATCH($A266,'Chart Database'!$A$6:$A$4005,0)),"UNKNOWN CHART"))</f>
        <v/>
      </c>
      <c r="C266" s="23" t="n"/>
      <c r="D266" s="23" t="n"/>
      <c r="E266" s="25" t="n"/>
      <c r="F266" s="15" t="n"/>
      <c r="G266" s="23" t="n"/>
      <c r="H266" s="15" t="n"/>
      <c r="I266" s="15" t="n"/>
      <c r="J266" s="15" t="n"/>
      <c r="K266" s="25" t="n"/>
      <c r="L266" s="15" t="n"/>
      <c r="M266" s="26">
        <f>IF(OR($A266="",$L266&lt;&gt;"Active"),"",COUNTIFS($A$5:$A266,$A266,$L$5:$L266,"Active"))</f>
        <v/>
      </c>
      <c r="N266" s="26">
        <f>IF(OR($A266="",$M266=""),"",IF($M266=IFERROR(INDEX('Chart Database'!$R$6:$R$4005,MATCH($A266,'Chart Database'!$A$6:$A$4005,0)),0),"NEXT",""))</f>
        <v/>
      </c>
      <c r="O266" s="23" t="n"/>
    </row>
    <row r="267">
      <c r="A267" s="23" t="n"/>
      <c r="B267" s="26">
        <f>IF($A267="","",IFERROR(INDEX('Chart Database'!$B$6:$B$4005,MATCH($A267,'Chart Database'!$A$6:$A$4005,0)),"UNKNOWN CHART"))</f>
        <v/>
      </c>
      <c r="C267" s="23" t="n"/>
      <c r="D267" s="23" t="n"/>
      <c r="E267" s="25" t="n"/>
      <c r="F267" s="15" t="n"/>
      <c r="G267" s="23" t="n"/>
      <c r="H267" s="15" t="n"/>
      <c r="I267" s="15" t="n"/>
      <c r="J267" s="15" t="n"/>
      <c r="K267" s="25" t="n"/>
      <c r="L267" s="15" t="n"/>
      <c r="M267" s="26">
        <f>IF(OR($A267="",$L267&lt;&gt;"Active"),"",COUNTIFS($A$5:$A267,$A267,$L$5:$L267,"Active"))</f>
        <v/>
      </c>
      <c r="N267" s="26">
        <f>IF(OR($A267="",$M267=""),"",IF($M267=IFERROR(INDEX('Chart Database'!$R$6:$R$4005,MATCH($A267,'Chart Database'!$A$6:$A$4005,0)),0),"NEXT",""))</f>
        <v/>
      </c>
      <c r="O267" s="23" t="n"/>
    </row>
    <row r="268">
      <c r="A268" s="23" t="n"/>
      <c r="B268" s="26">
        <f>IF($A268="","",IFERROR(INDEX('Chart Database'!$B$6:$B$4005,MATCH($A268,'Chart Database'!$A$6:$A$4005,0)),"UNKNOWN CHART"))</f>
        <v/>
      </c>
      <c r="C268" s="23" t="n"/>
      <c r="D268" s="23" t="n"/>
      <c r="E268" s="25" t="n"/>
      <c r="F268" s="15" t="n"/>
      <c r="G268" s="23" t="n"/>
      <c r="H268" s="15" t="n"/>
      <c r="I268" s="15" t="n"/>
      <c r="J268" s="15" t="n"/>
      <c r="K268" s="25" t="n"/>
      <c r="L268" s="15" t="n"/>
      <c r="M268" s="26">
        <f>IF(OR($A268="",$L268&lt;&gt;"Active"),"",COUNTIFS($A$5:$A268,$A268,$L$5:$L268,"Active"))</f>
        <v/>
      </c>
      <c r="N268" s="26">
        <f>IF(OR($A268="",$M268=""),"",IF($M268=IFERROR(INDEX('Chart Database'!$R$6:$R$4005,MATCH($A268,'Chart Database'!$A$6:$A$4005,0)),0),"NEXT",""))</f>
        <v/>
      </c>
      <c r="O268" s="23" t="n"/>
    </row>
    <row r="269">
      <c r="A269" s="23" t="n"/>
      <c r="B269" s="26">
        <f>IF($A269="","",IFERROR(INDEX('Chart Database'!$B$6:$B$4005,MATCH($A269,'Chart Database'!$A$6:$A$4005,0)),"UNKNOWN CHART"))</f>
        <v/>
      </c>
      <c r="C269" s="23" t="n"/>
      <c r="D269" s="23" t="n"/>
      <c r="E269" s="25" t="n"/>
      <c r="F269" s="15" t="n"/>
      <c r="G269" s="23" t="n"/>
      <c r="H269" s="15" t="n"/>
      <c r="I269" s="15" t="n"/>
      <c r="J269" s="15" t="n"/>
      <c r="K269" s="25" t="n"/>
      <c r="L269" s="15" t="n"/>
      <c r="M269" s="26">
        <f>IF(OR($A269="",$L269&lt;&gt;"Active"),"",COUNTIFS($A$5:$A269,$A269,$L$5:$L269,"Active"))</f>
        <v/>
      </c>
      <c r="N269" s="26">
        <f>IF(OR($A269="",$M269=""),"",IF($M269=IFERROR(INDEX('Chart Database'!$R$6:$R$4005,MATCH($A269,'Chart Database'!$A$6:$A$4005,0)),0),"NEXT",""))</f>
        <v/>
      </c>
      <c r="O269" s="23" t="n"/>
    </row>
    <row r="270">
      <c r="A270" s="23" t="n"/>
      <c r="B270" s="26">
        <f>IF($A270="","",IFERROR(INDEX('Chart Database'!$B$6:$B$4005,MATCH($A270,'Chart Database'!$A$6:$A$4005,0)),"UNKNOWN CHART"))</f>
        <v/>
      </c>
      <c r="C270" s="23" t="n"/>
      <c r="D270" s="23" t="n"/>
      <c r="E270" s="25" t="n"/>
      <c r="F270" s="15" t="n"/>
      <c r="G270" s="23" t="n"/>
      <c r="H270" s="15" t="n"/>
      <c r="I270" s="15" t="n"/>
      <c r="J270" s="15" t="n"/>
      <c r="K270" s="25" t="n"/>
      <c r="L270" s="15" t="n"/>
      <c r="M270" s="26">
        <f>IF(OR($A270="",$L270&lt;&gt;"Active"),"",COUNTIFS($A$5:$A270,$A270,$L$5:$L270,"Active"))</f>
        <v/>
      </c>
      <c r="N270" s="26">
        <f>IF(OR($A270="",$M270=""),"",IF($M270=IFERROR(INDEX('Chart Database'!$R$6:$R$4005,MATCH($A270,'Chart Database'!$A$6:$A$4005,0)),0),"NEXT",""))</f>
        <v/>
      </c>
      <c r="O270" s="23" t="n"/>
    </row>
    <row r="271">
      <c r="A271" s="23" t="n"/>
      <c r="B271" s="26">
        <f>IF($A271="","",IFERROR(INDEX('Chart Database'!$B$6:$B$4005,MATCH($A271,'Chart Database'!$A$6:$A$4005,0)),"UNKNOWN CHART"))</f>
        <v/>
      </c>
      <c r="C271" s="23" t="n"/>
      <c r="D271" s="23" t="n"/>
      <c r="E271" s="25" t="n"/>
      <c r="F271" s="15" t="n"/>
      <c r="G271" s="23" t="n"/>
      <c r="H271" s="15" t="n"/>
      <c r="I271" s="15" t="n"/>
      <c r="J271" s="15" t="n"/>
      <c r="K271" s="25" t="n"/>
      <c r="L271" s="15" t="n"/>
      <c r="M271" s="26">
        <f>IF(OR($A271="",$L271&lt;&gt;"Active"),"",COUNTIFS($A$5:$A271,$A271,$L$5:$L271,"Active"))</f>
        <v/>
      </c>
      <c r="N271" s="26">
        <f>IF(OR($A271="",$M271=""),"",IF($M271=IFERROR(INDEX('Chart Database'!$R$6:$R$4005,MATCH($A271,'Chart Database'!$A$6:$A$4005,0)),0),"NEXT",""))</f>
        <v/>
      </c>
      <c r="O271" s="23" t="n"/>
    </row>
    <row r="272">
      <c r="A272" s="23" t="n"/>
      <c r="B272" s="26">
        <f>IF($A272="","",IFERROR(INDEX('Chart Database'!$B$6:$B$4005,MATCH($A272,'Chart Database'!$A$6:$A$4005,0)),"UNKNOWN CHART"))</f>
        <v/>
      </c>
      <c r="C272" s="23" t="n"/>
      <c r="D272" s="23" t="n"/>
      <c r="E272" s="25" t="n"/>
      <c r="F272" s="15" t="n"/>
      <c r="G272" s="23" t="n"/>
      <c r="H272" s="15" t="n"/>
      <c r="I272" s="15" t="n"/>
      <c r="J272" s="15" t="n"/>
      <c r="K272" s="25" t="n"/>
      <c r="L272" s="15" t="n"/>
      <c r="M272" s="26">
        <f>IF(OR($A272="",$L272&lt;&gt;"Active"),"",COUNTIFS($A$5:$A272,$A272,$L$5:$L272,"Active"))</f>
        <v/>
      </c>
      <c r="N272" s="26">
        <f>IF(OR($A272="",$M272=""),"",IF($M272=IFERROR(INDEX('Chart Database'!$R$6:$R$4005,MATCH($A272,'Chart Database'!$A$6:$A$4005,0)),0),"NEXT",""))</f>
        <v/>
      </c>
      <c r="O272" s="23" t="n"/>
    </row>
    <row r="273">
      <c r="A273" s="23" t="n"/>
      <c r="B273" s="26">
        <f>IF($A273="","",IFERROR(INDEX('Chart Database'!$B$6:$B$4005,MATCH($A273,'Chart Database'!$A$6:$A$4005,0)),"UNKNOWN CHART"))</f>
        <v/>
      </c>
      <c r="C273" s="23" t="n"/>
      <c r="D273" s="23" t="n"/>
      <c r="E273" s="25" t="n"/>
      <c r="F273" s="15" t="n"/>
      <c r="G273" s="23" t="n"/>
      <c r="H273" s="15" t="n"/>
      <c r="I273" s="15" t="n"/>
      <c r="J273" s="15" t="n"/>
      <c r="K273" s="25" t="n"/>
      <c r="L273" s="15" t="n"/>
      <c r="M273" s="26">
        <f>IF(OR($A273="",$L273&lt;&gt;"Active"),"",COUNTIFS($A$5:$A273,$A273,$L$5:$L273,"Active"))</f>
        <v/>
      </c>
      <c r="N273" s="26">
        <f>IF(OR($A273="",$M273=""),"",IF($M273=IFERROR(INDEX('Chart Database'!$R$6:$R$4005,MATCH($A273,'Chart Database'!$A$6:$A$4005,0)),0),"NEXT",""))</f>
        <v/>
      </c>
      <c r="O273" s="23" t="n"/>
    </row>
    <row r="274">
      <c r="A274" s="23" t="n"/>
      <c r="B274" s="26">
        <f>IF($A274="","",IFERROR(INDEX('Chart Database'!$B$6:$B$4005,MATCH($A274,'Chart Database'!$A$6:$A$4005,0)),"UNKNOWN CHART"))</f>
        <v/>
      </c>
      <c r="C274" s="23" t="n"/>
      <c r="D274" s="23" t="n"/>
      <c r="E274" s="25" t="n"/>
      <c r="F274" s="15" t="n"/>
      <c r="G274" s="23" t="n"/>
      <c r="H274" s="15" t="n"/>
      <c r="I274" s="15" t="n"/>
      <c r="J274" s="15" t="n"/>
      <c r="K274" s="25" t="n"/>
      <c r="L274" s="15" t="n"/>
      <c r="M274" s="26">
        <f>IF(OR($A274="",$L274&lt;&gt;"Active"),"",COUNTIFS($A$5:$A274,$A274,$L$5:$L274,"Active"))</f>
        <v/>
      </c>
      <c r="N274" s="26">
        <f>IF(OR($A274="",$M274=""),"",IF($M274=IFERROR(INDEX('Chart Database'!$R$6:$R$4005,MATCH($A274,'Chart Database'!$A$6:$A$4005,0)),0),"NEXT",""))</f>
        <v/>
      </c>
      <c r="O274" s="23" t="n"/>
    </row>
    <row r="275">
      <c r="A275" s="23" t="n"/>
      <c r="B275" s="26">
        <f>IF($A275="","",IFERROR(INDEX('Chart Database'!$B$6:$B$4005,MATCH($A275,'Chart Database'!$A$6:$A$4005,0)),"UNKNOWN CHART"))</f>
        <v/>
      </c>
      <c r="C275" s="23" t="n"/>
      <c r="D275" s="23" t="n"/>
      <c r="E275" s="25" t="n"/>
      <c r="F275" s="15" t="n"/>
      <c r="G275" s="23" t="n"/>
      <c r="H275" s="15" t="n"/>
      <c r="I275" s="15" t="n"/>
      <c r="J275" s="15" t="n"/>
      <c r="K275" s="25" t="n"/>
      <c r="L275" s="15" t="n"/>
      <c r="M275" s="26">
        <f>IF(OR($A275="",$L275&lt;&gt;"Active"),"",COUNTIFS($A$5:$A275,$A275,$L$5:$L275,"Active"))</f>
        <v/>
      </c>
      <c r="N275" s="26">
        <f>IF(OR($A275="",$M275=""),"",IF($M275=IFERROR(INDEX('Chart Database'!$R$6:$R$4005,MATCH($A275,'Chart Database'!$A$6:$A$4005,0)),0),"NEXT",""))</f>
        <v/>
      </c>
      <c r="O275" s="23" t="n"/>
    </row>
    <row r="276">
      <c r="A276" s="23" t="n"/>
      <c r="B276" s="26">
        <f>IF($A276="","",IFERROR(INDEX('Chart Database'!$B$6:$B$4005,MATCH($A276,'Chart Database'!$A$6:$A$4005,0)),"UNKNOWN CHART"))</f>
        <v/>
      </c>
      <c r="C276" s="23" t="n"/>
      <c r="D276" s="23" t="n"/>
      <c r="E276" s="25" t="n"/>
      <c r="F276" s="15" t="n"/>
      <c r="G276" s="23" t="n"/>
      <c r="H276" s="15" t="n"/>
      <c r="I276" s="15" t="n"/>
      <c r="J276" s="15" t="n"/>
      <c r="K276" s="25" t="n"/>
      <c r="L276" s="15" t="n"/>
      <c r="M276" s="26">
        <f>IF(OR($A276="",$L276&lt;&gt;"Active"),"",COUNTIFS($A$5:$A276,$A276,$L$5:$L276,"Active"))</f>
        <v/>
      </c>
      <c r="N276" s="26">
        <f>IF(OR($A276="",$M276=""),"",IF($M276=IFERROR(INDEX('Chart Database'!$R$6:$R$4005,MATCH($A276,'Chart Database'!$A$6:$A$4005,0)),0),"NEXT",""))</f>
        <v/>
      </c>
      <c r="O276" s="23" t="n"/>
    </row>
    <row r="277">
      <c r="A277" s="23" t="n"/>
      <c r="B277" s="26">
        <f>IF($A277="","",IFERROR(INDEX('Chart Database'!$B$6:$B$4005,MATCH($A277,'Chart Database'!$A$6:$A$4005,0)),"UNKNOWN CHART"))</f>
        <v/>
      </c>
      <c r="C277" s="23" t="n"/>
      <c r="D277" s="23" t="n"/>
      <c r="E277" s="25" t="n"/>
      <c r="F277" s="15" t="n"/>
      <c r="G277" s="23" t="n"/>
      <c r="H277" s="15" t="n"/>
      <c r="I277" s="15" t="n"/>
      <c r="J277" s="15" t="n"/>
      <c r="K277" s="25" t="n"/>
      <c r="L277" s="15" t="n"/>
      <c r="M277" s="26">
        <f>IF(OR($A277="",$L277&lt;&gt;"Active"),"",COUNTIFS($A$5:$A277,$A277,$L$5:$L277,"Active"))</f>
        <v/>
      </c>
      <c r="N277" s="26">
        <f>IF(OR($A277="",$M277=""),"",IF($M277=IFERROR(INDEX('Chart Database'!$R$6:$R$4005,MATCH($A277,'Chart Database'!$A$6:$A$4005,0)),0),"NEXT",""))</f>
        <v/>
      </c>
      <c r="O277" s="23" t="n"/>
    </row>
    <row r="278">
      <c r="A278" s="23" t="n"/>
      <c r="B278" s="26">
        <f>IF($A278="","",IFERROR(INDEX('Chart Database'!$B$6:$B$4005,MATCH($A278,'Chart Database'!$A$6:$A$4005,0)),"UNKNOWN CHART"))</f>
        <v/>
      </c>
      <c r="C278" s="23" t="n"/>
      <c r="D278" s="23" t="n"/>
      <c r="E278" s="25" t="n"/>
      <c r="F278" s="15" t="n"/>
      <c r="G278" s="23" t="n"/>
      <c r="H278" s="15" t="n"/>
      <c r="I278" s="15" t="n"/>
      <c r="J278" s="15" t="n"/>
      <c r="K278" s="25" t="n"/>
      <c r="L278" s="15" t="n"/>
      <c r="M278" s="26">
        <f>IF(OR($A278="",$L278&lt;&gt;"Active"),"",COUNTIFS($A$5:$A278,$A278,$L$5:$L278,"Active"))</f>
        <v/>
      </c>
      <c r="N278" s="26">
        <f>IF(OR($A278="",$M278=""),"",IF($M278=IFERROR(INDEX('Chart Database'!$R$6:$R$4005,MATCH($A278,'Chart Database'!$A$6:$A$4005,0)),0),"NEXT",""))</f>
        <v/>
      </c>
      <c r="O278" s="23" t="n"/>
    </row>
    <row r="279">
      <c r="A279" s="23" t="n"/>
      <c r="B279" s="26">
        <f>IF($A279="","",IFERROR(INDEX('Chart Database'!$B$6:$B$4005,MATCH($A279,'Chart Database'!$A$6:$A$4005,0)),"UNKNOWN CHART"))</f>
        <v/>
      </c>
      <c r="C279" s="23" t="n"/>
      <c r="D279" s="23" t="n"/>
      <c r="E279" s="25" t="n"/>
      <c r="F279" s="15" t="n"/>
      <c r="G279" s="23" t="n"/>
      <c r="H279" s="15" t="n"/>
      <c r="I279" s="15" t="n"/>
      <c r="J279" s="15" t="n"/>
      <c r="K279" s="25" t="n"/>
      <c r="L279" s="15" t="n"/>
      <c r="M279" s="26">
        <f>IF(OR($A279="",$L279&lt;&gt;"Active"),"",COUNTIFS($A$5:$A279,$A279,$L$5:$L279,"Active"))</f>
        <v/>
      </c>
      <c r="N279" s="26">
        <f>IF(OR($A279="",$M279=""),"",IF($M279=IFERROR(INDEX('Chart Database'!$R$6:$R$4005,MATCH($A279,'Chart Database'!$A$6:$A$4005,0)),0),"NEXT",""))</f>
        <v/>
      </c>
      <c r="O279" s="23" t="n"/>
    </row>
    <row r="280">
      <c r="A280" s="23" t="n"/>
      <c r="B280" s="26">
        <f>IF($A280="","",IFERROR(INDEX('Chart Database'!$B$6:$B$4005,MATCH($A280,'Chart Database'!$A$6:$A$4005,0)),"UNKNOWN CHART"))</f>
        <v/>
      </c>
      <c r="C280" s="23" t="n"/>
      <c r="D280" s="23" t="n"/>
      <c r="E280" s="25" t="n"/>
      <c r="F280" s="15" t="n"/>
      <c r="G280" s="23" t="n"/>
      <c r="H280" s="15" t="n"/>
      <c r="I280" s="15" t="n"/>
      <c r="J280" s="15" t="n"/>
      <c r="K280" s="25" t="n"/>
      <c r="L280" s="15" t="n"/>
      <c r="M280" s="26">
        <f>IF(OR($A280="",$L280&lt;&gt;"Active"),"",COUNTIFS($A$5:$A280,$A280,$L$5:$L280,"Active"))</f>
        <v/>
      </c>
      <c r="N280" s="26">
        <f>IF(OR($A280="",$M280=""),"",IF($M280=IFERROR(INDEX('Chart Database'!$R$6:$R$4005,MATCH($A280,'Chart Database'!$A$6:$A$4005,0)),0),"NEXT",""))</f>
        <v/>
      </c>
      <c r="O280" s="23" t="n"/>
    </row>
    <row r="281">
      <c r="A281" s="23" t="n"/>
      <c r="B281" s="26">
        <f>IF($A281="","",IFERROR(INDEX('Chart Database'!$B$6:$B$4005,MATCH($A281,'Chart Database'!$A$6:$A$4005,0)),"UNKNOWN CHART"))</f>
        <v/>
      </c>
      <c r="C281" s="23" t="n"/>
      <c r="D281" s="23" t="n"/>
      <c r="E281" s="25" t="n"/>
      <c r="F281" s="15" t="n"/>
      <c r="G281" s="23" t="n"/>
      <c r="H281" s="15" t="n"/>
      <c r="I281" s="15" t="n"/>
      <c r="J281" s="15" t="n"/>
      <c r="K281" s="25" t="n"/>
      <c r="L281" s="15" t="n"/>
      <c r="M281" s="26">
        <f>IF(OR($A281="",$L281&lt;&gt;"Active"),"",COUNTIFS($A$5:$A281,$A281,$L$5:$L281,"Active"))</f>
        <v/>
      </c>
      <c r="N281" s="26">
        <f>IF(OR($A281="",$M281=""),"",IF($M281=IFERROR(INDEX('Chart Database'!$R$6:$R$4005,MATCH($A281,'Chart Database'!$A$6:$A$4005,0)),0),"NEXT",""))</f>
        <v/>
      </c>
      <c r="O281" s="23" t="n"/>
    </row>
    <row r="282">
      <c r="A282" s="23" t="n"/>
      <c r="B282" s="26">
        <f>IF($A282="","",IFERROR(INDEX('Chart Database'!$B$6:$B$4005,MATCH($A282,'Chart Database'!$A$6:$A$4005,0)),"UNKNOWN CHART"))</f>
        <v/>
      </c>
      <c r="C282" s="23" t="n"/>
      <c r="D282" s="23" t="n"/>
      <c r="E282" s="25" t="n"/>
      <c r="F282" s="15" t="n"/>
      <c r="G282" s="23" t="n"/>
      <c r="H282" s="15" t="n"/>
      <c r="I282" s="15" t="n"/>
      <c r="J282" s="15" t="n"/>
      <c r="K282" s="25" t="n"/>
      <c r="L282" s="15" t="n"/>
      <c r="M282" s="26">
        <f>IF(OR($A282="",$L282&lt;&gt;"Active"),"",COUNTIFS($A$5:$A282,$A282,$L$5:$L282,"Active"))</f>
        <v/>
      </c>
      <c r="N282" s="26">
        <f>IF(OR($A282="",$M282=""),"",IF($M282=IFERROR(INDEX('Chart Database'!$R$6:$R$4005,MATCH($A282,'Chart Database'!$A$6:$A$4005,0)),0),"NEXT",""))</f>
        <v/>
      </c>
      <c r="O282" s="23" t="n"/>
    </row>
    <row r="283">
      <c r="A283" s="23" t="n"/>
      <c r="B283" s="26">
        <f>IF($A283="","",IFERROR(INDEX('Chart Database'!$B$6:$B$4005,MATCH($A283,'Chart Database'!$A$6:$A$4005,0)),"UNKNOWN CHART"))</f>
        <v/>
      </c>
      <c r="C283" s="23" t="n"/>
      <c r="D283" s="23" t="n"/>
      <c r="E283" s="25" t="n"/>
      <c r="F283" s="15" t="n"/>
      <c r="G283" s="23" t="n"/>
      <c r="H283" s="15" t="n"/>
      <c r="I283" s="15" t="n"/>
      <c r="J283" s="15" t="n"/>
      <c r="K283" s="25" t="n"/>
      <c r="L283" s="15" t="n"/>
      <c r="M283" s="26">
        <f>IF(OR($A283="",$L283&lt;&gt;"Active"),"",COUNTIFS($A$5:$A283,$A283,$L$5:$L283,"Active"))</f>
        <v/>
      </c>
      <c r="N283" s="26">
        <f>IF(OR($A283="",$M283=""),"",IF($M283=IFERROR(INDEX('Chart Database'!$R$6:$R$4005,MATCH($A283,'Chart Database'!$A$6:$A$4005,0)),0),"NEXT",""))</f>
        <v/>
      </c>
      <c r="O283" s="23" t="n"/>
    </row>
    <row r="284">
      <c r="A284" s="23" t="n"/>
      <c r="B284" s="26">
        <f>IF($A284="","",IFERROR(INDEX('Chart Database'!$B$6:$B$4005,MATCH($A284,'Chart Database'!$A$6:$A$4005,0)),"UNKNOWN CHART"))</f>
        <v/>
      </c>
      <c r="C284" s="23" t="n"/>
      <c r="D284" s="23" t="n"/>
      <c r="E284" s="25" t="n"/>
      <c r="F284" s="15" t="n"/>
      <c r="G284" s="23" t="n"/>
      <c r="H284" s="15" t="n"/>
      <c r="I284" s="15" t="n"/>
      <c r="J284" s="15" t="n"/>
      <c r="K284" s="25" t="n"/>
      <c r="L284" s="15" t="n"/>
      <c r="M284" s="26">
        <f>IF(OR($A284="",$L284&lt;&gt;"Active"),"",COUNTIFS($A$5:$A284,$A284,$L$5:$L284,"Active"))</f>
        <v/>
      </c>
      <c r="N284" s="26">
        <f>IF(OR($A284="",$M284=""),"",IF($M284=IFERROR(INDEX('Chart Database'!$R$6:$R$4005,MATCH($A284,'Chart Database'!$A$6:$A$4005,0)),0),"NEXT",""))</f>
        <v/>
      </c>
      <c r="O284" s="23" t="n"/>
    </row>
    <row r="285">
      <c r="A285" s="23" t="n"/>
      <c r="B285" s="26">
        <f>IF($A285="","",IFERROR(INDEX('Chart Database'!$B$6:$B$4005,MATCH($A285,'Chart Database'!$A$6:$A$4005,0)),"UNKNOWN CHART"))</f>
        <v/>
      </c>
      <c r="C285" s="23" t="n"/>
      <c r="D285" s="23" t="n"/>
      <c r="E285" s="25" t="n"/>
      <c r="F285" s="15" t="n"/>
      <c r="G285" s="23" t="n"/>
      <c r="H285" s="15" t="n"/>
      <c r="I285" s="15" t="n"/>
      <c r="J285" s="15" t="n"/>
      <c r="K285" s="25" t="n"/>
      <c r="L285" s="15" t="n"/>
      <c r="M285" s="26">
        <f>IF(OR($A285="",$L285&lt;&gt;"Active"),"",COUNTIFS($A$5:$A285,$A285,$L$5:$L285,"Active"))</f>
        <v/>
      </c>
      <c r="N285" s="26">
        <f>IF(OR($A285="",$M285=""),"",IF($M285=IFERROR(INDEX('Chart Database'!$R$6:$R$4005,MATCH($A285,'Chart Database'!$A$6:$A$4005,0)),0),"NEXT",""))</f>
        <v/>
      </c>
      <c r="O285" s="23" t="n"/>
    </row>
    <row r="286">
      <c r="A286" s="23" t="n"/>
      <c r="B286" s="26">
        <f>IF($A286="","",IFERROR(INDEX('Chart Database'!$B$6:$B$4005,MATCH($A286,'Chart Database'!$A$6:$A$4005,0)),"UNKNOWN CHART"))</f>
        <v/>
      </c>
      <c r="C286" s="23" t="n"/>
      <c r="D286" s="23" t="n"/>
      <c r="E286" s="25" t="n"/>
      <c r="F286" s="15" t="n"/>
      <c r="G286" s="23" t="n"/>
      <c r="H286" s="15" t="n"/>
      <c r="I286" s="15" t="n"/>
      <c r="J286" s="15" t="n"/>
      <c r="K286" s="25" t="n"/>
      <c r="L286" s="15" t="n"/>
      <c r="M286" s="26">
        <f>IF(OR($A286="",$L286&lt;&gt;"Active"),"",COUNTIFS($A$5:$A286,$A286,$L$5:$L286,"Active"))</f>
        <v/>
      </c>
      <c r="N286" s="26">
        <f>IF(OR($A286="",$M286=""),"",IF($M286=IFERROR(INDEX('Chart Database'!$R$6:$R$4005,MATCH($A286,'Chart Database'!$A$6:$A$4005,0)),0),"NEXT",""))</f>
        <v/>
      </c>
      <c r="O286" s="23" t="n"/>
    </row>
    <row r="287">
      <c r="A287" s="23" t="n"/>
      <c r="B287" s="26">
        <f>IF($A287="","",IFERROR(INDEX('Chart Database'!$B$6:$B$4005,MATCH($A287,'Chart Database'!$A$6:$A$4005,0)),"UNKNOWN CHART"))</f>
        <v/>
      </c>
      <c r="C287" s="23" t="n"/>
      <c r="D287" s="23" t="n"/>
      <c r="E287" s="25" t="n"/>
      <c r="F287" s="15" t="n"/>
      <c r="G287" s="23" t="n"/>
      <c r="H287" s="15" t="n"/>
      <c r="I287" s="15" t="n"/>
      <c r="J287" s="15" t="n"/>
      <c r="K287" s="25" t="n"/>
      <c r="L287" s="15" t="n"/>
      <c r="M287" s="26">
        <f>IF(OR($A287="",$L287&lt;&gt;"Active"),"",COUNTIFS($A$5:$A287,$A287,$L$5:$L287,"Active"))</f>
        <v/>
      </c>
      <c r="N287" s="26">
        <f>IF(OR($A287="",$M287=""),"",IF($M287=IFERROR(INDEX('Chart Database'!$R$6:$R$4005,MATCH($A287,'Chart Database'!$A$6:$A$4005,0)),0),"NEXT",""))</f>
        <v/>
      </c>
      <c r="O287" s="23" t="n"/>
    </row>
    <row r="288">
      <c r="A288" s="23" t="n"/>
      <c r="B288" s="26">
        <f>IF($A288="","",IFERROR(INDEX('Chart Database'!$B$6:$B$4005,MATCH($A288,'Chart Database'!$A$6:$A$4005,0)),"UNKNOWN CHART"))</f>
        <v/>
      </c>
      <c r="C288" s="23" t="n"/>
      <c r="D288" s="23" t="n"/>
      <c r="E288" s="25" t="n"/>
      <c r="F288" s="15" t="n"/>
      <c r="G288" s="23" t="n"/>
      <c r="H288" s="15" t="n"/>
      <c r="I288" s="15" t="n"/>
      <c r="J288" s="15" t="n"/>
      <c r="K288" s="25" t="n"/>
      <c r="L288" s="15" t="n"/>
      <c r="M288" s="26">
        <f>IF(OR($A288="",$L288&lt;&gt;"Active"),"",COUNTIFS($A$5:$A288,$A288,$L$5:$L288,"Active"))</f>
        <v/>
      </c>
      <c r="N288" s="26">
        <f>IF(OR($A288="",$M288=""),"",IF($M288=IFERROR(INDEX('Chart Database'!$R$6:$R$4005,MATCH($A288,'Chart Database'!$A$6:$A$4005,0)),0),"NEXT",""))</f>
        <v/>
      </c>
      <c r="O288" s="23" t="n"/>
    </row>
    <row r="289">
      <c r="A289" s="23" t="n"/>
      <c r="B289" s="26">
        <f>IF($A289="","",IFERROR(INDEX('Chart Database'!$B$6:$B$4005,MATCH($A289,'Chart Database'!$A$6:$A$4005,0)),"UNKNOWN CHART"))</f>
        <v/>
      </c>
      <c r="C289" s="23" t="n"/>
      <c r="D289" s="23" t="n"/>
      <c r="E289" s="25" t="n"/>
      <c r="F289" s="15" t="n"/>
      <c r="G289" s="23" t="n"/>
      <c r="H289" s="15" t="n"/>
      <c r="I289" s="15" t="n"/>
      <c r="J289" s="15" t="n"/>
      <c r="K289" s="25" t="n"/>
      <c r="L289" s="15" t="n"/>
      <c r="M289" s="26">
        <f>IF(OR($A289="",$L289&lt;&gt;"Active"),"",COUNTIFS($A$5:$A289,$A289,$L$5:$L289,"Active"))</f>
        <v/>
      </c>
      <c r="N289" s="26">
        <f>IF(OR($A289="",$M289=""),"",IF($M289=IFERROR(INDEX('Chart Database'!$R$6:$R$4005,MATCH($A289,'Chart Database'!$A$6:$A$4005,0)),0),"NEXT",""))</f>
        <v/>
      </c>
      <c r="O289" s="23" t="n"/>
    </row>
    <row r="290">
      <c r="A290" s="23" t="n"/>
      <c r="B290" s="26">
        <f>IF($A290="","",IFERROR(INDEX('Chart Database'!$B$6:$B$4005,MATCH($A290,'Chart Database'!$A$6:$A$4005,0)),"UNKNOWN CHART"))</f>
        <v/>
      </c>
      <c r="C290" s="23" t="n"/>
      <c r="D290" s="23" t="n"/>
      <c r="E290" s="25" t="n"/>
      <c r="F290" s="15" t="n"/>
      <c r="G290" s="23" t="n"/>
      <c r="H290" s="15" t="n"/>
      <c r="I290" s="15" t="n"/>
      <c r="J290" s="15" t="n"/>
      <c r="K290" s="25" t="n"/>
      <c r="L290" s="15" t="n"/>
      <c r="M290" s="26">
        <f>IF(OR($A290="",$L290&lt;&gt;"Active"),"",COUNTIFS($A$5:$A290,$A290,$L$5:$L290,"Active"))</f>
        <v/>
      </c>
      <c r="N290" s="26">
        <f>IF(OR($A290="",$M290=""),"",IF($M290=IFERROR(INDEX('Chart Database'!$R$6:$R$4005,MATCH($A290,'Chart Database'!$A$6:$A$4005,0)),0),"NEXT",""))</f>
        <v/>
      </c>
      <c r="O290" s="23" t="n"/>
    </row>
    <row r="291">
      <c r="A291" s="23" t="n"/>
      <c r="B291" s="26">
        <f>IF($A291="","",IFERROR(INDEX('Chart Database'!$B$6:$B$4005,MATCH($A291,'Chart Database'!$A$6:$A$4005,0)),"UNKNOWN CHART"))</f>
        <v/>
      </c>
      <c r="C291" s="23" t="n"/>
      <c r="D291" s="23" t="n"/>
      <c r="E291" s="25" t="n"/>
      <c r="F291" s="15" t="n"/>
      <c r="G291" s="23" t="n"/>
      <c r="H291" s="15" t="n"/>
      <c r="I291" s="15" t="n"/>
      <c r="J291" s="15" t="n"/>
      <c r="K291" s="25" t="n"/>
      <c r="L291" s="15" t="n"/>
      <c r="M291" s="26">
        <f>IF(OR($A291="",$L291&lt;&gt;"Active"),"",COUNTIFS($A$5:$A291,$A291,$L$5:$L291,"Active"))</f>
        <v/>
      </c>
      <c r="N291" s="26">
        <f>IF(OR($A291="",$M291=""),"",IF($M291=IFERROR(INDEX('Chart Database'!$R$6:$R$4005,MATCH($A291,'Chart Database'!$A$6:$A$4005,0)),0),"NEXT",""))</f>
        <v/>
      </c>
      <c r="O291" s="23" t="n"/>
    </row>
    <row r="292">
      <c r="A292" s="23" t="n"/>
      <c r="B292" s="26">
        <f>IF($A292="","",IFERROR(INDEX('Chart Database'!$B$6:$B$4005,MATCH($A292,'Chart Database'!$A$6:$A$4005,0)),"UNKNOWN CHART"))</f>
        <v/>
      </c>
      <c r="C292" s="23" t="n"/>
      <c r="D292" s="23" t="n"/>
      <c r="E292" s="25" t="n"/>
      <c r="F292" s="15" t="n"/>
      <c r="G292" s="23" t="n"/>
      <c r="H292" s="15" t="n"/>
      <c r="I292" s="15" t="n"/>
      <c r="J292" s="15" t="n"/>
      <c r="K292" s="25" t="n"/>
      <c r="L292" s="15" t="n"/>
      <c r="M292" s="26">
        <f>IF(OR($A292="",$L292&lt;&gt;"Active"),"",COUNTIFS($A$5:$A292,$A292,$L$5:$L292,"Active"))</f>
        <v/>
      </c>
      <c r="N292" s="26">
        <f>IF(OR($A292="",$M292=""),"",IF($M292=IFERROR(INDEX('Chart Database'!$R$6:$R$4005,MATCH($A292,'Chart Database'!$A$6:$A$4005,0)),0),"NEXT",""))</f>
        <v/>
      </c>
      <c r="O292" s="23" t="n"/>
    </row>
    <row r="293">
      <c r="A293" s="23" t="n"/>
      <c r="B293" s="26">
        <f>IF($A293="","",IFERROR(INDEX('Chart Database'!$B$6:$B$4005,MATCH($A293,'Chart Database'!$A$6:$A$4005,0)),"UNKNOWN CHART"))</f>
        <v/>
      </c>
      <c r="C293" s="23" t="n"/>
      <c r="D293" s="23" t="n"/>
      <c r="E293" s="25" t="n"/>
      <c r="F293" s="15" t="n"/>
      <c r="G293" s="23" t="n"/>
      <c r="H293" s="15" t="n"/>
      <c r="I293" s="15" t="n"/>
      <c r="J293" s="15" t="n"/>
      <c r="K293" s="25" t="n"/>
      <c r="L293" s="15" t="n"/>
      <c r="M293" s="26">
        <f>IF(OR($A293="",$L293&lt;&gt;"Active"),"",COUNTIFS($A$5:$A293,$A293,$L$5:$L293,"Active"))</f>
        <v/>
      </c>
      <c r="N293" s="26">
        <f>IF(OR($A293="",$M293=""),"",IF($M293=IFERROR(INDEX('Chart Database'!$R$6:$R$4005,MATCH($A293,'Chart Database'!$A$6:$A$4005,0)),0),"NEXT",""))</f>
        <v/>
      </c>
      <c r="O293" s="23" t="n"/>
    </row>
    <row r="294">
      <c r="A294" s="23" t="n"/>
      <c r="B294" s="26">
        <f>IF($A294="","",IFERROR(INDEX('Chart Database'!$B$6:$B$4005,MATCH($A294,'Chart Database'!$A$6:$A$4005,0)),"UNKNOWN CHART"))</f>
        <v/>
      </c>
      <c r="C294" s="23" t="n"/>
      <c r="D294" s="23" t="n"/>
      <c r="E294" s="25" t="n"/>
      <c r="F294" s="15" t="n"/>
      <c r="G294" s="23" t="n"/>
      <c r="H294" s="15" t="n"/>
      <c r="I294" s="15" t="n"/>
      <c r="J294" s="15" t="n"/>
      <c r="K294" s="25" t="n"/>
      <c r="L294" s="15" t="n"/>
      <c r="M294" s="26">
        <f>IF(OR($A294="",$L294&lt;&gt;"Active"),"",COUNTIFS($A$5:$A294,$A294,$L$5:$L294,"Active"))</f>
        <v/>
      </c>
      <c r="N294" s="26">
        <f>IF(OR($A294="",$M294=""),"",IF($M294=IFERROR(INDEX('Chart Database'!$R$6:$R$4005,MATCH($A294,'Chart Database'!$A$6:$A$4005,0)),0),"NEXT",""))</f>
        <v/>
      </c>
      <c r="O294" s="23" t="n"/>
    </row>
    <row r="295">
      <c r="A295" s="23" t="n"/>
      <c r="B295" s="26">
        <f>IF($A295="","",IFERROR(INDEX('Chart Database'!$B$6:$B$4005,MATCH($A295,'Chart Database'!$A$6:$A$4005,0)),"UNKNOWN CHART"))</f>
        <v/>
      </c>
      <c r="C295" s="23" t="n"/>
      <c r="D295" s="23" t="n"/>
      <c r="E295" s="25" t="n"/>
      <c r="F295" s="15" t="n"/>
      <c r="G295" s="23" t="n"/>
      <c r="H295" s="15" t="n"/>
      <c r="I295" s="15" t="n"/>
      <c r="J295" s="15" t="n"/>
      <c r="K295" s="25" t="n"/>
      <c r="L295" s="15" t="n"/>
      <c r="M295" s="26">
        <f>IF(OR($A295="",$L295&lt;&gt;"Active"),"",COUNTIFS($A$5:$A295,$A295,$L$5:$L295,"Active"))</f>
        <v/>
      </c>
      <c r="N295" s="26">
        <f>IF(OR($A295="",$M295=""),"",IF($M295=IFERROR(INDEX('Chart Database'!$R$6:$R$4005,MATCH($A295,'Chart Database'!$A$6:$A$4005,0)),0),"NEXT",""))</f>
        <v/>
      </c>
      <c r="O295" s="23" t="n"/>
    </row>
    <row r="296">
      <c r="A296" s="23" t="n"/>
      <c r="B296" s="26">
        <f>IF($A296="","",IFERROR(INDEX('Chart Database'!$B$6:$B$4005,MATCH($A296,'Chart Database'!$A$6:$A$4005,0)),"UNKNOWN CHART"))</f>
        <v/>
      </c>
      <c r="C296" s="23" t="n"/>
      <c r="D296" s="23" t="n"/>
      <c r="E296" s="25" t="n"/>
      <c r="F296" s="15" t="n"/>
      <c r="G296" s="23" t="n"/>
      <c r="H296" s="15" t="n"/>
      <c r="I296" s="15" t="n"/>
      <c r="J296" s="15" t="n"/>
      <c r="K296" s="25" t="n"/>
      <c r="L296" s="15" t="n"/>
      <c r="M296" s="26">
        <f>IF(OR($A296="",$L296&lt;&gt;"Active"),"",COUNTIFS($A$5:$A296,$A296,$L$5:$L296,"Active"))</f>
        <v/>
      </c>
      <c r="N296" s="26">
        <f>IF(OR($A296="",$M296=""),"",IF($M296=IFERROR(INDEX('Chart Database'!$R$6:$R$4005,MATCH($A296,'Chart Database'!$A$6:$A$4005,0)),0),"NEXT",""))</f>
        <v/>
      </c>
      <c r="O296" s="23" t="n"/>
    </row>
    <row r="297">
      <c r="A297" s="23" t="n"/>
      <c r="B297" s="26">
        <f>IF($A297="","",IFERROR(INDEX('Chart Database'!$B$6:$B$4005,MATCH($A297,'Chart Database'!$A$6:$A$4005,0)),"UNKNOWN CHART"))</f>
        <v/>
      </c>
      <c r="C297" s="23" t="n"/>
      <c r="D297" s="23" t="n"/>
      <c r="E297" s="25" t="n"/>
      <c r="F297" s="15" t="n"/>
      <c r="G297" s="23" t="n"/>
      <c r="H297" s="15" t="n"/>
      <c r="I297" s="15" t="n"/>
      <c r="J297" s="15" t="n"/>
      <c r="K297" s="25" t="n"/>
      <c r="L297" s="15" t="n"/>
      <c r="M297" s="26">
        <f>IF(OR($A297="",$L297&lt;&gt;"Active"),"",COUNTIFS($A$5:$A297,$A297,$L$5:$L297,"Active"))</f>
        <v/>
      </c>
      <c r="N297" s="26">
        <f>IF(OR($A297="",$M297=""),"",IF($M297=IFERROR(INDEX('Chart Database'!$R$6:$R$4005,MATCH($A297,'Chart Database'!$A$6:$A$4005,0)),0),"NEXT",""))</f>
        <v/>
      </c>
      <c r="O297" s="23" t="n"/>
    </row>
    <row r="298">
      <c r="A298" s="23" t="n"/>
      <c r="B298" s="26">
        <f>IF($A298="","",IFERROR(INDEX('Chart Database'!$B$6:$B$4005,MATCH($A298,'Chart Database'!$A$6:$A$4005,0)),"UNKNOWN CHART"))</f>
        <v/>
      </c>
      <c r="C298" s="23" t="n"/>
      <c r="D298" s="23" t="n"/>
      <c r="E298" s="25" t="n"/>
      <c r="F298" s="15" t="n"/>
      <c r="G298" s="23" t="n"/>
      <c r="H298" s="15" t="n"/>
      <c r="I298" s="15" t="n"/>
      <c r="J298" s="15" t="n"/>
      <c r="K298" s="25" t="n"/>
      <c r="L298" s="15" t="n"/>
      <c r="M298" s="26">
        <f>IF(OR($A298="",$L298&lt;&gt;"Active"),"",COUNTIFS($A$5:$A298,$A298,$L$5:$L298,"Active"))</f>
        <v/>
      </c>
      <c r="N298" s="26">
        <f>IF(OR($A298="",$M298=""),"",IF($M298=IFERROR(INDEX('Chart Database'!$R$6:$R$4005,MATCH($A298,'Chart Database'!$A$6:$A$4005,0)),0),"NEXT",""))</f>
        <v/>
      </c>
      <c r="O298" s="23" t="n"/>
    </row>
    <row r="299">
      <c r="A299" s="23" t="n"/>
      <c r="B299" s="26">
        <f>IF($A299="","",IFERROR(INDEX('Chart Database'!$B$6:$B$4005,MATCH($A299,'Chart Database'!$A$6:$A$4005,0)),"UNKNOWN CHART"))</f>
        <v/>
      </c>
      <c r="C299" s="23" t="n"/>
      <c r="D299" s="23" t="n"/>
      <c r="E299" s="25" t="n"/>
      <c r="F299" s="15" t="n"/>
      <c r="G299" s="23" t="n"/>
      <c r="H299" s="15" t="n"/>
      <c r="I299" s="15" t="n"/>
      <c r="J299" s="15" t="n"/>
      <c r="K299" s="25" t="n"/>
      <c r="L299" s="15" t="n"/>
      <c r="M299" s="26">
        <f>IF(OR($A299="",$L299&lt;&gt;"Active"),"",COUNTIFS($A$5:$A299,$A299,$L$5:$L299,"Active"))</f>
        <v/>
      </c>
      <c r="N299" s="26">
        <f>IF(OR($A299="",$M299=""),"",IF($M299=IFERROR(INDEX('Chart Database'!$R$6:$R$4005,MATCH($A299,'Chart Database'!$A$6:$A$4005,0)),0),"NEXT",""))</f>
        <v/>
      </c>
      <c r="O299" s="23" t="n"/>
    </row>
    <row r="300">
      <c r="A300" s="23" t="n"/>
      <c r="B300" s="26">
        <f>IF($A300="","",IFERROR(INDEX('Chart Database'!$B$6:$B$4005,MATCH($A300,'Chart Database'!$A$6:$A$4005,0)),"UNKNOWN CHART"))</f>
        <v/>
      </c>
      <c r="C300" s="23" t="n"/>
      <c r="D300" s="23" t="n"/>
      <c r="E300" s="25" t="n"/>
      <c r="F300" s="15" t="n"/>
      <c r="G300" s="23" t="n"/>
      <c r="H300" s="15" t="n"/>
      <c r="I300" s="15" t="n"/>
      <c r="J300" s="15" t="n"/>
      <c r="K300" s="25" t="n"/>
      <c r="L300" s="15" t="n"/>
      <c r="M300" s="26">
        <f>IF(OR($A300="",$L300&lt;&gt;"Active"),"",COUNTIFS($A$5:$A300,$A300,$L$5:$L300,"Active"))</f>
        <v/>
      </c>
      <c r="N300" s="26">
        <f>IF(OR($A300="",$M300=""),"",IF($M300=IFERROR(INDEX('Chart Database'!$R$6:$R$4005,MATCH($A300,'Chart Database'!$A$6:$A$4005,0)),0),"NEXT",""))</f>
        <v/>
      </c>
      <c r="O300" s="23" t="n"/>
    </row>
    <row r="301">
      <c r="A301" s="23" t="n"/>
      <c r="B301" s="26">
        <f>IF($A301="","",IFERROR(INDEX('Chart Database'!$B$6:$B$4005,MATCH($A301,'Chart Database'!$A$6:$A$4005,0)),"UNKNOWN CHART"))</f>
        <v/>
      </c>
      <c r="C301" s="23" t="n"/>
      <c r="D301" s="23" t="n"/>
      <c r="E301" s="25" t="n"/>
      <c r="F301" s="15" t="n"/>
      <c r="G301" s="23" t="n"/>
      <c r="H301" s="15" t="n"/>
      <c r="I301" s="15" t="n"/>
      <c r="J301" s="15" t="n"/>
      <c r="K301" s="25" t="n"/>
      <c r="L301" s="15" t="n"/>
      <c r="M301" s="26">
        <f>IF(OR($A301="",$L301&lt;&gt;"Active"),"",COUNTIFS($A$5:$A301,$A301,$L$5:$L301,"Active"))</f>
        <v/>
      </c>
      <c r="N301" s="26">
        <f>IF(OR($A301="",$M301=""),"",IF($M301=IFERROR(INDEX('Chart Database'!$R$6:$R$4005,MATCH($A301,'Chart Database'!$A$6:$A$4005,0)),0),"NEXT",""))</f>
        <v/>
      </c>
      <c r="O301" s="23" t="n"/>
    </row>
    <row r="302">
      <c r="A302" s="23" t="n"/>
      <c r="B302" s="26">
        <f>IF($A302="","",IFERROR(INDEX('Chart Database'!$B$6:$B$4005,MATCH($A302,'Chart Database'!$A$6:$A$4005,0)),"UNKNOWN CHART"))</f>
        <v/>
      </c>
      <c r="C302" s="23" t="n"/>
      <c r="D302" s="23" t="n"/>
      <c r="E302" s="25" t="n"/>
      <c r="F302" s="15" t="n"/>
      <c r="G302" s="23" t="n"/>
      <c r="H302" s="15" t="n"/>
      <c r="I302" s="15" t="n"/>
      <c r="J302" s="15" t="n"/>
      <c r="K302" s="25" t="n"/>
      <c r="L302" s="15" t="n"/>
      <c r="M302" s="26">
        <f>IF(OR($A302="",$L302&lt;&gt;"Active"),"",COUNTIFS($A$5:$A302,$A302,$L$5:$L302,"Active"))</f>
        <v/>
      </c>
      <c r="N302" s="26">
        <f>IF(OR($A302="",$M302=""),"",IF($M302=IFERROR(INDEX('Chart Database'!$R$6:$R$4005,MATCH($A302,'Chart Database'!$A$6:$A$4005,0)),0),"NEXT",""))</f>
        <v/>
      </c>
      <c r="O302" s="23" t="n"/>
    </row>
    <row r="303">
      <c r="A303" s="23" t="n"/>
      <c r="B303" s="26">
        <f>IF($A303="","",IFERROR(INDEX('Chart Database'!$B$6:$B$4005,MATCH($A303,'Chart Database'!$A$6:$A$4005,0)),"UNKNOWN CHART"))</f>
        <v/>
      </c>
      <c r="C303" s="23" t="n"/>
      <c r="D303" s="23" t="n"/>
      <c r="E303" s="25" t="n"/>
      <c r="F303" s="15" t="n"/>
      <c r="G303" s="23" t="n"/>
      <c r="H303" s="15" t="n"/>
      <c r="I303" s="15" t="n"/>
      <c r="J303" s="15" t="n"/>
      <c r="K303" s="25" t="n"/>
      <c r="L303" s="15" t="n"/>
      <c r="M303" s="26">
        <f>IF(OR($A303="",$L303&lt;&gt;"Active"),"",COUNTIFS($A$5:$A303,$A303,$L$5:$L303,"Active"))</f>
        <v/>
      </c>
      <c r="N303" s="26">
        <f>IF(OR($A303="",$M303=""),"",IF($M303=IFERROR(INDEX('Chart Database'!$R$6:$R$4005,MATCH($A303,'Chart Database'!$A$6:$A$4005,0)),0),"NEXT",""))</f>
        <v/>
      </c>
      <c r="O303" s="23" t="n"/>
    </row>
    <row r="304">
      <c r="A304" s="23" t="n"/>
      <c r="B304" s="26">
        <f>IF($A304="","",IFERROR(INDEX('Chart Database'!$B$6:$B$4005,MATCH($A304,'Chart Database'!$A$6:$A$4005,0)),"UNKNOWN CHART"))</f>
        <v/>
      </c>
      <c r="C304" s="23" t="n"/>
      <c r="D304" s="23" t="n"/>
      <c r="E304" s="25" t="n"/>
      <c r="F304" s="15" t="n"/>
      <c r="G304" s="23" t="n"/>
      <c r="H304" s="15" t="n"/>
      <c r="I304" s="15" t="n"/>
      <c r="J304" s="15" t="n"/>
      <c r="K304" s="25" t="n"/>
      <c r="L304" s="15" t="n"/>
      <c r="M304" s="26">
        <f>IF(OR($A304="",$L304&lt;&gt;"Active"),"",COUNTIFS($A$5:$A304,$A304,$L$5:$L304,"Active"))</f>
        <v/>
      </c>
      <c r="N304" s="26">
        <f>IF(OR($A304="",$M304=""),"",IF($M304=IFERROR(INDEX('Chart Database'!$R$6:$R$4005,MATCH($A304,'Chart Database'!$A$6:$A$4005,0)),0),"NEXT",""))</f>
        <v/>
      </c>
      <c r="O304" s="23" t="n"/>
    </row>
    <row r="305">
      <c r="A305" s="23" t="n"/>
      <c r="B305" s="26">
        <f>IF($A305="","",IFERROR(INDEX('Chart Database'!$B$6:$B$4005,MATCH($A305,'Chart Database'!$A$6:$A$4005,0)),"UNKNOWN CHART"))</f>
        <v/>
      </c>
      <c r="C305" s="23" t="n"/>
      <c r="D305" s="23" t="n"/>
      <c r="E305" s="25" t="n"/>
      <c r="F305" s="15" t="n"/>
      <c r="G305" s="23" t="n"/>
      <c r="H305" s="15" t="n"/>
      <c r="I305" s="15" t="n"/>
      <c r="J305" s="15" t="n"/>
      <c r="K305" s="25" t="n"/>
      <c r="L305" s="15" t="n"/>
      <c r="M305" s="26">
        <f>IF(OR($A305="",$L305&lt;&gt;"Active"),"",COUNTIFS($A$5:$A305,$A305,$L$5:$L305,"Active"))</f>
        <v/>
      </c>
      <c r="N305" s="26">
        <f>IF(OR($A305="",$M305=""),"",IF($M305=IFERROR(INDEX('Chart Database'!$R$6:$R$4005,MATCH($A305,'Chart Database'!$A$6:$A$4005,0)),0),"NEXT",""))</f>
        <v/>
      </c>
      <c r="O305" s="23" t="n"/>
    </row>
    <row r="306">
      <c r="A306" s="23" t="n"/>
      <c r="B306" s="26">
        <f>IF($A306="","",IFERROR(INDEX('Chart Database'!$B$6:$B$4005,MATCH($A306,'Chart Database'!$A$6:$A$4005,0)),"UNKNOWN CHART"))</f>
        <v/>
      </c>
      <c r="C306" s="23" t="n"/>
      <c r="D306" s="23" t="n"/>
      <c r="E306" s="25" t="n"/>
      <c r="F306" s="15" t="n"/>
      <c r="G306" s="23" t="n"/>
      <c r="H306" s="15" t="n"/>
      <c r="I306" s="15" t="n"/>
      <c r="J306" s="15" t="n"/>
      <c r="K306" s="25" t="n"/>
      <c r="L306" s="15" t="n"/>
      <c r="M306" s="26">
        <f>IF(OR($A306="",$L306&lt;&gt;"Active"),"",COUNTIFS($A$5:$A306,$A306,$L$5:$L306,"Active"))</f>
        <v/>
      </c>
      <c r="N306" s="26">
        <f>IF(OR($A306="",$M306=""),"",IF($M306=IFERROR(INDEX('Chart Database'!$R$6:$R$4005,MATCH($A306,'Chart Database'!$A$6:$A$4005,0)),0),"NEXT",""))</f>
        <v/>
      </c>
      <c r="O306" s="23" t="n"/>
    </row>
    <row r="307">
      <c r="A307" s="23" t="n"/>
      <c r="B307" s="26">
        <f>IF($A307="","",IFERROR(INDEX('Chart Database'!$B$6:$B$4005,MATCH($A307,'Chart Database'!$A$6:$A$4005,0)),"UNKNOWN CHART"))</f>
        <v/>
      </c>
      <c r="C307" s="23" t="n"/>
      <c r="D307" s="23" t="n"/>
      <c r="E307" s="25" t="n"/>
      <c r="F307" s="15" t="n"/>
      <c r="G307" s="23" t="n"/>
      <c r="H307" s="15" t="n"/>
      <c r="I307" s="15" t="n"/>
      <c r="J307" s="15" t="n"/>
      <c r="K307" s="25" t="n"/>
      <c r="L307" s="15" t="n"/>
      <c r="M307" s="26">
        <f>IF(OR($A307="",$L307&lt;&gt;"Active"),"",COUNTIFS($A$5:$A307,$A307,$L$5:$L307,"Active"))</f>
        <v/>
      </c>
      <c r="N307" s="26">
        <f>IF(OR($A307="",$M307=""),"",IF($M307=IFERROR(INDEX('Chart Database'!$R$6:$R$4005,MATCH($A307,'Chart Database'!$A$6:$A$4005,0)),0),"NEXT",""))</f>
        <v/>
      </c>
      <c r="O307" s="23" t="n"/>
    </row>
    <row r="308">
      <c r="A308" s="23" t="n"/>
      <c r="B308" s="26">
        <f>IF($A308="","",IFERROR(INDEX('Chart Database'!$B$6:$B$4005,MATCH($A308,'Chart Database'!$A$6:$A$4005,0)),"UNKNOWN CHART"))</f>
        <v/>
      </c>
      <c r="C308" s="23" t="n"/>
      <c r="D308" s="23" t="n"/>
      <c r="E308" s="25" t="n"/>
      <c r="F308" s="15" t="n"/>
      <c r="G308" s="23" t="n"/>
      <c r="H308" s="15" t="n"/>
      <c r="I308" s="15" t="n"/>
      <c r="J308" s="15" t="n"/>
      <c r="K308" s="25" t="n"/>
      <c r="L308" s="15" t="n"/>
      <c r="M308" s="26">
        <f>IF(OR($A308="",$L308&lt;&gt;"Active"),"",COUNTIFS($A$5:$A308,$A308,$L$5:$L308,"Active"))</f>
        <v/>
      </c>
      <c r="N308" s="26">
        <f>IF(OR($A308="",$M308=""),"",IF($M308=IFERROR(INDEX('Chart Database'!$R$6:$R$4005,MATCH($A308,'Chart Database'!$A$6:$A$4005,0)),0),"NEXT",""))</f>
        <v/>
      </c>
      <c r="O308" s="23" t="n"/>
    </row>
    <row r="309">
      <c r="A309" s="23" t="n"/>
      <c r="B309" s="26">
        <f>IF($A309="","",IFERROR(INDEX('Chart Database'!$B$6:$B$4005,MATCH($A309,'Chart Database'!$A$6:$A$4005,0)),"UNKNOWN CHART"))</f>
        <v/>
      </c>
      <c r="C309" s="23" t="n"/>
      <c r="D309" s="23" t="n"/>
      <c r="E309" s="25" t="n"/>
      <c r="F309" s="15" t="n"/>
      <c r="G309" s="23" t="n"/>
      <c r="H309" s="15" t="n"/>
      <c r="I309" s="15" t="n"/>
      <c r="J309" s="15" t="n"/>
      <c r="K309" s="25" t="n"/>
      <c r="L309" s="15" t="n"/>
      <c r="M309" s="26">
        <f>IF(OR($A309="",$L309&lt;&gt;"Active"),"",COUNTIFS($A$5:$A309,$A309,$L$5:$L309,"Active"))</f>
        <v/>
      </c>
      <c r="N309" s="26">
        <f>IF(OR($A309="",$M309=""),"",IF($M309=IFERROR(INDEX('Chart Database'!$R$6:$R$4005,MATCH($A309,'Chart Database'!$A$6:$A$4005,0)),0),"NEXT",""))</f>
        <v/>
      </c>
      <c r="O309" s="23" t="n"/>
    </row>
    <row r="310">
      <c r="A310" s="23" t="n"/>
      <c r="B310" s="26">
        <f>IF($A310="","",IFERROR(INDEX('Chart Database'!$B$6:$B$4005,MATCH($A310,'Chart Database'!$A$6:$A$4005,0)),"UNKNOWN CHART"))</f>
        <v/>
      </c>
      <c r="C310" s="23" t="n"/>
      <c r="D310" s="23" t="n"/>
      <c r="E310" s="25" t="n"/>
      <c r="F310" s="15" t="n"/>
      <c r="G310" s="23" t="n"/>
      <c r="H310" s="15" t="n"/>
      <c r="I310" s="15" t="n"/>
      <c r="J310" s="15" t="n"/>
      <c r="K310" s="25" t="n"/>
      <c r="L310" s="15" t="n"/>
      <c r="M310" s="26">
        <f>IF(OR($A310="",$L310&lt;&gt;"Active"),"",COUNTIFS($A$5:$A310,$A310,$L$5:$L310,"Active"))</f>
        <v/>
      </c>
      <c r="N310" s="26">
        <f>IF(OR($A310="",$M310=""),"",IF($M310=IFERROR(INDEX('Chart Database'!$R$6:$R$4005,MATCH($A310,'Chart Database'!$A$6:$A$4005,0)),0),"NEXT",""))</f>
        <v/>
      </c>
      <c r="O310" s="23" t="n"/>
    </row>
    <row r="311">
      <c r="A311" s="23" t="n"/>
      <c r="B311" s="26">
        <f>IF($A311="","",IFERROR(INDEX('Chart Database'!$B$6:$B$4005,MATCH($A311,'Chart Database'!$A$6:$A$4005,0)),"UNKNOWN CHART"))</f>
        <v/>
      </c>
      <c r="C311" s="23" t="n"/>
      <c r="D311" s="23" t="n"/>
      <c r="E311" s="25" t="n"/>
      <c r="F311" s="15" t="n"/>
      <c r="G311" s="23" t="n"/>
      <c r="H311" s="15" t="n"/>
      <c r="I311" s="15" t="n"/>
      <c r="J311" s="15" t="n"/>
      <c r="K311" s="25" t="n"/>
      <c r="L311" s="15" t="n"/>
      <c r="M311" s="26">
        <f>IF(OR($A311="",$L311&lt;&gt;"Active"),"",COUNTIFS($A$5:$A311,$A311,$L$5:$L311,"Active"))</f>
        <v/>
      </c>
      <c r="N311" s="26">
        <f>IF(OR($A311="",$M311=""),"",IF($M311=IFERROR(INDEX('Chart Database'!$R$6:$R$4005,MATCH($A311,'Chart Database'!$A$6:$A$4005,0)),0),"NEXT",""))</f>
        <v/>
      </c>
      <c r="O311" s="23" t="n"/>
    </row>
    <row r="312">
      <c r="A312" s="23" t="n"/>
      <c r="B312" s="26">
        <f>IF($A312="","",IFERROR(INDEX('Chart Database'!$B$6:$B$4005,MATCH($A312,'Chart Database'!$A$6:$A$4005,0)),"UNKNOWN CHART"))</f>
        <v/>
      </c>
      <c r="C312" s="23" t="n"/>
      <c r="D312" s="23" t="n"/>
      <c r="E312" s="25" t="n"/>
      <c r="F312" s="15" t="n"/>
      <c r="G312" s="23" t="n"/>
      <c r="H312" s="15" t="n"/>
      <c r="I312" s="15" t="n"/>
      <c r="J312" s="15" t="n"/>
      <c r="K312" s="25" t="n"/>
      <c r="L312" s="15" t="n"/>
      <c r="M312" s="26">
        <f>IF(OR($A312="",$L312&lt;&gt;"Active"),"",COUNTIFS($A$5:$A312,$A312,$L$5:$L312,"Active"))</f>
        <v/>
      </c>
      <c r="N312" s="26">
        <f>IF(OR($A312="",$M312=""),"",IF($M312=IFERROR(INDEX('Chart Database'!$R$6:$R$4005,MATCH($A312,'Chart Database'!$A$6:$A$4005,0)),0),"NEXT",""))</f>
        <v/>
      </c>
      <c r="O312" s="23" t="n"/>
    </row>
    <row r="313">
      <c r="A313" s="23" t="n"/>
      <c r="B313" s="26">
        <f>IF($A313="","",IFERROR(INDEX('Chart Database'!$B$6:$B$4005,MATCH($A313,'Chart Database'!$A$6:$A$4005,0)),"UNKNOWN CHART"))</f>
        <v/>
      </c>
      <c r="C313" s="23" t="n"/>
      <c r="D313" s="23" t="n"/>
      <c r="E313" s="25" t="n"/>
      <c r="F313" s="15" t="n"/>
      <c r="G313" s="23" t="n"/>
      <c r="H313" s="15" t="n"/>
      <c r="I313" s="15" t="n"/>
      <c r="J313" s="15" t="n"/>
      <c r="K313" s="25" t="n"/>
      <c r="L313" s="15" t="n"/>
      <c r="M313" s="26">
        <f>IF(OR($A313="",$L313&lt;&gt;"Active"),"",COUNTIFS($A$5:$A313,$A313,$L$5:$L313,"Active"))</f>
        <v/>
      </c>
      <c r="N313" s="26">
        <f>IF(OR($A313="",$M313=""),"",IF($M313=IFERROR(INDEX('Chart Database'!$R$6:$R$4005,MATCH($A313,'Chart Database'!$A$6:$A$4005,0)),0),"NEXT",""))</f>
        <v/>
      </c>
      <c r="O313" s="23" t="n"/>
    </row>
    <row r="314">
      <c r="A314" s="23" t="n"/>
      <c r="B314" s="26">
        <f>IF($A314="","",IFERROR(INDEX('Chart Database'!$B$6:$B$4005,MATCH($A314,'Chart Database'!$A$6:$A$4005,0)),"UNKNOWN CHART"))</f>
        <v/>
      </c>
      <c r="C314" s="23" t="n"/>
      <c r="D314" s="23" t="n"/>
      <c r="E314" s="25" t="n"/>
      <c r="F314" s="15" t="n"/>
      <c r="G314" s="23" t="n"/>
      <c r="H314" s="15" t="n"/>
      <c r="I314" s="15" t="n"/>
      <c r="J314" s="15" t="n"/>
      <c r="K314" s="25" t="n"/>
      <c r="L314" s="15" t="n"/>
      <c r="M314" s="26">
        <f>IF(OR($A314="",$L314&lt;&gt;"Active"),"",COUNTIFS($A$5:$A314,$A314,$L$5:$L314,"Active"))</f>
        <v/>
      </c>
      <c r="N314" s="26">
        <f>IF(OR($A314="",$M314=""),"",IF($M314=IFERROR(INDEX('Chart Database'!$R$6:$R$4005,MATCH($A314,'Chart Database'!$A$6:$A$4005,0)),0),"NEXT",""))</f>
        <v/>
      </c>
      <c r="O314" s="23" t="n"/>
    </row>
    <row r="315">
      <c r="A315" s="23" t="n"/>
      <c r="B315" s="26">
        <f>IF($A315="","",IFERROR(INDEX('Chart Database'!$B$6:$B$4005,MATCH($A315,'Chart Database'!$A$6:$A$4005,0)),"UNKNOWN CHART"))</f>
        <v/>
      </c>
      <c r="C315" s="23" t="n"/>
      <c r="D315" s="23" t="n"/>
      <c r="E315" s="25" t="n"/>
      <c r="F315" s="15" t="n"/>
      <c r="G315" s="23" t="n"/>
      <c r="H315" s="15" t="n"/>
      <c r="I315" s="15" t="n"/>
      <c r="J315" s="15" t="n"/>
      <c r="K315" s="25" t="n"/>
      <c r="L315" s="15" t="n"/>
      <c r="M315" s="26">
        <f>IF(OR($A315="",$L315&lt;&gt;"Active"),"",COUNTIFS($A$5:$A315,$A315,$L$5:$L315,"Active"))</f>
        <v/>
      </c>
      <c r="N315" s="26">
        <f>IF(OR($A315="",$M315=""),"",IF($M315=IFERROR(INDEX('Chart Database'!$R$6:$R$4005,MATCH($A315,'Chart Database'!$A$6:$A$4005,0)),0),"NEXT",""))</f>
        <v/>
      </c>
      <c r="O315" s="23" t="n"/>
    </row>
    <row r="316">
      <c r="A316" s="23" t="n"/>
      <c r="B316" s="26">
        <f>IF($A316="","",IFERROR(INDEX('Chart Database'!$B$6:$B$4005,MATCH($A316,'Chart Database'!$A$6:$A$4005,0)),"UNKNOWN CHART"))</f>
        <v/>
      </c>
      <c r="C316" s="23" t="n"/>
      <c r="D316" s="23" t="n"/>
      <c r="E316" s="25" t="n"/>
      <c r="F316" s="15" t="n"/>
      <c r="G316" s="23" t="n"/>
      <c r="H316" s="15" t="n"/>
      <c r="I316" s="15" t="n"/>
      <c r="J316" s="15" t="n"/>
      <c r="K316" s="25" t="n"/>
      <c r="L316" s="15" t="n"/>
      <c r="M316" s="26">
        <f>IF(OR($A316="",$L316&lt;&gt;"Active"),"",COUNTIFS($A$5:$A316,$A316,$L$5:$L316,"Active"))</f>
        <v/>
      </c>
      <c r="N316" s="26">
        <f>IF(OR($A316="",$M316=""),"",IF($M316=IFERROR(INDEX('Chart Database'!$R$6:$R$4005,MATCH($A316,'Chart Database'!$A$6:$A$4005,0)),0),"NEXT",""))</f>
        <v/>
      </c>
      <c r="O316" s="23" t="n"/>
    </row>
    <row r="317">
      <c r="A317" s="23" t="n"/>
      <c r="B317" s="26">
        <f>IF($A317="","",IFERROR(INDEX('Chart Database'!$B$6:$B$4005,MATCH($A317,'Chart Database'!$A$6:$A$4005,0)),"UNKNOWN CHART"))</f>
        <v/>
      </c>
      <c r="C317" s="23" t="n"/>
      <c r="D317" s="23" t="n"/>
      <c r="E317" s="25" t="n"/>
      <c r="F317" s="15" t="n"/>
      <c r="G317" s="23" t="n"/>
      <c r="H317" s="15" t="n"/>
      <c r="I317" s="15" t="n"/>
      <c r="J317" s="15" t="n"/>
      <c r="K317" s="25" t="n"/>
      <c r="L317" s="15" t="n"/>
      <c r="M317" s="26">
        <f>IF(OR($A317="",$L317&lt;&gt;"Active"),"",COUNTIFS($A$5:$A317,$A317,$L$5:$L317,"Active"))</f>
        <v/>
      </c>
      <c r="N317" s="26">
        <f>IF(OR($A317="",$M317=""),"",IF($M317=IFERROR(INDEX('Chart Database'!$R$6:$R$4005,MATCH($A317,'Chart Database'!$A$6:$A$4005,0)),0),"NEXT",""))</f>
        <v/>
      </c>
      <c r="O317" s="23" t="n"/>
    </row>
    <row r="318">
      <c r="A318" s="23" t="n"/>
      <c r="B318" s="26">
        <f>IF($A318="","",IFERROR(INDEX('Chart Database'!$B$6:$B$4005,MATCH($A318,'Chart Database'!$A$6:$A$4005,0)),"UNKNOWN CHART"))</f>
        <v/>
      </c>
      <c r="C318" s="23" t="n"/>
      <c r="D318" s="23" t="n"/>
      <c r="E318" s="25" t="n"/>
      <c r="F318" s="15" t="n"/>
      <c r="G318" s="23" t="n"/>
      <c r="H318" s="15" t="n"/>
      <c r="I318" s="15" t="n"/>
      <c r="J318" s="15" t="n"/>
      <c r="K318" s="25" t="n"/>
      <c r="L318" s="15" t="n"/>
      <c r="M318" s="26">
        <f>IF(OR($A318="",$L318&lt;&gt;"Active"),"",COUNTIFS($A$5:$A318,$A318,$L$5:$L318,"Active"))</f>
        <v/>
      </c>
      <c r="N318" s="26">
        <f>IF(OR($A318="",$M318=""),"",IF($M318=IFERROR(INDEX('Chart Database'!$R$6:$R$4005,MATCH($A318,'Chart Database'!$A$6:$A$4005,0)),0),"NEXT",""))</f>
        <v/>
      </c>
      <c r="O318" s="23" t="n"/>
    </row>
    <row r="319">
      <c r="A319" s="23" t="n"/>
      <c r="B319" s="26">
        <f>IF($A319="","",IFERROR(INDEX('Chart Database'!$B$6:$B$4005,MATCH($A319,'Chart Database'!$A$6:$A$4005,0)),"UNKNOWN CHART"))</f>
        <v/>
      </c>
      <c r="C319" s="23" t="n"/>
      <c r="D319" s="23" t="n"/>
      <c r="E319" s="25" t="n"/>
      <c r="F319" s="15" t="n"/>
      <c r="G319" s="23" t="n"/>
      <c r="H319" s="15" t="n"/>
      <c r="I319" s="15" t="n"/>
      <c r="J319" s="15" t="n"/>
      <c r="K319" s="25" t="n"/>
      <c r="L319" s="15" t="n"/>
      <c r="M319" s="26">
        <f>IF(OR($A319="",$L319&lt;&gt;"Active"),"",COUNTIFS($A$5:$A319,$A319,$L$5:$L319,"Active"))</f>
        <v/>
      </c>
      <c r="N319" s="26">
        <f>IF(OR($A319="",$M319=""),"",IF($M319=IFERROR(INDEX('Chart Database'!$R$6:$R$4005,MATCH($A319,'Chart Database'!$A$6:$A$4005,0)),0),"NEXT",""))</f>
        <v/>
      </c>
      <c r="O319" s="23" t="n"/>
    </row>
    <row r="320">
      <c r="A320" s="23" t="n"/>
      <c r="B320" s="26">
        <f>IF($A320="","",IFERROR(INDEX('Chart Database'!$B$6:$B$4005,MATCH($A320,'Chart Database'!$A$6:$A$4005,0)),"UNKNOWN CHART"))</f>
        <v/>
      </c>
      <c r="C320" s="23" t="n"/>
      <c r="D320" s="23" t="n"/>
      <c r="E320" s="25" t="n"/>
      <c r="F320" s="15" t="n"/>
      <c r="G320" s="23" t="n"/>
      <c r="H320" s="15" t="n"/>
      <c r="I320" s="15" t="n"/>
      <c r="J320" s="15" t="n"/>
      <c r="K320" s="25" t="n"/>
      <c r="L320" s="15" t="n"/>
      <c r="M320" s="26">
        <f>IF(OR($A320="",$L320&lt;&gt;"Active"),"",COUNTIFS($A$5:$A320,$A320,$L$5:$L320,"Active"))</f>
        <v/>
      </c>
      <c r="N320" s="26">
        <f>IF(OR($A320="",$M320=""),"",IF($M320=IFERROR(INDEX('Chart Database'!$R$6:$R$4005,MATCH($A320,'Chart Database'!$A$6:$A$4005,0)),0),"NEXT",""))</f>
        <v/>
      </c>
      <c r="O320" s="23" t="n"/>
    </row>
    <row r="321">
      <c r="A321" s="23" t="n"/>
      <c r="B321" s="26">
        <f>IF($A321="","",IFERROR(INDEX('Chart Database'!$B$6:$B$4005,MATCH($A321,'Chart Database'!$A$6:$A$4005,0)),"UNKNOWN CHART"))</f>
        <v/>
      </c>
      <c r="C321" s="23" t="n"/>
      <c r="D321" s="23" t="n"/>
      <c r="E321" s="25" t="n"/>
      <c r="F321" s="15" t="n"/>
      <c r="G321" s="23" t="n"/>
      <c r="H321" s="15" t="n"/>
      <c r="I321" s="15" t="n"/>
      <c r="J321" s="15" t="n"/>
      <c r="K321" s="25" t="n"/>
      <c r="L321" s="15" t="n"/>
      <c r="M321" s="26">
        <f>IF(OR($A321="",$L321&lt;&gt;"Active"),"",COUNTIFS($A$5:$A321,$A321,$L$5:$L321,"Active"))</f>
        <v/>
      </c>
      <c r="N321" s="26">
        <f>IF(OR($A321="",$M321=""),"",IF($M321=IFERROR(INDEX('Chart Database'!$R$6:$R$4005,MATCH($A321,'Chart Database'!$A$6:$A$4005,0)),0),"NEXT",""))</f>
        <v/>
      </c>
      <c r="O321" s="23" t="n"/>
    </row>
    <row r="322">
      <c r="A322" s="23" t="n"/>
      <c r="B322" s="26">
        <f>IF($A322="","",IFERROR(INDEX('Chart Database'!$B$6:$B$4005,MATCH($A322,'Chart Database'!$A$6:$A$4005,0)),"UNKNOWN CHART"))</f>
        <v/>
      </c>
      <c r="C322" s="23" t="n"/>
      <c r="D322" s="23" t="n"/>
      <c r="E322" s="25" t="n"/>
      <c r="F322" s="15" t="n"/>
      <c r="G322" s="23" t="n"/>
      <c r="H322" s="15" t="n"/>
      <c r="I322" s="15" t="n"/>
      <c r="J322" s="15" t="n"/>
      <c r="K322" s="25" t="n"/>
      <c r="L322" s="15" t="n"/>
      <c r="M322" s="26">
        <f>IF(OR($A322="",$L322&lt;&gt;"Active"),"",COUNTIFS($A$5:$A322,$A322,$L$5:$L322,"Active"))</f>
        <v/>
      </c>
      <c r="N322" s="26">
        <f>IF(OR($A322="",$M322=""),"",IF($M322=IFERROR(INDEX('Chart Database'!$R$6:$R$4005,MATCH($A322,'Chart Database'!$A$6:$A$4005,0)),0),"NEXT",""))</f>
        <v/>
      </c>
      <c r="O322" s="23" t="n"/>
    </row>
    <row r="323">
      <c r="A323" s="23" t="n"/>
      <c r="B323" s="26">
        <f>IF($A323="","",IFERROR(INDEX('Chart Database'!$B$6:$B$4005,MATCH($A323,'Chart Database'!$A$6:$A$4005,0)),"UNKNOWN CHART"))</f>
        <v/>
      </c>
      <c r="C323" s="23" t="n"/>
      <c r="D323" s="23" t="n"/>
      <c r="E323" s="25" t="n"/>
      <c r="F323" s="15" t="n"/>
      <c r="G323" s="23" t="n"/>
      <c r="H323" s="15" t="n"/>
      <c r="I323" s="15" t="n"/>
      <c r="J323" s="15" t="n"/>
      <c r="K323" s="25" t="n"/>
      <c r="L323" s="15" t="n"/>
      <c r="M323" s="26">
        <f>IF(OR($A323="",$L323&lt;&gt;"Active"),"",COUNTIFS($A$5:$A323,$A323,$L$5:$L323,"Active"))</f>
        <v/>
      </c>
      <c r="N323" s="26">
        <f>IF(OR($A323="",$M323=""),"",IF($M323=IFERROR(INDEX('Chart Database'!$R$6:$R$4005,MATCH($A323,'Chart Database'!$A$6:$A$4005,0)),0),"NEXT",""))</f>
        <v/>
      </c>
      <c r="O323" s="23" t="n"/>
    </row>
    <row r="324">
      <c r="A324" s="23" t="n"/>
      <c r="B324" s="26">
        <f>IF($A324="","",IFERROR(INDEX('Chart Database'!$B$6:$B$4005,MATCH($A324,'Chart Database'!$A$6:$A$4005,0)),"UNKNOWN CHART"))</f>
        <v/>
      </c>
      <c r="C324" s="23" t="n"/>
      <c r="D324" s="23" t="n"/>
      <c r="E324" s="25" t="n"/>
      <c r="F324" s="15" t="n"/>
      <c r="G324" s="23" t="n"/>
      <c r="H324" s="15" t="n"/>
      <c r="I324" s="15" t="n"/>
      <c r="J324" s="15" t="n"/>
      <c r="K324" s="25" t="n"/>
      <c r="L324" s="15" t="n"/>
      <c r="M324" s="26">
        <f>IF(OR($A324="",$L324&lt;&gt;"Active"),"",COUNTIFS($A$5:$A324,$A324,$L$5:$L324,"Active"))</f>
        <v/>
      </c>
      <c r="N324" s="26">
        <f>IF(OR($A324="",$M324=""),"",IF($M324=IFERROR(INDEX('Chart Database'!$R$6:$R$4005,MATCH($A324,'Chart Database'!$A$6:$A$4005,0)),0),"NEXT",""))</f>
        <v/>
      </c>
      <c r="O324" s="23" t="n"/>
    </row>
    <row r="325">
      <c r="A325" s="23" t="n"/>
      <c r="B325" s="26">
        <f>IF($A325="","",IFERROR(INDEX('Chart Database'!$B$6:$B$4005,MATCH($A325,'Chart Database'!$A$6:$A$4005,0)),"UNKNOWN CHART"))</f>
        <v/>
      </c>
      <c r="C325" s="23" t="n"/>
      <c r="D325" s="23" t="n"/>
      <c r="E325" s="25" t="n"/>
      <c r="F325" s="15" t="n"/>
      <c r="G325" s="23" t="n"/>
      <c r="H325" s="15" t="n"/>
      <c r="I325" s="15" t="n"/>
      <c r="J325" s="15" t="n"/>
      <c r="K325" s="25" t="n"/>
      <c r="L325" s="15" t="n"/>
      <c r="M325" s="26">
        <f>IF(OR($A325="",$L325&lt;&gt;"Active"),"",COUNTIFS($A$5:$A325,$A325,$L$5:$L325,"Active"))</f>
        <v/>
      </c>
      <c r="N325" s="26">
        <f>IF(OR($A325="",$M325=""),"",IF($M325=IFERROR(INDEX('Chart Database'!$R$6:$R$4005,MATCH($A325,'Chart Database'!$A$6:$A$4005,0)),0),"NEXT",""))</f>
        <v/>
      </c>
      <c r="O325" s="23" t="n"/>
    </row>
    <row r="326">
      <c r="A326" s="23" t="n"/>
      <c r="B326" s="26">
        <f>IF($A326="","",IFERROR(INDEX('Chart Database'!$B$6:$B$4005,MATCH($A326,'Chart Database'!$A$6:$A$4005,0)),"UNKNOWN CHART"))</f>
        <v/>
      </c>
      <c r="C326" s="23" t="n"/>
      <c r="D326" s="23" t="n"/>
      <c r="E326" s="25" t="n"/>
      <c r="F326" s="15" t="n"/>
      <c r="G326" s="23" t="n"/>
      <c r="H326" s="15" t="n"/>
      <c r="I326" s="15" t="n"/>
      <c r="J326" s="15" t="n"/>
      <c r="K326" s="25" t="n"/>
      <c r="L326" s="15" t="n"/>
      <c r="M326" s="26">
        <f>IF(OR($A326="",$L326&lt;&gt;"Active"),"",COUNTIFS($A$5:$A326,$A326,$L$5:$L326,"Active"))</f>
        <v/>
      </c>
      <c r="N326" s="26">
        <f>IF(OR($A326="",$M326=""),"",IF($M326=IFERROR(INDEX('Chart Database'!$R$6:$R$4005,MATCH($A326,'Chart Database'!$A$6:$A$4005,0)),0),"NEXT",""))</f>
        <v/>
      </c>
      <c r="O326" s="23" t="n"/>
    </row>
    <row r="327">
      <c r="A327" s="23" t="n"/>
      <c r="B327" s="26">
        <f>IF($A327="","",IFERROR(INDEX('Chart Database'!$B$6:$B$4005,MATCH($A327,'Chart Database'!$A$6:$A$4005,0)),"UNKNOWN CHART"))</f>
        <v/>
      </c>
      <c r="C327" s="23" t="n"/>
      <c r="D327" s="23" t="n"/>
      <c r="E327" s="25" t="n"/>
      <c r="F327" s="15" t="n"/>
      <c r="G327" s="23" t="n"/>
      <c r="H327" s="15" t="n"/>
      <c r="I327" s="15" t="n"/>
      <c r="J327" s="15" t="n"/>
      <c r="K327" s="25" t="n"/>
      <c r="L327" s="15" t="n"/>
      <c r="M327" s="26">
        <f>IF(OR($A327="",$L327&lt;&gt;"Active"),"",COUNTIFS($A$5:$A327,$A327,$L$5:$L327,"Active"))</f>
        <v/>
      </c>
      <c r="N327" s="26">
        <f>IF(OR($A327="",$M327=""),"",IF($M327=IFERROR(INDEX('Chart Database'!$R$6:$R$4005,MATCH($A327,'Chart Database'!$A$6:$A$4005,0)),0),"NEXT",""))</f>
        <v/>
      </c>
      <c r="O327" s="23" t="n"/>
    </row>
    <row r="328">
      <c r="A328" s="23" t="n"/>
      <c r="B328" s="26">
        <f>IF($A328="","",IFERROR(INDEX('Chart Database'!$B$6:$B$4005,MATCH($A328,'Chart Database'!$A$6:$A$4005,0)),"UNKNOWN CHART"))</f>
        <v/>
      </c>
      <c r="C328" s="23" t="n"/>
      <c r="D328" s="23" t="n"/>
      <c r="E328" s="25" t="n"/>
      <c r="F328" s="15" t="n"/>
      <c r="G328" s="23" t="n"/>
      <c r="H328" s="15" t="n"/>
      <c r="I328" s="15" t="n"/>
      <c r="J328" s="15" t="n"/>
      <c r="K328" s="25" t="n"/>
      <c r="L328" s="15" t="n"/>
      <c r="M328" s="26">
        <f>IF(OR($A328="",$L328&lt;&gt;"Active"),"",COUNTIFS($A$5:$A328,$A328,$L$5:$L328,"Active"))</f>
        <v/>
      </c>
      <c r="N328" s="26">
        <f>IF(OR($A328="",$M328=""),"",IF($M328=IFERROR(INDEX('Chart Database'!$R$6:$R$4005,MATCH($A328,'Chart Database'!$A$6:$A$4005,0)),0),"NEXT",""))</f>
        <v/>
      </c>
      <c r="O328" s="23" t="n"/>
    </row>
    <row r="329">
      <c r="A329" s="23" t="n"/>
      <c r="B329" s="26">
        <f>IF($A329="","",IFERROR(INDEX('Chart Database'!$B$6:$B$4005,MATCH($A329,'Chart Database'!$A$6:$A$4005,0)),"UNKNOWN CHART"))</f>
        <v/>
      </c>
      <c r="C329" s="23" t="n"/>
      <c r="D329" s="23" t="n"/>
      <c r="E329" s="25" t="n"/>
      <c r="F329" s="15" t="n"/>
      <c r="G329" s="23" t="n"/>
      <c r="H329" s="15" t="n"/>
      <c r="I329" s="15" t="n"/>
      <c r="J329" s="15" t="n"/>
      <c r="K329" s="25" t="n"/>
      <c r="L329" s="15" t="n"/>
      <c r="M329" s="26">
        <f>IF(OR($A329="",$L329&lt;&gt;"Active"),"",COUNTIFS($A$5:$A329,$A329,$L$5:$L329,"Active"))</f>
        <v/>
      </c>
      <c r="N329" s="26">
        <f>IF(OR($A329="",$M329=""),"",IF($M329=IFERROR(INDEX('Chart Database'!$R$6:$R$4005,MATCH($A329,'Chart Database'!$A$6:$A$4005,0)),0),"NEXT",""))</f>
        <v/>
      </c>
      <c r="O329" s="23" t="n"/>
    </row>
    <row r="330">
      <c r="A330" s="23" t="n"/>
      <c r="B330" s="26">
        <f>IF($A330="","",IFERROR(INDEX('Chart Database'!$B$6:$B$4005,MATCH($A330,'Chart Database'!$A$6:$A$4005,0)),"UNKNOWN CHART"))</f>
        <v/>
      </c>
      <c r="C330" s="23" t="n"/>
      <c r="D330" s="23" t="n"/>
      <c r="E330" s="25" t="n"/>
      <c r="F330" s="15" t="n"/>
      <c r="G330" s="23" t="n"/>
      <c r="H330" s="15" t="n"/>
      <c r="I330" s="15" t="n"/>
      <c r="J330" s="15" t="n"/>
      <c r="K330" s="25" t="n"/>
      <c r="L330" s="15" t="n"/>
      <c r="M330" s="26">
        <f>IF(OR($A330="",$L330&lt;&gt;"Active"),"",COUNTIFS($A$5:$A330,$A330,$L$5:$L330,"Active"))</f>
        <v/>
      </c>
      <c r="N330" s="26">
        <f>IF(OR($A330="",$M330=""),"",IF($M330=IFERROR(INDEX('Chart Database'!$R$6:$R$4005,MATCH($A330,'Chart Database'!$A$6:$A$4005,0)),0),"NEXT",""))</f>
        <v/>
      </c>
      <c r="O330" s="23" t="n"/>
    </row>
    <row r="331">
      <c r="A331" s="23" t="n"/>
      <c r="B331" s="26">
        <f>IF($A331="","",IFERROR(INDEX('Chart Database'!$B$6:$B$4005,MATCH($A331,'Chart Database'!$A$6:$A$4005,0)),"UNKNOWN CHART"))</f>
        <v/>
      </c>
      <c r="C331" s="23" t="n"/>
      <c r="D331" s="23" t="n"/>
      <c r="E331" s="25" t="n"/>
      <c r="F331" s="15" t="n"/>
      <c r="G331" s="23" t="n"/>
      <c r="H331" s="15" t="n"/>
      <c r="I331" s="15" t="n"/>
      <c r="J331" s="15" t="n"/>
      <c r="K331" s="25" t="n"/>
      <c r="L331" s="15" t="n"/>
      <c r="M331" s="26">
        <f>IF(OR($A331="",$L331&lt;&gt;"Active"),"",COUNTIFS($A$5:$A331,$A331,$L$5:$L331,"Active"))</f>
        <v/>
      </c>
      <c r="N331" s="26">
        <f>IF(OR($A331="",$M331=""),"",IF($M331=IFERROR(INDEX('Chart Database'!$R$6:$R$4005,MATCH($A331,'Chart Database'!$A$6:$A$4005,0)),0),"NEXT",""))</f>
        <v/>
      </c>
      <c r="O331" s="23" t="n"/>
    </row>
    <row r="332">
      <c r="A332" s="23" t="n"/>
      <c r="B332" s="26">
        <f>IF($A332="","",IFERROR(INDEX('Chart Database'!$B$6:$B$4005,MATCH($A332,'Chart Database'!$A$6:$A$4005,0)),"UNKNOWN CHART"))</f>
        <v/>
      </c>
      <c r="C332" s="23" t="n"/>
      <c r="D332" s="23" t="n"/>
      <c r="E332" s="25" t="n"/>
      <c r="F332" s="15" t="n"/>
      <c r="G332" s="23" t="n"/>
      <c r="H332" s="15" t="n"/>
      <c r="I332" s="15" t="n"/>
      <c r="J332" s="15" t="n"/>
      <c r="K332" s="25" t="n"/>
      <c r="L332" s="15" t="n"/>
      <c r="M332" s="26">
        <f>IF(OR($A332="",$L332&lt;&gt;"Active"),"",COUNTIFS($A$5:$A332,$A332,$L$5:$L332,"Active"))</f>
        <v/>
      </c>
      <c r="N332" s="26">
        <f>IF(OR($A332="",$M332=""),"",IF($M332=IFERROR(INDEX('Chart Database'!$R$6:$R$4005,MATCH($A332,'Chart Database'!$A$6:$A$4005,0)),0),"NEXT",""))</f>
        <v/>
      </c>
      <c r="O332" s="23" t="n"/>
    </row>
    <row r="333">
      <c r="A333" s="23" t="n"/>
      <c r="B333" s="26">
        <f>IF($A333="","",IFERROR(INDEX('Chart Database'!$B$6:$B$4005,MATCH($A333,'Chart Database'!$A$6:$A$4005,0)),"UNKNOWN CHART"))</f>
        <v/>
      </c>
      <c r="C333" s="23" t="n"/>
      <c r="D333" s="23" t="n"/>
      <c r="E333" s="25" t="n"/>
      <c r="F333" s="15" t="n"/>
      <c r="G333" s="23" t="n"/>
      <c r="H333" s="15" t="n"/>
      <c r="I333" s="15" t="n"/>
      <c r="J333" s="15" t="n"/>
      <c r="K333" s="25" t="n"/>
      <c r="L333" s="15" t="n"/>
      <c r="M333" s="26">
        <f>IF(OR($A333="",$L333&lt;&gt;"Active"),"",COUNTIFS($A$5:$A333,$A333,$L$5:$L333,"Active"))</f>
        <v/>
      </c>
      <c r="N333" s="26">
        <f>IF(OR($A333="",$M333=""),"",IF($M333=IFERROR(INDEX('Chart Database'!$R$6:$R$4005,MATCH($A333,'Chart Database'!$A$6:$A$4005,0)),0),"NEXT",""))</f>
        <v/>
      </c>
      <c r="O333" s="23" t="n"/>
    </row>
    <row r="334">
      <c r="A334" s="23" t="n"/>
      <c r="B334" s="26">
        <f>IF($A334="","",IFERROR(INDEX('Chart Database'!$B$6:$B$4005,MATCH($A334,'Chart Database'!$A$6:$A$4005,0)),"UNKNOWN CHART"))</f>
        <v/>
      </c>
      <c r="C334" s="23" t="n"/>
      <c r="D334" s="23" t="n"/>
      <c r="E334" s="25" t="n"/>
      <c r="F334" s="15" t="n"/>
      <c r="G334" s="23" t="n"/>
      <c r="H334" s="15" t="n"/>
      <c r="I334" s="15" t="n"/>
      <c r="J334" s="15" t="n"/>
      <c r="K334" s="25" t="n"/>
      <c r="L334" s="15" t="n"/>
      <c r="M334" s="26">
        <f>IF(OR($A334="",$L334&lt;&gt;"Active"),"",COUNTIFS($A$5:$A334,$A334,$L$5:$L334,"Active"))</f>
        <v/>
      </c>
      <c r="N334" s="26">
        <f>IF(OR($A334="",$M334=""),"",IF($M334=IFERROR(INDEX('Chart Database'!$R$6:$R$4005,MATCH($A334,'Chart Database'!$A$6:$A$4005,0)),0),"NEXT",""))</f>
        <v/>
      </c>
      <c r="O334" s="23" t="n"/>
    </row>
    <row r="335">
      <c r="A335" s="23" t="n"/>
      <c r="B335" s="26">
        <f>IF($A335="","",IFERROR(INDEX('Chart Database'!$B$6:$B$4005,MATCH($A335,'Chart Database'!$A$6:$A$4005,0)),"UNKNOWN CHART"))</f>
        <v/>
      </c>
      <c r="C335" s="23" t="n"/>
      <c r="D335" s="23" t="n"/>
      <c r="E335" s="25" t="n"/>
      <c r="F335" s="15" t="n"/>
      <c r="G335" s="23" t="n"/>
      <c r="H335" s="15" t="n"/>
      <c r="I335" s="15" t="n"/>
      <c r="J335" s="15" t="n"/>
      <c r="K335" s="25" t="n"/>
      <c r="L335" s="15" t="n"/>
      <c r="M335" s="26">
        <f>IF(OR($A335="",$L335&lt;&gt;"Active"),"",COUNTIFS($A$5:$A335,$A335,$L$5:$L335,"Active"))</f>
        <v/>
      </c>
      <c r="N335" s="26">
        <f>IF(OR($A335="",$M335=""),"",IF($M335=IFERROR(INDEX('Chart Database'!$R$6:$R$4005,MATCH($A335,'Chart Database'!$A$6:$A$4005,0)),0),"NEXT",""))</f>
        <v/>
      </c>
      <c r="O335" s="23" t="n"/>
    </row>
    <row r="336">
      <c r="A336" s="23" t="n"/>
      <c r="B336" s="26">
        <f>IF($A336="","",IFERROR(INDEX('Chart Database'!$B$6:$B$4005,MATCH($A336,'Chart Database'!$A$6:$A$4005,0)),"UNKNOWN CHART"))</f>
        <v/>
      </c>
      <c r="C336" s="23" t="n"/>
      <c r="D336" s="23" t="n"/>
      <c r="E336" s="25" t="n"/>
      <c r="F336" s="15" t="n"/>
      <c r="G336" s="23" t="n"/>
      <c r="H336" s="15" t="n"/>
      <c r="I336" s="15" t="n"/>
      <c r="J336" s="15" t="n"/>
      <c r="K336" s="25" t="n"/>
      <c r="L336" s="15" t="n"/>
      <c r="M336" s="26">
        <f>IF(OR($A336="",$L336&lt;&gt;"Active"),"",COUNTIFS($A$5:$A336,$A336,$L$5:$L336,"Active"))</f>
        <v/>
      </c>
      <c r="N336" s="26">
        <f>IF(OR($A336="",$M336=""),"",IF($M336=IFERROR(INDEX('Chart Database'!$R$6:$R$4005,MATCH($A336,'Chart Database'!$A$6:$A$4005,0)),0),"NEXT",""))</f>
        <v/>
      </c>
      <c r="O336" s="23" t="n"/>
    </row>
    <row r="337">
      <c r="A337" s="23" t="n"/>
      <c r="B337" s="26">
        <f>IF($A337="","",IFERROR(INDEX('Chart Database'!$B$6:$B$4005,MATCH($A337,'Chart Database'!$A$6:$A$4005,0)),"UNKNOWN CHART"))</f>
        <v/>
      </c>
      <c r="C337" s="23" t="n"/>
      <c r="D337" s="23" t="n"/>
      <c r="E337" s="25" t="n"/>
      <c r="F337" s="15" t="n"/>
      <c r="G337" s="23" t="n"/>
      <c r="H337" s="15" t="n"/>
      <c r="I337" s="15" t="n"/>
      <c r="J337" s="15" t="n"/>
      <c r="K337" s="25" t="n"/>
      <c r="L337" s="15" t="n"/>
      <c r="M337" s="26">
        <f>IF(OR($A337="",$L337&lt;&gt;"Active"),"",COUNTIFS($A$5:$A337,$A337,$L$5:$L337,"Active"))</f>
        <v/>
      </c>
      <c r="N337" s="26">
        <f>IF(OR($A337="",$M337=""),"",IF($M337=IFERROR(INDEX('Chart Database'!$R$6:$R$4005,MATCH($A337,'Chart Database'!$A$6:$A$4005,0)),0),"NEXT",""))</f>
        <v/>
      </c>
      <c r="O337" s="23" t="n"/>
    </row>
    <row r="338">
      <c r="A338" s="23" t="n"/>
      <c r="B338" s="26">
        <f>IF($A338="","",IFERROR(INDEX('Chart Database'!$B$6:$B$4005,MATCH($A338,'Chart Database'!$A$6:$A$4005,0)),"UNKNOWN CHART"))</f>
        <v/>
      </c>
      <c r="C338" s="23" t="n"/>
      <c r="D338" s="23" t="n"/>
      <c r="E338" s="25" t="n"/>
      <c r="F338" s="15" t="n"/>
      <c r="G338" s="23" t="n"/>
      <c r="H338" s="15" t="n"/>
      <c r="I338" s="15" t="n"/>
      <c r="J338" s="15" t="n"/>
      <c r="K338" s="25" t="n"/>
      <c r="L338" s="15" t="n"/>
      <c r="M338" s="26">
        <f>IF(OR($A338="",$L338&lt;&gt;"Active"),"",COUNTIFS($A$5:$A338,$A338,$L$5:$L338,"Active"))</f>
        <v/>
      </c>
      <c r="N338" s="26">
        <f>IF(OR($A338="",$M338=""),"",IF($M338=IFERROR(INDEX('Chart Database'!$R$6:$R$4005,MATCH($A338,'Chart Database'!$A$6:$A$4005,0)),0),"NEXT",""))</f>
        <v/>
      </c>
      <c r="O338" s="23" t="n"/>
    </row>
    <row r="339">
      <c r="A339" s="23" t="n"/>
      <c r="B339" s="26">
        <f>IF($A339="","",IFERROR(INDEX('Chart Database'!$B$6:$B$4005,MATCH($A339,'Chart Database'!$A$6:$A$4005,0)),"UNKNOWN CHART"))</f>
        <v/>
      </c>
      <c r="C339" s="23" t="n"/>
      <c r="D339" s="23" t="n"/>
      <c r="E339" s="25" t="n"/>
      <c r="F339" s="15" t="n"/>
      <c r="G339" s="23" t="n"/>
      <c r="H339" s="15" t="n"/>
      <c r="I339" s="15" t="n"/>
      <c r="J339" s="15" t="n"/>
      <c r="K339" s="25" t="n"/>
      <c r="L339" s="15" t="n"/>
      <c r="M339" s="26">
        <f>IF(OR($A339="",$L339&lt;&gt;"Active"),"",COUNTIFS($A$5:$A339,$A339,$L$5:$L339,"Active"))</f>
        <v/>
      </c>
      <c r="N339" s="26">
        <f>IF(OR($A339="",$M339=""),"",IF($M339=IFERROR(INDEX('Chart Database'!$R$6:$R$4005,MATCH($A339,'Chart Database'!$A$6:$A$4005,0)),0),"NEXT",""))</f>
        <v/>
      </c>
      <c r="O339" s="23" t="n"/>
    </row>
    <row r="340">
      <c r="A340" s="23" t="n"/>
      <c r="B340" s="26">
        <f>IF($A340="","",IFERROR(INDEX('Chart Database'!$B$6:$B$4005,MATCH($A340,'Chart Database'!$A$6:$A$4005,0)),"UNKNOWN CHART"))</f>
        <v/>
      </c>
      <c r="C340" s="23" t="n"/>
      <c r="D340" s="23" t="n"/>
      <c r="E340" s="25" t="n"/>
      <c r="F340" s="15" t="n"/>
      <c r="G340" s="23" t="n"/>
      <c r="H340" s="15" t="n"/>
      <c r="I340" s="15" t="n"/>
      <c r="J340" s="15" t="n"/>
      <c r="K340" s="25" t="n"/>
      <c r="L340" s="15" t="n"/>
      <c r="M340" s="26">
        <f>IF(OR($A340="",$L340&lt;&gt;"Active"),"",COUNTIFS($A$5:$A340,$A340,$L$5:$L340,"Active"))</f>
        <v/>
      </c>
      <c r="N340" s="26">
        <f>IF(OR($A340="",$M340=""),"",IF($M340=IFERROR(INDEX('Chart Database'!$R$6:$R$4005,MATCH($A340,'Chart Database'!$A$6:$A$4005,0)),0),"NEXT",""))</f>
        <v/>
      </c>
      <c r="O340" s="23" t="n"/>
    </row>
    <row r="341">
      <c r="A341" s="23" t="n"/>
      <c r="B341" s="26">
        <f>IF($A341="","",IFERROR(INDEX('Chart Database'!$B$6:$B$4005,MATCH($A341,'Chart Database'!$A$6:$A$4005,0)),"UNKNOWN CHART"))</f>
        <v/>
      </c>
      <c r="C341" s="23" t="n"/>
      <c r="D341" s="23" t="n"/>
      <c r="E341" s="25" t="n"/>
      <c r="F341" s="15" t="n"/>
      <c r="G341" s="23" t="n"/>
      <c r="H341" s="15" t="n"/>
      <c r="I341" s="15" t="n"/>
      <c r="J341" s="15" t="n"/>
      <c r="K341" s="25" t="n"/>
      <c r="L341" s="15" t="n"/>
      <c r="M341" s="26">
        <f>IF(OR($A341="",$L341&lt;&gt;"Active"),"",COUNTIFS($A$5:$A341,$A341,$L$5:$L341,"Active"))</f>
        <v/>
      </c>
      <c r="N341" s="26">
        <f>IF(OR($A341="",$M341=""),"",IF($M341=IFERROR(INDEX('Chart Database'!$R$6:$R$4005,MATCH($A341,'Chart Database'!$A$6:$A$4005,0)),0),"NEXT",""))</f>
        <v/>
      </c>
      <c r="O341" s="23" t="n"/>
    </row>
    <row r="342">
      <c r="A342" s="23" t="n"/>
      <c r="B342" s="26">
        <f>IF($A342="","",IFERROR(INDEX('Chart Database'!$B$6:$B$4005,MATCH($A342,'Chart Database'!$A$6:$A$4005,0)),"UNKNOWN CHART"))</f>
        <v/>
      </c>
      <c r="C342" s="23" t="n"/>
      <c r="D342" s="23" t="n"/>
      <c r="E342" s="25" t="n"/>
      <c r="F342" s="15" t="n"/>
      <c r="G342" s="23" t="n"/>
      <c r="H342" s="15" t="n"/>
      <c r="I342" s="15" t="n"/>
      <c r="J342" s="15" t="n"/>
      <c r="K342" s="25" t="n"/>
      <c r="L342" s="15" t="n"/>
      <c r="M342" s="26">
        <f>IF(OR($A342="",$L342&lt;&gt;"Active"),"",COUNTIFS($A$5:$A342,$A342,$L$5:$L342,"Active"))</f>
        <v/>
      </c>
      <c r="N342" s="26">
        <f>IF(OR($A342="",$M342=""),"",IF($M342=IFERROR(INDEX('Chart Database'!$R$6:$R$4005,MATCH($A342,'Chart Database'!$A$6:$A$4005,0)),0),"NEXT",""))</f>
        <v/>
      </c>
      <c r="O342" s="23" t="n"/>
    </row>
    <row r="343">
      <c r="A343" s="23" t="n"/>
      <c r="B343" s="26">
        <f>IF($A343="","",IFERROR(INDEX('Chart Database'!$B$6:$B$4005,MATCH($A343,'Chart Database'!$A$6:$A$4005,0)),"UNKNOWN CHART"))</f>
        <v/>
      </c>
      <c r="C343" s="23" t="n"/>
      <c r="D343" s="23" t="n"/>
      <c r="E343" s="25" t="n"/>
      <c r="F343" s="15" t="n"/>
      <c r="G343" s="23" t="n"/>
      <c r="H343" s="15" t="n"/>
      <c r="I343" s="15" t="n"/>
      <c r="J343" s="15" t="n"/>
      <c r="K343" s="25" t="n"/>
      <c r="L343" s="15" t="n"/>
      <c r="M343" s="26">
        <f>IF(OR($A343="",$L343&lt;&gt;"Active"),"",COUNTIFS($A$5:$A343,$A343,$L$5:$L343,"Active"))</f>
        <v/>
      </c>
      <c r="N343" s="26">
        <f>IF(OR($A343="",$M343=""),"",IF($M343=IFERROR(INDEX('Chart Database'!$R$6:$R$4005,MATCH($A343,'Chart Database'!$A$6:$A$4005,0)),0),"NEXT",""))</f>
        <v/>
      </c>
      <c r="O343" s="23" t="n"/>
    </row>
    <row r="344">
      <c r="A344" s="23" t="n"/>
      <c r="B344" s="26">
        <f>IF($A344="","",IFERROR(INDEX('Chart Database'!$B$6:$B$4005,MATCH($A344,'Chart Database'!$A$6:$A$4005,0)),"UNKNOWN CHART"))</f>
        <v/>
      </c>
      <c r="C344" s="23" t="n"/>
      <c r="D344" s="23" t="n"/>
      <c r="E344" s="25" t="n"/>
      <c r="F344" s="15" t="n"/>
      <c r="G344" s="23" t="n"/>
      <c r="H344" s="15" t="n"/>
      <c r="I344" s="15" t="n"/>
      <c r="J344" s="15" t="n"/>
      <c r="K344" s="25" t="n"/>
      <c r="L344" s="15" t="n"/>
      <c r="M344" s="26">
        <f>IF(OR($A344="",$L344&lt;&gt;"Active"),"",COUNTIFS($A$5:$A344,$A344,$L$5:$L344,"Active"))</f>
        <v/>
      </c>
      <c r="N344" s="26">
        <f>IF(OR($A344="",$M344=""),"",IF($M344=IFERROR(INDEX('Chart Database'!$R$6:$R$4005,MATCH($A344,'Chart Database'!$A$6:$A$4005,0)),0),"NEXT",""))</f>
        <v/>
      </c>
      <c r="O344" s="23" t="n"/>
    </row>
    <row r="345">
      <c r="A345" s="23" t="n"/>
      <c r="B345" s="26">
        <f>IF($A345="","",IFERROR(INDEX('Chart Database'!$B$6:$B$4005,MATCH($A345,'Chart Database'!$A$6:$A$4005,0)),"UNKNOWN CHART"))</f>
        <v/>
      </c>
      <c r="C345" s="23" t="n"/>
      <c r="D345" s="23" t="n"/>
      <c r="E345" s="25" t="n"/>
      <c r="F345" s="15" t="n"/>
      <c r="G345" s="23" t="n"/>
      <c r="H345" s="15" t="n"/>
      <c r="I345" s="15" t="n"/>
      <c r="J345" s="15" t="n"/>
      <c r="K345" s="25" t="n"/>
      <c r="L345" s="15" t="n"/>
      <c r="M345" s="26">
        <f>IF(OR($A345="",$L345&lt;&gt;"Active"),"",COUNTIFS($A$5:$A345,$A345,$L$5:$L345,"Active"))</f>
        <v/>
      </c>
      <c r="N345" s="26">
        <f>IF(OR($A345="",$M345=""),"",IF($M345=IFERROR(INDEX('Chart Database'!$R$6:$R$4005,MATCH($A345,'Chart Database'!$A$6:$A$4005,0)),0),"NEXT",""))</f>
        <v/>
      </c>
      <c r="O345" s="23" t="n"/>
    </row>
    <row r="346">
      <c r="A346" s="23" t="n"/>
      <c r="B346" s="26">
        <f>IF($A346="","",IFERROR(INDEX('Chart Database'!$B$6:$B$4005,MATCH($A346,'Chart Database'!$A$6:$A$4005,0)),"UNKNOWN CHART"))</f>
        <v/>
      </c>
      <c r="C346" s="23" t="n"/>
      <c r="D346" s="23" t="n"/>
      <c r="E346" s="25" t="n"/>
      <c r="F346" s="15" t="n"/>
      <c r="G346" s="23" t="n"/>
      <c r="H346" s="15" t="n"/>
      <c r="I346" s="15" t="n"/>
      <c r="J346" s="15" t="n"/>
      <c r="K346" s="25" t="n"/>
      <c r="L346" s="15" t="n"/>
      <c r="M346" s="26">
        <f>IF(OR($A346="",$L346&lt;&gt;"Active"),"",COUNTIFS($A$5:$A346,$A346,$L$5:$L346,"Active"))</f>
        <v/>
      </c>
      <c r="N346" s="26">
        <f>IF(OR($A346="",$M346=""),"",IF($M346=IFERROR(INDEX('Chart Database'!$R$6:$R$4005,MATCH($A346,'Chart Database'!$A$6:$A$4005,0)),0),"NEXT",""))</f>
        <v/>
      </c>
      <c r="O346" s="23" t="n"/>
    </row>
    <row r="347">
      <c r="A347" s="23" t="n"/>
      <c r="B347" s="26">
        <f>IF($A347="","",IFERROR(INDEX('Chart Database'!$B$6:$B$4005,MATCH($A347,'Chart Database'!$A$6:$A$4005,0)),"UNKNOWN CHART"))</f>
        <v/>
      </c>
      <c r="C347" s="23" t="n"/>
      <c r="D347" s="23" t="n"/>
      <c r="E347" s="25" t="n"/>
      <c r="F347" s="15" t="n"/>
      <c r="G347" s="23" t="n"/>
      <c r="H347" s="15" t="n"/>
      <c r="I347" s="15" t="n"/>
      <c r="J347" s="15" t="n"/>
      <c r="K347" s="25" t="n"/>
      <c r="L347" s="15" t="n"/>
      <c r="M347" s="26">
        <f>IF(OR($A347="",$L347&lt;&gt;"Active"),"",COUNTIFS($A$5:$A347,$A347,$L$5:$L347,"Active"))</f>
        <v/>
      </c>
      <c r="N347" s="26">
        <f>IF(OR($A347="",$M347=""),"",IF($M347=IFERROR(INDEX('Chart Database'!$R$6:$R$4005,MATCH($A347,'Chart Database'!$A$6:$A$4005,0)),0),"NEXT",""))</f>
        <v/>
      </c>
      <c r="O347" s="23" t="n"/>
    </row>
    <row r="348">
      <c r="A348" s="23" t="n"/>
      <c r="B348" s="26">
        <f>IF($A348="","",IFERROR(INDEX('Chart Database'!$B$6:$B$4005,MATCH($A348,'Chart Database'!$A$6:$A$4005,0)),"UNKNOWN CHART"))</f>
        <v/>
      </c>
      <c r="C348" s="23" t="n"/>
      <c r="D348" s="23" t="n"/>
      <c r="E348" s="25" t="n"/>
      <c r="F348" s="15" t="n"/>
      <c r="G348" s="23" t="n"/>
      <c r="H348" s="15" t="n"/>
      <c r="I348" s="15" t="n"/>
      <c r="J348" s="15" t="n"/>
      <c r="K348" s="25" t="n"/>
      <c r="L348" s="15" t="n"/>
      <c r="M348" s="26">
        <f>IF(OR($A348="",$L348&lt;&gt;"Active"),"",COUNTIFS($A$5:$A348,$A348,$L$5:$L348,"Active"))</f>
        <v/>
      </c>
      <c r="N348" s="26">
        <f>IF(OR($A348="",$M348=""),"",IF($M348=IFERROR(INDEX('Chart Database'!$R$6:$R$4005,MATCH($A348,'Chart Database'!$A$6:$A$4005,0)),0),"NEXT",""))</f>
        <v/>
      </c>
      <c r="O348" s="23" t="n"/>
    </row>
    <row r="349">
      <c r="A349" s="23" t="n"/>
      <c r="B349" s="26">
        <f>IF($A349="","",IFERROR(INDEX('Chart Database'!$B$6:$B$4005,MATCH($A349,'Chart Database'!$A$6:$A$4005,0)),"UNKNOWN CHART"))</f>
        <v/>
      </c>
      <c r="C349" s="23" t="n"/>
      <c r="D349" s="23" t="n"/>
      <c r="E349" s="25" t="n"/>
      <c r="F349" s="15" t="n"/>
      <c r="G349" s="23" t="n"/>
      <c r="H349" s="15" t="n"/>
      <c r="I349" s="15" t="n"/>
      <c r="J349" s="15" t="n"/>
      <c r="K349" s="25" t="n"/>
      <c r="L349" s="15" t="n"/>
      <c r="M349" s="26">
        <f>IF(OR($A349="",$L349&lt;&gt;"Active"),"",COUNTIFS($A$5:$A349,$A349,$L$5:$L349,"Active"))</f>
        <v/>
      </c>
      <c r="N349" s="26">
        <f>IF(OR($A349="",$M349=""),"",IF($M349=IFERROR(INDEX('Chart Database'!$R$6:$R$4005,MATCH($A349,'Chart Database'!$A$6:$A$4005,0)),0),"NEXT",""))</f>
        <v/>
      </c>
      <c r="O349" s="23" t="n"/>
    </row>
    <row r="350">
      <c r="A350" s="23" t="n"/>
      <c r="B350" s="26">
        <f>IF($A350="","",IFERROR(INDEX('Chart Database'!$B$6:$B$4005,MATCH($A350,'Chart Database'!$A$6:$A$4005,0)),"UNKNOWN CHART"))</f>
        <v/>
      </c>
      <c r="C350" s="23" t="n"/>
      <c r="D350" s="23" t="n"/>
      <c r="E350" s="25" t="n"/>
      <c r="F350" s="15" t="n"/>
      <c r="G350" s="23" t="n"/>
      <c r="H350" s="15" t="n"/>
      <c r="I350" s="15" t="n"/>
      <c r="J350" s="15" t="n"/>
      <c r="K350" s="25" t="n"/>
      <c r="L350" s="15" t="n"/>
      <c r="M350" s="26">
        <f>IF(OR($A350="",$L350&lt;&gt;"Active"),"",COUNTIFS($A$5:$A350,$A350,$L$5:$L350,"Active"))</f>
        <v/>
      </c>
      <c r="N350" s="26">
        <f>IF(OR($A350="",$M350=""),"",IF($M350=IFERROR(INDEX('Chart Database'!$R$6:$R$4005,MATCH($A350,'Chart Database'!$A$6:$A$4005,0)),0),"NEXT",""))</f>
        <v/>
      </c>
      <c r="O350" s="23" t="n"/>
    </row>
    <row r="351">
      <c r="A351" s="23" t="n"/>
      <c r="B351" s="26">
        <f>IF($A351="","",IFERROR(INDEX('Chart Database'!$B$6:$B$4005,MATCH($A351,'Chart Database'!$A$6:$A$4005,0)),"UNKNOWN CHART"))</f>
        <v/>
      </c>
      <c r="C351" s="23" t="n"/>
      <c r="D351" s="23" t="n"/>
      <c r="E351" s="25" t="n"/>
      <c r="F351" s="15" t="n"/>
      <c r="G351" s="23" t="n"/>
      <c r="H351" s="15" t="n"/>
      <c r="I351" s="15" t="n"/>
      <c r="J351" s="15" t="n"/>
      <c r="K351" s="25" t="n"/>
      <c r="L351" s="15" t="n"/>
      <c r="M351" s="26">
        <f>IF(OR($A351="",$L351&lt;&gt;"Active"),"",COUNTIFS($A$5:$A351,$A351,$L$5:$L351,"Active"))</f>
        <v/>
      </c>
      <c r="N351" s="26">
        <f>IF(OR($A351="",$M351=""),"",IF($M351=IFERROR(INDEX('Chart Database'!$R$6:$R$4005,MATCH($A351,'Chart Database'!$A$6:$A$4005,0)),0),"NEXT",""))</f>
        <v/>
      </c>
      <c r="O351" s="23" t="n"/>
    </row>
    <row r="352">
      <c r="A352" s="23" t="n"/>
      <c r="B352" s="26">
        <f>IF($A352="","",IFERROR(INDEX('Chart Database'!$B$6:$B$4005,MATCH($A352,'Chart Database'!$A$6:$A$4005,0)),"UNKNOWN CHART"))</f>
        <v/>
      </c>
      <c r="C352" s="23" t="n"/>
      <c r="D352" s="23" t="n"/>
      <c r="E352" s="25" t="n"/>
      <c r="F352" s="15" t="n"/>
      <c r="G352" s="23" t="n"/>
      <c r="H352" s="15" t="n"/>
      <c r="I352" s="15" t="n"/>
      <c r="J352" s="15" t="n"/>
      <c r="K352" s="25" t="n"/>
      <c r="L352" s="15" t="n"/>
      <c r="M352" s="26">
        <f>IF(OR($A352="",$L352&lt;&gt;"Active"),"",COUNTIFS($A$5:$A352,$A352,$L$5:$L352,"Active"))</f>
        <v/>
      </c>
      <c r="N352" s="26">
        <f>IF(OR($A352="",$M352=""),"",IF($M352=IFERROR(INDEX('Chart Database'!$R$6:$R$4005,MATCH($A352,'Chart Database'!$A$6:$A$4005,0)),0),"NEXT",""))</f>
        <v/>
      </c>
      <c r="O352" s="23" t="n"/>
    </row>
    <row r="353">
      <c r="A353" s="23" t="n"/>
      <c r="B353" s="26">
        <f>IF($A353="","",IFERROR(INDEX('Chart Database'!$B$6:$B$4005,MATCH($A353,'Chart Database'!$A$6:$A$4005,0)),"UNKNOWN CHART"))</f>
        <v/>
      </c>
      <c r="C353" s="23" t="n"/>
      <c r="D353" s="23" t="n"/>
      <c r="E353" s="25" t="n"/>
      <c r="F353" s="15" t="n"/>
      <c r="G353" s="23" t="n"/>
      <c r="H353" s="15" t="n"/>
      <c r="I353" s="15" t="n"/>
      <c r="J353" s="15" t="n"/>
      <c r="K353" s="25" t="n"/>
      <c r="L353" s="15" t="n"/>
      <c r="M353" s="26">
        <f>IF(OR($A353="",$L353&lt;&gt;"Active"),"",COUNTIFS($A$5:$A353,$A353,$L$5:$L353,"Active"))</f>
        <v/>
      </c>
      <c r="N353" s="26">
        <f>IF(OR($A353="",$M353=""),"",IF($M353=IFERROR(INDEX('Chart Database'!$R$6:$R$4005,MATCH($A353,'Chart Database'!$A$6:$A$4005,0)),0),"NEXT",""))</f>
        <v/>
      </c>
      <c r="O353" s="23" t="n"/>
    </row>
    <row r="354">
      <c r="A354" s="23" t="n"/>
      <c r="B354" s="26">
        <f>IF($A354="","",IFERROR(INDEX('Chart Database'!$B$6:$B$4005,MATCH($A354,'Chart Database'!$A$6:$A$4005,0)),"UNKNOWN CHART"))</f>
        <v/>
      </c>
      <c r="C354" s="23" t="n"/>
      <c r="D354" s="23" t="n"/>
      <c r="E354" s="25" t="n"/>
      <c r="F354" s="15" t="n"/>
      <c r="G354" s="23" t="n"/>
      <c r="H354" s="15" t="n"/>
      <c r="I354" s="15" t="n"/>
      <c r="J354" s="15" t="n"/>
      <c r="K354" s="25" t="n"/>
      <c r="L354" s="15" t="n"/>
      <c r="M354" s="26">
        <f>IF(OR($A354="",$L354&lt;&gt;"Active"),"",COUNTIFS($A$5:$A354,$A354,$L$5:$L354,"Active"))</f>
        <v/>
      </c>
      <c r="N354" s="26">
        <f>IF(OR($A354="",$M354=""),"",IF($M354=IFERROR(INDEX('Chart Database'!$R$6:$R$4005,MATCH($A354,'Chart Database'!$A$6:$A$4005,0)),0),"NEXT",""))</f>
        <v/>
      </c>
      <c r="O354" s="23" t="n"/>
    </row>
    <row r="355">
      <c r="A355" s="23" t="n"/>
      <c r="B355" s="26">
        <f>IF($A355="","",IFERROR(INDEX('Chart Database'!$B$6:$B$4005,MATCH($A355,'Chart Database'!$A$6:$A$4005,0)),"UNKNOWN CHART"))</f>
        <v/>
      </c>
      <c r="C355" s="23" t="n"/>
      <c r="D355" s="23" t="n"/>
      <c r="E355" s="25" t="n"/>
      <c r="F355" s="15" t="n"/>
      <c r="G355" s="23" t="n"/>
      <c r="H355" s="15" t="n"/>
      <c r="I355" s="15" t="n"/>
      <c r="J355" s="15" t="n"/>
      <c r="K355" s="25" t="n"/>
      <c r="L355" s="15" t="n"/>
      <c r="M355" s="26">
        <f>IF(OR($A355="",$L355&lt;&gt;"Active"),"",COUNTIFS($A$5:$A355,$A355,$L$5:$L355,"Active"))</f>
        <v/>
      </c>
      <c r="N355" s="26">
        <f>IF(OR($A355="",$M355=""),"",IF($M355=IFERROR(INDEX('Chart Database'!$R$6:$R$4005,MATCH($A355,'Chart Database'!$A$6:$A$4005,0)),0),"NEXT",""))</f>
        <v/>
      </c>
      <c r="O355" s="23" t="n"/>
    </row>
    <row r="356">
      <c r="A356" s="23" t="n"/>
      <c r="B356" s="26">
        <f>IF($A356="","",IFERROR(INDEX('Chart Database'!$B$6:$B$4005,MATCH($A356,'Chart Database'!$A$6:$A$4005,0)),"UNKNOWN CHART"))</f>
        <v/>
      </c>
      <c r="C356" s="23" t="n"/>
      <c r="D356" s="23" t="n"/>
      <c r="E356" s="25" t="n"/>
      <c r="F356" s="15" t="n"/>
      <c r="G356" s="23" t="n"/>
      <c r="H356" s="15" t="n"/>
      <c r="I356" s="15" t="n"/>
      <c r="J356" s="15" t="n"/>
      <c r="K356" s="25" t="n"/>
      <c r="L356" s="15" t="n"/>
      <c r="M356" s="26">
        <f>IF(OR($A356="",$L356&lt;&gt;"Active"),"",COUNTIFS($A$5:$A356,$A356,$L$5:$L356,"Active"))</f>
        <v/>
      </c>
      <c r="N356" s="26">
        <f>IF(OR($A356="",$M356=""),"",IF($M356=IFERROR(INDEX('Chart Database'!$R$6:$R$4005,MATCH($A356,'Chart Database'!$A$6:$A$4005,0)),0),"NEXT",""))</f>
        <v/>
      </c>
      <c r="O356" s="23" t="n"/>
    </row>
    <row r="357">
      <c r="A357" s="23" t="n"/>
      <c r="B357" s="26">
        <f>IF($A357="","",IFERROR(INDEX('Chart Database'!$B$6:$B$4005,MATCH($A357,'Chart Database'!$A$6:$A$4005,0)),"UNKNOWN CHART"))</f>
        <v/>
      </c>
      <c r="C357" s="23" t="n"/>
      <c r="D357" s="23" t="n"/>
      <c r="E357" s="25" t="n"/>
      <c r="F357" s="15" t="n"/>
      <c r="G357" s="23" t="n"/>
      <c r="H357" s="15" t="n"/>
      <c r="I357" s="15" t="n"/>
      <c r="J357" s="15" t="n"/>
      <c r="K357" s="25" t="n"/>
      <c r="L357" s="15" t="n"/>
      <c r="M357" s="26">
        <f>IF(OR($A357="",$L357&lt;&gt;"Active"),"",COUNTIFS($A$5:$A357,$A357,$L$5:$L357,"Active"))</f>
        <v/>
      </c>
      <c r="N357" s="26">
        <f>IF(OR($A357="",$M357=""),"",IF($M357=IFERROR(INDEX('Chart Database'!$R$6:$R$4005,MATCH($A357,'Chart Database'!$A$6:$A$4005,0)),0),"NEXT",""))</f>
        <v/>
      </c>
      <c r="O357" s="23" t="n"/>
    </row>
    <row r="358">
      <c r="A358" s="23" t="n"/>
      <c r="B358" s="26">
        <f>IF($A358="","",IFERROR(INDEX('Chart Database'!$B$6:$B$4005,MATCH($A358,'Chart Database'!$A$6:$A$4005,0)),"UNKNOWN CHART"))</f>
        <v/>
      </c>
      <c r="C358" s="23" t="n"/>
      <c r="D358" s="23" t="n"/>
      <c r="E358" s="25" t="n"/>
      <c r="F358" s="15" t="n"/>
      <c r="G358" s="23" t="n"/>
      <c r="H358" s="15" t="n"/>
      <c r="I358" s="15" t="n"/>
      <c r="J358" s="15" t="n"/>
      <c r="K358" s="25" t="n"/>
      <c r="L358" s="15" t="n"/>
      <c r="M358" s="26">
        <f>IF(OR($A358="",$L358&lt;&gt;"Active"),"",COUNTIFS($A$5:$A358,$A358,$L$5:$L358,"Active"))</f>
        <v/>
      </c>
      <c r="N358" s="26">
        <f>IF(OR($A358="",$M358=""),"",IF($M358=IFERROR(INDEX('Chart Database'!$R$6:$R$4005,MATCH($A358,'Chart Database'!$A$6:$A$4005,0)),0),"NEXT",""))</f>
        <v/>
      </c>
      <c r="O358" s="23" t="n"/>
    </row>
    <row r="359">
      <c r="A359" s="23" t="n"/>
      <c r="B359" s="26">
        <f>IF($A359="","",IFERROR(INDEX('Chart Database'!$B$6:$B$4005,MATCH($A359,'Chart Database'!$A$6:$A$4005,0)),"UNKNOWN CHART"))</f>
        <v/>
      </c>
      <c r="C359" s="23" t="n"/>
      <c r="D359" s="23" t="n"/>
      <c r="E359" s="25" t="n"/>
      <c r="F359" s="15" t="n"/>
      <c r="G359" s="23" t="n"/>
      <c r="H359" s="15" t="n"/>
      <c r="I359" s="15" t="n"/>
      <c r="J359" s="15" t="n"/>
      <c r="K359" s="25" t="n"/>
      <c r="L359" s="15" t="n"/>
      <c r="M359" s="26">
        <f>IF(OR($A359="",$L359&lt;&gt;"Active"),"",COUNTIFS($A$5:$A359,$A359,$L$5:$L359,"Active"))</f>
        <v/>
      </c>
      <c r="N359" s="26">
        <f>IF(OR($A359="",$M359=""),"",IF($M359=IFERROR(INDEX('Chart Database'!$R$6:$R$4005,MATCH($A359,'Chart Database'!$A$6:$A$4005,0)),0),"NEXT",""))</f>
        <v/>
      </c>
      <c r="O359" s="23" t="n"/>
    </row>
    <row r="360">
      <c r="A360" s="23" t="n"/>
      <c r="B360" s="26">
        <f>IF($A360="","",IFERROR(INDEX('Chart Database'!$B$6:$B$4005,MATCH($A360,'Chart Database'!$A$6:$A$4005,0)),"UNKNOWN CHART"))</f>
        <v/>
      </c>
      <c r="C360" s="23" t="n"/>
      <c r="D360" s="23" t="n"/>
      <c r="E360" s="25" t="n"/>
      <c r="F360" s="15" t="n"/>
      <c r="G360" s="23" t="n"/>
      <c r="H360" s="15" t="n"/>
      <c r="I360" s="15" t="n"/>
      <c r="J360" s="15" t="n"/>
      <c r="K360" s="25" t="n"/>
      <c r="L360" s="15" t="n"/>
      <c r="M360" s="26">
        <f>IF(OR($A360="",$L360&lt;&gt;"Active"),"",COUNTIFS($A$5:$A360,$A360,$L$5:$L360,"Active"))</f>
        <v/>
      </c>
      <c r="N360" s="26">
        <f>IF(OR($A360="",$M360=""),"",IF($M360=IFERROR(INDEX('Chart Database'!$R$6:$R$4005,MATCH($A360,'Chart Database'!$A$6:$A$4005,0)),0),"NEXT",""))</f>
        <v/>
      </c>
      <c r="O360" s="23" t="n"/>
    </row>
    <row r="361">
      <c r="A361" s="23" t="n"/>
      <c r="B361" s="26">
        <f>IF($A361="","",IFERROR(INDEX('Chart Database'!$B$6:$B$4005,MATCH($A361,'Chart Database'!$A$6:$A$4005,0)),"UNKNOWN CHART"))</f>
        <v/>
      </c>
      <c r="C361" s="23" t="n"/>
      <c r="D361" s="23" t="n"/>
      <c r="E361" s="25" t="n"/>
      <c r="F361" s="15" t="n"/>
      <c r="G361" s="23" t="n"/>
      <c r="H361" s="15" t="n"/>
      <c r="I361" s="15" t="n"/>
      <c r="J361" s="15" t="n"/>
      <c r="K361" s="25" t="n"/>
      <c r="L361" s="15" t="n"/>
      <c r="M361" s="26">
        <f>IF(OR($A361="",$L361&lt;&gt;"Active"),"",COUNTIFS($A$5:$A361,$A361,$L$5:$L361,"Active"))</f>
        <v/>
      </c>
      <c r="N361" s="26">
        <f>IF(OR($A361="",$M361=""),"",IF($M361=IFERROR(INDEX('Chart Database'!$R$6:$R$4005,MATCH($A361,'Chart Database'!$A$6:$A$4005,0)),0),"NEXT",""))</f>
        <v/>
      </c>
      <c r="O361" s="23" t="n"/>
    </row>
    <row r="362">
      <c r="A362" s="23" t="n"/>
      <c r="B362" s="26">
        <f>IF($A362="","",IFERROR(INDEX('Chart Database'!$B$6:$B$4005,MATCH($A362,'Chart Database'!$A$6:$A$4005,0)),"UNKNOWN CHART"))</f>
        <v/>
      </c>
      <c r="C362" s="23" t="n"/>
      <c r="D362" s="23" t="n"/>
      <c r="E362" s="25" t="n"/>
      <c r="F362" s="15" t="n"/>
      <c r="G362" s="23" t="n"/>
      <c r="H362" s="15" t="n"/>
      <c r="I362" s="15" t="n"/>
      <c r="J362" s="15" t="n"/>
      <c r="K362" s="25" t="n"/>
      <c r="L362" s="15" t="n"/>
      <c r="M362" s="26">
        <f>IF(OR($A362="",$L362&lt;&gt;"Active"),"",COUNTIFS($A$5:$A362,$A362,$L$5:$L362,"Active"))</f>
        <v/>
      </c>
      <c r="N362" s="26">
        <f>IF(OR($A362="",$M362=""),"",IF($M362=IFERROR(INDEX('Chart Database'!$R$6:$R$4005,MATCH($A362,'Chart Database'!$A$6:$A$4005,0)),0),"NEXT",""))</f>
        <v/>
      </c>
      <c r="O362" s="23" t="n"/>
    </row>
    <row r="363">
      <c r="A363" s="23" t="n"/>
      <c r="B363" s="26">
        <f>IF($A363="","",IFERROR(INDEX('Chart Database'!$B$6:$B$4005,MATCH($A363,'Chart Database'!$A$6:$A$4005,0)),"UNKNOWN CHART"))</f>
        <v/>
      </c>
      <c r="C363" s="23" t="n"/>
      <c r="D363" s="23" t="n"/>
      <c r="E363" s="25" t="n"/>
      <c r="F363" s="15" t="n"/>
      <c r="G363" s="23" t="n"/>
      <c r="H363" s="15" t="n"/>
      <c r="I363" s="15" t="n"/>
      <c r="J363" s="15" t="n"/>
      <c r="K363" s="25" t="n"/>
      <c r="L363" s="15" t="n"/>
      <c r="M363" s="26">
        <f>IF(OR($A363="",$L363&lt;&gt;"Active"),"",COUNTIFS($A$5:$A363,$A363,$L$5:$L363,"Active"))</f>
        <v/>
      </c>
      <c r="N363" s="26">
        <f>IF(OR($A363="",$M363=""),"",IF($M363=IFERROR(INDEX('Chart Database'!$R$6:$R$4005,MATCH($A363,'Chart Database'!$A$6:$A$4005,0)),0),"NEXT",""))</f>
        <v/>
      </c>
      <c r="O363" s="23" t="n"/>
    </row>
    <row r="364">
      <c r="A364" s="23" t="n"/>
      <c r="B364" s="26">
        <f>IF($A364="","",IFERROR(INDEX('Chart Database'!$B$6:$B$4005,MATCH($A364,'Chart Database'!$A$6:$A$4005,0)),"UNKNOWN CHART"))</f>
        <v/>
      </c>
      <c r="C364" s="23" t="n"/>
      <c r="D364" s="23" t="n"/>
      <c r="E364" s="25" t="n"/>
      <c r="F364" s="15" t="n"/>
      <c r="G364" s="23" t="n"/>
      <c r="H364" s="15" t="n"/>
      <c r="I364" s="15" t="n"/>
      <c r="J364" s="15" t="n"/>
      <c r="K364" s="25" t="n"/>
      <c r="L364" s="15" t="n"/>
      <c r="M364" s="26">
        <f>IF(OR($A364="",$L364&lt;&gt;"Active"),"",COUNTIFS($A$5:$A364,$A364,$L$5:$L364,"Active"))</f>
        <v/>
      </c>
      <c r="N364" s="26">
        <f>IF(OR($A364="",$M364=""),"",IF($M364=IFERROR(INDEX('Chart Database'!$R$6:$R$4005,MATCH($A364,'Chart Database'!$A$6:$A$4005,0)),0),"NEXT",""))</f>
        <v/>
      </c>
      <c r="O364" s="23" t="n"/>
    </row>
    <row r="365">
      <c r="A365" s="23" t="n"/>
      <c r="B365" s="26">
        <f>IF($A365="","",IFERROR(INDEX('Chart Database'!$B$6:$B$4005,MATCH($A365,'Chart Database'!$A$6:$A$4005,0)),"UNKNOWN CHART"))</f>
        <v/>
      </c>
      <c r="C365" s="23" t="n"/>
      <c r="D365" s="23" t="n"/>
      <c r="E365" s="25" t="n"/>
      <c r="F365" s="15" t="n"/>
      <c r="G365" s="23" t="n"/>
      <c r="H365" s="15" t="n"/>
      <c r="I365" s="15" t="n"/>
      <c r="J365" s="15" t="n"/>
      <c r="K365" s="25" t="n"/>
      <c r="L365" s="15" t="n"/>
      <c r="M365" s="26">
        <f>IF(OR($A365="",$L365&lt;&gt;"Active"),"",COUNTIFS($A$5:$A365,$A365,$L$5:$L365,"Active"))</f>
        <v/>
      </c>
      <c r="N365" s="26">
        <f>IF(OR($A365="",$M365=""),"",IF($M365=IFERROR(INDEX('Chart Database'!$R$6:$R$4005,MATCH($A365,'Chart Database'!$A$6:$A$4005,0)),0),"NEXT",""))</f>
        <v/>
      </c>
      <c r="O365" s="23" t="n"/>
    </row>
    <row r="366">
      <c r="A366" s="23" t="n"/>
      <c r="B366" s="26">
        <f>IF($A366="","",IFERROR(INDEX('Chart Database'!$B$6:$B$4005,MATCH($A366,'Chart Database'!$A$6:$A$4005,0)),"UNKNOWN CHART"))</f>
        <v/>
      </c>
      <c r="C366" s="23" t="n"/>
      <c r="D366" s="23" t="n"/>
      <c r="E366" s="25" t="n"/>
      <c r="F366" s="15" t="n"/>
      <c r="G366" s="23" t="n"/>
      <c r="H366" s="15" t="n"/>
      <c r="I366" s="15" t="n"/>
      <c r="J366" s="15" t="n"/>
      <c r="K366" s="25" t="n"/>
      <c r="L366" s="15" t="n"/>
      <c r="M366" s="26">
        <f>IF(OR($A366="",$L366&lt;&gt;"Active"),"",COUNTIFS($A$5:$A366,$A366,$L$5:$L366,"Active"))</f>
        <v/>
      </c>
      <c r="N366" s="26">
        <f>IF(OR($A366="",$M366=""),"",IF($M366=IFERROR(INDEX('Chart Database'!$R$6:$R$4005,MATCH($A366,'Chart Database'!$A$6:$A$4005,0)),0),"NEXT",""))</f>
        <v/>
      </c>
      <c r="O366" s="23" t="n"/>
    </row>
    <row r="367">
      <c r="A367" s="23" t="n"/>
      <c r="B367" s="26">
        <f>IF($A367="","",IFERROR(INDEX('Chart Database'!$B$6:$B$4005,MATCH($A367,'Chart Database'!$A$6:$A$4005,0)),"UNKNOWN CHART"))</f>
        <v/>
      </c>
      <c r="C367" s="23" t="n"/>
      <c r="D367" s="23" t="n"/>
      <c r="E367" s="25" t="n"/>
      <c r="F367" s="15" t="n"/>
      <c r="G367" s="23" t="n"/>
      <c r="H367" s="15" t="n"/>
      <c r="I367" s="15" t="n"/>
      <c r="J367" s="15" t="n"/>
      <c r="K367" s="25" t="n"/>
      <c r="L367" s="15" t="n"/>
      <c r="M367" s="26">
        <f>IF(OR($A367="",$L367&lt;&gt;"Active"),"",COUNTIFS($A$5:$A367,$A367,$L$5:$L367,"Active"))</f>
        <v/>
      </c>
      <c r="N367" s="26">
        <f>IF(OR($A367="",$M367=""),"",IF($M367=IFERROR(INDEX('Chart Database'!$R$6:$R$4005,MATCH($A367,'Chart Database'!$A$6:$A$4005,0)),0),"NEXT",""))</f>
        <v/>
      </c>
      <c r="O367" s="23" t="n"/>
    </row>
    <row r="368">
      <c r="A368" s="23" t="n"/>
      <c r="B368" s="26">
        <f>IF($A368="","",IFERROR(INDEX('Chart Database'!$B$6:$B$4005,MATCH($A368,'Chart Database'!$A$6:$A$4005,0)),"UNKNOWN CHART"))</f>
        <v/>
      </c>
      <c r="C368" s="23" t="n"/>
      <c r="D368" s="23" t="n"/>
      <c r="E368" s="25" t="n"/>
      <c r="F368" s="15" t="n"/>
      <c r="G368" s="23" t="n"/>
      <c r="H368" s="15" t="n"/>
      <c r="I368" s="15" t="n"/>
      <c r="J368" s="15" t="n"/>
      <c r="K368" s="25" t="n"/>
      <c r="L368" s="15" t="n"/>
      <c r="M368" s="26">
        <f>IF(OR($A368="",$L368&lt;&gt;"Active"),"",COUNTIFS($A$5:$A368,$A368,$L$5:$L368,"Active"))</f>
        <v/>
      </c>
      <c r="N368" s="26">
        <f>IF(OR($A368="",$M368=""),"",IF($M368=IFERROR(INDEX('Chart Database'!$R$6:$R$4005,MATCH($A368,'Chart Database'!$A$6:$A$4005,0)),0),"NEXT",""))</f>
        <v/>
      </c>
      <c r="O368" s="23" t="n"/>
    </row>
    <row r="369">
      <c r="A369" s="23" t="n"/>
      <c r="B369" s="26">
        <f>IF($A369="","",IFERROR(INDEX('Chart Database'!$B$6:$B$4005,MATCH($A369,'Chart Database'!$A$6:$A$4005,0)),"UNKNOWN CHART"))</f>
        <v/>
      </c>
      <c r="C369" s="23" t="n"/>
      <c r="D369" s="23" t="n"/>
      <c r="E369" s="25" t="n"/>
      <c r="F369" s="15" t="n"/>
      <c r="G369" s="23" t="n"/>
      <c r="H369" s="15" t="n"/>
      <c r="I369" s="15" t="n"/>
      <c r="J369" s="15" t="n"/>
      <c r="K369" s="25" t="n"/>
      <c r="L369" s="15" t="n"/>
      <c r="M369" s="26">
        <f>IF(OR($A369="",$L369&lt;&gt;"Active"),"",COUNTIFS($A$5:$A369,$A369,$L$5:$L369,"Active"))</f>
        <v/>
      </c>
      <c r="N369" s="26">
        <f>IF(OR($A369="",$M369=""),"",IF($M369=IFERROR(INDEX('Chart Database'!$R$6:$R$4005,MATCH($A369,'Chart Database'!$A$6:$A$4005,0)),0),"NEXT",""))</f>
        <v/>
      </c>
      <c r="O369" s="23" t="n"/>
    </row>
    <row r="370">
      <c r="A370" s="23" t="n"/>
      <c r="B370" s="26">
        <f>IF($A370="","",IFERROR(INDEX('Chart Database'!$B$6:$B$4005,MATCH($A370,'Chart Database'!$A$6:$A$4005,0)),"UNKNOWN CHART"))</f>
        <v/>
      </c>
      <c r="C370" s="23" t="n"/>
      <c r="D370" s="23" t="n"/>
      <c r="E370" s="25" t="n"/>
      <c r="F370" s="15" t="n"/>
      <c r="G370" s="23" t="n"/>
      <c r="H370" s="15" t="n"/>
      <c r="I370" s="15" t="n"/>
      <c r="J370" s="15" t="n"/>
      <c r="K370" s="25" t="n"/>
      <c r="L370" s="15" t="n"/>
      <c r="M370" s="26">
        <f>IF(OR($A370="",$L370&lt;&gt;"Active"),"",COUNTIFS($A$5:$A370,$A370,$L$5:$L370,"Active"))</f>
        <v/>
      </c>
      <c r="N370" s="26">
        <f>IF(OR($A370="",$M370=""),"",IF($M370=IFERROR(INDEX('Chart Database'!$R$6:$R$4005,MATCH($A370,'Chart Database'!$A$6:$A$4005,0)),0),"NEXT",""))</f>
        <v/>
      </c>
      <c r="O370" s="23" t="n"/>
    </row>
    <row r="371">
      <c r="A371" s="23" t="n"/>
      <c r="B371" s="26">
        <f>IF($A371="","",IFERROR(INDEX('Chart Database'!$B$6:$B$4005,MATCH($A371,'Chart Database'!$A$6:$A$4005,0)),"UNKNOWN CHART"))</f>
        <v/>
      </c>
      <c r="C371" s="23" t="n"/>
      <c r="D371" s="23" t="n"/>
      <c r="E371" s="25" t="n"/>
      <c r="F371" s="15" t="n"/>
      <c r="G371" s="23" t="n"/>
      <c r="H371" s="15" t="n"/>
      <c r="I371" s="15" t="n"/>
      <c r="J371" s="15" t="n"/>
      <c r="K371" s="25" t="n"/>
      <c r="L371" s="15" t="n"/>
      <c r="M371" s="26">
        <f>IF(OR($A371="",$L371&lt;&gt;"Active"),"",COUNTIFS($A$5:$A371,$A371,$L$5:$L371,"Active"))</f>
        <v/>
      </c>
      <c r="N371" s="26">
        <f>IF(OR($A371="",$M371=""),"",IF($M371=IFERROR(INDEX('Chart Database'!$R$6:$R$4005,MATCH($A371,'Chart Database'!$A$6:$A$4005,0)),0),"NEXT",""))</f>
        <v/>
      </c>
      <c r="O371" s="23" t="n"/>
    </row>
    <row r="372">
      <c r="A372" s="23" t="n"/>
      <c r="B372" s="26">
        <f>IF($A372="","",IFERROR(INDEX('Chart Database'!$B$6:$B$4005,MATCH($A372,'Chart Database'!$A$6:$A$4005,0)),"UNKNOWN CHART"))</f>
        <v/>
      </c>
      <c r="C372" s="23" t="n"/>
      <c r="D372" s="23" t="n"/>
      <c r="E372" s="25" t="n"/>
      <c r="F372" s="15" t="n"/>
      <c r="G372" s="23" t="n"/>
      <c r="H372" s="15" t="n"/>
      <c r="I372" s="15" t="n"/>
      <c r="J372" s="15" t="n"/>
      <c r="K372" s="25" t="n"/>
      <c r="L372" s="15" t="n"/>
      <c r="M372" s="26">
        <f>IF(OR($A372="",$L372&lt;&gt;"Active"),"",COUNTIFS($A$5:$A372,$A372,$L$5:$L372,"Active"))</f>
        <v/>
      </c>
      <c r="N372" s="26">
        <f>IF(OR($A372="",$M372=""),"",IF($M372=IFERROR(INDEX('Chart Database'!$R$6:$R$4005,MATCH($A372,'Chart Database'!$A$6:$A$4005,0)),0),"NEXT",""))</f>
        <v/>
      </c>
      <c r="O372" s="23" t="n"/>
    </row>
    <row r="373">
      <c r="A373" s="23" t="n"/>
      <c r="B373" s="26">
        <f>IF($A373="","",IFERROR(INDEX('Chart Database'!$B$6:$B$4005,MATCH($A373,'Chart Database'!$A$6:$A$4005,0)),"UNKNOWN CHART"))</f>
        <v/>
      </c>
      <c r="C373" s="23" t="n"/>
      <c r="D373" s="23" t="n"/>
      <c r="E373" s="25" t="n"/>
      <c r="F373" s="15" t="n"/>
      <c r="G373" s="23" t="n"/>
      <c r="H373" s="15" t="n"/>
      <c r="I373" s="15" t="n"/>
      <c r="J373" s="15" t="n"/>
      <c r="K373" s="25" t="n"/>
      <c r="L373" s="15" t="n"/>
      <c r="M373" s="26">
        <f>IF(OR($A373="",$L373&lt;&gt;"Active"),"",COUNTIFS($A$5:$A373,$A373,$L$5:$L373,"Active"))</f>
        <v/>
      </c>
      <c r="N373" s="26">
        <f>IF(OR($A373="",$M373=""),"",IF($M373=IFERROR(INDEX('Chart Database'!$R$6:$R$4005,MATCH($A373,'Chart Database'!$A$6:$A$4005,0)),0),"NEXT",""))</f>
        <v/>
      </c>
      <c r="O373" s="23" t="n"/>
    </row>
    <row r="374">
      <c r="A374" s="23" t="n"/>
      <c r="B374" s="26">
        <f>IF($A374="","",IFERROR(INDEX('Chart Database'!$B$6:$B$4005,MATCH($A374,'Chart Database'!$A$6:$A$4005,0)),"UNKNOWN CHART"))</f>
        <v/>
      </c>
      <c r="C374" s="23" t="n"/>
      <c r="D374" s="23" t="n"/>
      <c r="E374" s="25" t="n"/>
      <c r="F374" s="15" t="n"/>
      <c r="G374" s="23" t="n"/>
      <c r="H374" s="15" t="n"/>
      <c r="I374" s="15" t="n"/>
      <c r="J374" s="15" t="n"/>
      <c r="K374" s="25" t="n"/>
      <c r="L374" s="15" t="n"/>
      <c r="M374" s="26">
        <f>IF(OR($A374="",$L374&lt;&gt;"Active"),"",COUNTIFS($A$5:$A374,$A374,$L$5:$L374,"Active"))</f>
        <v/>
      </c>
      <c r="N374" s="26">
        <f>IF(OR($A374="",$M374=""),"",IF($M374=IFERROR(INDEX('Chart Database'!$R$6:$R$4005,MATCH($A374,'Chart Database'!$A$6:$A$4005,0)),0),"NEXT",""))</f>
        <v/>
      </c>
      <c r="O374" s="23" t="n"/>
    </row>
    <row r="375">
      <c r="A375" s="23" t="n"/>
      <c r="B375" s="26">
        <f>IF($A375="","",IFERROR(INDEX('Chart Database'!$B$6:$B$4005,MATCH($A375,'Chart Database'!$A$6:$A$4005,0)),"UNKNOWN CHART"))</f>
        <v/>
      </c>
      <c r="C375" s="23" t="n"/>
      <c r="D375" s="23" t="n"/>
      <c r="E375" s="25" t="n"/>
      <c r="F375" s="15" t="n"/>
      <c r="G375" s="23" t="n"/>
      <c r="H375" s="15" t="n"/>
      <c r="I375" s="15" t="n"/>
      <c r="J375" s="15" t="n"/>
      <c r="K375" s="25" t="n"/>
      <c r="L375" s="15" t="n"/>
      <c r="M375" s="26">
        <f>IF(OR($A375="",$L375&lt;&gt;"Active"),"",COUNTIFS($A$5:$A375,$A375,$L$5:$L375,"Active"))</f>
        <v/>
      </c>
      <c r="N375" s="26">
        <f>IF(OR($A375="",$M375=""),"",IF($M375=IFERROR(INDEX('Chart Database'!$R$6:$R$4005,MATCH($A375,'Chart Database'!$A$6:$A$4005,0)),0),"NEXT",""))</f>
        <v/>
      </c>
      <c r="O375" s="23" t="n"/>
    </row>
    <row r="376">
      <c r="A376" s="23" t="n"/>
      <c r="B376" s="26">
        <f>IF($A376="","",IFERROR(INDEX('Chart Database'!$B$6:$B$4005,MATCH($A376,'Chart Database'!$A$6:$A$4005,0)),"UNKNOWN CHART"))</f>
        <v/>
      </c>
      <c r="C376" s="23" t="n"/>
      <c r="D376" s="23" t="n"/>
      <c r="E376" s="25" t="n"/>
      <c r="F376" s="15" t="n"/>
      <c r="G376" s="23" t="n"/>
      <c r="H376" s="15" t="n"/>
      <c r="I376" s="15" t="n"/>
      <c r="J376" s="15" t="n"/>
      <c r="K376" s="25" t="n"/>
      <c r="L376" s="15" t="n"/>
      <c r="M376" s="26">
        <f>IF(OR($A376="",$L376&lt;&gt;"Active"),"",COUNTIFS($A$5:$A376,$A376,$L$5:$L376,"Active"))</f>
        <v/>
      </c>
      <c r="N376" s="26">
        <f>IF(OR($A376="",$M376=""),"",IF($M376=IFERROR(INDEX('Chart Database'!$R$6:$R$4005,MATCH($A376,'Chart Database'!$A$6:$A$4005,0)),0),"NEXT",""))</f>
        <v/>
      </c>
      <c r="O376" s="23" t="n"/>
    </row>
    <row r="377">
      <c r="A377" s="23" t="n"/>
      <c r="B377" s="26">
        <f>IF($A377="","",IFERROR(INDEX('Chart Database'!$B$6:$B$4005,MATCH($A377,'Chart Database'!$A$6:$A$4005,0)),"UNKNOWN CHART"))</f>
        <v/>
      </c>
      <c r="C377" s="23" t="n"/>
      <c r="D377" s="23" t="n"/>
      <c r="E377" s="25" t="n"/>
      <c r="F377" s="15" t="n"/>
      <c r="G377" s="23" t="n"/>
      <c r="H377" s="15" t="n"/>
      <c r="I377" s="15" t="n"/>
      <c r="J377" s="15" t="n"/>
      <c r="K377" s="25" t="n"/>
      <c r="L377" s="15" t="n"/>
      <c r="M377" s="26">
        <f>IF(OR($A377="",$L377&lt;&gt;"Active"),"",COUNTIFS($A$5:$A377,$A377,$L$5:$L377,"Active"))</f>
        <v/>
      </c>
      <c r="N377" s="26">
        <f>IF(OR($A377="",$M377=""),"",IF($M377=IFERROR(INDEX('Chart Database'!$R$6:$R$4005,MATCH($A377,'Chart Database'!$A$6:$A$4005,0)),0),"NEXT",""))</f>
        <v/>
      </c>
      <c r="O377" s="23" t="n"/>
    </row>
    <row r="378">
      <c r="A378" s="23" t="n"/>
      <c r="B378" s="26">
        <f>IF($A378="","",IFERROR(INDEX('Chart Database'!$B$6:$B$4005,MATCH($A378,'Chart Database'!$A$6:$A$4005,0)),"UNKNOWN CHART"))</f>
        <v/>
      </c>
      <c r="C378" s="23" t="n"/>
      <c r="D378" s="23" t="n"/>
      <c r="E378" s="25" t="n"/>
      <c r="F378" s="15" t="n"/>
      <c r="G378" s="23" t="n"/>
      <c r="H378" s="15" t="n"/>
      <c r="I378" s="15" t="n"/>
      <c r="J378" s="15" t="n"/>
      <c r="K378" s="25" t="n"/>
      <c r="L378" s="15" t="n"/>
      <c r="M378" s="26">
        <f>IF(OR($A378="",$L378&lt;&gt;"Active"),"",COUNTIFS($A$5:$A378,$A378,$L$5:$L378,"Active"))</f>
        <v/>
      </c>
      <c r="N378" s="26">
        <f>IF(OR($A378="",$M378=""),"",IF($M378=IFERROR(INDEX('Chart Database'!$R$6:$R$4005,MATCH($A378,'Chart Database'!$A$6:$A$4005,0)),0),"NEXT",""))</f>
        <v/>
      </c>
      <c r="O378" s="23" t="n"/>
    </row>
    <row r="379">
      <c r="A379" s="23" t="n"/>
      <c r="B379" s="26">
        <f>IF($A379="","",IFERROR(INDEX('Chart Database'!$B$6:$B$4005,MATCH($A379,'Chart Database'!$A$6:$A$4005,0)),"UNKNOWN CHART"))</f>
        <v/>
      </c>
      <c r="C379" s="23" t="n"/>
      <c r="D379" s="23" t="n"/>
      <c r="E379" s="25" t="n"/>
      <c r="F379" s="15" t="n"/>
      <c r="G379" s="23" t="n"/>
      <c r="H379" s="15" t="n"/>
      <c r="I379" s="15" t="n"/>
      <c r="J379" s="15" t="n"/>
      <c r="K379" s="25" t="n"/>
      <c r="L379" s="15" t="n"/>
      <c r="M379" s="26">
        <f>IF(OR($A379="",$L379&lt;&gt;"Active"),"",COUNTIFS($A$5:$A379,$A379,$L$5:$L379,"Active"))</f>
        <v/>
      </c>
      <c r="N379" s="26">
        <f>IF(OR($A379="",$M379=""),"",IF($M379=IFERROR(INDEX('Chart Database'!$R$6:$R$4005,MATCH($A379,'Chart Database'!$A$6:$A$4005,0)),0),"NEXT",""))</f>
        <v/>
      </c>
      <c r="O379" s="23" t="n"/>
    </row>
    <row r="380">
      <c r="A380" s="23" t="n"/>
      <c r="B380" s="26">
        <f>IF($A380="","",IFERROR(INDEX('Chart Database'!$B$6:$B$4005,MATCH($A380,'Chart Database'!$A$6:$A$4005,0)),"UNKNOWN CHART"))</f>
        <v/>
      </c>
      <c r="C380" s="23" t="n"/>
      <c r="D380" s="23" t="n"/>
      <c r="E380" s="25" t="n"/>
      <c r="F380" s="15" t="n"/>
      <c r="G380" s="23" t="n"/>
      <c r="H380" s="15" t="n"/>
      <c r="I380" s="15" t="n"/>
      <c r="J380" s="15" t="n"/>
      <c r="K380" s="25" t="n"/>
      <c r="L380" s="15" t="n"/>
      <c r="M380" s="26">
        <f>IF(OR($A380="",$L380&lt;&gt;"Active"),"",COUNTIFS($A$5:$A380,$A380,$L$5:$L380,"Active"))</f>
        <v/>
      </c>
      <c r="N380" s="26">
        <f>IF(OR($A380="",$M380=""),"",IF($M380=IFERROR(INDEX('Chart Database'!$R$6:$R$4005,MATCH($A380,'Chart Database'!$A$6:$A$4005,0)),0),"NEXT",""))</f>
        <v/>
      </c>
      <c r="O380" s="23" t="n"/>
    </row>
    <row r="381">
      <c r="A381" s="23" t="n"/>
      <c r="B381" s="26">
        <f>IF($A381="","",IFERROR(INDEX('Chart Database'!$B$6:$B$4005,MATCH($A381,'Chart Database'!$A$6:$A$4005,0)),"UNKNOWN CHART"))</f>
        <v/>
      </c>
      <c r="C381" s="23" t="n"/>
      <c r="D381" s="23" t="n"/>
      <c r="E381" s="25" t="n"/>
      <c r="F381" s="15" t="n"/>
      <c r="G381" s="23" t="n"/>
      <c r="H381" s="15" t="n"/>
      <c r="I381" s="15" t="n"/>
      <c r="J381" s="15" t="n"/>
      <c r="K381" s="25" t="n"/>
      <c r="L381" s="15" t="n"/>
      <c r="M381" s="26">
        <f>IF(OR($A381="",$L381&lt;&gt;"Active"),"",COUNTIFS($A$5:$A381,$A381,$L$5:$L381,"Active"))</f>
        <v/>
      </c>
      <c r="N381" s="26">
        <f>IF(OR($A381="",$M381=""),"",IF($M381=IFERROR(INDEX('Chart Database'!$R$6:$R$4005,MATCH($A381,'Chart Database'!$A$6:$A$4005,0)),0),"NEXT",""))</f>
        <v/>
      </c>
      <c r="O381" s="23" t="n"/>
    </row>
    <row r="382">
      <c r="A382" s="23" t="n"/>
      <c r="B382" s="26">
        <f>IF($A382="","",IFERROR(INDEX('Chart Database'!$B$6:$B$4005,MATCH($A382,'Chart Database'!$A$6:$A$4005,0)),"UNKNOWN CHART"))</f>
        <v/>
      </c>
      <c r="C382" s="23" t="n"/>
      <c r="D382" s="23" t="n"/>
      <c r="E382" s="25" t="n"/>
      <c r="F382" s="15" t="n"/>
      <c r="G382" s="23" t="n"/>
      <c r="H382" s="15" t="n"/>
      <c r="I382" s="15" t="n"/>
      <c r="J382" s="15" t="n"/>
      <c r="K382" s="25" t="n"/>
      <c r="L382" s="15" t="n"/>
      <c r="M382" s="26">
        <f>IF(OR($A382="",$L382&lt;&gt;"Active"),"",COUNTIFS($A$5:$A382,$A382,$L$5:$L382,"Active"))</f>
        <v/>
      </c>
      <c r="N382" s="26">
        <f>IF(OR($A382="",$M382=""),"",IF($M382=IFERROR(INDEX('Chart Database'!$R$6:$R$4005,MATCH($A382,'Chart Database'!$A$6:$A$4005,0)),0),"NEXT",""))</f>
        <v/>
      </c>
      <c r="O382" s="23" t="n"/>
    </row>
    <row r="383">
      <c r="A383" s="23" t="n"/>
      <c r="B383" s="26">
        <f>IF($A383="","",IFERROR(INDEX('Chart Database'!$B$6:$B$4005,MATCH($A383,'Chart Database'!$A$6:$A$4005,0)),"UNKNOWN CHART"))</f>
        <v/>
      </c>
      <c r="C383" s="23" t="n"/>
      <c r="D383" s="23" t="n"/>
      <c r="E383" s="25" t="n"/>
      <c r="F383" s="15" t="n"/>
      <c r="G383" s="23" t="n"/>
      <c r="H383" s="15" t="n"/>
      <c r="I383" s="15" t="n"/>
      <c r="J383" s="15" t="n"/>
      <c r="K383" s="25" t="n"/>
      <c r="L383" s="15" t="n"/>
      <c r="M383" s="26">
        <f>IF(OR($A383="",$L383&lt;&gt;"Active"),"",COUNTIFS($A$5:$A383,$A383,$L$5:$L383,"Active"))</f>
        <v/>
      </c>
      <c r="N383" s="26">
        <f>IF(OR($A383="",$M383=""),"",IF($M383=IFERROR(INDEX('Chart Database'!$R$6:$R$4005,MATCH($A383,'Chart Database'!$A$6:$A$4005,0)),0),"NEXT",""))</f>
        <v/>
      </c>
      <c r="O383" s="23" t="n"/>
    </row>
    <row r="384">
      <c r="A384" s="23" t="n"/>
      <c r="B384" s="26">
        <f>IF($A384="","",IFERROR(INDEX('Chart Database'!$B$6:$B$4005,MATCH($A384,'Chart Database'!$A$6:$A$4005,0)),"UNKNOWN CHART"))</f>
        <v/>
      </c>
      <c r="C384" s="23" t="n"/>
      <c r="D384" s="23" t="n"/>
      <c r="E384" s="25" t="n"/>
      <c r="F384" s="15" t="n"/>
      <c r="G384" s="23" t="n"/>
      <c r="H384" s="15" t="n"/>
      <c r="I384" s="15" t="n"/>
      <c r="J384" s="15" t="n"/>
      <c r="K384" s="25" t="n"/>
      <c r="L384" s="15" t="n"/>
      <c r="M384" s="26">
        <f>IF(OR($A384="",$L384&lt;&gt;"Active"),"",COUNTIFS($A$5:$A384,$A384,$L$5:$L384,"Active"))</f>
        <v/>
      </c>
      <c r="N384" s="26">
        <f>IF(OR($A384="",$M384=""),"",IF($M384=IFERROR(INDEX('Chart Database'!$R$6:$R$4005,MATCH($A384,'Chart Database'!$A$6:$A$4005,0)),0),"NEXT",""))</f>
        <v/>
      </c>
      <c r="O384" s="23" t="n"/>
    </row>
    <row r="385">
      <c r="A385" s="23" t="n"/>
      <c r="B385" s="26">
        <f>IF($A385="","",IFERROR(INDEX('Chart Database'!$B$6:$B$4005,MATCH($A385,'Chart Database'!$A$6:$A$4005,0)),"UNKNOWN CHART"))</f>
        <v/>
      </c>
      <c r="C385" s="23" t="n"/>
      <c r="D385" s="23" t="n"/>
      <c r="E385" s="25" t="n"/>
      <c r="F385" s="15" t="n"/>
      <c r="G385" s="23" t="n"/>
      <c r="H385" s="15" t="n"/>
      <c r="I385" s="15" t="n"/>
      <c r="J385" s="15" t="n"/>
      <c r="K385" s="25" t="n"/>
      <c r="L385" s="15" t="n"/>
      <c r="M385" s="26">
        <f>IF(OR($A385="",$L385&lt;&gt;"Active"),"",COUNTIFS($A$5:$A385,$A385,$L$5:$L385,"Active"))</f>
        <v/>
      </c>
      <c r="N385" s="26">
        <f>IF(OR($A385="",$M385=""),"",IF($M385=IFERROR(INDEX('Chart Database'!$R$6:$R$4005,MATCH($A385,'Chart Database'!$A$6:$A$4005,0)),0),"NEXT",""))</f>
        <v/>
      </c>
      <c r="O385" s="23" t="n"/>
    </row>
    <row r="386">
      <c r="A386" s="23" t="n"/>
      <c r="B386" s="26">
        <f>IF($A386="","",IFERROR(INDEX('Chart Database'!$B$6:$B$4005,MATCH($A386,'Chart Database'!$A$6:$A$4005,0)),"UNKNOWN CHART"))</f>
        <v/>
      </c>
      <c r="C386" s="23" t="n"/>
      <c r="D386" s="23" t="n"/>
      <c r="E386" s="25" t="n"/>
      <c r="F386" s="15" t="n"/>
      <c r="G386" s="23" t="n"/>
      <c r="H386" s="15" t="n"/>
      <c r="I386" s="15" t="n"/>
      <c r="J386" s="15" t="n"/>
      <c r="K386" s="25" t="n"/>
      <c r="L386" s="15" t="n"/>
      <c r="M386" s="26">
        <f>IF(OR($A386="",$L386&lt;&gt;"Active"),"",COUNTIFS($A$5:$A386,$A386,$L$5:$L386,"Active"))</f>
        <v/>
      </c>
      <c r="N386" s="26">
        <f>IF(OR($A386="",$M386=""),"",IF($M386=IFERROR(INDEX('Chart Database'!$R$6:$R$4005,MATCH($A386,'Chart Database'!$A$6:$A$4005,0)),0),"NEXT",""))</f>
        <v/>
      </c>
      <c r="O386" s="23" t="n"/>
    </row>
    <row r="387">
      <c r="A387" s="23" t="n"/>
      <c r="B387" s="26">
        <f>IF($A387="","",IFERROR(INDEX('Chart Database'!$B$6:$B$4005,MATCH($A387,'Chart Database'!$A$6:$A$4005,0)),"UNKNOWN CHART"))</f>
        <v/>
      </c>
      <c r="C387" s="23" t="n"/>
      <c r="D387" s="23" t="n"/>
      <c r="E387" s="25" t="n"/>
      <c r="F387" s="15" t="n"/>
      <c r="G387" s="23" t="n"/>
      <c r="H387" s="15" t="n"/>
      <c r="I387" s="15" t="n"/>
      <c r="J387" s="15" t="n"/>
      <c r="K387" s="25" t="n"/>
      <c r="L387" s="15" t="n"/>
      <c r="M387" s="26">
        <f>IF(OR($A387="",$L387&lt;&gt;"Active"),"",COUNTIFS($A$5:$A387,$A387,$L$5:$L387,"Active"))</f>
        <v/>
      </c>
      <c r="N387" s="26">
        <f>IF(OR($A387="",$M387=""),"",IF($M387=IFERROR(INDEX('Chart Database'!$R$6:$R$4005,MATCH($A387,'Chart Database'!$A$6:$A$4005,0)),0),"NEXT",""))</f>
        <v/>
      </c>
      <c r="O387" s="23" t="n"/>
    </row>
    <row r="388">
      <c r="A388" s="23" t="n"/>
      <c r="B388" s="26">
        <f>IF($A388="","",IFERROR(INDEX('Chart Database'!$B$6:$B$4005,MATCH($A388,'Chart Database'!$A$6:$A$4005,0)),"UNKNOWN CHART"))</f>
        <v/>
      </c>
      <c r="C388" s="23" t="n"/>
      <c r="D388" s="23" t="n"/>
      <c r="E388" s="25" t="n"/>
      <c r="F388" s="15" t="n"/>
      <c r="G388" s="23" t="n"/>
      <c r="H388" s="15" t="n"/>
      <c r="I388" s="15" t="n"/>
      <c r="J388" s="15" t="n"/>
      <c r="K388" s="25" t="n"/>
      <c r="L388" s="15" t="n"/>
      <c r="M388" s="26">
        <f>IF(OR($A388="",$L388&lt;&gt;"Active"),"",COUNTIFS($A$5:$A388,$A388,$L$5:$L388,"Active"))</f>
        <v/>
      </c>
      <c r="N388" s="26">
        <f>IF(OR($A388="",$M388=""),"",IF($M388=IFERROR(INDEX('Chart Database'!$R$6:$R$4005,MATCH($A388,'Chart Database'!$A$6:$A$4005,0)),0),"NEXT",""))</f>
        <v/>
      </c>
      <c r="O388" s="23" t="n"/>
    </row>
    <row r="389">
      <c r="A389" s="23" t="n"/>
      <c r="B389" s="26">
        <f>IF($A389="","",IFERROR(INDEX('Chart Database'!$B$6:$B$4005,MATCH($A389,'Chart Database'!$A$6:$A$4005,0)),"UNKNOWN CHART"))</f>
        <v/>
      </c>
      <c r="C389" s="23" t="n"/>
      <c r="D389" s="23" t="n"/>
      <c r="E389" s="25" t="n"/>
      <c r="F389" s="15" t="n"/>
      <c r="G389" s="23" t="n"/>
      <c r="H389" s="15" t="n"/>
      <c r="I389" s="15" t="n"/>
      <c r="J389" s="15" t="n"/>
      <c r="K389" s="25" t="n"/>
      <c r="L389" s="15" t="n"/>
      <c r="M389" s="26">
        <f>IF(OR($A389="",$L389&lt;&gt;"Active"),"",COUNTIFS($A$5:$A389,$A389,$L$5:$L389,"Active"))</f>
        <v/>
      </c>
      <c r="N389" s="26">
        <f>IF(OR($A389="",$M389=""),"",IF($M389=IFERROR(INDEX('Chart Database'!$R$6:$R$4005,MATCH($A389,'Chart Database'!$A$6:$A$4005,0)),0),"NEXT",""))</f>
        <v/>
      </c>
      <c r="O389" s="23" t="n"/>
    </row>
    <row r="390">
      <c r="A390" s="23" t="n"/>
      <c r="B390" s="26">
        <f>IF($A390="","",IFERROR(INDEX('Chart Database'!$B$6:$B$4005,MATCH($A390,'Chart Database'!$A$6:$A$4005,0)),"UNKNOWN CHART"))</f>
        <v/>
      </c>
      <c r="C390" s="23" t="n"/>
      <c r="D390" s="23" t="n"/>
      <c r="E390" s="25" t="n"/>
      <c r="F390" s="15" t="n"/>
      <c r="G390" s="23" t="n"/>
      <c r="H390" s="15" t="n"/>
      <c r="I390" s="15" t="n"/>
      <c r="J390" s="15" t="n"/>
      <c r="K390" s="25" t="n"/>
      <c r="L390" s="15" t="n"/>
      <c r="M390" s="26">
        <f>IF(OR($A390="",$L390&lt;&gt;"Active"),"",COUNTIFS($A$5:$A390,$A390,$L$5:$L390,"Active"))</f>
        <v/>
      </c>
      <c r="N390" s="26">
        <f>IF(OR($A390="",$M390=""),"",IF($M390=IFERROR(INDEX('Chart Database'!$R$6:$R$4005,MATCH($A390,'Chart Database'!$A$6:$A$4005,0)),0),"NEXT",""))</f>
        <v/>
      </c>
      <c r="O390" s="23" t="n"/>
    </row>
    <row r="391">
      <c r="A391" s="23" t="n"/>
      <c r="B391" s="26">
        <f>IF($A391="","",IFERROR(INDEX('Chart Database'!$B$6:$B$4005,MATCH($A391,'Chart Database'!$A$6:$A$4005,0)),"UNKNOWN CHART"))</f>
        <v/>
      </c>
      <c r="C391" s="23" t="n"/>
      <c r="D391" s="23" t="n"/>
      <c r="E391" s="25" t="n"/>
      <c r="F391" s="15" t="n"/>
      <c r="G391" s="23" t="n"/>
      <c r="H391" s="15" t="n"/>
      <c r="I391" s="15" t="n"/>
      <c r="J391" s="15" t="n"/>
      <c r="K391" s="25" t="n"/>
      <c r="L391" s="15" t="n"/>
      <c r="M391" s="26">
        <f>IF(OR($A391="",$L391&lt;&gt;"Active"),"",COUNTIFS($A$5:$A391,$A391,$L$5:$L391,"Active"))</f>
        <v/>
      </c>
      <c r="N391" s="26">
        <f>IF(OR($A391="",$M391=""),"",IF($M391=IFERROR(INDEX('Chart Database'!$R$6:$R$4005,MATCH($A391,'Chart Database'!$A$6:$A$4005,0)),0),"NEXT",""))</f>
        <v/>
      </c>
      <c r="O391" s="23" t="n"/>
    </row>
    <row r="392">
      <c r="A392" s="23" t="n"/>
      <c r="B392" s="26">
        <f>IF($A392="","",IFERROR(INDEX('Chart Database'!$B$6:$B$4005,MATCH($A392,'Chart Database'!$A$6:$A$4005,0)),"UNKNOWN CHART"))</f>
        <v/>
      </c>
      <c r="C392" s="23" t="n"/>
      <c r="D392" s="23" t="n"/>
      <c r="E392" s="25" t="n"/>
      <c r="F392" s="15" t="n"/>
      <c r="G392" s="23" t="n"/>
      <c r="H392" s="15" t="n"/>
      <c r="I392" s="15" t="n"/>
      <c r="J392" s="15" t="n"/>
      <c r="K392" s="25" t="n"/>
      <c r="L392" s="15" t="n"/>
      <c r="M392" s="26">
        <f>IF(OR($A392="",$L392&lt;&gt;"Active"),"",COUNTIFS($A$5:$A392,$A392,$L$5:$L392,"Active"))</f>
        <v/>
      </c>
      <c r="N392" s="26">
        <f>IF(OR($A392="",$M392=""),"",IF($M392=IFERROR(INDEX('Chart Database'!$R$6:$R$4005,MATCH($A392,'Chart Database'!$A$6:$A$4005,0)),0),"NEXT",""))</f>
        <v/>
      </c>
      <c r="O392" s="23" t="n"/>
    </row>
    <row r="393">
      <c r="A393" s="23" t="n"/>
      <c r="B393" s="26">
        <f>IF($A393="","",IFERROR(INDEX('Chart Database'!$B$6:$B$4005,MATCH($A393,'Chart Database'!$A$6:$A$4005,0)),"UNKNOWN CHART"))</f>
        <v/>
      </c>
      <c r="C393" s="23" t="n"/>
      <c r="D393" s="23" t="n"/>
      <c r="E393" s="25" t="n"/>
      <c r="F393" s="15" t="n"/>
      <c r="G393" s="23" t="n"/>
      <c r="H393" s="15" t="n"/>
      <c r="I393" s="15" t="n"/>
      <c r="J393" s="15" t="n"/>
      <c r="K393" s="25" t="n"/>
      <c r="L393" s="15" t="n"/>
      <c r="M393" s="26">
        <f>IF(OR($A393="",$L393&lt;&gt;"Active"),"",COUNTIFS($A$5:$A393,$A393,$L$5:$L393,"Active"))</f>
        <v/>
      </c>
      <c r="N393" s="26">
        <f>IF(OR($A393="",$M393=""),"",IF($M393=IFERROR(INDEX('Chart Database'!$R$6:$R$4005,MATCH($A393,'Chart Database'!$A$6:$A$4005,0)),0),"NEXT",""))</f>
        <v/>
      </c>
      <c r="O393" s="23" t="n"/>
    </row>
    <row r="394">
      <c r="A394" s="23" t="n"/>
      <c r="B394" s="26">
        <f>IF($A394="","",IFERROR(INDEX('Chart Database'!$B$6:$B$4005,MATCH($A394,'Chart Database'!$A$6:$A$4005,0)),"UNKNOWN CHART"))</f>
        <v/>
      </c>
      <c r="C394" s="23" t="n"/>
      <c r="D394" s="23" t="n"/>
      <c r="E394" s="25" t="n"/>
      <c r="F394" s="15" t="n"/>
      <c r="G394" s="23" t="n"/>
      <c r="H394" s="15" t="n"/>
      <c r="I394" s="15" t="n"/>
      <c r="J394" s="15" t="n"/>
      <c r="K394" s="25" t="n"/>
      <c r="L394" s="15" t="n"/>
      <c r="M394" s="26">
        <f>IF(OR($A394="",$L394&lt;&gt;"Active"),"",COUNTIFS($A$5:$A394,$A394,$L$5:$L394,"Active"))</f>
        <v/>
      </c>
      <c r="N394" s="26">
        <f>IF(OR($A394="",$M394=""),"",IF($M394=IFERROR(INDEX('Chart Database'!$R$6:$R$4005,MATCH($A394,'Chart Database'!$A$6:$A$4005,0)),0),"NEXT",""))</f>
        <v/>
      </c>
      <c r="O394" s="23" t="n"/>
    </row>
    <row r="395">
      <c r="A395" s="23" t="n"/>
      <c r="B395" s="26">
        <f>IF($A395="","",IFERROR(INDEX('Chart Database'!$B$6:$B$4005,MATCH($A395,'Chart Database'!$A$6:$A$4005,0)),"UNKNOWN CHART"))</f>
        <v/>
      </c>
      <c r="C395" s="23" t="n"/>
      <c r="D395" s="23" t="n"/>
      <c r="E395" s="25" t="n"/>
      <c r="F395" s="15" t="n"/>
      <c r="G395" s="23" t="n"/>
      <c r="H395" s="15" t="n"/>
      <c r="I395" s="15" t="n"/>
      <c r="J395" s="15" t="n"/>
      <c r="K395" s="25" t="n"/>
      <c r="L395" s="15" t="n"/>
      <c r="M395" s="26">
        <f>IF(OR($A395="",$L395&lt;&gt;"Active"),"",COUNTIFS($A$5:$A395,$A395,$L$5:$L395,"Active"))</f>
        <v/>
      </c>
      <c r="N395" s="26">
        <f>IF(OR($A395="",$M395=""),"",IF($M395=IFERROR(INDEX('Chart Database'!$R$6:$R$4005,MATCH($A395,'Chart Database'!$A$6:$A$4005,0)),0),"NEXT",""))</f>
        <v/>
      </c>
      <c r="O395" s="23" t="n"/>
    </row>
    <row r="396">
      <c r="A396" s="23" t="n"/>
      <c r="B396" s="26">
        <f>IF($A396="","",IFERROR(INDEX('Chart Database'!$B$6:$B$4005,MATCH($A396,'Chart Database'!$A$6:$A$4005,0)),"UNKNOWN CHART"))</f>
        <v/>
      </c>
      <c r="C396" s="23" t="n"/>
      <c r="D396" s="23" t="n"/>
      <c r="E396" s="25" t="n"/>
      <c r="F396" s="15" t="n"/>
      <c r="G396" s="23" t="n"/>
      <c r="H396" s="15" t="n"/>
      <c r="I396" s="15" t="n"/>
      <c r="J396" s="15" t="n"/>
      <c r="K396" s="25" t="n"/>
      <c r="L396" s="15" t="n"/>
      <c r="M396" s="26">
        <f>IF(OR($A396="",$L396&lt;&gt;"Active"),"",COUNTIFS($A$5:$A396,$A396,$L$5:$L396,"Active"))</f>
        <v/>
      </c>
      <c r="N396" s="26">
        <f>IF(OR($A396="",$M396=""),"",IF($M396=IFERROR(INDEX('Chart Database'!$R$6:$R$4005,MATCH($A396,'Chart Database'!$A$6:$A$4005,0)),0),"NEXT",""))</f>
        <v/>
      </c>
      <c r="O396" s="23" t="n"/>
    </row>
    <row r="397">
      <c r="A397" s="23" t="n"/>
      <c r="B397" s="26">
        <f>IF($A397="","",IFERROR(INDEX('Chart Database'!$B$6:$B$4005,MATCH($A397,'Chart Database'!$A$6:$A$4005,0)),"UNKNOWN CHART"))</f>
        <v/>
      </c>
      <c r="C397" s="23" t="n"/>
      <c r="D397" s="23" t="n"/>
      <c r="E397" s="25" t="n"/>
      <c r="F397" s="15" t="n"/>
      <c r="G397" s="23" t="n"/>
      <c r="H397" s="15" t="n"/>
      <c r="I397" s="15" t="n"/>
      <c r="J397" s="15" t="n"/>
      <c r="K397" s="25" t="n"/>
      <c r="L397" s="15" t="n"/>
      <c r="M397" s="26">
        <f>IF(OR($A397="",$L397&lt;&gt;"Active"),"",COUNTIFS($A$5:$A397,$A397,$L$5:$L397,"Active"))</f>
        <v/>
      </c>
      <c r="N397" s="26">
        <f>IF(OR($A397="",$M397=""),"",IF($M397=IFERROR(INDEX('Chart Database'!$R$6:$R$4005,MATCH($A397,'Chart Database'!$A$6:$A$4005,0)),0),"NEXT",""))</f>
        <v/>
      </c>
      <c r="O397" s="23" t="n"/>
    </row>
    <row r="398">
      <c r="A398" s="23" t="n"/>
      <c r="B398" s="26">
        <f>IF($A398="","",IFERROR(INDEX('Chart Database'!$B$6:$B$4005,MATCH($A398,'Chart Database'!$A$6:$A$4005,0)),"UNKNOWN CHART"))</f>
        <v/>
      </c>
      <c r="C398" s="23" t="n"/>
      <c r="D398" s="23" t="n"/>
      <c r="E398" s="25" t="n"/>
      <c r="F398" s="15" t="n"/>
      <c r="G398" s="23" t="n"/>
      <c r="H398" s="15" t="n"/>
      <c r="I398" s="15" t="n"/>
      <c r="J398" s="15" t="n"/>
      <c r="K398" s="25" t="n"/>
      <c r="L398" s="15" t="n"/>
      <c r="M398" s="26">
        <f>IF(OR($A398="",$L398&lt;&gt;"Active"),"",COUNTIFS($A$5:$A398,$A398,$L$5:$L398,"Active"))</f>
        <v/>
      </c>
      <c r="N398" s="26">
        <f>IF(OR($A398="",$M398=""),"",IF($M398=IFERROR(INDEX('Chart Database'!$R$6:$R$4005,MATCH($A398,'Chart Database'!$A$6:$A$4005,0)),0),"NEXT",""))</f>
        <v/>
      </c>
      <c r="O398" s="23" t="n"/>
    </row>
    <row r="399">
      <c r="A399" s="23" t="n"/>
      <c r="B399" s="26">
        <f>IF($A399="","",IFERROR(INDEX('Chart Database'!$B$6:$B$4005,MATCH($A399,'Chart Database'!$A$6:$A$4005,0)),"UNKNOWN CHART"))</f>
        <v/>
      </c>
      <c r="C399" s="23" t="n"/>
      <c r="D399" s="23" t="n"/>
      <c r="E399" s="25" t="n"/>
      <c r="F399" s="15" t="n"/>
      <c r="G399" s="23" t="n"/>
      <c r="H399" s="15" t="n"/>
      <c r="I399" s="15" t="n"/>
      <c r="J399" s="15" t="n"/>
      <c r="K399" s="25" t="n"/>
      <c r="L399" s="15" t="n"/>
      <c r="M399" s="26">
        <f>IF(OR($A399="",$L399&lt;&gt;"Active"),"",COUNTIFS($A$5:$A399,$A399,$L$5:$L399,"Active"))</f>
        <v/>
      </c>
      <c r="N399" s="26">
        <f>IF(OR($A399="",$M399=""),"",IF($M399=IFERROR(INDEX('Chart Database'!$R$6:$R$4005,MATCH($A399,'Chart Database'!$A$6:$A$4005,0)),0),"NEXT",""))</f>
        <v/>
      </c>
      <c r="O399" s="23" t="n"/>
    </row>
    <row r="400">
      <c r="A400" s="23" t="n"/>
      <c r="B400" s="26">
        <f>IF($A400="","",IFERROR(INDEX('Chart Database'!$B$6:$B$4005,MATCH($A400,'Chart Database'!$A$6:$A$4005,0)),"UNKNOWN CHART"))</f>
        <v/>
      </c>
      <c r="C400" s="23" t="n"/>
      <c r="D400" s="23" t="n"/>
      <c r="E400" s="25" t="n"/>
      <c r="F400" s="15" t="n"/>
      <c r="G400" s="23" t="n"/>
      <c r="H400" s="15" t="n"/>
      <c r="I400" s="15" t="n"/>
      <c r="J400" s="15" t="n"/>
      <c r="K400" s="25" t="n"/>
      <c r="L400" s="15" t="n"/>
      <c r="M400" s="26">
        <f>IF(OR($A400="",$L400&lt;&gt;"Active"),"",COUNTIFS($A$5:$A400,$A400,$L$5:$L400,"Active"))</f>
        <v/>
      </c>
      <c r="N400" s="26">
        <f>IF(OR($A400="",$M400=""),"",IF($M400=IFERROR(INDEX('Chart Database'!$R$6:$R$4005,MATCH($A400,'Chart Database'!$A$6:$A$4005,0)),0),"NEXT",""))</f>
        <v/>
      </c>
      <c r="O400" s="23" t="n"/>
    </row>
    <row r="401">
      <c r="A401" s="23" t="n"/>
      <c r="B401" s="26">
        <f>IF($A401="","",IFERROR(INDEX('Chart Database'!$B$6:$B$4005,MATCH($A401,'Chart Database'!$A$6:$A$4005,0)),"UNKNOWN CHART"))</f>
        <v/>
      </c>
      <c r="C401" s="23" t="n"/>
      <c r="D401" s="23" t="n"/>
      <c r="E401" s="25" t="n"/>
      <c r="F401" s="15" t="n"/>
      <c r="G401" s="23" t="n"/>
      <c r="H401" s="15" t="n"/>
      <c r="I401" s="15" t="n"/>
      <c r="J401" s="15" t="n"/>
      <c r="K401" s="25" t="n"/>
      <c r="L401" s="15" t="n"/>
      <c r="M401" s="26">
        <f>IF(OR($A401="",$L401&lt;&gt;"Active"),"",COUNTIFS($A$5:$A401,$A401,$L$5:$L401,"Active"))</f>
        <v/>
      </c>
      <c r="N401" s="26">
        <f>IF(OR($A401="",$M401=""),"",IF($M401=IFERROR(INDEX('Chart Database'!$R$6:$R$4005,MATCH($A401,'Chart Database'!$A$6:$A$4005,0)),0),"NEXT",""))</f>
        <v/>
      </c>
      <c r="O401" s="23" t="n"/>
    </row>
    <row r="402">
      <c r="A402" s="23" t="n"/>
      <c r="B402" s="26">
        <f>IF($A402="","",IFERROR(INDEX('Chart Database'!$B$6:$B$4005,MATCH($A402,'Chart Database'!$A$6:$A$4005,0)),"UNKNOWN CHART"))</f>
        <v/>
      </c>
      <c r="C402" s="23" t="n"/>
      <c r="D402" s="23" t="n"/>
      <c r="E402" s="25" t="n"/>
      <c r="F402" s="15" t="n"/>
      <c r="G402" s="23" t="n"/>
      <c r="H402" s="15" t="n"/>
      <c r="I402" s="15" t="n"/>
      <c r="J402" s="15" t="n"/>
      <c r="K402" s="25" t="n"/>
      <c r="L402" s="15" t="n"/>
      <c r="M402" s="26">
        <f>IF(OR($A402="",$L402&lt;&gt;"Active"),"",COUNTIFS($A$5:$A402,$A402,$L$5:$L402,"Active"))</f>
        <v/>
      </c>
      <c r="N402" s="26">
        <f>IF(OR($A402="",$M402=""),"",IF($M402=IFERROR(INDEX('Chart Database'!$R$6:$R$4005,MATCH($A402,'Chart Database'!$A$6:$A$4005,0)),0),"NEXT",""))</f>
        <v/>
      </c>
      <c r="O402" s="23" t="n"/>
    </row>
    <row r="403">
      <c r="A403" s="23" t="n"/>
      <c r="B403" s="26">
        <f>IF($A403="","",IFERROR(INDEX('Chart Database'!$B$6:$B$4005,MATCH($A403,'Chart Database'!$A$6:$A$4005,0)),"UNKNOWN CHART"))</f>
        <v/>
      </c>
      <c r="C403" s="23" t="n"/>
      <c r="D403" s="23" t="n"/>
      <c r="E403" s="25" t="n"/>
      <c r="F403" s="15" t="n"/>
      <c r="G403" s="23" t="n"/>
      <c r="H403" s="15" t="n"/>
      <c r="I403" s="15" t="n"/>
      <c r="J403" s="15" t="n"/>
      <c r="K403" s="25" t="n"/>
      <c r="L403" s="15" t="n"/>
      <c r="M403" s="26">
        <f>IF(OR($A403="",$L403&lt;&gt;"Active"),"",COUNTIFS($A$5:$A403,$A403,$L$5:$L403,"Active"))</f>
        <v/>
      </c>
      <c r="N403" s="26">
        <f>IF(OR($A403="",$M403=""),"",IF($M403=IFERROR(INDEX('Chart Database'!$R$6:$R$4005,MATCH($A403,'Chart Database'!$A$6:$A$4005,0)),0),"NEXT",""))</f>
        <v/>
      </c>
      <c r="O403" s="23" t="n"/>
    </row>
    <row r="404">
      <c r="A404" s="23" t="n"/>
      <c r="B404" s="26">
        <f>IF($A404="","",IFERROR(INDEX('Chart Database'!$B$6:$B$4005,MATCH($A404,'Chart Database'!$A$6:$A$4005,0)),"UNKNOWN CHART"))</f>
        <v/>
      </c>
      <c r="C404" s="23" t="n"/>
      <c r="D404" s="23" t="n"/>
      <c r="E404" s="25" t="n"/>
      <c r="F404" s="15" t="n"/>
      <c r="G404" s="23" t="n"/>
      <c r="H404" s="15" t="n"/>
      <c r="I404" s="15" t="n"/>
      <c r="J404" s="15" t="n"/>
      <c r="K404" s="25" t="n"/>
      <c r="L404" s="15" t="n"/>
      <c r="M404" s="26">
        <f>IF(OR($A404="",$L404&lt;&gt;"Active"),"",COUNTIFS($A$5:$A404,$A404,$L$5:$L404,"Active"))</f>
        <v/>
      </c>
      <c r="N404" s="26">
        <f>IF(OR($A404="",$M404=""),"",IF($M404=IFERROR(INDEX('Chart Database'!$R$6:$R$4005,MATCH($A404,'Chart Database'!$A$6:$A$4005,0)),0),"NEXT",""))</f>
        <v/>
      </c>
      <c r="O404" s="23" t="n"/>
    </row>
    <row r="405">
      <c r="A405" s="23" t="n"/>
      <c r="B405" s="26">
        <f>IF($A405="","",IFERROR(INDEX('Chart Database'!$B$6:$B$4005,MATCH($A405,'Chart Database'!$A$6:$A$4005,0)),"UNKNOWN CHART"))</f>
        <v/>
      </c>
      <c r="C405" s="23" t="n"/>
      <c r="D405" s="23" t="n"/>
      <c r="E405" s="25" t="n"/>
      <c r="F405" s="15" t="n"/>
      <c r="G405" s="23" t="n"/>
      <c r="H405" s="15" t="n"/>
      <c r="I405" s="15" t="n"/>
      <c r="J405" s="15" t="n"/>
      <c r="K405" s="25" t="n"/>
      <c r="L405" s="15" t="n"/>
      <c r="M405" s="26">
        <f>IF(OR($A405="",$L405&lt;&gt;"Active"),"",COUNTIFS($A$5:$A405,$A405,$L$5:$L405,"Active"))</f>
        <v/>
      </c>
      <c r="N405" s="26">
        <f>IF(OR($A405="",$M405=""),"",IF($M405=IFERROR(INDEX('Chart Database'!$R$6:$R$4005,MATCH($A405,'Chart Database'!$A$6:$A$4005,0)),0),"NEXT",""))</f>
        <v/>
      </c>
      <c r="O405" s="23" t="n"/>
    </row>
    <row r="406">
      <c r="A406" s="23" t="n"/>
      <c r="B406" s="26">
        <f>IF($A406="","",IFERROR(INDEX('Chart Database'!$B$6:$B$4005,MATCH($A406,'Chart Database'!$A$6:$A$4005,0)),"UNKNOWN CHART"))</f>
        <v/>
      </c>
      <c r="C406" s="23" t="n"/>
      <c r="D406" s="23" t="n"/>
      <c r="E406" s="25" t="n"/>
      <c r="F406" s="15" t="n"/>
      <c r="G406" s="23" t="n"/>
      <c r="H406" s="15" t="n"/>
      <c r="I406" s="15" t="n"/>
      <c r="J406" s="15" t="n"/>
      <c r="K406" s="25" t="n"/>
      <c r="L406" s="15" t="n"/>
      <c r="M406" s="26">
        <f>IF(OR($A406="",$L406&lt;&gt;"Active"),"",COUNTIFS($A$5:$A406,$A406,$L$5:$L406,"Active"))</f>
        <v/>
      </c>
      <c r="N406" s="26">
        <f>IF(OR($A406="",$M406=""),"",IF($M406=IFERROR(INDEX('Chart Database'!$R$6:$R$4005,MATCH($A406,'Chart Database'!$A$6:$A$4005,0)),0),"NEXT",""))</f>
        <v/>
      </c>
      <c r="O406" s="23" t="n"/>
    </row>
    <row r="407">
      <c r="A407" s="23" t="n"/>
      <c r="B407" s="26">
        <f>IF($A407="","",IFERROR(INDEX('Chart Database'!$B$6:$B$4005,MATCH($A407,'Chart Database'!$A$6:$A$4005,0)),"UNKNOWN CHART"))</f>
        <v/>
      </c>
      <c r="C407" s="23" t="n"/>
      <c r="D407" s="23" t="n"/>
      <c r="E407" s="25" t="n"/>
      <c r="F407" s="15" t="n"/>
      <c r="G407" s="23" t="n"/>
      <c r="H407" s="15" t="n"/>
      <c r="I407" s="15" t="n"/>
      <c r="J407" s="15" t="n"/>
      <c r="K407" s="25" t="n"/>
      <c r="L407" s="15" t="n"/>
      <c r="M407" s="26">
        <f>IF(OR($A407="",$L407&lt;&gt;"Active"),"",COUNTIFS($A$5:$A407,$A407,$L$5:$L407,"Active"))</f>
        <v/>
      </c>
      <c r="N407" s="26">
        <f>IF(OR($A407="",$M407=""),"",IF($M407=IFERROR(INDEX('Chart Database'!$R$6:$R$4005,MATCH($A407,'Chart Database'!$A$6:$A$4005,0)),0),"NEXT",""))</f>
        <v/>
      </c>
      <c r="O407" s="23" t="n"/>
    </row>
    <row r="408">
      <c r="A408" s="23" t="n"/>
      <c r="B408" s="26">
        <f>IF($A408="","",IFERROR(INDEX('Chart Database'!$B$6:$B$4005,MATCH($A408,'Chart Database'!$A$6:$A$4005,0)),"UNKNOWN CHART"))</f>
        <v/>
      </c>
      <c r="C408" s="23" t="n"/>
      <c r="D408" s="23" t="n"/>
      <c r="E408" s="25" t="n"/>
      <c r="F408" s="15" t="n"/>
      <c r="G408" s="23" t="n"/>
      <c r="H408" s="15" t="n"/>
      <c r="I408" s="15" t="n"/>
      <c r="J408" s="15" t="n"/>
      <c r="K408" s="25" t="n"/>
      <c r="L408" s="15" t="n"/>
      <c r="M408" s="26">
        <f>IF(OR($A408="",$L408&lt;&gt;"Active"),"",COUNTIFS($A$5:$A408,$A408,$L$5:$L408,"Active"))</f>
        <v/>
      </c>
      <c r="N408" s="26">
        <f>IF(OR($A408="",$M408=""),"",IF($M408=IFERROR(INDEX('Chart Database'!$R$6:$R$4005,MATCH($A408,'Chart Database'!$A$6:$A$4005,0)),0),"NEXT",""))</f>
        <v/>
      </c>
      <c r="O408" s="23" t="n"/>
    </row>
    <row r="409">
      <c r="A409" s="23" t="n"/>
      <c r="B409" s="26">
        <f>IF($A409="","",IFERROR(INDEX('Chart Database'!$B$6:$B$4005,MATCH($A409,'Chart Database'!$A$6:$A$4005,0)),"UNKNOWN CHART"))</f>
        <v/>
      </c>
      <c r="C409" s="23" t="n"/>
      <c r="D409" s="23" t="n"/>
      <c r="E409" s="25" t="n"/>
      <c r="F409" s="15" t="n"/>
      <c r="G409" s="23" t="n"/>
      <c r="H409" s="15" t="n"/>
      <c r="I409" s="15" t="n"/>
      <c r="J409" s="15" t="n"/>
      <c r="K409" s="25" t="n"/>
      <c r="L409" s="15" t="n"/>
      <c r="M409" s="26">
        <f>IF(OR($A409="",$L409&lt;&gt;"Active"),"",COUNTIFS($A$5:$A409,$A409,$L$5:$L409,"Active"))</f>
        <v/>
      </c>
      <c r="N409" s="26">
        <f>IF(OR($A409="",$M409=""),"",IF($M409=IFERROR(INDEX('Chart Database'!$R$6:$R$4005,MATCH($A409,'Chart Database'!$A$6:$A$4005,0)),0),"NEXT",""))</f>
        <v/>
      </c>
      <c r="O409" s="23" t="n"/>
    </row>
    <row r="410">
      <c r="A410" s="23" t="n"/>
      <c r="B410" s="26">
        <f>IF($A410="","",IFERROR(INDEX('Chart Database'!$B$6:$B$4005,MATCH($A410,'Chart Database'!$A$6:$A$4005,0)),"UNKNOWN CHART"))</f>
        <v/>
      </c>
      <c r="C410" s="23" t="n"/>
      <c r="D410" s="23" t="n"/>
      <c r="E410" s="25" t="n"/>
      <c r="F410" s="15" t="n"/>
      <c r="G410" s="23" t="n"/>
      <c r="H410" s="15" t="n"/>
      <c r="I410" s="15" t="n"/>
      <c r="J410" s="15" t="n"/>
      <c r="K410" s="25" t="n"/>
      <c r="L410" s="15" t="n"/>
      <c r="M410" s="26">
        <f>IF(OR($A410="",$L410&lt;&gt;"Active"),"",COUNTIFS($A$5:$A410,$A410,$L$5:$L410,"Active"))</f>
        <v/>
      </c>
      <c r="N410" s="26">
        <f>IF(OR($A410="",$M410=""),"",IF($M410=IFERROR(INDEX('Chart Database'!$R$6:$R$4005,MATCH($A410,'Chart Database'!$A$6:$A$4005,0)),0),"NEXT",""))</f>
        <v/>
      </c>
      <c r="O410" s="23" t="n"/>
    </row>
    <row r="411">
      <c r="A411" s="23" t="n"/>
      <c r="B411" s="26">
        <f>IF($A411="","",IFERROR(INDEX('Chart Database'!$B$6:$B$4005,MATCH($A411,'Chart Database'!$A$6:$A$4005,0)),"UNKNOWN CHART"))</f>
        <v/>
      </c>
      <c r="C411" s="23" t="n"/>
      <c r="D411" s="23" t="n"/>
      <c r="E411" s="25" t="n"/>
      <c r="F411" s="15" t="n"/>
      <c r="G411" s="23" t="n"/>
      <c r="H411" s="15" t="n"/>
      <c r="I411" s="15" t="n"/>
      <c r="J411" s="15" t="n"/>
      <c r="K411" s="25" t="n"/>
      <c r="L411" s="15" t="n"/>
      <c r="M411" s="26">
        <f>IF(OR($A411="",$L411&lt;&gt;"Active"),"",COUNTIFS($A$5:$A411,$A411,$L$5:$L411,"Active"))</f>
        <v/>
      </c>
      <c r="N411" s="26">
        <f>IF(OR($A411="",$M411=""),"",IF($M411=IFERROR(INDEX('Chart Database'!$R$6:$R$4005,MATCH($A411,'Chart Database'!$A$6:$A$4005,0)),0),"NEXT",""))</f>
        <v/>
      </c>
      <c r="O411" s="23" t="n"/>
    </row>
    <row r="412">
      <c r="A412" s="23" t="n"/>
      <c r="B412" s="26">
        <f>IF($A412="","",IFERROR(INDEX('Chart Database'!$B$6:$B$4005,MATCH($A412,'Chart Database'!$A$6:$A$4005,0)),"UNKNOWN CHART"))</f>
        <v/>
      </c>
      <c r="C412" s="23" t="n"/>
      <c r="D412" s="23" t="n"/>
      <c r="E412" s="25" t="n"/>
      <c r="F412" s="15" t="n"/>
      <c r="G412" s="23" t="n"/>
      <c r="H412" s="15" t="n"/>
      <c r="I412" s="15" t="n"/>
      <c r="J412" s="15" t="n"/>
      <c r="K412" s="25" t="n"/>
      <c r="L412" s="15" t="n"/>
      <c r="M412" s="26">
        <f>IF(OR($A412="",$L412&lt;&gt;"Active"),"",COUNTIFS($A$5:$A412,$A412,$L$5:$L412,"Active"))</f>
        <v/>
      </c>
      <c r="N412" s="26">
        <f>IF(OR($A412="",$M412=""),"",IF($M412=IFERROR(INDEX('Chart Database'!$R$6:$R$4005,MATCH($A412,'Chart Database'!$A$6:$A$4005,0)),0),"NEXT",""))</f>
        <v/>
      </c>
      <c r="O412" s="23" t="n"/>
    </row>
    <row r="413">
      <c r="A413" s="23" t="n"/>
      <c r="B413" s="26">
        <f>IF($A413="","",IFERROR(INDEX('Chart Database'!$B$6:$B$4005,MATCH($A413,'Chart Database'!$A$6:$A$4005,0)),"UNKNOWN CHART"))</f>
        <v/>
      </c>
      <c r="C413" s="23" t="n"/>
      <c r="D413" s="23" t="n"/>
      <c r="E413" s="25" t="n"/>
      <c r="F413" s="15" t="n"/>
      <c r="G413" s="23" t="n"/>
      <c r="H413" s="15" t="n"/>
      <c r="I413" s="15" t="n"/>
      <c r="J413" s="15" t="n"/>
      <c r="K413" s="25" t="n"/>
      <c r="L413" s="15" t="n"/>
      <c r="M413" s="26">
        <f>IF(OR($A413="",$L413&lt;&gt;"Active"),"",COUNTIFS($A$5:$A413,$A413,$L$5:$L413,"Active"))</f>
        <v/>
      </c>
      <c r="N413" s="26">
        <f>IF(OR($A413="",$M413=""),"",IF($M413=IFERROR(INDEX('Chart Database'!$R$6:$R$4005,MATCH($A413,'Chart Database'!$A$6:$A$4005,0)),0),"NEXT",""))</f>
        <v/>
      </c>
      <c r="O413" s="23" t="n"/>
    </row>
    <row r="414">
      <c r="A414" s="23" t="n"/>
      <c r="B414" s="26">
        <f>IF($A414="","",IFERROR(INDEX('Chart Database'!$B$6:$B$4005,MATCH($A414,'Chart Database'!$A$6:$A$4005,0)),"UNKNOWN CHART"))</f>
        <v/>
      </c>
      <c r="C414" s="23" t="n"/>
      <c r="D414" s="23" t="n"/>
      <c r="E414" s="25" t="n"/>
      <c r="F414" s="15" t="n"/>
      <c r="G414" s="23" t="n"/>
      <c r="H414" s="15" t="n"/>
      <c r="I414" s="15" t="n"/>
      <c r="J414" s="15" t="n"/>
      <c r="K414" s="25" t="n"/>
      <c r="L414" s="15" t="n"/>
      <c r="M414" s="26">
        <f>IF(OR($A414="",$L414&lt;&gt;"Active"),"",COUNTIFS($A$5:$A414,$A414,$L$5:$L414,"Active"))</f>
        <v/>
      </c>
      <c r="N414" s="26">
        <f>IF(OR($A414="",$M414=""),"",IF($M414=IFERROR(INDEX('Chart Database'!$R$6:$R$4005,MATCH($A414,'Chart Database'!$A$6:$A$4005,0)),0),"NEXT",""))</f>
        <v/>
      </c>
      <c r="O414" s="23" t="n"/>
    </row>
    <row r="415">
      <c r="A415" s="23" t="n"/>
      <c r="B415" s="26">
        <f>IF($A415="","",IFERROR(INDEX('Chart Database'!$B$6:$B$4005,MATCH($A415,'Chart Database'!$A$6:$A$4005,0)),"UNKNOWN CHART"))</f>
        <v/>
      </c>
      <c r="C415" s="23" t="n"/>
      <c r="D415" s="23" t="n"/>
      <c r="E415" s="25" t="n"/>
      <c r="F415" s="15" t="n"/>
      <c r="G415" s="23" t="n"/>
      <c r="H415" s="15" t="n"/>
      <c r="I415" s="15" t="n"/>
      <c r="J415" s="15" t="n"/>
      <c r="K415" s="25" t="n"/>
      <c r="L415" s="15" t="n"/>
      <c r="M415" s="26">
        <f>IF(OR($A415="",$L415&lt;&gt;"Active"),"",COUNTIFS($A$5:$A415,$A415,$L$5:$L415,"Active"))</f>
        <v/>
      </c>
      <c r="N415" s="26">
        <f>IF(OR($A415="",$M415=""),"",IF($M415=IFERROR(INDEX('Chart Database'!$R$6:$R$4005,MATCH($A415,'Chart Database'!$A$6:$A$4005,0)),0),"NEXT",""))</f>
        <v/>
      </c>
      <c r="O415" s="23" t="n"/>
    </row>
    <row r="416">
      <c r="A416" s="23" t="n"/>
      <c r="B416" s="26">
        <f>IF($A416="","",IFERROR(INDEX('Chart Database'!$B$6:$B$4005,MATCH($A416,'Chart Database'!$A$6:$A$4005,0)),"UNKNOWN CHART"))</f>
        <v/>
      </c>
      <c r="C416" s="23" t="n"/>
      <c r="D416" s="23" t="n"/>
      <c r="E416" s="25" t="n"/>
      <c r="F416" s="15" t="n"/>
      <c r="G416" s="23" t="n"/>
      <c r="H416" s="15" t="n"/>
      <c r="I416" s="15" t="n"/>
      <c r="J416" s="15" t="n"/>
      <c r="K416" s="25" t="n"/>
      <c r="L416" s="15" t="n"/>
      <c r="M416" s="26">
        <f>IF(OR($A416="",$L416&lt;&gt;"Active"),"",COUNTIFS($A$5:$A416,$A416,$L$5:$L416,"Active"))</f>
        <v/>
      </c>
      <c r="N416" s="26">
        <f>IF(OR($A416="",$M416=""),"",IF($M416=IFERROR(INDEX('Chart Database'!$R$6:$R$4005,MATCH($A416,'Chart Database'!$A$6:$A$4005,0)),0),"NEXT",""))</f>
        <v/>
      </c>
      <c r="O416" s="23" t="n"/>
    </row>
    <row r="417">
      <c r="A417" s="23" t="n"/>
      <c r="B417" s="26">
        <f>IF($A417="","",IFERROR(INDEX('Chart Database'!$B$6:$B$4005,MATCH($A417,'Chart Database'!$A$6:$A$4005,0)),"UNKNOWN CHART"))</f>
        <v/>
      </c>
      <c r="C417" s="23" t="n"/>
      <c r="D417" s="23" t="n"/>
      <c r="E417" s="25" t="n"/>
      <c r="F417" s="15" t="n"/>
      <c r="G417" s="23" t="n"/>
      <c r="H417" s="15" t="n"/>
      <c r="I417" s="15" t="n"/>
      <c r="J417" s="15" t="n"/>
      <c r="K417" s="25" t="n"/>
      <c r="L417" s="15" t="n"/>
      <c r="M417" s="26">
        <f>IF(OR($A417="",$L417&lt;&gt;"Active"),"",COUNTIFS($A$5:$A417,$A417,$L$5:$L417,"Active"))</f>
        <v/>
      </c>
      <c r="N417" s="26">
        <f>IF(OR($A417="",$M417=""),"",IF($M417=IFERROR(INDEX('Chart Database'!$R$6:$R$4005,MATCH($A417,'Chart Database'!$A$6:$A$4005,0)),0),"NEXT",""))</f>
        <v/>
      </c>
      <c r="O417" s="23" t="n"/>
    </row>
    <row r="418">
      <c r="A418" s="23" t="n"/>
      <c r="B418" s="26">
        <f>IF($A418="","",IFERROR(INDEX('Chart Database'!$B$6:$B$4005,MATCH($A418,'Chart Database'!$A$6:$A$4005,0)),"UNKNOWN CHART"))</f>
        <v/>
      </c>
      <c r="C418" s="23" t="n"/>
      <c r="D418" s="23" t="n"/>
      <c r="E418" s="25" t="n"/>
      <c r="F418" s="15" t="n"/>
      <c r="G418" s="23" t="n"/>
      <c r="H418" s="15" t="n"/>
      <c r="I418" s="15" t="n"/>
      <c r="J418" s="15" t="n"/>
      <c r="K418" s="25" t="n"/>
      <c r="L418" s="15" t="n"/>
      <c r="M418" s="26">
        <f>IF(OR($A418="",$L418&lt;&gt;"Active"),"",COUNTIFS($A$5:$A418,$A418,$L$5:$L418,"Active"))</f>
        <v/>
      </c>
      <c r="N418" s="26">
        <f>IF(OR($A418="",$M418=""),"",IF($M418=IFERROR(INDEX('Chart Database'!$R$6:$R$4005,MATCH($A418,'Chart Database'!$A$6:$A$4005,0)),0),"NEXT",""))</f>
        <v/>
      </c>
      <c r="O418" s="23" t="n"/>
    </row>
    <row r="419">
      <c r="A419" s="23" t="n"/>
      <c r="B419" s="26">
        <f>IF($A419="","",IFERROR(INDEX('Chart Database'!$B$6:$B$4005,MATCH($A419,'Chart Database'!$A$6:$A$4005,0)),"UNKNOWN CHART"))</f>
        <v/>
      </c>
      <c r="C419" s="23" t="n"/>
      <c r="D419" s="23" t="n"/>
      <c r="E419" s="25" t="n"/>
      <c r="F419" s="15" t="n"/>
      <c r="G419" s="23" t="n"/>
      <c r="H419" s="15" t="n"/>
      <c r="I419" s="15" t="n"/>
      <c r="J419" s="15" t="n"/>
      <c r="K419" s="25" t="n"/>
      <c r="L419" s="15" t="n"/>
      <c r="M419" s="26">
        <f>IF(OR($A419="",$L419&lt;&gt;"Active"),"",COUNTIFS($A$5:$A419,$A419,$L$5:$L419,"Active"))</f>
        <v/>
      </c>
      <c r="N419" s="26">
        <f>IF(OR($A419="",$M419=""),"",IF($M419=IFERROR(INDEX('Chart Database'!$R$6:$R$4005,MATCH($A419,'Chart Database'!$A$6:$A$4005,0)),0),"NEXT",""))</f>
        <v/>
      </c>
      <c r="O419" s="23" t="n"/>
    </row>
    <row r="420">
      <c r="A420" s="23" t="n"/>
      <c r="B420" s="26">
        <f>IF($A420="","",IFERROR(INDEX('Chart Database'!$B$6:$B$4005,MATCH($A420,'Chart Database'!$A$6:$A$4005,0)),"UNKNOWN CHART"))</f>
        <v/>
      </c>
      <c r="C420" s="23" t="n"/>
      <c r="D420" s="23" t="n"/>
      <c r="E420" s="25" t="n"/>
      <c r="F420" s="15" t="n"/>
      <c r="G420" s="23" t="n"/>
      <c r="H420" s="15" t="n"/>
      <c r="I420" s="15" t="n"/>
      <c r="J420" s="15" t="n"/>
      <c r="K420" s="25" t="n"/>
      <c r="L420" s="15" t="n"/>
      <c r="M420" s="26">
        <f>IF(OR($A420="",$L420&lt;&gt;"Active"),"",COUNTIFS($A$5:$A420,$A420,$L$5:$L420,"Active"))</f>
        <v/>
      </c>
      <c r="N420" s="26">
        <f>IF(OR($A420="",$M420=""),"",IF($M420=IFERROR(INDEX('Chart Database'!$R$6:$R$4005,MATCH($A420,'Chart Database'!$A$6:$A$4005,0)),0),"NEXT",""))</f>
        <v/>
      </c>
      <c r="O420" s="23" t="n"/>
    </row>
    <row r="421">
      <c r="A421" s="23" t="n"/>
      <c r="B421" s="26">
        <f>IF($A421="","",IFERROR(INDEX('Chart Database'!$B$6:$B$4005,MATCH($A421,'Chart Database'!$A$6:$A$4005,0)),"UNKNOWN CHART"))</f>
        <v/>
      </c>
      <c r="C421" s="23" t="n"/>
      <c r="D421" s="23" t="n"/>
      <c r="E421" s="25" t="n"/>
      <c r="F421" s="15" t="n"/>
      <c r="G421" s="23" t="n"/>
      <c r="H421" s="15" t="n"/>
      <c r="I421" s="15" t="n"/>
      <c r="J421" s="15" t="n"/>
      <c r="K421" s="25" t="n"/>
      <c r="L421" s="15" t="n"/>
      <c r="M421" s="26">
        <f>IF(OR($A421="",$L421&lt;&gt;"Active"),"",COUNTIFS($A$5:$A421,$A421,$L$5:$L421,"Active"))</f>
        <v/>
      </c>
      <c r="N421" s="26">
        <f>IF(OR($A421="",$M421=""),"",IF($M421=IFERROR(INDEX('Chart Database'!$R$6:$R$4005,MATCH($A421,'Chart Database'!$A$6:$A$4005,0)),0),"NEXT",""))</f>
        <v/>
      </c>
      <c r="O421" s="23" t="n"/>
    </row>
    <row r="422">
      <c r="A422" s="23" t="n"/>
      <c r="B422" s="26">
        <f>IF($A422="","",IFERROR(INDEX('Chart Database'!$B$6:$B$4005,MATCH($A422,'Chart Database'!$A$6:$A$4005,0)),"UNKNOWN CHART"))</f>
        <v/>
      </c>
      <c r="C422" s="23" t="n"/>
      <c r="D422" s="23" t="n"/>
      <c r="E422" s="25" t="n"/>
      <c r="F422" s="15" t="n"/>
      <c r="G422" s="23" t="n"/>
      <c r="H422" s="15" t="n"/>
      <c r="I422" s="15" t="n"/>
      <c r="J422" s="15" t="n"/>
      <c r="K422" s="25" t="n"/>
      <c r="L422" s="15" t="n"/>
      <c r="M422" s="26">
        <f>IF(OR($A422="",$L422&lt;&gt;"Active"),"",COUNTIFS($A$5:$A422,$A422,$L$5:$L422,"Active"))</f>
        <v/>
      </c>
      <c r="N422" s="26">
        <f>IF(OR($A422="",$M422=""),"",IF($M422=IFERROR(INDEX('Chart Database'!$R$6:$R$4005,MATCH($A422,'Chart Database'!$A$6:$A$4005,0)),0),"NEXT",""))</f>
        <v/>
      </c>
      <c r="O422" s="23" t="n"/>
    </row>
    <row r="423">
      <c r="A423" s="23" t="n"/>
      <c r="B423" s="26">
        <f>IF($A423="","",IFERROR(INDEX('Chart Database'!$B$6:$B$4005,MATCH($A423,'Chart Database'!$A$6:$A$4005,0)),"UNKNOWN CHART"))</f>
        <v/>
      </c>
      <c r="C423" s="23" t="n"/>
      <c r="D423" s="23" t="n"/>
      <c r="E423" s="25" t="n"/>
      <c r="F423" s="15" t="n"/>
      <c r="G423" s="23" t="n"/>
      <c r="H423" s="15" t="n"/>
      <c r="I423" s="15" t="n"/>
      <c r="J423" s="15" t="n"/>
      <c r="K423" s="25" t="n"/>
      <c r="L423" s="15" t="n"/>
      <c r="M423" s="26">
        <f>IF(OR($A423="",$L423&lt;&gt;"Active"),"",COUNTIFS($A$5:$A423,$A423,$L$5:$L423,"Active"))</f>
        <v/>
      </c>
      <c r="N423" s="26">
        <f>IF(OR($A423="",$M423=""),"",IF($M423=IFERROR(INDEX('Chart Database'!$R$6:$R$4005,MATCH($A423,'Chart Database'!$A$6:$A$4005,0)),0),"NEXT",""))</f>
        <v/>
      </c>
      <c r="O423" s="23" t="n"/>
    </row>
    <row r="424">
      <c r="A424" s="23" t="n"/>
      <c r="B424" s="26">
        <f>IF($A424="","",IFERROR(INDEX('Chart Database'!$B$6:$B$4005,MATCH($A424,'Chart Database'!$A$6:$A$4005,0)),"UNKNOWN CHART"))</f>
        <v/>
      </c>
      <c r="C424" s="23" t="n"/>
      <c r="D424" s="23" t="n"/>
      <c r="E424" s="25" t="n"/>
      <c r="F424" s="15" t="n"/>
      <c r="G424" s="23" t="n"/>
      <c r="H424" s="15" t="n"/>
      <c r="I424" s="15" t="n"/>
      <c r="J424" s="15" t="n"/>
      <c r="K424" s="25" t="n"/>
      <c r="L424" s="15" t="n"/>
      <c r="M424" s="26">
        <f>IF(OR($A424="",$L424&lt;&gt;"Active"),"",COUNTIFS($A$5:$A424,$A424,$L$5:$L424,"Active"))</f>
        <v/>
      </c>
      <c r="N424" s="26">
        <f>IF(OR($A424="",$M424=""),"",IF($M424=IFERROR(INDEX('Chart Database'!$R$6:$R$4005,MATCH($A424,'Chart Database'!$A$6:$A$4005,0)),0),"NEXT",""))</f>
        <v/>
      </c>
      <c r="O424" s="23" t="n"/>
    </row>
    <row r="425">
      <c r="A425" s="23" t="n"/>
      <c r="B425" s="26">
        <f>IF($A425="","",IFERROR(INDEX('Chart Database'!$B$6:$B$4005,MATCH($A425,'Chart Database'!$A$6:$A$4005,0)),"UNKNOWN CHART"))</f>
        <v/>
      </c>
      <c r="C425" s="23" t="n"/>
      <c r="D425" s="23" t="n"/>
      <c r="E425" s="25" t="n"/>
      <c r="F425" s="15" t="n"/>
      <c r="G425" s="23" t="n"/>
      <c r="H425" s="15" t="n"/>
      <c r="I425" s="15" t="n"/>
      <c r="J425" s="15" t="n"/>
      <c r="K425" s="25" t="n"/>
      <c r="L425" s="15" t="n"/>
      <c r="M425" s="26">
        <f>IF(OR($A425="",$L425&lt;&gt;"Active"),"",COUNTIFS($A$5:$A425,$A425,$L$5:$L425,"Active"))</f>
        <v/>
      </c>
      <c r="N425" s="26">
        <f>IF(OR($A425="",$M425=""),"",IF($M425=IFERROR(INDEX('Chart Database'!$R$6:$R$4005,MATCH($A425,'Chart Database'!$A$6:$A$4005,0)),0),"NEXT",""))</f>
        <v/>
      </c>
      <c r="O425" s="23" t="n"/>
    </row>
    <row r="426">
      <c r="A426" s="23" t="n"/>
      <c r="B426" s="26">
        <f>IF($A426="","",IFERROR(INDEX('Chart Database'!$B$6:$B$4005,MATCH($A426,'Chart Database'!$A$6:$A$4005,0)),"UNKNOWN CHART"))</f>
        <v/>
      </c>
      <c r="C426" s="23" t="n"/>
      <c r="D426" s="23" t="n"/>
      <c r="E426" s="25" t="n"/>
      <c r="F426" s="15" t="n"/>
      <c r="G426" s="23" t="n"/>
      <c r="H426" s="15" t="n"/>
      <c r="I426" s="15" t="n"/>
      <c r="J426" s="15" t="n"/>
      <c r="K426" s="25" t="n"/>
      <c r="L426" s="15" t="n"/>
      <c r="M426" s="26">
        <f>IF(OR($A426="",$L426&lt;&gt;"Active"),"",COUNTIFS($A$5:$A426,$A426,$L$5:$L426,"Active"))</f>
        <v/>
      </c>
      <c r="N426" s="26">
        <f>IF(OR($A426="",$M426=""),"",IF($M426=IFERROR(INDEX('Chart Database'!$R$6:$R$4005,MATCH($A426,'Chart Database'!$A$6:$A$4005,0)),0),"NEXT",""))</f>
        <v/>
      </c>
      <c r="O426" s="23" t="n"/>
    </row>
    <row r="427">
      <c r="A427" s="23" t="n"/>
      <c r="B427" s="26">
        <f>IF($A427="","",IFERROR(INDEX('Chart Database'!$B$6:$B$4005,MATCH($A427,'Chart Database'!$A$6:$A$4005,0)),"UNKNOWN CHART"))</f>
        <v/>
      </c>
      <c r="C427" s="23" t="n"/>
      <c r="D427" s="23" t="n"/>
      <c r="E427" s="25" t="n"/>
      <c r="F427" s="15" t="n"/>
      <c r="G427" s="23" t="n"/>
      <c r="H427" s="15" t="n"/>
      <c r="I427" s="15" t="n"/>
      <c r="J427" s="15" t="n"/>
      <c r="K427" s="25" t="n"/>
      <c r="L427" s="15" t="n"/>
      <c r="M427" s="26">
        <f>IF(OR($A427="",$L427&lt;&gt;"Active"),"",COUNTIFS($A$5:$A427,$A427,$L$5:$L427,"Active"))</f>
        <v/>
      </c>
      <c r="N427" s="26">
        <f>IF(OR($A427="",$M427=""),"",IF($M427=IFERROR(INDEX('Chart Database'!$R$6:$R$4005,MATCH($A427,'Chart Database'!$A$6:$A$4005,0)),0),"NEXT",""))</f>
        <v/>
      </c>
      <c r="O427" s="23" t="n"/>
    </row>
    <row r="428">
      <c r="A428" s="23" t="n"/>
      <c r="B428" s="26">
        <f>IF($A428="","",IFERROR(INDEX('Chart Database'!$B$6:$B$4005,MATCH($A428,'Chart Database'!$A$6:$A$4005,0)),"UNKNOWN CHART"))</f>
        <v/>
      </c>
      <c r="C428" s="23" t="n"/>
      <c r="D428" s="23" t="n"/>
      <c r="E428" s="25" t="n"/>
      <c r="F428" s="15" t="n"/>
      <c r="G428" s="23" t="n"/>
      <c r="H428" s="15" t="n"/>
      <c r="I428" s="15" t="n"/>
      <c r="J428" s="15" t="n"/>
      <c r="K428" s="25" t="n"/>
      <c r="L428" s="15" t="n"/>
      <c r="M428" s="26">
        <f>IF(OR($A428="",$L428&lt;&gt;"Active"),"",COUNTIFS($A$5:$A428,$A428,$L$5:$L428,"Active"))</f>
        <v/>
      </c>
      <c r="N428" s="26">
        <f>IF(OR($A428="",$M428=""),"",IF($M428=IFERROR(INDEX('Chart Database'!$R$6:$R$4005,MATCH($A428,'Chart Database'!$A$6:$A$4005,0)),0),"NEXT",""))</f>
        <v/>
      </c>
      <c r="O428" s="23" t="n"/>
    </row>
    <row r="429">
      <c r="A429" s="23" t="n"/>
      <c r="B429" s="26">
        <f>IF($A429="","",IFERROR(INDEX('Chart Database'!$B$6:$B$4005,MATCH($A429,'Chart Database'!$A$6:$A$4005,0)),"UNKNOWN CHART"))</f>
        <v/>
      </c>
      <c r="C429" s="23" t="n"/>
      <c r="D429" s="23" t="n"/>
      <c r="E429" s="25" t="n"/>
      <c r="F429" s="15" t="n"/>
      <c r="G429" s="23" t="n"/>
      <c r="H429" s="15" t="n"/>
      <c r="I429" s="15" t="n"/>
      <c r="J429" s="15" t="n"/>
      <c r="K429" s="25" t="n"/>
      <c r="L429" s="15" t="n"/>
      <c r="M429" s="26">
        <f>IF(OR($A429="",$L429&lt;&gt;"Active"),"",COUNTIFS($A$5:$A429,$A429,$L$5:$L429,"Active"))</f>
        <v/>
      </c>
      <c r="N429" s="26">
        <f>IF(OR($A429="",$M429=""),"",IF($M429=IFERROR(INDEX('Chart Database'!$R$6:$R$4005,MATCH($A429,'Chart Database'!$A$6:$A$4005,0)),0),"NEXT",""))</f>
        <v/>
      </c>
      <c r="O429" s="23" t="n"/>
    </row>
    <row r="430">
      <c r="A430" s="23" t="n"/>
      <c r="B430" s="26">
        <f>IF($A430="","",IFERROR(INDEX('Chart Database'!$B$6:$B$4005,MATCH($A430,'Chart Database'!$A$6:$A$4005,0)),"UNKNOWN CHART"))</f>
        <v/>
      </c>
      <c r="C430" s="23" t="n"/>
      <c r="D430" s="23" t="n"/>
      <c r="E430" s="25" t="n"/>
      <c r="F430" s="15" t="n"/>
      <c r="G430" s="23" t="n"/>
      <c r="H430" s="15" t="n"/>
      <c r="I430" s="15" t="n"/>
      <c r="J430" s="15" t="n"/>
      <c r="K430" s="25" t="n"/>
      <c r="L430" s="15" t="n"/>
      <c r="M430" s="26">
        <f>IF(OR($A430="",$L430&lt;&gt;"Active"),"",COUNTIFS($A$5:$A430,$A430,$L$5:$L430,"Active"))</f>
        <v/>
      </c>
      <c r="N430" s="26">
        <f>IF(OR($A430="",$M430=""),"",IF($M430=IFERROR(INDEX('Chart Database'!$R$6:$R$4005,MATCH($A430,'Chart Database'!$A$6:$A$4005,0)),0),"NEXT",""))</f>
        <v/>
      </c>
      <c r="O430" s="23" t="n"/>
    </row>
    <row r="431">
      <c r="A431" s="23" t="n"/>
      <c r="B431" s="26">
        <f>IF($A431="","",IFERROR(INDEX('Chart Database'!$B$6:$B$4005,MATCH($A431,'Chart Database'!$A$6:$A$4005,0)),"UNKNOWN CHART"))</f>
        <v/>
      </c>
      <c r="C431" s="23" t="n"/>
      <c r="D431" s="23" t="n"/>
      <c r="E431" s="25" t="n"/>
      <c r="F431" s="15" t="n"/>
      <c r="G431" s="23" t="n"/>
      <c r="H431" s="15" t="n"/>
      <c r="I431" s="15" t="n"/>
      <c r="J431" s="15" t="n"/>
      <c r="K431" s="25" t="n"/>
      <c r="L431" s="15" t="n"/>
      <c r="M431" s="26">
        <f>IF(OR($A431="",$L431&lt;&gt;"Active"),"",COUNTIFS($A$5:$A431,$A431,$L$5:$L431,"Active"))</f>
        <v/>
      </c>
      <c r="N431" s="26">
        <f>IF(OR($A431="",$M431=""),"",IF($M431=IFERROR(INDEX('Chart Database'!$R$6:$R$4005,MATCH($A431,'Chart Database'!$A$6:$A$4005,0)),0),"NEXT",""))</f>
        <v/>
      </c>
      <c r="O431" s="23" t="n"/>
    </row>
    <row r="432">
      <c r="A432" s="23" t="n"/>
      <c r="B432" s="26">
        <f>IF($A432="","",IFERROR(INDEX('Chart Database'!$B$6:$B$4005,MATCH($A432,'Chart Database'!$A$6:$A$4005,0)),"UNKNOWN CHART"))</f>
        <v/>
      </c>
      <c r="C432" s="23" t="n"/>
      <c r="D432" s="23" t="n"/>
      <c r="E432" s="25" t="n"/>
      <c r="F432" s="15" t="n"/>
      <c r="G432" s="23" t="n"/>
      <c r="H432" s="15" t="n"/>
      <c r="I432" s="15" t="n"/>
      <c r="J432" s="15" t="n"/>
      <c r="K432" s="25" t="n"/>
      <c r="L432" s="15" t="n"/>
      <c r="M432" s="26">
        <f>IF(OR($A432="",$L432&lt;&gt;"Active"),"",COUNTIFS($A$5:$A432,$A432,$L$5:$L432,"Active"))</f>
        <v/>
      </c>
      <c r="N432" s="26">
        <f>IF(OR($A432="",$M432=""),"",IF($M432=IFERROR(INDEX('Chart Database'!$R$6:$R$4005,MATCH($A432,'Chart Database'!$A$6:$A$4005,0)),0),"NEXT",""))</f>
        <v/>
      </c>
      <c r="O432" s="23" t="n"/>
    </row>
    <row r="433">
      <c r="A433" s="23" t="n"/>
      <c r="B433" s="26">
        <f>IF($A433="","",IFERROR(INDEX('Chart Database'!$B$6:$B$4005,MATCH($A433,'Chart Database'!$A$6:$A$4005,0)),"UNKNOWN CHART"))</f>
        <v/>
      </c>
      <c r="C433" s="23" t="n"/>
      <c r="D433" s="23" t="n"/>
      <c r="E433" s="25" t="n"/>
      <c r="F433" s="15" t="n"/>
      <c r="G433" s="23" t="n"/>
      <c r="H433" s="15" t="n"/>
      <c r="I433" s="15" t="n"/>
      <c r="J433" s="15" t="n"/>
      <c r="K433" s="25" t="n"/>
      <c r="L433" s="15" t="n"/>
      <c r="M433" s="26">
        <f>IF(OR($A433="",$L433&lt;&gt;"Active"),"",COUNTIFS($A$5:$A433,$A433,$L$5:$L433,"Active"))</f>
        <v/>
      </c>
      <c r="N433" s="26">
        <f>IF(OR($A433="",$M433=""),"",IF($M433=IFERROR(INDEX('Chart Database'!$R$6:$R$4005,MATCH($A433,'Chart Database'!$A$6:$A$4005,0)),0),"NEXT",""))</f>
        <v/>
      </c>
      <c r="O433" s="23" t="n"/>
    </row>
    <row r="434">
      <c r="A434" s="23" t="n"/>
      <c r="B434" s="26">
        <f>IF($A434="","",IFERROR(INDEX('Chart Database'!$B$6:$B$4005,MATCH($A434,'Chart Database'!$A$6:$A$4005,0)),"UNKNOWN CHART"))</f>
        <v/>
      </c>
      <c r="C434" s="23" t="n"/>
      <c r="D434" s="23" t="n"/>
      <c r="E434" s="25" t="n"/>
      <c r="F434" s="15" t="n"/>
      <c r="G434" s="23" t="n"/>
      <c r="H434" s="15" t="n"/>
      <c r="I434" s="15" t="n"/>
      <c r="J434" s="15" t="n"/>
      <c r="K434" s="25" t="n"/>
      <c r="L434" s="15" t="n"/>
      <c r="M434" s="26">
        <f>IF(OR($A434="",$L434&lt;&gt;"Active"),"",COUNTIFS($A$5:$A434,$A434,$L$5:$L434,"Active"))</f>
        <v/>
      </c>
      <c r="N434" s="26">
        <f>IF(OR($A434="",$M434=""),"",IF($M434=IFERROR(INDEX('Chart Database'!$R$6:$R$4005,MATCH($A434,'Chart Database'!$A$6:$A$4005,0)),0),"NEXT",""))</f>
        <v/>
      </c>
      <c r="O434" s="23" t="n"/>
    </row>
    <row r="435">
      <c r="A435" s="23" t="n"/>
      <c r="B435" s="26">
        <f>IF($A435="","",IFERROR(INDEX('Chart Database'!$B$6:$B$4005,MATCH($A435,'Chart Database'!$A$6:$A$4005,0)),"UNKNOWN CHART"))</f>
        <v/>
      </c>
      <c r="C435" s="23" t="n"/>
      <c r="D435" s="23" t="n"/>
      <c r="E435" s="25" t="n"/>
      <c r="F435" s="15" t="n"/>
      <c r="G435" s="23" t="n"/>
      <c r="H435" s="15" t="n"/>
      <c r="I435" s="15" t="n"/>
      <c r="J435" s="15" t="n"/>
      <c r="K435" s="25" t="n"/>
      <c r="L435" s="15" t="n"/>
      <c r="M435" s="26">
        <f>IF(OR($A435="",$L435&lt;&gt;"Active"),"",COUNTIFS($A$5:$A435,$A435,$L$5:$L435,"Active"))</f>
        <v/>
      </c>
      <c r="N435" s="26">
        <f>IF(OR($A435="",$M435=""),"",IF($M435=IFERROR(INDEX('Chart Database'!$R$6:$R$4005,MATCH($A435,'Chart Database'!$A$6:$A$4005,0)),0),"NEXT",""))</f>
        <v/>
      </c>
      <c r="O435" s="23" t="n"/>
    </row>
    <row r="436">
      <c r="A436" s="23" t="n"/>
      <c r="B436" s="26">
        <f>IF($A436="","",IFERROR(INDEX('Chart Database'!$B$6:$B$4005,MATCH($A436,'Chart Database'!$A$6:$A$4005,0)),"UNKNOWN CHART"))</f>
        <v/>
      </c>
      <c r="C436" s="23" t="n"/>
      <c r="D436" s="23" t="n"/>
      <c r="E436" s="25" t="n"/>
      <c r="F436" s="15" t="n"/>
      <c r="G436" s="23" t="n"/>
      <c r="H436" s="15" t="n"/>
      <c r="I436" s="15" t="n"/>
      <c r="J436" s="15" t="n"/>
      <c r="K436" s="25" t="n"/>
      <c r="L436" s="15" t="n"/>
      <c r="M436" s="26">
        <f>IF(OR($A436="",$L436&lt;&gt;"Active"),"",COUNTIFS($A$5:$A436,$A436,$L$5:$L436,"Active"))</f>
        <v/>
      </c>
      <c r="N436" s="26">
        <f>IF(OR($A436="",$M436=""),"",IF($M436=IFERROR(INDEX('Chart Database'!$R$6:$R$4005,MATCH($A436,'Chart Database'!$A$6:$A$4005,0)),0),"NEXT",""))</f>
        <v/>
      </c>
      <c r="O436" s="23" t="n"/>
    </row>
    <row r="437">
      <c r="A437" s="23" t="n"/>
      <c r="B437" s="26">
        <f>IF($A437="","",IFERROR(INDEX('Chart Database'!$B$6:$B$4005,MATCH($A437,'Chart Database'!$A$6:$A$4005,0)),"UNKNOWN CHART"))</f>
        <v/>
      </c>
      <c r="C437" s="23" t="n"/>
      <c r="D437" s="23" t="n"/>
      <c r="E437" s="25" t="n"/>
      <c r="F437" s="15" t="n"/>
      <c r="G437" s="23" t="n"/>
      <c r="H437" s="15" t="n"/>
      <c r="I437" s="15" t="n"/>
      <c r="J437" s="15" t="n"/>
      <c r="K437" s="25" t="n"/>
      <c r="L437" s="15" t="n"/>
      <c r="M437" s="26">
        <f>IF(OR($A437="",$L437&lt;&gt;"Active"),"",COUNTIFS($A$5:$A437,$A437,$L$5:$L437,"Active"))</f>
        <v/>
      </c>
      <c r="N437" s="26">
        <f>IF(OR($A437="",$M437=""),"",IF($M437=IFERROR(INDEX('Chart Database'!$R$6:$R$4005,MATCH($A437,'Chart Database'!$A$6:$A$4005,0)),0),"NEXT",""))</f>
        <v/>
      </c>
      <c r="O437" s="23" t="n"/>
    </row>
    <row r="438">
      <c r="A438" s="23" t="n"/>
      <c r="B438" s="26">
        <f>IF($A438="","",IFERROR(INDEX('Chart Database'!$B$6:$B$4005,MATCH($A438,'Chart Database'!$A$6:$A$4005,0)),"UNKNOWN CHART"))</f>
        <v/>
      </c>
      <c r="C438" s="23" t="n"/>
      <c r="D438" s="23" t="n"/>
      <c r="E438" s="25" t="n"/>
      <c r="F438" s="15" t="n"/>
      <c r="G438" s="23" t="n"/>
      <c r="H438" s="15" t="n"/>
      <c r="I438" s="15" t="n"/>
      <c r="J438" s="15" t="n"/>
      <c r="K438" s="25" t="n"/>
      <c r="L438" s="15" t="n"/>
      <c r="M438" s="26">
        <f>IF(OR($A438="",$L438&lt;&gt;"Active"),"",COUNTIFS($A$5:$A438,$A438,$L$5:$L438,"Active"))</f>
        <v/>
      </c>
      <c r="N438" s="26">
        <f>IF(OR($A438="",$M438=""),"",IF($M438=IFERROR(INDEX('Chart Database'!$R$6:$R$4005,MATCH($A438,'Chart Database'!$A$6:$A$4005,0)),0),"NEXT",""))</f>
        <v/>
      </c>
      <c r="O438" s="23" t="n"/>
    </row>
    <row r="439">
      <c r="A439" s="23" t="n"/>
      <c r="B439" s="26">
        <f>IF($A439="","",IFERROR(INDEX('Chart Database'!$B$6:$B$4005,MATCH($A439,'Chart Database'!$A$6:$A$4005,0)),"UNKNOWN CHART"))</f>
        <v/>
      </c>
      <c r="C439" s="23" t="n"/>
      <c r="D439" s="23" t="n"/>
      <c r="E439" s="25" t="n"/>
      <c r="F439" s="15" t="n"/>
      <c r="G439" s="23" t="n"/>
      <c r="H439" s="15" t="n"/>
      <c r="I439" s="15" t="n"/>
      <c r="J439" s="15" t="n"/>
      <c r="K439" s="25" t="n"/>
      <c r="L439" s="15" t="n"/>
      <c r="M439" s="26">
        <f>IF(OR($A439="",$L439&lt;&gt;"Active"),"",COUNTIFS($A$5:$A439,$A439,$L$5:$L439,"Active"))</f>
        <v/>
      </c>
      <c r="N439" s="26">
        <f>IF(OR($A439="",$M439=""),"",IF($M439=IFERROR(INDEX('Chart Database'!$R$6:$R$4005,MATCH($A439,'Chart Database'!$A$6:$A$4005,0)),0),"NEXT",""))</f>
        <v/>
      </c>
      <c r="O439" s="23" t="n"/>
    </row>
    <row r="440">
      <c r="A440" s="23" t="n"/>
      <c r="B440" s="26">
        <f>IF($A440="","",IFERROR(INDEX('Chart Database'!$B$6:$B$4005,MATCH($A440,'Chart Database'!$A$6:$A$4005,0)),"UNKNOWN CHART"))</f>
        <v/>
      </c>
      <c r="C440" s="23" t="n"/>
      <c r="D440" s="23" t="n"/>
      <c r="E440" s="25" t="n"/>
      <c r="F440" s="15" t="n"/>
      <c r="G440" s="23" t="n"/>
      <c r="H440" s="15" t="n"/>
      <c r="I440" s="15" t="n"/>
      <c r="J440" s="15" t="n"/>
      <c r="K440" s="25" t="n"/>
      <c r="L440" s="15" t="n"/>
      <c r="M440" s="26">
        <f>IF(OR($A440="",$L440&lt;&gt;"Active"),"",COUNTIFS($A$5:$A440,$A440,$L$5:$L440,"Active"))</f>
        <v/>
      </c>
      <c r="N440" s="26">
        <f>IF(OR($A440="",$M440=""),"",IF($M440=IFERROR(INDEX('Chart Database'!$R$6:$R$4005,MATCH($A440,'Chart Database'!$A$6:$A$4005,0)),0),"NEXT",""))</f>
        <v/>
      </c>
      <c r="O440" s="23" t="n"/>
    </row>
    <row r="441">
      <c r="A441" s="23" t="n"/>
      <c r="B441" s="26">
        <f>IF($A441="","",IFERROR(INDEX('Chart Database'!$B$6:$B$4005,MATCH($A441,'Chart Database'!$A$6:$A$4005,0)),"UNKNOWN CHART"))</f>
        <v/>
      </c>
      <c r="C441" s="23" t="n"/>
      <c r="D441" s="23" t="n"/>
      <c r="E441" s="25" t="n"/>
      <c r="F441" s="15" t="n"/>
      <c r="G441" s="23" t="n"/>
      <c r="H441" s="15" t="n"/>
      <c r="I441" s="15" t="n"/>
      <c r="J441" s="15" t="n"/>
      <c r="K441" s="25" t="n"/>
      <c r="L441" s="15" t="n"/>
      <c r="M441" s="26">
        <f>IF(OR($A441="",$L441&lt;&gt;"Active"),"",COUNTIFS($A$5:$A441,$A441,$L$5:$L441,"Active"))</f>
        <v/>
      </c>
      <c r="N441" s="26">
        <f>IF(OR($A441="",$M441=""),"",IF($M441=IFERROR(INDEX('Chart Database'!$R$6:$R$4005,MATCH($A441,'Chart Database'!$A$6:$A$4005,0)),0),"NEXT",""))</f>
        <v/>
      </c>
      <c r="O441" s="23" t="n"/>
    </row>
    <row r="442">
      <c r="A442" s="23" t="n"/>
      <c r="B442" s="26">
        <f>IF($A442="","",IFERROR(INDEX('Chart Database'!$B$6:$B$4005,MATCH($A442,'Chart Database'!$A$6:$A$4005,0)),"UNKNOWN CHART"))</f>
        <v/>
      </c>
      <c r="C442" s="23" t="n"/>
      <c r="D442" s="23" t="n"/>
      <c r="E442" s="25" t="n"/>
      <c r="F442" s="15" t="n"/>
      <c r="G442" s="23" t="n"/>
      <c r="H442" s="15" t="n"/>
      <c r="I442" s="15" t="n"/>
      <c r="J442" s="15" t="n"/>
      <c r="K442" s="25" t="n"/>
      <c r="L442" s="15" t="n"/>
      <c r="M442" s="26">
        <f>IF(OR($A442="",$L442&lt;&gt;"Active"),"",COUNTIFS($A$5:$A442,$A442,$L$5:$L442,"Active"))</f>
        <v/>
      </c>
      <c r="N442" s="26">
        <f>IF(OR($A442="",$M442=""),"",IF($M442=IFERROR(INDEX('Chart Database'!$R$6:$R$4005,MATCH($A442,'Chart Database'!$A$6:$A$4005,0)),0),"NEXT",""))</f>
        <v/>
      </c>
      <c r="O442" s="23" t="n"/>
    </row>
    <row r="443">
      <c r="A443" s="23" t="n"/>
      <c r="B443" s="26">
        <f>IF($A443="","",IFERROR(INDEX('Chart Database'!$B$6:$B$4005,MATCH($A443,'Chart Database'!$A$6:$A$4005,0)),"UNKNOWN CHART"))</f>
        <v/>
      </c>
      <c r="C443" s="23" t="n"/>
      <c r="D443" s="23" t="n"/>
      <c r="E443" s="25" t="n"/>
      <c r="F443" s="15" t="n"/>
      <c r="G443" s="23" t="n"/>
      <c r="H443" s="15" t="n"/>
      <c r="I443" s="15" t="n"/>
      <c r="J443" s="15" t="n"/>
      <c r="K443" s="25" t="n"/>
      <c r="L443" s="15" t="n"/>
      <c r="M443" s="26">
        <f>IF(OR($A443="",$L443&lt;&gt;"Active"),"",COUNTIFS($A$5:$A443,$A443,$L$5:$L443,"Active"))</f>
        <v/>
      </c>
      <c r="N443" s="26">
        <f>IF(OR($A443="",$M443=""),"",IF($M443=IFERROR(INDEX('Chart Database'!$R$6:$R$4005,MATCH($A443,'Chart Database'!$A$6:$A$4005,0)),0),"NEXT",""))</f>
        <v/>
      </c>
      <c r="O443" s="23" t="n"/>
    </row>
    <row r="444">
      <c r="A444" s="23" t="n"/>
      <c r="B444" s="26">
        <f>IF($A444="","",IFERROR(INDEX('Chart Database'!$B$6:$B$4005,MATCH($A444,'Chart Database'!$A$6:$A$4005,0)),"UNKNOWN CHART"))</f>
        <v/>
      </c>
      <c r="C444" s="23" t="n"/>
      <c r="D444" s="23" t="n"/>
      <c r="E444" s="25" t="n"/>
      <c r="F444" s="15" t="n"/>
      <c r="G444" s="23" t="n"/>
      <c r="H444" s="15" t="n"/>
      <c r="I444" s="15" t="n"/>
      <c r="J444" s="15" t="n"/>
      <c r="K444" s="25" t="n"/>
      <c r="L444" s="15" t="n"/>
      <c r="M444" s="26">
        <f>IF(OR($A444="",$L444&lt;&gt;"Active"),"",COUNTIFS($A$5:$A444,$A444,$L$5:$L444,"Active"))</f>
        <v/>
      </c>
      <c r="N444" s="26">
        <f>IF(OR($A444="",$M444=""),"",IF($M444=IFERROR(INDEX('Chart Database'!$R$6:$R$4005,MATCH($A444,'Chart Database'!$A$6:$A$4005,0)),0),"NEXT",""))</f>
        <v/>
      </c>
      <c r="O444" s="23" t="n"/>
    </row>
    <row r="445">
      <c r="A445" s="23" t="n"/>
      <c r="B445" s="26">
        <f>IF($A445="","",IFERROR(INDEX('Chart Database'!$B$6:$B$4005,MATCH($A445,'Chart Database'!$A$6:$A$4005,0)),"UNKNOWN CHART"))</f>
        <v/>
      </c>
      <c r="C445" s="23" t="n"/>
      <c r="D445" s="23" t="n"/>
      <c r="E445" s="25" t="n"/>
      <c r="F445" s="15" t="n"/>
      <c r="G445" s="23" t="n"/>
      <c r="H445" s="15" t="n"/>
      <c r="I445" s="15" t="n"/>
      <c r="J445" s="15" t="n"/>
      <c r="K445" s="25" t="n"/>
      <c r="L445" s="15" t="n"/>
      <c r="M445" s="26">
        <f>IF(OR($A445="",$L445&lt;&gt;"Active"),"",COUNTIFS($A$5:$A445,$A445,$L$5:$L445,"Active"))</f>
        <v/>
      </c>
      <c r="N445" s="26">
        <f>IF(OR($A445="",$M445=""),"",IF($M445=IFERROR(INDEX('Chart Database'!$R$6:$R$4005,MATCH($A445,'Chart Database'!$A$6:$A$4005,0)),0),"NEXT",""))</f>
        <v/>
      </c>
      <c r="O445" s="23" t="n"/>
    </row>
    <row r="446">
      <c r="A446" s="23" t="n"/>
      <c r="B446" s="26">
        <f>IF($A446="","",IFERROR(INDEX('Chart Database'!$B$6:$B$4005,MATCH($A446,'Chart Database'!$A$6:$A$4005,0)),"UNKNOWN CHART"))</f>
        <v/>
      </c>
      <c r="C446" s="23" t="n"/>
      <c r="D446" s="23" t="n"/>
      <c r="E446" s="25" t="n"/>
      <c r="F446" s="15" t="n"/>
      <c r="G446" s="23" t="n"/>
      <c r="H446" s="15" t="n"/>
      <c r="I446" s="15" t="n"/>
      <c r="J446" s="15" t="n"/>
      <c r="K446" s="25" t="n"/>
      <c r="L446" s="15" t="n"/>
      <c r="M446" s="26">
        <f>IF(OR($A446="",$L446&lt;&gt;"Active"),"",COUNTIFS($A$5:$A446,$A446,$L$5:$L446,"Active"))</f>
        <v/>
      </c>
      <c r="N446" s="26">
        <f>IF(OR($A446="",$M446=""),"",IF($M446=IFERROR(INDEX('Chart Database'!$R$6:$R$4005,MATCH($A446,'Chart Database'!$A$6:$A$4005,0)),0),"NEXT",""))</f>
        <v/>
      </c>
      <c r="O446" s="23" t="n"/>
    </row>
    <row r="447">
      <c r="A447" s="23" t="n"/>
      <c r="B447" s="26">
        <f>IF($A447="","",IFERROR(INDEX('Chart Database'!$B$6:$B$4005,MATCH($A447,'Chart Database'!$A$6:$A$4005,0)),"UNKNOWN CHART"))</f>
        <v/>
      </c>
      <c r="C447" s="23" t="n"/>
      <c r="D447" s="23" t="n"/>
      <c r="E447" s="25" t="n"/>
      <c r="F447" s="15" t="n"/>
      <c r="G447" s="23" t="n"/>
      <c r="H447" s="15" t="n"/>
      <c r="I447" s="15" t="n"/>
      <c r="J447" s="15" t="n"/>
      <c r="K447" s="25" t="n"/>
      <c r="L447" s="15" t="n"/>
      <c r="M447" s="26">
        <f>IF(OR($A447="",$L447&lt;&gt;"Active"),"",COUNTIFS($A$5:$A447,$A447,$L$5:$L447,"Active"))</f>
        <v/>
      </c>
      <c r="N447" s="26">
        <f>IF(OR($A447="",$M447=""),"",IF($M447=IFERROR(INDEX('Chart Database'!$R$6:$R$4005,MATCH($A447,'Chart Database'!$A$6:$A$4005,0)),0),"NEXT",""))</f>
        <v/>
      </c>
      <c r="O447" s="23" t="n"/>
    </row>
    <row r="448">
      <c r="A448" s="23" t="n"/>
      <c r="B448" s="26">
        <f>IF($A448="","",IFERROR(INDEX('Chart Database'!$B$6:$B$4005,MATCH($A448,'Chart Database'!$A$6:$A$4005,0)),"UNKNOWN CHART"))</f>
        <v/>
      </c>
      <c r="C448" s="23" t="n"/>
      <c r="D448" s="23" t="n"/>
      <c r="E448" s="25" t="n"/>
      <c r="F448" s="15" t="n"/>
      <c r="G448" s="23" t="n"/>
      <c r="H448" s="15" t="n"/>
      <c r="I448" s="15" t="n"/>
      <c r="J448" s="15" t="n"/>
      <c r="K448" s="25" t="n"/>
      <c r="L448" s="15" t="n"/>
      <c r="M448" s="26">
        <f>IF(OR($A448="",$L448&lt;&gt;"Active"),"",COUNTIFS($A$5:$A448,$A448,$L$5:$L448,"Active"))</f>
        <v/>
      </c>
      <c r="N448" s="26">
        <f>IF(OR($A448="",$M448=""),"",IF($M448=IFERROR(INDEX('Chart Database'!$R$6:$R$4005,MATCH($A448,'Chart Database'!$A$6:$A$4005,0)),0),"NEXT",""))</f>
        <v/>
      </c>
      <c r="O448" s="23" t="n"/>
    </row>
    <row r="449">
      <c r="A449" s="23" t="n"/>
      <c r="B449" s="26">
        <f>IF($A449="","",IFERROR(INDEX('Chart Database'!$B$6:$B$4005,MATCH($A449,'Chart Database'!$A$6:$A$4005,0)),"UNKNOWN CHART"))</f>
        <v/>
      </c>
      <c r="C449" s="23" t="n"/>
      <c r="D449" s="23" t="n"/>
      <c r="E449" s="25" t="n"/>
      <c r="F449" s="15" t="n"/>
      <c r="G449" s="23" t="n"/>
      <c r="H449" s="15" t="n"/>
      <c r="I449" s="15" t="n"/>
      <c r="J449" s="15" t="n"/>
      <c r="K449" s="25" t="n"/>
      <c r="L449" s="15" t="n"/>
      <c r="M449" s="26">
        <f>IF(OR($A449="",$L449&lt;&gt;"Active"),"",COUNTIFS($A$5:$A449,$A449,$L$5:$L449,"Active"))</f>
        <v/>
      </c>
      <c r="N449" s="26">
        <f>IF(OR($A449="",$M449=""),"",IF($M449=IFERROR(INDEX('Chart Database'!$R$6:$R$4005,MATCH($A449,'Chart Database'!$A$6:$A$4005,0)),0),"NEXT",""))</f>
        <v/>
      </c>
      <c r="O449" s="23" t="n"/>
    </row>
    <row r="450">
      <c r="A450" s="23" t="n"/>
      <c r="B450" s="26">
        <f>IF($A450="","",IFERROR(INDEX('Chart Database'!$B$6:$B$4005,MATCH($A450,'Chart Database'!$A$6:$A$4005,0)),"UNKNOWN CHART"))</f>
        <v/>
      </c>
      <c r="C450" s="23" t="n"/>
      <c r="D450" s="23" t="n"/>
      <c r="E450" s="25" t="n"/>
      <c r="F450" s="15" t="n"/>
      <c r="G450" s="23" t="n"/>
      <c r="H450" s="15" t="n"/>
      <c r="I450" s="15" t="n"/>
      <c r="J450" s="15" t="n"/>
      <c r="K450" s="25" t="n"/>
      <c r="L450" s="15" t="n"/>
      <c r="M450" s="26">
        <f>IF(OR($A450="",$L450&lt;&gt;"Active"),"",COUNTIFS($A$5:$A450,$A450,$L$5:$L450,"Active"))</f>
        <v/>
      </c>
      <c r="N450" s="26">
        <f>IF(OR($A450="",$M450=""),"",IF($M450=IFERROR(INDEX('Chart Database'!$R$6:$R$4005,MATCH($A450,'Chart Database'!$A$6:$A$4005,0)),0),"NEXT",""))</f>
        <v/>
      </c>
      <c r="O450" s="23" t="n"/>
    </row>
    <row r="451">
      <c r="A451" s="23" t="n"/>
      <c r="B451" s="26">
        <f>IF($A451="","",IFERROR(INDEX('Chart Database'!$B$6:$B$4005,MATCH($A451,'Chart Database'!$A$6:$A$4005,0)),"UNKNOWN CHART"))</f>
        <v/>
      </c>
      <c r="C451" s="23" t="n"/>
      <c r="D451" s="23" t="n"/>
      <c r="E451" s="25" t="n"/>
      <c r="F451" s="15" t="n"/>
      <c r="G451" s="23" t="n"/>
      <c r="H451" s="15" t="n"/>
      <c r="I451" s="15" t="n"/>
      <c r="J451" s="15" t="n"/>
      <c r="K451" s="25" t="n"/>
      <c r="L451" s="15" t="n"/>
      <c r="M451" s="26">
        <f>IF(OR($A451="",$L451&lt;&gt;"Active"),"",COUNTIFS($A$5:$A451,$A451,$L$5:$L451,"Active"))</f>
        <v/>
      </c>
      <c r="N451" s="26">
        <f>IF(OR($A451="",$M451=""),"",IF($M451=IFERROR(INDEX('Chart Database'!$R$6:$R$4005,MATCH($A451,'Chart Database'!$A$6:$A$4005,0)),0),"NEXT",""))</f>
        <v/>
      </c>
      <c r="O451" s="23" t="n"/>
    </row>
    <row r="452">
      <c r="A452" s="23" t="n"/>
      <c r="B452" s="26">
        <f>IF($A452="","",IFERROR(INDEX('Chart Database'!$B$6:$B$4005,MATCH($A452,'Chart Database'!$A$6:$A$4005,0)),"UNKNOWN CHART"))</f>
        <v/>
      </c>
      <c r="C452" s="23" t="n"/>
      <c r="D452" s="23" t="n"/>
      <c r="E452" s="25" t="n"/>
      <c r="F452" s="15" t="n"/>
      <c r="G452" s="23" t="n"/>
      <c r="H452" s="15" t="n"/>
      <c r="I452" s="15" t="n"/>
      <c r="J452" s="15" t="n"/>
      <c r="K452" s="25" t="n"/>
      <c r="L452" s="15" t="n"/>
      <c r="M452" s="26">
        <f>IF(OR($A452="",$L452&lt;&gt;"Active"),"",COUNTIFS($A$5:$A452,$A452,$L$5:$L452,"Active"))</f>
        <v/>
      </c>
      <c r="N452" s="26">
        <f>IF(OR($A452="",$M452=""),"",IF($M452=IFERROR(INDEX('Chart Database'!$R$6:$R$4005,MATCH($A452,'Chart Database'!$A$6:$A$4005,0)),0),"NEXT",""))</f>
        <v/>
      </c>
      <c r="O452" s="23" t="n"/>
    </row>
    <row r="453">
      <c r="A453" s="23" t="n"/>
      <c r="B453" s="26">
        <f>IF($A453="","",IFERROR(INDEX('Chart Database'!$B$6:$B$4005,MATCH($A453,'Chart Database'!$A$6:$A$4005,0)),"UNKNOWN CHART"))</f>
        <v/>
      </c>
      <c r="C453" s="23" t="n"/>
      <c r="D453" s="23" t="n"/>
      <c r="E453" s="25" t="n"/>
      <c r="F453" s="15" t="n"/>
      <c r="G453" s="23" t="n"/>
      <c r="H453" s="15" t="n"/>
      <c r="I453" s="15" t="n"/>
      <c r="J453" s="15" t="n"/>
      <c r="K453" s="25" t="n"/>
      <c r="L453" s="15" t="n"/>
      <c r="M453" s="26">
        <f>IF(OR($A453="",$L453&lt;&gt;"Active"),"",COUNTIFS($A$5:$A453,$A453,$L$5:$L453,"Active"))</f>
        <v/>
      </c>
      <c r="N453" s="26">
        <f>IF(OR($A453="",$M453=""),"",IF($M453=IFERROR(INDEX('Chart Database'!$R$6:$R$4005,MATCH($A453,'Chart Database'!$A$6:$A$4005,0)),0),"NEXT",""))</f>
        <v/>
      </c>
      <c r="O453" s="23" t="n"/>
    </row>
    <row r="454">
      <c r="A454" s="23" t="n"/>
      <c r="B454" s="26">
        <f>IF($A454="","",IFERROR(INDEX('Chart Database'!$B$6:$B$4005,MATCH($A454,'Chart Database'!$A$6:$A$4005,0)),"UNKNOWN CHART"))</f>
        <v/>
      </c>
      <c r="C454" s="23" t="n"/>
      <c r="D454" s="23" t="n"/>
      <c r="E454" s="25" t="n"/>
      <c r="F454" s="15" t="n"/>
      <c r="G454" s="23" t="n"/>
      <c r="H454" s="15" t="n"/>
      <c r="I454" s="15" t="n"/>
      <c r="J454" s="15" t="n"/>
      <c r="K454" s="25" t="n"/>
      <c r="L454" s="15" t="n"/>
      <c r="M454" s="26">
        <f>IF(OR($A454="",$L454&lt;&gt;"Active"),"",COUNTIFS($A$5:$A454,$A454,$L$5:$L454,"Active"))</f>
        <v/>
      </c>
      <c r="N454" s="26">
        <f>IF(OR($A454="",$M454=""),"",IF($M454=IFERROR(INDEX('Chart Database'!$R$6:$R$4005,MATCH($A454,'Chart Database'!$A$6:$A$4005,0)),0),"NEXT",""))</f>
        <v/>
      </c>
      <c r="O454" s="23" t="n"/>
    </row>
    <row r="455">
      <c r="A455" s="23" t="n"/>
      <c r="B455" s="26">
        <f>IF($A455="","",IFERROR(INDEX('Chart Database'!$B$6:$B$4005,MATCH($A455,'Chart Database'!$A$6:$A$4005,0)),"UNKNOWN CHART"))</f>
        <v/>
      </c>
      <c r="C455" s="23" t="n"/>
      <c r="D455" s="23" t="n"/>
      <c r="E455" s="25" t="n"/>
      <c r="F455" s="15" t="n"/>
      <c r="G455" s="23" t="n"/>
      <c r="H455" s="15" t="n"/>
      <c r="I455" s="15" t="n"/>
      <c r="J455" s="15" t="n"/>
      <c r="K455" s="25" t="n"/>
      <c r="L455" s="15" t="n"/>
      <c r="M455" s="26">
        <f>IF(OR($A455="",$L455&lt;&gt;"Active"),"",COUNTIFS($A$5:$A455,$A455,$L$5:$L455,"Active"))</f>
        <v/>
      </c>
      <c r="N455" s="26">
        <f>IF(OR($A455="",$M455=""),"",IF($M455=IFERROR(INDEX('Chart Database'!$R$6:$R$4005,MATCH($A455,'Chart Database'!$A$6:$A$4005,0)),0),"NEXT",""))</f>
        <v/>
      </c>
      <c r="O455" s="23" t="n"/>
    </row>
    <row r="456">
      <c r="A456" s="23" t="n"/>
      <c r="B456" s="26">
        <f>IF($A456="","",IFERROR(INDEX('Chart Database'!$B$6:$B$4005,MATCH($A456,'Chart Database'!$A$6:$A$4005,0)),"UNKNOWN CHART"))</f>
        <v/>
      </c>
      <c r="C456" s="23" t="n"/>
      <c r="D456" s="23" t="n"/>
      <c r="E456" s="25" t="n"/>
      <c r="F456" s="15" t="n"/>
      <c r="G456" s="23" t="n"/>
      <c r="H456" s="15" t="n"/>
      <c r="I456" s="15" t="n"/>
      <c r="J456" s="15" t="n"/>
      <c r="K456" s="25" t="n"/>
      <c r="L456" s="15" t="n"/>
      <c r="M456" s="26">
        <f>IF(OR($A456="",$L456&lt;&gt;"Active"),"",COUNTIFS($A$5:$A456,$A456,$L$5:$L456,"Active"))</f>
        <v/>
      </c>
      <c r="N456" s="26">
        <f>IF(OR($A456="",$M456=""),"",IF($M456=IFERROR(INDEX('Chart Database'!$R$6:$R$4005,MATCH($A456,'Chart Database'!$A$6:$A$4005,0)),0),"NEXT",""))</f>
        <v/>
      </c>
      <c r="O456" s="23" t="n"/>
    </row>
    <row r="457">
      <c r="A457" s="23" t="n"/>
      <c r="B457" s="26">
        <f>IF($A457="","",IFERROR(INDEX('Chart Database'!$B$6:$B$4005,MATCH($A457,'Chart Database'!$A$6:$A$4005,0)),"UNKNOWN CHART"))</f>
        <v/>
      </c>
      <c r="C457" s="23" t="n"/>
      <c r="D457" s="23" t="n"/>
      <c r="E457" s="25" t="n"/>
      <c r="F457" s="15" t="n"/>
      <c r="G457" s="23" t="n"/>
      <c r="H457" s="15" t="n"/>
      <c r="I457" s="15" t="n"/>
      <c r="J457" s="15" t="n"/>
      <c r="K457" s="25" t="n"/>
      <c r="L457" s="15" t="n"/>
      <c r="M457" s="26">
        <f>IF(OR($A457="",$L457&lt;&gt;"Active"),"",COUNTIFS($A$5:$A457,$A457,$L$5:$L457,"Active"))</f>
        <v/>
      </c>
      <c r="N457" s="26">
        <f>IF(OR($A457="",$M457=""),"",IF($M457=IFERROR(INDEX('Chart Database'!$R$6:$R$4005,MATCH($A457,'Chart Database'!$A$6:$A$4005,0)),0),"NEXT",""))</f>
        <v/>
      </c>
      <c r="O457" s="23" t="n"/>
    </row>
    <row r="458">
      <c r="A458" s="23" t="n"/>
      <c r="B458" s="26">
        <f>IF($A458="","",IFERROR(INDEX('Chart Database'!$B$6:$B$4005,MATCH($A458,'Chart Database'!$A$6:$A$4005,0)),"UNKNOWN CHART"))</f>
        <v/>
      </c>
      <c r="C458" s="23" t="n"/>
      <c r="D458" s="23" t="n"/>
      <c r="E458" s="25" t="n"/>
      <c r="F458" s="15" t="n"/>
      <c r="G458" s="23" t="n"/>
      <c r="H458" s="15" t="n"/>
      <c r="I458" s="15" t="n"/>
      <c r="J458" s="15" t="n"/>
      <c r="K458" s="25" t="n"/>
      <c r="L458" s="15" t="n"/>
      <c r="M458" s="26">
        <f>IF(OR($A458="",$L458&lt;&gt;"Active"),"",COUNTIFS($A$5:$A458,$A458,$L$5:$L458,"Active"))</f>
        <v/>
      </c>
      <c r="N458" s="26">
        <f>IF(OR($A458="",$M458=""),"",IF($M458=IFERROR(INDEX('Chart Database'!$R$6:$R$4005,MATCH($A458,'Chart Database'!$A$6:$A$4005,0)),0),"NEXT",""))</f>
        <v/>
      </c>
      <c r="O458" s="23" t="n"/>
    </row>
    <row r="459">
      <c r="A459" s="23" t="n"/>
      <c r="B459" s="26">
        <f>IF($A459="","",IFERROR(INDEX('Chart Database'!$B$6:$B$4005,MATCH($A459,'Chart Database'!$A$6:$A$4005,0)),"UNKNOWN CHART"))</f>
        <v/>
      </c>
      <c r="C459" s="23" t="n"/>
      <c r="D459" s="23" t="n"/>
      <c r="E459" s="25" t="n"/>
      <c r="F459" s="15" t="n"/>
      <c r="G459" s="23" t="n"/>
      <c r="H459" s="15" t="n"/>
      <c r="I459" s="15" t="n"/>
      <c r="J459" s="15" t="n"/>
      <c r="K459" s="25" t="n"/>
      <c r="L459" s="15" t="n"/>
      <c r="M459" s="26">
        <f>IF(OR($A459="",$L459&lt;&gt;"Active"),"",COUNTIFS($A$5:$A459,$A459,$L$5:$L459,"Active"))</f>
        <v/>
      </c>
      <c r="N459" s="26">
        <f>IF(OR($A459="",$M459=""),"",IF($M459=IFERROR(INDEX('Chart Database'!$R$6:$R$4005,MATCH($A459,'Chart Database'!$A$6:$A$4005,0)),0),"NEXT",""))</f>
        <v/>
      </c>
      <c r="O459" s="23" t="n"/>
    </row>
    <row r="460">
      <c r="A460" s="23" t="n"/>
      <c r="B460" s="26">
        <f>IF($A460="","",IFERROR(INDEX('Chart Database'!$B$6:$B$4005,MATCH($A460,'Chart Database'!$A$6:$A$4005,0)),"UNKNOWN CHART"))</f>
        <v/>
      </c>
      <c r="C460" s="23" t="n"/>
      <c r="D460" s="23" t="n"/>
      <c r="E460" s="25" t="n"/>
      <c r="F460" s="15" t="n"/>
      <c r="G460" s="23" t="n"/>
      <c r="H460" s="15" t="n"/>
      <c r="I460" s="15" t="n"/>
      <c r="J460" s="15" t="n"/>
      <c r="K460" s="25" t="n"/>
      <c r="L460" s="15" t="n"/>
      <c r="M460" s="26">
        <f>IF(OR($A460="",$L460&lt;&gt;"Active"),"",COUNTIFS($A$5:$A460,$A460,$L$5:$L460,"Active"))</f>
        <v/>
      </c>
      <c r="N460" s="26">
        <f>IF(OR($A460="",$M460=""),"",IF($M460=IFERROR(INDEX('Chart Database'!$R$6:$R$4005,MATCH($A460,'Chart Database'!$A$6:$A$4005,0)),0),"NEXT",""))</f>
        <v/>
      </c>
      <c r="O460" s="23" t="n"/>
    </row>
    <row r="461">
      <c r="A461" s="23" t="n"/>
      <c r="B461" s="26">
        <f>IF($A461="","",IFERROR(INDEX('Chart Database'!$B$6:$B$4005,MATCH($A461,'Chart Database'!$A$6:$A$4005,0)),"UNKNOWN CHART"))</f>
        <v/>
      </c>
      <c r="C461" s="23" t="n"/>
      <c r="D461" s="23" t="n"/>
      <c r="E461" s="25" t="n"/>
      <c r="F461" s="15" t="n"/>
      <c r="G461" s="23" t="n"/>
      <c r="H461" s="15" t="n"/>
      <c r="I461" s="15" t="n"/>
      <c r="J461" s="15" t="n"/>
      <c r="K461" s="25" t="n"/>
      <c r="L461" s="15" t="n"/>
      <c r="M461" s="26">
        <f>IF(OR($A461="",$L461&lt;&gt;"Active"),"",COUNTIFS($A$5:$A461,$A461,$L$5:$L461,"Active"))</f>
        <v/>
      </c>
      <c r="N461" s="26">
        <f>IF(OR($A461="",$M461=""),"",IF($M461=IFERROR(INDEX('Chart Database'!$R$6:$R$4005,MATCH($A461,'Chart Database'!$A$6:$A$4005,0)),0),"NEXT",""))</f>
        <v/>
      </c>
      <c r="O461" s="23" t="n"/>
    </row>
    <row r="462">
      <c r="A462" s="23" t="n"/>
      <c r="B462" s="26">
        <f>IF($A462="","",IFERROR(INDEX('Chart Database'!$B$6:$B$4005,MATCH($A462,'Chart Database'!$A$6:$A$4005,0)),"UNKNOWN CHART"))</f>
        <v/>
      </c>
      <c r="C462" s="23" t="n"/>
      <c r="D462" s="23" t="n"/>
      <c r="E462" s="25" t="n"/>
      <c r="F462" s="15" t="n"/>
      <c r="G462" s="23" t="n"/>
      <c r="H462" s="15" t="n"/>
      <c r="I462" s="15" t="n"/>
      <c r="J462" s="15" t="n"/>
      <c r="K462" s="25" t="n"/>
      <c r="L462" s="15" t="n"/>
      <c r="M462" s="26">
        <f>IF(OR($A462="",$L462&lt;&gt;"Active"),"",COUNTIFS($A$5:$A462,$A462,$L$5:$L462,"Active"))</f>
        <v/>
      </c>
      <c r="N462" s="26">
        <f>IF(OR($A462="",$M462=""),"",IF($M462=IFERROR(INDEX('Chart Database'!$R$6:$R$4005,MATCH($A462,'Chart Database'!$A$6:$A$4005,0)),0),"NEXT",""))</f>
        <v/>
      </c>
      <c r="O462" s="23" t="n"/>
    </row>
    <row r="463">
      <c r="A463" s="23" t="n"/>
      <c r="B463" s="26">
        <f>IF($A463="","",IFERROR(INDEX('Chart Database'!$B$6:$B$4005,MATCH($A463,'Chart Database'!$A$6:$A$4005,0)),"UNKNOWN CHART"))</f>
        <v/>
      </c>
      <c r="C463" s="23" t="n"/>
      <c r="D463" s="23" t="n"/>
      <c r="E463" s="25" t="n"/>
      <c r="F463" s="15" t="n"/>
      <c r="G463" s="23" t="n"/>
      <c r="H463" s="15" t="n"/>
      <c r="I463" s="15" t="n"/>
      <c r="J463" s="15" t="n"/>
      <c r="K463" s="25" t="n"/>
      <c r="L463" s="15" t="n"/>
      <c r="M463" s="26">
        <f>IF(OR($A463="",$L463&lt;&gt;"Active"),"",COUNTIFS($A$5:$A463,$A463,$L$5:$L463,"Active"))</f>
        <v/>
      </c>
      <c r="N463" s="26">
        <f>IF(OR($A463="",$M463=""),"",IF($M463=IFERROR(INDEX('Chart Database'!$R$6:$R$4005,MATCH($A463,'Chart Database'!$A$6:$A$4005,0)),0),"NEXT",""))</f>
        <v/>
      </c>
      <c r="O463" s="23" t="n"/>
    </row>
    <row r="464">
      <c r="A464" s="23" t="n"/>
      <c r="B464" s="26">
        <f>IF($A464="","",IFERROR(INDEX('Chart Database'!$B$6:$B$4005,MATCH($A464,'Chart Database'!$A$6:$A$4005,0)),"UNKNOWN CHART"))</f>
        <v/>
      </c>
      <c r="C464" s="23" t="n"/>
      <c r="D464" s="23" t="n"/>
      <c r="E464" s="25" t="n"/>
      <c r="F464" s="15" t="n"/>
      <c r="G464" s="23" t="n"/>
      <c r="H464" s="15" t="n"/>
      <c r="I464" s="15" t="n"/>
      <c r="J464" s="15" t="n"/>
      <c r="K464" s="25" t="n"/>
      <c r="L464" s="15" t="n"/>
      <c r="M464" s="26">
        <f>IF(OR($A464="",$L464&lt;&gt;"Active"),"",COUNTIFS($A$5:$A464,$A464,$L$5:$L464,"Active"))</f>
        <v/>
      </c>
      <c r="N464" s="26">
        <f>IF(OR($A464="",$M464=""),"",IF($M464=IFERROR(INDEX('Chart Database'!$R$6:$R$4005,MATCH($A464,'Chart Database'!$A$6:$A$4005,0)),0),"NEXT",""))</f>
        <v/>
      </c>
      <c r="O464" s="23" t="n"/>
    </row>
    <row r="465">
      <c r="A465" s="23" t="n"/>
      <c r="B465" s="26">
        <f>IF($A465="","",IFERROR(INDEX('Chart Database'!$B$6:$B$4005,MATCH($A465,'Chart Database'!$A$6:$A$4005,0)),"UNKNOWN CHART"))</f>
        <v/>
      </c>
      <c r="C465" s="23" t="n"/>
      <c r="D465" s="23" t="n"/>
      <c r="E465" s="25" t="n"/>
      <c r="F465" s="15" t="n"/>
      <c r="G465" s="23" t="n"/>
      <c r="H465" s="15" t="n"/>
      <c r="I465" s="15" t="n"/>
      <c r="J465" s="15" t="n"/>
      <c r="K465" s="25" t="n"/>
      <c r="L465" s="15" t="n"/>
      <c r="M465" s="26">
        <f>IF(OR($A465="",$L465&lt;&gt;"Active"),"",COUNTIFS($A$5:$A465,$A465,$L$5:$L465,"Active"))</f>
        <v/>
      </c>
      <c r="N465" s="26">
        <f>IF(OR($A465="",$M465=""),"",IF($M465=IFERROR(INDEX('Chart Database'!$R$6:$R$4005,MATCH($A465,'Chart Database'!$A$6:$A$4005,0)),0),"NEXT",""))</f>
        <v/>
      </c>
      <c r="O465" s="23" t="n"/>
    </row>
    <row r="466">
      <c r="A466" s="23" t="n"/>
      <c r="B466" s="26">
        <f>IF($A466="","",IFERROR(INDEX('Chart Database'!$B$6:$B$4005,MATCH($A466,'Chart Database'!$A$6:$A$4005,0)),"UNKNOWN CHART"))</f>
        <v/>
      </c>
      <c r="C466" s="23" t="n"/>
      <c r="D466" s="23" t="n"/>
      <c r="E466" s="25" t="n"/>
      <c r="F466" s="15" t="n"/>
      <c r="G466" s="23" t="n"/>
      <c r="H466" s="15" t="n"/>
      <c r="I466" s="15" t="n"/>
      <c r="J466" s="15" t="n"/>
      <c r="K466" s="25" t="n"/>
      <c r="L466" s="15" t="n"/>
      <c r="M466" s="26">
        <f>IF(OR($A466="",$L466&lt;&gt;"Active"),"",COUNTIFS($A$5:$A466,$A466,$L$5:$L466,"Active"))</f>
        <v/>
      </c>
      <c r="N466" s="26">
        <f>IF(OR($A466="",$M466=""),"",IF($M466=IFERROR(INDEX('Chart Database'!$R$6:$R$4005,MATCH($A466,'Chart Database'!$A$6:$A$4005,0)),0),"NEXT",""))</f>
        <v/>
      </c>
      <c r="O466" s="23" t="n"/>
    </row>
    <row r="467">
      <c r="A467" s="23" t="n"/>
      <c r="B467" s="26">
        <f>IF($A467="","",IFERROR(INDEX('Chart Database'!$B$6:$B$4005,MATCH($A467,'Chart Database'!$A$6:$A$4005,0)),"UNKNOWN CHART"))</f>
        <v/>
      </c>
      <c r="C467" s="23" t="n"/>
      <c r="D467" s="23" t="n"/>
      <c r="E467" s="25" t="n"/>
      <c r="F467" s="15" t="n"/>
      <c r="G467" s="23" t="n"/>
      <c r="H467" s="15" t="n"/>
      <c r="I467" s="15" t="n"/>
      <c r="J467" s="15" t="n"/>
      <c r="K467" s="25" t="n"/>
      <c r="L467" s="15" t="n"/>
      <c r="M467" s="26">
        <f>IF(OR($A467="",$L467&lt;&gt;"Active"),"",COUNTIFS($A$5:$A467,$A467,$L$5:$L467,"Active"))</f>
        <v/>
      </c>
      <c r="N467" s="26">
        <f>IF(OR($A467="",$M467=""),"",IF($M467=IFERROR(INDEX('Chart Database'!$R$6:$R$4005,MATCH($A467,'Chart Database'!$A$6:$A$4005,0)),0),"NEXT",""))</f>
        <v/>
      </c>
      <c r="O467" s="23" t="n"/>
    </row>
    <row r="468">
      <c r="A468" s="23" t="n"/>
      <c r="B468" s="26">
        <f>IF($A468="","",IFERROR(INDEX('Chart Database'!$B$6:$B$4005,MATCH($A468,'Chart Database'!$A$6:$A$4005,0)),"UNKNOWN CHART"))</f>
        <v/>
      </c>
      <c r="C468" s="23" t="n"/>
      <c r="D468" s="23" t="n"/>
      <c r="E468" s="25" t="n"/>
      <c r="F468" s="15" t="n"/>
      <c r="G468" s="23" t="n"/>
      <c r="H468" s="15" t="n"/>
      <c r="I468" s="15" t="n"/>
      <c r="J468" s="15" t="n"/>
      <c r="K468" s="25" t="n"/>
      <c r="L468" s="15" t="n"/>
      <c r="M468" s="26">
        <f>IF(OR($A468="",$L468&lt;&gt;"Active"),"",COUNTIFS($A$5:$A468,$A468,$L$5:$L468,"Active"))</f>
        <v/>
      </c>
      <c r="N468" s="26">
        <f>IF(OR($A468="",$M468=""),"",IF($M468=IFERROR(INDEX('Chart Database'!$R$6:$R$4005,MATCH($A468,'Chart Database'!$A$6:$A$4005,0)),0),"NEXT",""))</f>
        <v/>
      </c>
      <c r="O468" s="23" t="n"/>
    </row>
    <row r="469">
      <c r="A469" s="23" t="n"/>
      <c r="B469" s="26">
        <f>IF($A469="","",IFERROR(INDEX('Chart Database'!$B$6:$B$4005,MATCH($A469,'Chart Database'!$A$6:$A$4005,0)),"UNKNOWN CHART"))</f>
        <v/>
      </c>
      <c r="C469" s="23" t="n"/>
      <c r="D469" s="23" t="n"/>
      <c r="E469" s="25" t="n"/>
      <c r="F469" s="15" t="n"/>
      <c r="G469" s="23" t="n"/>
      <c r="H469" s="15" t="n"/>
      <c r="I469" s="15" t="n"/>
      <c r="J469" s="15" t="n"/>
      <c r="K469" s="25" t="n"/>
      <c r="L469" s="15" t="n"/>
      <c r="M469" s="26">
        <f>IF(OR($A469="",$L469&lt;&gt;"Active"),"",COUNTIFS($A$5:$A469,$A469,$L$5:$L469,"Active"))</f>
        <v/>
      </c>
      <c r="N469" s="26">
        <f>IF(OR($A469="",$M469=""),"",IF($M469=IFERROR(INDEX('Chart Database'!$R$6:$R$4005,MATCH($A469,'Chart Database'!$A$6:$A$4005,0)),0),"NEXT",""))</f>
        <v/>
      </c>
      <c r="O469" s="23" t="n"/>
    </row>
    <row r="470">
      <c r="A470" s="23" t="n"/>
      <c r="B470" s="26">
        <f>IF($A470="","",IFERROR(INDEX('Chart Database'!$B$6:$B$4005,MATCH($A470,'Chart Database'!$A$6:$A$4005,0)),"UNKNOWN CHART"))</f>
        <v/>
      </c>
      <c r="C470" s="23" t="n"/>
      <c r="D470" s="23" t="n"/>
      <c r="E470" s="25" t="n"/>
      <c r="F470" s="15" t="n"/>
      <c r="G470" s="23" t="n"/>
      <c r="H470" s="15" t="n"/>
      <c r="I470" s="15" t="n"/>
      <c r="J470" s="15" t="n"/>
      <c r="K470" s="25" t="n"/>
      <c r="L470" s="15" t="n"/>
      <c r="M470" s="26">
        <f>IF(OR($A470="",$L470&lt;&gt;"Active"),"",COUNTIFS($A$5:$A470,$A470,$L$5:$L470,"Active"))</f>
        <v/>
      </c>
      <c r="N470" s="26">
        <f>IF(OR($A470="",$M470=""),"",IF($M470=IFERROR(INDEX('Chart Database'!$R$6:$R$4005,MATCH($A470,'Chart Database'!$A$6:$A$4005,0)),0),"NEXT",""))</f>
        <v/>
      </c>
      <c r="O470" s="23" t="n"/>
    </row>
    <row r="471">
      <c r="A471" s="23" t="n"/>
      <c r="B471" s="26">
        <f>IF($A471="","",IFERROR(INDEX('Chart Database'!$B$6:$B$4005,MATCH($A471,'Chart Database'!$A$6:$A$4005,0)),"UNKNOWN CHART"))</f>
        <v/>
      </c>
      <c r="C471" s="23" t="n"/>
      <c r="D471" s="23" t="n"/>
      <c r="E471" s="25" t="n"/>
      <c r="F471" s="15" t="n"/>
      <c r="G471" s="23" t="n"/>
      <c r="H471" s="15" t="n"/>
      <c r="I471" s="15" t="n"/>
      <c r="J471" s="15" t="n"/>
      <c r="K471" s="25" t="n"/>
      <c r="L471" s="15" t="n"/>
      <c r="M471" s="26">
        <f>IF(OR($A471="",$L471&lt;&gt;"Active"),"",COUNTIFS($A$5:$A471,$A471,$L$5:$L471,"Active"))</f>
        <v/>
      </c>
      <c r="N471" s="26">
        <f>IF(OR($A471="",$M471=""),"",IF($M471=IFERROR(INDEX('Chart Database'!$R$6:$R$4005,MATCH($A471,'Chart Database'!$A$6:$A$4005,0)),0),"NEXT",""))</f>
        <v/>
      </c>
      <c r="O471" s="23" t="n"/>
    </row>
    <row r="472">
      <c r="A472" s="23" t="n"/>
      <c r="B472" s="26">
        <f>IF($A472="","",IFERROR(INDEX('Chart Database'!$B$6:$B$4005,MATCH($A472,'Chart Database'!$A$6:$A$4005,0)),"UNKNOWN CHART"))</f>
        <v/>
      </c>
      <c r="C472" s="23" t="n"/>
      <c r="D472" s="23" t="n"/>
      <c r="E472" s="25" t="n"/>
      <c r="F472" s="15" t="n"/>
      <c r="G472" s="23" t="n"/>
      <c r="H472" s="15" t="n"/>
      <c r="I472" s="15" t="n"/>
      <c r="J472" s="15" t="n"/>
      <c r="K472" s="25" t="n"/>
      <c r="L472" s="15" t="n"/>
      <c r="M472" s="26">
        <f>IF(OR($A472="",$L472&lt;&gt;"Active"),"",COUNTIFS($A$5:$A472,$A472,$L$5:$L472,"Active"))</f>
        <v/>
      </c>
      <c r="N472" s="26">
        <f>IF(OR($A472="",$M472=""),"",IF($M472=IFERROR(INDEX('Chart Database'!$R$6:$R$4005,MATCH($A472,'Chart Database'!$A$6:$A$4005,0)),0),"NEXT",""))</f>
        <v/>
      </c>
      <c r="O472" s="23" t="n"/>
    </row>
    <row r="473">
      <c r="A473" s="23" t="n"/>
      <c r="B473" s="26">
        <f>IF($A473="","",IFERROR(INDEX('Chart Database'!$B$6:$B$4005,MATCH($A473,'Chart Database'!$A$6:$A$4005,0)),"UNKNOWN CHART"))</f>
        <v/>
      </c>
      <c r="C473" s="23" t="n"/>
      <c r="D473" s="23" t="n"/>
      <c r="E473" s="25" t="n"/>
      <c r="F473" s="15" t="n"/>
      <c r="G473" s="23" t="n"/>
      <c r="H473" s="15" t="n"/>
      <c r="I473" s="15" t="n"/>
      <c r="J473" s="15" t="n"/>
      <c r="K473" s="25" t="n"/>
      <c r="L473" s="15" t="n"/>
      <c r="M473" s="26">
        <f>IF(OR($A473="",$L473&lt;&gt;"Active"),"",COUNTIFS($A$5:$A473,$A473,$L$5:$L473,"Active"))</f>
        <v/>
      </c>
      <c r="N473" s="26">
        <f>IF(OR($A473="",$M473=""),"",IF($M473=IFERROR(INDEX('Chart Database'!$R$6:$R$4005,MATCH($A473,'Chart Database'!$A$6:$A$4005,0)),0),"NEXT",""))</f>
        <v/>
      </c>
      <c r="O473" s="23" t="n"/>
    </row>
    <row r="474">
      <c r="A474" s="23" t="n"/>
      <c r="B474" s="26">
        <f>IF($A474="","",IFERROR(INDEX('Chart Database'!$B$6:$B$4005,MATCH($A474,'Chart Database'!$A$6:$A$4005,0)),"UNKNOWN CHART"))</f>
        <v/>
      </c>
      <c r="C474" s="23" t="n"/>
      <c r="D474" s="23" t="n"/>
      <c r="E474" s="25" t="n"/>
      <c r="F474" s="15" t="n"/>
      <c r="G474" s="23" t="n"/>
      <c r="H474" s="15" t="n"/>
      <c r="I474" s="15" t="n"/>
      <c r="J474" s="15" t="n"/>
      <c r="K474" s="25" t="n"/>
      <c r="L474" s="15" t="n"/>
      <c r="M474" s="26">
        <f>IF(OR($A474="",$L474&lt;&gt;"Active"),"",COUNTIFS($A$5:$A474,$A474,$L$5:$L474,"Active"))</f>
        <v/>
      </c>
      <c r="N474" s="26">
        <f>IF(OR($A474="",$M474=""),"",IF($M474=IFERROR(INDEX('Chart Database'!$R$6:$R$4005,MATCH($A474,'Chart Database'!$A$6:$A$4005,0)),0),"NEXT",""))</f>
        <v/>
      </c>
      <c r="O474" s="23" t="n"/>
    </row>
    <row r="475">
      <c r="A475" s="23" t="n"/>
      <c r="B475" s="26">
        <f>IF($A475="","",IFERROR(INDEX('Chart Database'!$B$6:$B$4005,MATCH($A475,'Chart Database'!$A$6:$A$4005,0)),"UNKNOWN CHART"))</f>
        <v/>
      </c>
      <c r="C475" s="23" t="n"/>
      <c r="D475" s="23" t="n"/>
      <c r="E475" s="25" t="n"/>
      <c r="F475" s="15" t="n"/>
      <c r="G475" s="23" t="n"/>
      <c r="H475" s="15" t="n"/>
      <c r="I475" s="15" t="n"/>
      <c r="J475" s="15" t="n"/>
      <c r="K475" s="25" t="n"/>
      <c r="L475" s="15" t="n"/>
      <c r="M475" s="26">
        <f>IF(OR($A475="",$L475&lt;&gt;"Active"),"",COUNTIFS($A$5:$A475,$A475,$L$5:$L475,"Active"))</f>
        <v/>
      </c>
      <c r="N475" s="26">
        <f>IF(OR($A475="",$M475=""),"",IF($M475=IFERROR(INDEX('Chart Database'!$R$6:$R$4005,MATCH($A475,'Chart Database'!$A$6:$A$4005,0)),0),"NEXT",""))</f>
        <v/>
      </c>
      <c r="O475" s="23" t="n"/>
    </row>
    <row r="476">
      <c r="A476" s="23" t="n"/>
      <c r="B476" s="26">
        <f>IF($A476="","",IFERROR(INDEX('Chart Database'!$B$6:$B$4005,MATCH($A476,'Chart Database'!$A$6:$A$4005,0)),"UNKNOWN CHART"))</f>
        <v/>
      </c>
      <c r="C476" s="23" t="n"/>
      <c r="D476" s="23" t="n"/>
      <c r="E476" s="25" t="n"/>
      <c r="F476" s="15" t="n"/>
      <c r="G476" s="23" t="n"/>
      <c r="H476" s="15" t="n"/>
      <c r="I476" s="15" t="n"/>
      <c r="J476" s="15" t="n"/>
      <c r="K476" s="25" t="n"/>
      <c r="L476" s="15" t="n"/>
      <c r="M476" s="26">
        <f>IF(OR($A476="",$L476&lt;&gt;"Active"),"",COUNTIFS($A$5:$A476,$A476,$L$5:$L476,"Active"))</f>
        <v/>
      </c>
      <c r="N476" s="26">
        <f>IF(OR($A476="",$M476=""),"",IF($M476=IFERROR(INDEX('Chart Database'!$R$6:$R$4005,MATCH($A476,'Chart Database'!$A$6:$A$4005,0)),0),"NEXT",""))</f>
        <v/>
      </c>
      <c r="O476" s="23" t="n"/>
    </row>
    <row r="477">
      <c r="A477" s="23" t="n"/>
      <c r="B477" s="26">
        <f>IF($A477="","",IFERROR(INDEX('Chart Database'!$B$6:$B$4005,MATCH($A477,'Chart Database'!$A$6:$A$4005,0)),"UNKNOWN CHART"))</f>
        <v/>
      </c>
      <c r="C477" s="23" t="n"/>
      <c r="D477" s="23" t="n"/>
      <c r="E477" s="25" t="n"/>
      <c r="F477" s="15" t="n"/>
      <c r="G477" s="23" t="n"/>
      <c r="H477" s="15" t="n"/>
      <c r="I477" s="15" t="n"/>
      <c r="J477" s="15" t="n"/>
      <c r="K477" s="25" t="n"/>
      <c r="L477" s="15" t="n"/>
      <c r="M477" s="26">
        <f>IF(OR($A477="",$L477&lt;&gt;"Active"),"",COUNTIFS($A$5:$A477,$A477,$L$5:$L477,"Active"))</f>
        <v/>
      </c>
      <c r="N477" s="26">
        <f>IF(OR($A477="",$M477=""),"",IF($M477=IFERROR(INDEX('Chart Database'!$R$6:$R$4005,MATCH($A477,'Chart Database'!$A$6:$A$4005,0)),0),"NEXT",""))</f>
        <v/>
      </c>
      <c r="O477" s="23" t="n"/>
    </row>
    <row r="478">
      <c r="A478" s="23" t="n"/>
      <c r="B478" s="26">
        <f>IF($A478="","",IFERROR(INDEX('Chart Database'!$B$6:$B$4005,MATCH($A478,'Chart Database'!$A$6:$A$4005,0)),"UNKNOWN CHART"))</f>
        <v/>
      </c>
      <c r="C478" s="23" t="n"/>
      <c r="D478" s="23" t="n"/>
      <c r="E478" s="25" t="n"/>
      <c r="F478" s="15" t="n"/>
      <c r="G478" s="23" t="n"/>
      <c r="H478" s="15" t="n"/>
      <c r="I478" s="15" t="n"/>
      <c r="J478" s="15" t="n"/>
      <c r="K478" s="25" t="n"/>
      <c r="L478" s="15" t="n"/>
      <c r="M478" s="26">
        <f>IF(OR($A478="",$L478&lt;&gt;"Active"),"",COUNTIFS($A$5:$A478,$A478,$L$5:$L478,"Active"))</f>
        <v/>
      </c>
      <c r="N478" s="26">
        <f>IF(OR($A478="",$M478=""),"",IF($M478=IFERROR(INDEX('Chart Database'!$R$6:$R$4005,MATCH($A478,'Chart Database'!$A$6:$A$4005,0)),0),"NEXT",""))</f>
        <v/>
      </c>
      <c r="O478" s="23" t="n"/>
    </row>
    <row r="479">
      <c r="A479" s="23" t="n"/>
      <c r="B479" s="26">
        <f>IF($A479="","",IFERROR(INDEX('Chart Database'!$B$6:$B$4005,MATCH($A479,'Chart Database'!$A$6:$A$4005,0)),"UNKNOWN CHART"))</f>
        <v/>
      </c>
      <c r="C479" s="23" t="n"/>
      <c r="D479" s="23" t="n"/>
      <c r="E479" s="25" t="n"/>
      <c r="F479" s="15" t="n"/>
      <c r="G479" s="23" t="n"/>
      <c r="H479" s="15" t="n"/>
      <c r="I479" s="15" t="n"/>
      <c r="J479" s="15" t="n"/>
      <c r="K479" s="25" t="n"/>
      <c r="L479" s="15" t="n"/>
      <c r="M479" s="26">
        <f>IF(OR($A479="",$L479&lt;&gt;"Active"),"",COUNTIFS($A$5:$A479,$A479,$L$5:$L479,"Active"))</f>
        <v/>
      </c>
      <c r="N479" s="26">
        <f>IF(OR($A479="",$M479=""),"",IF($M479=IFERROR(INDEX('Chart Database'!$R$6:$R$4005,MATCH($A479,'Chart Database'!$A$6:$A$4005,0)),0),"NEXT",""))</f>
        <v/>
      </c>
      <c r="O479" s="23" t="n"/>
    </row>
    <row r="480">
      <c r="A480" s="23" t="n"/>
      <c r="B480" s="26">
        <f>IF($A480="","",IFERROR(INDEX('Chart Database'!$B$6:$B$4005,MATCH($A480,'Chart Database'!$A$6:$A$4005,0)),"UNKNOWN CHART"))</f>
        <v/>
      </c>
      <c r="C480" s="23" t="n"/>
      <c r="D480" s="23" t="n"/>
      <c r="E480" s="25" t="n"/>
      <c r="F480" s="15" t="n"/>
      <c r="G480" s="23" t="n"/>
      <c r="H480" s="15" t="n"/>
      <c r="I480" s="15" t="n"/>
      <c r="J480" s="15" t="n"/>
      <c r="K480" s="25" t="n"/>
      <c r="L480" s="15" t="n"/>
      <c r="M480" s="26">
        <f>IF(OR($A480="",$L480&lt;&gt;"Active"),"",COUNTIFS($A$5:$A480,$A480,$L$5:$L480,"Active"))</f>
        <v/>
      </c>
      <c r="N480" s="26">
        <f>IF(OR($A480="",$M480=""),"",IF($M480=IFERROR(INDEX('Chart Database'!$R$6:$R$4005,MATCH($A480,'Chart Database'!$A$6:$A$4005,0)),0),"NEXT",""))</f>
        <v/>
      </c>
      <c r="O480" s="23" t="n"/>
    </row>
    <row r="481">
      <c r="A481" s="23" t="n"/>
      <c r="B481" s="26">
        <f>IF($A481="","",IFERROR(INDEX('Chart Database'!$B$6:$B$4005,MATCH($A481,'Chart Database'!$A$6:$A$4005,0)),"UNKNOWN CHART"))</f>
        <v/>
      </c>
      <c r="C481" s="23" t="n"/>
      <c r="D481" s="23" t="n"/>
      <c r="E481" s="25" t="n"/>
      <c r="F481" s="15" t="n"/>
      <c r="G481" s="23" t="n"/>
      <c r="H481" s="15" t="n"/>
      <c r="I481" s="15" t="n"/>
      <c r="J481" s="15" t="n"/>
      <c r="K481" s="25" t="n"/>
      <c r="L481" s="15" t="n"/>
      <c r="M481" s="26">
        <f>IF(OR($A481="",$L481&lt;&gt;"Active"),"",COUNTIFS($A$5:$A481,$A481,$L$5:$L481,"Active"))</f>
        <v/>
      </c>
      <c r="N481" s="26">
        <f>IF(OR($A481="",$M481=""),"",IF($M481=IFERROR(INDEX('Chart Database'!$R$6:$R$4005,MATCH($A481,'Chart Database'!$A$6:$A$4005,0)),0),"NEXT",""))</f>
        <v/>
      </c>
      <c r="O481" s="23" t="n"/>
    </row>
    <row r="482">
      <c r="A482" s="23" t="n"/>
      <c r="B482" s="26">
        <f>IF($A482="","",IFERROR(INDEX('Chart Database'!$B$6:$B$4005,MATCH($A482,'Chart Database'!$A$6:$A$4005,0)),"UNKNOWN CHART"))</f>
        <v/>
      </c>
      <c r="C482" s="23" t="n"/>
      <c r="D482" s="23" t="n"/>
      <c r="E482" s="25" t="n"/>
      <c r="F482" s="15" t="n"/>
      <c r="G482" s="23" t="n"/>
      <c r="H482" s="15" t="n"/>
      <c r="I482" s="15" t="n"/>
      <c r="J482" s="15" t="n"/>
      <c r="K482" s="25" t="n"/>
      <c r="L482" s="15" t="n"/>
      <c r="M482" s="26">
        <f>IF(OR($A482="",$L482&lt;&gt;"Active"),"",COUNTIFS($A$5:$A482,$A482,$L$5:$L482,"Active"))</f>
        <v/>
      </c>
      <c r="N482" s="26">
        <f>IF(OR($A482="",$M482=""),"",IF($M482=IFERROR(INDEX('Chart Database'!$R$6:$R$4005,MATCH($A482,'Chart Database'!$A$6:$A$4005,0)),0),"NEXT",""))</f>
        <v/>
      </c>
      <c r="O482" s="23" t="n"/>
    </row>
    <row r="483">
      <c r="A483" s="23" t="n"/>
      <c r="B483" s="26">
        <f>IF($A483="","",IFERROR(INDEX('Chart Database'!$B$6:$B$4005,MATCH($A483,'Chart Database'!$A$6:$A$4005,0)),"UNKNOWN CHART"))</f>
        <v/>
      </c>
      <c r="C483" s="23" t="n"/>
      <c r="D483" s="23" t="n"/>
      <c r="E483" s="25" t="n"/>
      <c r="F483" s="15" t="n"/>
      <c r="G483" s="23" t="n"/>
      <c r="H483" s="15" t="n"/>
      <c r="I483" s="15" t="n"/>
      <c r="J483" s="15" t="n"/>
      <c r="K483" s="25" t="n"/>
      <c r="L483" s="15" t="n"/>
      <c r="M483" s="26">
        <f>IF(OR($A483="",$L483&lt;&gt;"Active"),"",COUNTIFS($A$5:$A483,$A483,$L$5:$L483,"Active"))</f>
        <v/>
      </c>
      <c r="N483" s="26">
        <f>IF(OR($A483="",$M483=""),"",IF($M483=IFERROR(INDEX('Chart Database'!$R$6:$R$4005,MATCH($A483,'Chart Database'!$A$6:$A$4005,0)),0),"NEXT",""))</f>
        <v/>
      </c>
      <c r="O483" s="23" t="n"/>
    </row>
    <row r="484">
      <c r="A484" s="23" t="n"/>
      <c r="B484" s="26">
        <f>IF($A484="","",IFERROR(INDEX('Chart Database'!$B$6:$B$4005,MATCH($A484,'Chart Database'!$A$6:$A$4005,0)),"UNKNOWN CHART"))</f>
        <v/>
      </c>
      <c r="C484" s="23" t="n"/>
      <c r="D484" s="23" t="n"/>
      <c r="E484" s="25" t="n"/>
      <c r="F484" s="15" t="n"/>
      <c r="G484" s="23" t="n"/>
      <c r="H484" s="15" t="n"/>
      <c r="I484" s="15" t="n"/>
      <c r="J484" s="15" t="n"/>
      <c r="K484" s="25" t="n"/>
      <c r="L484" s="15" t="n"/>
      <c r="M484" s="26">
        <f>IF(OR($A484="",$L484&lt;&gt;"Active"),"",COUNTIFS($A$5:$A484,$A484,$L$5:$L484,"Active"))</f>
        <v/>
      </c>
      <c r="N484" s="26">
        <f>IF(OR($A484="",$M484=""),"",IF($M484=IFERROR(INDEX('Chart Database'!$R$6:$R$4005,MATCH($A484,'Chart Database'!$A$6:$A$4005,0)),0),"NEXT",""))</f>
        <v/>
      </c>
      <c r="O484" s="23" t="n"/>
    </row>
    <row r="485">
      <c r="A485" s="23" t="n"/>
      <c r="B485" s="26">
        <f>IF($A485="","",IFERROR(INDEX('Chart Database'!$B$6:$B$4005,MATCH($A485,'Chart Database'!$A$6:$A$4005,0)),"UNKNOWN CHART"))</f>
        <v/>
      </c>
      <c r="C485" s="23" t="n"/>
      <c r="D485" s="23" t="n"/>
      <c r="E485" s="25" t="n"/>
      <c r="F485" s="15" t="n"/>
      <c r="G485" s="23" t="n"/>
      <c r="H485" s="15" t="n"/>
      <c r="I485" s="15" t="n"/>
      <c r="J485" s="15" t="n"/>
      <c r="K485" s="25" t="n"/>
      <c r="L485" s="15" t="n"/>
      <c r="M485" s="26">
        <f>IF(OR($A485="",$L485&lt;&gt;"Active"),"",COUNTIFS($A$5:$A485,$A485,$L$5:$L485,"Active"))</f>
        <v/>
      </c>
      <c r="N485" s="26">
        <f>IF(OR($A485="",$M485=""),"",IF($M485=IFERROR(INDEX('Chart Database'!$R$6:$R$4005,MATCH($A485,'Chart Database'!$A$6:$A$4005,0)),0),"NEXT",""))</f>
        <v/>
      </c>
      <c r="O485" s="23" t="n"/>
    </row>
    <row r="486">
      <c r="A486" s="23" t="n"/>
      <c r="B486" s="26">
        <f>IF($A486="","",IFERROR(INDEX('Chart Database'!$B$6:$B$4005,MATCH($A486,'Chart Database'!$A$6:$A$4005,0)),"UNKNOWN CHART"))</f>
        <v/>
      </c>
      <c r="C486" s="23" t="n"/>
      <c r="D486" s="23" t="n"/>
      <c r="E486" s="25" t="n"/>
      <c r="F486" s="15" t="n"/>
      <c r="G486" s="23" t="n"/>
      <c r="H486" s="15" t="n"/>
      <c r="I486" s="15" t="n"/>
      <c r="J486" s="15" t="n"/>
      <c r="K486" s="25" t="n"/>
      <c r="L486" s="15" t="n"/>
      <c r="M486" s="26">
        <f>IF(OR($A486="",$L486&lt;&gt;"Active"),"",COUNTIFS($A$5:$A486,$A486,$L$5:$L486,"Active"))</f>
        <v/>
      </c>
      <c r="N486" s="26">
        <f>IF(OR($A486="",$M486=""),"",IF($M486=IFERROR(INDEX('Chart Database'!$R$6:$R$4005,MATCH($A486,'Chart Database'!$A$6:$A$4005,0)),0),"NEXT",""))</f>
        <v/>
      </c>
      <c r="O486" s="23" t="n"/>
    </row>
    <row r="487">
      <c r="A487" s="23" t="n"/>
      <c r="B487" s="26">
        <f>IF($A487="","",IFERROR(INDEX('Chart Database'!$B$6:$B$4005,MATCH($A487,'Chart Database'!$A$6:$A$4005,0)),"UNKNOWN CHART"))</f>
        <v/>
      </c>
      <c r="C487" s="23" t="n"/>
      <c r="D487" s="23" t="n"/>
      <c r="E487" s="25" t="n"/>
      <c r="F487" s="15" t="n"/>
      <c r="G487" s="23" t="n"/>
      <c r="H487" s="15" t="n"/>
      <c r="I487" s="15" t="n"/>
      <c r="J487" s="15" t="n"/>
      <c r="K487" s="25" t="n"/>
      <c r="L487" s="15" t="n"/>
      <c r="M487" s="26">
        <f>IF(OR($A487="",$L487&lt;&gt;"Active"),"",COUNTIFS($A$5:$A487,$A487,$L$5:$L487,"Active"))</f>
        <v/>
      </c>
      <c r="N487" s="26">
        <f>IF(OR($A487="",$M487=""),"",IF($M487=IFERROR(INDEX('Chart Database'!$R$6:$R$4005,MATCH($A487,'Chart Database'!$A$6:$A$4005,0)),0),"NEXT",""))</f>
        <v/>
      </c>
      <c r="O487" s="23" t="n"/>
    </row>
    <row r="488">
      <c r="A488" s="23" t="n"/>
      <c r="B488" s="26">
        <f>IF($A488="","",IFERROR(INDEX('Chart Database'!$B$6:$B$4005,MATCH($A488,'Chart Database'!$A$6:$A$4005,0)),"UNKNOWN CHART"))</f>
        <v/>
      </c>
      <c r="C488" s="23" t="n"/>
      <c r="D488" s="23" t="n"/>
      <c r="E488" s="25" t="n"/>
      <c r="F488" s="15" t="n"/>
      <c r="G488" s="23" t="n"/>
      <c r="H488" s="15" t="n"/>
      <c r="I488" s="15" t="n"/>
      <c r="J488" s="15" t="n"/>
      <c r="K488" s="25" t="n"/>
      <c r="L488" s="15" t="n"/>
      <c r="M488" s="26">
        <f>IF(OR($A488="",$L488&lt;&gt;"Active"),"",COUNTIFS($A$5:$A488,$A488,$L$5:$L488,"Active"))</f>
        <v/>
      </c>
      <c r="N488" s="26">
        <f>IF(OR($A488="",$M488=""),"",IF($M488=IFERROR(INDEX('Chart Database'!$R$6:$R$4005,MATCH($A488,'Chart Database'!$A$6:$A$4005,0)),0),"NEXT",""))</f>
        <v/>
      </c>
      <c r="O488" s="23" t="n"/>
    </row>
    <row r="489">
      <c r="A489" s="23" t="n"/>
      <c r="B489" s="26">
        <f>IF($A489="","",IFERROR(INDEX('Chart Database'!$B$6:$B$4005,MATCH($A489,'Chart Database'!$A$6:$A$4005,0)),"UNKNOWN CHART"))</f>
        <v/>
      </c>
      <c r="C489" s="23" t="n"/>
      <c r="D489" s="23" t="n"/>
      <c r="E489" s="25" t="n"/>
      <c r="F489" s="15" t="n"/>
      <c r="G489" s="23" t="n"/>
      <c r="H489" s="15" t="n"/>
      <c r="I489" s="15" t="n"/>
      <c r="J489" s="15" t="n"/>
      <c r="K489" s="25" t="n"/>
      <c r="L489" s="15" t="n"/>
      <c r="M489" s="26">
        <f>IF(OR($A489="",$L489&lt;&gt;"Active"),"",COUNTIFS($A$5:$A489,$A489,$L$5:$L489,"Active"))</f>
        <v/>
      </c>
      <c r="N489" s="26">
        <f>IF(OR($A489="",$M489=""),"",IF($M489=IFERROR(INDEX('Chart Database'!$R$6:$R$4005,MATCH($A489,'Chart Database'!$A$6:$A$4005,0)),0),"NEXT",""))</f>
        <v/>
      </c>
      <c r="O489" s="23" t="n"/>
    </row>
    <row r="490">
      <c r="A490" s="23" t="n"/>
      <c r="B490" s="26">
        <f>IF($A490="","",IFERROR(INDEX('Chart Database'!$B$6:$B$4005,MATCH($A490,'Chart Database'!$A$6:$A$4005,0)),"UNKNOWN CHART"))</f>
        <v/>
      </c>
      <c r="C490" s="23" t="n"/>
      <c r="D490" s="23" t="n"/>
      <c r="E490" s="25" t="n"/>
      <c r="F490" s="15" t="n"/>
      <c r="G490" s="23" t="n"/>
      <c r="H490" s="15" t="n"/>
      <c r="I490" s="15" t="n"/>
      <c r="J490" s="15" t="n"/>
      <c r="K490" s="25" t="n"/>
      <c r="L490" s="15" t="n"/>
      <c r="M490" s="26">
        <f>IF(OR($A490="",$L490&lt;&gt;"Active"),"",COUNTIFS($A$5:$A490,$A490,$L$5:$L490,"Active"))</f>
        <v/>
      </c>
      <c r="N490" s="26">
        <f>IF(OR($A490="",$M490=""),"",IF($M490=IFERROR(INDEX('Chart Database'!$R$6:$R$4005,MATCH($A490,'Chart Database'!$A$6:$A$4005,0)),0),"NEXT",""))</f>
        <v/>
      </c>
      <c r="O490" s="23" t="n"/>
    </row>
    <row r="491">
      <c r="A491" s="23" t="n"/>
      <c r="B491" s="26">
        <f>IF($A491="","",IFERROR(INDEX('Chart Database'!$B$6:$B$4005,MATCH($A491,'Chart Database'!$A$6:$A$4005,0)),"UNKNOWN CHART"))</f>
        <v/>
      </c>
      <c r="C491" s="23" t="n"/>
      <c r="D491" s="23" t="n"/>
      <c r="E491" s="25" t="n"/>
      <c r="F491" s="15" t="n"/>
      <c r="G491" s="23" t="n"/>
      <c r="H491" s="15" t="n"/>
      <c r="I491" s="15" t="n"/>
      <c r="J491" s="15" t="n"/>
      <c r="K491" s="25" t="n"/>
      <c r="L491" s="15" t="n"/>
      <c r="M491" s="26">
        <f>IF(OR($A491="",$L491&lt;&gt;"Active"),"",COUNTIFS($A$5:$A491,$A491,$L$5:$L491,"Active"))</f>
        <v/>
      </c>
      <c r="N491" s="26">
        <f>IF(OR($A491="",$M491=""),"",IF($M491=IFERROR(INDEX('Chart Database'!$R$6:$R$4005,MATCH($A491,'Chart Database'!$A$6:$A$4005,0)),0),"NEXT",""))</f>
        <v/>
      </c>
      <c r="O491" s="23" t="n"/>
    </row>
    <row r="492">
      <c r="A492" s="23" t="n"/>
      <c r="B492" s="26">
        <f>IF($A492="","",IFERROR(INDEX('Chart Database'!$B$6:$B$4005,MATCH($A492,'Chart Database'!$A$6:$A$4005,0)),"UNKNOWN CHART"))</f>
        <v/>
      </c>
      <c r="C492" s="23" t="n"/>
      <c r="D492" s="23" t="n"/>
      <c r="E492" s="25" t="n"/>
      <c r="F492" s="15" t="n"/>
      <c r="G492" s="23" t="n"/>
      <c r="H492" s="15" t="n"/>
      <c r="I492" s="15" t="n"/>
      <c r="J492" s="15" t="n"/>
      <c r="K492" s="25" t="n"/>
      <c r="L492" s="15" t="n"/>
      <c r="M492" s="26">
        <f>IF(OR($A492="",$L492&lt;&gt;"Active"),"",COUNTIFS($A$5:$A492,$A492,$L$5:$L492,"Active"))</f>
        <v/>
      </c>
      <c r="N492" s="26">
        <f>IF(OR($A492="",$M492=""),"",IF($M492=IFERROR(INDEX('Chart Database'!$R$6:$R$4005,MATCH($A492,'Chart Database'!$A$6:$A$4005,0)),0),"NEXT",""))</f>
        <v/>
      </c>
      <c r="O492" s="23" t="n"/>
    </row>
    <row r="493">
      <c r="A493" s="23" t="n"/>
      <c r="B493" s="26">
        <f>IF($A493="","",IFERROR(INDEX('Chart Database'!$B$6:$B$4005,MATCH($A493,'Chart Database'!$A$6:$A$4005,0)),"UNKNOWN CHART"))</f>
        <v/>
      </c>
      <c r="C493" s="23" t="n"/>
      <c r="D493" s="23" t="n"/>
      <c r="E493" s="25" t="n"/>
      <c r="F493" s="15" t="n"/>
      <c r="G493" s="23" t="n"/>
      <c r="H493" s="15" t="n"/>
      <c r="I493" s="15" t="n"/>
      <c r="J493" s="15" t="n"/>
      <c r="K493" s="25" t="n"/>
      <c r="L493" s="15" t="n"/>
      <c r="M493" s="26">
        <f>IF(OR($A493="",$L493&lt;&gt;"Active"),"",COUNTIFS($A$5:$A493,$A493,$L$5:$L493,"Active"))</f>
        <v/>
      </c>
      <c r="N493" s="26">
        <f>IF(OR($A493="",$M493=""),"",IF($M493=IFERROR(INDEX('Chart Database'!$R$6:$R$4005,MATCH($A493,'Chart Database'!$A$6:$A$4005,0)),0),"NEXT",""))</f>
        <v/>
      </c>
      <c r="O493" s="23" t="n"/>
    </row>
    <row r="494">
      <c r="A494" s="23" t="n"/>
      <c r="B494" s="26">
        <f>IF($A494="","",IFERROR(INDEX('Chart Database'!$B$6:$B$4005,MATCH($A494,'Chart Database'!$A$6:$A$4005,0)),"UNKNOWN CHART"))</f>
        <v/>
      </c>
      <c r="C494" s="23" t="n"/>
      <c r="D494" s="23" t="n"/>
      <c r="E494" s="25" t="n"/>
      <c r="F494" s="15" t="n"/>
      <c r="G494" s="23" t="n"/>
      <c r="H494" s="15" t="n"/>
      <c r="I494" s="15" t="n"/>
      <c r="J494" s="15" t="n"/>
      <c r="K494" s="25" t="n"/>
      <c r="L494" s="15" t="n"/>
      <c r="M494" s="26">
        <f>IF(OR($A494="",$L494&lt;&gt;"Active"),"",COUNTIFS($A$5:$A494,$A494,$L$5:$L494,"Active"))</f>
        <v/>
      </c>
      <c r="N494" s="26">
        <f>IF(OR($A494="",$M494=""),"",IF($M494=IFERROR(INDEX('Chart Database'!$R$6:$R$4005,MATCH($A494,'Chart Database'!$A$6:$A$4005,0)),0),"NEXT",""))</f>
        <v/>
      </c>
      <c r="O494" s="23" t="n"/>
    </row>
    <row r="495">
      <c r="A495" s="23" t="n"/>
      <c r="B495" s="26">
        <f>IF($A495="","",IFERROR(INDEX('Chart Database'!$B$6:$B$4005,MATCH($A495,'Chart Database'!$A$6:$A$4005,0)),"UNKNOWN CHART"))</f>
        <v/>
      </c>
      <c r="C495" s="23" t="n"/>
      <c r="D495" s="23" t="n"/>
      <c r="E495" s="25" t="n"/>
      <c r="F495" s="15" t="n"/>
      <c r="G495" s="23" t="n"/>
      <c r="H495" s="15" t="n"/>
      <c r="I495" s="15" t="n"/>
      <c r="J495" s="15" t="n"/>
      <c r="K495" s="25" t="n"/>
      <c r="L495" s="15" t="n"/>
      <c r="M495" s="26">
        <f>IF(OR($A495="",$L495&lt;&gt;"Active"),"",COUNTIFS($A$5:$A495,$A495,$L$5:$L495,"Active"))</f>
        <v/>
      </c>
      <c r="N495" s="26">
        <f>IF(OR($A495="",$M495=""),"",IF($M495=IFERROR(INDEX('Chart Database'!$R$6:$R$4005,MATCH($A495,'Chart Database'!$A$6:$A$4005,0)),0),"NEXT",""))</f>
        <v/>
      </c>
      <c r="O495" s="23" t="n"/>
    </row>
    <row r="496">
      <c r="A496" s="23" t="n"/>
      <c r="B496" s="26">
        <f>IF($A496="","",IFERROR(INDEX('Chart Database'!$B$6:$B$4005,MATCH($A496,'Chart Database'!$A$6:$A$4005,0)),"UNKNOWN CHART"))</f>
        <v/>
      </c>
      <c r="C496" s="23" t="n"/>
      <c r="D496" s="23" t="n"/>
      <c r="E496" s="25" t="n"/>
      <c r="F496" s="15" t="n"/>
      <c r="G496" s="23" t="n"/>
      <c r="H496" s="15" t="n"/>
      <c r="I496" s="15" t="n"/>
      <c r="J496" s="15" t="n"/>
      <c r="K496" s="25" t="n"/>
      <c r="L496" s="15" t="n"/>
      <c r="M496" s="26">
        <f>IF(OR($A496="",$L496&lt;&gt;"Active"),"",COUNTIFS($A$5:$A496,$A496,$L$5:$L496,"Active"))</f>
        <v/>
      </c>
      <c r="N496" s="26">
        <f>IF(OR($A496="",$M496=""),"",IF($M496=IFERROR(INDEX('Chart Database'!$R$6:$R$4005,MATCH($A496,'Chart Database'!$A$6:$A$4005,0)),0),"NEXT",""))</f>
        <v/>
      </c>
      <c r="O496" s="23" t="n"/>
    </row>
    <row r="497">
      <c r="A497" s="23" t="n"/>
      <c r="B497" s="26">
        <f>IF($A497="","",IFERROR(INDEX('Chart Database'!$B$6:$B$4005,MATCH($A497,'Chart Database'!$A$6:$A$4005,0)),"UNKNOWN CHART"))</f>
        <v/>
      </c>
      <c r="C497" s="23" t="n"/>
      <c r="D497" s="23" t="n"/>
      <c r="E497" s="25" t="n"/>
      <c r="F497" s="15" t="n"/>
      <c r="G497" s="23" t="n"/>
      <c r="H497" s="15" t="n"/>
      <c r="I497" s="15" t="n"/>
      <c r="J497" s="15" t="n"/>
      <c r="K497" s="25" t="n"/>
      <c r="L497" s="15" t="n"/>
      <c r="M497" s="26">
        <f>IF(OR($A497="",$L497&lt;&gt;"Active"),"",COUNTIFS($A$5:$A497,$A497,$L$5:$L497,"Active"))</f>
        <v/>
      </c>
      <c r="N497" s="26">
        <f>IF(OR($A497="",$M497=""),"",IF($M497=IFERROR(INDEX('Chart Database'!$R$6:$R$4005,MATCH($A497,'Chart Database'!$A$6:$A$4005,0)),0),"NEXT",""))</f>
        <v/>
      </c>
      <c r="O497" s="23" t="n"/>
    </row>
    <row r="498">
      <c r="A498" s="23" t="n"/>
      <c r="B498" s="26">
        <f>IF($A498="","",IFERROR(INDEX('Chart Database'!$B$6:$B$4005,MATCH($A498,'Chart Database'!$A$6:$A$4005,0)),"UNKNOWN CHART"))</f>
        <v/>
      </c>
      <c r="C498" s="23" t="n"/>
      <c r="D498" s="23" t="n"/>
      <c r="E498" s="25" t="n"/>
      <c r="F498" s="15" t="n"/>
      <c r="G498" s="23" t="n"/>
      <c r="H498" s="15" t="n"/>
      <c r="I498" s="15" t="n"/>
      <c r="J498" s="15" t="n"/>
      <c r="K498" s="25" t="n"/>
      <c r="L498" s="15" t="n"/>
      <c r="M498" s="26">
        <f>IF(OR($A498="",$L498&lt;&gt;"Active"),"",COUNTIFS($A$5:$A498,$A498,$L$5:$L498,"Active"))</f>
        <v/>
      </c>
      <c r="N498" s="26">
        <f>IF(OR($A498="",$M498=""),"",IF($M498=IFERROR(INDEX('Chart Database'!$R$6:$R$4005,MATCH($A498,'Chart Database'!$A$6:$A$4005,0)),0),"NEXT",""))</f>
        <v/>
      </c>
      <c r="O498" s="23" t="n"/>
    </row>
    <row r="499">
      <c r="A499" s="23" t="n"/>
      <c r="B499" s="26">
        <f>IF($A499="","",IFERROR(INDEX('Chart Database'!$B$6:$B$4005,MATCH($A499,'Chart Database'!$A$6:$A$4005,0)),"UNKNOWN CHART"))</f>
        <v/>
      </c>
      <c r="C499" s="23" t="n"/>
      <c r="D499" s="23" t="n"/>
      <c r="E499" s="25" t="n"/>
      <c r="F499" s="15" t="n"/>
      <c r="G499" s="23" t="n"/>
      <c r="H499" s="15" t="n"/>
      <c r="I499" s="15" t="n"/>
      <c r="J499" s="15" t="n"/>
      <c r="K499" s="25" t="n"/>
      <c r="L499" s="15" t="n"/>
      <c r="M499" s="26">
        <f>IF(OR($A499="",$L499&lt;&gt;"Active"),"",COUNTIFS($A$5:$A499,$A499,$L$5:$L499,"Active"))</f>
        <v/>
      </c>
      <c r="N499" s="26">
        <f>IF(OR($A499="",$M499=""),"",IF($M499=IFERROR(INDEX('Chart Database'!$R$6:$R$4005,MATCH($A499,'Chart Database'!$A$6:$A$4005,0)),0),"NEXT",""))</f>
        <v/>
      </c>
      <c r="O499" s="23" t="n"/>
    </row>
    <row r="500">
      <c r="A500" s="23" t="n"/>
      <c r="B500" s="26">
        <f>IF($A500="","",IFERROR(INDEX('Chart Database'!$B$6:$B$4005,MATCH($A500,'Chart Database'!$A$6:$A$4005,0)),"UNKNOWN CHART"))</f>
        <v/>
      </c>
      <c r="C500" s="23" t="n"/>
      <c r="D500" s="23" t="n"/>
      <c r="E500" s="25" t="n"/>
      <c r="F500" s="15" t="n"/>
      <c r="G500" s="23" t="n"/>
      <c r="H500" s="15" t="n"/>
      <c r="I500" s="15" t="n"/>
      <c r="J500" s="15" t="n"/>
      <c r="K500" s="25" t="n"/>
      <c r="L500" s="15" t="n"/>
      <c r="M500" s="26">
        <f>IF(OR($A500="",$L500&lt;&gt;"Active"),"",COUNTIFS($A$5:$A500,$A500,$L$5:$L500,"Active"))</f>
        <v/>
      </c>
      <c r="N500" s="26">
        <f>IF(OR($A500="",$M500=""),"",IF($M500=IFERROR(INDEX('Chart Database'!$R$6:$R$4005,MATCH($A500,'Chart Database'!$A$6:$A$4005,0)),0),"NEXT",""))</f>
        <v/>
      </c>
      <c r="O500" s="23" t="n"/>
    </row>
    <row r="501">
      <c r="A501" s="23" t="n"/>
      <c r="B501" s="26">
        <f>IF($A501="","",IFERROR(INDEX('Chart Database'!$B$6:$B$4005,MATCH($A501,'Chart Database'!$A$6:$A$4005,0)),"UNKNOWN CHART"))</f>
        <v/>
      </c>
      <c r="C501" s="23" t="n"/>
      <c r="D501" s="23" t="n"/>
      <c r="E501" s="25" t="n"/>
      <c r="F501" s="15" t="n"/>
      <c r="G501" s="23" t="n"/>
      <c r="H501" s="15" t="n"/>
      <c r="I501" s="15" t="n"/>
      <c r="J501" s="15" t="n"/>
      <c r="K501" s="25" t="n"/>
      <c r="L501" s="15" t="n"/>
      <c r="M501" s="26">
        <f>IF(OR($A501="",$L501&lt;&gt;"Active"),"",COUNTIFS($A$5:$A501,$A501,$L$5:$L501,"Active"))</f>
        <v/>
      </c>
      <c r="N501" s="26">
        <f>IF(OR($A501="",$M501=""),"",IF($M501=IFERROR(INDEX('Chart Database'!$R$6:$R$4005,MATCH($A501,'Chart Database'!$A$6:$A$4005,0)),0),"NEXT",""))</f>
        <v/>
      </c>
      <c r="O501" s="23" t="n"/>
    </row>
    <row r="502">
      <c r="A502" s="23" t="n"/>
      <c r="B502" s="26">
        <f>IF($A502="","",IFERROR(INDEX('Chart Database'!$B$6:$B$4005,MATCH($A502,'Chart Database'!$A$6:$A$4005,0)),"UNKNOWN CHART"))</f>
        <v/>
      </c>
      <c r="C502" s="23" t="n"/>
      <c r="D502" s="23" t="n"/>
      <c r="E502" s="25" t="n"/>
      <c r="F502" s="15" t="n"/>
      <c r="G502" s="23" t="n"/>
      <c r="H502" s="15" t="n"/>
      <c r="I502" s="15" t="n"/>
      <c r="J502" s="15" t="n"/>
      <c r="K502" s="25" t="n"/>
      <c r="L502" s="15" t="n"/>
      <c r="M502" s="26">
        <f>IF(OR($A502="",$L502&lt;&gt;"Active"),"",COUNTIFS($A$5:$A502,$A502,$L$5:$L502,"Active"))</f>
        <v/>
      </c>
      <c r="N502" s="26">
        <f>IF(OR($A502="",$M502=""),"",IF($M502=IFERROR(INDEX('Chart Database'!$R$6:$R$4005,MATCH($A502,'Chart Database'!$A$6:$A$4005,0)),0),"NEXT",""))</f>
        <v/>
      </c>
      <c r="O502" s="23" t="n"/>
    </row>
    <row r="503">
      <c r="A503" s="23" t="n"/>
      <c r="B503" s="26">
        <f>IF($A503="","",IFERROR(INDEX('Chart Database'!$B$6:$B$4005,MATCH($A503,'Chart Database'!$A$6:$A$4005,0)),"UNKNOWN CHART"))</f>
        <v/>
      </c>
      <c r="C503" s="23" t="n"/>
      <c r="D503" s="23" t="n"/>
      <c r="E503" s="25" t="n"/>
      <c r="F503" s="15" t="n"/>
      <c r="G503" s="23" t="n"/>
      <c r="H503" s="15" t="n"/>
      <c r="I503" s="15" t="n"/>
      <c r="J503" s="15" t="n"/>
      <c r="K503" s="25" t="n"/>
      <c r="L503" s="15" t="n"/>
      <c r="M503" s="26">
        <f>IF(OR($A503="",$L503&lt;&gt;"Active"),"",COUNTIFS($A$5:$A503,$A503,$L$5:$L503,"Active"))</f>
        <v/>
      </c>
      <c r="N503" s="26">
        <f>IF(OR($A503="",$M503=""),"",IF($M503=IFERROR(INDEX('Chart Database'!$R$6:$R$4005,MATCH($A503,'Chart Database'!$A$6:$A$4005,0)),0),"NEXT",""))</f>
        <v/>
      </c>
      <c r="O503" s="23" t="n"/>
    </row>
    <row r="504">
      <c r="A504" s="23" t="n"/>
      <c r="B504" s="26">
        <f>IF($A504="","",IFERROR(INDEX('Chart Database'!$B$6:$B$4005,MATCH($A504,'Chart Database'!$A$6:$A$4005,0)),"UNKNOWN CHART"))</f>
        <v/>
      </c>
      <c r="C504" s="23" t="n"/>
      <c r="D504" s="23" t="n"/>
      <c r="E504" s="25" t="n"/>
      <c r="F504" s="15" t="n"/>
      <c r="G504" s="23" t="n"/>
      <c r="H504" s="15" t="n"/>
      <c r="I504" s="15" t="n"/>
      <c r="J504" s="15" t="n"/>
      <c r="K504" s="25" t="n"/>
      <c r="L504" s="15" t="n"/>
      <c r="M504" s="26">
        <f>IF(OR($A504="",$L504&lt;&gt;"Active"),"",COUNTIFS($A$5:$A504,$A504,$L$5:$L504,"Active"))</f>
        <v/>
      </c>
      <c r="N504" s="26">
        <f>IF(OR($A504="",$M504=""),"",IF($M504=IFERROR(INDEX('Chart Database'!$R$6:$R$4005,MATCH($A504,'Chart Database'!$A$6:$A$4005,0)),0),"NEXT",""))</f>
        <v/>
      </c>
      <c r="O504" s="23" t="n"/>
    </row>
    <row r="505">
      <c r="A505" s="23" t="n"/>
      <c r="B505" s="26">
        <f>IF($A505="","",IFERROR(INDEX('Chart Database'!$B$6:$B$4005,MATCH($A505,'Chart Database'!$A$6:$A$4005,0)),"UNKNOWN CHART"))</f>
        <v/>
      </c>
      <c r="C505" s="23" t="n"/>
      <c r="D505" s="23" t="n"/>
      <c r="E505" s="25" t="n"/>
      <c r="F505" s="15" t="n"/>
      <c r="G505" s="23" t="n"/>
      <c r="H505" s="15" t="n"/>
      <c r="I505" s="15" t="n"/>
      <c r="J505" s="15" t="n"/>
      <c r="K505" s="25" t="n"/>
      <c r="L505" s="15" t="n"/>
      <c r="M505" s="26">
        <f>IF(OR($A505="",$L505&lt;&gt;"Active"),"",COUNTIFS($A$5:$A505,$A505,$L$5:$L505,"Active"))</f>
        <v/>
      </c>
      <c r="N505" s="26">
        <f>IF(OR($A505="",$M505=""),"",IF($M505=IFERROR(INDEX('Chart Database'!$R$6:$R$4005,MATCH($A505,'Chart Database'!$A$6:$A$4005,0)),0),"NEXT",""))</f>
        <v/>
      </c>
      <c r="O505" s="23" t="n"/>
    </row>
    <row r="506">
      <c r="A506" s="23" t="n"/>
      <c r="B506" s="26">
        <f>IF($A506="","",IFERROR(INDEX('Chart Database'!$B$6:$B$4005,MATCH($A506,'Chart Database'!$A$6:$A$4005,0)),"UNKNOWN CHART"))</f>
        <v/>
      </c>
      <c r="C506" s="23" t="n"/>
      <c r="D506" s="23" t="n"/>
      <c r="E506" s="25" t="n"/>
      <c r="F506" s="15" t="n"/>
      <c r="G506" s="23" t="n"/>
      <c r="H506" s="15" t="n"/>
      <c r="I506" s="15" t="n"/>
      <c r="J506" s="15" t="n"/>
      <c r="K506" s="25" t="n"/>
      <c r="L506" s="15" t="n"/>
      <c r="M506" s="26">
        <f>IF(OR($A506="",$L506&lt;&gt;"Active"),"",COUNTIFS($A$5:$A506,$A506,$L$5:$L506,"Active"))</f>
        <v/>
      </c>
      <c r="N506" s="26">
        <f>IF(OR($A506="",$M506=""),"",IF($M506=IFERROR(INDEX('Chart Database'!$R$6:$R$4005,MATCH($A506,'Chart Database'!$A$6:$A$4005,0)),0),"NEXT",""))</f>
        <v/>
      </c>
      <c r="O506" s="23" t="n"/>
    </row>
    <row r="507">
      <c r="A507" s="23" t="n"/>
      <c r="B507" s="26">
        <f>IF($A507="","",IFERROR(INDEX('Chart Database'!$B$6:$B$4005,MATCH($A507,'Chart Database'!$A$6:$A$4005,0)),"UNKNOWN CHART"))</f>
        <v/>
      </c>
      <c r="C507" s="23" t="n"/>
      <c r="D507" s="23" t="n"/>
      <c r="E507" s="25" t="n"/>
      <c r="F507" s="15" t="n"/>
      <c r="G507" s="23" t="n"/>
      <c r="H507" s="15" t="n"/>
      <c r="I507" s="15" t="n"/>
      <c r="J507" s="15" t="n"/>
      <c r="K507" s="25" t="n"/>
      <c r="L507" s="15" t="n"/>
      <c r="M507" s="26">
        <f>IF(OR($A507="",$L507&lt;&gt;"Active"),"",COUNTIFS($A$5:$A507,$A507,$L$5:$L507,"Active"))</f>
        <v/>
      </c>
      <c r="N507" s="26">
        <f>IF(OR($A507="",$M507=""),"",IF($M507=IFERROR(INDEX('Chart Database'!$R$6:$R$4005,MATCH($A507,'Chart Database'!$A$6:$A$4005,0)),0),"NEXT",""))</f>
        <v/>
      </c>
      <c r="O507" s="23" t="n"/>
    </row>
    <row r="508">
      <c r="A508" s="23" t="n"/>
      <c r="B508" s="26">
        <f>IF($A508="","",IFERROR(INDEX('Chart Database'!$B$6:$B$4005,MATCH($A508,'Chart Database'!$A$6:$A$4005,0)),"UNKNOWN CHART"))</f>
        <v/>
      </c>
      <c r="C508" s="23" t="n"/>
      <c r="D508" s="23" t="n"/>
      <c r="E508" s="25" t="n"/>
      <c r="F508" s="15" t="n"/>
      <c r="G508" s="23" t="n"/>
      <c r="H508" s="15" t="n"/>
      <c r="I508" s="15" t="n"/>
      <c r="J508" s="15" t="n"/>
      <c r="K508" s="25" t="n"/>
      <c r="L508" s="15" t="n"/>
      <c r="M508" s="26">
        <f>IF(OR($A508="",$L508&lt;&gt;"Active"),"",COUNTIFS($A$5:$A508,$A508,$L$5:$L508,"Active"))</f>
        <v/>
      </c>
      <c r="N508" s="26">
        <f>IF(OR($A508="",$M508=""),"",IF($M508=IFERROR(INDEX('Chart Database'!$R$6:$R$4005,MATCH($A508,'Chart Database'!$A$6:$A$4005,0)),0),"NEXT",""))</f>
        <v/>
      </c>
      <c r="O508" s="23" t="n"/>
    </row>
    <row r="509">
      <c r="A509" s="23" t="n"/>
      <c r="B509" s="26">
        <f>IF($A509="","",IFERROR(INDEX('Chart Database'!$B$6:$B$4005,MATCH($A509,'Chart Database'!$A$6:$A$4005,0)),"UNKNOWN CHART"))</f>
        <v/>
      </c>
      <c r="C509" s="23" t="n"/>
      <c r="D509" s="23" t="n"/>
      <c r="E509" s="25" t="n"/>
      <c r="F509" s="15" t="n"/>
      <c r="G509" s="23" t="n"/>
      <c r="H509" s="15" t="n"/>
      <c r="I509" s="15" t="n"/>
      <c r="J509" s="15" t="n"/>
      <c r="K509" s="25" t="n"/>
      <c r="L509" s="15" t="n"/>
      <c r="M509" s="26">
        <f>IF(OR($A509="",$L509&lt;&gt;"Active"),"",COUNTIFS($A$5:$A509,$A509,$L$5:$L509,"Active"))</f>
        <v/>
      </c>
      <c r="N509" s="26">
        <f>IF(OR($A509="",$M509=""),"",IF($M509=IFERROR(INDEX('Chart Database'!$R$6:$R$4005,MATCH($A509,'Chart Database'!$A$6:$A$4005,0)),0),"NEXT",""))</f>
        <v/>
      </c>
      <c r="O509" s="23" t="n"/>
    </row>
    <row r="510">
      <c r="A510" s="23" t="n"/>
      <c r="B510" s="26">
        <f>IF($A510="","",IFERROR(INDEX('Chart Database'!$B$6:$B$4005,MATCH($A510,'Chart Database'!$A$6:$A$4005,0)),"UNKNOWN CHART"))</f>
        <v/>
      </c>
      <c r="C510" s="23" t="n"/>
      <c r="D510" s="23" t="n"/>
      <c r="E510" s="25" t="n"/>
      <c r="F510" s="15" t="n"/>
      <c r="G510" s="23" t="n"/>
      <c r="H510" s="15" t="n"/>
      <c r="I510" s="15" t="n"/>
      <c r="J510" s="15" t="n"/>
      <c r="K510" s="25" t="n"/>
      <c r="L510" s="15" t="n"/>
      <c r="M510" s="26">
        <f>IF(OR($A510="",$L510&lt;&gt;"Active"),"",COUNTIFS($A$5:$A510,$A510,$L$5:$L510,"Active"))</f>
        <v/>
      </c>
      <c r="N510" s="26">
        <f>IF(OR($A510="",$M510=""),"",IF($M510=IFERROR(INDEX('Chart Database'!$R$6:$R$4005,MATCH($A510,'Chart Database'!$A$6:$A$4005,0)),0),"NEXT",""))</f>
        <v/>
      </c>
      <c r="O510" s="23" t="n"/>
    </row>
    <row r="511">
      <c r="A511" s="23" t="n"/>
      <c r="B511" s="26">
        <f>IF($A511="","",IFERROR(INDEX('Chart Database'!$B$6:$B$4005,MATCH($A511,'Chart Database'!$A$6:$A$4005,0)),"UNKNOWN CHART"))</f>
        <v/>
      </c>
      <c r="C511" s="23" t="n"/>
      <c r="D511" s="23" t="n"/>
      <c r="E511" s="25" t="n"/>
      <c r="F511" s="15" t="n"/>
      <c r="G511" s="23" t="n"/>
      <c r="H511" s="15" t="n"/>
      <c r="I511" s="15" t="n"/>
      <c r="J511" s="15" t="n"/>
      <c r="K511" s="25" t="n"/>
      <c r="L511" s="15" t="n"/>
      <c r="M511" s="26">
        <f>IF(OR($A511="",$L511&lt;&gt;"Active"),"",COUNTIFS($A$5:$A511,$A511,$L$5:$L511,"Active"))</f>
        <v/>
      </c>
      <c r="N511" s="26">
        <f>IF(OR($A511="",$M511=""),"",IF($M511=IFERROR(INDEX('Chart Database'!$R$6:$R$4005,MATCH($A511,'Chart Database'!$A$6:$A$4005,0)),0),"NEXT",""))</f>
        <v/>
      </c>
      <c r="O511" s="23" t="n"/>
    </row>
    <row r="512">
      <c r="A512" s="23" t="n"/>
      <c r="B512" s="26">
        <f>IF($A512="","",IFERROR(INDEX('Chart Database'!$B$6:$B$4005,MATCH($A512,'Chart Database'!$A$6:$A$4005,0)),"UNKNOWN CHART"))</f>
        <v/>
      </c>
      <c r="C512" s="23" t="n"/>
      <c r="D512" s="23" t="n"/>
      <c r="E512" s="25" t="n"/>
      <c r="F512" s="15" t="n"/>
      <c r="G512" s="23" t="n"/>
      <c r="H512" s="15" t="n"/>
      <c r="I512" s="15" t="n"/>
      <c r="J512" s="15" t="n"/>
      <c r="K512" s="25" t="n"/>
      <c r="L512" s="15" t="n"/>
      <c r="M512" s="26">
        <f>IF(OR($A512="",$L512&lt;&gt;"Active"),"",COUNTIFS($A$5:$A512,$A512,$L$5:$L512,"Active"))</f>
        <v/>
      </c>
      <c r="N512" s="26">
        <f>IF(OR($A512="",$M512=""),"",IF($M512=IFERROR(INDEX('Chart Database'!$R$6:$R$4005,MATCH($A512,'Chart Database'!$A$6:$A$4005,0)),0),"NEXT",""))</f>
        <v/>
      </c>
      <c r="O512" s="23" t="n"/>
    </row>
    <row r="513">
      <c r="A513" s="23" t="n"/>
      <c r="B513" s="26">
        <f>IF($A513="","",IFERROR(INDEX('Chart Database'!$B$6:$B$4005,MATCH($A513,'Chart Database'!$A$6:$A$4005,0)),"UNKNOWN CHART"))</f>
        <v/>
      </c>
      <c r="C513" s="23" t="n"/>
      <c r="D513" s="23" t="n"/>
      <c r="E513" s="25" t="n"/>
      <c r="F513" s="15" t="n"/>
      <c r="G513" s="23" t="n"/>
      <c r="H513" s="15" t="n"/>
      <c r="I513" s="15" t="n"/>
      <c r="J513" s="15" t="n"/>
      <c r="K513" s="25" t="n"/>
      <c r="L513" s="15" t="n"/>
      <c r="M513" s="26">
        <f>IF(OR($A513="",$L513&lt;&gt;"Active"),"",COUNTIFS($A$5:$A513,$A513,$L$5:$L513,"Active"))</f>
        <v/>
      </c>
      <c r="N513" s="26">
        <f>IF(OR($A513="",$M513=""),"",IF($M513=IFERROR(INDEX('Chart Database'!$R$6:$R$4005,MATCH($A513,'Chart Database'!$A$6:$A$4005,0)),0),"NEXT",""))</f>
        <v/>
      </c>
      <c r="O513" s="23" t="n"/>
    </row>
    <row r="514">
      <c r="A514" s="23" t="n"/>
      <c r="B514" s="26">
        <f>IF($A514="","",IFERROR(INDEX('Chart Database'!$B$6:$B$4005,MATCH($A514,'Chart Database'!$A$6:$A$4005,0)),"UNKNOWN CHART"))</f>
        <v/>
      </c>
      <c r="C514" s="23" t="n"/>
      <c r="D514" s="23" t="n"/>
      <c r="E514" s="25" t="n"/>
      <c r="F514" s="15" t="n"/>
      <c r="G514" s="23" t="n"/>
      <c r="H514" s="15" t="n"/>
      <c r="I514" s="15" t="n"/>
      <c r="J514" s="15" t="n"/>
      <c r="K514" s="25" t="n"/>
      <c r="L514" s="15" t="n"/>
      <c r="M514" s="26">
        <f>IF(OR($A514="",$L514&lt;&gt;"Active"),"",COUNTIFS($A$5:$A514,$A514,$L$5:$L514,"Active"))</f>
        <v/>
      </c>
      <c r="N514" s="26">
        <f>IF(OR($A514="",$M514=""),"",IF($M514=IFERROR(INDEX('Chart Database'!$R$6:$R$4005,MATCH($A514,'Chart Database'!$A$6:$A$4005,0)),0),"NEXT",""))</f>
        <v/>
      </c>
      <c r="O514" s="23" t="n"/>
    </row>
    <row r="515">
      <c r="A515" s="23" t="n"/>
      <c r="B515" s="26">
        <f>IF($A515="","",IFERROR(INDEX('Chart Database'!$B$6:$B$4005,MATCH($A515,'Chart Database'!$A$6:$A$4005,0)),"UNKNOWN CHART"))</f>
        <v/>
      </c>
      <c r="C515" s="23" t="n"/>
      <c r="D515" s="23" t="n"/>
      <c r="E515" s="25" t="n"/>
      <c r="F515" s="15" t="n"/>
      <c r="G515" s="23" t="n"/>
      <c r="H515" s="15" t="n"/>
      <c r="I515" s="15" t="n"/>
      <c r="J515" s="15" t="n"/>
      <c r="K515" s="25" t="n"/>
      <c r="L515" s="15" t="n"/>
      <c r="M515" s="26">
        <f>IF(OR($A515="",$L515&lt;&gt;"Active"),"",COUNTIFS($A$5:$A515,$A515,$L$5:$L515,"Active"))</f>
        <v/>
      </c>
      <c r="N515" s="26">
        <f>IF(OR($A515="",$M515=""),"",IF($M515=IFERROR(INDEX('Chart Database'!$R$6:$R$4005,MATCH($A515,'Chart Database'!$A$6:$A$4005,0)),0),"NEXT",""))</f>
        <v/>
      </c>
      <c r="O515" s="23" t="n"/>
    </row>
    <row r="516">
      <c r="A516" s="23" t="n"/>
      <c r="B516" s="26">
        <f>IF($A516="","",IFERROR(INDEX('Chart Database'!$B$6:$B$4005,MATCH($A516,'Chart Database'!$A$6:$A$4005,0)),"UNKNOWN CHART"))</f>
        <v/>
      </c>
      <c r="C516" s="23" t="n"/>
      <c r="D516" s="23" t="n"/>
      <c r="E516" s="25" t="n"/>
      <c r="F516" s="15" t="n"/>
      <c r="G516" s="23" t="n"/>
      <c r="H516" s="15" t="n"/>
      <c r="I516" s="15" t="n"/>
      <c r="J516" s="15" t="n"/>
      <c r="K516" s="25" t="n"/>
      <c r="L516" s="15" t="n"/>
      <c r="M516" s="26">
        <f>IF(OR($A516="",$L516&lt;&gt;"Active"),"",COUNTIFS($A$5:$A516,$A516,$L$5:$L516,"Active"))</f>
        <v/>
      </c>
      <c r="N516" s="26">
        <f>IF(OR($A516="",$M516=""),"",IF($M516=IFERROR(INDEX('Chart Database'!$R$6:$R$4005,MATCH($A516,'Chart Database'!$A$6:$A$4005,0)),0),"NEXT",""))</f>
        <v/>
      </c>
      <c r="O516" s="23" t="n"/>
    </row>
    <row r="517">
      <c r="A517" s="23" t="n"/>
      <c r="B517" s="26">
        <f>IF($A517="","",IFERROR(INDEX('Chart Database'!$B$6:$B$4005,MATCH($A517,'Chart Database'!$A$6:$A$4005,0)),"UNKNOWN CHART"))</f>
        <v/>
      </c>
      <c r="C517" s="23" t="n"/>
      <c r="D517" s="23" t="n"/>
      <c r="E517" s="25" t="n"/>
      <c r="F517" s="15" t="n"/>
      <c r="G517" s="23" t="n"/>
      <c r="H517" s="15" t="n"/>
      <c r="I517" s="15" t="n"/>
      <c r="J517" s="15" t="n"/>
      <c r="K517" s="25" t="n"/>
      <c r="L517" s="15" t="n"/>
      <c r="M517" s="26">
        <f>IF(OR($A517="",$L517&lt;&gt;"Active"),"",COUNTIFS($A$5:$A517,$A517,$L$5:$L517,"Active"))</f>
        <v/>
      </c>
      <c r="N517" s="26">
        <f>IF(OR($A517="",$M517=""),"",IF($M517=IFERROR(INDEX('Chart Database'!$R$6:$R$4005,MATCH($A517,'Chart Database'!$A$6:$A$4005,0)),0),"NEXT",""))</f>
        <v/>
      </c>
      <c r="O517" s="23" t="n"/>
    </row>
    <row r="518">
      <c r="A518" s="23" t="n"/>
      <c r="B518" s="26">
        <f>IF($A518="","",IFERROR(INDEX('Chart Database'!$B$6:$B$4005,MATCH($A518,'Chart Database'!$A$6:$A$4005,0)),"UNKNOWN CHART"))</f>
        <v/>
      </c>
      <c r="C518" s="23" t="n"/>
      <c r="D518" s="23" t="n"/>
      <c r="E518" s="25" t="n"/>
      <c r="F518" s="15" t="n"/>
      <c r="G518" s="23" t="n"/>
      <c r="H518" s="15" t="n"/>
      <c r="I518" s="15" t="n"/>
      <c r="J518" s="15" t="n"/>
      <c r="K518" s="25" t="n"/>
      <c r="L518" s="15" t="n"/>
      <c r="M518" s="26">
        <f>IF(OR($A518="",$L518&lt;&gt;"Active"),"",COUNTIFS($A$5:$A518,$A518,$L$5:$L518,"Active"))</f>
        <v/>
      </c>
      <c r="N518" s="26">
        <f>IF(OR($A518="",$M518=""),"",IF($M518=IFERROR(INDEX('Chart Database'!$R$6:$R$4005,MATCH($A518,'Chart Database'!$A$6:$A$4005,0)),0),"NEXT",""))</f>
        <v/>
      </c>
      <c r="O518" s="23" t="n"/>
    </row>
    <row r="519">
      <c r="A519" s="23" t="n"/>
      <c r="B519" s="26">
        <f>IF($A519="","",IFERROR(INDEX('Chart Database'!$B$6:$B$4005,MATCH($A519,'Chart Database'!$A$6:$A$4005,0)),"UNKNOWN CHART"))</f>
        <v/>
      </c>
      <c r="C519" s="23" t="n"/>
      <c r="D519" s="23" t="n"/>
      <c r="E519" s="25" t="n"/>
      <c r="F519" s="15" t="n"/>
      <c r="G519" s="23" t="n"/>
      <c r="H519" s="15" t="n"/>
      <c r="I519" s="15" t="n"/>
      <c r="J519" s="15" t="n"/>
      <c r="K519" s="25" t="n"/>
      <c r="L519" s="15" t="n"/>
      <c r="M519" s="26">
        <f>IF(OR($A519="",$L519&lt;&gt;"Active"),"",COUNTIFS($A$5:$A519,$A519,$L$5:$L519,"Active"))</f>
        <v/>
      </c>
      <c r="N519" s="26">
        <f>IF(OR($A519="",$M519=""),"",IF($M519=IFERROR(INDEX('Chart Database'!$R$6:$R$4005,MATCH($A519,'Chart Database'!$A$6:$A$4005,0)),0),"NEXT",""))</f>
        <v/>
      </c>
      <c r="O519" s="23" t="n"/>
    </row>
    <row r="520">
      <c r="A520" s="23" t="n"/>
      <c r="B520" s="26">
        <f>IF($A520="","",IFERROR(INDEX('Chart Database'!$B$6:$B$4005,MATCH($A520,'Chart Database'!$A$6:$A$4005,0)),"UNKNOWN CHART"))</f>
        <v/>
      </c>
      <c r="C520" s="23" t="n"/>
      <c r="D520" s="23" t="n"/>
      <c r="E520" s="25" t="n"/>
      <c r="F520" s="15" t="n"/>
      <c r="G520" s="23" t="n"/>
      <c r="H520" s="15" t="n"/>
      <c r="I520" s="15" t="n"/>
      <c r="J520" s="15" t="n"/>
      <c r="K520" s="25" t="n"/>
      <c r="L520" s="15" t="n"/>
      <c r="M520" s="26">
        <f>IF(OR($A520="",$L520&lt;&gt;"Active"),"",COUNTIFS($A$5:$A520,$A520,$L$5:$L520,"Active"))</f>
        <v/>
      </c>
      <c r="N520" s="26">
        <f>IF(OR($A520="",$M520=""),"",IF($M520=IFERROR(INDEX('Chart Database'!$R$6:$R$4005,MATCH($A520,'Chart Database'!$A$6:$A$4005,0)),0),"NEXT",""))</f>
        <v/>
      </c>
      <c r="O520" s="23" t="n"/>
    </row>
    <row r="521">
      <c r="A521" s="23" t="n"/>
      <c r="B521" s="26">
        <f>IF($A521="","",IFERROR(INDEX('Chart Database'!$B$6:$B$4005,MATCH($A521,'Chart Database'!$A$6:$A$4005,0)),"UNKNOWN CHART"))</f>
        <v/>
      </c>
      <c r="C521" s="23" t="n"/>
      <c r="D521" s="23" t="n"/>
      <c r="E521" s="25" t="n"/>
      <c r="F521" s="15" t="n"/>
      <c r="G521" s="23" t="n"/>
      <c r="H521" s="15" t="n"/>
      <c r="I521" s="15" t="n"/>
      <c r="J521" s="15" t="n"/>
      <c r="K521" s="25" t="n"/>
      <c r="L521" s="15" t="n"/>
      <c r="M521" s="26">
        <f>IF(OR($A521="",$L521&lt;&gt;"Active"),"",COUNTIFS($A$5:$A521,$A521,$L$5:$L521,"Active"))</f>
        <v/>
      </c>
      <c r="N521" s="26">
        <f>IF(OR($A521="",$M521=""),"",IF($M521=IFERROR(INDEX('Chart Database'!$R$6:$R$4005,MATCH($A521,'Chart Database'!$A$6:$A$4005,0)),0),"NEXT",""))</f>
        <v/>
      </c>
      <c r="O521" s="23" t="n"/>
    </row>
    <row r="522">
      <c r="A522" s="23" t="n"/>
      <c r="B522" s="26">
        <f>IF($A522="","",IFERROR(INDEX('Chart Database'!$B$6:$B$4005,MATCH($A522,'Chart Database'!$A$6:$A$4005,0)),"UNKNOWN CHART"))</f>
        <v/>
      </c>
      <c r="C522" s="23" t="n"/>
      <c r="D522" s="23" t="n"/>
      <c r="E522" s="25" t="n"/>
      <c r="F522" s="15" t="n"/>
      <c r="G522" s="23" t="n"/>
      <c r="H522" s="15" t="n"/>
      <c r="I522" s="15" t="n"/>
      <c r="J522" s="15" t="n"/>
      <c r="K522" s="25" t="n"/>
      <c r="L522" s="15" t="n"/>
      <c r="M522" s="26">
        <f>IF(OR($A522="",$L522&lt;&gt;"Active"),"",COUNTIFS($A$5:$A522,$A522,$L$5:$L522,"Active"))</f>
        <v/>
      </c>
      <c r="N522" s="26">
        <f>IF(OR($A522="",$M522=""),"",IF($M522=IFERROR(INDEX('Chart Database'!$R$6:$R$4005,MATCH($A522,'Chart Database'!$A$6:$A$4005,0)),0),"NEXT",""))</f>
        <v/>
      </c>
      <c r="O522" s="23" t="n"/>
    </row>
    <row r="523">
      <c r="A523" s="23" t="n"/>
      <c r="B523" s="26">
        <f>IF($A523="","",IFERROR(INDEX('Chart Database'!$B$6:$B$4005,MATCH($A523,'Chart Database'!$A$6:$A$4005,0)),"UNKNOWN CHART"))</f>
        <v/>
      </c>
      <c r="C523" s="23" t="n"/>
      <c r="D523" s="23" t="n"/>
      <c r="E523" s="25" t="n"/>
      <c r="F523" s="15" t="n"/>
      <c r="G523" s="23" t="n"/>
      <c r="H523" s="15" t="n"/>
      <c r="I523" s="15" t="n"/>
      <c r="J523" s="15" t="n"/>
      <c r="K523" s="25" t="n"/>
      <c r="L523" s="15" t="n"/>
      <c r="M523" s="26">
        <f>IF(OR($A523="",$L523&lt;&gt;"Active"),"",COUNTIFS($A$5:$A523,$A523,$L$5:$L523,"Active"))</f>
        <v/>
      </c>
      <c r="N523" s="26">
        <f>IF(OR($A523="",$M523=""),"",IF($M523=IFERROR(INDEX('Chart Database'!$R$6:$R$4005,MATCH($A523,'Chart Database'!$A$6:$A$4005,0)),0),"NEXT",""))</f>
        <v/>
      </c>
      <c r="O523" s="23" t="n"/>
    </row>
    <row r="524">
      <c r="A524" s="23" t="n"/>
      <c r="B524" s="26">
        <f>IF($A524="","",IFERROR(INDEX('Chart Database'!$B$6:$B$4005,MATCH($A524,'Chart Database'!$A$6:$A$4005,0)),"UNKNOWN CHART"))</f>
        <v/>
      </c>
      <c r="C524" s="23" t="n"/>
      <c r="D524" s="23" t="n"/>
      <c r="E524" s="25" t="n"/>
      <c r="F524" s="15" t="n"/>
      <c r="G524" s="23" t="n"/>
      <c r="H524" s="15" t="n"/>
      <c r="I524" s="15" t="n"/>
      <c r="J524" s="15" t="n"/>
      <c r="K524" s="25" t="n"/>
      <c r="L524" s="15" t="n"/>
      <c r="M524" s="26">
        <f>IF(OR($A524="",$L524&lt;&gt;"Active"),"",COUNTIFS($A$5:$A524,$A524,$L$5:$L524,"Active"))</f>
        <v/>
      </c>
      <c r="N524" s="26">
        <f>IF(OR($A524="",$M524=""),"",IF($M524=IFERROR(INDEX('Chart Database'!$R$6:$R$4005,MATCH($A524,'Chart Database'!$A$6:$A$4005,0)),0),"NEXT",""))</f>
        <v/>
      </c>
      <c r="O524" s="23" t="n"/>
    </row>
    <row r="525">
      <c r="A525" s="23" t="n"/>
      <c r="B525" s="26">
        <f>IF($A525="","",IFERROR(INDEX('Chart Database'!$B$6:$B$4005,MATCH($A525,'Chart Database'!$A$6:$A$4005,0)),"UNKNOWN CHART"))</f>
        <v/>
      </c>
      <c r="C525" s="23" t="n"/>
      <c r="D525" s="23" t="n"/>
      <c r="E525" s="25" t="n"/>
      <c r="F525" s="15" t="n"/>
      <c r="G525" s="23" t="n"/>
      <c r="H525" s="15" t="n"/>
      <c r="I525" s="15" t="n"/>
      <c r="J525" s="15" t="n"/>
      <c r="K525" s="25" t="n"/>
      <c r="L525" s="15" t="n"/>
      <c r="M525" s="26">
        <f>IF(OR($A525="",$L525&lt;&gt;"Active"),"",COUNTIFS($A$5:$A525,$A525,$L$5:$L525,"Active"))</f>
        <v/>
      </c>
      <c r="N525" s="26">
        <f>IF(OR($A525="",$M525=""),"",IF($M525=IFERROR(INDEX('Chart Database'!$R$6:$R$4005,MATCH($A525,'Chart Database'!$A$6:$A$4005,0)),0),"NEXT",""))</f>
        <v/>
      </c>
      <c r="O525" s="23" t="n"/>
    </row>
    <row r="526">
      <c r="A526" s="23" t="n"/>
      <c r="B526" s="26">
        <f>IF($A526="","",IFERROR(INDEX('Chart Database'!$B$6:$B$4005,MATCH($A526,'Chart Database'!$A$6:$A$4005,0)),"UNKNOWN CHART"))</f>
        <v/>
      </c>
      <c r="C526" s="23" t="n"/>
      <c r="D526" s="23" t="n"/>
      <c r="E526" s="25" t="n"/>
      <c r="F526" s="15" t="n"/>
      <c r="G526" s="23" t="n"/>
      <c r="H526" s="15" t="n"/>
      <c r="I526" s="15" t="n"/>
      <c r="J526" s="15" t="n"/>
      <c r="K526" s="25" t="n"/>
      <c r="L526" s="15" t="n"/>
      <c r="M526" s="26">
        <f>IF(OR($A526="",$L526&lt;&gt;"Active"),"",COUNTIFS($A$5:$A526,$A526,$L$5:$L526,"Active"))</f>
        <v/>
      </c>
      <c r="N526" s="26">
        <f>IF(OR($A526="",$M526=""),"",IF($M526=IFERROR(INDEX('Chart Database'!$R$6:$R$4005,MATCH($A526,'Chart Database'!$A$6:$A$4005,0)),0),"NEXT",""))</f>
        <v/>
      </c>
      <c r="O526" s="23" t="n"/>
    </row>
    <row r="527">
      <c r="A527" s="23" t="n"/>
      <c r="B527" s="26">
        <f>IF($A527="","",IFERROR(INDEX('Chart Database'!$B$6:$B$4005,MATCH($A527,'Chart Database'!$A$6:$A$4005,0)),"UNKNOWN CHART"))</f>
        <v/>
      </c>
      <c r="C527" s="23" t="n"/>
      <c r="D527" s="23" t="n"/>
      <c r="E527" s="25" t="n"/>
      <c r="F527" s="15" t="n"/>
      <c r="G527" s="23" t="n"/>
      <c r="H527" s="15" t="n"/>
      <c r="I527" s="15" t="n"/>
      <c r="J527" s="15" t="n"/>
      <c r="K527" s="25" t="n"/>
      <c r="L527" s="15" t="n"/>
      <c r="M527" s="26">
        <f>IF(OR($A527="",$L527&lt;&gt;"Active"),"",COUNTIFS($A$5:$A527,$A527,$L$5:$L527,"Active"))</f>
        <v/>
      </c>
      <c r="N527" s="26">
        <f>IF(OR($A527="",$M527=""),"",IF($M527=IFERROR(INDEX('Chart Database'!$R$6:$R$4005,MATCH($A527,'Chart Database'!$A$6:$A$4005,0)),0),"NEXT",""))</f>
        <v/>
      </c>
      <c r="O527" s="23" t="n"/>
    </row>
    <row r="528">
      <c r="A528" s="23" t="n"/>
      <c r="B528" s="26">
        <f>IF($A528="","",IFERROR(INDEX('Chart Database'!$B$6:$B$4005,MATCH($A528,'Chart Database'!$A$6:$A$4005,0)),"UNKNOWN CHART"))</f>
        <v/>
      </c>
      <c r="C528" s="23" t="n"/>
      <c r="D528" s="23" t="n"/>
      <c r="E528" s="25" t="n"/>
      <c r="F528" s="15" t="n"/>
      <c r="G528" s="23" t="n"/>
      <c r="H528" s="15" t="n"/>
      <c r="I528" s="15" t="n"/>
      <c r="J528" s="15" t="n"/>
      <c r="K528" s="25" t="n"/>
      <c r="L528" s="15" t="n"/>
      <c r="M528" s="26">
        <f>IF(OR($A528="",$L528&lt;&gt;"Active"),"",COUNTIFS($A$5:$A528,$A528,$L$5:$L528,"Active"))</f>
        <v/>
      </c>
      <c r="N528" s="26">
        <f>IF(OR($A528="",$M528=""),"",IF($M528=IFERROR(INDEX('Chart Database'!$R$6:$R$4005,MATCH($A528,'Chart Database'!$A$6:$A$4005,0)),0),"NEXT",""))</f>
        <v/>
      </c>
      <c r="O528" s="23" t="n"/>
    </row>
    <row r="529">
      <c r="A529" s="23" t="n"/>
      <c r="B529" s="26">
        <f>IF($A529="","",IFERROR(INDEX('Chart Database'!$B$6:$B$4005,MATCH($A529,'Chart Database'!$A$6:$A$4005,0)),"UNKNOWN CHART"))</f>
        <v/>
      </c>
      <c r="C529" s="23" t="n"/>
      <c r="D529" s="23" t="n"/>
      <c r="E529" s="25" t="n"/>
      <c r="F529" s="15" t="n"/>
      <c r="G529" s="23" t="n"/>
      <c r="H529" s="15" t="n"/>
      <c r="I529" s="15" t="n"/>
      <c r="J529" s="15" t="n"/>
      <c r="K529" s="25" t="n"/>
      <c r="L529" s="15" t="n"/>
      <c r="M529" s="26">
        <f>IF(OR($A529="",$L529&lt;&gt;"Active"),"",COUNTIFS($A$5:$A529,$A529,$L$5:$L529,"Active"))</f>
        <v/>
      </c>
      <c r="N529" s="26">
        <f>IF(OR($A529="",$M529=""),"",IF($M529=IFERROR(INDEX('Chart Database'!$R$6:$R$4005,MATCH($A529,'Chart Database'!$A$6:$A$4005,0)),0),"NEXT",""))</f>
        <v/>
      </c>
      <c r="O529" s="23" t="n"/>
    </row>
    <row r="530">
      <c r="A530" s="23" t="n"/>
      <c r="B530" s="26">
        <f>IF($A530="","",IFERROR(INDEX('Chart Database'!$B$6:$B$4005,MATCH($A530,'Chart Database'!$A$6:$A$4005,0)),"UNKNOWN CHART"))</f>
        <v/>
      </c>
      <c r="C530" s="23" t="n"/>
      <c r="D530" s="23" t="n"/>
      <c r="E530" s="25" t="n"/>
      <c r="F530" s="15" t="n"/>
      <c r="G530" s="23" t="n"/>
      <c r="H530" s="15" t="n"/>
      <c r="I530" s="15" t="n"/>
      <c r="J530" s="15" t="n"/>
      <c r="K530" s="25" t="n"/>
      <c r="L530" s="15" t="n"/>
      <c r="M530" s="26">
        <f>IF(OR($A530="",$L530&lt;&gt;"Active"),"",COUNTIFS($A$5:$A530,$A530,$L$5:$L530,"Active"))</f>
        <v/>
      </c>
      <c r="N530" s="26">
        <f>IF(OR($A530="",$M530=""),"",IF($M530=IFERROR(INDEX('Chart Database'!$R$6:$R$4005,MATCH($A530,'Chart Database'!$A$6:$A$4005,0)),0),"NEXT",""))</f>
        <v/>
      </c>
      <c r="O530" s="23" t="n"/>
    </row>
    <row r="531">
      <c r="A531" s="23" t="n"/>
      <c r="B531" s="26">
        <f>IF($A531="","",IFERROR(INDEX('Chart Database'!$B$6:$B$4005,MATCH($A531,'Chart Database'!$A$6:$A$4005,0)),"UNKNOWN CHART"))</f>
        <v/>
      </c>
      <c r="C531" s="23" t="n"/>
      <c r="D531" s="23" t="n"/>
      <c r="E531" s="25" t="n"/>
      <c r="F531" s="15" t="n"/>
      <c r="G531" s="23" t="n"/>
      <c r="H531" s="15" t="n"/>
      <c r="I531" s="15" t="n"/>
      <c r="J531" s="15" t="n"/>
      <c r="K531" s="25" t="n"/>
      <c r="L531" s="15" t="n"/>
      <c r="M531" s="26">
        <f>IF(OR($A531="",$L531&lt;&gt;"Active"),"",COUNTIFS($A$5:$A531,$A531,$L$5:$L531,"Active"))</f>
        <v/>
      </c>
      <c r="N531" s="26">
        <f>IF(OR($A531="",$M531=""),"",IF($M531=IFERROR(INDEX('Chart Database'!$R$6:$R$4005,MATCH($A531,'Chart Database'!$A$6:$A$4005,0)),0),"NEXT",""))</f>
        <v/>
      </c>
      <c r="O531" s="23" t="n"/>
    </row>
    <row r="532">
      <c r="A532" s="23" t="n"/>
      <c r="B532" s="26">
        <f>IF($A532="","",IFERROR(INDEX('Chart Database'!$B$6:$B$4005,MATCH($A532,'Chart Database'!$A$6:$A$4005,0)),"UNKNOWN CHART"))</f>
        <v/>
      </c>
      <c r="C532" s="23" t="n"/>
      <c r="D532" s="23" t="n"/>
      <c r="E532" s="25" t="n"/>
      <c r="F532" s="15" t="n"/>
      <c r="G532" s="23" t="n"/>
      <c r="H532" s="15" t="n"/>
      <c r="I532" s="15" t="n"/>
      <c r="J532" s="15" t="n"/>
      <c r="K532" s="25" t="n"/>
      <c r="L532" s="15" t="n"/>
      <c r="M532" s="26">
        <f>IF(OR($A532="",$L532&lt;&gt;"Active"),"",COUNTIFS($A$5:$A532,$A532,$L$5:$L532,"Active"))</f>
        <v/>
      </c>
      <c r="N532" s="26">
        <f>IF(OR($A532="",$M532=""),"",IF($M532=IFERROR(INDEX('Chart Database'!$R$6:$R$4005,MATCH($A532,'Chart Database'!$A$6:$A$4005,0)),0),"NEXT",""))</f>
        <v/>
      </c>
      <c r="O532" s="23" t="n"/>
    </row>
    <row r="533">
      <c r="A533" s="23" t="n"/>
      <c r="B533" s="26">
        <f>IF($A533="","",IFERROR(INDEX('Chart Database'!$B$6:$B$4005,MATCH($A533,'Chart Database'!$A$6:$A$4005,0)),"UNKNOWN CHART"))</f>
        <v/>
      </c>
      <c r="C533" s="23" t="n"/>
      <c r="D533" s="23" t="n"/>
      <c r="E533" s="25" t="n"/>
      <c r="F533" s="15" t="n"/>
      <c r="G533" s="23" t="n"/>
      <c r="H533" s="15" t="n"/>
      <c r="I533" s="15" t="n"/>
      <c r="J533" s="15" t="n"/>
      <c r="K533" s="25" t="n"/>
      <c r="L533" s="15" t="n"/>
      <c r="M533" s="26">
        <f>IF(OR($A533="",$L533&lt;&gt;"Active"),"",COUNTIFS($A$5:$A533,$A533,$L$5:$L533,"Active"))</f>
        <v/>
      </c>
      <c r="N533" s="26">
        <f>IF(OR($A533="",$M533=""),"",IF($M533=IFERROR(INDEX('Chart Database'!$R$6:$R$4005,MATCH($A533,'Chart Database'!$A$6:$A$4005,0)),0),"NEXT",""))</f>
        <v/>
      </c>
      <c r="O533" s="23" t="n"/>
    </row>
    <row r="534">
      <c r="A534" s="23" t="n"/>
      <c r="B534" s="26">
        <f>IF($A534="","",IFERROR(INDEX('Chart Database'!$B$6:$B$4005,MATCH($A534,'Chart Database'!$A$6:$A$4005,0)),"UNKNOWN CHART"))</f>
        <v/>
      </c>
      <c r="C534" s="23" t="n"/>
      <c r="D534" s="23" t="n"/>
      <c r="E534" s="25" t="n"/>
      <c r="F534" s="15" t="n"/>
      <c r="G534" s="23" t="n"/>
      <c r="H534" s="15" t="n"/>
      <c r="I534" s="15" t="n"/>
      <c r="J534" s="15" t="n"/>
      <c r="K534" s="25" t="n"/>
      <c r="L534" s="15" t="n"/>
      <c r="M534" s="26">
        <f>IF(OR($A534="",$L534&lt;&gt;"Active"),"",COUNTIFS($A$5:$A534,$A534,$L$5:$L534,"Active"))</f>
        <v/>
      </c>
      <c r="N534" s="26">
        <f>IF(OR($A534="",$M534=""),"",IF($M534=IFERROR(INDEX('Chart Database'!$R$6:$R$4005,MATCH($A534,'Chart Database'!$A$6:$A$4005,0)),0),"NEXT",""))</f>
        <v/>
      </c>
      <c r="O534" s="23" t="n"/>
    </row>
    <row r="535">
      <c r="A535" s="23" t="n"/>
      <c r="B535" s="26">
        <f>IF($A535="","",IFERROR(INDEX('Chart Database'!$B$6:$B$4005,MATCH($A535,'Chart Database'!$A$6:$A$4005,0)),"UNKNOWN CHART"))</f>
        <v/>
      </c>
      <c r="C535" s="23" t="n"/>
      <c r="D535" s="23" t="n"/>
      <c r="E535" s="25" t="n"/>
      <c r="F535" s="15" t="n"/>
      <c r="G535" s="23" t="n"/>
      <c r="H535" s="15" t="n"/>
      <c r="I535" s="15" t="n"/>
      <c r="J535" s="15" t="n"/>
      <c r="K535" s="25" t="n"/>
      <c r="L535" s="15" t="n"/>
      <c r="M535" s="26">
        <f>IF(OR($A535="",$L535&lt;&gt;"Active"),"",COUNTIFS($A$5:$A535,$A535,$L$5:$L535,"Active"))</f>
        <v/>
      </c>
      <c r="N535" s="26">
        <f>IF(OR($A535="",$M535=""),"",IF($M535=IFERROR(INDEX('Chart Database'!$R$6:$R$4005,MATCH($A535,'Chart Database'!$A$6:$A$4005,0)),0),"NEXT",""))</f>
        <v/>
      </c>
      <c r="O535" s="23" t="n"/>
    </row>
    <row r="536">
      <c r="A536" s="23" t="n"/>
      <c r="B536" s="26">
        <f>IF($A536="","",IFERROR(INDEX('Chart Database'!$B$6:$B$4005,MATCH($A536,'Chart Database'!$A$6:$A$4005,0)),"UNKNOWN CHART"))</f>
        <v/>
      </c>
      <c r="C536" s="23" t="n"/>
      <c r="D536" s="23" t="n"/>
      <c r="E536" s="25" t="n"/>
      <c r="F536" s="15" t="n"/>
      <c r="G536" s="23" t="n"/>
      <c r="H536" s="15" t="n"/>
      <c r="I536" s="15" t="n"/>
      <c r="J536" s="15" t="n"/>
      <c r="K536" s="25" t="n"/>
      <c r="L536" s="15" t="n"/>
      <c r="M536" s="26">
        <f>IF(OR($A536="",$L536&lt;&gt;"Active"),"",COUNTIFS($A$5:$A536,$A536,$L$5:$L536,"Active"))</f>
        <v/>
      </c>
      <c r="N536" s="26">
        <f>IF(OR($A536="",$M536=""),"",IF($M536=IFERROR(INDEX('Chart Database'!$R$6:$R$4005,MATCH($A536,'Chart Database'!$A$6:$A$4005,0)),0),"NEXT",""))</f>
        <v/>
      </c>
      <c r="O536" s="23" t="n"/>
    </row>
    <row r="537">
      <c r="A537" s="23" t="n"/>
      <c r="B537" s="26">
        <f>IF($A537="","",IFERROR(INDEX('Chart Database'!$B$6:$B$4005,MATCH($A537,'Chart Database'!$A$6:$A$4005,0)),"UNKNOWN CHART"))</f>
        <v/>
      </c>
      <c r="C537" s="23" t="n"/>
      <c r="D537" s="23" t="n"/>
      <c r="E537" s="25" t="n"/>
      <c r="F537" s="15" t="n"/>
      <c r="G537" s="23" t="n"/>
      <c r="H537" s="15" t="n"/>
      <c r="I537" s="15" t="n"/>
      <c r="J537" s="15" t="n"/>
      <c r="K537" s="25" t="n"/>
      <c r="L537" s="15" t="n"/>
      <c r="M537" s="26">
        <f>IF(OR($A537="",$L537&lt;&gt;"Active"),"",COUNTIFS($A$5:$A537,$A537,$L$5:$L537,"Active"))</f>
        <v/>
      </c>
      <c r="N537" s="26">
        <f>IF(OR($A537="",$M537=""),"",IF($M537=IFERROR(INDEX('Chart Database'!$R$6:$R$4005,MATCH($A537,'Chart Database'!$A$6:$A$4005,0)),0),"NEXT",""))</f>
        <v/>
      </c>
      <c r="O537" s="23" t="n"/>
    </row>
    <row r="538">
      <c r="A538" s="23" t="n"/>
      <c r="B538" s="26">
        <f>IF($A538="","",IFERROR(INDEX('Chart Database'!$B$6:$B$4005,MATCH($A538,'Chart Database'!$A$6:$A$4005,0)),"UNKNOWN CHART"))</f>
        <v/>
      </c>
      <c r="C538" s="23" t="n"/>
      <c r="D538" s="23" t="n"/>
      <c r="E538" s="25" t="n"/>
      <c r="F538" s="15" t="n"/>
      <c r="G538" s="23" t="n"/>
      <c r="H538" s="15" t="n"/>
      <c r="I538" s="15" t="n"/>
      <c r="J538" s="15" t="n"/>
      <c r="K538" s="25" t="n"/>
      <c r="L538" s="15" t="n"/>
      <c r="M538" s="26">
        <f>IF(OR($A538="",$L538&lt;&gt;"Active"),"",COUNTIFS($A$5:$A538,$A538,$L$5:$L538,"Active"))</f>
        <v/>
      </c>
      <c r="N538" s="26">
        <f>IF(OR($A538="",$M538=""),"",IF($M538=IFERROR(INDEX('Chart Database'!$R$6:$R$4005,MATCH($A538,'Chart Database'!$A$6:$A$4005,0)),0),"NEXT",""))</f>
        <v/>
      </c>
      <c r="O538" s="23" t="n"/>
    </row>
    <row r="539">
      <c r="A539" s="23" t="n"/>
      <c r="B539" s="26">
        <f>IF($A539="","",IFERROR(INDEX('Chart Database'!$B$6:$B$4005,MATCH($A539,'Chart Database'!$A$6:$A$4005,0)),"UNKNOWN CHART"))</f>
        <v/>
      </c>
      <c r="C539" s="23" t="n"/>
      <c r="D539" s="23" t="n"/>
      <c r="E539" s="25" t="n"/>
      <c r="F539" s="15" t="n"/>
      <c r="G539" s="23" t="n"/>
      <c r="H539" s="15" t="n"/>
      <c r="I539" s="15" t="n"/>
      <c r="J539" s="15" t="n"/>
      <c r="K539" s="25" t="n"/>
      <c r="L539" s="15" t="n"/>
      <c r="M539" s="26">
        <f>IF(OR($A539="",$L539&lt;&gt;"Active"),"",COUNTIFS($A$5:$A539,$A539,$L$5:$L539,"Active"))</f>
        <v/>
      </c>
      <c r="N539" s="26">
        <f>IF(OR($A539="",$M539=""),"",IF($M539=IFERROR(INDEX('Chart Database'!$R$6:$R$4005,MATCH($A539,'Chart Database'!$A$6:$A$4005,0)),0),"NEXT",""))</f>
        <v/>
      </c>
      <c r="O539" s="23" t="n"/>
    </row>
    <row r="540">
      <c r="A540" s="23" t="n"/>
      <c r="B540" s="26">
        <f>IF($A540="","",IFERROR(INDEX('Chart Database'!$B$6:$B$4005,MATCH($A540,'Chart Database'!$A$6:$A$4005,0)),"UNKNOWN CHART"))</f>
        <v/>
      </c>
      <c r="C540" s="23" t="n"/>
      <c r="D540" s="23" t="n"/>
      <c r="E540" s="25" t="n"/>
      <c r="F540" s="15" t="n"/>
      <c r="G540" s="23" t="n"/>
      <c r="H540" s="15" t="n"/>
      <c r="I540" s="15" t="n"/>
      <c r="J540" s="15" t="n"/>
      <c r="K540" s="25" t="n"/>
      <c r="L540" s="15" t="n"/>
      <c r="M540" s="26">
        <f>IF(OR($A540="",$L540&lt;&gt;"Active"),"",COUNTIFS($A$5:$A540,$A540,$L$5:$L540,"Active"))</f>
        <v/>
      </c>
      <c r="N540" s="26">
        <f>IF(OR($A540="",$M540=""),"",IF($M540=IFERROR(INDEX('Chart Database'!$R$6:$R$4005,MATCH($A540,'Chart Database'!$A$6:$A$4005,0)),0),"NEXT",""))</f>
        <v/>
      </c>
      <c r="O540" s="23" t="n"/>
    </row>
    <row r="541">
      <c r="A541" s="23" t="n"/>
      <c r="B541" s="26">
        <f>IF($A541="","",IFERROR(INDEX('Chart Database'!$B$6:$B$4005,MATCH($A541,'Chart Database'!$A$6:$A$4005,0)),"UNKNOWN CHART"))</f>
        <v/>
      </c>
      <c r="C541" s="23" t="n"/>
      <c r="D541" s="23" t="n"/>
      <c r="E541" s="25" t="n"/>
      <c r="F541" s="15" t="n"/>
      <c r="G541" s="23" t="n"/>
      <c r="H541" s="15" t="n"/>
      <c r="I541" s="15" t="n"/>
      <c r="J541" s="15" t="n"/>
      <c r="K541" s="25" t="n"/>
      <c r="L541" s="15" t="n"/>
      <c r="M541" s="26">
        <f>IF(OR($A541="",$L541&lt;&gt;"Active"),"",COUNTIFS($A$5:$A541,$A541,$L$5:$L541,"Active"))</f>
        <v/>
      </c>
      <c r="N541" s="26">
        <f>IF(OR($A541="",$M541=""),"",IF($M541=IFERROR(INDEX('Chart Database'!$R$6:$R$4005,MATCH($A541,'Chart Database'!$A$6:$A$4005,0)),0),"NEXT",""))</f>
        <v/>
      </c>
      <c r="O541" s="23" t="n"/>
    </row>
    <row r="542">
      <c r="A542" s="23" t="n"/>
      <c r="B542" s="26">
        <f>IF($A542="","",IFERROR(INDEX('Chart Database'!$B$6:$B$4005,MATCH($A542,'Chart Database'!$A$6:$A$4005,0)),"UNKNOWN CHART"))</f>
        <v/>
      </c>
      <c r="C542" s="23" t="n"/>
      <c r="D542" s="23" t="n"/>
      <c r="E542" s="25" t="n"/>
      <c r="F542" s="15" t="n"/>
      <c r="G542" s="23" t="n"/>
      <c r="H542" s="15" t="n"/>
      <c r="I542" s="15" t="n"/>
      <c r="J542" s="15" t="n"/>
      <c r="K542" s="25" t="n"/>
      <c r="L542" s="15" t="n"/>
      <c r="M542" s="26">
        <f>IF(OR($A542="",$L542&lt;&gt;"Active"),"",COUNTIFS($A$5:$A542,$A542,$L$5:$L542,"Active"))</f>
        <v/>
      </c>
      <c r="N542" s="26">
        <f>IF(OR($A542="",$M542=""),"",IF($M542=IFERROR(INDEX('Chart Database'!$R$6:$R$4005,MATCH($A542,'Chart Database'!$A$6:$A$4005,0)),0),"NEXT",""))</f>
        <v/>
      </c>
      <c r="O542" s="23" t="n"/>
    </row>
    <row r="543">
      <c r="A543" s="23" t="n"/>
      <c r="B543" s="26">
        <f>IF($A543="","",IFERROR(INDEX('Chart Database'!$B$6:$B$4005,MATCH($A543,'Chart Database'!$A$6:$A$4005,0)),"UNKNOWN CHART"))</f>
        <v/>
      </c>
      <c r="C543" s="23" t="n"/>
      <c r="D543" s="23" t="n"/>
      <c r="E543" s="25" t="n"/>
      <c r="F543" s="15" t="n"/>
      <c r="G543" s="23" t="n"/>
      <c r="H543" s="15" t="n"/>
      <c r="I543" s="15" t="n"/>
      <c r="J543" s="15" t="n"/>
      <c r="K543" s="25" t="n"/>
      <c r="L543" s="15" t="n"/>
      <c r="M543" s="26">
        <f>IF(OR($A543="",$L543&lt;&gt;"Active"),"",COUNTIFS($A$5:$A543,$A543,$L$5:$L543,"Active"))</f>
        <v/>
      </c>
      <c r="N543" s="26">
        <f>IF(OR($A543="",$M543=""),"",IF($M543=IFERROR(INDEX('Chart Database'!$R$6:$R$4005,MATCH($A543,'Chart Database'!$A$6:$A$4005,0)),0),"NEXT",""))</f>
        <v/>
      </c>
      <c r="O543" s="23" t="n"/>
    </row>
    <row r="544">
      <c r="A544" s="23" t="n"/>
      <c r="B544" s="26">
        <f>IF($A544="","",IFERROR(INDEX('Chart Database'!$B$6:$B$4005,MATCH($A544,'Chart Database'!$A$6:$A$4005,0)),"UNKNOWN CHART"))</f>
        <v/>
      </c>
      <c r="C544" s="23" t="n"/>
      <c r="D544" s="23" t="n"/>
      <c r="E544" s="25" t="n"/>
      <c r="F544" s="15" t="n"/>
      <c r="G544" s="23" t="n"/>
      <c r="H544" s="15" t="n"/>
      <c r="I544" s="15" t="n"/>
      <c r="J544" s="15" t="n"/>
      <c r="K544" s="25" t="n"/>
      <c r="L544" s="15" t="n"/>
      <c r="M544" s="26">
        <f>IF(OR($A544="",$L544&lt;&gt;"Active"),"",COUNTIFS($A$5:$A544,$A544,$L$5:$L544,"Active"))</f>
        <v/>
      </c>
      <c r="N544" s="26">
        <f>IF(OR($A544="",$M544=""),"",IF($M544=IFERROR(INDEX('Chart Database'!$R$6:$R$4005,MATCH($A544,'Chart Database'!$A$6:$A$4005,0)),0),"NEXT",""))</f>
        <v/>
      </c>
      <c r="O544" s="23" t="n"/>
    </row>
    <row r="545">
      <c r="A545" s="23" t="n"/>
      <c r="B545" s="26">
        <f>IF($A545="","",IFERROR(INDEX('Chart Database'!$B$6:$B$4005,MATCH($A545,'Chart Database'!$A$6:$A$4005,0)),"UNKNOWN CHART"))</f>
        <v/>
      </c>
      <c r="C545" s="23" t="n"/>
      <c r="D545" s="23" t="n"/>
      <c r="E545" s="25" t="n"/>
      <c r="F545" s="15" t="n"/>
      <c r="G545" s="23" t="n"/>
      <c r="H545" s="15" t="n"/>
      <c r="I545" s="15" t="n"/>
      <c r="J545" s="15" t="n"/>
      <c r="K545" s="25" t="n"/>
      <c r="L545" s="15" t="n"/>
      <c r="M545" s="26">
        <f>IF(OR($A545="",$L545&lt;&gt;"Active"),"",COUNTIFS($A$5:$A545,$A545,$L$5:$L545,"Active"))</f>
        <v/>
      </c>
      <c r="N545" s="26">
        <f>IF(OR($A545="",$M545=""),"",IF($M545=IFERROR(INDEX('Chart Database'!$R$6:$R$4005,MATCH($A545,'Chart Database'!$A$6:$A$4005,0)),0),"NEXT",""))</f>
        <v/>
      </c>
      <c r="O545" s="23" t="n"/>
    </row>
    <row r="546">
      <c r="A546" s="23" t="n"/>
      <c r="B546" s="26">
        <f>IF($A546="","",IFERROR(INDEX('Chart Database'!$B$6:$B$4005,MATCH($A546,'Chart Database'!$A$6:$A$4005,0)),"UNKNOWN CHART"))</f>
        <v/>
      </c>
      <c r="C546" s="23" t="n"/>
      <c r="D546" s="23" t="n"/>
      <c r="E546" s="25" t="n"/>
      <c r="F546" s="15" t="n"/>
      <c r="G546" s="23" t="n"/>
      <c r="H546" s="15" t="n"/>
      <c r="I546" s="15" t="n"/>
      <c r="J546" s="15" t="n"/>
      <c r="K546" s="25" t="n"/>
      <c r="L546" s="15" t="n"/>
      <c r="M546" s="26">
        <f>IF(OR($A546="",$L546&lt;&gt;"Active"),"",COUNTIFS($A$5:$A546,$A546,$L$5:$L546,"Active"))</f>
        <v/>
      </c>
      <c r="N546" s="26">
        <f>IF(OR($A546="",$M546=""),"",IF($M546=IFERROR(INDEX('Chart Database'!$R$6:$R$4005,MATCH($A546,'Chart Database'!$A$6:$A$4005,0)),0),"NEXT",""))</f>
        <v/>
      </c>
      <c r="O546" s="23" t="n"/>
    </row>
    <row r="547">
      <c r="A547" s="23" t="n"/>
      <c r="B547" s="26">
        <f>IF($A547="","",IFERROR(INDEX('Chart Database'!$B$6:$B$4005,MATCH($A547,'Chart Database'!$A$6:$A$4005,0)),"UNKNOWN CHART"))</f>
        <v/>
      </c>
      <c r="C547" s="23" t="n"/>
      <c r="D547" s="23" t="n"/>
      <c r="E547" s="25" t="n"/>
      <c r="F547" s="15" t="n"/>
      <c r="G547" s="23" t="n"/>
      <c r="H547" s="15" t="n"/>
      <c r="I547" s="15" t="n"/>
      <c r="J547" s="15" t="n"/>
      <c r="K547" s="25" t="n"/>
      <c r="L547" s="15" t="n"/>
      <c r="M547" s="26">
        <f>IF(OR($A547="",$L547&lt;&gt;"Active"),"",COUNTIFS($A$5:$A547,$A547,$L$5:$L547,"Active"))</f>
        <v/>
      </c>
      <c r="N547" s="26">
        <f>IF(OR($A547="",$M547=""),"",IF($M547=IFERROR(INDEX('Chart Database'!$R$6:$R$4005,MATCH($A547,'Chart Database'!$A$6:$A$4005,0)),0),"NEXT",""))</f>
        <v/>
      </c>
      <c r="O547" s="23" t="n"/>
    </row>
    <row r="548">
      <c r="A548" s="23" t="n"/>
      <c r="B548" s="26">
        <f>IF($A548="","",IFERROR(INDEX('Chart Database'!$B$6:$B$4005,MATCH($A548,'Chart Database'!$A$6:$A$4005,0)),"UNKNOWN CHART"))</f>
        <v/>
      </c>
      <c r="C548" s="23" t="n"/>
      <c r="D548" s="23" t="n"/>
      <c r="E548" s="25" t="n"/>
      <c r="F548" s="15" t="n"/>
      <c r="G548" s="23" t="n"/>
      <c r="H548" s="15" t="n"/>
      <c r="I548" s="15" t="n"/>
      <c r="J548" s="15" t="n"/>
      <c r="K548" s="25" t="n"/>
      <c r="L548" s="15" t="n"/>
      <c r="M548" s="26">
        <f>IF(OR($A548="",$L548&lt;&gt;"Active"),"",COUNTIFS($A$5:$A548,$A548,$L$5:$L548,"Active"))</f>
        <v/>
      </c>
      <c r="N548" s="26">
        <f>IF(OR($A548="",$M548=""),"",IF($M548=IFERROR(INDEX('Chart Database'!$R$6:$R$4005,MATCH($A548,'Chart Database'!$A$6:$A$4005,0)),0),"NEXT",""))</f>
        <v/>
      </c>
      <c r="O548" s="23" t="n"/>
    </row>
    <row r="549">
      <c r="A549" s="23" t="n"/>
      <c r="B549" s="26">
        <f>IF($A549="","",IFERROR(INDEX('Chart Database'!$B$6:$B$4005,MATCH($A549,'Chart Database'!$A$6:$A$4005,0)),"UNKNOWN CHART"))</f>
        <v/>
      </c>
      <c r="C549" s="23" t="n"/>
      <c r="D549" s="23" t="n"/>
      <c r="E549" s="25" t="n"/>
      <c r="F549" s="15" t="n"/>
      <c r="G549" s="23" t="n"/>
      <c r="H549" s="15" t="n"/>
      <c r="I549" s="15" t="n"/>
      <c r="J549" s="15" t="n"/>
      <c r="K549" s="25" t="n"/>
      <c r="L549" s="15" t="n"/>
      <c r="M549" s="26">
        <f>IF(OR($A549="",$L549&lt;&gt;"Active"),"",COUNTIFS($A$5:$A549,$A549,$L$5:$L549,"Active"))</f>
        <v/>
      </c>
      <c r="N549" s="26">
        <f>IF(OR($A549="",$M549=""),"",IF($M549=IFERROR(INDEX('Chart Database'!$R$6:$R$4005,MATCH($A549,'Chart Database'!$A$6:$A$4005,0)),0),"NEXT",""))</f>
        <v/>
      </c>
      <c r="O549" s="23" t="n"/>
    </row>
    <row r="550">
      <c r="A550" s="23" t="n"/>
      <c r="B550" s="26">
        <f>IF($A550="","",IFERROR(INDEX('Chart Database'!$B$6:$B$4005,MATCH($A550,'Chart Database'!$A$6:$A$4005,0)),"UNKNOWN CHART"))</f>
        <v/>
      </c>
      <c r="C550" s="23" t="n"/>
      <c r="D550" s="23" t="n"/>
      <c r="E550" s="25" t="n"/>
      <c r="F550" s="15" t="n"/>
      <c r="G550" s="23" t="n"/>
      <c r="H550" s="15" t="n"/>
      <c r="I550" s="15" t="n"/>
      <c r="J550" s="15" t="n"/>
      <c r="K550" s="25" t="n"/>
      <c r="L550" s="15" t="n"/>
      <c r="M550" s="26">
        <f>IF(OR($A550="",$L550&lt;&gt;"Active"),"",COUNTIFS($A$5:$A550,$A550,$L$5:$L550,"Active"))</f>
        <v/>
      </c>
      <c r="N550" s="26">
        <f>IF(OR($A550="",$M550=""),"",IF($M550=IFERROR(INDEX('Chart Database'!$R$6:$R$4005,MATCH($A550,'Chart Database'!$A$6:$A$4005,0)),0),"NEXT",""))</f>
        <v/>
      </c>
      <c r="O550" s="23" t="n"/>
    </row>
    <row r="551">
      <c r="A551" s="23" t="n"/>
      <c r="B551" s="26">
        <f>IF($A551="","",IFERROR(INDEX('Chart Database'!$B$6:$B$4005,MATCH($A551,'Chart Database'!$A$6:$A$4005,0)),"UNKNOWN CHART"))</f>
        <v/>
      </c>
      <c r="C551" s="23" t="n"/>
      <c r="D551" s="23" t="n"/>
      <c r="E551" s="25" t="n"/>
      <c r="F551" s="15" t="n"/>
      <c r="G551" s="23" t="n"/>
      <c r="H551" s="15" t="n"/>
      <c r="I551" s="15" t="n"/>
      <c r="J551" s="15" t="n"/>
      <c r="K551" s="25" t="n"/>
      <c r="L551" s="15" t="n"/>
      <c r="M551" s="26">
        <f>IF(OR($A551="",$L551&lt;&gt;"Active"),"",COUNTIFS($A$5:$A551,$A551,$L$5:$L551,"Active"))</f>
        <v/>
      </c>
      <c r="N551" s="26">
        <f>IF(OR($A551="",$M551=""),"",IF($M551=IFERROR(INDEX('Chart Database'!$R$6:$R$4005,MATCH($A551,'Chart Database'!$A$6:$A$4005,0)),0),"NEXT",""))</f>
        <v/>
      </c>
      <c r="O551" s="23" t="n"/>
    </row>
    <row r="552">
      <c r="A552" s="23" t="n"/>
      <c r="B552" s="26">
        <f>IF($A552="","",IFERROR(INDEX('Chart Database'!$B$6:$B$4005,MATCH($A552,'Chart Database'!$A$6:$A$4005,0)),"UNKNOWN CHART"))</f>
        <v/>
      </c>
      <c r="C552" s="23" t="n"/>
      <c r="D552" s="23" t="n"/>
      <c r="E552" s="25" t="n"/>
      <c r="F552" s="15" t="n"/>
      <c r="G552" s="23" t="n"/>
      <c r="H552" s="15" t="n"/>
      <c r="I552" s="15" t="n"/>
      <c r="J552" s="15" t="n"/>
      <c r="K552" s="25" t="n"/>
      <c r="L552" s="15" t="n"/>
      <c r="M552" s="26">
        <f>IF(OR($A552="",$L552&lt;&gt;"Active"),"",COUNTIFS($A$5:$A552,$A552,$L$5:$L552,"Active"))</f>
        <v/>
      </c>
      <c r="N552" s="26">
        <f>IF(OR($A552="",$M552=""),"",IF($M552=IFERROR(INDEX('Chart Database'!$R$6:$R$4005,MATCH($A552,'Chart Database'!$A$6:$A$4005,0)),0),"NEXT",""))</f>
        <v/>
      </c>
      <c r="O552" s="23" t="n"/>
    </row>
    <row r="553">
      <c r="A553" s="23" t="n"/>
      <c r="B553" s="26">
        <f>IF($A553="","",IFERROR(INDEX('Chart Database'!$B$6:$B$4005,MATCH($A553,'Chart Database'!$A$6:$A$4005,0)),"UNKNOWN CHART"))</f>
        <v/>
      </c>
      <c r="C553" s="23" t="n"/>
      <c r="D553" s="23" t="n"/>
      <c r="E553" s="25" t="n"/>
      <c r="F553" s="15" t="n"/>
      <c r="G553" s="23" t="n"/>
      <c r="H553" s="15" t="n"/>
      <c r="I553" s="15" t="n"/>
      <c r="J553" s="15" t="n"/>
      <c r="K553" s="25" t="n"/>
      <c r="L553" s="15" t="n"/>
      <c r="M553" s="26">
        <f>IF(OR($A553="",$L553&lt;&gt;"Active"),"",COUNTIFS($A$5:$A553,$A553,$L$5:$L553,"Active"))</f>
        <v/>
      </c>
      <c r="N553" s="26">
        <f>IF(OR($A553="",$M553=""),"",IF($M553=IFERROR(INDEX('Chart Database'!$R$6:$R$4005,MATCH($A553,'Chart Database'!$A$6:$A$4005,0)),0),"NEXT",""))</f>
        <v/>
      </c>
      <c r="O553" s="23" t="n"/>
    </row>
    <row r="554">
      <c r="A554" s="23" t="n"/>
      <c r="B554" s="26">
        <f>IF($A554="","",IFERROR(INDEX('Chart Database'!$B$6:$B$4005,MATCH($A554,'Chart Database'!$A$6:$A$4005,0)),"UNKNOWN CHART"))</f>
        <v/>
      </c>
      <c r="C554" s="23" t="n"/>
      <c r="D554" s="23" t="n"/>
      <c r="E554" s="25" t="n"/>
      <c r="F554" s="15" t="n"/>
      <c r="G554" s="23" t="n"/>
      <c r="H554" s="15" t="n"/>
      <c r="I554" s="15" t="n"/>
      <c r="J554" s="15" t="n"/>
      <c r="K554" s="25" t="n"/>
      <c r="L554" s="15" t="n"/>
      <c r="M554" s="26">
        <f>IF(OR($A554="",$L554&lt;&gt;"Active"),"",COUNTIFS($A$5:$A554,$A554,$L$5:$L554,"Active"))</f>
        <v/>
      </c>
      <c r="N554" s="26">
        <f>IF(OR($A554="",$M554=""),"",IF($M554=IFERROR(INDEX('Chart Database'!$R$6:$R$4005,MATCH($A554,'Chart Database'!$A$6:$A$4005,0)),0),"NEXT",""))</f>
        <v/>
      </c>
      <c r="O554" s="23" t="n"/>
    </row>
    <row r="555">
      <c r="A555" s="23" t="n"/>
      <c r="B555" s="26">
        <f>IF($A555="","",IFERROR(INDEX('Chart Database'!$B$6:$B$4005,MATCH($A555,'Chart Database'!$A$6:$A$4005,0)),"UNKNOWN CHART"))</f>
        <v/>
      </c>
      <c r="C555" s="23" t="n"/>
      <c r="D555" s="23" t="n"/>
      <c r="E555" s="25" t="n"/>
      <c r="F555" s="15" t="n"/>
      <c r="G555" s="23" t="n"/>
      <c r="H555" s="15" t="n"/>
      <c r="I555" s="15" t="n"/>
      <c r="J555" s="15" t="n"/>
      <c r="K555" s="25" t="n"/>
      <c r="L555" s="15" t="n"/>
      <c r="M555" s="26">
        <f>IF(OR($A555="",$L555&lt;&gt;"Active"),"",COUNTIFS($A$5:$A555,$A555,$L$5:$L555,"Active"))</f>
        <v/>
      </c>
      <c r="N555" s="26">
        <f>IF(OR($A555="",$M555=""),"",IF($M555=IFERROR(INDEX('Chart Database'!$R$6:$R$4005,MATCH($A555,'Chart Database'!$A$6:$A$4005,0)),0),"NEXT",""))</f>
        <v/>
      </c>
      <c r="O555" s="23" t="n"/>
    </row>
    <row r="556">
      <c r="A556" s="23" t="n"/>
      <c r="B556" s="26">
        <f>IF($A556="","",IFERROR(INDEX('Chart Database'!$B$6:$B$4005,MATCH($A556,'Chart Database'!$A$6:$A$4005,0)),"UNKNOWN CHART"))</f>
        <v/>
      </c>
      <c r="C556" s="23" t="n"/>
      <c r="D556" s="23" t="n"/>
      <c r="E556" s="25" t="n"/>
      <c r="F556" s="15" t="n"/>
      <c r="G556" s="23" t="n"/>
      <c r="H556" s="15" t="n"/>
      <c r="I556" s="15" t="n"/>
      <c r="J556" s="15" t="n"/>
      <c r="K556" s="25" t="n"/>
      <c r="L556" s="15" t="n"/>
      <c r="M556" s="26">
        <f>IF(OR($A556="",$L556&lt;&gt;"Active"),"",COUNTIFS($A$5:$A556,$A556,$L$5:$L556,"Active"))</f>
        <v/>
      </c>
      <c r="N556" s="26">
        <f>IF(OR($A556="",$M556=""),"",IF($M556=IFERROR(INDEX('Chart Database'!$R$6:$R$4005,MATCH($A556,'Chart Database'!$A$6:$A$4005,0)),0),"NEXT",""))</f>
        <v/>
      </c>
      <c r="O556" s="23" t="n"/>
    </row>
    <row r="557">
      <c r="A557" s="23" t="n"/>
      <c r="B557" s="26">
        <f>IF($A557="","",IFERROR(INDEX('Chart Database'!$B$6:$B$4005,MATCH($A557,'Chart Database'!$A$6:$A$4005,0)),"UNKNOWN CHART"))</f>
        <v/>
      </c>
      <c r="C557" s="23" t="n"/>
      <c r="D557" s="23" t="n"/>
      <c r="E557" s="25" t="n"/>
      <c r="F557" s="15" t="n"/>
      <c r="G557" s="23" t="n"/>
      <c r="H557" s="15" t="n"/>
      <c r="I557" s="15" t="n"/>
      <c r="J557" s="15" t="n"/>
      <c r="K557" s="25" t="n"/>
      <c r="L557" s="15" t="n"/>
      <c r="M557" s="26">
        <f>IF(OR($A557="",$L557&lt;&gt;"Active"),"",COUNTIFS($A$5:$A557,$A557,$L$5:$L557,"Active"))</f>
        <v/>
      </c>
      <c r="N557" s="26">
        <f>IF(OR($A557="",$M557=""),"",IF($M557=IFERROR(INDEX('Chart Database'!$R$6:$R$4005,MATCH($A557,'Chart Database'!$A$6:$A$4005,0)),0),"NEXT",""))</f>
        <v/>
      </c>
      <c r="O557" s="23" t="n"/>
    </row>
    <row r="558">
      <c r="A558" s="23" t="n"/>
      <c r="B558" s="26">
        <f>IF($A558="","",IFERROR(INDEX('Chart Database'!$B$6:$B$4005,MATCH($A558,'Chart Database'!$A$6:$A$4005,0)),"UNKNOWN CHART"))</f>
        <v/>
      </c>
      <c r="C558" s="23" t="n"/>
      <c r="D558" s="23" t="n"/>
      <c r="E558" s="25" t="n"/>
      <c r="F558" s="15" t="n"/>
      <c r="G558" s="23" t="n"/>
      <c r="H558" s="15" t="n"/>
      <c r="I558" s="15" t="n"/>
      <c r="J558" s="15" t="n"/>
      <c r="K558" s="25" t="n"/>
      <c r="L558" s="15" t="n"/>
      <c r="M558" s="26">
        <f>IF(OR($A558="",$L558&lt;&gt;"Active"),"",COUNTIFS($A$5:$A558,$A558,$L$5:$L558,"Active"))</f>
        <v/>
      </c>
      <c r="N558" s="26">
        <f>IF(OR($A558="",$M558=""),"",IF($M558=IFERROR(INDEX('Chart Database'!$R$6:$R$4005,MATCH($A558,'Chart Database'!$A$6:$A$4005,0)),0),"NEXT",""))</f>
        <v/>
      </c>
      <c r="O558" s="23" t="n"/>
    </row>
    <row r="559">
      <c r="A559" s="23" t="n"/>
      <c r="B559" s="26">
        <f>IF($A559="","",IFERROR(INDEX('Chart Database'!$B$6:$B$4005,MATCH($A559,'Chart Database'!$A$6:$A$4005,0)),"UNKNOWN CHART"))</f>
        <v/>
      </c>
      <c r="C559" s="23" t="n"/>
      <c r="D559" s="23" t="n"/>
      <c r="E559" s="25" t="n"/>
      <c r="F559" s="15" t="n"/>
      <c r="G559" s="23" t="n"/>
      <c r="H559" s="15" t="n"/>
      <c r="I559" s="15" t="n"/>
      <c r="J559" s="15" t="n"/>
      <c r="K559" s="25" t="n"/>
      <c r="L559" s="15" t="n"/>
      <c r="M559" s="26">
        <f>IF(OR($A559="",$L559&lt;&gt;"Active"),"",COUNTIFS($A$5:$A559,$A559,$L$5:$L559,"Active"))</f>
        <v/>
      </c>
      <c r="N559" s="26">
        <f>IF(OR($A559="",$M559=""),"",IF($M559=IFERROR(INDEX('Chart Database'!$R$6:$R$4005,MATCH($A559,'Chart Database'!$A$6:$A$4005,0)),0),"NEXT",""))</f>
        <v/>
      </c>
      <c r="O559" s="23" t="n"/>
    </row>
    <row r="560">
      <c r="A560" s="23" t="n"/>
      <c r="B560" s="26">
        <f>IF($A560="","",IFERROR(INDEX('Chart Database'!$B$6:$B$4005,MATCH($A560,'Chart Database'!$A$6:$A$4005,0)),"UNKNOWN CHART"))</f>
        <v/>
      </c>
      <c r="C560" s="23" t="n"/>
      <c r="D560" s="23" t="n"/>
      <c r="E560" s="25" t="n"/>
      <c r="F560" s="15" t="n"/>
      <c r="G560" s="23" t="n"/>
      <c r="H560" s="15" t="n"/>
      <c r="I560" s="15" t="n"/>
      <c r="J560" s="15" t="n"/>
      <c r="K560" s="25" t="n"/>
      <c r="L560" s="15" t="n"/>
      <c r="M560" s="26">
        <f>IF(OR($A560="",$L560&lt;&gt;"Active"),"",COUNTIFS($A$5:$A560,$A560,$L$5:$L560,"Active"))</f>
        <v/>
      </c>
      <c r="N560" s="26">
        <f>IF(OR($A560="",$M560=""),"",IF($M560=IFERROR(INDEX('Chart Database'!$R$6:$R$4005,MATCH($A560,'Chart Database'!$A$6:$A$4005,0)),0),"NEXT",""))</f>
        <v/>
      </c>
      <c r="O560" s="23" t="n"/>
    </row>
    <row r="561">
      <c r="A561" s="23" t="n"/>
      <c r="B561" s="26">
        <f>IF($A561="","",IFERROR(INDEX('Chart Database'!$B$6:$B$4005,MATCH($A561,'Chart Database'!$A$6:$A$4005,0)),"UNKNOWN CHART"))</f>
        <v/>
      </c>
      <c r="C561" s="23" t="n"/>
      <c r="D561" s="23" t="n"/>
      <c r="E561" s="25" t="n"/>
      <c r="F561" s="15" t="n"/>
      <c r="G561" s="23" t="n"/>
      <c r="H561" s="15" t="n"/>
      <c r="I561" s="15" t="n"/>
      <c r="J561" s="15" t="n"/>
      <c r="K561" s="25" t="n"/>
      <c r="L561" s="15" t="n"/>
      <c r="M561" s="26">
        <f>IF(OR($A561="",$L561&lt;&gt;"Active"),"",COUNTIFS($A$5:$A561,$A561,$L$5:$L561,"Active"))</f>
        <v/>
      </c>
      <c r="N561" s="26">
        <f>IF(OR($A561="",$M561=""),"",IF($M561=IFERROR(INDEX('Chart Database'!$R$6:$R$4005,MATCH($A561,'Chart Database'!$A$6:$A$4005,0)),0),"NEXT",""))</f>
        <v/>
      </c>
      <c r="O561" s="23" t="n"/>
    </row>
    <row r="562">
      <c r="A562" s="23" t="n"/>
      <c r="B562" s="26">
        <f>IF($A562="","",IFERROR(INDEX('Chart Database'!$B$6:$B$4005,MATCH($A562,'Chart Database'!$A$6:$A$4005,0)),"UNKNOWN CHART"))</f>
        <v/>
      </c>
      <c r="C562" s="23" t="n"/>
      <c r="D562" s="23" t="n"/>
      <c r="E562" s="25" t="n"/>
      <c r="F562" s="15" t="n"/>
      <c r="G562" s="23" t="n"/>
      <c r="H562" s="15" t="n"/>
      <c r="I562" s="15" t="n"/>
      <c r="J562" s="15" t="n"/>
      <c r="K562" s="25" t="n"/>
      <c r="L562" s="15" t="n"/>
      <c r="M562" s="26">
        <f>IF(OR($A562="",$L562&lt;&gt;"Active"),"",COUNTIFS($A$5:$A562,$A562,$L$5:$L562,"Active"))</f>
        <v/>
      </c>
      <c r="N562" s="26">
        <f>IF(OR($A562="",$M562=""),"",IF($M562=IFERROR(INDEX('Chart Database'!$R$6:$R$4005,MATCH($A562,'Chart Database'!$A$6:$A$4005,0)),0),"NEXT",""))</f>
        <v/>
      </c>
      <c r="O562" s="23" t="n"/>
    </row>
    <row r="563">
      <c r="A563" s="23" t="n"/>
      <c r="B563" s="26">
        <f>IF($A563="","",IFERROR(INDEX('Chart Database'!$B$6:$B$4005,MATCH($A563,'Chart Database'!$A$6:$A$4005,0)),"UNKNOWN CHART"))</f>
        <v/>
      </c>
      <c r="C563" s="23" t="n"/>
      <c r="D563" s="23" t="n"/>
      <c r="E563" s="25" t="n"/>
      <c r="F563" s="15" t="n"/>
      <c r="G563" s="23" t="n"/>
      <c r="H563" s="15" t="n"/>
      <c r="I563" s="15" t="n"/>
      <c r="J563" s="15" t="n"/>
      <c r="K563" s="25" t="n"/>
      <c r="L563" s="15" t="n"/>
      <c r="M563" s="26">
        <f>IF(OR($A563="",$L563&lt;&gt;"Active"),"",COUNTIFS($A$5:$A563,$A563,$L$5:$L563,"Active"))</f>
        <v/>
      </c>
      <c r="N563" s="26">
        <f>IF(OR($A563="",$M563=""),"",IF($M563=IFERROR(INDEX('Chart Database'!$R$6:$R$4005,MATCH($A563,'Chart Database'!$A$6:$A$4005,0)),0),"NEXT",""))</f>
        <v/>
      </c>
      <c r="O563" s="23" t="n"/>
    </row>
    <row r="564">
      <c r="A564" s="23" t="n"/>
      <c r="B564" s="26">
        <f>IF($A564="","",IFERROR(INDEX('Chart Database'!$B$6:$B$4005,MATCH($A564,'Chart Database'!$A$6:$A$4005,0)),"UNKNOWN CHART"))</f>
        <v/>
      </c>
      <c r="C564" s="23" t="n"/>
      <c r="D564" s="23" t="n"/>
      <c r="E564" s="25" t="n"/>
      <c r="F564" s="15" t="n"/>
      <c r="G564" s="23" t="n"/>
      <c r="H564" s="15" t="n"/>
      <c r="I564" s="15" t="n"/>
      <c r="J564" s="15" t="n"/>
      <c r="K564" s="25" t="n"/>
      <c r="L564" s="15" t="n"/>
      <c r="M564" s="26">
        <f>IF(OR($A564="",$L564&lt;&gt;"Active"),"",COUNTIFS($A$5:$A564,$A564,$L$5:$L564,"Active"))</f>
        <v/>
      </c>
      <c r="N564" s="26">
        <f>IF(OR($A564="",$M564=""),"",IF($M564=IFERROR(INDEX('Chart Database'!$R$6:$R$4005,MATCH($A564,'Chart Database'!$A$6:$A$4005,0)),0),"NEXT",""))</f>
        <v/>
      </c>
      <c r="O564" s="23" t="n"/>
    </row>
    <row r="565">
      <c r="A565" s="23" t="n"/>
      <c r="B565" s="26">
        <f>IF($A565="","",IFERROR(INDEX('Chart Database'!$B$6:$B$4005,MATCH($A565,'Chart Database'!$A$6:$A$4005,0)),"UNKNOWN CHART"))</f>
        <v/>
      </c>
      <c r="C565" s="23" t="n"/>
      <c r="D565" s="23" t="n"/>
      <c r="E565" s="25" t="n"/>
      <c r="F565" s="15" t="n"/>
      <c r="G565" s="23" t="n"/>
      <c r="H565" s="15" t="n"/>
      <c r="I565" s="15" t="n"/>
      <c r="J565" s="15" t="n"/>
      <c r="K565" s="25" t="n"/>
      <c r="L565" s="15" t="n"/>
      <c r="M565" s="26">
        <f>IF(OR($A565="",$L565&lt;&gt;"Active"),"",COUNTIFS($A$5:$A565,$A565,$L$5:$L565,"Active"))</f>
        <v/>
      </c>
      <c r="N565" s="26">
        <f>IF(OR($A565="",$M565=""),"",IF($M565=IFERROR(INDEX('Chart Database'!$R$6:$R$4005,MATCH($A565,'Chart Database'!$A$6:$A$4005,0)),0),"NEXT",""))</f>
        <v/>
      </c>
      <c r="O565" s="23" t="n"/>
    </row>
    <row r="566">
      <c r="A566" s="23" t="n"/>
      <c r="B566" s="26">
        <f>IF($A566="","",IFERROR(INDEX('Chart Database'!$B$6:$B$4005,MATCH($A566,'Chart Database'!$A$6:$A$4005,0)),"UNKNOWN CHART"))</f>
        <v/>
      </c>
      <c r="C566" s="23" t="n"/>
      <c r="D566" s="23" t="n"/>
      <c r="E566" s="25" t="n"/>
      <c r="F566" s="15" t="n"/>
      <c r="G566" s="23" t="n"/>
      <c r="H566" s="15" t="n"/>
      <c r="I566" s="15" t="n"/>
      <c r="J566" s="15" t="n"/>
      <c r="K566" s="25" t="n"/>
      <c r="L566" s="15" t="n"/>
      <c r="M566" s="26">
        <f>IF(OR($A566="",$L566&lt;&gt;"Active"),"",COUNTIFS($A$5:$A566,$A566,$L$5:$L566,"Active"))</f>
        <v/>
      </c>
      <c r="N566" s="26">
        <f>IF(OR($A566="",$M566=""),"",IF($M566=IFERROR(INDEX('Chart Database'!$R$6:$R$4005,MATCH($A566,'Chart Database'!$A$6:$A$4005,0)),0),"NEXT",""))</f>
        <v/>
      </c>
      <c r="O566" s="23" t="n"/>
    </row>
    <row r="567">
      <c r="A567" s="23" t="n"/>
      <c r="B567" s="26">
        <f>IF($A567="","",IFERROR(INDEX('Chart Database'!$B$6:$B$4005,MATCH($A567,'Chart Database'!$A$6:$A$4005,0)),"UNKNOWN CHART"))</f>
        <v/>
      </c>
      <c r="C567" s="23" t="n"/>
      <c r="D567" s="23" t="n"/>
      <c r="E567" s="25" t="n"/>
      <c r="F567" s="15" t="n"/>
      <c r="G567" s="23" t="n"/>
      <c r="H567" s="15" t="n"/>
      <c r="I567" s="15" t="n"/>
      <c r="J567" s="15" t="n"/>
      <c r="K567" s="25" t="n"/>
      <c r="L567" s="15" t="n"/>
      <c r="M567" s="26">
        <f>IF(OR($A567="",$L567&lt;&gt;"Active"),"",COUNTIFS($A$5:$A567,$A567,$L$5:$L567,"Active"))</f>
        <v/>
      </c>
      <c r="N567" s="26">
        <f>IF(OR($A567="",$M567=""),"",IF($M567=IFERROR(INDEX('Chart Database'!$R$6:$R$4005,MATCH($A567,'Chart Database'!$A$6:$A$4005,0)),0),"NEXT",""))</f>
        <v/>
      </c>
      <c r="O567" s="23" t="n"/>
    </row>
    <row r="568">
      <c r="A568" s="23" t="n"/>
      <c r="B568" s="26">
        <f>IF($A568="","",IFERROR(INDEX('Chart Database'!$B$6:$B$4005,MATCH($A568,'Chart Database'!$A$6:$A$4005,0)),"UNKNOWN CHART"))</f>
        <v/>
      </c>
      <c r="C568" s="23" t="n"/>
      <c r="D568" s="23" t="n"/>
      <c r="E568" s="25" t="n"/>
      <c r="F568" s="15" t="n"/>
      <c r="G568" s="23" t="n"/>
      <c r="H568" s="15" t="n"/>
      <c r="I568" s="15" t="n"/>
      <c r="J568" s="15" t="n"/>
      <c r="K568" s="25" t="n"/>
      <c r="L568" s="15" t="n"/>
      <c r="M568" s="26">
        <f>IF(OR($A568="",$L568&lt;&gt;"Active"),"",COUNTIFS($A$5:$A568,$A568,$L$5:$L568,"Active"))</f>
        <v/>
      </c>
      <c r="N568" s="26">
        <f>IF(OR($A568="",$M568=""),"",IF($M568=IFERROR(INDEX('Chart Database'!$R$6:$R$4005,MATCH($A568,'Chart Database'!$A$6:$A$4005,0)),0),"NEXT",""))</f>
        <v/>
      </c>
      <c r="O568" s="23" t="n"/>
    </row>
    <row r="569">
      <c r="A569" s="23" t="n"/>
      <c r="B569" s="26">
        <f>IF($A569="","",IFERROR(INDEX('Chart Database'!$B$6:$B$4005,MATCH($A569,'Chart Database'!$A$6:$A$4005,0)),"UNKNOWN CHART"))</f>
        <v/>
      </c>
      <c r="C569" s="23" t="n"/>
      <c r="D569" s="23" t="n"/>
      <c r="E569" s="25" t="n"/>
      <c r="F569" s="15" t="n"/>
      <c r="G569" s="23" t="n"/>
      <c r="H569" s="15" t="n"/>
      <c r="I569" s="15" t="n"/>
      <c r="J569" s="15" t="n"/>
      <c r="K569" s="25" t="n"/>
      <c r="L569" s="15" t="n"/>
      <c r="M569" s="26">
        <f>IF(OR($A569="",$L569&lt;&gt;"Active"),"",COUNTIFS($A$5:$A569,$A569,$L$5:$L569,"Active"))</f>
        <v/>
      </c>
      <c r="N569" s="26">
        <f>IF(OR($A569="",$M569=""),"",IF($M569=IFERROR(INDEX('Chart Database'!$R$6:$R$4005,MATCH($A569,'Chart Database'!$A$6:$A$4005,0)),0),"NEXT",""))</f>
        <v/>
      </c>
      <c r="O569" s="23" t="n"/>
    </row>
    <row r="570">
      <c r="A570" s="23" t="n"/>
      <c r="B570" s="26">
        <f>IF($A570="","",IFERROR(INDEX('Chart Database'!$B$6:$B$4005,MATCH($A570,'Chart Database'!$A$6:$A$4005,0)),"UNKNOWN CHART"))</f>
        <v/>
      </c>
      <c r="C570" s="23" t="n"/>
      <c r="D570" s="23" t="n"/>
      <c r="E570" s="25" t="n"/>
      <c r="F570" s="15" t="n"/>
      <c r="G570" s="23" t="n"/>
      <c r="H570" s="15" t="n"/>
      <c r="I570" s="15" t="n"/>
      <c r="J570" s="15" t="n"/>
      <c r="K570" s="25" t="n"/>
      <c r="L570" s="15" t="n"/>
      <c r="M570" s="26">
        <f>IF(OR($A570="",$L570&lt;&gt;"Active"),"",COUNTIFS($A$5:$A570,$A570,$L$5:$L570,"Active"))</f>
        <v/>
      </c>
      <c r="N570" s="26">
        <f>IF(OR($A570="",$M570=""),"",IF($M570=IFERROR(INDEX('Chart Database'!$R$6:$R$4005,MATCH($A570,'Chart Database'!$A$6:$A$4005,0)),0),"NEXT",""))</f>
        <v/>
      </c>
      <c r="O570" s="23" t="n"/>
    </row>
    <row r="571">
      <c r="A571" s="23" t="n"/>
      <c r="B571" s="26">
        <f>IF($A571="","",IFERROR(INDEX('Chart Database'!$B$6:$B$4005,MATCH($A571,'Chart Database'!$A$6:$A$4005,0)),"UNKNOWN CHART"))</f>
        <v/>
      </c>
      <c r="C571" s="23" t="n"/>
      <c r="D571" s="23" t="n"/>
      <c r="E571" s="25" t="n"/>
      <c r="F571" s="15" t="n"/>
      <c r="G571" s="23" t="n"/>
      <c r="H571" s="15" t="n"/>
      <c r="I571" s="15" t="n"/>
      <c r="J571" s="15" t="n"/>
      <c r="K571" s="25" t="n"/>
      <c r="L571" s="15" t="n"/>
      <c r="M571" s="26">
        <f>IF(OR($A571="",$L571&lt;&gt;"Active"),"",COUNTIFS($A$5:$A571,$A571,$L$5:$L571,"Active"))</f>
        <v/>
      </c>
      <c r="N571" s="26">
        <f>IF(OR($A571="",$M571=""),"",IF($M571=IFERROR(INDEX('Chart Database'!$R$6:$R$4005,MATCH($A571,'Chart Database'!$A$6:$A$4005,0)),0),"NEXT",""))</f>
        <v/>
      </c>
      <c r="O571" s="23" t="n"/>
    </row>
    <row r="572">
      <c r="A572" s="23" t="n"/>
      <c r="B572" s="26">
        <f>IF($A572="","",IFERROR(INDEX('Chart Database'!$B$6:$B$4005,MATCH($A572,'Chart Database'!$A$6:$A$4005,0)),"UNKNOWN CHART"))</f>
        <v/>
      </c>
      <c r="C572" s="23" t="n"/>
      <c r="D572" s="23" t="n"/>
      <c r="E572" s="25" t="n"/>
      <c r="F572" s="15" t="n"/>
      <c r="G572" s="23" t="n"/>
      <c r="H572" s="15" t="n"/>
      <c r="I572" s="15" t="n"/>
      <c r="J572" s="15" t="n"/>
      <c r="K572" s="25" t="n"/>
      <c r="L572" s="15" t="n"/>
      <c r="M572" s="26">
        <f>IF(OR($A572="",$L572&lt;&gt;"Active"),"",COUNTIFS($A$5:$A572,$A572,$L$5:$L572,"Active"))</f>
        <v/>
      </c>
      <c r="N572" s="26">
        <f>IF(OR($A572="",$M572=""),"",IF($M572=IFERROR(INDEX('Chart Database'!$R$6:$R$4005,MATCH($A572,'Chart Database'!$A$6:$A$4005,0)),0),"NEXT",""))</f>
        <v/>
      </c>
      <c r="O572" s="23" t="n"/>
    </row>
    <row r="573">
      <c r="A573" s="23" t="n"/>
      <c r="B573" s="26">
        <f>IF($A573="","",IFERROR(INDEX('Chart Database'!$B$6:$B$4005,MATCH($A573,'Chart Database'!$A$6:$A$4005,0)),"UNKNOWN CHART"))</f>
        <v/>
      </c>
      <c r="C573" s="23" t="n"/>
      <c r="D573" s="23" t="n"/>
      <c r="E573" s="25" t="n"/>
      <c r="F573" s="15" t="n"/>
      <c r="G573" s="23" t="n"/>
      <c r="H573" s="15" t="n"/>
      <c r="I573" s="15" t="n"/>
      <c r="J573" s="15" t="n"/>
      <c r="K573" s="25" t="n"/>
      <c r="L573" s="15" t="n"/>
      <c r="M573" s="26">
        <f>IF(OR($A573="",$L573&lt;&gt;"Active"),"",COUNTIFS($A$5:$A573,$A573,$L$5:$L573,"Active"))</f>
        <v/>
      </c>
      <c r="N573" s="26">
        <f>IF(OR($A573="",$M573=""),"",IF($M573=IFERROR(INDEX('Chart Database'!$R$6:$R$4005,MATCH($A573,'Chart Database'!$A$6:$A$4005,0)),0),"NEXT",""))</f>
        <v/>
      </c>
      <c r="O573" s="23" t="n"/>
    </row>
    <row r="574">
      <c r="A574" s="23" t="n"/>
      <c r="B574" s="26">
        <f>IF($A574="","",IFERROR(INDEX('Chart Database'!$B$6:$B$4005,MATCH($A574,'Chart Database'!$A$6:$A$4005,0)),"UNKNOWN CHART"))</f>
        <v/>
      </c>
      <c r="C574" s="23" t="n"/>
      <c r="D574" s="23" t="n"/>
      <c r="E574" s="25" t="n"/>
      <c r="F574" s="15" t="n"/>
      <c r="G574" s="23" t="n"/>
      <c r="H574" s="15" t="n"/>
      <c r="I574" s="15" t="n"/>
      <c r="J574" s="15" t="n"/>
      <c r="K574" s="25" t="n"/>
      <c r="L574" s="15" t="n"/>
      <c r="M574" s="26">
        <f>IF(OR($A574="",$L574&lt;&gt;"Active"),"",COUNTIFS($A$5:$A574,$A574,$L$5:$L574,"Active"))</f>
        <v/>
      </c>
      <c r="N574" s="26">
        <f>IF(OR($A574="",$M574=""),"",IF($M574=IFERROR(INDEX('Chart Database'!$R$6:$R$4005,MATCH($A574,'Chart Database'!$A$6:$A$4005,0)),0),"NEXT",""))</f>
        <v/>
      </c>
      <c r="O574" s="23" t="n"/>
    </row>
    <row r="575">
      <c r="A575" s="23" t="n"/>
      <c r="B575" s="26">
        <f>IF($A575="","",IFERROR(INDEX('Chart Database'!$B$6:$B$4005,MATCH($A575,'Chart Database'!$A$6:$A$4005,0)),"UNKNOWN CHART"))</f>
        <v/>
      </c>
      <c r="C575" s="23" t="n"/>
      <c r="D575" s="23" t="n"/>
      <c r="E575" s="25" t="n"/>
      <c r="F575" s="15" t="n"/>
      <c r="G575" s="23" t="n"/>
      <c r="H575" s="15" t="n"/>
      <c r="I575" s="15" t="n"/>
      <c r="J575" s="15" t="n"/>
      <c r="K575" s="25" t="n"/>
      <c r="L575" s="15" t="n"/>
      <c r="M575" s="26">
        <f>IF(OR($A575="",$L575&lt;&gt;"Active"),"",COUNTIFS($A$5:$A575,$A575,$L$5:$L575,"Active"))</f>
        <v/>
      </c>
      <c r="N575" s="26">
        <f>IF(OR($A575="",$M575=""),"",IF($M575=IFERROR(INDEX('Chart Database'!$R$6:$R$4005,MATCH($A575,'Chart Database'!$A$6:$A$4005,0)),0),"NEXT",""))</f>
        <v/>
      </c>
      <c r="O575" s="23" t="n"/>
    </row>
    <row r="576">
      <c r="A576" s="23" t="n"/>
      <c r="B576" s="26">
        <f>IF($A576="","",IFERROR(INDEX('Chart Database'!$B$6:$B$4005,MATCH($A576,'Chart Database'!$A$6:$A$4005,0)),"UNKNOWN CHART"))</f>
        <v/>
      </c>
      <c r="C576" s="23" t="n"/>
      <c r="D576" s="23" t="n"/>
      <c r="E576" s="25" t="n"/>
      <c r="F576" s="15" t="n"/>
      <c r="G576" s="23" t="n"/>
      <c r="H576" s="15" t="n"/>
      <c r="I576" s="15" t="n"/>
      <c r="J576" s="15" t="n"/>
      <c r="K576" s="25" t="n"/>
      <c r="L576" s="15" t="n"/>
      <c r="M576" s="26">
        <f>IF(OR($A576="",$L576&lt;&gt;"Active"),"",COUNTIFS($A$5:$A576,$A576,$L$5:$L576,"Active"))</f>
        <v/>
      </c>
      <c r="N576" s="26">
        <f>IF(OR($A576="",$M576=""),"",IF($M576=IFERROR(INDEX('Chart Database'!$R$6:$R$4005,MATCH($A576,'Chart Database'!$A$6:$A$4005,0)),0),"NEXT",""))</f>
        <v/>
      </c>
      <c r="O576" s="23" t="n"/>
    </row>
    <row r="577">
      <c r="A577" s="23" t="n"/>
      <c r="B577" s="26">
        <f>IF($A577="","",IFERROR(INDEX('Chart Database'!$B$6:$B$4005,MATCH($A577,'Chart Database'!$A$6:$A$4005,0)),"UNKNOWN CHART"))</f>
        <v/>
      </c>
      <c r="C577" s="23" t="n"/>
      <c r="D577" s="23" t="n"/>
      <c r="E577" s="25" t="n"/>
      <c r="F577" s="15" t="n"/>
      <c r="G577" s="23" t="n"/>
      <c r="H577" s="15" t="n"/>
      <c r="I577" s="15" t="n"/>
      <c r="J577" s="15" t="n"/>
      <c r="K577" s="25" t="n"/>
      <c r="L577" s="15" t="n"/>
      <c r="M577" s="26">
        <f>IF(OR($A577="",$L577&lt;&gt;"Active"),"",COUNTIFS($A$5:$A577,$A577,$L$5:$L577,"Active"))</f>
        <v/>
      </c>
      <c r="N577" s="26">
        <f>IF(OR($A577="",$M577=""),"",IF($M577=IFERROR(INDEX('Chart Database'!$R$6:$R$4005,MATCH($A577,'Chart Database'!$A$6:$A$4005,0)),0),"NEXT",""))</f>
        <v/>
      </c>
      <c r="O577" s="23" t="n"/>
    </row>
    <row r="578">
      <c r="A578" s="23" t="n"/>
      <c r="B578" s="26">
        <f>IF($A578="","",IFERROR(INDEX('Chart Database'!$B$6:$B$4005,MATCH($A578,'Chart Database'!$A$6:$A$4005,0)),"UNKNOWN CHART"))</f>
        <v/>
      </c>
      <c r="C578" s="23" t="n"/>
      <c r="D578" s="23" t="n"/>
      <c r="E578" s="25" t="n"/>
      <c r="F578" s="15" t="n"/>
      <c r="G578" s="23" t="n"/>
      <c r="H578" s="15" t="n"/>
      <c r="I578" s="15" t="n"/>
      <c r="J578" s="15" t="n"/>
      <c r="K578" s="25" t="n"/>
      <c r="L578" s="15" t="n"/>
      <c r="M578" s="26">
        <f>IF(OR($A578="",$L578&lt;&gt;"Active"),"",COUNTIFS($A$5:$A578,$A578,$L$5:$L578,"Active"))</f>
        <v/>
      </c>
      <c r="N578" s="26">
        <f>IF(OR($A578="",$M578=""),"",IF($M578=IFERROR(INDEX('Chart Database'!$R$6:$R$4005,MATCH($A578,'Chart Database'!$A$6:$A$4005,0)),0),"NEXT",""))</f>
        <v/>
      </c>
      <c r="O578" s="23" t="n"/>
    </row>
    <row r="579">
      <c r="A579" s="23" t="n"/>
      <c r="B579" s="26">
        <f>IF($A579="","",IFERROR(INDEX('Chart Database'!$B$6:$B$4005,MATCH($A579,'Chart Database'!$A$6:$A$4005,0)),"UNKNOWN CHART"))</f>
        <v/>
      </c>
      <c r="C579" s="23" t="n"/>
      <c r="D579" s="23" t="n"/>
      <c r="E579" s="25" t="n"/>
      <c r="F579" s="15" t="n"/>
      <c r="G579" s="23" t="n"/>
      <c r="H579" s="15" t="n"/>
      <c r="I579" s="15" t="n"/>
      <c r="J579" s="15" t="n"/>
      <c r="K579" s="25" t="n"/>
      <c r="L579" s="15" t="n"/>
      <c r="M579" s="26">
        <f>IF(OR($A579="",$L579&lt;&gt;"Active"),"",COUNTIFS($A$5:$A579,$A579,$L$5:$L579,"Active"))</f>
        <v/>
      </c>
      <c r="N579" s="26">
        <f>IF(OR($A579="",$M579=""),"",IF($M579=IFERROR(INDEX('Chart Database'!$R$6:$R$4005,MATCH($A579,'Chart Database'!$A$6:$A$4005,0)),0),"NEXT",""))</f>
        <v/>
      </c>
      <c r="O579" s="23" t="n"/>
    </row>
    <row r="580">
      <c r="A580" s="23" t="n"/>
      <c r="B580" s="26">
        <f>IF($A580="","",IFERROR(INDEX('Chart Database'!$B$6:$B$4005,MATCH($A580,'Chart Database'!$A$6:$A$4005,0)),"UNKNOWN CHART"))</f>
        <v/>
      </c>
      <c r="C580" s="23" t="n"/>
      <c r="D580" s="23" t="n"/>
      <c r="E580" s="25" t="n"/>
      <c r="F580" s="15" t="n"/>
      <c r="G580" s="23" t="n"/>
      <c r="H580" s="15" t="n"/>
      <c r="I580" s="15" t="n"/>
      <c r="J580" s="15" t="n"/>
      <c r="K580" s="25" t="n"/>
      <c r="L580" s="15" t="n"/>
      <c r="M580" s="26">
        <f>IF(OR($A580="",$L580&lt;&gt;"Active"),"",COUNTIFS($A$5:$A580,$A580,$L$5:$L580,"Active"))</f>
        <v/>
      </c>
      <c r="N580" s="26">
        <f>IF(OR($A580="",$M580=""),"",IF($M580=IFERROR(INDEX('Chart Database'!$R$6:$R$4005,MATCH($A580,'Chart Database'!$A$6:$A$4005,0)),0),"NEXT",""))</f>
        <v/>
      </c>
      <c r="O580" s="23" t="n"/>
    </row>
    <row r="581">
      <c r="A581" s="23" t="n"/>
      <c r="B581" s="26">
        <f>IF($A581="","",IFERROR(INDEX('Chart Database'!$B$6:$B$4005,MATCH($A581,'Chart Database'!$A$6:$A$4005,0)),"UNKNOWN CHART"))</f>
        <v/>
      </c>
      <c r="C581" s="23" t="n"/>
      <c r="D581" s="23" t="n"/>
      <c r="E581" s="25" t="n"/>
      <c r="F581" s="15" t="n"/>
      <c r="G581" s="23" t="n"/>
      <c r="H581" s="15" t="n"/>
      <c r="I581" s="15" t="n"/>
      <c r="J581" s="15" t="n"/>
      <c r="K581" s="25" t="n"/>
      <c r="L581" s="15" t="n"/>
      <c r="M581" s="26">
        <f>IF(OR($A581="",$L581&lt;&gt;"Active"),"",COUNTIFS($A$5:$A581,$A581,$L$5:$L581,"Active"))</f>
        <v/>
      </c>
      <c r="N581" s="26">
        <f>IF(OR($A581="",$M581=""),"",IF($M581=IFERROR(INDEX('Chart Database'!$R$6:$R$4005,MATCH($A581,'Chart Database'!$A$6:$A$4005,0)),0),"NEXT",""))</f>
        <v/>
      </c>
      <c r="O581" s="23" t="n"/>
    </row>
    <row r="582">
      <c r="A582" s="23" t="n"/>
      <c r="B582" s="26">
        <f>IF($A582="","",IFERROR(INDEX('Chart Database'!$B$6:$B$4005,MATCH($A582,'Chart Database'!$A$6:$A$4005,0)),"UNKNOWN CHART"))</f>
        <v/>
      </c>
      <c r="C582" s="23" t="n"/>
      <c r="D582" s="23" t="n"/>
      <c r="E582" s="25" t="n"/>
      <c r="F582" s="15" t="n"/>
      <c r="G582" s="23" t="n"/>
      <c r="H582" s="15" t="n"/>
      <c r="I582" s="15" t="n"/>
      <c r="J582" s="15" t="n"/>
      <c r="K582" s="25" t="n"/>
      <c r="L582" s="15" t="n"/>
      <c r="M582" s="26">
        <f>IF(OR($A582="",$L582&lt;&gt;"Active"),"",COUNTIFS($A$5:$A582,$A582,$L$5:$L582,"Active"))</f>
        <v/>
      </c>
      <c r="N582" s="26">
        <f>IF(OR($A582="",$M582=""),"",IF($M582=IFERROR(INDEX('Chart Database'!$R$6:$R$4005,MATCH($A582,'Chart Database'!$A$6:$A$4005,0)),0),"NEXT",""))</f>
        <v/>
      </c>
      <c r="O582" s="23" t="n"/>
    </row>
    <row r="583">
      <c r="A583" s="23" t="n"/>
      <c r="B583" s="26">
        <f>IF($A583="","",IFERROR(INDEX('Chart Database'!$B$6:$B$4005,MATCH($A583,'Chart Database'!$A$6:$A$4005,0)),"UNKNOWN CHART"))</f>
        <v/>
      </c>
      <c r="C583" s="23" t="n"/>
      <c r="D583" s="23" t="n"/>
      <c r="E583" s="25" t="n"/>
      <c r="F583" s="15" t="n"/>
      <c r="G583" s="23" t="n"/>
      <c r="H583" s="15" t="n"/>
      <c r="I583" s="15" t="n"/>
      <c r="J583" s="15" t="n"/>
      <c r="K583" s="25" t="n"/>
      <c r="L583" s="15" t="n"/>
      <c r="M583" s="26">
        <f>IF(OR($A583="",$L583&lt;&gt;"Active"),"",COUNTIFS($A$5:$A583,$A583,$L$5:$L583,"Active"))</f>
        <v/>
      </c>
      <c r="N583" s="26">
        <f>IF(OR($A583="",$M583=""),"",IF($M583=IFERROR(INDEX('Chart Database'!$R$6:$R$4005,MATCH($A583,'Chart Database'!$A$6:$A$4005,0)),0),"NEXT",""))</f>
        <v/>
      </c>
      <c r="O583" s="23" t="n"/>
    </row>
    <row r="584">
      <c r="A584" s="23" t="n"/>
      <c r="B584" s="26">
        <f>IF($A584="","",IFERROR(INDEX('Chart Database'!$B$6:$B$4005,MATCH($A584,'Chart Database'!$A$6:$A$4005,0)),"UNKNOWN CHART"))</f>
        <v/>
      </c>
      <c r="C584" s="23" t="n"/>
      <c r="D584" s="23" t="n"/>
      <c r="E584" s="25" t="n"/>
      <c r="F584" s="15" t="n"/>
      <c r="G584" s="23" t="n"/>
      <c r="H584" s="15" t="n"/>
      <c r="I584" s="15" t="n"/>
      <c r="J584" s="15" t="n"/>
      <c r="K584" s="25" t="n"/>
      <c r="L584" s="15" t="n"/>
      <c r="M584" s="26">
        <f>IF(OR($A584="",$L584&lt;&gt;"Active"),"",COUNTIFS($A$5:$A584,$A584,$L$5:$L584,"Active"))</f>
        <v/>
      </c>
      <c r="N584" s="26">
        <f>IF(OR($A584="",$M584=""),"",IF($M584=IFERROR(INDEX('Chart Database'!$R$6:$R$4005,MATCH($A584,'Chart Database'!$A$6:$A$4005,0)),0),"NEXT",""))</f>
        <v/>
      </c>
      <c r="O584" s="23" t="n"/>
    </row>
    <row r="585">
      <c r="A585" s="23" t="n"/>
      <c r="B585" s="26">
        <f>IF($A585="","",IFERROR(INDEX('Chart Database'!$B$6:$B$4005,MATCH($A585,'Chart Database'!$A$6:$A$4005,0)),"UNKNOWN CHART"))</f>
        <v/>
      </c>
      <c r="C585" s="23" t="n"/>
      <c r="D585" s="23" t="n"/>
      <c r="E585" s="25" t="n"/>
      <c r="F585" s="15" t="n"/>
      <c r="G585" s="23" t="n"/>
      <c r="H585" s="15" t="n"/>
      <c r="I585" s="15" t="n"/>
      <c r="J585" s="15" t="n"/>
      <c r="K585" s="25" t="n"/>
      <c r="L585" s="15" t="n"/>
      <c r="M585" s="26">
        <f>IF(OR($A585="",$L585&lt;&gt;"Active"),"",COUNTIFS($A$5:$A585,$A585,$L$5:$L585,"Active"))</f>
        <v/>
      </c>
      <c r="N585" s="26">
        <f>IF(OR($A585="",$M585=""),"",IF($M585=IFERROR(INDEX('Chart Database'!$R$6:$R$4005,MATCH($A585,'Chart Database'!$A$6:$A$4005,0)),0),"NEXT",""))</f>
        <v/>
      </c>
      <c r="O585" s="23" t="n"/>
    </row>
    <row r="586">
      <c r="A586" s="23" t="n"/>
      <c r="B586" s="26">
        <f>IF($A586="","",IFERROR(INDEX('Chart Database'!$B$6:$B$4005,MATCH($A586,'Chart Database'!$A$6:$A$4005,0)),"UNKNOWN CHART"))</f>
        <v/>
      </c>
      <c r="C586" s="23" t="n"/>
      <c r="D586" s="23" t="n"/>
      <c r="E586" s="25" t="n"/>
      <c r="F586" s="15" t="n"/>
      <c r="G586" s="23" t="n"/>
      <c r="H586" s="15" t="n"/>
      <c r="I586" s="15" t="n"/>
      <c r="J586" s="15" t="n"/>
      <c r="K586" s="25" t="n"/>
      <c r="L586" s="15" t="n"/>
      <c r="M586" s="26">
        <f>IF(OR($A586="",$L586&lt;&gt;"Active"),"",COUNTIFS($A$5:$A586,$A586,$L$5:$L586,"Active"))</f>
        <v/>
      </c>
      <c r="N586" s="26">
        <f>IF(OR($A586="",$M586=""),"",IF($M586=IFERROR(INDEX('Chart Database'!$R$6:$R$4005,MATCH($A586,'Chart Database'!$A$6:$A$4005,0)),0),"NEXT",""))</f>
        <v/>
      </c>
      <c r="O586" s="23" t="n"/>
    </row>
    <row r="587">
      <c r="A587" s="23" t="n"/>
      <c r="B587" s="26">
        <f>IF($A587="","",IFERROR(INDEX('Chart Database'!$B$6:$B$4005,MATCH($A587,'Chart Database'!$A$6:$A$4005,0)),"UNKNOWN CHART"))</f>
        <v/>
      </c>
      <c r="C587" s="23" t="n"/>
      <c r="D587" s="23" t="n"/>
      <c r="E587" s="25" t="n"/>
      <c r="F587" s="15" t="n"/>
      <c r="G587" s="23" t="n"/>
      <c r="H587" s="15" t="n"/>
      <c r="I587" s="15" t="n"/>
      <c r="J587" s="15" t="n"/>
      <c r="K587" s="25" t="n"/>
      <c r="L587" s="15" t="n"/>
      <c r="M587" s="26">
        <f>IF(OR($A587="",$L587&lt;&gt;"Active"),"",COUNTIFS($A$5:$A587,$A587,$L$5:$L587,"Active"))</f>
        <v/>
      </c>
      <c r="N587" s="26">
        <f>IF(OR($A587="",$M587=""),"",IF($M587=IFERROR(INDEX('Chart Database'!$R$6:$R$4005,MATCH($A587,'Chart Database'!$A$6:$A$4005,0)),0),"NEXT",""))</f>
        <v/>
      </c>
      <c r="O587" s="23" t="n"/>
    </row>
    <row r="588">
      <c r="A588" s="23" t="n"/>
      <c r="B588" s="26">
        <f>IF($A588="","",IFERROR(INDEX('Chart Database'!$B$6:$B$4005,MATCH($A588,'Chart Database'!$A$6:$A$4005,0)),"UNKNOWN CHART"))</f>
        <v/>
      </c>
      <c r="C588" s="23" t="n"/>
      <c r="D588" s="23" t="n"/>
      <c r="E588" s="25" t="n"/>
      <c r="F588" s="15" t="n"/>
      <c r="G588" s="23" t="n"/>
      <c r="H588" s="15" t="n"/>
      <c r="I588" s="15" t="n"/>
      <c r="J588" s="15" t="n"/>
      <c r="K588" s="25" t="n"/>
      <c r="L588" s="15" t="n"/>
      <c r="M588" s="26">
        <f>IF(OR($A588="",$L588&lt;&gt;"Active"),"",COUNTIFS($A$5:$A588,$A588,$L$5:$L588,"Active"))</f>
        <v/>
      </c>
      <c r="N588" s="26">
        <f>IF(OR($A588="",$M588=""),"",IF($M588=IFERROR(INDEX('Chart Database'!$R$6:$R$4005,MATCH($A588,'Chart Database'!$A$6:$A$4005,0)),0),"NEXT",""))</f>
        <v/>
      </c>
      <c r="O588" s="23" t="n"/>
    </row>
    <row r="589">
      <c r="A589" s="23" t="n"/>
      <c r="B589" s="26">
        <f>IF($A589="","",IFERROR(INDEX('Chart Database'!$B$6:$B$4005,MATCH($A589,'Chart Database'!$A$6:$A$4005,0)),"UNKNOWN CHART"))</f>
        <v/>
      </c>
      <c r="C589" s="23" t="n"/>
      <c r="D589" s="23" t="n"/>
      <c r="E589" s="25" t="n"/>
      <c r="F589" s="15" t="n"/>
      <c r="G589" s="23" t="n"/>
      <c r="H589" s="15" t="n"/>
      <c r="I589" s="15" t="n"/>
      <c r="J589" s="15" t="n"/>
      <c r="K589" s="25" t="n"/>
      <c r="L589" s="15" t="n"/>
      <c r="M589" s="26">
        <f>IF(OR($A589="",$L589&lt;&gt;"Active"),"",COUNTIFS($A$5:$A589,$A589,$L$5:$L589,"Active"))</f>
        <v/>
      </c>
      <c r="N589" s="26">
        <f>IF(OR($A589="",$M589=""),"",IF($M589=IFERROR(INDEX('Chart Database'!$R$6:$R$4005,MATCH($A589,'Chart Database'!$A$6:$A$4005,0)),0),"NEXT",""))</f>
        <v/>
      </c>
      <c r="O589" s="23" t="n"/>
    </row>
    <row r="590">
      <c r="A590" s="23" t="n"/>
      <c r="B590" s="26">
        <f>IF($A590="","",IFERROR(INDEX('Chart Database'!$B$6:$B$4005,MATCH($A590,'Chart Database'!$A$6:$A$4005,0)),"UNKNOWN CHART"))</f>
        <v/>
      </c>
      <c r="C590" s="23" t="n"/>
      <c r="D590" s="23" t="n"/>
      <c r="E590" s="25" t="n"/>
      <c r="F590" s="15" t="n"/>
      <c r="G590" s="23" t="n"/>
      <c r="H590" s="15" t="n"/>
      <c r="I590" s="15" t="n"/>
      <c r="J590" s="15" t="n"/>
      <c r="K590" s="25" t="n"/>
      <c r="L590" s="15" t="n"/>
      <c r="M590" s="26">
        <f>IF(OR($A590="",$L590&lt;&gt;"Active"),"",COUNTIFS($A$5:$A590,$A590,$L$5:$L590,"Active"))</f>
        <v/>
      </c>
      <c r="N590" s="26">
        <f>IF(OR($A590="",$M590=""),"",IF($M590=IFERROR(INDEX('Chart Database'!$R$6:$R$4005,MATCH($A590,'Chart Database'!$A$6:$A$4005,0)),0),"NEXT",""))</f>
        <v/>
      </c>
      <c r="O590" s="23" t="n"/>
    </row>
    <row r="591">
      <c r="A591" s="23" t="n"/>
      <c r="B591" s="26">
        <f>IF($A591="","",IFERROR(INDEX('Chart Database'!$B$6:$B$4005,MATCH($A591,'Chart Database'!$A$6:$A$4005,0)),"UNKNOWN CHART"))</f>
        <v/>
      </c>
      <c r="C591" s="23" t="n"/>
      <c r="D591" s="23" t="n"/>
      <c r="E591" s="25" t="n"/>
      <c r="F591" s="15" t="n"/>
      <c r="G591" s="23" t="n"/>
      <c r="H591" s="15" t="n"/>
      <c r="I591" s="15" t="n"/>
      <c r="J591" s="15" t="n"/>
      <c r="K591" s="25" t="n"/>
      <c r="L591" s="15" t="n"/>
      <c r="M591" s="26">
        <f>IF(OR($A591="",$L591&lt;&gt;"Active"),"",COUNTIFS($A$5:$A591,$A591,$L$5:$L591,"Active"))</f>
        <v/>
      </c>
      <c r="N591" s="26">
        <f>IF(OR($A591="",$M591=""),"",IF($M591=IFERROR(INDEX('Chart Database'!$R$6:$R$4005,MATCH($A591,'Chart Database'!$A$6:$A$4005,0)),0),"NEXT",""))</f>
        <v/>
      </c>
      <c r="O591" s="23" t="n"/>
    </row>
    <row r="592">
      <c r="A592" s="23" t="n"/>
      <c r="B592" s="26">
        <f>IF($A592="","",IFERROR(INDEX('Chart Database'!$B$6:$B$4005,MATCH($A592,'Chart Database'!$A$6:$A$4005,0)),"UNKNOWN CHART"))</f>
        <v/>
      </c>
      <c r="C592" s="23" t="n"/>
      <c r="D592" s="23" t="n"/>
      <c r="E592" s="25" t="n"/>
      <c r="F592" s="15" t="n"/>
      <c r="G592" s="23" t="n"/>
      <c r="H592" s="15" t="n"/>
      <c r="I592" s="15" t="n"/>
      <c r="J592" s="15" t="n"/>
      <c r="K592" s="25" t="n"/>
      <c r="L592" s="15" t="n"/>
      <c r="M592" s="26">
        <f>IF(OR($A592="",$L592&lt;&gt;"Active"),"",COUNTIFS($A$5:$A592,$A592,$L$5:$L592,"Active"))</f>
        <v/>
      </c>
      <c r="N592" s="26">
        <f>IF(OR($A592="",$M592=""),"",IF($M592=IFERROR(INDEX('Chart Database'!$R$6:$R$4005,MATCH($A592,'Chart Database'!$A$6:$A$4005,0)),0),"NEXT",""))</f>
        <v/>
      </c>
      <c r="O592" s="23" t="n"/>
    </row>
    <row r="593">
      <c r="A593" s="23" t="n"/>
      <c r="B593" s="26">
        <f>IF($A593="","",IFERROR(INDEX('Chart Database'!$B$6:$B$4005,MATCH($A593,'Chart Database'!$A$6:$A$4005,0)),"UNKNOWN CHART"))</f>
        <v/>
      </c>
      <c r="C593" s="23" t="n"/>
      <c r="D593" s="23" t="n"/>
      <c r="E593" s="25" t="n"/>
      <c r="F593" s="15" t="n"/>
      <c r="G593" s="23" t="n"/>
      <c r="H593" s="15" t="n"/>
      <c r="I593" s="15" t="n"/>
      <c r="J593" s="15" t="n"/>
      <c r="K593" s="25" t="n"/>
      <c r="L593" s="15" t="n"/>
      <c r="M593" s="26">
        <f>IF(OR($A593="",$L593&lt;&gt;"Active"),"",COUNTIFS($A$5:$A593,$A593,$L$5:$L593,"Active"))</f>
        <v/>
      </c>
      <c r="N593" s="26">
        <f>IF(OR($A593="",$M593=""),"",IF($M593=IFERROR(INDEX('Chart Database'!$R$6:$R$4005,MATCH($A593,'Chart Database'!$A$6:$A$4005,0)),0),"NEXT",""))</f>
        <v/>
      </c>
      <c r="O593" s="23" t="n"/>
    </row>
    <row r="594">
      <c r="A594" s="23" t="n"/>
      <c r="B594" s="26">
        <f>IF($A594="","",IFERROR(INDEX('Chart Database'!$B$6:$B$4005,MATCH($A594,'Chart Database'!$A$6:$A$4005,0)),"UNKNOWN CHART"))</f>
        <v/>
      </c>
      <c r="C594" s="23" t="n"/>
      <c r="D594" s="23" t="n"/>
      <c r="E594" s="25" t="n"/>
      <c r="F594" s="15" t="n"/>
      <c r="G594" s="23" t="n"/>
      <c r="H594" s="15" t="n"/>
      <c r="I594" s="15" t="n"/>
      <c r="J594" s="15" t="n"/>
      <c r="K594" s="25" t="n"/>
      <c r="L594" s="15" t="n"/>
      <c r="M594" s="26">
        <f>IF(OR($A594="",$L594&lt;&gt;"Active"),"",COUNTIFS($A$5:$A594,$A594,$L$5:$L594,"Active"))</f>
        <v/>
      </c>
      <c r="N594" s="26">
        <f>IF(OR($A594="",$M594=""),"",IF($M594=IFERROR(INDEX('Chart Database'!$R$6:$R$4005,MATCH($A594,'Chart Database'!$A$6:$A$4005,0)),0),"NEXT",""))</f>
        <v/>
      </c>
      <c r="O594" s="23" t="n"/>
    </row>
    <row r="595">
      <c r="A595" s="23" t="n"/>
      <c r="B595" s="26">
        <f>IF($A595="","",IFERROR(INDEX('Chart Database'!$B$6:$B$4005,MATCH($A595,'Chart Database'!$A$6:$A$4005,0)),"UNKNOWN CHART"))</f>
        <v/>
      </c>
      <c r="C595" s="23" t="n"/>
      <c r="D595" s="23" t="n"/>
      <c r="E595" s="25" t="n"/>
      <c r="F595" s="15" t="n"/>
      <c r="G595" s="23" t="n"/>
      <c r="H595" s="15" t="n"/>
      <c r="I595" s="15" t="n"/>
      <c r="J595" s="15" t="n"/>
      <c r="K595" s="25" t="n"/>
      <c r="L595" s="15" t="n"/>
      <c r="M595" s="26">
        <f>IF(OR($A595="",$L595&lt;&gt;"Active"),"",COUNTIFS($A$5:$A595,$A595,$L$5:$L595,"Active"))</f>
        <v/>
      </c>
      <c r="N595" s="26">
        <f>IF(OR($A595="",$M595=""),"",IF($M595=IFERROR(INDEX('Chart Database'!$R$6:$R$4005,MATCH($A595,'Chart Database'!$A$6:$A$4005,0)),0),"NEXT",""))</f>
        <v/>
      </c>
      <c r="O595" s="23" t="n"/>
    </row>
    <row r="596">
      <c r="A596" s="23" t="n"/>
      <c r="B596" s="26">
        <f>IF($A596="","",IFERROR(INDEX('Chart Database'!$B$6:$B$4005,MATCH($A596,'Chart Database'!$A$6:$A$4005,0)),"UNKNOWN CHART"))</f>
        <v/>
      </c>
      <c r="C596" s="23" t="n"/>
      <c r="D596" s="23" t="n"/>
      <c r="E596" s="25" t="n"/>
      <c r="F596" s="15" t="n"/>
      <c r="G596" s="23" t="n"/>
      <c r="H596" s="15" t="n"/>
      <c r="I596" s="15" t="n"/>
      <c r="J596" s="15" t="n"/>
      <c r="K596" s="25" t="n"/>
      <c r="L596" s="15" t="n"/>
      <c r="M596" s="26">
        <f>IF(OR($A596="",$L596&lt;&gt;"Active"),"",COUNTIFS($A$5:$A596,$A596,$L$5:$L596,"Active"))</f>
        <v/>
      </c>
      <c r="N596" s="26">
        <f>IF(OR($A596="",$M596=""),"",IF($M596=IFERROR(INDEX('Chart Database'!$R$6:$R$4005,MATCH($A596,'Chart Database'!$A$6:$A$4005,0)),0),"NEXT",""))</f>
        <v/>
      </c>
      <c r="O596" s="23" t="n"/>
    </row>
    <row r="597">
      <c r="A597" s="23" t="n"/>
      <c r="B597" s="26">
        <f>IF($A597="","",IFERROR(INDEX('Chart Database'!$B$6:$B$4005,MATCH($A597,'Chart Database'!$A$6:$A$4005,0)),"UNKNOWN CHART"))</f>
        <v/>
      </c>
      <c r="C597" s="23" t="n"/>
      <c r="D597" s="23" t="n"/>
      <c r="E597" s="25" t="n"/>
      <c r="F597" s="15" t="n"/>
      <c r="G597" s="23" t="n"/>
      <c r="H597" s="15" t="n"/>
      <c r="I597" s="15" t="n"/>
      <c r="J597" s="15" t="n"/>
      <c r="K597" s="25" t="n"/>
      <c r="L597" s="15" t="n"/>
      <c r="M597" s="26">
        <f>IF(OR($A597="",$L597&lt;&gt;"Active"),"",COUNTIFS($A$5:$A597,$A597,$L$5:$L597,"Active"))</f>
        <v/>
      </c>
      <c r="N597" s="26">
        <f>IF(OR($A597="",$M597=""),"",IF($M597=IFERROR(INDEX('Chart Database'!$R$6:$R$4005,MATCH($A597,'Chart Database'!$A$6:$A$4005,0)),0),"NEXT",""))</f>
        <v/>
      </c>
      <c r="O597" s="23" t="n"/>
    </row>
    <row r="598">
      <c r="A598" s="23" t="n"/>
      <c r="B598" s="26">
        <f>IF($A598="","",IFERROR(INDEX('Chart Database'!$B$6:$B$4005,MATCH($A598,'Chart Database'!$A$6:$A$4005,0)),"UNKNOWN CHART"))</f>
        <v/>
      </c>
      <c r="C598" s="23" t="n"/>
      <c r="D598" s="23" t="n"/>
      <c r="E598" s="25" t="n"/>
      <c r="F598" s="15" t="n"/>
      <c r="G598" s="23" t="n"/>
      <c r="H598" s="15" t="n"/>
      <c r="I598" s="15" t="n"/>
      <c r="J598" s="15" t="n"/>
      <c r="K598" s="25" t="n"/>
      <c r="L598" s="15" t="n"/>
      <c r="M598" s="26">
        <f>IF(OR($A598="",$L598&lt;&gt;"Active"),"",COUNTIFS($A$5:$A598,$A598,$L$5:$L598,"Active"))</f>
        <v/>
      </c>
      <c r="N598" s="26">
        <f>IF(OR($A598="",$M598=""),"",IF($M598=IFERROR(INDEX('Chart Database'!$R$6:$R$4005,MATCH($A598,'Chart Database'!$A$6:$A$4005,0)),0),"NEXT",""))</f>
        <v/>
      </c>
      <c r="O598" s="23" t="n"/>
    </row>
    <row r="599">
      <c r="A599" s="23" t="n"/>
      <c r="B599" s="26">
        <f>IF($A599="","",IFERROR(INDEX('Chart Database'!$B$6:$B$4005,MATCH($A599,'Chart Database'!$A$6:$A$4005,0)),"UNKNOWN CHART"))</f>
        <v/>
      </c>
      <c r="C599" s="23" t="n"/>
      <c r="D599" s="23" t="n"/>
      <c r="E599" s="25" t="n"/>
      <c r="F599" s="15" t="n"/>
      <c r="G599" s="23" t="n"/>
      <c r="H599" s="15" t="n"/>
      <c r="I599" s="15" t="n"/>
      <c r="J599" s="15" t="n"/>
      <c r="K599" s="25" t="n"/>
      <c r="L599" s="15" t="n"/>
      <c r="M599" s="26">
        <f>IF(OR($A599="",$L599&lt;&gt;"Active"),"",COUNTIFS($A$5:$A599,$A599,$L$5:$L599,"Active"))</f>
        <v/>
      </c>
      <c r="N599" s="26">
        <f>IF(OR($A599="",$M599=""),"",IF($M599=IFERROR(INDEX('Chart Database'!$R$6:$R$4005,MATCH($A599,'Chart Database'!$A$6:$A$4005,0)),0),"NEXT",""))</f>
        <v/>
      </c>
      <c r="O599" s="23" t="n"/>
    </row>
    <row r="600">
      <c r="A600" s="23" t="n"/>
      <c r="B600" s="26">
        <f>IF($A600="","",IFERROR(INDEX('Chart Database'!$B$6:$B$4005,MATCH($A600,'Chart Database'!$A$6:$A$4005,0)),"UNKNOWN CHART"))</f>
        <v/>
      </c>
      <c r="C600" s="23" t="n"/>
      <c r="D600" s="23" t="n"/>
      <c r="E600" s="25" t="n"/>
      <c r="F600" s="15" t="n"/>
      <c r="G600" s="23" t="n"/>
      <c r="H600" s="15" t="n"/>
      <c r="I600" s="15" t="n"/>
      <c r="J600" s="15" t="n"/>
      <c r="K600" s="25" t="n"/>
      <c r="L600" s="15" t="n"/>
      <c r="M600" s="26">
        <f>IF(OR($A600="",$L600&lt;&gt;"Active"),"",COUNTIFS($A$5:$A600,$A600,$L$5:$L600,"Active"))</f>
        <v/>
      </c>
      <c r="N600" s="26">
        <f>IF(OR($A600="",$M600=""),"",IF($M600=IFERROR(INDEX('Chart Database'!$R$6:$R$4005,MATCH($A600,'Chart Database'!$A$6:$A$4005,0)),0),"NEXT",""))</f>
        <v/>
      </c>
      <c r="O600" s="23" t="n"/>
    </row>
    <row r="601">
      <c r="A601" s="23" t="n"/>
      <c r="B601" s="26">
        <f>IF($A601="","",IFERROR(INDEX('Chart Database'!$B$6:$B$4005,MATCH($A601,'Chart Database'!$A$6:$A$4005,0)),"UNKNOWN CHART"))</f>
        <v/>
      </c>
      <c r="C601" s="23" t="n"/>
      <c r="D601" s="23" t="n"/>
      <c r="E601" s="25" t="n"/>
      <c r="F601" s="15" t="n"/>
      <c r="G601" s="23" t="n"/>
      <c r="H601" s="15" t="n"/>
      <c r="I601" s="15" t="n"/>
      <c r="J601" s="15" t="n"/>
      <c r="K601" s="25" t="n"/>
      <c r="L601" s="15" t="n"/>
      <c r="M601" s="26">
        <f>IF(OR($A601="",$L601&lt;&gt;"Active"),"",COUNTIFS($A$5:$A601,$A601,$L$5:$L601,"Active"))</f>
        <v/>
      </c>
      <c r="N601" s="26">
        <f>IF(OR($A601="",$M601=""),"",IF($M601=IFERROR(INDEX('Chart Database'!$R$6:$R$4005,MATCH($A601,'Chart Database'!$A$6:$A$4005,0)),0),"NEXT",""))</f>
        <v/>
      </c>
      <c r="O601" s="23" t="n"/>
    </row>
    <row r="602">
      <c r="A602" s="23" t="n"/>
      <c r="B602" s="26">
        <f>IF($A602="","",IFERROR(INDEX('Chart Database'!$B$6:$B$4005,MATCH($A602,'Chart Database'!$A$6:$A$4005,0)),"UNKNOWN CHART"))</f>
        <v/>
      </c>
      <c r="C602" s="23" t="n"/>
      <c r="D602" s="23" t="n"/>
      <c r="E602" s="25" t="n"/>
      <c r="F602" s="15" t="n"/>
      <c r="G602" s="23" t="n"/>
      <c r="H602" s="15" t="n"/>
      <c r="I602" s="15" t="n"/>
      <c r="J602" s="15" t="n"/>
      <c r="K602" s="25" t="n"/>
      <c r="L602" s="15" t="n"/>
      <c r="M602" s="26">
        <f>IF(OR($A602="",$L602&lt;&gt;"Active"),"",COUNTIFS($A$5:$A602,$A602,$L$5:$L602,"Active"))</f>
        <v/>
      </c>
      <c r="N602" s="26">
        <f>IF(OR($A602="",$M602=""),"",IF($M602=IFERROR(INDEX('Chart Database'!$R$6:$R$4005,MATCH($A602,'Chart Database'!$A$6:$A$4005,0)),0),"NEXT",""))</f>
        <v/>
      </c>
      <c r="O602" s="23" t="n"/>
    </row>
    <row r="603">
      <c r="A603" s="23" t="n"/>
      <c r="B603" s="26">
        <f>IF($A603="","",IFERROR(INDEX('Chart Database'!$B$6:$B$4005,MATCH($A603,'Chart Database'!$A$6:$A$4005,0)),"UNKNOWN CHART"))</f>
        <v/>
      </c>
      <c r="C603" s="23" t="n"/>
      <c r="D603" s="23" t="n"/>
      <c r="E603" s="25" t="n"/>
      <c r="F603" s="15" t="n"/>
      <c r="G603" s="23" t="n"/>
      <c r="H603" s="15" t="n"/>
      <c r="I603" s="15" t="n"/>
      <c r="J603" s="15" t="n"/>
      <c r="K603" s="25" t="n"/>
      <c r="L603" s="15" t="n"/>
      <c r="M603" s="26">
        <f>IF(OR($A603="",$L603&lt;&gt;"Active"),"",COUNTIFS($A$5:$A603,$A603,$L$5:$L603,"Active"))</f>
        <v/>
      </c>
      <c r="N603" s="26">
        <f>IF(OR($A603="",$M603=""),"",IF($M603=IFERROR(INDEX('Chart Database'!$R$6:$R$4005,MATCH($A603,'Chart Database'!$A$6:$A$4005,0)),0),"NEXT",""))</f>
        <v/>
      </c>
      <c r="O603" s="23" t="n"/>
    </row>
    <row r="604">
      <c r="A604" s="23" t="n"/>
      <c r="B604" s="26">
        <f>IF($A604="","",IFERROR(INDEX('Chart Database'!$B$6:$B$4005,MATCH($A604,'Chart Database'!$A$6:$A$4005,0)),"UNKNOWN CHART"))</f>
        <v/>
      </c>
      <c r="C604" s="23" t="n"/>
      <c r="D604" s="23" t="n"/>
      <c r="E604" s="25" t="n"/>
      <c r="F604" s="15" t="n"/>
      <c r="G604" s="23" t="n"/>
      <c r="H604" s="15" t="n"/>
      <c r="I604" s="15" t="n"/>
      <c r="J604" s="15" t="n"/>
      <c r="K604" s="25" t="n"/>
      <c r="L604" s="15" t="n"/>
      <c r="M604" s="26">
        <f>IF(OR($A604="",$L604&lt;&gt;"Active"),"",COUNTIFS($A$5:$A604,$A604,$L$5:$L604,"Active"))</f>
        <v/>
      </c>
      <c r="N604" s="26">
        <f>IF(OR($A604="",$M604=""),"",IF($M604=IFERROR(INDEX('Chart Database'!$R$6:$R$4005,MATCH($A604,'Chart Database'!$A$6:$A$4005,0)),0),"NEXT",""))</f>
        <v/>
      </c>
      <c r="O604" s="23" t="n"/>
    </row>
    <row r="605">
      <c r="A605" s="23" t="n"/>
      <c r="B605" s="26">
        <f>IF($A605="","",IFERROR(INDEX('Chart Database'!$B$6:$B$4005,MATCH($A605,'Chart Database'!$A$6:$A$4005,0)),"UNKNOWN CHART"))</f>
        <v/>
      </c>
      <c r="C605" s="23" t="n"/>
      <c r="D605" s="23" t="n"/>
      <c r="E605" s="25" t="n"/>
      <c r="F605" s="15" t="n"/>
      <c r="G605" s="23" t="n"/>
      <c r="H605" s="15" t="n"/>
      <c r="I605" s="15" t="n"/>
      <c r="J605" s="15" t="n"/>
      <c r="K605" s="25" t="n"/>
      <c r="L605" s="15" t="n"/>
      <c r="M605" s="26">
        <f>IF(OR($A605="",$L605&lt;&gt;"Active"),"",COUNTIFS($A$5:$A605,$A605,$L$5:$L605,"Active"))</f>
        <v/>
      </c>
      <c r="N605" s="26">
        <f>IF(OR($A605="",$M605=""),"",IF($M605=IFERROR(INDEX('Chart Database'!$R$6:$R$4005,MATCH($A605,'Chart Database'!$A$6:$A$4005,0)),0),"NEXT",""))</f>
        <v/>
      </c>
      <c r="O605" s="23" t="n"/>
    </row>
    <row r="607" ht="26" customHeight="1">
      <c r="A607" s="18" t="inlineStr">
        <is>
          <t>Version rotation is arithmetic, not chance. The allocator serves pool[uses mod version count], so with three versions and seven previous uses the next cycle serves version 1 again. The NEXT column marks that row, and it moves on its own as the chart's use count changes.</t>
        </is>
      </c>
    </row>
    <row r="608" ht="26" customHeight="1">
      <c r="A608" s="18" t="inlineStr">
        <is>
          <t>Rotation keys on the CHART's own use count, not on the cycle and not on the auditor. Keyed on the auditor, four auditors would meet three different versions in one sitting; keyed on the cycle, a chart that does not appear every cycle would be pinned to one version forever.</t>
        </is>
      </c>
    </row>
    <row r="609" ht="26" customHeight="1">
      <c r="A609" s="44" t="inlineStr">
        <is>
          <t>A chart with ONE active version shows every auditor the same planting. That is a tell as soon as anyone has seen it, and the Chart Database flags it in amber once such a chart has been used. Two is the minimum for rotation to mean anything.</t>
        </is>
      </c>
    </row>
    <row r="610" ht="26" customHeight="1">
      <c r="A610" s="18" t="inlineStr">
        <is>
          <t>Planted findings of ZERO is legitimate and is shown in blue, not red: a curated clean chart. A set may carry no mutations and still author a query determination, which is why clean and authored are not mutually exclusive.</t>
        </is>
      </c>
    </row>
    <row r="611" ht="26" customHeight="1">
      <c r="A611" s="44" t="inlineStr">
        <is>
          <t>Always plant exempts a set from the clean quota, so it is planted whenever drawn. Use it sparingly — a curated chart that never comes up clean becomes its own tell, which is the same failure as a chart that always carries the same version.</t>
        </is>
      </c>
    </row>
    <row r="612" ht="26" customHeight="1">
      <c r="A612" s="18" t="inlineStr">
        <is>
          <t>Query expected applies to IP-DRG only. Blank is NA and is NOT scored against the auditor: the system cannot read whether documentation supported a code, so an unauthored answer is not an answer.</t>
        </is>
      </c>
    </row>
  </sheetData>
  <autoFilter ref="A5:O605"/>
  <mergeCells count="8">
    <mergeCell ref="A608:O608"/>
    <mergeCell ref="A2:O2"/>
    <mergeCell ref="A609:O609"/>
    <mergeCell ref="A612:O612"/>
    <mergeCell ref="A607:O607"/>
    <mergeCell ref="A1:O1"/>
    <mergeCell ref="A610:O610"/>
    <mergeCell ref="A611:O611"/>
  </mergeCells>
  <conditionalFormatting sqref="A6:O605">
    <cfRule type="expression" priority="1" dxfId="4">
      <formula>MOD(ROW(),2)=0</formula>
    </cfRule>
  </conditionalFormatting>
  <conditionalFormatting sqref="B6:B605">
    <cfRule type="expression" priority="2" dxfId="9">
      <formula>$B6="UNKNOWN CHART"</formula>
    </cfRule>
  </conditionalFormatting>
  <conditionalFormatting sqref="N6:N605">
    <cfRule type="expression" priority="3" dxfId="5">
      <formula>$N6="NEXT"</formula>
    </cfRule>
  </conditionalFormatting>
  <conditionalFormatting sqref="I6:I605">
    <cfRule type="expression" priority="4" dxfId="11">
      <formula>$I6="Yes"</formula>
    </cfRule>
  </conditionalFormatting>
  <conditionalFormatting sqref="F6:F605">
    <cfRule type="cellIs" priority="5" operator="equal" dxfId="12">
      <formula>0</formula>
    </cfRule>
  </conditionalFormatting>
  <dataValidations count="3">
    <dataValidation sqref="H6:H605" showDropDown="0" showInputMessage="0" showErrorMessage="0" allowBlank="1" errorTitle="Not on the list" error="Pick a value from the list. Add new values on the Lists sheet, not here." type="list">
      <formula1>=Lists!$F$5:$F$7</formula1>
    </dataValidation>
    <dataValidation sqref="I6:I605" showDropDown="0" showInputMessage="0" showErrorMessage="0" allowBlank="1" errorTitle="Not on the list" error="Pick a value from the list. Add new values on the Lists sheet, not here." type="list">
      <formula1>=Lists!$E$5:$E$6</formula1>
    </dataValidation>
    <dataValidation sqref="L6:L605" showDropDown="0" showInputMessage="0" showErrorMessage="0" allowBlank="1" errorTitle="Not on the list" error="Pick a value from the list. Add new values on the Lists sheet, not here." type="list">
      <formula1>=Lists!$C$5:$C$6</formula1>
    </dataValidation>
  </dataValidations>
  <pageMargins left="0.75" right="0.75" top="1" bottom="1" header="0.5" footer="0.5"/>
</worksheet>
</file>

<file path=xl/worksheets/sheet6.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7" t="inlineStr">
        <is>
          <t xml:space="preserve">  FILTERS  —  leave a cell blank to ignore it</t>
        </is>
      </c>
    </row>
    <row r="5" ht="16" customHeight="1">
      <c r="A5" s="46" t="inlineStr">
        <is>
          <t>Specialty</t>
        </is>
      </c>
      <c r="B5" s="39" t="n"/>
      <c r="D5" s="47" t="inlineStr">
        <is>
          <t>Blank means every specialty.</t>
        </is>
      </c>
    </row>
    <row r="6" ht="24" customHeight="1">
      <c r="A6" s="46" t="inlineStr">
        <is>
          <t>Category contains</t>
        </is>
      </c>
      <c r="B6" s="39" t="n"/>
      <c r="D6" s="47" t="inlineStr">
        <is>
          <t>A short name from the Category Dictionary, e.g. Sepsis. Matches charts carrying it among several, exactly as the app does.</t>
        </is>
      </c>
    </row>
    <row r="7" ht="16" customHeight="1">
      <c r="A7" s="46" t="inlineStr">
        <is>
          <t>Build priority</t>
        </is>
      </c>
      <c r="B7" s="39" t="n"/>
      <c r="D7" s="47" t="inlineStr">
        <is>
          <t>P1 to P4. For a cohort that should meet the foundation topics first.</t>
        </is>
      </c>
    </row>
    <row r="8" ht="16" customHeight="1">
      <c r="A8" s="46" t="inlineStr">
        <is>
          <t>Difficulty</t>
        </is>
      </c>
      <c r="B8" s="39" t="n"/>
      <c r="D8" s="47" t="inlineStr">
        <is>
          <t>Beginner, Intermediate or Advanced.</t>
        </is>
      </c>
    </row>
    <row r="9" ht="16" customHeight="1">
      <c r="A9" s="46" t="inlineStr">
        <is>
          <t>Status</t>
        </is>
      </c>
      <c r="B9" s="39" t="inlineStr">
        <is>
          <t>Active</t>
        </is>
      </c>
      <c r="D9" s="47" t="inlineStr">
        <is>
          <t>Active unless you are deliberately reviewing retired charts.</t>
        </is>
      </c>
    </row>
    <row r="10" ht="24" customHeight="1">
      <c r="A10" s="46" t="inlineStr">
        <is>
          <t>Answer key required</t>
        </is>
      </c>
      <c r="B10" s="39" t="inlineStr">
        <is>
          <t>Yes</t>
        </is>
      </c>
      <c r="D10" s="47" t="inlineStr">
        <is>
          <t>Yes keeps only charts that can be graded. Blank is how an ungradeable chart reaches a batch.</t>
        </is>
      </c>
    </row>
    <row r="11" ht="16" customHeight="1">
      <c r="A11" s="46" t="inlineStr">
        <is>
          <t>Uploaded on or after</t>
        </is>
      </c>
      <c r="B11" s="48" t="n"/>
      <c r="D11" s="47" t="inlineStr">
        <is>
          <t>A date. Use to assign only recently refreshed material.</t>
        </is>
      </c>
    </row>
    <row r="12" ht="16" customHeight="1">
      <c r="A12" s="46" t="inlineStr">
        <is>
          <t>Max times already assigned</t>
        </is>
      </c>
      <c r="B12" s="39" t="n"/>
      <c r="D12" s="47" t="inlineStr">
        <is>
          <t>A number. 0 finds charts nobody has had yet. Blank ignores usage.</t>
        </is>
      </c>
    </row>
    <row r="14" ht="20" customHeight="1">
      <c r="A14" s="7" t="inlineStr">
        <is>
          <t xml:space="preserve">  RESULT</t>
        </is>
      </c>
    </row>
    <row r="15" ht="20" customHeight="1">
      <c r="A15" s="8" t="inlineStr">
        <is>
          <t>Charts matching</t>
        </is>
      </c>
      <c r="B15" s="9">
        <f>COUNTIF('Chart Database'!$U$6:$U$4005,TRUE)</f>
        <v/>
      </c>
      <c r="C15" s="49" t="n"/>
      <c r="D15" s="10" t="inlineStr">
        <is>
          <t>How many charts in the pool satisfy every filter set above.</t>
        </is>
      </c>
    </row>
    <row r="16" ht="20" customHeight="1">
      <c r="A16" s="8" t="inlineStr">
        <is>
          <t>of which never assigned</t>
        </is>
      </c>
      <c r="B16" s="9">
        <f>COUNTIFS('Chart Database'!$U$6:$U$4005,TRUE,'Chart Database'!$S$6:$S$4005,0)</f>
        <v/>
      </c>
      <c r="C16" s="49" t="n"/>
      <c r="D16" s="10" t="inlineStr">
        <is>
          <t>Unseen charts — what an assessment or a post-QIP reassessment needs.</t>
        </is>
      </c>
    </row>
    <row r="17" ht="24" customHeight="1">
      <c r="A17" s="8" t="inlineStr">
        <is>
          <t>Distinct topics covered</t>
        </is>
      </c>
      <c r="B17" s="9">
        <f>SUMPRODUCT(--(COUNTIFS('Chart Database'!$U$6:$U$4005,TRUE,'Chart Database'!$C$6:$C$4005,"*"&amp;'Category Dictionary'!$D$5:$D$135&amp;"*")&gt;0))</f>
        <v/>
      </c>
      <c r="C17" s="49" t="n"/>
      <c r="D17" s="10" t="inlineStr">
        <is>
          <t>How many of the 111 topics the matching set touches. A batch drawn from one topic trains one thing.</t>
        </is>
      </c>
    </row>
    <row r="19" ht="20" customHeight="1">
      <c r="A19" s="7" t="inlineStr">
        <is>
          <t xml:space="preserve">  HOW TO GET THE LIST</t>
        </is>
      </c>
    </row>
    <row r="20" ht="17" customHeight="1">
      <c r="A20" s="5" t="inlineStr">
        <is>
          <t>1.   Set the filters above. Only the cells you fill narrow the result.</t>
        </is>
      </c>
    </row>
    <row r="21" ht="17" customHeight="1">
      <c r="A21" s="5" t="inlineStr">
        <is>
          <t>2.   Open Chart Database. Use the filter arrow on the last column, Matches filter, and tick TRUE.</t>
        </is>
      </c>
    </row>
    <row r="22" ht="17" customHeight="1">
      <c r="A22" s="5" t="inlineStr">
        <is>
          <t>3.   The visible rows are the assignment set. Copy the chart_number column into the batch.</t>
        </is>
      </c>
    </row>
    <row r="23" ht="17" customHeight="1">
      <c r="A23" s="5" t="inlineStr">
        <is>
          <t>4.   In the app, type the short name into the category filter — the same text you used in step 1.</t>
        </is>
      </c>
    </row>
    <row r="24" ht="17" customHeight="1">
      <c r="A24" s="5" t="inlineStr">
        <is>
          <t>5.   Afterwards add 1 to Times assigned on those rows and set Last assigned. That is what keeps 'never assigned' honest.</t>
        </is>
      </c>
    </row>
    <row r="26" ht="26" customHeight="1">
      <c r="A26" s="18" t="inlineStr">
        <is>
          <t>The count is live, so widen a filter until the number is workable rather than guessing. A count of zero means the pool cannot serve that request, which is itself the answer and the gap to take to sourcing.</t>
        </is>
      </c>
    </row>
    <row r="27" ht="26" customHeight="1">
      <c r="A27" s="18"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18"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7.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3" t="inlineStr">
        <is>
          <t>Specialty</t>
        </is>
      </c>
      <c r="B4" s="13" t="inlineStr">
        <is>
          <t>Prefix</t>
        </is>
      </c>
      <c r="C4" s="13" t="inlineStr">
        <is>
          <t>Target
pool</t>
        </is>
      </c>
      <c r="D4" s="13" t="inlineStr">
        <is>
          <t>Active</t>
        </is>
      </c>
      <c r="E4" s="13" t="inlineStr">
        <is>
          <t>Retired</t>
        </is>
      </c>
      <c r="F4" s="13" t="inlineStr">
        <is>
          <t>Total
rows</t>
        </is>
      </c>
      <c r="G4" s="13" t="inlineStr">
        <is>
          <t>% of
target</t>
        </is>
      </c>
      <c r="H4" s="13" t="inlineStr">
        <is>
          <t>Beginner</t>
        </is>
      </c>
      <c r="I4" s="13" t="inlineStr">
        <is>
          <t>Intermediate</t>
        </is>
      </c>
      <c r="J4" s="13" t="inlineStr">
        <is>
          <t>Advanced</t>
        </is>
      </c>
      <c r="K4" s="13" t="inlineStr">
        <is>
          <t>No answer
key</t>
        </is>
      </c>
      <c r="L4" s="13" t="inlineStr">
        <is>
          <t>Added last
30 days</t>
        </is>
      </c>
      <c r="M4" s="13" t="inlineStr">
        <is>
          <t>Never
assigned</t>
        </is>
      </c>
      <c r="N4" s="13" t="inlineStr">
        <is>
          <t>Reading</t>
        </is>
      </c>
    </row>
    <row r="5" ht="24" customHeight="1">
      <c r="A5" s="14" t="inlineStr">
        <is>
          <t>IP-DRG</t>
        </is>
      </c>
      <c r="B5" s="50" t="inlineStr">
        <is>
          <t>IP</t>
        </is>
      </c>
      <c r="C5" s="15" t="n">
        <v>693</v>
      </c>
      <c r="D5" s="15">
        <f>COUNTIFS('Chart Database'!$B$6:$B$4005,$A5,'Chart Database'!$F$6:$F$4005,"Active")</f>
        <v/>
      </c>
      <c r="E5" s="15">
        <f>COUNTIFS('Chart Database'!$B$6:$B$4005,$A5,'Chart Database'!$F$6:$F$4005,"Retired")</f>
        <v/>
      </c>
      <c r="F5" s="15">
        <f>COUNTIF('Chart Database'!$B$6:$B$4005,$A5)</f>
        <v/>
      </c>
      <c r="G5" s="16">
        <f>IF($C5=0,"NA",D5/$C5)</f>
        <v/>
      </c>
      <c r="H5" s="15">
        <f>COUNTIFS('Chart Database'!$B$6:$B$4005,$A5,'Chart Database'!$D$6:$D$4005,"Beginner",'Chart Database'!$F$6:$F$4005,"Active")</f>
        <v/>
      </c>
      <c r="I5" s="15">
        <f>COUNTIFS('Chart Database'!$B$6:$B$4005,$A5,'Chart Database'!$D$6:$D$4005,"Intermediate",'Chart Database'!$F$6:$F$4005,"Active")</f>
        <v/>
      </c>
      <c r="J5" s="15">
        <f>COUNTIFS('Chart Database'!$B$6:$B$4005,$A5,'Chart Database'!$D$6:$D$4005,"Advanced",'Chart Database'!$F$6:$F$4005,"Active")</f>
        <v/>
      </c>
      <c r="K5" s="15">
        <f>COUNTIFS('Chart Database'!$B$6:$B$4005,$A5,'Chart Database'!$O$6:$O$4005,"No",'Chart Database'!$F$6:$F$4005,"Active")</f>
        <v/>
      </c>
      <c r="L5" s="15">
        <f>COUNTIFS('Chart Database'!$B$6:$B$4005,$A5,'Chart Database'!$H$6:$H$4005,"&gt;="&amp;TODAY()-30,'Chart Database'!$H$6:$H$4005,"&lt;="&amp;TODAY())</f>
        <v/>
      </c>
      <c r="M5" s="15">
        <f>COUNTIFS('Chart Database'!$B$6:$B$4005,$A5,'Chart Database'!$S$6:$S$4005,0,'Chart Database'!$F$6:$F$4005,"Active")</f>
        <v/>
      </c>
      <c r="N5" s="17">
        <f>IF(D5=0,"Nothing in the pool yet",IF(D5&gt;=C5,"At target",IF(K5&gt;0,K5&amp;" chart(s) cannot be graded",IF(D5/C5&lt;0.5,"Under half built","Building"))))</f>
        <v/>
      </c>
    </row>
    <row r="6" ht="24" customHeight="1">
      <c r="A6" s="14" t="inlineStr">
        <is>
          <t>ED Facility</t>
        </is>
      </c>
      <c r="B6" s="50" t="inlineStr">
        <is>
          <t>ED</t>
        </is>
      </c>
      <c r="C6" s="15" t="n">
        <v>704</v>
      </c>
      <c r="D6" s="15">
        <f>COUNTIFS('Chart Database'!$B$6:$B$4005,$A6,'Chart Database'!$F$6:$F$4005,"Active")</f>
        <v/>
      </c>
      <c r="E6" s="15">
        <f>COUNTIFS('Chart Database'!$B$6:$B$4005,$A6,'Chart Database'!$F$6:$F$4005,"Retired")</f>
        <v/>
      </c>
      <c r="F6" s="15">
        <f>COUNTIF('Chart Database'!$B$6:$B$4005,$A6)</f>
        <v/>
      </c>
      <c r="G6" s="16">
        <f>IF($C6=0,"NA",D6/$C6)</f>
        <v/>
      </c>
      <c r="H6" s="15">
        <f>COUNTIFS('Chart Database'!$B$6:$B$4005,$A6,'Chart Database'!$D$6:$D$4005,"Beginner",'Chart Database'!$F$6:$F$4005,"Active")</f>
        <v/>
      </c>
      <c r="I6" s="15">
        <f>COUNTIFS('Chart Database'!$B$6:$B$4005,$A6,'Chart Database'!$D$6:$D$4005,"Intermediate",'Chart Database'!$F$6:$F$4005,"Active")</f>
        <v/>
      </c>
      <c r="J6" s="15">
        <f>COUNTIFS('Chart Database'!$B$6:$B$4005,$A6,'Chart Database'!$D$6:$D$4005,"Advanced",'Chart Database'!$F$6:$F$4005,"Active")</f>
        <v/>
      </c>
      <c r="K6" s="15">
        <f>COUNTIFS('Chart Database'!$B$6:$B$4005,$A6,'Chart Database'!$O$6:$O$4005,"No",'Chart Database'!$F$6:$F$4005,"Active")</f>
        <v/>
      </c>
      <c r="L6" s="15">
        <f>COUNTIFS('Chart Database'!$B$6:$B$4005,$A6,'Chart Database'!$H$6:$H$4005,"&gt;="&amp;TODAY()-30,'Chart Database'!$H$6:$H$4005,"&lt;="&amp;TODAY())</f>
        <v/>
      </c>
      <c r="M6" s="15">
        <f>COUNTIFS('Chart Database'!$B$6:$B$4005,$A6,'Chart Database'!$S$6:$S$4005,0,'Chart Database'!$F$6:$F$4005,"Active")</f>
        <v/>
      </c>
      <c r="N6" s="17">
        <f>IF(D6=0,"Nothing in the pool yet",IF(D6&gt;=C6,"At target",IF(K6&gt;0,K6&amp;" chart(s) cannot be graded",IF(D6/C6&lt;0.5,"Under half built","Building"))))</f>
        <v/>
      </c>
    </row>
    <row r="7" ht="24" customHeight="1">
      <c r="A7" s="14" t="inlineStr">
        <is>
          <t>ED Profee</t>
        </is>
      </c>
      <c r="B7" s="50" t="inlineStr">
        <is>
          <t>EDP</t>
        </is>
      </c>
      <c r="C7" s="15" t="n">
        <v>400</v>
      </c>
      <c r="D7" s="15">
        <f>COUNTIFS('Chart Database'!$B$6:$B$4005,$A7,'Chart Database'!$F$6:$F$4005,"Active")</f>
        <v/>
      </c>
      <c r="E7" s="15">
        <f>COUNTIFS('Chart Database'!$B$6:$B$4005,$A7,'Chart Database'!$F$6:$F$4005,"Retired")</f>
        <v/>
      </c>
      <c r="F7" s="15">
        <f>COUNTIF('Chart Database'!$B$6:$B$4005,$A7)</f>
        <v/>
      </c>
      <c r="G7" s="16">
        <f>IF($C7=0,"NA",D7/$C7)</f>
        <v/>
      </c>
      <c r="H7" s="15">
        <f>COUNTIFS('Chart Database'!$B$6:$B$4005,$A7,'Chart Database'!$D$6:$D$4005,"Beginner",'Chart Database'!$F$6:$F$4005,"Active")</f>
        <v/>
      </c>
      <c r="I7" s="15">
        <f>COUNTIFS('Chart Database'!$B$6:$B$4005,$A7,'Chart Database'!$D$6:$D$4005,"Intermediate",'Chart Database'!$F$6:$F$4005,"Active")</f>
        <v/>
      </c>
      <c r="J7" s="15">
        <f>COUNTIFS('Chart Database'!$B$6:$B$4005,$A7,'Chart Database'!$D$6:$D$4005,"Advanced",'Chart Database'!$F$6:$F$4005,"Active")</f>
        <v/>
      </c>
      <c r="K7" s="15">
        <f>COUNTIFS('Chart Database'!$B$6:$B$4005,$A7,'Chart Database'!$O$6:$O$4005,"No",'Chart Database'!$F$6:$F$4005,"Active")</f>
        <v/>
      </c>
      <c r="L7" s="15">
        <f>COUNTIFS('Chart Database'!$B$6:$B$4005,$A7,'Chart Database'!$H$6:$H$4005,"&gt;="&amp;TODAY()-30,'Chart Database'!$H$6:$H$4005,"&lt;="&amp;TODAY())</f>
        <v/>
      </c>
      <c r="M7" s="15">
        <f>COUNTIFS('Chart Database'!$B$6:$B$4005,$A7,'Chart Database'!$S$6:$S$4005,0,'Chart Database'!$F$6:$F$4005,"Active")</f>
        <v/>
      </c>
      <c r="N7" s="17">
        <f>IF(D7=0,"Nothing in the pool yet",IF(D7&gt;=C7,"At target",IF(K7&gt;0,K7&amp;" chart(s) cannot be graded",IF(D7/C7&lt;0.5,"Under half built","Building"))))</f>
        <v/>
      </c>
    </row>
    <row r="8" ht="24" customHeight="1">
      <c r="A8" s="14" t="inlineStr">
        <is>
          <t>E/M</t>
        </is>
      </c>
      <c r="B8" s="50" t="inlineStr">
        <is>
          <t>EM</t>
        </is>
      </c>
      <c r="C8" s="15" t="n">
        <v>413</v>
      </c>
      <c r="D8" s="15">
        <f>COUNTIFS('Chart Database'!$B$6:$B$4005,$A8,'Chart Database'!$F$6:$F$4005,"Active")</f>
        <v/>
      </c>
      <c r="E8" s="15">
        <f>COUNTIFS('Chart Database'!$B$6:$B$4005,$A8,'Chart Database'!$F$6:$F$4005,"Retired")</f>
        <v/>
      </c>
      <c r="F8" s="15">
        <f>COUNTIF('Chart Database'!$B$6:$B$4005,$A8)</f>
        <v/>
      </c>
      <c r="G8" s="16">
        <f>IF($C8=0,"NA",D8/$C8)</f>
        <v/>
      </c>
      <c r="H8" s="15">
        <f>COUNTIFS('Chart Database'!$B$6:$B$4005,$A8,'Chart Database'!$D$6:$D$4005,"Beginner",'Chart Database'!$F$6:$F$4005,"Active")</f>
        <v/>
      </c>
      <c r="I8" s="15">
        <f>COUNTIFS('Chart Database'!$B$6:$B$4005,$A8,'Chart Database'!$D$6:$D$4005,"Intermediate",'Chart Database'!$F$6:$F$4005,"Active")</f>
        <v/>
      </c>
      <c r="J8" s="15">
        <f>COUNTIFS('Chart Database'!$B$6:$B$4005,$A8,'Chart Database'!$D$6:$D$4005,"Advanced",'Chart Database'!$F$6:$F$4005,"Active")</f>
        <v/>
      </c>
      <c r="K8" s="15">
        <f>COUNTIFS('Chart Database'!$B$6:$B$4005,$A8,'Chart Database'!$O$6:$O$4005,"No",'Chart Database'!$F$6:$F$4005,"Active")</f>
        <v/>
      </c>
      <c r="L8" s="15">
        <f>COUNTIFS('Chart Database'!$B$6:$B$4005,$A8,'Chart Database'!$H$6:$H$4005,"&gt;="&amp;TODAY()-30,'Chart Database'!$H$6:$H$4005,"&lt;="&amp;TODAY())</f>
        <v/>
      </c>
      <c r="M8" s="15">
        <f>COUNTIFS('Chart Database'!$B$6:$B$4005,$A8,'Chart Database'!$S$6:$S$4005,0,'Chart Database'!$F$6:$F$4005,"Active")</f>
        <v/>
      </c>
      <c r="N8" s="17">
        <f>IF(D8=0,"Nothing in the pool yet",IF(D8&gt;=C8,"At target",IF(K8&gt;0,K8&amp;" chart(s) cannot be graded",IF(D8/C8&lt;0.5,"Under half built","Building"))))</f>
        <v/>
      </c>
    </row>
    <row r="9" ht="24" customHeight="1">
      <c r="A9" s="14" t="inlineStr">
        <is>
          <t>SDS</t>
        </is>
      </c>
      <c r="B9" s="50" t="inlineStr">
        <is>
          <t>SDS</t>
        </is>
      </c>
      <c r="C9" s="15" t="n">
        <v>132</v>
      </c>
      <c r="D9" s="15">
        <f>COUNTIFS('Chart Database'!$B$6:$B$4005,$A9,'Chart Database'!$F$6:$F$4005,"Active")</f>
        <v/>
      </c>
      <c r="E9" s="15">
        <f>COUNTIFS('Chart Database'!$B$6:$B$4005,$A9,'Chart Database'!$F$6:$F$4005,"Retired")</f>
        <v/>
      </c>
      <c r="F9" s="15">
        <f>COUNTIF('Chart Database'!$B$6:$B$4005,$A9)</f>
        <v/>
      </c>
      <c r="G9" s="16">
        <f>IF($C9=0,"NA",D9/$C9)</f>
        <v/>
      </c>
      <c r="H9" s="15">
        <f>COUNTIFS('Chart Database'!$B$6:$B$4005,$A9,'Chart Database'!$D$6:$D$4005,"Beginner",'Chart Database'!$F$6:$F$4005,"Active")</f>
        <v/>
      </c>
      <c r="I9" s="15">
        <f>COUNTIFS('Chart Database'!$B$6:$B$4005,$A9,'Chart Database'!$D$6:$D$4005,"Intermediate",'Chart Database'!$F$6:$F$4005,"Active")</f>
        <v/>
      </c>
      <c r="J9" s="15">
        <f>COUNTIFS('Chart Database'!$B$6:$B$4005,$A9,'Chart Database'!$D$6:$D$4005,"Advanced",'Chart Database'!$F$6:$F$4005,"Active")</f>
        <v/>
      </c>
      <c r="K9" s="15">
        <f>COUNTIFS('Chart Database'!$B$6:$B$4005,$A9,'Chart Database'!$O$6:$O$4005,"No",'Chart Database'!$F$6:$F$4005,"Active")</f>
        <v/>
      </c>
      <c r="L9" s="15">
        <f>COUNTIFS('Chart Database'!$B$6:$B$4005,$A9,'Chart Database'!$H$6:$H$4005,"&gt;="&amp;TODAY()-30,'Chart Database'!$H$6:$H$4005,"&lt;="&amp;TODAY())</f>
        <v/>
      </c>
      <c r="M9" s="15">
        <f>COUNTIFS('Chart Database'!$B$6:$B$4005,$A9,'Chart Database'!$S$6:$S$4005,0,'Chart Database'!$F$6:$F$4005,"Active")</f>
        <v/>
      </c>
      <c r="N9" s="17">
        <f>IF(D9=0,"Nothing in the pool yet",IF(D9&gt;=C9,"At target",IF(K9&gt;0,K9&amp;" chart(s) cannot be graded",IF(D9/C9&lt;0.5,"Under half built","Building"))))</f>
        <v/>
      </c>
    </row>
    <row r="10" ht="24" customHeight="1">
      <c r="A10" s="14" t="inlineStr">
        <is>
          <t>Surgery</t>
        </is>
      </c>
      <c r="B10" s="50" t="inlineStr">
        <is>
          <t>SURG</t>
        </is>
      </c>
      <c r="C10" s="15" t="n">
        <v>300</v>
      </c>
      <c r="D10" s="15">
        <f>COUNTIFS('Chart Database'!$B$6:$B$4005,$A10,'Chart Database'!$F$6:$F$4005,"Active")</f>
        <v/>
      </c>
      <c r="E10" s="15">
        <f>COUNTIFS('Chart Database'!$B$6:$B$4005,$A10,'Chart Database'!$F$6:$F$4005,"Retired")</f>
        <v/>
      </c>
      <c r="F10" s="15">
        <f>COUNTIF('Chart Database'!$B$6:$B$4005,$A10)</f>
        <v/>
      </c>
      <c r="G10" s="16">
        <f>IF($C10=0,"NA",D10/$C10)</f>
        <v/>
      </c>
      <c r="H10" s="15">
        <f>COUNTIFS('Chart Database'!$B$6:$B$4005,$A10,'Chart Database'!$D$6:$D$4005,"Beginner",'Chart Database'!$F$6:$F$4005,"Active")</f>
        <v/>
      </c>
      <c r="I10" s="15">
        <f>COUNTIFS('Chart Database'!$B$6:$B$4005,$A10,'Chart Database'!$D$6:$D$4005,"Intermediate",'Chart Database'!$F$6:$F$4005,"Active")</f>
        <v/>
      </c>
      <c r="J10" s="15">
        <f>COUNTIFS('Chart Database'!$B$6:$B$4005,$A10,'Chart Database'!$D$6:$D$4005,"Advanced",'Chart Database'!$F$6:$F$4005,"Active")</f>
        <v/>
      </c>
      <c r="K10" s="15">
        <f>COUNTIFS('Chart Database'!$B$6:$B$4005,$A10,'Chart Database'!$O$6:$O$4005,"No",'Chart Database'!$F$6:$F$4005,"Active")</f>
        <v/>
      </c>
      <c r="L10" s="15">
        <f>COUNTIFS('Chart Database'!$B$6:$B$4005,$A10,'Chart Database'!$H$6:$H$4005,"&gt;="&amp;TODAY()-30,'Chart Database'!$H$6:$H$4005,"&lt;="&amp;TODAY())</f>
        <v/>
      </c>
      <c r="M10" s="15">
        <f>COUNTIFS('Chart Database'!$B$6:$B$4005,$A10,'Chart Database'!$S$6:$S$4005,0,'Chart Database'!$F$6:$F$4005,"Active")</f>
        <v/>
      </c>
      <c r="N10" s="17">
        <f>IF(D10=0,"Nothing in the pool yet",IF(D10&gt;=C10,"At target",IF(K10&gt;0,K10&amp;" chart(s) cannot be graded",IF(D10/C10&lt;0.5,"Under half built","Building"))))</f>
        <v/>
      </c>
    </row>
    <row r="11" ht="24" customHeight="1">
      <c r="A11" s="14" t="inlineStr">
        <is>
          <t>ED Single Path</t>
        </is>
      </c>
      <c r="B11" s="50" t="inlineStr">
        <is>
          <t>EDSP</t>
        </is>
      </c>
      <c r="C11" s="15" t="n">
        <v>300</v>
      </c>
      <c r="D11" s="15">
        <f>COUNTIFS('Chart Database'!$B$6:$B$4005,$A11,'Chart Database'!$F$6:$F$4005,"Active")</f>
        <v/>
      </c>
      <c r="E11" s="15">
        <f>COUNTIFS('Chart Database'!$B$6:$B$4005,$A11,'Chart Database'!$F$6:$F$4005,"Retired")</f>
        <v/>
      </c>
      <c r="F11" s="15">
        <f>COUNTIF('Chart Database'!$B$6:$B$4005,$A11)</f>
        <v/>
      </c>
      <c r="G11" s="16">
        <f>IF($C11=0,"NA",D11/$C11)</f>
        <v/>
      </c>
      <c r="H11" s="15">
        <f>COUNTIFS('Chart Database'!$B$6:$B$4005,$A11,'Chart Database'!$D$6:$D$4005,"Beginner",'Chart Database'!$F$6:$F$4005,"Active")</f>
        <v/>
      </c>
      <c r="I11" s="15">
        <f>COUNTIFS('Chart Database'!$B$6:$B$4005,$A11,'Chart Database'!$D$6:$D$4005,"Intermediate",'Chart Database'!$F$6:$F$4005,"Active")</f>
        <v/>
      </c>
      <c r="J11" s="15">
        <f>COUNTIFS('Chart Database'!$B$6:$B$4005,$A11,'Chart Database'!$D$6:$D$4005,"Advanced",'Chart Database'!$F$6:$F$4005,"Active")</f>
        <v/>
      </c>
      <c r="K11" s="15">
        <f>COUNTIFS('Chart Database'!$B$6:$B$4005,$A11,'Chart Database'!$O$6:$O$4005,"No",'Chart Database'!$F$6:$F$4005,"Active")</f>
        <v/>
      </c>
      <c r="L11" s="15">
        <f>COUNTIFS('Chart Database'!$B$6:$B$4005,$A11,'Chart Database'!$H$6:$H$4005,"&gt;="&amp;TODAY()-30,'Chart Database'!$H$6:$H$4005,"&lt;="&amp;TODAY())</f>
        <v/>
      </c>
      <c r="M11" s="15">
        <f>COUNTIFS('Chart Database'!$B$6:$B$4005,$A11,'Chart Database'!$S$6:$S$4005,0,'Chart Database'!$F$6:$F$4005,"Active")</f>
        <v/>
      </c>
      <c r="N11" s="17">
        <f>IF(D11=0,"Nothing in the pool yet",IF(D11&gt;=C11,"At target",IF(K11&gt;0,K11&amp;" chart(s) cannot be graded",IF(D11/C11&lt;0.5,"Under half built","Building"))))</f>
        <v/>
      </c>
    </row>
    <row r="12">
      <c r="A12" s="40" t="inlineStr">
        <is>
          <t>TOTAL</t>
        </is>
      </c>
      <c r="B12" s="42" t="n"/>
      <c r="C12" s="42">
        <f>SUM(C5:C11)</f>
        <v/>
      </c>
      <c r="D12" s="42">
        <f>SUM(D5:D11)</f>
        <v/>
      </c>
      <c r="E12" s="42">
        <f>SUM(E5:E11)</f>
        <v/>
      </c>
      <c r="F12" s="42">
        <f>SUM(F5:F11)</f>
        <v/>
      </c>
      <c r="G12" s="51">
        <f>IF(C12=0,"NA",D12/C12)</f>
        <v/>
      </c>
      <c r="H12" s="42">
        <f>SUM(H5:H11)</f>
        <v/>
      </c>
      <c r="I12" s="42">
        <f>SUM(I5:I11)</f>
        <v/>
      </c>
      <c r="J12" s="42">
        <f>SUM(J5:J11)</f>
        <v/>
      </c>
      <c r="K12" s="42">
        <f>SUM(K5:K11)</f>
        <v/>
      </c>
      <c r="L12" s="42">
        <f>SUM(L5:L11)</f>
        <v/>
      </c>
      <c r="M12" s="42">
        <f>SUM(M5:M11)</f>
        <v/>
      </c>
      <c r="N12" s="42" t="n"/>
    </row>
    <row r="14" ht="26" customHeight="1">
      <c r="A14" s="18" t="inlineStr">
        <is>
          <t>This sheet counts CHARTS. The Category Dictionary counts TOPIC COVERAGE, and its total is larger because a chart carrying "Sepsis, AKI" is counted under both topics. Neither is wrong; they answer different questions.</t>
        </is>
      </c>
    </row>
    <row r="15" ht="26" customHeight="1">
      <c r="A15" s="18"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13">
      <formula>0</formula>
    </cfRule>
  </conditionalFormatting>
  <pageMargins left="0.75" right="0.75" top="1" bottom="1" header="0.5" footer="0.5"/>
</worksheet>
</file>

<file path=xl/worksheets/sheet8.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7" t="inlineStr">
        <is>
          <t xml:space="preserve">  FIRST MONTH SHOWN</t>
        </is>
      </c>
    </row>
    <row r="5">
      <c r="A5" s="46" t="inlineStr">
        <is>
          <t>Start month</t>
        </is>
      </c>
      <c r="B5" s="52" t="n">
        <v>45931</v>
      </c>
      <c r="D5" s="47" t="inlineStr">
        <is>
          <t>24 months are shown from here. Any month with no uploads reads 0 rather than being skipped, so a gap in sourcing is visible.</t>
        </is>
      </c>
    </row>
    <row r="7" ht="34" customHeight="1">
      <c r="A7" s="13" t="inlineStr">
        <is>
          <t>Month</t>
        </is>
      </c>
      <c r="B7" s="13" t="inlineStr">
        <is>
          <t>IP-DRG</t>
        </is>
      </c>
      <c r="C7" s="13" t="inlineStr">
        <is>
          <t>ED Facility</t>
        </is>
      </c>
      <c r="D7" s="13" t="inlineStr">
        <is>
          <t>ED Profee</t>
        </is>
      </c>
      <c r="E7" s="13" t="inlineStr">
        <is>
          <t>E/M</t>
        </is>
      </c>
      <c r="F7" s="13" t="inlineStr">
        <is>
          <t>SDS</t>
        </is>
      </c>
      <c r="G7" s="13" t="inlineStr">
        <is>
          <t>Surgery</t>
        </is>
      </c>
      <c r="H7" s="13" t="inlineStr">
        <is>
          <t>ED Single Path</t>
        </is>
      </c>
      <c r="I7" s="13" t="inlineStr">
        <is>
          <t>Total</t>
        </is>
      </c>
      <c r="J7" s="13" t="inlineStr">
        <is>
          <t>Cumulative</t>
        </is>
      </c>
      <c r="K7" s="13" t="inlineStr">
        <is>
          <t>Reading</t>
        </is>
      </c>
    </row>
    <row r="8">
      <c r="A8" s="53">
        <f>$B$5</f>
        <v/>
      </c>
      <c r="B8" s="15">
        <f>COUNTIFS('Chart Database'!$B$6:$B$4005,"IP-DRG",'Chart Database'!$H$6:$H$4005,"&gt;="&amp;$A8,'Chart Database'!$H$6:$H$4005,"&lt;"&amp;EDATE($A8,1))</f>
        <v/>
      </c>
      <c r="C8" s="15">
        <f>COUNTIFS('Chart Database'!$B$6:$B$4005,"ED Facility",'Chart Database'!$H$6:$H$4005,"&gt;="&amp;$A8,'Chart Database'!$H$6:$H$4005,"&lt;"&amp;EDATE($A8,1))</f>
        <v/>
      </c>
      <c r="D8" s="15">
        <f>COUNTIFS('Chart Database'!$B$6:$B$4005,"ED Profee",'Chart Database'!$H$6:$H$4005,"&gt;="&amp;$A8,'Chart Database'!$H$6:$H$4005,"&lt;"&amp;EDATE($A8,1))</f>
        <v/>
      </c>
      <c r="E8" s="15">
        <f>COUNTIFS('Chart Database'!$B$6:$B$4005,"E/M",'Chart Database'!$H$6:$H$4005,"&gt;="&amp;$A8,'Chart Database'!$H$6:$H$4005,"&lt;"&amp;EDATE($A8,1))</f>
        <v/>
      </c>
      <c r="F8" s="15">
        <f>COUNTIFS('Chart Database'!$B$6:$B$4005,"SDS",'Chart Database'!$H$6:$H$4005,"&gt;="&amp;$A8,'Chart Database'!$H$6:$H$4005,"&lt;"&amp;EDATE($A8,1))</f>
        <v/>
      </c>
      <c r="G8" s="15">
        <f>COUNTIFS('Chart Database'!$B$6:$B$4005,"Surgery",'Chart Database'!$H$6:$H$4005,"&gt;="&amp;$A8,'Chart Database'!$H$6:$H$4005,"&lt;"&amp;EDATE($A8,1))</f>
        <v/>
      </c>
      <c r="H8" s="15">
        <f>COUNTIFS('Chart Database'!$B$6:$B$4005,"ED Single Path",'Chart Database'!$H$6:$H$4005,"&gt;="&amp;$A8,'Chart Database'!$H$6:$H$4005,"&lt;"&amp;EDATE($A8,1))</f>
        <v/>
      </c>
      <c r="I8" s="54">
        <f>SUM(B8:H8)</f>
        <v/>
      </c>
      <c r="J8" s="15">
        <f>SUM($I$8:I8)</f>
        <v/>
      </c>
      <c r="K8" s="55">
        <f>IF(I8=0,"no uploads this month","")</f>
        <v/>
      </c>
    </row>
    <row r="9">
      <c r="A9" s="53">
        <f>EDATE($B$5,1)</f>
        <v/>
      </c>
      <c r="B9" s="15">
        <f>COUNTIFS('Chart Database'!$B$6:$B$4005,"IP-DRG",'Chart Database'!$H$6:$H$4005,"&gt;="&amp;$A9,'Chart Database'!$H$6:$H$4005,"&lt;"&amp;EDATE($A9,1))</f>
        <v/>
      </c>
      <c r="C9" s="15">
        <f>COUNTIFS('Chart Database'!$B$6:$B$4005,"ED Facility",'Chart Database'!$H$6:$H$4005,"&gt;="&amp;$A9,'Chart Database'!$H$6:$H$4005,"&lt;"&amp;EDATE($A9,1))</f>
        <v/>
      </c>
      <c r="D9" s="15">
        <f>COUNTIFS('Chart Database'!$B$6:$B$4005,"ED Profee",'Chart Database'!$H$6:$H$4005,"&gt;="&amp;$A9,'Chart Database'!$H$6:$H$4005,"&lt;"&amp;EDATE($A9,1))</f>
        <v/>
      </c>
      <c r="E9" s="15">
        <f>COUNTIFS('Chart Database'!$B$6:$B$4005,"E/M",'Chart Database'!$H$6:$H$4005,"&gt;="&amp;$A9,'Chart Database'!$H$6:$H$4005,"&lt;"&amp;EDATE($A9,1))</f>
        <v/>
      </c>
      <c r="F9" s="15">
        <f>COUNTIFS('Chart Database'!$B$6:$B$4005,"SDS",'Chart Database'!$H$6:$H$4005,"&gt;="&amp;$A9,'Chart Database'!$H$6:$H$4005,"&lt;"&amp;EDATE($A9,1))</f>
        <v/>
      </c>
      <c r="G9" s="15">
        <f>COUNTIFS('Chart Database'!$B$6:$B$4005,"Surgery",'Chart Database'!$H$6:$H$4005,"&gt;="&amp;$A9,'Chart Database'!$H$6:$H$4005,"&lt;"&amp;EDATE($A9,1))</f>
        <v/>
      </c>
      <c r="H9" s="15">
        <f>COUNTIFS('Chart Database'!$B$6:$B$4005,"ED Single Path",'Chart Database'!$H$6:$H$4005,"&gt;="&amp;$A9,'Chart Database'!$H$6:$H$4005,"&lt;"&amp;EDATE($A9,1))</f>
        <v/>
      </c>
      <c r="I9" s="54">
        <f>SUM(B9:H9)</f>
        <v/>
      </c>
      <c r="J9" s="15">
        <f>SUM($I$8:I9)</f>
        <v/>
      </c>
      <c r="K9" s="55">
        <f>IF(I9=0,"no uploads this month","")</f>
        <v/>
      </c>
    </row>
    <row r="10">
      <c r="A10" s="53">
        <f>EDATE($B$5,2)</f>
        <v/>
      </c>
      <c r="B10" s="15">
        <f>COUNTIFS('Chart Database'!$B$6:$B$4005,"IP-DRG",'Chart Database'!$H$6:$H$4005,"&gt;="&amp;$A10,'Chart Database'!$H$6:$H$4005,"&lt;"&amp;EDATE($A10,1))</f>
        <v/>
      </c>
      <c r="C10" s="15">
        <f>COUNTIFS('Chart Database'!$B$6:$B$4005,"ED Facility",'Chart Database'!$H$6:$H$4005,"&gt;="&amp;$A10,'Chart Database'!$H$6:$H$4005,"&lt;"&amp;EDATE($A10,1))</f>
        <v/>
      </c>
      <c r="D10" s="15">
        <f>COUNTIFS('Chart Database'!$B$6:$B$4005,"ED Profee",'Chart Database'!$H$6:$H$4005,"&gt;="&amp;$A10,'Chart Database'!$H$6:$H$4005,"&lt;"&amp;EDATE($A10,1))</f>
        <v/>
      </c>
      <c r="E10" s="15">
        <f>COUNTIFS('Chart Database'!$B$6:$B$4005,"E/M",'Chart Database'!$H$6:$H$4005,"&gt;="&amp;$A10,'Chart Database'!$H$6:$H$4005,"&lt;"&amp;EDATE($A10,1))</f>
        <v/>
      </c>
      <c r="F10" s="15">
        <f>COUNTIFS('Chart Database'!$B$6:$B$4005,"SDS",'Chart Database'!$H$6:$H$4005,"&gt;="&amp;$A10,'Chart Database'!$H$6:$H$4005,"&lt;"&amp;EDATE($A10,1))</f>
        <v/>
      </c>
      <c r="G10" s="15">
        <f>COUNTIFS('Chart Database'!$B$6:$B$4005,"Surgery",'Chart Database'!$H$6:$H$4005,"&gt;="&amp;$A10,'Chart Database'!$H$6:$H$4005,"&lt;"&amp;EDATE($A10,1))</f>
        <v/>
      </c>
      <c r="H10" s="15">
        <f>COUNTIFS('Chart Database'!$B$6:$B$4005,"ED Single Path",'Chart Database'!$H$6:$H$4005,"&gt;="&amp;$A10,'Chart Database'!$H$6:$H$4005,"&lt;"&amp;EDATE($A10,1))</f>
        <v/>
      </c>
      <c r="I10" s="54">
        <f>SUM(B10:H10)</f>
        <v/>
      </c>
      <c r="J10" s="15">
        <f>SUM($I$8:I10)</f>
        <v/>
      </c>
      <c r="K10" s="55">
        <f>IF(I10=0,"no uploads this month","")</f>
        <v/>
      </c>
    </row>
    <row r="11">
      <c r="A11" s="53">
        <f>EDATE($B$5,3)</f>
        <v/>
      </c>
      <c r="B11" s="15">
        <f>COUNTIFS('Chart Database'!$B$6:$B$4005,"IP-DRG",'Chart Database'!$H$6:$H$4005,"&gt;="&amp;$A11,'Chart Database'!$H$6:$H$4005,"&lt;"&amp;EDATE($A11,1))</f>
        <v/>
      </c>
      <c r="C11" s="15">
        <f>COUNTIFS('Chart Database'!$B$6:$B$4005,"ED Facility",'Chart Database'!$H$6:$H$4005,"&gt;="&amp;$A11,'Chart Database'!$H$6:$H$4005,"&lt;"&amp;EDATE($A11,1))</f>
        <v/>
      </c>
      <c r="D11" s="15">
        <f>COUNTIFS('Chart Database'!$B$6:$B$4005,"ED Profee",'Chart Database'!$H$6:$H$4005,"&gt;="&amp;$A11,'Chart Database'!$H$6:$H$4005,"&lt;"&amp;EDATE($A11,1))</f>
        <v/>
      </c>
      <c r="E11" s="15">
        <f>COUNTIFS('Chart Database'!$B$6:$B$4005,"E/M",'Chart Database'!$H$6:$H$4005,"&gt;="&amp;$A11,'Chart Database'!$H$6:$H$4005,"&lt;"&amp;EDATE($A11,1))</f>
        <v/>
      </c>
      <c r="F11" s="15">
        <f>COUNTIFS('Chart Database'!$B$6:$B$4005,"SDS",'Chart Database'!$H$6:$H$4005,"&gt;="&amp;$A11,'Chart Database'!$H$6:$H$4005,"&lt;"&amp;EDATE($A11,1))</f>
        <v/>
      </c>
      <c r="G11" s="15">
        <f>COUNTIFS('Chart Database'!$B$6:$B$4005,"Surgery",'Chart Database'!$H$6:$H$4005,"&gt;="&amp;$A11,'Chart Database'!$H$6:$H$4005,"&lt;"&amp;EDATE($A11,1))</f>
        <v/>
      </c>
      <c r="H11" s="15">
        <f>COUNTIFS('Chart Database'!$B$6:$B$4005,"ED Single Path",'Chart Database'!$H$6:$H$4005,"&gt;="&amp;$A11,'Chart Database'!$H$6:$H$4005,"&lt;"&amp;EDATE($A11,1))</f>
        <v/>
      </c>
      <c r="I11" s="54">
        <f>SUM(B11:H11)</f>
        <v/>
      </c>
      <c r="J11" s="15">
        <f>SUM($I$8:I11)</f>
        <v/>
      </c>
      <c r="K11" s="55">
        <f>IF(I11=0,"no uploads this month","")</f>
        <v/>
      </c>
    </row>
    <row r="12">
      <c r="A12" s="53">
        <f>EDATE($B$5,4)</f>
        <v/>
      </c>
      <c r="B12" s="15">
        <f>COUNTIFS('Chart Database'!$B$6:$B$4005,"IP-DRG",'Chart Database'!$H$6:$H$4005,"&gt;="&amp;$A12,'Chart Database'!$H$6:$H$4005,"&lt;"&amp;EDATE($A12,1))</f>
        <v/>
      </c>
      <c r="C12" s="15">
        <f>COUNTIFS('Chart Database'!$B$6:$B$4005,"ED Facility",'Chart Database'!$H$6:$H$4005,"&gt;="&amp;$A12,'Chart Database'!$H$6:$H$4005,"&lt;"&amp;EDATE($A12,1))</f>
        <v/>
      </c>
      <c r="D12" s="15">
        <f>COUNTIFS('Chart Database'!$B$6:$B$4005,"ED Profee",'Chart Database'!$H$6:$H$4005,"&gt;="&amp;$A12,'Chart Database'!$H$6:$H$4005,"&lt;"&amp;EDATE($A12,1))</f>
        <v/>
      </c>
      <c r="E12" s="15">
        <f>COUNTIFS('Chart Database'!$B$6:$B$4005,"E/M",'Chart Database'!$H$6:$H$4005,"&gt;="&amp;$A12,'Chart Database'!$H$6:$H$4005,"&lt;"&amp;EDATE($A12,1))</f>
        <v/>
      </c>
      <c r="F12" s="15">
        <f>COUNTIFS('Chart Database'!$B$6:$B$4005,"SDS",'Chart Database'!$H$6:$H$4005,"&gt;="&amp;$A12,'Chart Database'!$H$6:$H$4005,"&lt;"&amp;EDATE($A12,1))</f>
        <v/>
      </c>
      <c r="G12" s="15">
        <f>COUNTIFS('Chart Database'!$B$6:$B$4005,"Surgery",'Chart Database'!$H$6:$H$4005,"&gt;="&amp;$A12,'Chart Database'!$H$6:$H$4005,"&lt;"&amp;EDATE($A12,1))</f>
        <v/>
      </c>
      <c r="H12" s="15">
        <f>COUNTIFS('Chart Database'!$B$6:$B$4005,"ED Single Path",'Chart Database'!$H$6:$H$4005,"&gt;="&amp;$A12,'Chart Database'!$H$6:$H$4005,"&lt;"&amp;EDATE($A12,1))</f>
        <v/>
      </c>
      <c r="I12" s="54">
        <f>SUM(B12:H12)</f>
        <v/>
      </c>
      <c r="J12" s="15">
        <f>SUM($I$8:I12)</f>
        <v/>
      </c>
      <c r="K12" s="55">
        <f>IF(I12=0,"no uploads this month","")</f>
        <v/>
      </c>
    </row>
    <row r="13">
      <c r="A13" s="53">
        <f>EDATE($B$5,5)</f>
        <v/>
      </c>
      <c r="B13" s="15">
        <f>COUNTIFS('Chart Database'!$B$6:$B$4005,"IP-DRG",'Chart Database'!$H$6:$H$4005,"&gt;="&amp;$A13,'Chart Database'!$H$6:$H$4005,"&lt;"&amp;EDATE($A13,1))</f>
        <v/>
      </c>
      <c r="C13" s="15">
        <f>COUNTIFS('Chart Database'!$B$6:$B$4005,"ED Facility",'Chart Database'!$H$6:$H$4005,"&gt;="&amp;$A13,'Chart Database'!$H$6:$H$4005,"&lt;"&amp;EDATE($A13,1))</f>
        <v/>
      </c>
      <c r="D13" s="15">
        <f>COUNTIFS('Chart Database'!$B$6:$B$4005,"ED Profee",'Chart Database'!$H$6:$H$4005,"&gt;="&amp;$A13,'Chart Database'!$H$6:$H$4005,"&lt;"&amp;EDATE($A13,1))</f>
        <v/>
      </c>
      <c r="E13" s="15">
        <f>COUNTIFS('Chart Database'!$B$6:$B$4005,"E/M",'Chart Database'!$H$6:$H$4005,"&gt;="&amp;$A13,'Chart Database'!$H$6:$H$4005,"&lt;"&amp;EDATE($A13,1))</f>
        <v/>
      </c>
      <c r="F13" s="15">
        <f>COUNTIFS('Chart Database'!$B$6:$B$4005,"SDS",'Chart Database'!$H$6:$H$4005,"&gt;="&amp;$A13,'Chart Database'!$H$6:$H$4005,"&lt;"&amp;EDATE($A13,1))</f>
        <v/>
      </c>
      <c r="G13" s="15">
        <f>COUNTIFS('Chart Database'!$B$6:$B$4005,"Surgery",'Chart Database'!$H$6:$H$4005,"&gt;="&amp;$A13,'Chart Database'!$H$6:$H$4005,"&lt;"&amp;EDATE($A13,1))</f>
        <v/>
      </c>
      <c r="H13" s="15">
        <f>COUNTIFS('Chart Database'!$B$6:$B$4005,"ED Single Path",'Chart Database'!$H$6:$H$4005,"&gt;="&amp;$A13,'Chart Database'!$H$6:$H$4005,"&lt;"&amp;EDATE($A13,1))</f>
        <v/>
      </c>
      <c r="I13" s="54">
        <f>SUM(B13:H13)</f>
        <v/>
      </c>
      <c r="J13" s="15">
        <f>SUM($I$8:I13)</f>
        <v/>
      </c>
      <c r="K13" s="55">
        <f>IF(I13=0,"no uploads this month","")</f>
        <v/>
      </c>
    </row>
    <row r="14">
      <c r="A14" s="53">
        <f>EDATE($B$5,6)</f>
        <v/>
      </c>
      <c r="B14" s="15">
        <f>COUNTIFS('Chart Database'!$B$6:$B$4005,"IP-DRG",'Chart Database'!$H$6:$H$4005,"&gt;="&amp;$A14,'Chart Database'!$H$6:$H$4005,"&lt;"&amp;EDATE($A14,1))</f>
        <v/>
      </c>
      <c r="C14" s="15">
        <f>COUNTIFS('Chart Database'!$B$6:$B$4005,"ED Facility",'Chart Database'!$H$6:$H$4005,"&gt;="&amp;$A14,'Chart Database'!$H$6:$H$4005,"&lt;"&amp;EDATE($A14,1))</f>
        <v/>
      </c>
      <c r="D14" s="15">
        <f>COUNTIFS('Chart Database'!$B$6:$B$4005,"ED Profee",'Chart Database'!$H$6:$H$4005,"&gt;="&amp;$A14,'Chart Database'!$H$6:$H$4005,"&lt;"&amp;EDATE($A14,1))</f>
        <v/>
      </c>
      <c r="E14" s="15">
        <f>COUNTIFS('Chart Database'!$B$6:$B$4005,"E/M",'Chart Database'!$H$6:$H$4005,"&gt;="&amp;$A14,'Chart Database'!$H$6:$H$4005,"&lt;"&amp;EDATE($A14,1))</f>
        <v/>
      </c>
      <c r="F14" s="15">
        <f>COUNTIFS('Chart Database'!$B$6:$B$4005,"SDS",'Chart Database'!$H$6:$H$4005,"&gt;="&amp;$A14,'Chart Database'!$H$6:$H$4005,"&lt;"&amp;EDATE($A14,1))</f>
        <v/>
      </c>
      <c r="G14" s="15">
        <f>COUNTIFS('Chart Database'!$B$6:$B$4005,"Surgery",'Chart Database'!$H$6:$H$4005,"&gt;="&amp;$A14,'Chart Database'!$H$6:$H$4005,"&lt;"&amp;EDATE($A14,1))</f>
        <v/>
      </c>
      <c r="H14" s="15">
        <f>COUNTIFS('Chart Database'!$B$6:$B$4005,"ED Single Path",'Chart Database'!$H$6:$H$4005,"&gt;="&amp;$A14,'Chart Database'!$H$6:$H$4005,"&lt;"&amp;EDATE($A14,1))</f>
        <v/>
      </c>
      <c r="I14" s="54">
        <f>SUM(B14:H14)</f>
        <v/>
      </c>
      <c r="J14" s="15">
        <f>SUM($I$8:I14)</f>
        <v/>
      </c>
      <c r="K14" s="55">
        <f>IF(I14=0,"no uploads this month","")</f>
        <v/>
      </c>
    </row>
    <row r="15">
      <c r="A15" s="53">
        <f>EDATE($B$5,7)</f>
        <v/>
      </c>
      <c r="B15" s="15">
        <f>COUNTIFS('Chart Database'!$B$6:$B$4005,"IP-DRG",'Chart Database'!$H$6:$H$4005,"&gt;="&amp;$A15,'Chart Database'!$H$6:$H$4005,"&lt;"&amp;EDATE($A15,1))</f>
        <v/>
      </c>
      <c r="C15" s="15">
        <f>COUNTIFS('Chart Database'!$B$6:$B$4005,"ED Facility",'Chart Database'!$H$6:$H$4005,"&gt;="&amp;$A15,'Chart Database'!$H$6:$H$4005,"&lt;"&amp;EDATE($A15,1))</f>
        <v/>
      </c>
      <c r="D15" s="15">
        <f>COUNTIFS('Chart Database'!$B$6:$B$4005,"ED Profee",'Chart Database'!$H$6:$H$4005,"&gt;="&amp;$A15,'Chart Database'!$H$6:$H$4005,"&lt;"&amp;EDATE($A15,1))</f>
        <v/>
      </c>
      <c r="E15" s="15">
        <f>COUNTIFS('Chart Database'!$B$6:$B$4005,"E/M",'Chart Database'!$H$6:$H$4005,"&gt;="&amp;$A15,'Chart Database'!$H$6:$H$4005,"&lt;"&amp;EDATE($A15,1))</f>
        <v/>
      </c>
      <c r="F15" s="15">
        <f>COUNTIFS('Chart Database'!$B$6:$B$4005,"SDS",'Chart Database'!$H$6:$H$4005,"&gt;="&amp;$A15,'Chart Database'!$H$6:$H$4005,"&lt;"&amp;EDATE($A15,1))</f>
        <v/>
      </c>
      <c r="G15" s="15">
        <f>COUNTIFS('Chart Database'!$B$6:$B$4005,"Surgery",'Chart Database'!$H$6:$H$4005,"&gt;="&amp;$A15,'Chart Database'!$H$6:$H$4005,"&lt;"&amp;EDATE($A15,1))</f>
        <v/>
      </c>
      <c r="H15" s="15">
        <f>COUNTIFS('Chart Database'!$B$6:$B$4005,"ED Single Path",'Chart Database'!$H$6:$H$4005,"&gt;="&amp;$A15,'Chart Database'!$H$6:$H$4005,"&lt;"&amp;EDATE($A15,1))</f>
        <v/>
      </c>
      <c r="I15" s="54">
        <f>SUM(B15:H15)</f>
        <v/>
      </c>
      <c r="J15" s="15">
        <f>SUM($I$8:I15)</f>
        <v/>
      </c>
      <c r="K15" s="55">
        <f>IF(I15=0,"no uploads this month","")</f>
        <v/>
      </c>
    </row>
    <row r="16">
      <c r="A16" s="53">
        <f>EDATE($B$5,8)</f>
        <v/>
      </c>
      <c r="B16" s="15">
        <f>COUNTIFS('Chart Database'!$B$6:$B$4005,"IP-DRG",'Chart Database'!$H$6:$H$4005,"&gt;="&amp;$A16,'Chart Database'!$H$6:$H$4005,"&lt;"&amp;EDATE($A16,1))</f>
        <v/>
      </c>
      <c r="C16" s="15">
        <f>COUNTIFS('Chart Database'!$B$6:$B$4005,"ED Facility",'Chart Database'!$H$6:$H$4005,"&gt;="&amp;$A16,'Chart Database'!$H$6:$H$4005,"&lt;"&amp;EDATE($A16,1))</f>
        <v/>
      </c>
      <c r="D16" s="15">
        <f>COUNTIFS('Chart Database'!$B$6:$B$4005,"ED Profee",'Chart Database'!$H$6:$H$4005,"&gt;="&amp;$A16,'Chart Database'!$H$6:$H$4005,"&lt;"&amp;EDATE($A16,1))</f>
        <v/>
      </c>
      <c r="E16" s="15">
        <f>COUNTIFS('Chart Database'!$B$6:$B$4005,"E/M",'Chart Database'!$H$6:$H$4005,"&gt;="&amp;$A16,'Chart Database'!$H$6:$H$4005,"&lt;"&amp;EDATE($A16,1))</f>
        <v/>
      </c>
      <c r="F16" s="15">
        <f>COUNTIFS('Chart Database'!$B$6:$B$4005,"SDS",'Chart Database'!$H$6:$H$4005,"&gt;="&amp;$A16,'Chart Database'!$H$6:$H$4005,"&lt;"&amp;EDATE($A16,1))</f>
        <v/>
      </c>
      <c r="G16" s="15">
        <f>COUNTIFS('Chart Database'!$B$6:$B$4005,"Surgery",'Chart Database'!$H$6:$H$4005,"&gt;="&amp;$A16,'Chart Database'!$H$6:$H$4005,"&lt;"&amp;EDATE($A16,1))</f>
        <v/>
      </c>
      <c r="H16" s="15">
        <f>COUNTIFS('Chart Database'!$B$6:$B$4005,"ED Single Path",'Chart Database'!$H$6:$H$4005,"&gt;="&amp;$A16,'Chart Database'!$H$6:$H$4005,"&lt;"&amp;EDATE($A16,1))</f>
        <v/>
      </c>
      <c r="I16" s="54">
        <f>SUM(B16:H16)</f>
        <v/>
      </c>
      <c r="J16" s="15">
        <f>SUM($I$8:I16)</f>
        <v/>
      </c>
      <c r="K16" s="55">
        <f>IF(I16=0,"no uploads this month","")</f>
        <v/>
      </c>
    </row>
    <row r="17">
      <c r="A17" s="53">
        <f>EDATE($B$5,9)</f>
        <v/>
      </c>
      <c r="B17" s="15">
        <f>COUNTIFS('Chart Database'!$B$6:$B$4005,"IP-DRG",'Chart Database'!$H$6:$H$4005,"&gt;="&amp;$A17,'Chart Database'!$H$6:$H$4005,"&lt;"&amp;EDATE($A17,1))</f>
        <v/>
      </c>
      <c r="C17" s="15">
        <f>COUNTIFS('Chart Database'!$B$6:$B$4005,"ED Facility",'Chart Database'!$H$6:$H$4005,"&gt;="&amp;$A17,'Chart Database'!$H$6:$H$4005,"&lt;"&amp;EDATE($A17,1))</f>
        <v/>
      </c>
      <c r="D17" s="15">
        <f>COUNTIFS('Chart Database'!$B$6:$B$4005,"ED Profee",'Chart Database'!$H$6:$H$4005,"&gt;="&amp;$A17,'Chart Database'!$H$6:$H$4005,"&lt;"&amp;EDATE($A17,1))</f>
        <v/>
      </c>
      <c r="E17" s="15">
        <f>COUNTIFS('Chart Database'!$B$6:$B$4005,"E/M",'Chart Database'!$H$6:$H$4005,"&gt;="&amp;$A17,'Chart Database'!$H$6:$H$4005,"&lt;"&amp;EDATE($A17,1))</f>
        <v/>
      </c>
      <c r="F17" s="15">
        <f>COUNTIFS('Chart Database'!$B$6:$B$4005,"SDS",'Chart Database'!$H$6:$H$4005,"&gt;="&amp;$A17,'Chart Database'!$H$6:$H$4005,"&lt;"&amp;EDATE($A17,1))</f>
        <v/>
      </c>
      <c r="G17" s="15">
        <f>COUNTIFS('Chart Database'!$B$6:$B$4005,"Surgery",'Chart Database'!$H$6:$H$4005,"&gt;="&amp;$A17,'Chart Database'!$H$6:$H$4005,"&lt;"&amp;EDATE($A17,1))</f>
        <v/>
      </c>
      <c r="H17" s="15">
        <f>COUNTIFS('Chart Database'!$B$6:$B$4005,"ED Single Path",'Chart Database'!$H$6:$H$4005,"&gt;="&amp;$A17,'Chart Database'!$H$6:$H$4005,"&lt;"&amp;EDATE($A17,1))</f>
        <v/>
      </c>
      <c r="I17" s="54">
        <f>SUM(B17:H17)</f>
        <v/>
      </c>
      <c r="J17" s="15">
        <f>SUM($I$8:I17)</f>
        <v/>
      </c>
      <c r="K17" s="55">
        <f>IF(I17=0,"no uploads this month","")</f>
        <v/>
      </c>
    </row>
    <row r="18">
      <c r="A18" s="53">
        <f>EDATE($B$5,10)</f>
        <v/>
      </c>
      <c r="B18" s="15">
        <f>COUNTIFS('Chart Database'!$B$6:$B$4005,"IP-DRG",'Chart Database'!$H$6:$H$4005,"&gt;="&amp;$A18,'Chart Database'!$H$6:$H$4005,"&lt;"&amp;EDATE($A18,1))</f>
        <v/>
      </c>
      <c r="C18" s="15">
        <f>COUNTIFS('Chart Database'!$B$6:$B$4005,"ED Facility",'Chart Database'!$H$6:$H$4005,"&gt;="&amp;$A18,'Chart Database'!$H$6:$H$4005,"&lt;"&amp;EDATE($A18,1))</f>
        <v/>
      </c>
      <c r="D18" s="15">
        <f>COUNTIFS('Chart Database'!$B$6:$B$4005,"ED Profee",'Chart Database'!$H$6:$H$4005,"&gt;="&amp;$A18,'Chart Database'!$H$6:$H$4005,"&lt;"&amp;EDATE($A18,1))</f>
        <v/>
      </c>
      <c r="E18" s="15">
        <f>COUNTIFS('Chart Database'!$B$6:$B$4005,"E/M",'Chart Database'!$H$6:$H$4005,"&gt;="&amp;$A18,'Chart Database'!$H$6:$H$4005,"&lt;"&amp;EDATE($A18,1))</f>
        <v/>
      </c>
      <c r="F18" s="15">
        <f>COUNTIFS('Chart Database'!$B$6:$B$4005,"SDS",'Chart Database'!$H$6:$H$4005,"&gt;="&amp;$A18,'Chart Database'!$H$6:$H$4005,"&lt;"&amp;EDATE($A18,1))</f>
        <v/>
      </c>
      <c r="G18" s="15">
        <f>COUNTIFS('Chart Database'!$B$6:$B$4005,"Surgery",'Chart Database'!$H$6:$H$4005,"&gt;="&amp;$A18,'Chart Database'!$H$6:$H$4005,"&lt;"&amp;EDATE($A18,1))</f>
        <v/>
      </c>
      <c r="H18" s="15">
        <f>COUNTIFS('Chart Database'!$B$6:$B$4005,"ED Single Path",'Chart Database'!$H$6:$H$4005,"&gt;="&amp;$A18,'Chart Database'!$H$6:$H$4005,"&lt;"&amp;EDATE($A18,1))</f>
        <v/>
      </c>
      <c r="I18" s="54">
        <f>SUM(B18:H18)</f>
        <v/>
      </c>
      <c r="J18" s="15">
        <f>SUM($I$8:I18)</f>
        <v/>
      </c>
      <c r="K18" s="55">
        <f>IF(I18=0,"no uploads this month","")</f>
        <v/>
      </c>
    </row>
    <row r="19">
      <c r="A19" s="53">
        <f>EDATE($B$5,11)</f>
        <v/>
      </c>
      <c r="B19" s="15">
        <f>COUNTIFS('Chart Database'!$B$6:$B$4005,"IP-DRG",'Chart Database'!$H$6:$H$4005,"&gt;="&amp;$A19,'Chart Database'!$H$6:$H$4005,"&lt;"&amp;EDATE($A19,1))</f>
        <v/>
      </c>
      <c r="C19" s="15">
        <f>COUNTIFS('Chart Database'!$B$6:$B$4005,"ED Facility",'Chart Database'!$H$6:$H$4005,"&gt;="&amp;$A19,'Chart Database'!$H$6:$H$4005,"&lt;"&amp;EDATE($A19,1))</f>
        <v/>
      </c>
      <c r="D19" s="15">
        <f>COUNTIFS('Chart Database'!$B$6:$B$4005,"ED Profee",'Chart Database'!$H$6:$H$4005,"&gt;="&amp;$A19,'Chart Database'!$H$6:$H$4005,"&lt;"&amp;EDATE($A19,1))</f>
        <v/>
      </c>
      <c r="E19" s="15">
        <f>COUNTIFS('Chart Database'!$B$6:$B$4005,"E/M",'Chart Database'!$H$6:$H$4005,"&gt;="&amp;$A19,'Chart Database'!$H$6:$H$4005,"&lt;"&amp;EDATE($A19,1))</f>
        <v/>
      </c>
      <c r="F19" s="15">
        <f>COUNTIFS('Chart Database'!$B$6:$B$4005,"SDS",'Chart Database'!$H$6:$H$4005,"&gt;="&amp;$A19,'Chart Database'!$H$6:$H$4005,"&lt;"&amp;EDATE($A19,1))</f>
        <v/>
      </c>
      <c r="G19" s="15">
        <f>COUNTIFS('Chart Database'!$B$6:$B$4005,"Surgery",'Chart Database'!$H$6:$H$4005,"&gt;="&amp;$A19,'Chart Database'!$H$6:$H$4005,"&lt;"&amp;EDATE($A19,1))</f>
        <v/>
      </c>
      <c r="H19" s="15">
        <f>COUNTIFS('Chart Database'!$B$6:$B$4005,"ED Single Path",'Chart Database'!$H$6:$H$4005,"&gt;="&amp;$A19,'Chart Database'!$H$6:$H$4005,"&lt;"&amp;EDATE($A19,1))</f>
        <v/>
      </c>
      <c r="I19" s="54">
        <f>SUM(B19:H19)</f>
        <v/>
      </c>
      <c r="J19" s="15">
        <f>SUM($I$8:I19)</f>
        <v/>
      </c>
      <c r="K19" s="55">
        <f>IF(I19=0,"no uploads this month","")</f>
        <v/>
      </c>
    </row>
    <row r="20">
      <c r="A20" s="53">
        <f>EDATE($B$5,12)</f>
        <v/>
      </c>
      <c r="B20" s="15">
        <f>COUNTIFS('Chart Database'!$B$6:$B$4005,"IP-DRG",'Chart Database'!$H$6:$H$4005,"&gt;="&amp;$A20,'Chart Database'!$H$6:$H$4005,"&lt;"&amp;EDATE($A20,1))</f>
        <v/>
      </c>
      <c r="C20" s="15">
        <f>COUNTIFS('Chart Database'!$B$6:$B$4005,"ED Facility",'Chart Database'!$H$6:$H$4005,"&gt;="&amp;$A20,'Chart Database'!$H$6:$H$4005,"&lt;"&amp;EDATE($A20,1))</f>
        <v/>
      </c>
      <c r="D20" s="15">
        <f>COUNTIFS('Chart Database'!$B$6:$B$4005,"ED Profee",'Chart Database'!$H$6:$H$4005,"&gt;="&amp;$A20,'Chart Database'!$H$6:$H$4005,"&lt;"&amp;EDATE($A20,1))</f>
        <v/>
      </c>
      <c r="E20" s="15">
        <f>COUNTIFS('Chart Database'!$B$6:$B$4005,"E/M",'Chart Database'!$H$6:$H$4005,"&gt;="&amp;$A20,'Chart Database'!$H$6:$H$4005,"&lt;"&amp;EDATE($A20,1))</f>
        <v/>
      </c>
      <c r="F20" s="15">
        <f>COUNTIFS('Chart Database'!$B$6:$B$4005,"SDS",'Chart Database'!$H$6:$H$4005,"&gt;="&amp;$A20,'Chart Database'!$H$6:$H$4005,"&lt;"&amp;EDATE($A20,1))</f>
        <v/>
      </c>
      <c r="G20" s="15">
        <f>COUNTIFS('Chart Database'!$B$6:$B$4005,"Surgery",'Chart Database'!$H$6:$H$4005,"&gt;="&amp;$A20,'Chart Database'!$H$6:$H$4005,"&lt;"&amp;EDATE($A20,1))</f>
        <v/>
      </c>
      <c r="H20" s="15">
        <f>COUNTIFS('Chart Database'!$B$6:$B$4005,"ED Single Path",'Chart Database'!$H$6:$H$4005,"&gt;="&amp;$A20,'Chart Database'!$H$6:$H$4005,"&lt;"&amp;EDATE($A20,1))</f>
        <v/>
      </c>
      <c r="I20" s="54">
        <f>SUM(B20:H20)</f>
        <v/>
      </c>
      <c r="J20" s="15">
        <f>SUM($I$8:I20)</f>
        <v/>
      </c>
      <c r="K20" s="55">
        <f>IF(I20=0,"no uploads this month","")</f>
        <v/>
      </c>
    </row>
    <row r="21">
      <c r="A21" s="53">
        <f>EDATE($B$5,13)</f>
        <v/>
      </c>
      <c r="B21" s="15">
        <f>COUNTIFS('Chart Database'!$B$6:$B$4005,"IP-DRG",'Chart Database'!$H$6:$H$4005,"&gt;="&amp;$A21,'Chart Database'!$H$6:$H$4005,"&lt;"&amp;EDATE($A21,1))</f>
        <v/>
      </c>
      <c r="C21" s="15">
        <f>COUNTIFS('Chart Database'!$B$6:$B$4005,"ED Facility",'Chart Database'!$H$6:$H$4005,"&gt;="&amp;$A21,'Chart Database'!$H$6:$H$4005,"&lt;"&amp;EDATE($A21,1))</f>
        <v/>
      </c>
      <c r="D21" s="15">
        <f>COUNTIFS('Chart Database'!$B$6:$B$4005,"ED Profee",'Chart Database'!$H$6:$H$4005,"&gt;="&amp;$A21,'Chart Database'!$H$6:$H$4005,"&lt;"&amp;EDATE($A21,1))</f>
        <v/>
      </c>
      <c r="E21" s="15">
        <f>COUNTIFS('Chart Database'!$B$6:$B$4005,"E/M",'Chart Database'!$H$6:$H$4005,"&gt;="&amp;$A21,'Chart Database'!$H$6:$H$4005,"&lt;"&amp;EDATE($A21,1))</f>
        <v/>
      </c>
      <c r="F21" s="15">
        <f>COUNTIFS('Chart Database'!$B$6:$B$4005,"SDS",'Chart Database'!$H$6:$H$4005,"&gt;="&amp;$A21,'Chart Database'!$H$6:$H$4005,"&lt;"&amp;EDATE($A21,1))</f>
        <v/>
      </c>
      <c r="G21" s="15">
        <f>COUNTIFS('Chart Database'!$B$6:$B$4005,"Surgery",'Chart Database'!$H$6:$H$4005,"&gt;="&amp;$A21,'Chart Database'!$H$6:$H$4005,"&lt;"&amp;EDATE($A21,1))</f>
        <v/>
      </c>
      <c r="H21" s="15">
        <f>COUNTIFS('Chart Database'!$B$6:$B$4005,"ED Single Path",'Chart Database'!$H$6:$H$4005,"&gt;="&amp;$A21,'Chart Database'!$H$6:$H$4005,"&lt;"&amp;EDATE($A21,1))</f>
        <v/>
      </c>
      <c r="I21" s="54">
        <f>SUM(B21:H21)</f>
        <v/>
      </c>
      <c r="J21" s="15">
        <f>SUM($I$8:I21)</f>
        <v/>
      </c>
      <c r="K21" s="55">
        <f>IF(I21=0,"no uploads this month","")</f>
        <v/>
      </c>
    </row>
    <row r="22">
      <c r="A22" s="53">
        <f>EDATE($B$5,14)</f>
        <v/>
      </c>
      <c r="B22" s="15">
        <f>COUNTIFS('Chart Database'!$B$6:$B$4005,"IP-DRG",'Chart Database'!$H$6:$H$4005,"&gt;="&amp;$A22,'Chart Database'!$H$6:$H$4005,"&lt;"&amp;EDATE($A22,1))</f>
        <v/>
      </c>
      <c r="C22" s="15">
        <f>COUNTIFS('Chart Database'!$B$6:$B$4005,"ED Facility",'Chart Database'!$H$6:$H$4005,"&gt;="&amp;$A22,'Chart Database'!$H$6:$H$4005,"&lt;"&amp;EDATE($A22,1))</f>
        <v/>
      </c>
      <c r="D22" s="15">
        <f>COUNTIFS('Chart Database'!$B$6:$B$4005,"ED Profee",'Chart Database'!$H$6:$H$4005,"&gt;="&amp;$A22,'Chart Database'!$H$6:$H$4005,"&lt;"&amp;EDATE($A22,1))</f>
        <v/>
      </c>
      <c r="E22" s="15">
        <f>COUNTIFS('Chart Database'!$B$6:$B$4005,"E/M",'Chart Database'!$H$6:$H$4005,"&gt;="&amp;$A22,'Chart Database'!$H$6:$H$4005,"&lt;"&amp;EDATE($A22,1))</f>
        <v/>
      </c>
      <c r="F22" s="15">
        <f>COUNTIFS('Chart Database'!$B$6:$B$4005,"SDS",'Chart Database'!$H$6:$H$4005,"&gt;="&amp;$A22,'Chart Database'!$H$6:$H$4005,"&lt;"&amp;EDATE($A22,1))</f>
        <v/>
      </c>
      <c r="G22" s="15">
        <f>COUNTIFS('Chart Database'!$B$6:$B$4005,"Surgery",'Chart Database'!$H$6:$H$4005,"&gt;="&amp;$A22,'Chart Database'!$H$6:$H$4005,"&lt;"&amp;EDATE($A22,1))</f>
        <v/>
      </c>
      <c r="H22" s="15">
        <f>COUNTIFS('Chart Database'!$B$6:$B$4005,"ED Single Path",'Chart Database'!$H$6:$H$4005,"&gt;="&amp;$A22,'Chart Database'!$H$6:$H$4005,"&lt;"&amp;EDATE($A22,1))</f>
        <v/>
      </c>
      <c r="I22" s="54">
        <f>SUM(B22:H22)</f>
        <v/>
      </c>
      <c r="J22" s="15">
        <f>SUM($I$8:I22)</f>
        <v/>
      </c>
      <c r="K22" s="55">
        <f>IF(I22=0,"no uploads this month","")</f>
        <v/>
      </c>
    </row>
    <row r="23">
      <c r="A23" s="53">
        <f>EDATE($B$5,15)</f>
        <v/>
      </c>
      <c r="B23" s="15">
        <f>COUNTIFS('Chart Database'!$B$6:$B$4005,"IP-DRG",'Chart Database'!$H$6:$H$4005,"&gt;="&amp;$A23,'Chart Database'!$H$6:$H$4005,"&lt;"&amp;EDATE($A23,1))</f>
        <v/>
      </c>
      <c r="C23" s="15">
        <f>COUNTIFS('Chart Database'!$B$6:$B$4005,"ED Facility",'Chart Database'!$H$6:$H$4005,"&gt;="&amp;$A23,'Chart Database'!$H$6:$H$4005,"&lt;"&amp;EDATE($A23,1))</f>
        <v/>
      </c>
      <c r="D23" s="15">
        <f>COUNTIFS('Chart Database'!$B$6:$B$4005,"ED Profee",'Chart Database'!$H$6:$H$4005,"&gt;="&amp;$A23,'Chart Database'!$H$6:$H$4005,"&lt;"&amp;EDATE($A23,1))</f>
        <v/>
      </c>
      <c r="E23" s="15">
        <f>COUNTIFS('Chart Database'!$B$6:$B$4005,"E/M",'Chart Database'!$H$6:$H$4005,"&gt;="&amp;$A23,'Chart Database'!$H$6:$H$4005,"&lt;"&amp;EDATE($A23,1))</f>
        <v/>
      </c>
      <c r="F23" s="15">
        <f>COUNTIFS('Chart Database'!$B$6:$B$4005,"SDS",'Chart Database'!$H$6:$H$4005,"&gt;="&amp;$A23,'Chart Database'!$H$6:$H$4005,"&lt;"&amp;EDATE($A23,1))</f>
        <v/>
      </c>
      <c r="G23" s="15">
        <f>COUNTIFS('Chart Database'!$B$6:$B$4005,"Surgery",'Chart Database'!$H$6:$H$4005,"&gt;="&amp;$A23,'Chart Database'!$H$6:$H$4005,"&lt;"&amp;EDATE($A23,1))</f>
        <v/>
      </c>
      <c r="H23" s="15">
        <f>COUNTIFS('Chart Database'!$B$6:$B$4005,"ED Single Path",'Chart Database'!$H$6:$H$4005,"&gt;="&amp;$A23,'Chart Database'!$H$6:$H$4005,"&lt;"&amp;EDATE($A23,1))</f>
        <v/>
      </c>
      <c r="I23" s="54">
        <f>SUM(B23:H23)</f>
        <v/>
      </c>
      <c r="J23" s="15">
        <f>SUM($I$8:I23)</f>
        <v/>
      </c>
      <c r="K23" s="55">
        <f>IF(I23=0,"no uploads this month","")</f>
        <v/>
      </c>
    </row>
    <row r="24">
      <c r="A24" s="53">
        <f>EDATE($B$5,16)</f>
        <v/>
      </c>
      <c r="B24" s="15">
        <f>COUNTIFS('Chart Database'!$B$6:$B$4005,"IP-DRG",'Chart Database'!$H$6:$H$4005,"&gt;="&amp;$A24,'Chart Database'!$H$6:$H$4005,"&lt;"&amp;EDATE($A24,1))</f>
        <v/>
      </c>
      <c r="C24" s="15">
        <f>COUNTIFS('Chart Database'!$B$6:$B$4005,"ED Facility",'Chart Database'!$H$6:$H$4005,"&gt;="&amp;$A24,'Chart Database'!$H$6:$H$4005,"&lt;"&amp;EDATE($A24,1))</f>
        <v/>
      </c>
      <c r="D24" s="15">
        <f>COUNTIFS('Chart Database'!$B$6:$B$4005,"ED Profee",'Chart Database'!$H$6:$H$4005,"&gt;="&amp;$A24,'Chart Database'!$H$6:$H$4005,"&lt;"&amp;EDATE($A24,1))</f>
        <v/>
      </c>
      <c r="E24" s="15">
        <f>COUNTIFS('Chart Database'!$B$6:$B$4005,"E/M",'Chart Database'!$H$6:$H$4005,"&gt;="&amp;$A24,'Chart Database'!$H$6:$H$4005,"&lt;"&amp;EDATE($A24,1))</f>
        <v/>
      </c>
      <c r="F24" s="15">
        <f>COUNTIFS('Chart Database'!$B$6:$B$4005,"SDS",'Chart Database'!$H$6:$H$4005,"&gt;="&amp;$A24,'Chart Database'!$H$6:$H$4005,"&lt;"&amp;EDATE($A24,1))</f>
        <v/>
      </c>
      <c r="G24" s="15">
        <f>COUNTIFS('Chart Database'!$B$6:$B$4005,"Surgery",'Chart Database'!$H$6:$H$4005,"&gt;="&amp;$A24,'Chart Database'!$H$6:$H$4005,"&lt;"&amp;EDATE($A24,1))</f>
        <v/>
      </c>
      <c r="H24" s="15">
        <f>COUNTIFS('Chart Database'!$B$6:$B$4005,"ED Single Path",'Chart Database'!$H$6:$H$4005,"&gt;="&amp;$A24,'Chart Database'!$H$6:$H$4005,"&lt;"&amp;EDATE($A24,1))</f>
        <v/>
      </c>
      <c r="I24" s="54">
        <f>SUM(B24:H24)</f>
        <v/>
      </c>
      <c r="J24" s="15">
        <f>SUM($I$8:I24)</f>
        <v/>
      </c>
      <c r="K24" s="55">
        <f>IF(I24=0,"no uploads this month","")</f>
        <v/>
      </c>
    </row>
    <row r="25">
      <c r="A25" s="53">
        <f>EDATE($B$5,17)</f>
        <v/>
      </c>
      <c r="B25" s="15">
        <f>COUNTIFS('Chart Database'!$B$6:$B$4005,"IP-DRG",'Chart Database'!$H$6:$H$4005,"&gt;="&amp;$A25,'Chart Database'!$H$6:$H$4005,"&lt;"&amp;EDATE($A25,1))</f>
        <v/>
      </c>
      <c r="C25" s="15">
        <f>COUNTIFS('Chart Database'!$B$6:$B$4005,"ED Facility",'Chart Database'!$H$6:$H$4005,"&gt;="&amp;$A25,'Chart Database'!$H$6:$H$4005,"&lt;"&amp;EDATE($A25,1))</f>
        <v/>
      </c>
      <c r="D25" s="15">
        <f>COUNTIFS('Chart Database'!$B$6:$B$4005,"ED Profee",'Chart Database'!$H$6:$H$4005,"&gt;="&amp;$A25,'Chart Database'!$H$6:$H$4005,"&lt;"&amp;EDATE($A25,1))</f>
        <v/>
      </c>
      <c r="E25" s="15">
        <f>COUNTIFS('Chart Database'!$B$6:$B$4005,"E/M",'Chart Database'!$H$6:$H$4005,"&gt;="&amp;$A25,'Chart Database'!$H$6:$H$4005,"&lt;"&amp;EDATE($A25,1))</f>
        <v/>
      </c>
      <c r="F25" s="15">
        <f>COUNTIFS('Chart Database'!$B$6:$B$4005,"SDS",'Chart Database'!$H$6:$H$4005,"&gt;="&amp;$A25,'Chart Database'!$H$6:$H$4005,"&lt;"&amp;EDATE($A25,1))</f>
        <v/>
      </c>
      <c r="G25" s="15">
        <f>COUNTIFS('Chart Database'!$B$6:$B$4005,"Surgery",'Chart Database'!$H$6:$H$4005,"&gt;="&amp;$A25,'Chart Database'!$H$6:$H$4005,"&lt;"&amp;EDATE($A25,1))</f>
        <v/>
      </c>
      <c r="H25" s="15">
        <f>COUNTIFS('Chart Database'!$B$6:$B$4005,"ED Single Path",'Chart Database'!$H$6:$H$4005,"&gt;="&amp;$A25,'Chart Database'!$H$6:$H$4005,"&lt;"&amp;EDATE($A25,1))</f>
        <v/>
      </c>
      <c r="I25" s="54">
        <f>SUM(B25:H25)</f>
        <v/>
      </c>
      <c r="J25" s="15">
        <f>SUM($I$8:I25)</f>
        <v/>
      </c>
      <c r="K25" s="55">
        <f>IF(I25=0,"no uploads this month","")</f>
        <v/>
      </c>
    </row>
    <row r="26">
      <c r="A26" s="53">
        <f>EDATE($B$5,18)</f>
        <v/>
      </c>
      <c r="B26" s="15">
        <f>COUNTIFS('Chart Database'!$B$6:$B$4005,"IP-DRG",'Chart Database'!$H$6:$H$4005,"&gt;="&amp;$A26,'Chart Database'!$H$6:$H$4005,"&lt;"&amp;EDATE($A26,1))</f>
        <v/>
      </c>
      <c r="C26" s="15">
        <f>COUNTIFS('Chart Database'!$B$6:$B$4005,"ED Facility",'Chart Database'!$H$6:$H$4005,"&gt;="&amp;$A26,'Chart Database'!$H$6:$H$4005,"&lt;"&amp;EDATE($A26,1))</f>
        <v/>
      </c>
      <c r="D26" s="15">
        <f>COUNTIFS('Chart Database'!$B$6:$B$4005,"ED Profee",'Chart Database'!$H$6:$H$4005,"&gt;="&amp;$A26,'Chart Database'!$H$6:$H$4005,"&lt;"&amp;EDATE($A26,1))</f>
        <v/>
      </c>
      <c r="E26" s="15">
        <f>COUNTIFS('Chart Database'!$B$6:$B$4005,"E/M",'Chart Database'!$H$6:$H$4005,"&gt;="&amp;$A26,'Chart Database'!$H$6:$H$4005,"&lt;"&amp;EDATE($A26,1))</f>
        <v/>
      </c>
      <c r="F26" s="15">
        <f>COUNTIFS('Chart Database'!$B$6:$B$4005,"SDS",'Chart Database'!$H$6:$H$4005,"&gt;="&amp;$A26,'Chart Database'!$H$6:$H$4005,"&lt;"&amp;EDATE($A26,1))</f>
        <v/>
      </c>
      <c r="G26" s="15">
        <f>COUNTIFS('Chart Database'!$B$6:$B$4005,"Surgery",'Chart Database'!$H$6:$H$4005,"&gt;="&amp;$A26,'Chart Database'!$H$6:$H$4005,"&lt;"&amp;EDATE($A26,1))</f>
        <v/>
      </c>
      <c r="H26" s="15">
        <f>COUNTIFS('Chart Database'!$B$6:$B$4005,"ED Single Path",'Chart Database'!$H$6:$H$4005,"&gt;="&amp;$A26,'Chart Database'!$H$6:$H$4005,"&lt;"&amp;EDATE($A26,1))</f>
        <v/>
      </c>
      <c r="I26" s="54">
        <f>SUM(B26:H26)</f>
        <v/>
      </c>
      <c r="J26" s="15">
        <f>SUM($I$8:I26)</f>
        <v/>
      </c>
      <c r="K26" s="55">
        <f>IF(I26=0,"no uploads this month","")</f>
        <v/>
      </c>
    </row>
    <row r="27">
      <c r="A27" s="53">
        <f>EDATE($B$5,19)</f>
        <v/>
      </c>
      <c r="B27" s="15">
        <f>COUNTIFS('Chart Database'!$B$6:$B$4005,"IP-DRG",'Chart Database'!$H$6:$H$4005,"&gt;="&amp;$A27,'Chart Database'!$H$6:$H$4005,"&lt;"&amp;EDATE($A27,1))</f>
        <v/>
      </c>
      <c r="C27" s="15">
        <f>COUNTIFS('Chart Database'!$B$6:$B$4005,"ED Facility",'Chart Database'!$H$6:$H$4005,"&gt;="&amp;$A27,'Chart Database'!$H$6:$H$4005,"&lt;"&amp;EDATE($A27,1))</f>
        <v/>
      </c>
      <c r="D27" s="15">
        <f>COUNTIFS('Chart Database'!$B$6:$B$4005,"ED Profee",'Chart Database'!$H$6:$H$4005,"&gt;="&amp;$A27,'Chart Database'!$H$6:$H$4005,"&lt;"&amp;EDATE($A27,1))</f>
        <v/>
      </c>
      <c r="E27" s="15">
        <f>COUNTIFS('Chart Database'!$B$6:$B$4005,"E/M",'Chart Database'!$H$6:$H$4005,"&gt;="&amp;$A27,'Chart Database'!$H$6:$H$4005,"&lt;"&amp;EDATE($A27,1))</f>
        <v/>
      </c>
      <c r="F27" s="15">
        <f>COUNTIFS('Chart Database'!$B$6:$B$4005,"SDS",'Chart Database'!$H$6:$H$4005,"&gt;="&amp;$A27,'Chart Database'!$H$6:$H$4005,"&lt;"&amp;EDATE($A27,1))</f>
        <v/>
      </c>
      <c r="G27" s="15">
        <f>COUNTIFS('Chart Database'!$B$6:$B$4005,"Surgery",'Chart Database'!$H$6:$H$4005,"&gt;="&amp;$A27,'Chart Database'!$H$6:$H$4005,"&lt;"&amp;EDATE($A27,1))</f>
        <v/>
      </c>
      <c r="H27" s="15">
        <f>COUNTIFS('Chart Database'!$B$6:$B$4005,"ED Single Path",'Chart Database'!$H$6:$H$4005,"&gt;="&amp;$A27,'Chart Database'!$H$6:$H$4005,"&lt;"&amp;EDATE($A27,1))</f>
        <v/>
      </c>
      <c r="I27" s="54">
        <f>SUM(B27:H27)</f>
        <v/>
      </c>
      <c r="J27" s="15">
        <f>SUM($I$8:I27)</f>
        <v/>
      </c>
      <c r="K27" s="55">
        <f>IF(I27=0,"no uploads this month","")</f>
        <v/>
      </c>
    </row>
    <row r="28">
      <c r="A28" s="53">
        <f>EDATE($B$5,20)</f>
        <v/>
      </c>
      <c r="B28" s="15">
        <f>COUNTIFS('Chart Database'!$B$6:$B$4005,"IP-DRG",'Chart Database'!$H$6:$H$4005,"&gt;="&amp;$A28,'Chart Database'!$H$6:$H$4005,"&lt;"&amp;EDATE($A28,1))</f>
        <v/>
      </c>
      <c r="C28" s="15">
        <f>COUNTIFS('Chart Database'!$B$6:$B$4005,"ED Facility",'Chart Database'!$H$6:$H$4005,"&gt;="&amp;$A28,'Chart Database'!$H$6:$H$4005,"&lt;"&amp;EDATE($A28,1))</f>
        <v/>
      </c>
      <c r="D28" s="15">
        <f>COUNTIFS('Chart Database'!$B$6:$B$4005,"ED Profee",'Chart Database'!$H$6:$H$4005,"&gt;="&amp;$A28,'Chart Database'!$H$6:$H$4005,"&lt;"&amp;EDATE($A28,1))</f>
        <v/>
      </c>
      <c r="E28" s="15">
        <f>COUNTIFS('Chart Database'!$B$6:$B$4005,"E/M",'Chart Database'!$H$6:$H$4005,"&gt;="&amp;$A28,'Chart Database'!$H$6:$H$4005,"&lt;"&amp;EDATE($A28,1))</f>
        <v/>
      </c>
      <c r="F28" s="15">
        <f>COUNTIFS('Chart Database'!$B$6:$B$4005,"SDS",'Chart Database'!$H$6:$H$4005,"&gt;="&amp;$A28,'Chart Database'!$H$6:$H$4005,"&lt;"&amp;EDATE($A28,1))</f>
        <v/>
      </c>
      <c r="G28" s="15">
        <f>COUNTIFS('Chart Database'!$B$6:$B$4005,"Surgery",'Chart Database'!$H$6:$H$4005,"&gt;="&amp;$A28,'Chart Database'!$H$6:$H$4005,"&lt;"&amp;EDATE($A28,1))</f>
        <v/>
      </c>
      <c r="H28" s="15">
        <f>COUNTIFS('Chart Database'!$B$6:$B$4005,"ED Single Path",'Chart Database'!$H$6:$H$4005,"&gt;="&amp;$A28,'Chart Database'!$H$6:$H$4005,"&lt;"&amp;EDATE($A28,1))</f>
        <v/>
      </c>
      <c r="I28" s="54">
        <f>SUM(B28:H28)</f>
        <v/>
      </c>
      <c r="J28" s="15">
        <f>SUM($I$8:I28)</f>
        <v/>
      </c>
      <c r="K28" s="55">
        <f>IF(I28=0,"no uploads this month","")</f>
        <v/>
      </c>
    </row>
    <row r="29">
      <c r="A29" s="53">
        <f>EDATE($B$5,21)</f>
        <v/>
      </c>
      <c r="B29" s="15">
        <f>COUNTIFS('Chart Database'!$B$6:$B$4005,"IP-DRG",'Chart Database'!$H$6:$H$4005,"&gt;="&amp;$A29,'Chart Database'!$H$6:$H$4005,"&lt;"&amp;EDATE($A29,1))</f>
        <v/>
      </c>
      <c r="C29" s="15">
        <f>COUNTIFS('Chart Database'!$B$6:$B$4005,"ED Facility",'Chart Database'!$H$6:$H$4005,"&gt;="&amp;$A29,'Chart Database'!$H$6:$H$4005,"&lt;"&amp;EDATE($A29,1))</f>
        <v/>
      </c>
      <c r="D29" s="15">
        <f>COUNTIFS('Chart Database'!$B$6:$B$4005,"ED Profee",'Chart Database'!$H$6:$H$4005,"&gt;="&amp;$A29,'Chart Database'!$H$6:$H$4005,"&lt;"&amp;EDATE($A29,1))</f>
        <v/>
      </c>
      <c r="E29" s="15">
        <f>COUNTIFS('Chart Database'!$B$6:$B$4005,"E/M",'Chart Database'!$H$6:$H$4005,"&gt;="&amp;$A29,'Chart Database'!$H$6:$H$4005,"&lt;"&amp;EDATE($A29,1))</f>
        <v/>
      </c>
      <c r="F29" s="15">
        <f>COUNTIFS('Chart Database'!$B$6:$B$4005,"SDS",'Chart Database'!$H$6:$H$4005,"&gt;="&amp;$A29,'Chart Database'!$H$6:$H$4005,"&lt;"&amp;EDATE($A29,1))</f>
        <v/>
      </c>
      <c r="G29" s="15">
        <f>COUNTIFS('Chart Database'!$B$6:$B$4005,"Surgery",'Chart Database'!$H$6:$H$4005,"&gt;="&amp;$A29,'Chart Database'!$H$6:$H$4005,"&lt;"&amp;EDATE($A29,1))</f>
        <v/>
      </c>
      <c r="H29" s="15">
        <f>COUNTIFS('Chart Database'!$B$6:$B$4005,"ED Single Path",'Chart Database'!$H$6:$H$4005,"&gt;="&amp;$A29,'Chart Database'!$H$6:$H$4005,"&lt;"&amp;EDATE($A29,1))</f>
        <v/>
      </c>
      <c r="I29" s="54">
        <f>SUM(B29:H29)</f>
        <v/>
      </c>
      <c r="J29" s="15">
        <f>SUM($I$8:I29)</f>
        <v/>
      </c>
      <c r="K29" s="55">
        <f>IF(I29=0,"no uploads this month","")</f>
        <v/>
      </c>
    </row>
    <row r="30">
      <c r="A30" s="53">
        <f>EDATE($B$5,22)</f>
        <v/>
      </c>
      <c r="B30" s="15">
        <f>COUNTIFS('Chart Database'!$B$6:$B$4005,"IP-DRG",'Chart Database'!$H$6:$H$4005,"&gt;="&amp;$A30,'Chart Database'!$H$6:$H$4005,"&lt;"&amp;EDATE($A30,1))</f>
        <v/>
      </c>
      <c r="C30" s="15">
        <f>COUNTIFS('Chart Database'!$B$6:$B$4005,"ED Facility",'Chart Database'!$H$6:$H$4005,"&gt;="&amp;$A30,'Chart Database'!$H$6:$H$4005,"&lt;"&amp;EDATE($A30,1))</f>
        <v/>
      </c>
      <c r="D30" s="15">
        <f>COUNTIFS('Chart Database'!$B$6:$B$4005,"ED Profee",'Chart Database'!$H$6:$H$4005,"&gt;="&amp;$A30,'Chart Database'!$H$6:$H$4005,"&lt;"&amp;EDATE($A30,1))</f>
        <v/>
      </c>
      <c r="E30" s="15">
        <f>COUNTIFS('Chart Database'!$B$6:$B$4005,"E/M",'Chart Database'!$H$6:$H$4005,"&gt;="&amp;$A30,'Chart Database'!$H$6:$H$4005,"&lt;"&amp;EDATE($A30,1))</f>
        <v/>
      </c>
      <c r="F30" s="15">
        <f>COUNTIFS('Chart Database'!$B$6:$B$4005,"SDS",'Chart Database'!$H$6:$H$4005,"&gt;="&amp;$A30,'Chart Database'!$H$6:$H$4005,"&lt;"&amp;EDATE($A30,1))</f>
        <v/>
      </c>
      <c r="G30" s="15">
        <f>COUNTIFS('Chart Database'!$B$6:$B$4005,"Surgery",'Chart Database'!$H$6:$H$4005,"&gt;="&amp;$A30,'Chart Database'!$H$6:$H$4005,"&lt;"&amp;EDATE($A30,1))</f>
        <v/>
      </c>
      <c r="H30" s="15">
        <f>COUNTIFS('Chart Database'!$B$6:$B$4005,"ED Single Path",'Chart Database'!$H$6:$H$4005,"&gt;="&amp;$A30,'Chart Database'!$H$6:$H$4005,"&lt;"&amp;EDATE($A30,1))</f>
        <v/>
      </c>
      <c r="I30" s="54">
        <f>SUM(B30:H30)</f>
        <v/>
      </c>
      <c r="J30" s="15">
        <f>SUM($I$8:I30)</f>
        <v/>
      </c>
      <c r="K30" s="55">
        <f>IF(I30=0,"no uploads this month","")</f>
        <v/>
      </c>
    </row>
    <row r="31">
      <c r="A31" s="53">
        <f>EDATE($B$5,23)</f>
        <v/>
      </c>
      <c r="B31" s="15">
        <f>COUNTIFS('Chart Database'!$B$6:$B$4005,"IP-DRG",'Chart Database'!$H$6:$H$4005,"&gt;="&amp;$A31,'Chart Database'!$H$6:$H$4005,"&lt;"&amp;EDATE($A31,1))</f>
        <v/>
      </c>
      <c r="C31" s="15">
        <f>COUNTIFS('Chart Database'!$B$6:$B$4005,"ED Facility",'Chart Database'!$H$6:$H$4005,"&gt;="&amp;$A31,'Chart Database'!$H$6:$H$4005,"&lt;"&amp;EDATE($A31,1))</f>
        <v/>
      </c>
      <c r="D31" s="15">
        <f>COUNTIFS('Chart Database'!$B$6:$B$4005,"ED Profee",'Chart Database'!$H$6:$H$4005,"&gt;="&amp;$A31,'Chart Database'!$H$6:$H$4005,"&lt;"&amp;EDATE($A31,1))</f>
        <v/>
      </c>
      <c r="E31" s="15">
        <f>COUNTIFS('Chart Database'!$B$6:$B$4005,"E/M",'Chart Database'!$H$6:$H$4005,"&gt;="&amp;$A31,'Chart Database'!$H$6:$H$4005,"&lt;"&amp;EDATE($A31,1))</f>
        <v/>
      </c>
      <c r="F31" s="15">
        <f>COUNTIFS('Chart Database'!$B$6:$B$4005,"SDS",'Chart Database'!$H$6:$H$4005,"&gt;="&amp;$A31,'Chart Database'!$H$6:$H$4005,"&lt;"&amp;EDATE($A31,1))</f>
        <v/>
      </c>
      <c r="G31" s="15">
        <f>COUNTIFS('Chart Database'!$B$6:$B$4005,"Surgery",'Chart Database'!$H$6:$H$4005,"&gt;="&amp;$A31,'Chart Database'!$H$6:$H$4005,"&lt;"&amp;EDATE($A31,1))</f>
        <v/>
      </c>
      <c r="H31" s="15">
        <f>COUNTIFS('Chart Database'!$B$6:$B$4005,"ED Single Path",'Chart Database'!$H$6:$H$4005,"&gt;="&amp;$A31,'Chart Database'!$H$6:$H$4005,"&lt;"&amp;EDATE($A31,1))</f>
        <v/>
      </c>
      <c r="I31" s="54">
        <f>SUM(B31:H31)</f>
        <v/>
      </c>
      <c r="J31" s="15">
        <f>SUM($I$8:I31)</f>
        <v/>
      </c>
      <c r="K31" s="55">
        <f>IF(I31=0,"no uploads this month","")</f>
        <v/>
      </c>
    </row>
    <row r="32">
      <c r="A32" s="40" t="inlineStr">
        <is>
          <t>TOTAL</t>
        </is>
      </c>
      <c r="B32" s="42">
        <f>SUM(B8:B31)</f>
        <v/>
      </c>
      <c r="C32" s="42">
        <f>SUM(C8:C31)</f>
        <v/>
      </c>
      <c r="D32" s="42">
        <f>SUM(D8:D31)</f>
        <v/>
      </c>
      <c r="E32" s="42">
        <f>SUM(E8:E31)</f>
        <v/>
      </c>
      <c r="F32" s="42">
        <f>SUM(F8:F31)</f>
        <v/>
      </c>
      <c r="G32" s="42">
        <f>SUM(G8:G31)</f>
        <v/>
      </c>
      <c r="H32" s="42">
        <f>SUM(H8:H31)</f>
        <v/>
      </c>
      <c r="I32" s="42">
        <f>SUM(I8:I31)</f>
        <v/>
      </c>
      <c r="J32" s="56" t="n"/>
      <c r="K32" s="56" t="n"/>
    </row>
    <row r="34" ht="26" customHeight="1">
      <c r="A34" s="18" t="inlineStr">
        <is>
          <t>The data bar in the Total column is the build rate. A run of short bars is the refresh falling behind; a spike is usually one trainer clearing a backlog, which is worth knowing before it is read as capacity.</t>
        </is>
      </c>
    </row>
    <row r="35" ht="14" customHeight="1">
      <c r="A35" s="18"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4">
      <formula>MOD(ROW(),2)=0</formula>
    </cfRule>
  </conditionalFormatting>
  <pageMargins left="0.75" right="0.75" top="1" bottom="1" header="0.5" footer="0.5"/>
</worksheet>
</file>

<file path=xl/worksheets/sheet9.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3" t="inlineStr"/>
      <c r="B4" s="13" t="inlineStr">
        <is>
          <t>Last 7
days</t>
        </is>
      </c>
      <c r="C4" s="13" t="inlineStr">
        <is>
          <t>Last 30
days</t>
        </is>
      </c>
      <c r="D4" s="13" t="inlineStr">
        <is>
          <t>Last 90
days</t>
        </is>
      </c>
      <c r="E4" s="13" t="inlineStr">
        <is>
          <t>This
month</t>
        </is>
      </c>
      <c r="F4" s="13" t="inlineStr"/>
      <c r="G4" s="13" t="inlineStr">
        <is>
          <t>Reading</t>
        </is>
      </c>
    </row>
    <row r="5" ht="18" customHeight="1">
      <c r="A5" s="46" t="inlineStr">
        <is>
          <t>Charts uploaded</t>
        </is>
      </c>
      <c r="B5" s="29">
        <f>COUNTIFS('Chart Database'!$H$6:$H$4005,"&gt;="&amp;TODAY()-7,'Chart Database'!$H$6:$H$4005,"&lt;="&amp;TODAY())</f>
        <v/>
      </c>
      <c r="C5" s="29">
        <f>COUNTIFS('Chart Database'!$H$6:$H$4005,"&gt;="&amp;TODAY()-30,'Chart Database'!$H$6:$H$4005,"&lt;="&amp;TODAY())</f>
        <v/>
      </c>
      <c r="D5" s="29">
        <f>COUNTIFS('Chart Database'!$H$6:$H$4005,"&gt;="&amp;TODAY()-90,'Chart Database'!$H$6:$H$4005,"&lt;="&amp;TODAY())</f>
        <v/>
      </c>
      <c r="E5" s="29">
        <f>COUNTIFS('Chart Database'!$H$6:$H$4005,"&gt;="&amp;DATE(YEAR(TODAY()),MONTH(TODAY()),1),'Chart Database'!$H$6:$H$4005,"&lt;="&amp;TODAY())</f>
        <v/>
      </c>
      <c r="G5" s="47" t="inlineStr">
        <is>
          <t>Rows whose created_at falls in the window.</t>
        </is>
      </c>
    </row>
    <row r="6" ht="24" customHeight="1">
      <c r="A6" s="46" t="inlineStr">
        <is>
          <t>of which multi-topic</t>
        </is>
      </c>
      <c r="B6" s="29">
        <f>COUNTIFS('Chart Database'!$H$6:$H$4005,"&gt;="&amp;TODAY()-7,'Chart Database'!$H$6:$H$4005,"&lt;="&amp;TODAY(),'Chart Database'!$J$6:$J$4005,"&gt;=2")</f>
        <v/>
      </c>
      <c r="C6" s="29">
        <f>COUNTIFS('Chart Database'!$H$6:$H$4005,"&gt;="&amp;TODAY()-30,'Chart Database'!$H$6:$H$4005,"&lt;="&amp;TODAY(),'Chart Database'!$J$6:$J$4005,"&gt;=2")</f>
        <v/>
      </c>
      <c r="D6" s="29">
        <f>COUNTIFS('Chart Database'!$H$6:$H$4005,"&gt;="&amp;TODAY()-90,'Chart Database'!$H$6:$H$4005,"&lt;="&amp;TODAY(),'Chart Database'!$J$6:$J$4005,"&gt;=2")</f>
        <v/>
      </c>
      <c r="E6" s="29">
        <f>COUNTIFS('Chart Database'!$H$6:$H$4005,"&gt;="&amp;DATE(YEAR(TODAY()),MONTH(TODAY()),1),'Chart Database'!$H$6:$H$4005,"&lt;="&amp;TODAY(),'Chart Database'!$J$6:$J$4005,"&gt;=2")</f>
        <v/>
      </c>
      <c r="G6" s="47" t="inlineStr">
        <is>
          <t>Carrying more than one category. Those cover more ground per chart.</t>
        </is>
      </c>
    </row>
    <row r="7" ht="24" customHeight="1">
      <c r="A7" s="46" t="inlineStr">
        <is>
          <t>of which no answer key yet</t>
        </is>
      </c>
      <c r="B7" s="29">
        <f>COUNTIFS('Chart Database'!$H$6:$H$4005,"&gt;="&amp;TODAY()-7,'Chart Database'!$H$6:$H$4005,"&lt;="&amp;TODAY(),'Chart Database'!$O$6:$O$4005,"No")</f>
        <v/>
      </c>
      <c r="C7" s="29">
        <f>COUNTIFS('Chart Database'!$H$6:$H$4005,"&gt;="&amp;TODAY()-30,'Chart Database'!$H$6:$H$4005,"&lt;="&amp;TODAY(),'Chart Database'!$O$6:$O$4005,"No")</f>
        <v/>
      </c>
      <c r="D7" s="29">
        <f>COUNTIFS('Chart Database'!$H$6:$H$4005,"&gt;="&amp;TODAY()-90,'Chart Database'!$H$6:$H$4005,"&lt;="&amp;TODAY(),'Chart Database'!$O$6:$O$4005,"No")</f>
        <v/>
      </c>
      <c r="E7" s="29">
        <f>COUNTIFS('Chart Database'!$H$6:$H$4005,"&gt;="&amp;DATE(YEAR(TODAY()),MONTH(TODAY()),1),'Chart Database'!$H$6:$H$4005,"&lt;="&amp;TODAY(),'Chart Database'!$O$6:$O$4005,"No")</f>
        <v/>
      </c>
      <c r="G7" s="47" t="inlineStr">
        <is>
          <t>Uploaded but not gradeable. This is the number that should be falling.</t>
        </is>
      </c>
    </row>
    <row r="8" ht="24" customHeight="1">
      <c r="A8" s="46" t="inlineStr">
        <is>
          <t>Charts retired</t>
        </is>
      </c>
      <c r="B8" s="29">
        <f>COUNTIFS('Chart Database'!$F$6:$F$4005,"Retired",'Chart Database'!$T$6:$T$4005,"&gt;="&amp;TODAY()-7)</f>
        <v/>
      </c>
      <c r="C8" s="29">
        <f>COUNTIFS('Chart Database'!$F$6:$F$4005,"Retired",'Chart Database'!$T$6:$T$4005,"&gt;="&amp;TODAY()-30)</f>
        <v/>
      </c>
      <c r="D8" s="29">
        <f>COUNTIFS('Chart Database'!$F$6:$F$4005,"Retired",'Chart Database'!$T$6:$T$4005,"&gt;="&amp;TODAY()-90)</f>
        <v/>
      </c>
      <c r="E8" s="29">
        <f>""</f>
        <v/>
      </c>
      <c r="G8" s="47" t="inlineStr">
        <is>
          <t>Status set to Retired. Compare against the refresh policy of 10% per cycle.</t>
        </is>
      </c>
    </row>
    <row r="10" ht="20" customHeight="1">
      <c r="A10" s="7" t="inlineStr">
        <is>
          <t xml:space="preserve">  UPLOADS BY TRAINER  —  LAST 90 DAYS</t>
        </is>
      </c>
    </row>
    <row r="11" ht="30" customHeight="1">
      <c r="A11" s="13" t="inlineStr">
        <is>
          <t>uploaded_by</t>
        </is>
      </c>
      <c r="B11" s="13" t="inlineStr">
        <is>
          <t>Charts</t>
        </is>
      </c>
      <c r="C11" s="13" t="inlineStr">
        <is>
          <t>Multi-topic</t>
        </is>
      </c>
      <c r="D11" s="13" t="inlineStr">
        <is>
          <t>No key</t>
        </is>
      </c>
      <c r="E11" s="13" t="inlineStr">
        <is>
          <t>Avg topics</t>
        </is>
      </c>
      <c r="F11" s="13" t="inlineStr"/>
      <c r="G11" s="13" t="inlineStr">
        <is>
          <t>Reading</t>
        </is>
      </c>
    </row>
    <row r="12">
      <c r="A12" s="27">
        <f>IFERROR(INDEX('Chart Database'!$G$6:$G$4005,MATCH(0,INDEX(COUNTIF($A$11:$A11,'Chart Database'!$G$6:$G$4005),0),0)),"")</f>
        <v/>
      </c>
      <c r="B12" s="15">
        <f>IF($A12="","",COUNTIFS('Chart Database'!$G$6:$G$4005,$A12,'Chart Database'!$H$6:$H$4005,"&gt;="&amp;TODAY()-90))</f>
        <v/>
      </c>
      <c r="C12" s="15">
        <f>IF($A12="","",COUNTIFS('Chart Database'!$G$6:$G$4005,$A12,'Chart Database'!$H$6:$H$4005,"&gt;="&amp;TODAY()-90,'Chart Database'!$J$6:$J$4005,"&gt;=2"))</f>
        <v/>
      </c>
      <c r="D12" s="15">
        <f>IF($A12="","",COUNTIFS('Chart Database'!$G$6:$G$4005,$A12,'Chart Database'!$H$6:$H$4005,"&gt;="&amp;TODAY()-90,'Chart Database'!$O$6:$O$4005,"No"))</f>
        <v/>
      </c>
      <c r="E12" s="15">
        <f>IF(OR($A12="",B12=0),"",ROUND(SUMIFS('Chart Database'!$J$6:$J$4005,'Chart Database'!$G$6:$G$4005,$A12,'Chart Database'!$H$6:$H$4005,"&gt;="&amp;TODAY()-90)/B12,2))</f>
        <v/>
      </c>
      <c r="G12" s="47" t="inlineStr">
        <is>
          <t>The trainer column fills itself from whoever appears in the database — the first 12 distinct names. It is a workload picture, not a scorecard: a trainer on IP-DRG at three hours a chart cannot match one on SDS at an hour and a half.</t>
        </is>
      </c>
    </row>
    <row r="13">
      <c r="A13" s="27">
        <f>IFERROR(INDEX('Chart Database'!$G$6:$G$4005,MATCH(0,INDEX(COUNTIF($A$11:$A12,'Chart Database'!$G$6:$G$4005),0),0)),"")</f>
        <v/>
      </c>
      <c r="B13" s="15">
        <f>IF($A13="","",COUNTIFS('Chart Database'!$G$6:$G$4005,$A13,'Chart Database'!$H$6:$H$4005,"&gt;="&amp;TODAY()-90))</f>
        <v/>
      </c>
      <c r="C13" s="15">
        <f>IF($A13="","",COUNTIFS('Chart Database'!$G$6:$G$4005,$A13,'Chart Database'!$H$6:$H$4005,"&gt;="&amp;TODAY()-90,'Chart Database'!$J$6:$J$4005,"&gt;=2"))</f>
        <v/>
      </c>
      <c r="D13" s="15">
        <f>IF($A13="","",COUNTIFS('Chart Database'!$G$6:$G$4005,$A13,'Chart Database'!$H$6:$H$4005,"&gt;="&amp;TODAY()-90,'Chart Database'!$O$6:$O$4005,"No"))</f>
        <v/>
      </c>
      <c r="E13" s="15">
        <f>IF(OR($A13="",B13=0),"",ROUND(SUMIFS('Chart Database'!$J$6:$J$4005,'Chart Database'!$G$6:$G$4005,$A13,'Chart Database'!$H$6:$H$4005,"&gt;="&amp;TODAY()-90)/B13,2))</f>
        <v/>
      </c>
    </row>
    <row r="14">
      <c r="A14" s="27">
        <f>IFERROR(INDEX('Chart Database'!$G$6:$G$4005,MATCH(0,INDEX(COUNTIF($A$11:$A13,'Chart Database'!$G$6:$G$4005),0),0)),"")</f>
        <v/>
      </c>
      <c r="B14" s="15">
        <f>IF($A14="","",COUNTIFS('Chart Database'!$G$6:$G$4005,$A14,'Chart Database'!$H$6:$H$4005,"&gt;="&amp;TODAY()-90))</f>
        <v/>
      </c>
      <c r="C14" s="15">
        <f>IF($A14="","",COUNTIFS('Chart Database'!$G$6:$G$4005,$A14,'Chart Database'!$H$6:$H$4005,"&gt;="&amp;TODAY()-90,'Chart Database'!$J$6:$J$4005,"&gt;=2"))</f>
        <v/>
      </c>
      <c r="D14" s="15">
        <f>IF($A14="","",COUNTIFS('Chart Database'!$G$6:$G$4005,$A14,'Chart Database'!$H$6:$H$4005,"&gt;="&amp;TODAY()-90,'Chart Database'!$O$6:$O$4005,"No"))</f>
        <v/>
      </c>
      <c r="E14" s="15">
        <f>IF(OR($A14="",B14=0),"",ROUND(SUMIFS('Chart Database'!$J$6:$J$4005,'Chart Database'!$G$6:$G$4005,$A14,'Chart Database'!$H$6:$H$4005,"&gt;="&amp;TODAY()-90)/B14,2))</f>
        <v/>
      </c>
    </row>
    <row r="15">
      <c r="A15" s="27">
        <f>IFERROR(INDEX('Chart Database'!$G$6:$G$4005,MATCH(0,INDEX(COUNTIF($A$11:$A14,'Chart Database'!$G$6:$G$4005),0),0)),"")</f>
        <v/>
      </c>
      <c r="B15" s="15">
        <f>IF($A15="","",COUNTIFS('Chart Database'!$G$6:$G$4005,$A15,'Chart Database'!$H$6:$H$4005,"&gt;="&amp;TODAY()-90))</f>
        <v/>
      </c>
      <c r="C15" s="15">
        <f>IF($A15="","",COUNTIFS('Chart Database'!$G$6:$G$4005,$A15,'Chart Database'!$H$6:$H$4005,"&gt;="&amp;TODAY()-90,'Chart Database'!$J$6:$J$4005,"&gt;=2"))</f>
        <v/>
      </c>
      <c r="D15" s="15">
        <f>IF($A15="","",COUNTIFS('Chart Database'!$G$6:$G$4005,$A15,'Chart Database'!$H$6:$H$4005,"&gt;="&amp;TODAY()-90,'Chart Database'!$O$6:$O$4005,"No"))</f>
        <v/>
      </c>
      <c r="E15" s="15">
        <f>IF(OR($A15="",B15=0),"",ROUND(SUMIFS('Chart Database'!$J$6:$J$4005,'Chart Database'!$G$6:$G$4005,$A15,'Chart Database'!$H$6:$H$4005,"&gt;="&amp;TODAY()-90)/B15,2))</f>
        <v/>
      </c>
    </row>
    <row r="16">
      <c r="A16" s="27">
        <f>IFERROR(INDEX('Chart Database'!$G$6:$G$4005,MATCH(0,INDEX(COUNTIF($A$11:$A15,'Chart Database'!$G$6:$G$4005),0),0)),"")</f>
        <v/>
      </c>
      <c r="B16" s="15">
        <f>IF($A16="","",COUNTIFS('Chart Database'!$G$6:$G$4005,$A16,'Chart Database'!$H$6:$H$4005,"&gt;="&amp;TODAY()-90))</f>
        <v/>
      </c>
      <c r="C16" s="15">
        <f>IF($A16="","",COUNTIFS('Chart Database'!$G$6:$G$4005,$A16,'Chart Database'!$H$6:$H$4005,"&gt;="&amp;TODAY()-90,'Chart Database'!$J$6:$J$4005,"&gt;=2"))</f>
        <v/>
      </c>
      <c r="D16" s="15">
        <f>IF($A16="","",COUNTIFS('Chart Database'!$G$6:$G$4005,$A16,'Chart Database'!$H$6:$H$4005,"&gt;="&amp;TODAY()-90,'Chart Database'!$O$6:$O$4005,"No"))</f>
        <v/>
      </c>
      <c r="E16" s="15">
        <f>IF(OR($A16="",B16=0),"",ROUND(SUMIFS('Chart Database'!$J$6:$J$4005,'Chart Database'!$G$6:$G$4005,$A16,'Chart Database'!$H$6:$H$4005,"&gt;="&amp;TODAY()-90)/B16,2))</f>
        <v/>
      </c>
    </row>
    <row r="17">
      <c r="A17" s="27">
        <f>IFERROR(INDEX('Chart Database'!$G$6:$G$4005,MATCH(0,INDEX(COUNTIF($A$11:$A16,'Chart Database'!$G$6:$G$4005),0),0)),"")</f>
        <v/>
      </c>
      <c r="B17" s="15">
        <f>IF($A17="","",COUNTIFS('Chart Database'!$G$6:$G$4005,$A17,'Chart Database'!$H$6:$H$4005,"&gt;="&amp;TODAY()-90))</f>
        <v/>
      </c>
      <c r="C17" s="15">
        <f>IF($A17="","",COUNTIFS('Chart Database'!$G$6:$G$4005,$A17,'Chart Database'!$H$6:$H$4005,"&gt;="&amp;TODAY()-90,'Chart Database'!$J$6:$J$4005,"&gt;=2"))</f>
        <v/>
      </c>
      <c r="D17" s="15">
        <f>IF($A17="","",COUNTIFS('Chart Database'!$G$6:$G$4005,$A17,'Chart Database'!$H$6:$H$4005,"&gt;="&amp;TODAY()-90,'Chart Database'!$O$6:$O$4005,"No"))</f>
        <v/>
      </c>
      <c r="E17" s="15">
        <f>IF(OR($A17="",B17=0),"",ROUND(SUMIFS('Chart Database'!$J$6:$J$4005,'Chart Database'!$G$6:$G$4005,$A17,'Chart Database'!$H$6:$H$4005,"&gt;="&amp;TODAY()-90)/B17,2))</f>
        <v/>
      </c>
    </row>
    <row r="18">
      <c r="A18" s="27">
        <f>IFERROR(INDEX('Chart Database'!$G$6:$G$4005,MATCH(0,INDEX(COUNTIF($A$11:$A17,'Chart Database'!$G$6:$G$4005),0),0)),"")</f>
        <v/>
      </c>
      <c r="B18" s="15">
        <f>IF($A18="","",COUNTIFS('Chart Database'!$G$6:$G$4005,$A18,'Chart Database'!$H$6:$H$4005,"&gt;="&amp;TODAY()-90))</f>
        <v/>
      </c>
      <c r="C18" s="15">
        <f>IF($A18="","",COUNTIFS('Chart Database'!$G$6:$G$4005,$A18,'Chart Database'!$H$6:$H$4005,"&gt;="&amp;TODAY()-90,'Chart Database'!$J$6:$J$4005,"&gt;=2"))</f>
        <v/>
      </c>
      <c r="D18" s="15">
        <f>IF($A18="","",COUNTIFS('Chart Database'!$G$6:$G$4005,$A18,'Chart Database'!$H$6:$H$4005,"&gt;="&amp;TODAY()-90,'Chart Database'!$O$6:$O$4005,"No"))</f>
        <v/>
      </c>
      <c r="E18" s="15">
        <f>IF(OR($A18="",B18=0),"",ROUND(SUMIFS('Chart Database'!$J$6:$J$4005,'Chart Database'!$G$6:$G$4005,$A18,'Chart Database'!$H$6:$H$4005,"&gt;="&amp;TODAY()-90)/B18,2))</f>
        <v/>
      </c>
    </row>
    <row r="19">
      <c r="A19" s="27">
        <f>IFERROR(INDEX('Chart Database'!$G$6:$G$4005,MATCH(0,INDEX(COUNTIF($A$11:$A18,'Chart Database'!$G$6:$G$4005),0),0)),"")</f>
        <v/>
      </c>
      <c r="B19" s="15">
        <f>IF($A19="","",COUNTIFS('Chart Database'!$G$6:$G$4005,$A19,'Chart Database'!$H$6:$H$4005,"&gt;="&amp;TODAY()-90))</f>
        <v/>
      </c>
      <c r="C19" s="15">
        <f>IF($A19="","",COUNTIFS('Chart Database'!$G$6:$G$4005,$A19,'Chart Database'!$H$6:$H$4005,"&gt;="&amp;TODAY()-90,'Chart Database'!$J$6:$J$4005,"&gt;=2"))</f>
        <v/>
      </c>
      <c r="D19" s="15">
        <f>IF($A19="","",COUNTIFS('Chart Database'!$G$6:$G$4005,$A19,'Chart Database'!$H$6:$H$4005,"&gt;="&amp;TODAY()-90,'Chart Database'!$O$6:$O$4005,"No"))</f>
        <v/>
      </c>
      <c r="E19" s="15">
        <f>IF(OR($A19="",B19=0),"",ROUND(SUMIFS('Chart Database'!$J$6:$J$4005,'Chart Database'!$G$6:$G$4005,$A19,'Chart Database'!$H$6:$H$4005,"&gt;="&amp;TODAY()-90)/B19,2))</f>
        <v/>
      </c>
    </row>
    <row r="20">
      <c r="A20" s="27">
        <f>IFERROR(INDEX('Chart Database'!$G$6:$G$4005,MATCH(0,INDEX(COUNTIF($A$11:$A19,'Chart Database'!$G$6:$G$4005),0),0)),"")</f>
        <v/>
      </c>
      <c r="B20" s="15">
        <f>IF($A20="","",COUNTIFS('Chart Database'!$G$6:$G$4005,$A20,'Chart Database'!$H$6:$H$4005,"&gt;="&amp;TODAY()-90))</f>
        <v/>
      </c>
      <c r="C20" s="15">
        <f>IF($A20="","",COUNTIFS('Chart Database'!$G$6:$G$4005,$A20,'Chart Database'!$H$6:$H$4005,"&gt;="&amp;TODAY()-90,'Chart Database'!$J$6:$J$4005,"&gt;=2"))</f>
        <v/>
      </c>
      <c r="D20" s="15">
        <f>IF($A20="","",COUNTIFS('Chart Database'!$G$6:$G$4005,$A20,'Chart Database'!$H$6:$H$4005,"&gt;="&amp;TODAY()-90,'Chart Database'!$O$6:$O$4005,"No"))</f>
        <v/>
      </c>
      <c r="E20" s="15">
        <f>IF(OR($A20="",B20=0),"",ROUND(SUMIFS('Chart Database'!$J$6:$J$4005,'Chart Database'!$G$6:$G$4005,$A20,'Chart Database'!$H$6:$H$4005,"&gt;="&amp;TODAY()-90)/B20,2))</f>
        <v/>
      </c>
    </row>
    <row r="21">
      <c r="A21" s="27">
        <f>IFERROR(INDEX('Chart Database'!$G$6:$G$4005,MATCH(0,INDEX(COUNTIF($A$11:$A20,'Chart Database'!$G$6:$G$4005),0),0)),"")</f>
        <v/>
      </c>
      <c r="B21" s="15">
        <f>IF($A21="","",COUNTIFS('Chart Database'!$G$6:$G$4005,$A21,'Chart Database'!$H$6:$H$4005,"&gt;="&amp;TODAY()-90))</f>
        <v/>
      </c>
      <c r="C21" s="15">
        <f>IF($A21="","",COUNTIFS('Chart Database'!$G$6:$G$4005,$A21,'Chart Database'!$H$6:$H$4005,"&gt;="&amp;TODAY()-90,'Chart Database'!$J$6:$J$4005,"&gt;=2"))</f>
        <v/>
      </c>
      <c r="D21" s="15">
        <f>IF($A21="","",COUNTIFS('Chart Database'!$G$6:$G$4005,$A21,'Chart Database'!$H$6:$H$4005,"&gt;="&amp;TODAY()-90,'Chart Database'!$O$6:$O$4005,"No"))</f>
        <v/>
      </c>
      <c r="E21" s="15">
        <f>IF(OR($A21="",B21=0),"",ROUND(SUMIFS('Chart Database'!$J$6:$J$4005,'Chart Database'!$G$6:$G$4005,$A21,'Chart Database'!$H$6:$H$4005,"&gt;="&amp;TODAY()-90)/B21,2))</f>
        <v/>
      </c>
    </row>
    <row r="22">
      <c r="A22" s="27">
        <f>IFERROR(INDEX('Chart Database'!$G$6:$G$4005,MATCH(0,INDEX(COUNTIF($A$11:$A21,'Chart Database'!$G$6:$G$4005),0),0)),"")</f>
        <v/>
      </c>
      <c r="B22" s="15">
        <f>IF($A22="","",COUNTIFS('Chart Database'!$G$6:$G$4005,$A22,'Chart Database'!$H$6:$H$4005,"&gt;="&amp;TODAY()-90))</f>
        <v/>
      </c>
      <c r="C22" s="15">
        <f>IF($A22="","",COUNTIFS('Chart Database'!$G$6:$G$4005,$A22,'Chart Database'!$H$6:$H$4005,"&gt;="&amp;TODAY()-90,'Chart Database'!$J$6:$J$4005,"&gt;=2"))</f>
        <v/>
      </c>
      <c r="D22" s="15">
        <f>IF($A22="","",COUNTIFS('Chart Database'!$G$6:$G$4005,$A22,'Chart Database'!$H$6:$H$4005,"&gt;="&amp;TODAY()-90,'Chart Database'!$O$6:$O$4005,"No"))</f>
        <v/>
      </c>
      <c r="E22" s="15">
        <f>IF(OR($A22="",B22=0),"",ROUND(SUMIFS('Chart Database'!$J$6:$J$4005,'Chart Database'!$G$6:$G$4005,$A22,'Chart Database'!$H$6:$H$4005,"&gt;="&amp;TODAY()-90)/B22,2))</f>
        <v/>
      </c>
    </row>
    <row r="23">
      <c r="A23" s="27">
        <f>IFERROR(INDEX('Chart Database'!$G$6:$G$4005,MATCH(0,INDEX(COUNTIF($A$11:$A22,'Chart Database'!$G$6:$G$4005),0),0)),"")</f>
        <v/>
      </c>
      <c r="B23" s="15">
        <f>IF($A23="","",COUNTIFS('Chart Database'!$G$6:$G$4005,$A23,'Chart Database'!$H$6:$H$4005,"&gt;="&amp;TODAY()-90))</f>
        <v/>
      </c>
      <c r="C23" s="15">
        <f>IF($A23="","",COUNTIFS('Chart Database'!$G$6:$G$4005,$A23,'Chart Database'!$H$6:$H$4005,"&gt;="&amp;TODAY()-90,'Chart Database'!$J$6:$J$4005,"&gt;=2"))</f>
        <v/>
      </c>
      <c r="D23" s="15">
        <f>IF($A23="","",COUNTIFS('Chart Database'!$G$6:$G$4005,$A23,'Chart Database'!$H$6:$H$4005,"&gt;="&amp;TODAY()-90,'Chart Database'!$O$6:$O$4005,"No"))</f>
        <v/>
      </c>
      <c r="E23" s="15">
        <f>IF(OR($A23="",B23=0),"",ROUND(SUMIFS('Chart Database'!$J$6:$J$4005,'Chart Database'!$G$6:$G$4005,$A23,'Chart Database'!$H$6:$H$4005,"&gt;="&amp;TODAY()-90)/B23,2))</f>
        <v/>
      </c>
    </row>
    <row r="25" ht="26" customHeight="1">
      <c r="A25" s="44" t="inlineStr">
        <is>
          <t>Charts retired counts on Last assigned rather than a retirement date, because the application does not store one. Treat that row as indicative and record the real date in Notes if it matters.</t>
        </is>
      </c>
    </row>
    <row r="26" ht="26" customHeight="1">
      <c r="A26" s="18"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11">
      <formula>0</formula>
    </cfRule>
  </conditionalFormatting>
  <conditionalFormatting sqref="A12:E23">
    <cfRule type="expression" priority="2" dxfId="4">
      <formula>MOD(ROW(),2)=0</formula>
    </cfRule>
  </conditionalFormatting>
  <pageMargins left="0.75" right="0.75" top="1" bottom="1" header="0.5" footer="0.5"/>
</worksheet>
</file>

<file path=xl/worksheets/sheet10.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4" t="inlineStr">
        <is>
          <t>How the application actually behaves</t>
        </is>
      </c>
    </row>
    <row r="6" ht="39" customHeight="1">
      <c r="B6" s="5"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6" t="inlineStr">
        <is>
          <t>What upload stores</t>
        </is>
      </c>
      <c r="C7" s="5" t="inlineStr">
        <is>
          <t>The category string verbatim, with only outer whitespace trimmed. Type `Sepsis, AKI` and the database holds exactly that one string. It is never split.</t>
        </is>
      </c>
    </row>
    <row r="8" ht="39" customHeight="1">
      <c r="B8" s="6" t="inlineStr">
        <is>
          <t>What the allocator does</t>
        </is>
      </c>
      <c r="C8" s="5" t="inlineStr">
        <is>
          <t>Splits the TRAINER'S filter on commas, then substring-matches each piece against the whole stored string, OR'd together. So your filter is split and the chart's category is not; they meet by substring.</t>
        </is>
      </c>
    </row>
    <row r="9" ht="52" customHeight="1">
      <c r="B9" s="6" t="inlineStr">
        <is>
          <t>What follows</t>
        </is>
      </c>
      <c r="C9" s="5"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4" t="inlineStr">
        <is>
          <t>category</t>
        </is>
      </c>
    </row>
    <row r="12" ht="13" customHeight="1">
      <c r="B12" s="6" t="inlineStr">
        <is>
          <t>Is</t>
        </is>
      </c>
      <c r="C12" s="5" t="inlineStr">
        <is>
          <t>One or more short topic names, comma separated. Nothing else.</t>
        </is>
      </c>
    </row>
    <row r="13" ht="13" customHeight="1">
      <c r="B13" s="6" t="inlineStr">
        <is>
          <t>Example</t>
        </is>
      </c>
      <c r="C13" s="5" t="inlineStr">
        <is>
          <t>`Sepsis` for a single topic. `Sepsis, AKI` where the chart genuinely teaches both.</t>
        </is>
      </c>
    </row>
    <row r="14" ht="26" customHeight="1">
      <c r="B14" s="6" t="inlineStr">
        <is>
          <t>Taken from</t>
        </is>
      </c>
      <c r="C14" s="5" t="inlineStr">
        <is>
          <t>The SHORT NAME column of the Category Dictionary sheet, spelled exactly. That sheet is the vocabulary; the application has none.</t>
        </is>
      </c>
    </row>
    <row r="15" ht="26" customHeight="1">
      <c r="B15" s="6" t="inlineStr">
        <is>
          <t>Order matters a little</t>
        </is>
      </c>
      <c r="C15" s="5" t="inlineStr">
        <is>
          <t>List the topic the ANSWER KEY turns on first. This workbook reads the first name as the primary topic, which is what the per-chart views show.</t>
        </is>
      </c>
    </row>
    <row r="16" ht="26" customHeight="1">
      <c r="B16" s="6" t="inlineStr">
        <is>
          <t>Length</t>
        </is>
      </c>
      <c r="C16" s="5" t="inlineStr">
        <is>
          <t>Each name is at most 25 characters and the column holds 200, so four or five topics fit. Past that, the chart is probably two charts.</t>
        </is>
      </c>
    </row>
    <row r="17" ht="39" customHeight="1">
      <c r="B17" s="6" t="inlineStr">
        <is>
          <t>Never</t>
        </is>
      </c>
      <c r="C17" s="5" t="inlineStr">
        <is>
          <t>A description, a sentence, a code number alone, or a name not in the dictionary. Every new spelling becomes a separate value in the application's own analytics and quietly fragments the counts.</t>
        </is>
      </c>
    </row>
    <row r="19">
      <c r="B19" s="4" t="inlineStr">
        <is>
          <t>alias</t>
        </is>
      </c>
    </row>
    <row r="20" ht="26" customHeight="1">
      <c r="B20" s="6" t="inlineStr">
        <is>
          <t>Is</t>
        </is>
      </c>
      <c r="C20" s="5" t="inlineStr">
        <is>
          <t>The clinical scenario in a trainer's own words. A recognition handle, so somebody scanning sixty rows knows the chart without opening it.</t>
        </is>
      </c>
    </row>
    <row r="21" ht="26" customHeight="1">
      <c r="B21" s="6" t="inlineStr">
        <is>
          <t>Example</t>
        </is>
      </c>
      <c r="C21" s="5" t="inlineStr">
        <is>
          <t>`68F septic shock, AKI on CKD3, pressors` · `34wk twin delivery, one NICU admit` · `Lap chole converted to open`</t>
        </is>
      </c>
    </row>
    <row r="22" ht="26" customHeight="1">
      <c r="B22" s="6" t="inlineStr">
        <is>
          <t>Length</t>
        </is>
      </c>
      <c r="C22" s="5" t="inlineStr">
        <is>
          <t>100 characters, and this is a hard database limit. SQLite does not enforce it and PostgreSQL rejects outright, so an over-long alias passes every local test and fails on the live service.</t>
        </is>
      </c>
    </row>
    <row r="23" ht="26" customHeight="1">
      <c r="B23" s="6" t="inlineStr">
        <is>
          <t>Never drives assignment</t>
        </is>
      </c>
      <c r="C23" s="5" t="inlineStr">
        <is>
          <t>Alias is for finding and recognising. Category is for selecting. The allocator does not read alias at all.</t>
        </is>
      </c>
    </row>
    <row r="24" ht="39" customHeight="1">
      <c r="B24" s="6" t="inlineStr">
        <is>
          <t>Never contains PHI</t>
        </is>
      </c>
      <c r="C24" s="5" t="inlineStr">
        <is>
          <t>It is free text typed AFTER de-identification, which makes it the likeliest place for a name, a date or a facility to come back into a scrubbed chart. Ages as a band, sex as a letter, no names, no dates, no facility.</t>
        </is>
      </c>
    </row>
    <row r="25" ht="39" customHeight="1">
      <c r="B25" s="6" t="inlineStr">
        <is>
          <t>Never hints at the finding</t>
        </is>
      </c>
      <c r="C25" s="5"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4" t="inlineStr">
        <is>
          <t>The rule worth remembering</t>
        </is>
      </c>
    </row>
    <row r="28" ht="13" customHeight="1">
      <c r="B28" s="5" t="inlineStr">
        <is>
          <t>The topic names the SKILL, never the FINDING.</t>
        </is>
      </c>
    </row>
    <row r="30">
      <c r="B30" s="4" t="inlineStr">
        <is>
          <t>Difficulty: two vocabularies, mapped</t>
        </is>
      </c>
    </row>
    <row r="31" ht="39" customHeight="1">
      <c r="B31" s="5"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57" t="inlineStr">
        <is>
          <t>Beginner  =  Basic</t>
        </is>
      </c>
      <c r="C32" s="5" t="inlineStr">
        <is>
          <t>Single encounter focus, few codes, clear documentation, straightforward guideline application.</t>
        </is>
      </c>
    </row>
    <row r="33" ht="13" customHeight="1">
      <c r="B33" s="57" t="inlineStr">
        <is>
          <t>Intermediate  =  Moderate</t>
        </is>
      </c>
      <c r="C33" s="5" t="inlineStr">
        <is>
          <t>Multiple diagnoses or procedures, some sequencing decisions, modifiers or CC/MCC capture.</t>
        </is>
      </c>
    </row>
    <row r="34" ht="26" customHeight="1">
      <c r="B34" s="57" t="inlineStr">
        <is>
          <t>Advanced  =  Complex</t>
        </is>
      </c>
      <c r="C34" s="5" t="inlineStr">
        <is>
          <t>Conflicting or incomplete documentation, query opportunities, tricky guidelines, multiple edits in play.</t>
        </is>
      </c>
    </row>
    <row r="35" ht="39" customHeight="1">
      <c r="B35" s="5" t="inlineStr">
        <is>
          <t>Enter the application's word on upload and in this workbook. Read the taxonomy's word when planning composition. Nobody should have to convert in their head, which is why the mapping is written down here rather than remembered.</t>
        </is>
      </c>
    </row>
    <row r="37">
      <c r="B37" s="4" t="inlineStr">
        <is>
          <t>Long descriptive names — worked examples</t>
        </is>
      </c>
    </row>
    <row r="38" ht="39" customHeight="1">
      <c r="B38" s="5"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58" t="inlineStr">
        <is>
          <t>"Sepsis with pneumonia"</t>
        </is>
      </c>
      <c r="C39" s="5" t="inlineStr">
        <is>
          <t>category:  Sepsis, Respiratory medical
alias:  sepsis 2/2 RLL pneumonia
Two genuine topics, so both go in the category and the chart is found by a filter of either.</t>
        </is>
      </c>
    </row>
    <row r="40" ht="54" customHeight="1">
      <c r="B40" s="58" t="inlineStr">
        <is>
          <t>"CABG with 3 grafts"</t>
        </is>
      </c>
      <c r="C40" s="5"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58" t="inlineStr">
        <is>
          <t>"AKI on CKD3 in a septic patient"</t>
        </is>
      </c>
      <c r="C41" s="5" t="inlineStr">
        <is>
          <t>category:  Sepsis, Renal
alias:  AKI on CKD3, sepsis source urinary
Two topics. The staging detail is what a trainer recognises the chart by, not what anyone filters on.</t>
        </is>
      </c>
    </row>
    <row r="42" ht="54" customHeight="1">
      <c r="B42" s="58" t="inlineStr">
        <is>
          <t>"Lap chole converted to open"</t>
        </is>
      </c>
      <c r="C42" s="5" t="inlineStr">
        <is>
          <t>category:  GI surgical
alias:  lap chole converted to open, bile leak
The conversion is the error the chart teaches, but it is one topic. Put the conversion in the alias so a trainer can find it; keep the category filterable.</t>
        </is>
      </c>
    </row>
    <row r="43" ht="52" customHeight="1">
      <c r="B43" s="5"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5" t="inlineStr">
        <is>
          <t>Nothing is lost by moving it to the alias: the application's search box covers chart number, category AND alias together, so typing CABG still finds the chart.</t>
        </is>
      </c>
    </row>
    <row r="46">
      <c r="B46" s="4" t="inlineStr">
        <is>
          <t>A topic the taxonomy does not have</t>
        </is>
      </c>
    </row>
    <row r="47" ht="26" customHeight="1">
      <c r="B47" s="5" t="inlineStr">
        <is>
          <t>The 111 topics are not a closed list, and nothing in the application enforces them. Two ways to add one, and they are not interchangeable:</t>
        </is>
      </c>
    </row>
    <row r="48" ht="52" customHeight="1">
      <c r="B48" s="6" t="inlineStr">
        <is>
          <t>For something that will last</t>
        </is>
      </c>
      <c r="C48" s="5"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6" t="inlineStr">
        <is>
          <t>For something provisional</t>
        </is>
      </c>
      <c r="C49" s="5"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6" t="inlineStr">
        <is>
          <t>Either way, check the name</t>
        </is>
      </c>
      <c r="C50" s="5"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6" t="inlineStr">
        <is>
          <t>What happens if you skip both</t>
        </is>
      </c>
      <c r="C51" s="5" t="inlineStr">
        <is>
          <t>The chart still counts as a chart on Specialty Overview, but toward no topic's coverage. The Leader Dashboard reports it under 'Charts with an off-list category' so it cannot sit unnoticed, which is the only reason that tile exists.</t>
        </is>
      </c>
    </row>
    <row r="53">
      <c r="B53" s="4" t="inlineStr">
        <is>
          <t>What this does not solve</t>
        </is>
      </c>
    </row>
    <row r="54" ht="52" customHeight="1">
      <c r="B54" s="5"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G11"/>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0" customWidth="1" min="6" max="6"/>
    <col width="26" customWidth="1" min="7" max="7"/>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59" t="inlineStr">
        <is>
          <t>Specialty</t>
        </is>
      </c>
      <c r="B4" s="59" t="inlineStr">
        <is>
          <t>Difficulty</t>
        </is>
      </c>
      <c r="C4" s="59" t="inlineStr">
        <is>
          <t>Status</t>
        </is>
      </c>
      <c r="D4" s="59" t="inlineStr">
        <is>
          <t>Priority</t>
        </is>
      </c>
      <c r="E4" s="59" t="inlineStr">
        <is>
          <t>YesNo</t>
        </is>
      </c>
      <c r="F4" s="59" t="inlineStr">
        <is>
          <t>QueryExpected</t>
        </is>
      </c>
      <c r="G4" s="59" t="inlineStr">
        <is>
          <t>Short name (reference — 111)</t>
        </is>
      </c>
    </row>
    <row r="5">
      <c r="A5" s="60" t="inlineStr">
        <is>
          <t>IP-DRG</t>
        </is>
      </c>
      <c r="B5" s="60" t="inlineStr">
        <is>
          <t>Beginner</t>
        </is>
      </c>
      <c r="C5" s="60" t="inlineStr">
        <is>
          <t>Active</t>
        </is>
      </c>
      <c r="D5" s="60" t="inlineStr">
        <is>
          <t>P1</t>
        </is>
      </c>
      <c r="E5" s="60" t="inlineStr">
        <is>
          <t>Yes</t>
        </is>
      </c>
      <c r="F5" s="60" t="inlineStr">
        <is>
          <t>Yes</t>
        </is>
      </c>
      <c r="G5" s="47" t="inlineStr">
        <is>
          <t>See the Category Dictionary sheet; it carries the topic and target beside each name.</t>
        </is>
      </c>
    </row>
    <row r="6">
      <c r="A6" s="60" t="inlineStr">
        <is>
          <t>ED Facility</t>
        </is>
      </c>
      <c r="B6" s="60" t="inlineStr">
        <is>
          <t>Intermediate</t>
        </is>
      </c>
      <c r="C6" s="60" t="inlineStr">
        <is>
          <t>Retired</t>
        </is>
      </c>
      <c r="D6" s="60" t="inlineStr">
        <is>
          <t>P2</t>
        </is>
      </c>
      <c r="E6" s="60" t="inlineStr">
        <is>
          <t>No</t>
        </is>
      </c>
      <c r="F6" s="60" t="inlineStr">
        <is>
          <t>No</t>
        </is>
      </c>
    </row>
    <row r="7">
      <c r="A7" s="60" t="inlineStr">
        <is>
          <t>ED Profee</t>
        </is>
      </c>
      <c r="B7" s="60" t="inlineStr">
        <is>
          <t>Advanced</t>
        </is>
      </c>
      <c r="D7" s="60" t="inlineStr">
        <is>
          <t>P3</t>
        </is>
      </c>
      <c r="F7" s="60" t="inlineStr">
        <is>
          <t>NA — not authored</t>
        </is>
      </c>
    </row>
    <row r="8">
      <c r="A8" s="60" t="inlineStr">
        <is>
          <t>E/M</t>
        </is>
      </c>
      <c r="D8" s="60" t="inlineStr">
        <is>
          <t>P4</t>
        </is>
      </c>
    </row>
    <row r="9">
      <c r="A9" s="60" t="inlineStr">
        <is>
          <t>SDS</t>
        </is>
      </c>
    </row>
    <row r="10">
      <c r="A10" s="60" t="inlineStr">
        <is>
          <t>Surgery</t>
        </is>
      </c>
    </row>
    <row r="11">
      <c r="A11" s="60"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2026-10-21T17:35:18Z</dcterms:created>
  <dcterms:modified xmlns:dcterms="http://purl.org/dc/terms/" xmlns:xsi="http://www.w3.org/2001/XMLSchema-instance" xsi:type="dcterms:W3CDTF">2026-10-21T17:35:23Z</dcterms:modified>
</cp:coreProperties>
</file>